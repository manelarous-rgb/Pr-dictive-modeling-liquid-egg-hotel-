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sma\OneDrive\Bureau\Streamlit1\"/>
    </mc:Choice>
  </mc:AlternateContent>
  <xr:revisionPtr revIDLastSave="0" documentId="13_ncr:1_{EF6285FE-DABE-4F16-B993-FE70A580196C}" xr6:coauthVersionLast="47" xr6:coauthVersionMax="47" xr10:uidLastSave="{00000000-0000-0000-0000-000000000000}"/>
  <bookViews>
    <workbookView xWindow="-108" yWindow="-108" windowWidth="23256" windowHeight="12456" tabRatio="725" firstSheet="22" activeTab="29" xr2:uid="{BAB5D69F-2FA4-44EA-8BDA-17CE81268822}"/>
  </bookViews>
  <sheets>
    <sheet name="Dashboard" sheetId="5" r:id="rId1"/>
    <sheet name="Laico-H" sheetId="1" r:id="rId2"/>
    <sheet name="Golden Carthage " sheetId="3" r:id="rId3"/>
    <sheet name="Sheraton" sheetId="2" r:id="rId4"/>
    <sheet name="Movenpick" sheetId="7" r:id="rId5"/>
    <sheet name="Mariotte" sheetId="19" r:id="rId6"/>
    <sheet name="Radisson_Blue_Tunis" sheetId="8" r:id="rId7"/>
    <sheet name="Four_Season_Tunis" sheetId="9" r:id="rId8"/>
    <sheet name="Concorde marco polp" sheetId="10" r:id="rId9"/>
    <sheet name="Nozha beach" sheetId="11" r:id="rId10"/>
    <sheet name="Sentido Phenecia " sheetId="13" r:id="rId11"/>
    <sheet name="Bel azur thalasso" sheetId="15" r:id="rId12"/>
    <sheet name="el mouradi" sheetId="14" r:id="rId13"/>
    <sheet name="Steigenberger  Thalasso" sheetId="16" r:id="rId14"/>
    <sheet name="Nahrawess Resort Thalasso &amp; Wat" sheetId="18" r:id="rId15"/>
    <sheet name="Golden tulip " sheetId="17" r:id="rId16"/>
    <sheet name="el mouradi el menzah " sheetId="12" r:id="rId17"/>
    <sheet name="TUI MAGIC LIFE Africana (Splash" sheetId="20" r:id="rId18"/>
    <sheet name="TUI BLUE Palace Océana" sheetId="21" r:id="rId19"/>
    <sheet name="Les Orangers beach" sheetId="22" r:id="rId20"/>
    <sheet name="Belisair" sheetId="23" r:id="rId21"/>
    <sheet name="Khayem Garden " sheetId="24" r:id="rId22"/>
    <sheet name="Radissan blue " sheetId="25" r:id="rId23"/>
    <sheet name="La Badira" sheetId="26" r:id="rId24"/>
    <sheet name="Iberostar waves " sheetId="30" r:id="rId25"/>
    <sheet name="Houda Soltan " sheetId="29" r:id="rId26"/>
    <sheet name="Lella beya " sheetId="27" r:id="rId27"/>
    <sheet name="Hasdrubal Thalassa" sheetId="31" r:id="rId28"/>
    <sheet name="Mehari " sheetId="28" r:id="rId29"/>
    <sheet name="Royal Hammamet" sheetId="33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1" i="33" l="1"/>
  <c r="I339" i="33"/>
  <c r="I340" i="33"/>
  <c r="I3" i="33"/>
  <c r="I4" i="33"/>
  <c r="I5" i="33"/>
  <c r="I6" i="33"/>
  <c r="I7" i="33"/>
  <c r="I8" i="33"/>
  <c r="I9" i="33"/>
  <c r="I10" i="33"/>
  <c r="I11" i="33"/>
  <c r="I12" i="33"/>
  <c r="I13" i="33"/>
  <c r="I14" i="33"/>
  <c r="I15" i="33"/>
  <c r="I16" i="33"/>
  <c r="I17" i="33"/>
  <c r="I18" i="33"/>
  <c r="I19" i="33"/>
  <c r="I20" i="33"/>
  <c r="I21" i="33"/>
  <c r="I22" i="33"/>
  <c r="I23" i="33"/>
  <c r="I24" i="33"/>
  <c r="I25" i="33"/>
  <c r="I26" i="33"/>
  <c r="I27" i="33"/>
  <c r="I28" i="33"/>
  <c r="I29" i="33"/>
  <c r="I30" i="33"/>
  <c r="I31" i="33"/>
  <c r="I32" i="33"/>
  <c r="I33" i="33"/>
  <c r="I34" i="33"/>
  <c r="I35" i="33"/>
  <c r="I36" i="33"/>
  <c r="I37" i="33"/>
  <c r="I38" i="33"/>
  <c r="I39" i="33"/>
  <c r="I40" i="33"/>
  <c r="I41" i="33"/>
  <c r="I42" i="33"/>
  <c r="I43" i="33"/>
  <c r="I44" i="33"/>
  <c r="I45" i="33"/>
  <c r="I46" i="33"/>
  <c r="I47" i="33"/>
  <c r="I48" i="33"/>
  <c r="I49" i="33"/>
  <c r="I50" i="33"/>
  <c r="I51" i="33"/>
  <c r="I52" i="33"/>
  <c r="I53" i="33"/>
  <c r="I54" i="33"/>
  <c r="I55" i="33"/>
  <c r="I56" i="33"/>
  <c r="I57" i="33"/>
  <c r="I58" i="33"/>
  <c r="I59" i="33"/>
  <c r="I60" i="33"/>
  <c r="I61" i="33"/>
  <c r="I62" i="33"/>
  <c r="I63" i="33"/>
  <c r="I64" i="33"/>
  <c r="I65" i="33"/>
  <c r="I66" i="33"/>
  <c r="I67" i="33"/>
  <c r="I68" i="33"/>
  <c r="I69" i="33"/>
  <c r="I70" i="33"/>
  <c r="I71" i="33"/>
  <c r="I72" i="33"/>
  <c r="I73" i="33"/>
  <c r="I74" i="33"/>
  <c r="I75" i="33"/>
  <c r="I76" i="33"/>
  <c r="I77" i="33"/>
  <c r="I78" i="33"/>
  <c r="I79" i="33"/>
  <c r="I80" i="33"/>
  <c r="I81" i="33"/>
  <c r="I82" i="33"/>
  <c r="I83" i="33"/>
  <c r="I84" i="33"/>
  <c r="I85" i="33"/>
  <c r="I86" i="33"/>
  <c r="I87" i="33"/>
  <c r="I88" i="33"/>
  <c r="I89" i="33"/>
  <c r="I90" i="33"/>
  <c r="I91" i="33"/>
  <c r="I92" i="33"/>
  <c r="I93" i="33"/>
  <c r="I94" i="33"/>
  <c r="I95" i="33"/>
  <c r="I96" i="33"/>
  <c r="I97" i="33"/>
  <c r="I98" i="33"/>
  <c r="I99" i="33"/>
  <c r="I100" i="33"/>
  <c r="I101" i="33"/>
  <c r="I102" i="33"/>
  <c r="I103" i="33"/>
  <c r="I104" i="33"/>
  <c r="I105" i="33"/>
  <c r="I106" i="33"/>
  <c r="I107" i="33"/>
  <c r="I108" i="33"/>
  <c r="I109" i="33"/>
  <c r="I110" i="33"/>
  <c r="I111" i="33"/>
  <c r="I112" i="33"/>
  <c r="I113" i="33"/>
  <c r="I114" i="33"/>
  <c r="I115" i="33"/>
  <c r="I116" i="33"/>
  <c r="I117" i="33"/>
  <c r="I118" i="33"/>
  <c r="I119" i="33"/>
  <c r="I120" i="33"/>
  <c r="I121" i="33"/>
  <c r="I122" i="33"/>
  <c r="I123" i="33"/>
  <c r="I124" i="33"/>
  <c r="I125" i="33"/>
  <c r="I126" i="33"/>
  <c r="I127" i="33"/>
  <c r="I128" i="33"/>
  <c r="I129" i="33"/>
  <c r="I130" i="33"/>
  <c r="I131" i="33"/>
  <c r="I132" i="33"/>
  <c r="I133" i="33"/>
  <c r="I134" i="33"/>
  <c r="I135" i="33"/>
  <c r="I136" i="33"/>
  <c r="I137" i="33"/>
  <c r="I138" i="33"/>
  <c r="I139" i="33"/>
  <c r="I140" i="33"/>
  <c r="I141" i="33"/>
  <c r="I142" i="33"/>
  <c r="I143" i="33"/>
  <c r="I144" i="33"/>
  <c r="I145" i="33"/>
  <c r="I146" i="33"/>
  <c r="I147" i="33"/>
  <c r="I148" i="33"/>
  <c r="I149" i="33"/>
  <c r="I150" i="33"/>
  <c r="I151" i="33"/>
  <c r="I152" i="33"/>
  <c r="I153" i="33"/>
  <c r="I154" i="33"/>
  <c r="I155" i="33"/>
  <c r="I156" i="33"/>
  <c r="I157" i="33"/>
  <c r="I158" i="33"/>
  <c r="I159" i="33"/>
  <c r="I160" i="33"/>
  <c r="I161" i="33"/>
  <c r="I162" i="33"/>
  <c r="I163" i="33"/>
  <c r="I164" i="33"/>
  <c r="I165" i="33"/>
  <c r="I166" i="33"/>
  <c r="I167" i="33"/>
  <c r="I168" i="33"/>
  <c r="I169" i="33"/>
  <c r="I170" i="33"/>
  <c r="I171" i="33"/>
  <c r="I172" i="33"/>
  <c r="I173" i="33"/>
  <c r="I174" i="33"/>
  <c r="I175" i="33"/>
  <c r="I176" i="33"/>
  <c r="I177" i="33"/>
  <c r="I178" i="33"/>
  <c r="I179" i="33"/>
  <c r="I180" i="33"/>
  <c r="I181" i="33"/>
  <c r="I182" i="33"/>
  <c r="I183" i="33"/>
  <c r="I184" i="33"/>
  <c r="I185" i="33"/>
  <c r="I186" i="33"/>
  <c r="I187" i="33"/>
  <c r="I188" i="33"/>
  <c r="I189" i="33"/>
  <c r="I190" i="33"/>
  <c r="I191" i="33"/>
  <c r="I192" i="33"/>
  <c r="I193" i="33"/>
  <c r="I194" i="33"/>
  <c r="I195" i="33"/>
  <c r="I196" i="33"/>
  <c r="I197" i="33"/>
  <c r="I198" i="33"/>
  <c r="I199" i="33"/>
  <c r="I200" i="33"/>
  <c r="I201" i="33"/>
  <c r="I202" i="33"/>
  <c r="I203" i="33"/>
  <c r="I204" i="33"/>
  <c r="I205" i="33"/>
  <c r="I206" i="33"/>
  <c r="I207" i="33"/>
  <c r="I208" i="33"/>
  <c r="I209" i="33"/>
  <c r="I210" i="33"/>
  <c r="I211" i="33"/>
  <c r="I212" i="33"/>
  <c r="I213" i="33"/>
  <c r="I214" i="33"/>
  <c r="I215" i="33"/>
  <c r="I216" i="33"/>
  <c r="I217" i="33"/>
  <c r="I218" i="33"/>
  <c r="I219" i="33"/>
  <c r="I220" i="33"/>
  <c r="I221" i="33"/>
  <c r="I222" i="33"/>
  <c r="I223" i="33"/>
  <c r="I224" i="33"/>
  <c r="I225" i="33"/>
  <c r="I226" i="33"/>
  <c r="I227" i="33"/>
  <c r="I228" i="33"/>
  <c r="I229" i="33"/>
  <c r="I230" i="33"/>
  <c r="I231" i="33"/>
  <c r="I232" i="33"/>
  <c r="I233" i="33"/>
  <c r="I234" i="33"/>
  <c r="I235" i="33"/>
  <c r="I236" i="33"/>
  <c r="I237" i="33"/>
  <c r="I238" i="33"/>
  <c r="I239" i="33"/>
  <c r="I240" i="33"/>
  <c r="I241" i="33"/>
  <c r="I242" i="33"/>
  <c r="I243" i="33"/>
  <c r="I244" i="33"/>
  <c r="I245" i="33"/>
  <c r="I246" i="33"/>
  <c r="I247" i="33"/>
  <c r="I248" i="33"/>
  <c r="I249" i="33"/>
  <c r="I250" i="33"/>
  <c r="I251" i="33"/>
  <c r="I252" i="33"/>
  <c r="I253" i="33"/>
  <c r="I254" i="33"/>
  <c r="I255" i="33"/>
  <c r="I256" i="33"/>
  <c r="I257" i="33"/>
  <c r="I258" i="33"/>
  <c r="I259" i="33"/>
  <c r="I260" i="33"/>
  <c r="I261" i="33"/>
  <c r="I262" i="33"/>
  <c r="I263" i="33"/>
  <c r="I264" i="33"/>
  <c r="I265" i="33"/>
  <c r="I266" i="33"/>
  <c r="I267" i="33"/>
  <c r="I268" i="33"/>
  <c r="I269" i="33"/>
  <c r="I270" i="33"/>
  <c r="I271" i="33"/>
  <c r="I272" i="33"/>
  <c r="I273" i="33"/>
  <c r="I274" i="33"/>
  <c r="I275" i="33"/>
  <c r="I276" i="33"/>
  <c r="I277" i="33"/>
  <c r="I278" i="33"/>
  <c r="I279" i="33"/>
  <c r="I280" i="33"/>
  <c r="I281" i="33"/>
  <c r="I282" i="33"/>
  <c r="I283" i="33"/>
  <c r="I284" i="33"/>
  <c r="I285" i="33"/>
  <c r="I286" i="33"/>
  <c r="I287" i="33"/>
  <c r="I288" i="33"/>
  <c r="I289" i="33"/>
  <c r="I290" i="33"/>
  <c r="I291" i="33"/>
  <c r="I292" i="33"/>
  <c r="I293" i="33"/>
  <c r="I294" i="33"/>
  <c r="I295" i="33"/>
  <c r="I296" i="33"/>
  <c r="I297" i="33"/>
  <c r="I298" i="33"/>
  <c r="I299" i="33"/>
  <c r="I300" i="33"/>
  <c r="I301" i="33"/>
  <c r="I302" i="33"/>
  <c r="I303" i="33"/>
  <c r="I304" i="33"/>
  <c r="I305" i="33"/>
  <c r="I306" i="33"/>
  <c r="I307" i="33"/>
  <c r="I308" i="33"/>
  <c r="I309" i="33"/>
  <c r="I310" i="33"/>
  <c r="I311" i="33"/>
  <c r="I312" i="33"/>
  <c r="I313" i="33"/>
  <c r="I314" i="33"/>
  <c r="I315" i="33"/>
  <c r="I316" i="33"/>
  <c r="I317" i="33"/>
  <c r="I318" i="33"/>
  <c r="I319" i="33"/>
  <c r="I320" i="33"/>
  <c r="I321" i="33"/>
  <c r="I322" i="33"/>
  <c r="I323" i="33"/>
  <c r="I324" i="33"/>
  <c r="I325" i="33"/>
  <c r="I326" i="33"/>
  <c r="I327" i="33"/>
  <c r="I328" i="33"/>
  <c r="I329" i="33"/>
  <c r="I330" i="33"/>
  <c r="I331" i="33"/>
  <c r="I332" i="33"/>
  <c r="I333" i="33"/>
  <c r="I334" i="33"/>
  <c r="I335" i="33"/>
  <c r="I336" i="33"/>
  <c r="I337" i="33"/>
  <c r="I338" i="33"/>
  <c r="I2" i="33"/>
  <c r="I299" i="28"/>
  <c r="I300" i="28"/>
  <c r="I301" i="28"/>
  <c r="I302" i="28"/>
  <c r="I303" i="28"/>
  <c r="I304" i="28"/>
  <c r="I305" i="28"/>
  <c r="I306" i="28"/>
  <c r="I307" i="28"/>
  <c r="I308" i="28"/>
  <c r="I309" i="28"/>
  <c r="I310" i="28"/>
  <c r="I311" i="28"/>
  <c r="I312" i="28"/>
  <c r="I313" i="28"/>
  <c r="I314" i="28"/>
  <c r="I315" i="28"/>
  <c r="I316" i="28"/>
  <c r="I317" i="28"/>
  <c r="I318" i="28"/>
  <c r="I319" i="28"/>
  <c r="I320" i="28"/>
  <c r="I321" i="28"/>
  <c r="I322" i="28"/>
  <c r="I323" i="28"/>
  <c r="I324" i="28"/>
  <c r="I325" i="28"/>
  <c r="I326" i="28"/>
  <c r="I327" i="28"/>
  <c r="I328" i="28"/>
  <c r="I298" i="28"/>
  <c r="I277" i="28"/>
  <c r="I278" i="28"/>
  <c r="I279" i="28"/>
  <c r="I280" i="28"/>
  <c r="I281" i="28"/>
  <c r="I282" i="28"/>
  <c r="I283" i="28"/>
  <c r="I284" i="28"/>
  <c r="I285" i="28"/>
  <c r="I286" i="28"/>
  <c r="I287" i="28"/>
  <c r="I288" i="28"/>
  <c r="I289" i="28"/>
  <c r="I290" i="28"/>
  <c r="I291" i="28"/>
  <c r="I292" i="28"/>
  <c r="I293" i="28"/>
  <c r="I294" i="28"/>
  <c r="I295" i="28"/>
  <c r="I296" i="28"/>
  <c r="I297" i="28"/>
  <c r="I276" i="28"/>
  <c r="I251" i="28"/>
  <c r="I252" i="28"/>
  <c r="I253" i="28"/>
  <c r="I254" i="28"/>
  <c r="I255" i="28"/>
  <c r="I256" i="28"/>
  <c r="I257" i="28"/>
  <c r="I258" i="28"/>
  <c r="I259" i="28"/>
  <c r="I260" i="28"/>
  <c r="I261" i="28"/>
  <c r="I262" i="28"/>
  <c r="I263" i="28"/>
  <c r="I264" i="28"/>
  <c r="I265" i="28"/>
  <c r="I266" i="28"/>
  <c r="I267" i="28"/>
  <c r="I268" i="28"/>
  <c r="I269" i="28"/>
  <c r="I270" i="28"/>
  <c r="I271" i="28"/>
  <c r="I272" i="28"/>
  <c r="I273" i="28"/>
  <c r="I274" i="28"/>
  <c r="I275" i="28"/>
  <c r="I250" i="28"/>
  <c r="I221" i="28"/>
  <c r="I222" i="28"/>
  <c r="I223" i="28"/>
  <c r="I224" i="28"/>
  <c r="I225" i="28"/>
  <c r="I226" i="28"/>
  <c r="I227" i="28"/>
  <c r="I228" i="28"/>
  <c r="I229" i="28"/>
  <c r="I230" i="28"/>
  <c r="I231" i="28"/>
  <c r="I232" i="28"/>
  <c r="I233" i="28"/>
  <c r="I234" i="28"/>
  <c r="I235" i="28"/>
  <c r="I236" i="28"/>
  <c r="I237" i="28"/>
  <c r="I238" i="28"/>
  <c r="I239" i="28"/>
  <c r="I240" i="28"/>
  <c r="I241" i="28"/>
  <c r="I242" i="28"/>
  <c r="I243" i="28"/>
  <c r="I244" i="28"/>
  <c r="I245" i="28"/>
  <c r="I246" i="28"/>
  <c r="I247" i="28"/>
  <c r="I248" i="28"/>
  <c r="I249" i="28"/>
  <c r="I220" i="28"/>
  <c r="I190" i="28"/>
  <c r="I191" i="28"/>
  <c r="I192" i="28"/>
  <c r="I193" i="28"/>
  <c r="I194" i="28"/>
  <c r="I195" i="28"/>
  <c r="I196" i="28"/>
  <c r="I197" i="28"/>
  <c r="I198" i="28"/>
  <c r="I199" i="28"/>
  <c r="I200" i="28"/>
  <c r="I201" i="28"/>
  <c r="I202" i="28"/>
  <c r="I203" i="28"/>
  <c r="I204" i="28"/>
  <c r="I205" i="28"/>
  <c r="I206" i="28"/>
  <c r="I207" i="28"/>
  <c r="I208" i="28"/>
  <c r="I209" i="28"/>
  <c r="I210" i="28"/>
  <c r="I211" i="28"/>
  <c r="I212" i="28"/>
  <c r="I213" i="28"/>
  <c r="I214" i="28"/>
  <c r="I215" i="28"/>
  <c r="I216" i="28"/>
  <c r="I217" i="28"/>
  <c r="I218" i="28"/>
  <c r="I219" i="28"/>
  <c r="I189" i="28"/>
  <c r="I170" i="28"/>
  <c r="I171" i="28"/>
  <c r="I172" i="28"/>
  <c r="I173" i="28"/>
  <c r="I174" i="28"/>
  <c r="I175" i="28"/>
  <c r="I176" i="28"/>
  <c r="I177" i="28"/>
  <c r="I178" i="28"/>
  <c r="I179" i="28"/>
  <c r="I180" i="28"/>
  <c r="I181" i="28"/>
  <c r="I182" i="28"/>
  <c r="I183" i="28"/>
  <c r="I184" i="28"/>
  <c r="I185" i="28"/>
  <c r="I186" i="28"/>
  <c r="I187" i="28"/>
  <c r="I188" i="28"/>
  <c r="I169" i="28"/>
  <c r="I140" i="28"/>
  <c r="I141" i="28"/>
  <c r="I142" i="28"/>
  <c r="I143" i="28"/>
  <c r="I144" i="28"/>
  <c r="I145" i="28"/>
  <c r="I146" i="28"/>
  <c r="I147" i="28"/>
  <c r="I148" i="28"/>
  <c r="I149" i="28"/>
  <c r="I150" i="28"/>
  <c r="I151" i="28"/>
  <c r="I152" i="28"/>
  <c r="I153" i="28"/>
  <c r="I154" i="28"/>
  <c r="I155" i="28"/>
  <c r="I156" i="28"/>
  <c r="I157" i="28"/>
  <c r="I158" i="28"/>
  <c r="I159" i="28"/>
  <c r="I160" i="28"/>
  <c r="I161" i="28"/>
  <c r="I162" i="28"/>
  <c r="I163" i="28"/>
  <c r="I164" i="28"/>
  <c r="I165" i="28"/>
  <c r="I166" i="28"/>
  <c r="I167" i="28"/>
  <c r="I168" i="28"/>
  <c r="I139" i="28"/>
  <c r="I115" i="28"/>
  <c r="I116" i="28"/>
  <c r="I117" i="28"/>
  <c r="I118" i="28"/>
  <c r="I119" i="28"/>
  <c r="I120" i="28"/>
  <c r="I121" i="28"/>
  <c r="I122" i="28"/>
  <c r="I123" i="28"/>
  <c r="I124" i="28"/>
  <c r="I125" i="28"/>
  <c r="I126" i="28"/>
  <c r="I127" i="28"/>
  <c r="I128" i="28"/>
  <c r="I129" i="28"/>
  <c r="I130" i="28"/>
  <c r="I131" i="28"/>
  <c r="I132" i="28"/>
  <c r="I133" i="28"/>
  <c r="I134" i="28"/>
  <c r="I135" i="28"/>
  <c r="I136" i="28"/>
  <c r="I137" i="28"/>
  <c r="I138" i="28"/>
  <c r="I114" i="28"/>
  <c r="I92" i="28"/>
  <c r="I93" i="28"/>
  <c r="I94" i="28"/>
  <c r="I95" i="28"/>
  <c r="I96" i="28"/>
  <c r="I97" i="28"/>
  <c r="I98" i="28"/>
  <c r="I99" i="28"/>
  <c r="I100" i="28"/>
  <c r="I101" i="28"/>
  <c r="I102" i="28"/>
  <c r="I103" i="28"/>
  <c r="I104" i="28"/>
  <c r="I105" i="28"/>
  <c r="I106" i="28"/>
  <c r="I107" i="28"/>
  <c r="I108" i="28"/>
  <c r="I109" i="28"/>
  <c r="I110" i="28"/>
  <c r="I111" i="28"/>
  <c r="I112" i="28"/>
  <c r="I113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3" i="28"/>
  <c r="I74" i="28"/>
  <c r="I75" i="28"/>
  <c r="I76" i="28"/>
  <c r="I77" i="28"/>
  <c r="I78" i="28"/>
  <c r="I79" i="28"/>
  <c r="I80" i="28"/>
  <c r="I81" i="28"/>
  <c r="I82" i="28"/>
  <c r="I83" i="28"/>
  <c r="I84" i="28"/>
  <c r="I85" i="28"/>
  <c r="I86" i="28"/>
  <c r="I87" i="28"/>
  <c r="I88" i="28"/>
  <c r="I89" i="28"/>
  <c r="I90" i="28"/>
  <c r="I91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56" i="28"/>
  <c r="I57" i="28"/>
  <c r="I58" i="28"/>
  <c r="I59" i="28"/>
  <c r="I60" i="28"/>
  <c r="I3" i="28"/>
  <c r="I4" i="28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2" i="28"/>
  <c r="Q2" i="3"/>
  <c r="Q1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L18" i="3"/>
  <c r="L19" i="3"/>
  <c r="K3" i="27"/>
  <c r="K4" i="27"/>
  <c r="K5" i="27"/>
  <c r="K6" i="27"/>
  <c r="K7" i="27"/>
  <c r="K8" i="27"/>
  <c r="K9" i="27"/>
  <c r="K10" i="27"/>
  <c r="K11" i="27"/>
  <c r="K12" i="27"/>
  <c r="K13" i="27"/>
  <c r="K14" i="27"/>
  <c r="K15" i="27"/>
  <c r="K16" i="27"/>
  <c r="K17" i="27"/>
  <c r="K18" i="27"/>
  <c r="K19" i="27"/>
  <c r="K20" i="27"/>
  <c r="K21" i="27"/>
  <c r="K22" i="27"/>
  <c r="K23" i="27"/>
  <c r="K24" i="27"/>
  <c r="K25" i="27"/>
  <c r="K26" i="27"/>
  <c r="K27" i="27"/>
  <c r="K28" i="27"/>
  <c r="K29" i="27"/>
  <c r="K30" i="27"/>
  <c r="K31" i="27"/>
  <c r="K32" i="27"/>
  <c r="K33" i="27"/>
  <c r="K34" i="27"/>
  <c r="K35" i="27"/>
  <c r="K36" i="27"/>
  <c r="K37" i="27"/>
  <c r="K38" i="27"/>
  <c r="K39" i="27"/>
  <c r="K40" i="27"/>
  <c r="K41" i="27"/>
  <c r="K42" i="27"/>
  <c r="K43" i="27"/>
  <c r="K44" i="27"/>
  <c r="K45" i="27"/>
  <c r="K46" i="27"/>
  <c r="K47" i="27"/>
  <c r="K48" i="27"/>
  <c r="K49" i="27"/>
  <c r="K50" i="27"/>
  <c r="K51" i="27"/>
  <c r="K52" i="27"/>
  <c r="K53" i="27"/>
  <c r="K54" i="27"/>
  <c r="K55" i="27"/>
  <c r="K56" i="27"/>
  <c r="K57" i="27"/>
  <c r="K58" i="27"/>
  <c r="K59" i="27"/>
  <c r="K60" i="27"/>
  <c r="K61" i="27"/>
  <c r="K62" i="27"/>
  <c r="K63" i="27"/>
  <c r="K64" i="27"/>
  <c r="K65" i="27"/>
  <c r="K66" i="27"/>
  <c r="K67" i="27"/>
  <c r="K68" i="27"/>
  <c r="K69" i="27"/>
  <c r="K70" i="27"/>
  <c r="K71" i="27"/>
  <c r="K72" i="27"/>
  <c r="K73" i="27"/>
  <c r="K74" i="27"/>
  <c r="K75" i="27"/>
  <c r="K76" i="27"/>
  <c r="K77" i="27"/>
  <c r="K78" i="27"/>
  <c r="K79" i="27"/>
  <c r="K80" i="27"/>
  <c r="K81" i="27"/>
  <c r="K82" i="27"/>
  <c r="K83" i="27"/>
  <c r="K84" i="27"/>
  <c r="K85" i="27"/>
  <c r="K86" i="27"/>
  <c r="K87" i="27"/>
  <c r="K88" i="27"/>
  <c r="K89" i="27"/>
  <c r="K90" i="27"/>
  <c r="K91" i="27"/>
  <c r="K92" i="27"/>
  <c r="K93" i="27"/>
  <c r="K94" i="27"/>
  <c r="K95" i="27"/>
  <c r="K96" i="27"/>
  <c r="K97" i="27"/>
  <c r="K98" i="27"/>
  <c r="K99" i="27"/>
  <c r="K100" i="27"/>
  <c r="K101" i="27"/>
  <c r="K102" i="27"/>
  <c r="K103" i="27"/>
  <c r="K104" i="27"/>
  <c r="K105" i="27"/>
  <c r="K106" i="27"/>
  <c r="K107" i="27"/>
  <c r="K108" i="27"/>
  <c r="K109" i="27"/>
  <c r="K110" i="27"/>
  <c r="K111" i="27"/>
  <c r="K112" i="27"/>
  <c r="K113" i="27"/>
  <c r="K114" i="27"/>
  <c r="K115" i="27"/>
  <c r="K116" i="27"/>
  <c r="K117" i="27"/>
  <c r="K118" i="27"/>
  <c r="K119" i="27"/>
  <c r="K120" i="27"/>
  <c r="K121" i="27"/>
  <c r="K122" i="27"/>
  <c r="K123" i="27"/>
  <c r="K124" i="27"/>
  <c r="K125" i="27"/>
  <c r="K126" i="27"/>
  <c r="K127" i="27"/>
  <c r="K128" i="27"/>
  <c r="K129" i="27"/>
  <c r="K130" i="27"/>
  <c r="K131" i="27"/>
  <c r="K132" i="27"/>
  <c r="K133" i="27"/>
  <c r="K134" i="27"/>
  <c r="K135" i="27"/>
  <c r="K136" i="27"/>
  <c r="K137" i="27"/>
  <c r="K138" i="27"/>
  <c r="K139" i="27"/>
  <c r="K140" i="27"/>
  <c r="K141" i="27"/>
  <c r="K142" i="27"/>
  <c r="K143" i="27"/>
  <c r="K144" i="27"/>
  <c r="K145" i="27"/>
  <c r="K146" i="27"/>
  <c r="K147" i="27"/>
  <c r="K148" i="27"/>
  <c r="K149" i="27"/>
  <c r="K150" i="27"/>
  <c r="K151" i="27"/>
  <c r="K152" i="27"/>
  <c r="K153" i="27"/>
  <c r="K154" i="27"/>
  <c r="K155" i="27"/>
  <c r="K156" i="27"/>
  <c r="K157" i="27"/>
  <c r="K158" i="27"/>
  <c r="K159" i="27"/>
  <c r="K160" i="27"/>
  <c r="K161" i="27"/>
  <c r="K162" i="27"/>
  <c r="K163" i="27"/>
  <c r="K164" i="27"/>
  <c r="K165" i="27"/>
  <c r="K166" i="27"/>
  <c r="K167" i="27"/>
  <c r="K168" i="27"/>
  <c r="K169" i="27"/>
  <c r="K170" i="27"/>
  <c r="K171" i="27"/>
  <c r="K172" i="27"/>
  <c r="K173" i="27"/>
  <c r="K174" i="27"/>
  <c r="K175" i="27"/>
  <c r="K176" i="27"/>
  <c r="K177" i="27"/>
  <c r="K178" i="27"/>
  <c r="K179" i="27"/>
  <c r="K180" i="27"/>
  <c r="K181" i="27"/>
  <c r="K182" i="27"/>
  <c r="K183" i="27"/>
  <c r="K184" i="27"/>
  <c r="K185" i="27"/>
  <c r="K186" i="27"/>
  <c r="K187" i="27"/>
  <c r="K188" i="27"/>
  <c r="K189" i="27"/>
  <c r="K190" i="27"/>
  <c r="K191" i="27"/>
  <c r="K192" i="27"/>
  <c r="K193" i="27"/>
  <c r="K194" i="27"/>
  <c r="K195" i="27"/>
  <c r="K196" i="27"/>
  <c r="K197" i="27"/>
  <c r="K198" i="27"/>
  <c r="K199" i="27"/>
  <c r="K200" i="27"/>
  <c r="K201" i="27"/>
  <c r="K202" i="27"/>
  <c r="K203" i="27"/>
  <c r="K204" i="27"/>
  <c r="K205" i="27"/>
  <c r="K206" i="27"/>
  <c r="K207" i="27"/>
  <c r="K208" i="27"/>
  <c r="K209" i="27"/>
  <c r="K210" i="27"/>
  <c r="K211" i="27"/>
  <c r="K212" i="27"/>
  <c r="K213" i="27"/>
  <c r="K214" i="27"/>
  <c r="K215" i="27"/>
  <c r="K216" i="27"/>
  <c r="K217" i="27"/>
  <c r="K218" i="27"/>
  <c r="K219" i="27"/>
  <c r="K220" i="27"/>
  <c r="K221" i="27"/>
  <c r="K222" i="27"/>
  <c r="K223" i="27"/>
  <c r="K224" i="27"/>
  <c r="K225" i="27"/>
  <c r="K226" i="27"/>
  <c r="K227" i="27"/>
  <c r="K228" i="27"/>
  <c r="K229" i="27"/>
  <c r="K230" i="27"/>
  <c r="K231" i="27"/>
  <c r="K232" i="27"/>
  <c r="K233" i="27"/>
  <c r="K234" i="27"/>
  <c r="K235" i="27"/>
  <c r="K236" i="27"/>
  <c r="K237" i="27"/>
  <c r="K238" i="27"/>
  <c r="K239" i="27"/>
  <c r="K240" i="27"/>
  <c r="K241" i="27"/>
  <c r="K242" i="27"/>
  <c r="K243" i="27"/>
  <c r="K244" i="27"/>
  <c r="K245" i="27"/>
  <c r="K246" i="27"/>
  <c r="K247" i="27"/>
  <c r="K248" i="27"/>
  <c r="K249" i="27"/>
  <c r="K250" i="27"/>
  <c r="K251" i="27"/>
  <c r="K252" i="27"/>
  <c r="K253" i="27"/>
  <c r="K254" i="27"/>
  <c r="K255" i="27"/>
  <c r="K256" i="27"/>
  <c r="K257" i="27"/>
  <c r="K258" i="27"/>
  <c r="K259" i="27"/>
  <c r="K260" i="27"/>
  <c r="K261" i="27"/>
  <c r="K262" i="27"/>
  <c r="K263" i="27"/>
  <c r="K264" i="27"/>
  <c r="K265" i="27"/>
  <c r="K266" i="27"/>
  <c r="K267" i="27"/>
  <c r="K268" i="27"/>
  <c r="K269" i="27"/>
  <c r="K270" i="27"/>
  <c r="K271" i="27"/>
  <c r="K272" i="27"/>
  <c r="K273" i="27"/>
  <c r="K274" i="27"/>
  <c r="K275" i="27"/>
  <c r="K276" i="27"/>
  <c r="K277" i="27"/>
  <c r="K278" i="27"/>
  <c r="K279" i="27"/>
  <c r="K280" i="27"/>
  <c r="K281" i="27"/>
  <c r="K282" i="27"/>
  <c r="K283" i="27"/>
  <c r="K284" i="27"/>
  <c r="K285" i="27"/>
  <c r="K286" i="27"/>
  <c r="K287" i="27"/>
  <c r="K288" i="27"/>
  <c r="K289" i="27"/>
  <c r="K290" i="27"/>
  <c r="K291" i="27"/>
  <c r="K292" i="27"/>
  <c r="K293" i="27"/>
  <c r="K294" i="27"/>
  <c r="K295" i="27"/>
  <c r="K296" i="27"/>
  <c r="K297" i="27"/>
  <c r="K298" i="27"/>
  <c r="K299" i="27"/>
  <c r="K300" i="27"/>
  <c r="K301" i="27"/>
  <c r="K302" i="27"/>
  <c r="K303" i="27"/>
  <c r="K304" i="27"/>
  <c r="K305" i="27"/>
  <c r="K306" i="27"/>
  <c r="K307" i="27"/>
  <c r="K308" i="27"/>
  <c r="K309" i="27"/>
  <c r="K310" i="27"/>
  <c r="K311" i="27"/>
  <c r="K312" i="27"/>
  <c r="K313" i="27"/>
  <c r="K314" i="27"/>
  <c r="K315" i="27"/>
  <c r="K316" i="27"/>
  <c r="K317" i="27"/>
  <c r="K318" i="27"/>
  <c r="K319" i="27"/>
  <c r="K320" i="27"/>
  <c r="K321" i="27"/>
  <c r="K322" i="27"/>
  <c r="K323" i="27"/>
  <c r="K324" i="27"/>
  <c r="K325" i="27"/>
  <c r="K2" i="27"/>
  <c r="I328" i="31"/>
  <c r="I329" i="31"/>
  <c r="I330" i="31"/>
  <c r="I331" i="31"/>
  <c r="I332" i="31"/>
  <c r="I333" i="31"/>
  <c r="I334" i="31"/>
  <c r="I335" i="31"/>
  <c r="I336" i="31"/>
  <c r="I337" i="31"/>
  <c r="I338" i="31"/>
  <c r="I339" i="31"/>
  <c r="I340" i="31"/>
  <c r="I341" i="31"/>
  <c r="I342" i="31"/>
  <c r="I343" i="31"/>
  <c r="I344" i="31"/>
  <c r="I345" i="31"/>
  <c r="I346" i="31"/>
  <c r="I347" i="31"/>
  <c r="I348" i="31"/>
  <c r="I349" i="31"/>
  <c r="I350" i="31"/>
  <c r="I351" i="31"/>
  <c r="I352" i="31"/>
  <c r="I353" i="31"/>
  <c r="I354" i="31"/>
  <c r="I355" i="31"/>
  <c r="I356" i="31"/>
  <c r="I357" i="31"/>
  <c r="I327" i="31"/>
  <c r="I298" i="31"/>
  <c r="I299" i="31"/>
  <c r="I300" i="31"/>
  <c r="I301" i="31"/>
  <c r="I302" i="31"/>
  <c r="I303" i="31"/>
  <c r="I304" i="31"/>
  <c r="I305" i="31"/>
  <c r="I306" i="31"/>
  <c r="I307" i="31"/>
  <c r="I308" i="31"/>
  <c r="I309" i="31"/>
  <c r="I310" i="31"/>
  <c r="I311" i="31"/>
  <c r="I312" i="31"/>
  <c r="I313" i="31"/>
  <c r="I314" i="31"/>
  <c r="I315" i="31"/>
  <c r="I316" i="31"/>
  <c r="I317" i="31"/>
  <c r="I318" i="31"/>
  <c r="I319" i="31"/>
  <c r="I320" i="31"/>
  <c r="I321" i="31"/>
  <c r="I322" i="31"/>
  <c r="I323" i="31"/>
  <c r="I324" i="31"/>
  <c r="I325" i="31"/>
  <c r="I326" i="31"/>
  <c r="I297" i="31"/>
  <c r="I266" i="31"/>
  <c r="I267" i="31"/>
  <c r="I268" i="31"/>
  <c r="I269" i="31"/>
  <c r="I270" i="31"/>
  <c r="I271" i="31"/>
  <c r="I272" i="31"/>
  <c r="I273" i="31"/>
  <c r="I274" i="31"/>
  <c r="I275" i="31"/>
  <c r="I276" i="31"/>
  <c r="I277" i="31"/>
  <c r="I278" i="31"/>
  <c r="I279" i="31"/>
  <c r="I280" i="31"/>
  <c r="I281" i="31"/>
  <c r="I282" i="31"/>
  <c r="I283" i="31"/>
  <c r="I284" i="31"/>
  <c r="I285" i="31"/>
  <c r="I286" i="31"/>
  <c r="I287" i="31"/>
  <c r="I288" i="31"/>
  <c r="I289" i="31"/>
  <c r="I290" i="31"/>
  <c r="I291" i="31"/>
  <c r="I292" i="31"/>
  <c r="I293" i="31"/>
  <c r="I294" i="31"/>
  <c r="I295" i="31"/>
  <c r="I296" i="31"/>
  <c r="I238" i="31"/>
  <c r="I239" i="31"/>
  <c r="I240" i="31"/>
  <c r="I241" i="31"/>
  <c r="I242" i="31"/>
  <c r="I243" i="31"/>
  <c r="I244" i="31"/>
  <c r="I245" i="31"/>
  <c r="I246" i="31"/>
  <c r="I247" i="31"/>
  <c r="I248" i="31"/>
  <c r="I249" i="31"/>
  <c r="I250" i="31"/>
  <c r="I251" i="31"/>
  <c r="I252" i="31"/>
  <c r="I253" i="31"/>
  <c r="I254" i="31"/>
  <c r="I255" i="31"/>
  <c r="I256" i="31"/>
  <c r="I257" i="31"/>
  <c r="I258" i="31"/>
  <c r="I259" i="31"/>
  <c r="I260" i="31"/>
  <c r="I261" i="31"/>
  <c r="I262" i="31"/>
  <c r="I263" i="31"/>
  <c r="I264" i="31"/>
  <c r="I265" i="31"/>
  <c r="I237" i="31"/>
  <c r="I236" i="31"/>
  <c r="I206" i="31"/>
  <c r="I207" i="31"/>
  <c r="I208" i="31"/>
  <c r="I209" i="31"/>
  <c r="I210" i="31"/>
  <c r="I211" i="31"/>
  <c r="I212" i="31"/>
  <c r="I213" i="31"/>
  <c r="I214" i="31"/>
  <c r="I215" i="31"/>
  <c r="I216" i="31"/>
  <c r="I217" i="31"/>
  <c r="I218" i="31"/>
  <c r="I219" i="31"/>
  <c r="I220" i="31"/>
  <c r="I221" i="31"/>
  <c r="I222" i="31"/>
  <c r="I223" i="31"/>
  <c r="I224" i="31"/>
  <c r="I225" i="31"/>
  <c r="I226" i="31"/>
  <c r="I227" i="31"/>
  <c r="I228" i="31"/>
  <c r="I229" i="31"/>
  <c r="I230" i="31"/>
  <c r="I231" i="31"/>
  <c r="I232" i="31"/>
  <c r="I233" i="31"/>
  <c r="I234" i="31"/>
  <c r="I235" i="31"/>
  <c r="I205" i="31"/>
  <c r="I176" i="31"/>
  <c r="I177" i="31"/>
  <c r="I178" i="31"/>
  <c r="I179" i="31"/>
  <c r="I180" i="31"/>
  <c r="I181" i="31"/>
  <c r="I182" i="31"/>
  <c r="I183" i="31"/>
  <c r="I184" i="31"/>
  <c r="I185" i="31"/>
  <c r="I186" i="31"/>
  <c r="I187" i="31"/>
  <c r="I188" i="31"/>
  <c r="I189" i="31"/>
  <c r="I190" i="31"/>
  <c r="I191" i="31"/>
  <c r="I192" i="31"/>
  <c r="I193" i="31"/>
  <c r="I194" i="31"/>
  <c r="I195" i="31"/>
  <c r="I196" i="31"/>
  <c r="I197" i="31"/>
  <c r="I198" i="31"/>
  <c r="I199" i="31"/>
  <c r="I200" i="31"/>
  <c r="I201" i="31"/>
  <c r="I202" i="31"/>
  <c r="I203" i="31"/>
  <c r="I204" i="31"/>
  <c r="I175" i="31"/>
  <c r="I174" i="31"/>
  <c r="I144" i="31"/>
  <c r="I145" i="31"/>
  <c r="I146" i="31"/>
  <c r="I147" i="31"/>
  <c r="I148" i="31"/>
  <c r="I149" i="31"/>
  <c r="I150" i="31"/>
  <c r="I151" i="31"/>
  <c r="I152" i="31"/>
  <c r="I153" i="31"/>
  <c r="I154" i="31"/>
  <c r="I155" i="31"/>
  <c r="I156" i="31"/>
  <c r="I157" i="31"/>
  <c r="I158" i="31"/>
  <c r="I159" i="31"/>
  <c r="I160" i="31"/>
  <c r="I161" i="31"/>
  <c r="I162" i="31"/>
  <c r="I163" i="31"/>
  <c r="I164" i="31"/>
  <c r="I165" i="31"/>
  <c r="I166" i="31"/>
  <c r="I167" i="31"/>
  <c r="I168" i="31"/>
  <c r="I169" i="31"/>
  <c r="I170" i="31"/>
  <c r="I171" i="31"/>
  <c r="I172" i="31"/>
  <c r="I173" i="31"/>
  <c r="I113" i="31"/>
  <c r="I114" i="31"/>
  <c r="I115" i="31"/>
  <c r="I116" i="31"/>
  <c r="I117" i="31"/>
  <c r="I118" i="31"/>
  <c r="I119" i="31"/>
  <c r="I120" i="31"/>
  <c r="I121" i="31"/>
  <c r="I122" i="31"/>
  <c r="I123" i="31"/>
  <c r="I124" i="31"/>
  <c r="I125" i="31"/>
  <c r="I126" i="31"/>
  <c r="I127" i="31"/>
  <c r="I128" i="31"/>
  <c r="I129" i="31"/>
  <c r="I130" i="31"/>
  <c r="I131" i="31"/>
  <c r="I132" i="31"/>
  <c r="I133" i="31"/>
  <c r="I134" i="31"/>
  <c r="I135" i="31"/>
  <c r="I136" i="31"/>
  <c r="I137" i="31"/>
  <c r="I138" i="31"/>
  <c r="I139" i="31"/>
  <c r="I140" i="31"/>
  <c r="I141" i="31"/>
  <c r="I142" i="31"/>
  <c r="I143" i="31"/>
  <c r="I84" i="31"/>
  <c r="I85" i="31"/>
  <c r="I86" i="31"/>
  <c r="I87" i="31"/>
  <c r="I88" i="31"/>
  <c r="I89" i="31"/>
  <c r="I90" i="31"/>
  <c r="I91" i="31"/>
  <c r="I92" i="31"/>
  <c r="I93" i="31"/>
  <c r="I94" i="31"/>
  <c r="I95" i="31"/>
  <c r="I96" i="31"/>
  <c r="I97" i="31"/>
  <c r="I98" i="31"/>
  <c r="I99" i="31"/>
  <c r="I100" i="31"/>
  <c r="I101" i="31"/>
  <c r="I102" i="31"/>
  <c r="I103" i="31"/>
  <c r="I104" i="31"/>
  <c r="I105" i="31"/>
  <c r="I106" i="31"/>
  <c r="I107" i="31"/>
  <c r="I108" i="31"/>
  <c r="I109" i="31"/>
  <c r="I110" i="31"/>
  <c r="I111" i="31"/>
  <c r="I112" i="31"/>
  <c r="I83" i="31"/>
  <c r="I34" i="31"/>
  <c r="I35" i="31"/>
  <c r="I36" i="31"/>
  <c r="I37" i="31"/>
  <c r="I38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I59" i="31"/>
  <c r="I60" i="31"/>
  <c r="I61" i="31"/>
  <c r="I62" i="31"/>
  <c r="I63" i="31"/>
  <c r="I64" i="31"/>
  <c r="I65" i="31"/>
  <c r="I66" i="31"/>
  <c r="I67" i="31"/>
  <c r="I68" i="31"/>
  <c r="I69" i="31"/>
  <c r="I70" i="31"/>
  <c r="I71" i="31"/>
  <c r="I72" i="31"/>
  <c r="I73" i="31"/>
  <c r="I74" i="31"/>
  <c r="I75" i="31"/>
  <c r="I76" i="31"/>
  <c r="I77" i="31"/>
  <c r="I78" i="31"/>
  <c r="I79" i="31"/>
  <c r="I80" i="31"/>
  <c r="I81" i="31"/>
  <c r="I82" i="31"/>
  <c r="I33" i="31"/>
  <c r="I4" i="31"/>
  <c r="I5" i="31"/>
  <c r="I6" i="31"/>
  <c r="I7" i="31"/>
  <c r="I8" i="31"/>
  <c r="I9" i="31"/>
  <c r="I10" i="31"/>
  <c r="I11" i="31"/>
  <c r="I12" i="31"/>
  <c r="I13" i="31"/>
  <c r="I14" i="31"/>
  <c r="I15" i="31"/>
  <c r="I16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" i="31"/>
  <c r="I2" i="31"/>
  <c r="I297" i="27"/>
  <c r="I298" i="27"/>
  <c r="I299" i="27"/>
  <c r="I300" i="27"/>
  <c r="I301" i="27"/>
  <c r="I302" i="27"/>
  <c r="I303" i="27"/>
  <c r="I304" i="27"/>
  <c r="I305" i="27"/>
  <c r="I306" i="27"/>
  <c r="I307" i="27"/>
  <c r="I308" i="27"/>
  <c r="I309" i="27"/>
  <c r="I310" i="27"/>
  <c r="I311" i="27"/>
  <c r="I312" i="27"/>
  <c r="I313" i="27"/>
  <c r="I314" i="27"/>
  <c r="I315" i="27"/>
  <c r="I316" i="27"/>
  <c r="I317" i="27"/>
  <c r="I318" i="27"/>
  <c r="I319" i="27"/>
  <c r="I320" i="27"/>
  <c r="I321" i="27"/>
  <c r="I322" i="27"/>
  <c r="I323" i="27"/>
  <c r="I324" i="27"/>
  <c r="I325" i="27"/>
  <c r="I296" i="27"/>
  <c r="I267" i="27"/>
  <c r="I268" i="27"/>
  <c r="I269" i="27"/>
  <c r="I270" i="27"/>
  <c r="I271" i="27"/>
  <c r="I272" i="27"/>
  <c r="I273" i="27"/>
  <c r="I274" i="27"/>
  <c r="I275" i="27"/>
  <c r="I276" i="27"/>
  <c r="I277" i="27"/>
  <c r="I278" i="27"/>
  <c r="I279" i="27"/>
  <c r="I280" i="27"/>
  <c r="I281" i="27"/>
  <c r="I282" i="27"/>
  <c r="I283" i="27"/>
  <c r="I284" i="27"/>
  <c r="I285" i="27"/>
  <c r="I286" i="27"/>
  <c r="I287" i="27"/>
  <c r="I288" i="27"/>
  <c r="I289" i="27"/>
  <c r="I290" i="27"/>
  <c r="I291" i="27"/>
  <c r="I292" i="27"/>
  <c r="I293" i="27"/>
  <c r="I294" i="27"/>
  <c r="I295" i="27"/>
  <c r="I266" i="27"/>
  <c r="I235" i="27"/>
  <c r="I236" i="27"/>
  <c r="I237" i="27"/>
  <c r="I238" i="27"/>
  <c r="I239" i="27"/>
  <c r="I240" i="27"/>
  <c r="I241" i="27"/>
  <c r="I242" i="27"/>
  <c r="I243" i="27"/>
  <c r="I244" i="27"/>
  <c r="I245" i="27"/>
  <c r="I246" i="27"/>
  <c r="I247" i="27"/>
  <c r="I248" i="27"/>
  <c r="I249" i="27"/>
  <c r="I250" i="27"/>
  <c r="I251" i="27"/>
  <c r="I252" i="27"/>
  <c r="I253" i="27"/>
  <c r="I254" i="27"/>
  <c r="I255" i="27"/>
  <c r="I256" i="27"/>
  <c r="I257" i="27"/>
  <c r="I258" i="27"/>
  <c r="I259" i="27"/>
  <c r="I260" i="27"/>
  <c r="I261" i="27"/>
  <c r="I262" i="27"/>
  <c r="I263" i="27"/>
  <c r="I264" i="27"/>
  <c r="I265" i="27"/>
  <c r="I214" i="27"/>
  <c r="I215" i="27"/>
  <c r="I216" i="27"/>
  <c r="I217" i="27"/>
  <c r="I218" i="27"/>
  <c r="I219" i="27"/>
  <c r="I220" i="27"/>
  <c r="I221" i="27"/>
  <c r="I222" i="27"/>
  <c r="I223" i="27"/>
  <c r="I224" i="27"/>
  <c r="I225" i="27"/>
  <c r="I226" i="27"/>
  <c r="I227" i="27"/>
  <c r="I228" i="27"/>
  <c r="I229" i="27"/>
  <c r="I230" i="27"/>
  <c r="I231" i="27"/>
  <c r="I232" i="27"/>
  <c r="I233" i="27"/>
  <c r="I234" i="27"/>
  <c r="I213" i="27"/>
  <c r="I212" i="27"/>
  <c r="I183" i="27"/>
  <c r="I184" i="27"/>
  <c r="I185" i="27"/>
  <c r="I186" i="27"/>
  <c r="I187" i="27"/>
  <c r="I188" i="27"/>
  <c r="I189" i="27"/>
  <c r="I190" i="27"/>
  <c r="I191" i="27"/>
  <c r="I192" i="27"/>
  <c r="I193" i="27"/>
  <c r="I194" i="27"/>
  <c r="I195" i="27"/>
  <c r="I196" i="27"/>
  <c r="I197" i="27"/>
  <c r="I198" i="27"/>
  <c r="I199" i="27"/>
  <c r="I200" i="27"/>
  <c r="I201" i="27"/>
  <c r="I202" i="27"/>
  <c r="I203" i="27"/>
  <c r="I204" i="27"/>
  <c r="I205" i="27"/>
  <c r="I206" i="27"/>
  <c r="I207" i="27"/>
  <c r="I208" i="27"/>
  <c r="I209" i="27"/>
  <c r="I210" i="27"/>
  <c r="I211" i="27"/>
  <c r="I182" i="27"/>
  <c r="I165" i="27"/>
  <c r="I166" i="27"/>
  <c r="I167" i="27"/>
  <c r="I168" i="27"/>
  <c r="I169" i="27"/>
  <c r="I170" i="27"/>
  <c r="I171" i="27"/>
  <c r="I172" i="27"/>
  <c r="I173" i="27"/>
  <c r="I174" i="27"/>
  <c r="I175" i="27"/>
  <c r="I176" i="27"/>
  <c r="I177" i="27"/>
  <c r="I178" i="27"/>
  <c r="I179" i="27"/>
  <c r="I180" i="27"/>
  <c r="I181" i="27"/>
  <c r="I164" i="27"/>
  <c r="I134" i="27"/>
  <c r="I135" i="27"/>
  <c r="I136" i="27"/>
  <c r="I137" i="27"/>
  <c r="I138" i="27"/>
  <c r="I139" i="27"/>
  <c r="I140" i="27"/>
  <c r="I141" i="27"/>
  <c r="I142" i="27"/>
  <c r="I143" i="27"/>
  <c r="I144" i="27"/>
  <c r="I145" i="27"/>
  <c r="I146" i="27"/>
  <c r="I147" i="27"/>
  <c r="I148" i="27"/>
  <c r="I149" i="27"/>
  <c r="I150" i="27"/>
  <c r="I151" i="27"/>
  <c r="I152" i="27"/>
  <c r="I153" i="27"/>
  <c r="I154" i="27"/>
  <c r="I155" i="27"/>
  <c r="I156" i="27"/>
  <c r="I157" i="27"/>
  <c r="I158" i="27"/>
  <c r="I159" i="27"/>
  <c r="I160" i="27"/>
  <c r="I161" i="27"/>
  <c r="I162" i="27"/>
  <c r="I163" i="27"/>
  <c r="I104" i="27"/>
  <c r="I105" i="27"/>
  <c r="I106" i="27"/>
  <c r="I107" i="27"/>
  <c r="I108" i="27"/>
  <c r="I109" i="27"/>
  <c r="I110" i="27"/>
  <c r="I111" i="27"/>
  <c r="I112" i="27"/>
  <c r="I113" i="27"/>
  <c r="I114" i="27"/>
  <c r="I115" i="27"/>
  <c r="I116" i="27"/>
  <c r="I117" i="27"/>
  <c r="I118" i="27"/>
  <c r="I119" i="27"/>
  <c r="I120" i="27"/>
  <c r="I121" i="27"/>
  <c r="I122" i="27"/>
  <c r="I123" i="27"/>
  <c r="I124" i="27"/>
  <c r="I125" i="27"/>
  <c r="I126" i="27"/>
  <c r="I127" i="27"/>
  <c r="I128" i="27"/>
  <c r="I129" i="27"/>
  <c r="I130" i="27"/>
  <c r="I131" i="27"/>
  <c r="I132" i="27"/>
  <c r="I133" i="27"/>
  <c r="I103" i="27"/>
  <c r="I73" i="27"/>
  <c r="I74" i="27"/>
  <c r="I75" i="27"/>
  <c r="I76" i="27"/>
  <c r="I77" i="27"/>
  <c r="I78" i="27"/>
  <c r="I79" i="27"/>
  <c r="I80" i="27"/>
  <c r="I81" i="27"/>
  <c r="I82" i="27"/>
  <c r="I83" i="27"/>
  <c r="I84" i="27"/>
  <c r="I85" i="27"/>
  <c r="I86" i="27"/>
  <c r="I87" i="27"/>
  <c r="I88" i="27"/>
  <c r="I89" i="27"/>
  <c r="I90" i="27"/>
  <c r="I91" i="27"/>
  <c r="I92" i="27"/>
  <c r="I93" i="27"/>
  <c r="I94" i="27"/>
  <c r="I95" i="27"/>
  <c r="I96" i="27"/>
  <c r="I97" i="27"/>
  <c r="I98" i="27"/>
  <c r="I99" i="27"/>
  <c r="I100" i="27"/>
  <c r="I101" i="27"/>
  <c r="I102" i="27"/>
  <c r="I43" i="27"/>
  <c r="I44" i="27"/>
  <c r="I45" i="27"/>
  <c r="I46" i="27"/>
  <c r="I47" i="27"/>
  <c r="I48" i="27"/>
  <c r="I49" i="27"/>
  <c r="I50" i="27"/>
  <c r="I51" i="27"/>
  <c r="I52" i="27"/>
  <c r="I53" i="27"/>
  <c r="I54" i="27"/>
  <c r="I55" i="27"/>
  <c r="I56" i="27"/>
  <c r="I57" i="27"/>
  <c r="I58" i="27"/>
  <c r="I59" i="27"/>
  <c r="I60" i="27"/>
  <c r="I61" i="27"/>
  <c r="I62" i="27"/>
  <c r="I63" i="27"/>
  <c r="I64" i="27"/>
  <c r="I65" i="27"/>
  <c r="I66" i="27"/>
  <c r="I67" i="27"/>
  <c r="I68" i="27"/>
  <c r="I69" i="27"/>
  <c r="I70" i="27"/>
  <c r="I71" i="27"/>
  <c r="I72" i="27"/>
  <c r="I42" i="27"/>
  <c r="I23" i="27"/>
  <c r="I24" i="27"/>
  <c r="I25" i="27"/>
  <c r="I26" i="27"/>
  <c r="I27" i="27"/>
  <c r="I28" i="27"/>
  <c r="I29" i="27"/>
  <c r="I30" i="27"/>
  <c r="I31" i="27"/>
  <c r="I32" i="27"/>
  <c r="I33" i="27"/>
  <c r="I34" i="27"/>
  <c r="I35" i="27"/>
  <c r="I36" i="27"/>
  <c r="I37" i="27"/>
  <c r="I38" i="27"/>
  <c r="I39" i="27"/>
  <c r="I40" i="27"/>
  <c r="I41" i="27"/>
  <c r="I22" i="27"/>
  <c r="I3" i="27"/>
  <c r="I4" i="27"/>
  <c r="I5" i="27"/>
  <c r="I6" i="27"/>
  <c r="I7" i="27"/>
  <c r="I8" i="27"/>
  <c r="I9" i="27"/>
  <c r="I10" i="27"/>
  <c r="I11" i="27"/>
  <c r="I12" i="27"/>
  <c r="I13" i="27"/>
  <c r="I14" i="27"/>
  <c r="I15" i="27"/>
  <c r="I16" i="27"/>
  <c r="I17" i="27"/>
  <c r="I18" i="27"/>
  <c r="I19" i="27"/>
  <c r="I20" i="27"/>
  <c r="I21" i="27"/>
  <c r="I2" i="27"/>
  <c r="I336" i="29"/>
  <c r="I337" i="29"/>
  <c r="I338" i="29"/>
  <c r="I339" i="29"/>
  <c r="I340" i="29"/>
  <c r="I341" i="29"/>
  <c r="I342" i="29"/>
  <c r="I343" i="29"/>
  <c r="I344" i="29"/>
  <c r="I345" i="29"/>
  <c r="I346" i="29"/>
  <c r="I347" i="29"/>
  <c r="I348" i="29"/>
  <c r="I349" i="29"/>
  <c r="I350" i="29"/>
  <c r="I351" i="29"/>
  <c r="I352" i="29"/>
  <c r="I353" i="29"/>
  <c r="I354" i="29"/>
  <c r="I355" i="29"/>
  <c r="I356" i="29"/>
  <c r="I357" i="29"/>
  <c r="I358" i="29"/>
  <c r="I359" i="29"/>
  <c r="I360" i="29"/>
  <c r="I361" i="29"/>
  <c r="I362" i="29"/>
  <c r="I363" i="29"/>
  <c r="I364" i="29"/>
  <c r="I365" i="29"/>
  <c r="I366" i="29"/>
  <c r="I306" i="29"/>
  <c r="I307" i="29"/>
  <c r="I308" i="29"/>
  <c r="I309" i="29"/>
  <c r="I310" i="29"/>
  <c r="I311" i="29"/>
  <c r="I312" i="29"/>
  <c r="I313" i="29"/>
  <c r="I314" i="29"/>
  <c r="I315" i="29"/>
  <c r="I316" i="29"/>
  <c r="I317" i="29"/>
  <c r="I318" i="29"/>
  <c r="I319" i="29"/>
  <c r="I320" i="29"/>
  <c r="I321" i="29"/>
  <c r="I322" i="29"/>
  <c r="I323" i="29"/>
  <c r="I324" i="29"/>
  <c r="I325" i="29"/>
  <c r="I326" i="29"/>
  <c r="I327" i="29"/>
  <c r="I328" i="29"/>
  <c r="I329" i="29"/>
  <c r="I330" i="29"/>
  <c r="I331" i="29"/>
  <c r="I332" i="29"/>
  <c r="I333" i="29"/>
  <c r="I334" i="29"/>
  <c r="I335" i="29"/>
  <c r="I276" i="29"/>
  <c r="I277" i="29"/>
  <c r="I278" i="29"/>
  <c r="I279" i="29"/>
  <c r="I280" i="29"/>
  <c r="I281" i="29"/>
  <c r="I282" i="29"/>
  <c r="I283" i="29"/>
  <c r="I284" i="29"/>
  <c r="I285" i="29"/>
  <c r="I286" i="29"/>
  <c r="I287" i="29"/>
  <c r="I288" i="29"/>
  <c r="I289" i="29"/>
  <c r="I290" i="29"/>
  <c r="I291" i="29"/>
  <c r="I292" i="29"/>
  <c r="I293" i="29"/>
  <c r="I294" i="29"/>
  <c r="I295" i="29"/>
  <c r="I296" i="29"/>
  <c r="I297" i="29"/>
  <c r="I298" i="29"/>
  <c r="I299" i="29"/>
  <c r="I300" i="29"/>
  <c r="I301" i="29"/>
  <c r="I302" i="29"/>
  <c r="I303" i="29"/>
  <c r="I304" i="29"/>
  <c r="I305" i="29"/>
  <c r="I275" i="29"/>
  <c r="I243" i="29"/>
  <c r="I244" i="29"/>
  <c r="I245" i="29"/>
  <c r="I246" i="29"/>
  <c r="I247" i="29"/>
  <c r="I248" i="29"/>
  <c r="I249" i="29"/>
  <c r="I250" i="29"/>
  <c r="I251" i="29"/>
  <c r="I252" i="29"/>
  <c r="I253" i="29"/>
  <c r="I254" i="29"/>
  <c r="I255" i="29"/>
  <c r="I256" i="29"/>
  <c r="I257" i="29"/>
  <c r="I258" i="29"/>
  <c r="I259" i="29"/>
  <c r="I260" i="29"/>
  <c r="I261" i="29"/>
  <c r="I262" i="29"/>
  <c r="I263" i="29"/>
  <c r="I264" i="29"/>
  <c r="I265" i="29"/>
  <c r="I266" i="29"/>
  <c r="I267" i="29"/>
  <c r="I268" i="29"/>
  <c r="I269" i="29"/>
  <c r="I270" i="29"/>
  <c r="I271" i="29"/>
  <c r="I272" i="29"/>
  <c r="I273" i="29"/>
  <c r="I274" i="29"/>
  <c r="I214" i="29"/>
  <c r="I215" i="29"/>
  <c r="I216" i="29"/>
  <c r="I217" i="29"/>
  <c r="I218" i="29"/>
  <c r="I219" i="29"/>
  <c r="I220" i="29"/>
  <c r="I221" i="29"/>
  <c r="I222" i="29"/>
  <c r="I223" i="29"/>
  <c r="I224" i="29"/>
  <c r="I225" i="29"/>
  <c r="I226" i="29"/>
  <c r="I227" i="29"/>
  <c r="I228" i="29"/>
  <c r="I229" i="29"/>
  <c r="I230" i="29"/>
  <c r="I231" i="29"/>
  <c r="I232" i="29"/>
  <c r="I233" i="29"/>
  <c r="I234" i="29"/>
  <c r="I235" i="29"/>
  <c r="I236" i="29"/>
  <c r="I237" i="29"/>
  <c r="I238" i="29"/>
  <c r="I239" i="29"/>
  <c r="I240" i="29"/>
  <c r="I241" i="29"/>
  <c r="I242" i="29"/>
  <c r="I184" i="29"/>
  <c r="I185" i="29"/>
  <c r="I186" i="29"/>
  <c r="I187" i="29"/>
  <c r="I188" i="29"/>
  <c r="I189" i="29"/>
  <c r="I190" i="29"/>
  <c r="I191" i="29"/>
  <c r="I192" i="29"/>
  <c r="I193" i="29"/>
  <c r="I194" i="29"/>
  <c r="I195" i="29"/>
  <c r="I196" i="29"/>
  <c r="I197" i="29"/>
  <c r="I198" i="29"/>
  <c r="I199" i="29"/>
  <c r="I200" i="29"/>
  <c r="I201" i="29"/>
  <c r="I202" i="29"/>
  <c r="I203" i="29"/>
  <c r="I204" i="29"/>
  <c r="I205" i="29"/>
  <c r="I206" i="29"/>
  <c r="I207" i="29"/>
  <c r="I208" i="29"/>
  <c r="I209" i="29"/>
  <c r="I210" i="29"/>
  <c r="I211" i="29"/>
  <c r="I212" i="29"/>
  <c r="I213" i="29"/>
  <c r="I183" i="29"/>
  <c r="I154" i="29"/>
  <c r="I155" i="29"/>
  <c r="I156" i="29"/>
  <c r="I157" i="29"/>
  <c r="I158" i="29"/>
  <c r="I159" i="29"/>
  <c r="I160" i="29"/>
  <c r="I161" i="29"/>
  <c r="I162" i="29"/>
  <c r="I163" i="29"/>
  <c r="I164" i="29"/>
  <c r="I165" i="29"/>
  <c r="I166" i="29"/>
  <c r="I167" i="29"/>
  <c r="I168" i="29"/>
  <c r="I169" i="29"/>
  <c r="I170" i="29"/>
  <c r="I171" i="29"/>
  <c r="I172" i="29"/>
  <c r="I173" i="29"/>
  <c r="I174" i="29"/>
  <c r="I175" i="29"/>
  <c r="I176" i="29"/>
  <c r="I177" i="29"/>
  <c r="I178" i="29"/>
  <c r="I179" i="29"/>
  <c r="I180" i="29"/>
  <c r="I181" i="29"/>
  <c r="I182" i="29"/>
  <c r="I153" i="29"/>
  <c r="I122" i="29"/>
  <c r="I123" i="29"/>
  <c r="I124" i="29"/>
  <c r="I125" i="29"/>
  <c r="I126" i="29"/>
  <c r="I127" i="29"/>
  <c r="I128" i="29"/>
  <c r="I129" i="29"/>
  <c r="I130" i="29"/>
  <c r="I131" i="29"/>
  <c r="I132" i="29"/>
  <c r="I133" i="29"/>
  <c r="I134" i="29"/>
  <c r="I135" i="29"/>
  <c r="I136" i="29"/>
  <c r="I137" i="29"/>
  <c r="I138" i="29"/>
  <c r="I139" i="29"/>
  <c r="I140" i="29"/>
  <c r="I141" i="29"/>
  <c r="I142" i="29"/>
  <c r="I143" i="29"/>
  <c r="I144" i="29"/>
  <c r="I145" i="29"/>
  <c r="I146" i="29"/>
  <c r="I147" i="29"/>
  <c r="I148" i="29"/>
  <c r="I149" i="29"/>
  <c r="I150" i="29"/>
  <c r="I151" i="29"/>
  <c r="I152" i="29"/>
  <c r="I93" i="29"/>
  <c r="I94" i="29"/>
  <c r="I95" i="29"/>
  <c r="I96" i="29"/>
  <c r="I97" i="29"/>
  <c r="I98" i="29"/>
  <c r="I99" i="29"/>
  <c r="I100" i="29"/>
  <c r="I101" i="29"/>
  <c r="I102" i="29"/>
  <c r="I103" i="29"/>
  <c r="I104" i="29"/>
  <c r="I105" i="29"/>
  <c r="I106" i="29"/>
  <c r="I107" i="29"/>
  <c r="I108" i="29"/>
  <c r="I109" i="29"/>
  <c r="I110" i="29"/>
  <c r="I111" i="29"/>
  <c r="I112" i="29"/>
  <c r="I113" i="29"/>
  <c r="I114" i="29"/>
  <c r="I115" i="29"/>
  <c r="I116" i="29"/>
  <c r="I117" i="29"/>
  <c r="I118" i="29"/>
  <c r="I119" i="29"/>
  <c r="I120" i="29"/>
  <c r="I121" i="29"/>
  <c r="I92" i="29"/>
  <c r="I62" i="29"/>
  <c r="I63" i="29"/>
  <c r="I64" i="29"/>
  <c r="I65" i="29"/>
  <c r="I66" i="29"/>
  <c r="I67" i="29"/>
  <c r="I68" i="29"/>
  <c r="I69" i="29"/>
  <c r="I70" i="29"/>
  <c r="I71" i="29"/>
  <c r="I72" i="29"/>
  <c r="I73" i="29"/>
  <c r="I74" i="29"/>
  <c r="I75" i="29"/>
  <c r="I76" i="29"/>
  <c r="I77" i="29"/>
  <c r="I78" i="29"/>
  <c r="I79" i="29"/>
  <c r="I80" i="29"/>
  <c r="I81" i="29"/>
  <c r="I82" i="29"/>
  <c r="I83" i="29"/>
  <c r="I84" i="29"/>
  <c r="I85" i="29"/>
  <c r="I86" i="29"/>
  <c r="I87" i="29"/>
  <c r="I88" i="29"/>
  <c r="I89" i="29"/>
  <c r="I90" i="29"/>
  <c r="I91" i="29"/>
  <c r="I61" i="29"/>
  <c r="I34" i="29"/>
  <c r="I35" i="29"/>
  <c r="I36" i="29"/>
  <c r="I37" i="29"/>
  <c r="I38" i="29"/>
  <c r="I39" i="29"/>
  <c r="I40" i="29"/>
  <c r="I41" i="29"/>
  <c r="I42" i="29"/>
  <c r="I43" i="29"/>
  <c r="I44" i="29"/>
  <c r="I45" i="29"/>
  <c r="I46" i="29"/>
  <c r="I47" i="29"/>
  <c r="I48" i="29"/>
  <c r="I49" i="29"/>
  <c r="I50" i="29"/>
  <c r="I51" i="29"/>
  <c r="I52" i="29"/>
  <c r="I53" i="29"/>
  <c r="I54" i="29"/>
  <c r="I55" i="29"/>
  <c r="I56" i="29"/>
  <c r="I57" i="29"/>
  <c r="I58" i="29"/>
  <c r="I59" i="29"/>
  <c r="I60" i="29"/>
  <c r="I33" i="29"/>
  <c r="I4" i="29"/>
  <c r="I5" i="29"/>
  <c r="I6" i="29"/>
  <c r="I7" i="29"/>
  <c r="I8" i="29"/>
  <c r="I9" i="29"/>
  <c r="I10" i="29"/>
  <c r="I11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25" i="29"/>
  <c r="I26" i="29"/>
  <c r="I27" i="29"/>
  <c r="I28" i="29"/>
  <c r="I29" i="29"/>
  <c r="I30" i="29"/>
  <c r="I31" i="29"/>
  <c r="I32" i="29"/>
  <c r="I3" i="29"/>
  <c r="I2" i="29"/>
  <c r="I305" i="30"/>
  <c r="I306" i="30"/>
  <c r="I307" i="30"/>
  <c r="I308" i="30"/>
  <c r="I309" i="30"/>
  <c r="I310" i="30"/>
  <c r="I311" i="30"/>
  <c r="I312" i="30"/>
  <c r="I313" i="30"/>
  <c r="I314" i="30"/>
  <c r="I315" i="30"/>
  <c r="I316" i="30"/>
  <c r="I317" i="30"/>
  <c r="I318" i="30"/>
  <c r="I319" i="30"/>
  <c r="I320" i="30"/>
  <c r="I321" i="30"/>
  <c r="I322" i="30"/>
  <c r="I323" i="30"/>
  <c r="I276" i="30"/>
  <c r="I277" i="30"/>
  <c r="I278" i="30"/>
  <c r="I279" i="30"/>
  <c r="I280" i="30"/>
  <c r="I281" i="30"/>
  <c r="I282" i="30"/>
  <c r="I283" i="30"/>
  <c r="I284" i="30"/>
  <c r="I285" i="30"/>
  <c r="I286" i="30"/>
  <c r="I287" i="30"/>
  <c r="I288" i="30"/>
  <c r="I289" i="30"/>
  <c r="I290" i="30"/>
  <c r="I291" i="30"/>
  <c r="I292" i="30"/>
  <c r="I293" i="30"/>
  <c r="I294" i="30"/>
  <c r="I295" i="30"/>
  <c r="I296" i="30"/>
  <c r="I297" i="30"/>
  <c r="I298" i="30"/>
  <c r="I299" i="30"/>
  <c r="I300" i="30"/>
  <c r="I301" i="30"/>
  <c r="I302" i="30"/>
  <c r="I303" i="30"/>
  <c r="I304" i="30"/>
  <c r="I275" i="30"/>
  <c r="I244" i="30"/>
  <c r="I245" i="30"/>
  <c r="I246" i="30"/>
  <c r="I247" i="30"/>
  <c r="I248" i="30"/>
  <c r="I249" i="30"/>
  <c r="I250" i="30"/>
  <c r="I251" i="30"/>
  <c r="I252" i="30"/>
  <c r="I253" i="30"/>
  <c r="I254" i="30"/>
  <c r="I255" i="30"/>
  <c r="I256" i="30"/>
  <c r="I257" i="30"/>
  <c r="I258" i="30"/>
  <c r="I259" i="30"/>
  <c r="I260" i="30"/>
  <c r="I261" i="30"/>
  <c r="I262" i="30"/>
  <c r="I263" i="30"/>
  <c r="I264" i="30"/>
  <c r="I265" i="30"/>
  <c r="I266" i="30"/>
  <c r="I267" i="30"/>
  <c r="I268" i="30"/>
  <c r="I269" i="30"/>
  <c r="I270" i="30"/>
  <c r="I271" i="30"/>
  <c r="I272" i="30"/>
  <c r="I273" i="30"/>
  <c r="I274" i="30"/>
  <c r="I215" i="30"/>
  <c r="I216" i="30"/>
  <c r="I217" i="30"/>
  <c r="I218" i="30"/>
  <c r="I219" i="30"/>
  <c r="I220" i="30"/>
  <c r="I221" i="30"/>
  <c r="I222" i="30"/>
  <c r="I223" i="30"/>
  <c r="I224" i="30"/>
  <c r="I225" i="30"/>
  <c r="I226" i="30"/>
  <c r="I227" i="30"/>
  <c r="I228" i="30"/>
  <c r="I229" i="30"/>
  <c r="I230" i="30"/>
  <c r="I231" i="30"/>
  <c r="I232" i="30"/>
  <c r="I233" i="30"/>
  <c r="I234" i="30"/>
  <c r="I235" i="30"/>
  <c r="I236" i="30"/>
  <c r="I237" i="30"/>
  <c r="I238" i="30"/>
  <c r="I239" i="30"/>
  <c r="I240" i="30"/>
  <c r="I241" i="30"/>
  <c r="I242" i="30"/>
  <c r="I243" i="30"/>
  <c r="I214" i="30"/>
  <c r="I213" i="30"/>
  <c r="I183" i="30"/>
  <c r="I184" i="30"/>
  <c r="I185" i="30"/>
  <c r="I186" i="30"/>
  <c r="I187" i="30"/>
  <c r="I188" i="30"/>
  <c r="I189" i="30"/>
  <c r="I190" i="30"/>
  <c r="I191" i="30"/>
  <c r="I192" i="30"/>
  <c r="I193" i="30"/>
  <c r="I194" i="30"/>
  <c r="I195" i="30"/>
  <c r="I196" i="30"/>
  <c r="I197" i="30"/>
  <c r="I198" i="30"/>
  <c r="I199" i="30"/>
  <c r="I200" i="30"/>
  <c r="I201" i="30"/>
  <c r="I202" i="30"/>
  <c r="I203" i="30"/>
  <c r="I204" i="30"/>
  <c r="I205" i="30"/>
  <c r="I206" i="30"/>
  <c r="I207" i="30"/>
  <c r="I208" i="30"/>
  <c r="I209" i="30"/>
  <c r="I210" i="30"/>
  <c r="I211" i="30"/>
  <c r="I212" i="30"/>
  <c r="I155" i="30"/>
  <c r="I156" i="30"/>
  <c r="I157" i="30"/>
  <c r="I158" i="30"/>
  <c r="I159" i="30"/>
  <c r="I160" i="30"/>
  <c r="I161" i="30"/>
  <c r="I162" i="30"/>
  <c r="I163" i="30"/>
  <c r="I164" i="30"/>
  <c r="I165" i="30"/>
  <c r="I166" i="30"/>
  <c r="I167" i="30"/>
  <c r="I168" i="30"/>
  <c r="I169" i="30"/>
  <c r="I170" i="30"/>
  <c r="I171" i="30"/>
  <c r="I172" i="30"/>
  <c r="I173" i="30"/>
  <c r="I174" i="30"/>
  <c r="I175" i="30"/>
  <c r="I176" i="30"/>
  <c r="I177" i="30"/>
  <c r="I178" i="30"/>
  <c r="I179" i="30"/>
  <c r="I180" i="30"/>
  <c r="I181" i="30"/>
  <c r="I182" i="30"/>
  <c r="I154" i="30"/>
  <c r="I153" i="30"/>
  <c r="I122" i="30"/>
  <c r="I123" i="30"/>
  <c r="I124" i="30"/>
  <c r="I125" i="30"/>
  <c r="I126" i="30"/>
  <c r="I127" i="30"/>
  <c r="I128" i="30"/>
  <c r="I129" i="30"/>
  <c r="I130" i="30"/>
  <c r="I131" i="30"/>
  <c r="I132" i="30"/>
  <c r="I133" i="30"/>
  <c r="I134" i="30"/>
  <c r="I135" i="30"/>
  <c r="I136" i="30"/>
  <c r="I137" i="30"/>
  <c r="I138" i="30"/>
  <c r="I139" i="30"/>
  <c r="I140" i="30"/>
  <c r="I141" i="30"/>
  <c r="I142" i="30"/>
  <c r="I143" i="30"/>
  <c r="I144" i="30"/>
  <c r="I145" i="30"/>
  <c r="I146" i="30"/>
  <c r="I147" i="30"/>
  <c r="I148" i="30"/>
  <c r="I149" i="30"/>
  <c r="I150" i="30"/>
  <c r="I151" i="30"/>
  <c r="I152" i="30"/>
  <c r="I92" i="30"/>
  <c r="I93" i="30"/>
  <c r="I94" i="30"/>
  <c r="I95" i="30"/>
  <c r="I96" i="30"/>
  <c r="I97" i="30"/>
  <c r="I98" i="30"/>
  <c r="I99" i="30"/>
  <c r="I100" i="30"/>
  <c r="I101" i="30"/>
  <c r="I102" i="30"/>
  <c r="I103" i="30"/>
  <c r="I104" i="30"/>
  <c r="I105" i="30"/>
  <c r="I106" i="30"/>
  <c r="I107" i="30"/>
  <c r="I108" i="30"/>
  <c r="I109" i="30"/>
  <c r="I110" i="30"/>
  <c r="I111" i="30"/>
  <c r="I112" i="30"/>
  <c r="I113" i="30"/>
  <c r="I114" i="30"/>
  <c r="I115" i="30"/>
  <c r="I116" i="30"/>
  <c r="I117" i="30"/>
  <c r="I118" i="30"/>
  <c r="I119" i="30"/>
  <c r="I120" i="30"/>
  <c r="I121" i="30"/>
  <c r="I61" i="30"/>
  <c r="I62" i="30"/>
  <c r="I63" i="30"/>
  <c r="I64" i="30"/>
  <c r="I65" i="30"/>
  <c r="I66" i="30"/>
  <c r="I67" i="30"/>
  <c r="I68" i="30"/>
  <c r="I69" i="30"/>
  <c r="I70" i="30"/>
  <c r="I71" i="30"/>
  <c r="I72" i="30"/>
  <c r="I73" i="30"/>
  <c r="I74" i="30"/>
  <c r="I75" i="30"/>
  <c r="I76" i="30"/>
  <c r="I77" i="30"/>
  <c r="I78" i="30"/>
  <c r="I79" i="30"/>
  <c r="I80" i="30"/>
  <c r="I81" i="30"/>
  <c r="I82" i="30"/>
  <c r="I83" i="30"/>
  <c r="I84" i="30"/>
  <c r="I85" i="30"/>
  <c r="I86" i="30"/>
  <c r="I87" i="30"/>
  <c r="I88" i="30"/>
  <c r="I89" i="30"/>
  <c r="I90" i="30"/>
  <c r="I91" i="30"/>
  <c r="I32" i="30"/>
  <c r="I33" i="30"/>
  <c r="I34" i="30"/>
  <c r="I35" i="30"/>
  <c r="I36" i="30"/>
  <c r="I37" i="30"/>
  <c r="I38" i="30"/>
  <c r="I39" i="30"/>
  <c r="I40" i="30"/>
  <c r="I41" i="30"/>
  <c r="I42" i="30"/>
  <c r="I43" i="30"/>
  <c r="I44" i="30"/>
  <c r="I45" i="30"/>
  <c r="I46" i="30"/>
  <c r="I47" i="30"/>
  <c r="I48" i="30"/>
  <c r="I49" i="30"/>
  <c r="I50" i="30"/>
  <c r="I51" i="30"/>
  <c r="I52" i="30"/>
  <c r="I53" i="30"/>
  <c r="I54" i="30"/>
  <c r="I55" i="30"/>
  <c r="I56" i="30"/>
  <c r="I57" i="30"/>
  <c r="I58" i="30"/>
  <c r="I59" i="30"/>
  <c r="I60" i="30"/>
  <c r="I3" i="30"/>
  <c r="I4" i="30"/>
  <c r="I5" i="30"/>
  <c r="I6" i="30"/>
  <c r="I7" i="30"/>
  <c r="I8" i="30"/>
  <c r="I9" i="30"/>
  <c r="I10" i="30"/>
  <c r="I11" i="30"/>
  <c r="I12" i="30"/>
  <c r="I13" i="30"/>
  <c r="I14" i="30"/>
  <c r="I15" i="30"/>
  <c r="I16" i="30"/>
  <c r="I17" i="30"/>
  <c r="I18" i="30"/>
  <c r="I19" i="30"/>
  <c r="I20" i="30"/>
  <c r="I21" i="30"/>
  <c r="I22" i="30"/>
  <c r="I23" i="30"/>
  <c r="I24" i="30"/>
  <c r="I25" i="30"/>
  <c r="I26" i="30"/>
  <c r="I27" i="30"/>
  <c r="I28" i="30"/>
  <c r="I29" i="30"/>
  <c r="I30" i="30"/>
  <c r="I31" i="30"/>
  <c r="I2" i="30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03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17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42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24" i="26"/>
  <c r="I19" i="26"/>
  <c r="I20" i="26"/>
  <c r="I21" i="26"/>
  <c r="I22" i="26"/>
  <c r="I4" i="26"/>
  <c r="I5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23" i="26"/>
  <c r="I3" i="26"/>
  <c r="I2" i="26"/>
  <c r="I312" i="25"/>
  <c r="I313" i="25"/>
  <c r="I314" i="25"/>
  <c r="I315" i="25"/>
  <c r="I316" i="25"/>
  <c r="I317" i="25"/>
  <c r="I318" i="25"/>
  <c r="I319" i="25"/>
  <c r="I320" i="25"/>
  <c r="I321" i="25"/>
  <c r="I322" i="25"/>
  <c r="I323" i="25"/>
  <c r="I324" i="25"/>
  <c r="I325" i="25"/>
  <c r="I326" i="25"/>
  <c r="I327" i="25"/>
  <c r="I328" i="25"/>
  <c r="I329" i="25"/>
  <c r="I330" i="25"/>
  <c r="I311" i="25"/>
  <c r="I282" i="25"/>
  <c r="I283" i="25"/>
  <c r="I284" i="25"/>
  <c r="I285" i="25"/>
  <c r="I286" i="25"/>
  <c r="I287" i="25"/>
  <c r="I288" i="25"/>
  <c r="I289" i="25"/>
  <c r="I290" i="25"/>
  <c r="I291" i="25"/>
  <c r="I292" i="25"/>
  <c r="I293" i="25"/>
  <c r="I294" i="25"/>
  <c r="I295" i="25"/>
  <c r="I296" i="25"/>
  <c r="I297" i="25"/>
  <c r="I298" i="25"/>
  <c r="I299" i="25"/>
  <c r="I300" i="25"/>
  <c r="I301" i="25"/>
  <c r="I302" i="25"/>
  <c r="I303" i="25"/>
  <c r="I304" i="25"/>
  <c r="I305" i="25"/>
  <c r="I306" i="25"/>
  <c r="I307" i="25"/>
  <c r="I308" i="25"/>
  <c r="I309" i="25"/>
  <c r="I310" i="25"/>
  <c r="I281" i="25"/>
  <c r="I259" i="25"/>
  <c r="I260" i="25"/>
  <c r="I261" i="25"/>
  <c r="I262" i="25"/>
  <c r="I263" i="25"/>
  <c r="I264" i="25"/>
  <c r="I265" i="25"/>
  <c r="I266" i="25"/>
  <c r="I267" i="25"/>
  <c r="I268" i="25"/>
  <c r="I269" i="25"/>
  <c r="I270" i="25"/>
  <c r="I271" i="25"/>
  <c r="I272" i="25"/>
  <c r="I273" i="25"/>
  <c r="I274" i="25"/>
  <c r="I275" i="25"/>
  <c r="I276" i="25"/>
  <c r="I277" i="25"/>
  <c r="I278" i="25"/>
  <c r="I279" i="25"/>
  <c r="I280" i="25"/>
  <c r="I230" i="25"/>
  <c r="I231" i="25"/>
  <c r="I232" i="25"/>
  <c r="I233" i="25"/>
  <c r="I234" i="25"/>
  <c r="I235" i="25"/>
  <c r="I236" i="25"/>
  <c r="I237" i="25"/>
  <c r="I238" i="25"/>
  <c r="I239" i="25"/>
  <c r="I240" i="25"/>
  <c r="I241" i="25"/>
  <c r="I242" i="25"/>
  <c r="I243" i="25"/>
  <c r="I244" i="25"/>
  <c r="I245" i="25"/>
  <c r="I246" i="25"/>
  <c r="I247" i="25"/>
  <c r="I248" i="25"/>
  <c r="I249" i="25"/>
  <c r="I250" i="25"/>
  <c r="I251" i="25"/>
  <c r="I252" i="25"/>
  <c r="I253" i="25"/>
  <c r="I254" i="25"/>
  <c r="I255" i="25"/>
  <c r="I256" i="25"/>
  <c r="I257" i="25"/>
  <c r="I258" i="25"/>
  <c r="I229" i="25"/>
  <c r="I219" i="25"/>
  <c r="I220" i="25"/>
  <c r="I221" i="25"/>
  <c r="I202" i="25"/>
  <c r="I203" i="25"/>
  <c r="I204" i="25"/>
  <c r="I205" i="25"/>
  <c r="I206" i="25"/>
  <c r="I207" i="25"/>
  <c r="I208" i="25"/>
  <c r="I209" i="25"/>
  <c r="I210" i="25"/>
  <c r="I211" i="25"/>
  <c r="I212" i="25"/>
  <c r="I213" i="25"/>
  <c r="I214" i="25"/>
  <c r="I215" i="25"/>
  <c r="I216" i="25"/>
  <c r="I217" i="25"/>
  <c r="I218" i="25"/>
  <c r="I222" i="25"/>
  <c r="I223" i="25"/>
  <c r="I224" i="25"/>
  <c r="I225" i="25"/>
  <c r="I226" i="25"/>
  <c r="I227" i="25"/>
  <c r="I228" i="25"/>
  <c r="I201" i="25"/>
  <c r="I171" i="25"/>
  <c r="I172" i="25"/>
  <c r="I173" i="25"/>
  <c r="I174" i="25"/>
  <c r="I175" i="25"/>
  <c r="I176" i="25"/>
  <c r="I177" i="25"/>
  <c r="I178" i="25"/>
  <c r="I179" i="25"/>
  <c r="I180" i="25"/>
  <c r="I181" i="25"/>
  <c r="I182" i="25"/>
  <c r="I183" i="25"/>
  <c r="I184" i="25"/>
  <c r="I185" i="25"/>
  <c r="I186" i="25"/>
  <c r="I187" i="25"/>
  <c r="I188" i="25"/>
  <c r="I189" i="25"/>
  <c r="I190" i="25"/>
  <c r="I191" i="25"/>
  <c r="I192" i="25"/>
  <c r="I193" i="25"/>
  <c r="I194" i="25"/>
  <c r="I195" i="25"/>
  <c r="I196" i="25"/>
  <c r="I197" i="25"/>
  <c r="I198" i="25"/>
  <c r="I199" i="25"/>
  <c r="I200" i="25"/>
  <c r="I170" i="25"/>
  <c r="I163" i="25"/>
  <c r="I164" i="25"/>
  <c r="I146" i="25"/>
  <c r="I147" i="25"/>
  <c r="I148" i="25"/>
  <c r="I149" i="25"/>
  <c r="I150" i="25"/>
  <c r="I151" i="25"/>
  <c r="I152" i="25"/>
  <c r="I153" i="25"/>
  <c r="I154" i="25"/>
  <c r="I155" i="25"/>
  <c r="I156" i="25"/>
  <c r="I157" i="25"/>
  <c r="I158" i="25"/>
  <c r="I159" i="25"/>
  <c r="I160" i="25"/>
  <c r="I161" i="25"/>
  <c r="I162" i="25"/>
  <c r="I165" i="25"/>
  <c r="I166" i="25"/>
  <c r="I167" i="25"/>
  <c r="I168" i="25"/>
  <c r="I169" i="25"/>
  <c r="I145" i="25"/>
  <c r="I93" i="25"/>
  <c r="I94" i="25"/>
  <c r="I95" i="25"/>
  <c r="I96" i="25"/>
  <c r="I97" i="25"/>
  <c r="I98" i="25"/>
  <c r="I99" i="25"/>
  <c r="I100" i="25"/>
  <c r="I101" i="25"/>
  <c r="I102" i="25"/>
  <c r="I103" i="25"/>
  <c r="I104" i="25"/>
  <c r="I105" i="25"/>
  <c r="I106" i="25"/>
  <c r="I107" i="25"/>
  <c r="I108" i="25"/>
  <c r="I109" i="25"/>
  <c r="I110" i="25"/>
  <c r="I111" i="25"/>
  <c r="I112" i="25"/>
  <c r="I113" i="25"/>
  <c r="I114" i="25"/>
  <c r="I115" i="25"/>
  <c r="I116" i="25"/>
  <c r="I117" i="25"/>
  <c r="I118" i="25"/>
  <c r="I119" i="25"/>
  <c r="I120" i="25"/>
  <c r="I121" i="25"/>
  <c r="I122" i="25"/>
  <c r="I123" i="25"/>
  <c r="I124" i="25"/>
  <c r="I125" i="25"/>
  <c r="I126" i="25"/>
  <c r="I127" i="25"/>
  <c r="I128" i="25"/>
  <c r="I129" i="25"/>
  <c r="I130" i="25"/>
  <c r="I131" i="25"/>
  <c r="I132" i="25"/>
  <c r="I133" i="25"/>
  <c r="I134" i="25"/>
  <c r="I135" i="25"/>
  <c r="I136" i="25"/>
  <c r="I137" i="25"/>
  <c r="I138" i="25"/>
  <c r="I139" i="25"/>
  <c r="I140" i="25"/>
  <c r="I141" i="25"/>
  <c r="I142" i="25"/>
  <c r="I143" i="25"/>
  <c r="I144" i="25"/>
  <c r="I92" i="25"/>
  <c r="I61" i="25"/>
  <c r="I62" i="25"/>
  <c r="I63" i="25"/>
  <c r="I64" i="25"/>
  <c r="I65" i="25"/>
  <c r="I66" i="25"/>
  <c r="I67" i="25"/>
  <c r="I68" i="25"/>
  <c r="I69" i="25"/>
  <c r="I70" i="25"/>
  <c r="I71" i="25"/>
  <c r="I72" i="25"/>
  <c r="I73" i="25"/>
  <c r="I74" i="25"/>
  <c r="I75" i="25"/>
  <c r="I76" i="25"/>
  <c r="I77" i="25"/>
  <c r="I78" i="25"/>
  <c r="I79" i="25"/>
  <c r="I80" i="25"/>
  <c r="I81" i="25"/>
  <c r="I82" i="25"/>
  <c r="I83" i="25"/>
  <c r="I84" i="25"/>
  <c r="I85" i="25"/>
  <c r="I86" i="25"/>
  <c r="I87" i="25"/>
  <c r="I88" i="25"/>
  <c r="I89" i="25"/>
  <c r="I90" i="25"/>
  <c r="I91" i="25"/>
  <c r="I34" i="25"/>
  <c r="I35" i="25"/>
  <c r="I36" i="25"/>
  <c r="I37" i="25"/>
  <c r="I38" i="25"/>
  <c r="I39" i="25"/>
  <c r="I40" i="25"/>
  <c r="I41" i="25"/>
  <c r="I42" i="25"/>
  <c r="I43" i="25"/>
  <c r="I44" i="25"/>
  <c r="I45" i="25"/>
  <c r="I46" i="25"/>
  <c r="I47" i="25"/>
  <c r="I48" i="25"/>
  <c r="I49" i="25"/>
  <c r="I50" i="25"/>
  <c r="I51" i="25"/>
  <c r="I52" i="25"/>
  <c r="I53" i="25"/>
  <c r="I54" i="25"/>
  <c r="I55" i="25"/>
  <c r="I56" i="25"/>
  <c r="I57" i="25"/>
  <c r="I58" i="25"/>
  <c r="I59" i="25"/>
  <c r="I60" i="25"/>
  <c r="I33" i="25"/>
  <c r="I3" i="25"/>
  <c r="I4" i="25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2" i="25"/>
  <c r="I345" i="24" l="1"/>
  <c r="I346" i="24"/>
  <c r="I347" i="24"/>
  <c r="I348" i="24"/>
  <c r="I349" i="24"/>
  <c r="I350" i="24"/>
  <c r="I351" i="24"/>
  <c r="I352" i="24"/>
  <c r="I353" i="24"/>
  <c r="I354" i="24"/>
  <c r="I355" i="24"/>
  <c r="I356" i="24"/>
  <c r="I357" i="24"/>
  <c r="I358" i="24"/>
  <c r="I359" i="24"/>
  <c r="I360" i="24"/>
  <c r="I361" i="24"/>
  <c r="I362" i="24"/>
  <c r="I363" i="24"/>
  <c r="I364" i="24"/>
  <c r="I365" i="24"/>
  <c r="I366" i="24"/>
  <c r="I367" i="24"/>
  <c r="I368" i="24"/>
  <c r="I369" i="24"/>
  <c r="I370" i="24"/>
  <c r="I371" i="24"/>
  <c r="I372" i="24"/>
  <c r="I373" i="24"/>
  <c r="I374" i="24"/>
  <c r="I344" i="24"/>
  <c r="I315" i="24"/>
  <c r="I316" i="24"/>
  <c r="I317" i="24"/>
  <c r="I318" i="24"/>
  <c r="I319" i="24"/>
  <c r="I320" i="24"/>
  <c r="I321" i="24"/>
  <c r="I322" i="24"/>
  <c r="I323" i="24"/>
  <c r="I324" i="24"/>
  <c r="I325" i="24"/>
  <c r="I326" i="24"/>
  <c r="I327" i="24"/>
  <c r="I328" i="24"/>
  <c r="I329" i="24"/>
  <c r="I330" i="24"/>
  <c r="I331" i="24"/>
  <c r="I332" i="24"/>
  <c r="I333" i="24"/>
  <c r="I334" i="24"/>
  <c r="I335" i="24"/>
  <c r="I336" i="24"/>
  <c r="I337" i="24"/>
  <c r="I338" i="24"/>
  <c r="I339" i="24"/>
  <c r="I340" i="24"/>
  <c r="I341" i="24"/>
  <c r="I342" i="24"/>
  <c r="I343" i="24"/>
  <c r="I314" i="24"/>
  <c r="I289" i="24"/>
  <c r="I290" i="24"/>
  <c r="I291" i="24"/>
  <c r="I292" i="24"/>
  <c r="I293" i="24"/>
  <c r="I294" i="24"/>
  <c r="I295" i="24"/>
  <c r="I296" i="24"/>
  <c r="I297" i="24"/>
  <c r="I298" i="24"/>
  <c r="I299" i="24"/>
  <c r="I300" i="24"/>
  <c r="I301" i="24"/>
  <c r="I302" i="24"/>
  <c r="I303" i="24"/>
  <c r="I304" i="24"/>
  <c r="I305" i="24"/>
  <c r="I306" i="24"/>
  <c r="I307" i="24"/>
  <c r="I308" i="24"/>
  <c r="I309" i="24"/>
  <c r="I310" i="24"/>
  <c r="I311" i="24"/>
  <c r="I312" i="24"/>
  <c r="I313" i="24"/>
  <c r="I260" i="24"/>
  <c r="I261" i="24"/>
  <c r="I262" i="24"/>
  <c r="I263" i="24"/>
  <c r="I264" i="24"/>
  <c r="I265" i="24"/>
  <c r="I266" i="24"/>
  <c r="I267" i="24"/>
  <c r="I268" i="24"/>
  <c r="I269" i="24"/>
  <c r="I270" i="24"/>
  <c r="I271" i="24"/>
  <c r="I272" i="24"/>
  <c r="I273" i="24"/>
  <c r="I274" i="24"/>
  <c r="I275" i="24"/>
  <c r="I276" i="24"/>
  <c r="I277" i="24"/>
  <c r="I278" i="24"/>
  <c r="I279" i="24"/>
  <c r="I280" i="24"/>
  <c r="I281" i="24"/>
  <c r="I282" i="24"/>
  <c r="I283" i="24"/>
  <c r="I284" i="24"/>
  <c r="I285" i="24"/>
  <c r="I286" i="24"/>
  <c r="I287" i="24"/>
  <c r="I288" i="24"/>
  <c r="I259" i="24"/>
  <c r="I229" i="24"/>
  <c r="I230" i="24"/>
  <c r="I231" i="24"/>
  <c r="I232" i="24"/>
  <c r="I233" i="24"/>
  <c r="I234" i="24"/>
  <c r="I235" i="24"/>
  <c r="I236" i="24"/>
  <c r="I237" i="24"/>
  <c r="I238" i="24"/>
  <c r="I239" i="24"/>
  <c r="I240" i="24"/>
  <c r="I241" i="24"/>
  <c r="I242" i="24"/>
  <c r="I243" i="24"/>
  <c r="I244" i="24"/>
  <c r="I245" i="24"/>
  <c r="I246" i="24"/>
  <c r="I247" i="24"/>
  <c r="I248" i="24"/>
  <c r="I249" i="24"/>
  <c r="I250" i="24"/>
  <c r="I251" i="24"/>
  <c r="I252" i="24"/>
  <c r="I253" i="24"/>
  <c r="I254" i="24"/>
  <c r="I255" i="24"/>
  <c r="I256" i="24"/>
  <c r="I257" i="24"/>
  <c r="I258" i="24"/>
  <c r="I228" i="24"/>
  <c r="I198" i="24"/>
  <c r="I199" i="24"/>
  <c r="I200" i="24"/>
  <c r="I201" i="24"/>
  <c r="I202" i="24"/>
  <c r="I203" i="24"/>
  <c r="I204" i="24"/>
  <c r="I205" i="24"/>
  <c r="I206" i="24"/>
  <c r="I207" i="24"/>
  <c r="I208" i="24"/>
  <c r="I209" i="24"/>
  <c r="I210" i="24"/>
  <c r="I211" i="24"/>
  <c r="I212" i="24"/>
  <c r="I213" i="24"/>
  <c r="I214" i="24"/>
  <c r="I215" i="24"/>
  <c r="I216" i="24"/>
  <c r="I217" i="24"/>
  <c r="I218" i="24"/>
  <c r="I219" i="24"/>
  <c r="I220" i="24"/>
  <c r="I221" i="24"/>
  <c r="I222" i="24"/>
  <c r="I223" i="24"/>
  <c r="I224" i="24"/>
  <c r="I225" i="24"/>
  <c r="I226" i="24"/>
  <c r="I227" i="24"/>
  <c r="I197" i="24"/>
  <c r="I168" i="24"/>
  <c r="I169" i="24"/>
  <c r="I170" i="24"/>
  <c r="I171" i="24"/>
  <c r="I172" i="24"/>
  <c r="I173" i="24"/>
  <c r="I174" i="24"/>
  <c r="I175" i="24"/>
  <c r="I176" i="24"/>
  <c r="I177" i="24"/>
  <c r="I178" i="24"/>
  <c r="I179" i="24"/>
  <c r="I180" i="24"/>
  <c r="I181" i="24"/>
  <c r="I182" i="24"/>
  <c r="I183" i="24"/>
  <c r="I184" i="24"/>
  <c r="I185" i="24"/>
  <c r="I186" i="24"/>
  <c r="I187" i="24"/>
  <c r="I188" i="24"/>
  <c r="I189" i="24"/>
  <c r="I190" i="24"/>
  <c r="I191" i="24"/>
  <c r="I192" i="24"/>
  <c r="I193" i="24"/>
  <c r="I194" i="24"/>
  <c r="I195" i="24"/>
  <c r="I196" i="24"/>
  <c r="I167" i="24"/>
  <c r="I137" i="24"/>
  <c r="I138" i="24"/>
  <c r="I139" i="24"/>
  <c r="I140" i="24"/>
  <c r="I141" i="24"/>
  <c r="I142" i="24"/>
  <c r="I143" i="24"/>
  <c r="I144" i="24"/>
  <c r="I145" i="24"/>
  <c r="I146" i="24"/>
  <c r="I147" i="24"/>
  <c r="I148" i="24"/>
  <c r="I149" i="24"/>
  <c r="I150" i="24"/>
  <c r="I151" i="24"/>
  <c r="I152" i="24"/>
  <c r="I153" i="24"/>
  <c r="I154" i="24"/>
  <c r="I155" i="24"/>
  <c r="I156" i="24"/>
  <c r="I157" i="24"/>
  <c r="I158" i="24"/>
  <c r="I159" i="24"/>
  <c r="I160" i="24"/>
  <c r="I161" i="24"/>
  <c r="I162" i="24"/>
  <c r="I163" i="24"/>
  <c r="I164" i="24"/>
  <c r="I165" i="24"/>
  <c r="I166" i="24"/>
  <c r="I136" i="24"/>
  <c r="I115" i="24"/>
  <c r="I116" i="24"/>
  <c r="I117" i="24"/>
  <c r="I118" i="24"/>
  <c r="I119" i="24"/>
  <c r="I120" i="24"/>
  <c r="I121" i="24"/>
  <c r="I122" i="24"/>
  <c r="I123" i="24"/>
  <c r="I124" i="24"/>
  <c r="I125" i="24"/>
  <c r="I126" i="24"/>
  <c r="I127" i="24"/>
  <c r="I128" i="24"/>
  <c r="I129" i="24"/>
  <c r="I130" i="24"/>
  <c r="I131" i="24"/>
  <c r="I132" i="24"/>
  <c r="I133" i="24"/>
  <c r="I134" i="24"/>
  <c r="I135" i="24"/>
  <c r="I114" i="24"/>
  <c r="I83" i="24"/>
  <c r="I84" i="24"/>
  <c r="I85" i="24"/>
  <c r="I86" i="24"/>
  <c r="I87" i="24"/>
  <c r="I88" i="24"/>
  <c r="I89" i="24"/>
  <c r="I90" i="24"/>
  <c r="I91" i="24"/>
  <c r="I92" i="24"/>
  <c r="I93" i="24"/>
  <c r="I94" i="24"/>
  <c r="I95" i="24"/>
  <c r="I96" i="24"/>
  <c r="I97" i="24"/>
  <c r="I98" i="24"/>
  <c r="I99" i="24"/>
  <c r="I100" i="24"/>
  <c r="I101" i="24"/>
  <c r="I102" i="24"/>
  <c r="I103" i="24"/>
  <c r="I104" i="24"/>
  <c r="I105" i="24"/>
  <c r="I106" i="24"/>
  <c r="I107" i="24"/>
  <c r="I108" i="24"/>
  <c r="I109" i="24"/>
  <c r="I110" i="24"/>
  <c r="I111" i="24"/>
  <c r="I112" i="24"/>
  <c r="I113" i="24"/>
  <c r="I33" i="24"/>
  <c r="I34" i="24"/>
  <c r="I35" i="24"/>
  <c r="I36" i="24"/>
  <c r="I37" i="24"/>
  <c r="I38" i="24"/>
  <c r="I39" i="24"/>
  <c r="I40" i="24"/>
  <c r="I41" i="24"/>
  <c r="I42" i="24"/>
  <c r="I43" i="24"/>
  <c r="I44" i="24"/>
  <c r="I45" i="24"/>
  <c r="I46" i="24"/>
  <c r="I47" i="24"/>
  <c r="I48" i="24"/>
  <c r="I49" i="24"/>
  <c r="I50" i="24"/>
  <c r="I51" i="24"/>
  <c r="I52" i="24"/>
  <c r="I53" i="24"/>
  <c r="I54" i="24"/>
  <c r="I55" i="24"/>
  <c r="I56" i="24"/>
  <c r="I57" i="24"/>
  <c r="I58" i="24"/>
  <c r="I59" i="24"/>
  <c r="I60" i="24"/>
  <c r="I61" i="24"/>
  <c r="I62" i="24"/>
  <c r="I63" i="24"/>
  <c r="I64" i="24"/>
  <c r="I65" i="24"/>
  <c r="I66" i="24"/>
  <c r="I67" i="24"/>
  <c r="I68" i="24"/>
  <c r="I69" i="24"/>
  <c r="I70" i="24"/>
  <c r="I71" i="24"/>
  <c r="I72" i="24"/>
  <c r="I73" i="24"/>
  <c r="I74" i="24"/>
  <c r="I75" i="24"/>
  <c r="I76" i="24"/>
  <c r="I77" i="24"/>
  <c r="I78" i="24"/>
  <c r="I79" i="24"/>
  <c r="I80" i="24"/>
  <c r="I81" i="24"/>
  <c r="I82" i="24"/>
  <c r="I3" i="24"/>
  <c r="I4" i="24"/>
  <c r="I5" i="24"/>
  <c r="I6" i="24"/>
  <c r="I7" i="24"/>
  <c r="I8" i="24"/>
  <c r="I9" i="24"/>
  <c r="I10" i="24"/>
  <c r="I11" i="24"/>
  <c r="I12" i="24"/>
  <c r="I13" i="24"/>
  <c r="I14" i="24"/>
  <c r="I15" i="24"/>
  <c r="I16" i="24"/>
  <c r="I17" i="24"/>
  <c r="I18" i="24"/>
  <c r="I19" i="24"/>
  <c r="I20" i="24"/>
  <c r="I21" i="24"/>
  <c r="I22" i="24"/>
  <c r="I23" i="24"/>
  <c r="I24" i="24"/>
  <c r="I25" i="24"/>
  <c r="I26" i="24"/>
  <c r="I27" i="24"/>
  <c r="I28" i="24"/>
  <c r="I29" i="24"/>
  <c r="I30" i="24"/>
  <c r="I31" i="24"/>
  <c r="I32" i="24"/>
  <c r="I2" i="24"/>
  <c r="I357" i="23"/>
  <c r="I358" i="23"/>
  <c r="I359" i="23"/>
  <c r="I360" i="23"/>
  <c r="I361" i="23"/>
  <c r="I362" i="23"/>
  <c r="I363" i="23"/>
  <c r="I364" i="23"/>
  <c r="I365" i="23"/>
  <c r="I366" i="23"/>
  <c r="I367" i="23"/>
  <c r="I368" i="23"/>
  <c r="I369" i="23"/>
  <c r="I370" i="23"/>
  <c r="I371" i="23"/>
  <c r="I372" i="23"/>
  <c r="I373" i="23"/>
  <c r="I374" i="23"/>
  <c r="I375" i="23"/>
  <c r="I376" i="23"/>
  <c r="I377" i="23"/>
  <c r="I378" i="23"/>
  <c r="I379" i="23"/>
  <c r="I380" i="23"/>
  <c r="I381" i="23"/>
  <c r="I382" i="23"/>
  <c r="I383" i="23"/>
  <c r="I384" i="23"/>
  <c r="I385" i="23"/>
  <c r="I386" i="23"/>
  <c r="I356" i="23"/>
  <c r="I327" i="23"/>
  <c r="I328" i="23"/>
  <c r="I329" i="23"/>
  <c r="I330" i="23"/>
  <c r="I331" i="23"/>
  <c r="I332" i="23"/>
  <c r="I333" i="23"/>
  <c r="I334" i="23"/>
  <c r="I335" i="23"/>
  <c r="I336" i="23"/>
  <c r="I337" i="23"/>
  <c r="I338" i="23"/>
  <c r="I339" i="23"/>
  <c r="I340" i="23"/>
  <c r="I341" i="23"/>
  <c r="I342" i="23"/>
  <c r="I343" i="23"/>
  <c r="I344" i="23"/>
  <c r="I345" i="23"/>
  <c r="I346" i="23"/>
  <c r="I347" i="23"/>
  <c r="I348" i="23"/>
  <c r="I349" i="23"/>
  <c r="I350" i="23"/>
  <c r="I351" i="23"/>
  <c r="I352" i="23"/>
  <c r="I353" i="23"/>
  <c r="I354" i="23"/>
  <c r="I355" i="23"/>
  <c r="I326" i="23"/>
  <c r="I304" i="23"/>
  <c r="I305" i="23"/>
  <c r="I306" i="23"/>
  <c r="I307" i="23"/>
  <c r="I308" i="23"/>
  <c r="I309" i="23"/>
  <c r="I310" i="23"/>
  <c r="I311" i="23"/>
  <c r="I312" i="23"/>
  <c r="I313" i="23"/>
  <c r="I314" i="23"/>
  <c r="I315" i="23"/>
  <c r="I316" i="23"/>
  <c r="I317" i="23"/>
  <c r="I318" i="23"/>
  <c r="I319" i="23"/>
  <c r="I320" i="23"/>
  <c r="I321" i="23"/>
  <c r="I322" i="23"/>
  <c r="I323" i="23"/>
  <c r="I324" i="23"/>
  <c r="I325" i="23"/>
  <c r="I303" i="23"/>
  <c r="I274" i="23"/>
  <c r="I275" i="23"/>
  <c r="I276" i="23"/>
  <c r="I277" i="23"/>
  <c r="I278" i="23"/>
  <c r="I279" i="23"/>
  <c r="I280" i="23"/>
  <c r="I281" i="23"/>
  <c r="I282" i="23"/>
  <c r="I283" i="23"/>
  <c r="I284" i="23"/>
  <c r="I285" i="23"/>
  <c r="I286" i="23"/>
  <c r="I287" i="23"/>
  <c r="I288" i="23"/>
  <c r="I289" i="23"/>
  <c r="I290" i="23"/>
  <c r="I291" i="23"/>
  <c r="I292" i="23"/>
  <c r="I293" i="23"/>
  <c r="I294" i="23"/>
  <c r="I295" i="23"/>
  <c r="I296" i="23"/>
  <c r="I297" i="23"/>
  <c r="I298" i="23"/>
  <c r="I299" i="23"/>
  <c r="I300" i="23"/>
  <c r="I301" i="23"/>
  <c r="I302" i="23"/>
  <c r="I273" i="23"/>
  <c r="I243" i="23"/>
  <c r="I244" i="23"/>
  <c r="I245" i="23"/>
  <c r="I246" i="23"/>
  <c r="I247" i="23"/>
  <c r="I248" i="23"/>
  <c r="I249" i="23"/>
  <c r="I250" i="23"/>
  <c r="I251" i="23"/>
  <c r="I252" i="23"/>
  <c r="I253" i="23"/>
  <c r="I254" i="23"/>
  <c r="I255" i="23"/>
  <c r="I256" i="23"/>
  <c r="I257" i="23"/>
  <c r="I258" i="23"/>
  <c r="I259" i="23"/>
  <c r="I260" i="23"/>
  <c r="I261" i="23"/>
  <c r="I262" i="23"/>
  <c r="I263" i="23"/>
  <c r="I264" i="23"/>
  <c r="I265" i="23"/>
  <c r="I266" i="23"/>
  <c r="I267" i="23"/>
  <c r="I268" i="23"/>
  <c r="I269" i="23"/>
  <c r="I270" i="23"/>
  <c r="I271" i="23"/>
  <c r="I272" i="23"/>
  <c r="I242" i="23"/>
  <c r="I212" i="23"/>
  <c r="I213" i="23"/>
  <c r="I214" i="23"/>
  <c r="I215" i="23"/>
  <c r="I216" i="23"/>
  <c r="I217" i="23"/>
  <c r="I218" i="23"/>
  <c r="I219" i="23"/>
  <c r="I220" i="23"/>
  <c r="I221" i="23"/>
  <c r="I222" i="23"/>
  <c r="I223" i="23"/>
  <c r="I224" i="23"/>
  <c r="I225" i="23"/>
  <c r="I226" i="23"/>
  <c r="I227" i="23"/>
  <c r="I228" i="23"/>
  <c r="I229" i="23"/>
  <c r="I230" i="23"/>
  <c r="I231" i="23"/>
  <c r="I232" i="23"/>
  <c r="I233" i="23"/>
  <c r="I234" i="23"/>
  <c r="I235" i="23"/>
  <c r="I236" i="23"/>
  <c r="I237" i="23"/>
  <c r="I238" i="23"/>
  <c r="I239" i="23"/>
  <c r="I240" i="23"/>
  <c r="I241" i="23"/>
  <c r="I211" i="23"/>
  <c r="I151" i="23"/>
  <c r="I152" i="23"/>
  <c r="I153" i="23"/>
  <c r="I154" i="23"/>
  <c r="I155" i="23"/>
  <c r="I156" i="23"/>
  <c r="I157" i="23"/>
  <c r="I158" i="23"/>
  <c r="I159" i="23"/>
  <c r="I160" i="23"/>
  <c r="I161" i="23"/>
  <c r="I162" i="23"/>
  <c r="I163" i="23"/>
  <c r="I164" i="23"/>
  <c r="I165" i="23"/>
  <c r="I166" i="23"/>
  <c r="I167" i="23"/>
  <c r="I168" i="23"/>
  <c r="I169" i="23"/>
  <c r="I170" i="23"/>
  <c r="I171" i="23"/>
  <c r="I172" i="23"/>
  <c r="I173" i="23"/>
  <c r="I174" i="23"/>
  <c r="I175" i="23"/>
  <c r="I176" i="23"/>
  <c r="I177" i="23"/>
  <c r="I178" i="23"/>
  <c r="I179" i="23"/>
  <c r="I180" i="23"/>
  <c r="I181" i="23"/>
  <c r="I182" i="23"/>
  <c r="I183" i="23"/>
  <c r="I184" i="23"/>
  <c r="I185" i="23"/>
  <c r="I186" i="23"/>
  <c r="I187" i="23"/>
  <c r="I188" i="23"/>
  <c r="I189" i="23"/>
  <c r="I190" i="23"/>
  <c r="I191" i="23"/>
  <c r="I192" i="23"/>
  <c r="I193" i="23"/>
  <c r="I194" i="23"/>
  <c r="I195" i="23"/>
  <c r="I196" i="23"/>
  <c r="I197" i="23"/>
  <c r="I198" i="23"/>
  <c r="I199" i="23"/>
  <c r="I200" i="23"/>
  <c r="I201" i="23"/>
  <c r="I202" i="23"/>
  <c r="I203" i="23"/>
  <c r="I204" i="23"/>
  <c r="I205" i="23"/>
  <c r="I206" i="23"/>
  <c r="I207" i="23"/>
  <c r="I208" i="23"/>
  <c r="I209" i="23"/>
  <c r="I210" i="23"/>
  <c r="I120" i="23"/>
  <c r="I121" i="23"/>
  <c r="I122" i="23"/>
  <c r="I123" i="23"/>
  <c r="I124" i="23"/>
  <c r="I125" i="23"/>
  <c r="I126" i="23"/>
  <c r="I127" i="23"/>
  <c r="I128" i="23"/>
  <c r="I129" i="23"/>
  <c r="I130" i="23"/>
  <c r="I131" i="23"/>
  <c r="I132" i="23"/>
  <c r="I133" i="23"/>
  <c r="I134" i="23"/>
  <c r="I135" i="23"/>
  <c r="I136" i="23"/>
  <c r="I137" i="23"/>
  <c r="I138" i="23"/>
  <c r="I139" i="23"/>
  <c r="I140" i="23"/>
  <c r="I141" i="23"/>
  <c r="I142" i="23"/>
  <c r="I143" i="23"/>
  <c r="I144" i="23"/>
  <c r="I145" i="23"/>
  <c r="I146" i="23"/>
  <c r="I147" i="23"/>
  <c r="I148" i="23"/>
  <c r="I149" i="23"/>
  <c r="I150" i="23"/>
  <c r="I90" i="23"/>
  <c r="I91" i="23"/>
  <c r="I92" i="23"/>
  <c r="I93" i="23"/>
  <c r="I94" i="23"/>
  <c r="I95" i="23"/>
  <c r="I96" i="23"/>
  <c r="I97" i="23"/>
  <c r="I98" i="23"/>
  <c r="I99" i="23"/>
  <c r="I100" i="23"/>
  <c r="I101" i="23"/>
  <c r="I102" i="23"/>
  <c r="I103" i="23"/>
  <c r="I104" i="23"/>
  <c r="I105" i="23"/>
  <c r="I106" i="23"/>
  <c r="I107" i="23"/>
  <c r="I108" i="23"/>
  <c r="I109" i="23"/>
  <c r="I110" i="23"/>
  <c r="I111" i="23"/>
  <c r="I112" i="23"/>
  <c r="I113" i="23"/>
  <c r="I114" i="23"/>
  <c r="I115" i="23"/>
  <c r="I116" i="23"/>
  <c r="I117" i="23"/>
  <c r="I118" i="23"/>
  <c r="I119" i="23"/>
  <c r="I60" i="23"/>
  <c r="I61" i="23"/>
  <c r="I62" i="23"/>
  <c r="I63" i="23"/>
  <c r="I64" i="23"/>
  <c r="I65" i="23"/>
  <c r="I66" i="23"/>
  <c r="I67" i="23"/>
  <c r="I68" i="23"/>
  <c r="I69" i="23"/>
  <c r="I70" i="23"/>
  <c r="I71" i="23"/>
  <c r="I72" i="23"/>
  <c r="I73" i="23"/>
  <c r="I74" i="23"/>
  <c r="I75" i="23"/>
  <c r="I76" i="23"/>
  <c r="I77" i="23"/>
  <c r="I78" i="23"/>
  <c r="I79" i="23"/>
  <c r="I80" i="23"/>
  <c r="I81" i="23"/>
  <c r="I82" i="23"/>
  <c r="I83" i="23"/>
  <c r="I84" i="23"/>
  <c r="I85" i="23"/>
  <c r="I86" i="23"/>
  <c r="I87" i="23"/>
  <c r="I88" i="23"/>
  <c r="I89" i="23"/>
  <c r="I59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49" i="23"/>
  <c r="I50" i="23"/>
  <c r="I51" i="23"/>
  <c r="I52" i="23"/>
  <c r="I53" i="23"/>
  <c r="I54" i="23"/>
  <c r="I55" i="23"/>
  <c r="I56" i="23"/>
  <c r="I57" i="23"/>
  <c r="I58" i="23"/>
  <c r="I3" i="23"/>
  <c r="I4" i="23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2" i="23"/>
  <c r="I334" i="22"/>
  <c r="I335" i="22"/>
  <c r="I336" i="22"/>
  <c r="I337" i="22"/>
  <c r="I338" i="22"/>
  <c r="I339" i="22"/>
  <c r="I340" i="22"/>
  <c r="I341" i="22"/>
  <c r="I342" i="22"/>
  <c r="I343" i="22"/>
  <c r="I344" i="22"/>
  <c r="I345" i="22"/>
  <c r="I346" i="22"/>
  <c r="I347" i="22"/>
  <c r="I348" i="22"/>
  <c r="I349" i="22"/>
  <c r="I350" i="22"/>
  <c r="I351" i="22"/>
  <c r="I352" i="22"/>
  <c r="I353" i="22"/>
  <c r="I354" i="22"/>
  <c r="I355" i="22"/>
  <c r="I356" i="22"/>
  <c r="I357" i="22"/>
  <c r="I358" i="22"/>
  <c r="I359" i="22"/>
  <c r="I360" i="22"/>
  <c r="I333" i="22"/>
  <c r="I304" i="22"/>
  <c r="I305" i="22"/>
  <c r="I306" i="22"/>
  <c r="I307" i="22"/>
  <c r="I308" i="22"/>
  <c r="I309" i="22"/>
  <c r="I310" i="22"/>
  <c r="I311" i="22"/>
  <c r="I312" i="22"/>
  <c r="I313" i="22"/>
  <c r="I314" i="22"/>
  <c r="I315" i="22"/>
  <c r="I316" i="22"/>
  <c r="I317" i="22"/>
  <c r="I318" i="22"/>
  <c r="I319" i="22"/>
  <c r="I320" i="22"/>
  <c r="I321" i="22"/>
  <c r="I322" i="22"/>
  <c r="I323" i="22"/>
  <c r="I324" i="22"/>
  <c r="I325" i="22"/>
  <c r="I326" i="22"/>
  <c r="I327" i="22"/>
  <c r="I328" i="22"/>
  <c r="I329" i="22"/>
  <c r="I330" i="22"/>
  <c r="I331" i="22"/>
  <c r="I332" i="22"/>
  <c r="I303" i="22"/>
  <c r="I254" i="22"/>
  <c r="I255" i="22"/>
  <c r="I256" i="22"/>
  <c r="I257" i="22"/>
  <c r="I258" i="22"/>
  <c r="I259" i="22"/>
  <c r="I260" i="22"/>
  <c r="I261" i="22"/>
  <c r="I262" i="22"/>
  <c r="I263" i="22"/>
  <c r="I264" i="22"/>
  <c r="I265" i="22"/>
  <c r="I266" i="22"/>
  <c r="I267" i="22"/>
  <c r="I268" i="22"/>
  <c r="I269" i="22"/>
  <c r="I270" i="22"/>
  <c r="I271" i="22"/>
  <c r="I272" i="22"/>
  <c r="I273" i="22"/>
  <c r="I274" i="22"/>
  <c r="I275" i="22"/>
  <c r="I276" i="22"/>
  <c r="I277" i="22"/>
  <c r="I278" i="22"/>
  <c r="I279" i="22"/>
  <c r="I280" i="22"/>
  <c r="I281" i="22"/>
  <c r="I282" i="22"/>
  <c r="I283" i="22"/>
  <c r="I284" i="22"/>
  <c r="I285" i="22"/>
  <c r="I286" i="22"/>
  <c r="I287" i="22"/>
  <c r="I288" i="22"/>
  <c r="I289" i="22"/>
  <c r="I290" i="22"/>
  <c r="I291" i="22"/>
  <c r="I292" i="22"/>
  <c r="I293" i="22"/>
  <c r="I294" i="22"/>
  <c r="I295" i="22"/>
  <c r="I296" i="22"/>
  <c r="I297" i="22"/>
  <c r="I298" i="22"/>
  <c r="I299" i="22"/>
  <c r="I300" i="22"/>
  <c r="I301" i="22"/>
  <c r="I302" i="22"/>
  <c r="I253" i="22"/>
  <c r="I224" i="22"/>
  <c r="I225" i="22"/>
  <c r="I226" i="22"/>
  <c r="I227" i="22"/>
  <c r="I228" i="22"/>
  <c r="I229" i="22"/>
  <c r="I230" i="22"/>
  <c r="I231" i="22"/>
  <c r="I232" i="22"/>
  <c r="I233" i="22"/>
  <c r="I234" i="22"/>
  <c r="I235" i="22"/>
  <c r="I236" i="22"/>
  <c r="I237" i="22"/>
  <c r="I238" i="22"/>
  <c r="I239" i="22"/>
  <c r="I240" i="22"/>
  <c r="I241" i="22"/>
  <c r="I242" i="22"/>
  <c r="I243" i="22"/>
  <c r="I244" i="22"/>
  <c r="I245" i="22"/>
  <c r="I246" i="22"/>
  <c r="I247" i="22"/>
  <c r="I248" i="22"/>
  <c r="I249" i="22"/>
  <c r="I250" i="22"/>
  <c r="I251" i="22"/>
  <c r="I252" i="22"/>
  <c r="I223" i="22"/>
  <c r="I193" i="22"/>
  <c r="I194" i="22"/>
  <c r="I195" i="22"/>
  <c r="I196" i="22"/>
  <c r="I197" i="22"/>
  <c r="I198" i="22"/>
  <c r="I199" i="22"/>
  <c r="I200" i="22"/>
  <c r="I201" i="22"/>
  <c r="I202" i="22"/>
  <c r="I203" i="22"/>
  <c r="I204" i="22"/>
  <c r="I205" i="22"/>
  <c r="I206" i="22"/>
  <c r="I207" i="22"/>
  <c r="I208" i="22"/>
  <c r="I209" i="22"/>
  <c r="I210" i="22"/>
  <c r="I211" i="22"/>
  <c r="I212" i="22"/>
  <c r="I213" i="22"/>
  <c r="I214" i="22"/>
  <c r="I215" i="22"/>
  <c r="I216" i="22"/>
  <c r="I217" i="22"/>
  <c r="I218" i="22"/>
  <c r="I219" i="22"/>
  <c r="I220" i="22"/>
  <c r="I221" i="22"/>
  <c r="I222" i="22"/>
  <c r="I192" i="22"/>
  <c r="I162" i="22"/>
  <c r="I163" i="22"/>
  <c r="I164" i="22"/>
  <c r="I165" i="22"/>
  <c r="I166" i="22"/>
  <c r="I167" i="22"/>
  <c r="I168" i="22"/>
  <c r="I169" i="22"/>
  <c r="I170" i="22"/>
  <c r="I171" i="22"/>
  <c r="I172" i="22"/>
  <c r="I173" i="22"/>
  <c r="I174" i="22"/>
  <c r="I175" i="22"/>
  <c r="I176" i="22"/>
  <c r="I177" i="22"/>
  <c r="I178" i="22"/>
  <c r="I179" i="22"/>
  <c r="I180" i="22"/>
  <c r="I181" i="22"/>
  <c r="I182" i="22"/>
  <c r="I183" i="22"/>
  <c r="I184" i="22"/>
  <c r="I185" i="22"/>
  <c r="I186" i="22"/>
  <c r="I187" i="22"/>
  <c r="I188" i="22"/>
  <c r="I189" i="22"/>
  <c r="I190" i="22"/>
  <c r="I191" i="22"/>
  <c r="I161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39" i="22"/>
  <c r="I132" i="22"/>
  <c r="I133" i="22"/>
  <c r="I134" i="22"/>
  <c r="I135" i="22"/>
  <c r="I136" i="22"/>
  <c r="I137" i="22"/>
  <c r="I138" i="22"/>
  <c r="I139" i="22"/>
  <c r="I140" i="22"/>
  <c r="I141" i="22"/>
  <c r="I142" i="22"/>
  <c r="I143" i="22"/>
  <c r="I144" i="22"/>
  <c r="I145" i="22"/>
  <c r="I146" i="22"/>
  <c r="I147" i="22"/>
  <c r="I148" i="22"/>
  <c r="I149" i="22"/>
  <c r="I150" i="22"/>
  <c r="I151" i="22"/>
  <c r="I152" i="22"/>
  <c r="I153" i="22"/>
  <c r="I154" i="22"/>
  <c r="I155" i="22"/>
  <c r="I156" i="22"/>
  <c r="I157" i="22"/>
  <c r="I158" i="22"/>
  <c r="I159" i="22"/>
  <c r="I160" i="22"/>
  <c r="I131" i="22"/>
  <c r="I101" i="22"/>
  <c r="I102" i="22"/>
  <c r="I103" i="22"/>
  <c r="I104" i="22"/>
  <c r="I105" i="22"/>
  <c r="I106" i="22"/>
  <c r="I107" i="22"/>
  <c r="I108" i="22"/>
  <c r="I109" i="22"/>
  <c r="I110" i="22"/>
  <c r="I111" i="22"/>
  <c r="I112" i="22"/>
  <c r="I113" i="22"/>
  <c r="I114" i="22"/>
  <c r="I115" i="22"/>
  <c r="I116" i="22"/>
  <c r="I117" i="22"/>
  <c r="I118" i="22"/>
  <c r="I119" i="22"/>
  <c r="I120" i="22"/>
  <c r="I121" i="22"/>
  <c r="I122" i="22"/>
  <c r="I123" i="22"/>
  <c r="I124" i="22"/>
  <c r="I125" i="22"/>
  <c r="I126" i="22"/>
  <c r="I127" i="22"/>
  <c r="I128" i="22"/>
  <c r="I129" i="22"/>
  <c r="I130" i="22"/>
  <c r="I100" i="22"/>
  <c r="I70" i="22"/>
  <c r="I71" i="22"/>
  <c r="I72" i="22"/>
  <c r="I73" i="22"/>
  <c r="I74" i="22"/>
  <c r="I75" i="22"/>
  <c r="I76" i="22"/>
  <c r="I77" i="22"/>
  <c r="I78" i="22"/>
  <c r="I79" i="22"/>
  <c r="I80" i="22"/>
  <c r="I81" i="22"/>
  <c r="I82" i="22"/>
  <c r="I83" i="22"/>
  <c r="I84" i="22"/>
  <c r="I85" i="22"/>
  <c r="I86" i="22"/>
  <c r="I87" i="22"/>
  <c r="I88" i="22"/>
  <c r="I89" i="22"/>
  <c r="I90" i="22"/>
  <c r="I91" i="22"/>
  <c r="I92" i="22"/>
  <c r="I93" i="22"/>
  <c r="I94" i="22"/>
  <c r="I95" i="22"/>
  <c r="I96" i="22"/>
  <c r="I97" i="22"/>
  <c r="I98" i="22"/>
  <c r="I99" i="22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2" i="22"/>
  <c r="I338" i="21"/>
  <c r="I339" i="21"/>
  <c r="I340" i="21"/>
  <c r="I341" i="21"/>
  <c r="I342" i="21"/>
  <c r="I343" i="21"/>
  <c r="I344" i="21"/>
  <c r="I345" i="21"/>
  <c r="I346" i="21"/>
  <c r="I347" i="21"/>
  <c r="I348" i="21"/>
  <c r="I349" i="21"/>
  <c r="I350" i="21"/>
  <c r="I351" i="21"/>
  <c r="I352" i="21"/>
  <c r="I353" i="21"/>
  <c r="I354" i="21"/>
  <c r="I355" i="21"/>
  <c r="I356" i="21"/>
  <c r="I357" i="21"/>
  <c r="I358" i="21"/>
  <c r="I359" i="21"/>
  <c r="I360" i="21"/>
  <c r="I361" i="21"/>
  <c r="I362" i="21"/>
  <c r="I363" i="21"/>
  <c r="I364" i="21"/>
  <c r="I365" i="21"/>
  <c r="I366" i="21"/>
  <c r="I367" i="21"/>
  <c r="I337" i="21"/>
  <c r="I308" i="21"/>
  <c r="I309" i="21"/>
  <c r="I310" i="21"/>
  <c r="I311" i="21"/>
  <c r="I312" i="21"/>
  <c r="I313" i="21"/>
  <c r="I314" i="21"/>
  <c r="I315" i="21"/>
  <c r="I316" i="21"/>
  <c r="I317" i="21"/>
  <c r="I318" i="21"/>
  <c r="I319" i="21"/>
  <c r="I320" i="21"/>
  <c r="I321" i="21"/>
  <c r="I322" i="21"/>
  <c r="I323" i="21"/>
  <c r="I324" i="21"/>
  <c r="I325" i="21"/>
  <c r="I326" i="21"/>
  <c r="I327" i="21"/>
  <c r="I328" i="21"/>
  <c r="I329" i="21"/>
  <c r="I330" i="21"/>
  <c r="I331" i="21"/>
  <c r="I332" i="21"/>
  <c r="I333" i="21"/>
  <c r="I334" i="21"/>
  <c r="I335" i="21"/>
  <c r="I336" i="21"/>
  <c r="I307" i="21"/>
  <c r="I276" i="21"/>
  <c r="I277" i="21"/>
  <c r="I278" i="21"/>
  <c r="I279" i="21"/>
  <c r="I280" i="21"/>
  <c r="I281" i="21"/>
  <c r="I282" i="21"/>
  <c r="I283" i="21"/>
  <c r="I284" i="21"/>
  <c r="I285" i="21"/>
  <c r="I286" i="21"/>
  <c r="I287" i="21"/>
  <c r="I288" i="21"/>
  <c r="I289" i="21"/>
  <c r="I290" i="21"/>
  <c r="I291" i="21"/>
  <c r="I292" i="21"/>
  <c r="I293" i="21"/>
  <c r="I294" i="21"/>
  <c r="I295" i="21"/>
  <c r="I296" i="21"/>
  <c r="I297" i="21"/>
  <c r="I298" i="21"/>
  <c r="I299" i="21"/>
  <c r="I300" i="21"/>
  <c r="I301" i="21"/>
  <c r="I302" i="21"/>
  <c r="I303" i="21"/>
  <c r="I304" i="21"/>
  <c r="I305" i="21"/>
  <c r="I306" i="21"/>
  <c r="I247" i="21"/>
  <c r="I248" i="21"/>
  <c r="I249" i="21"/>
  <c r="I250" i="21"/>
  <c r="I251" i="21"/>
  <c r="I252" i="21"/>
  <c r="I253" i="21"/>
  <c r="I254" i="21"/>
  <c r="I255" i="21"/>
  <c r="I256" i="21"/>
  <c r="I257" i="21"/>
  <c r="I258" i="21"/>
  <c r="I259" i="21"/>
  <c r="I260" i="21"/>
  <c r="I261" i="21"/>
  <c r="I262" i="21"/>
  <c r="I263" i="21"/>
  <c r="I264" i="21"/>
  <c r="I265" i="21"/>
  <c r="I266" i="21"/>
  <c r="I267" i="21"/>
  <c r="I268" i="21"/>
  <c r="I269" i="21"/>
  <c r="I270" i="21"/>
  <c r="I271" i="21"/>
  <c r="I272" i="21"/>
  <c r="I273" i="21"/>
  <c r="I274" i="21"/>
  <c r="I275" i="21"/>
  <c r="I246" i="21"/>
  <c r="I216" i="21"/>
  <c r="I217" i="21"/>
  <c r="I218" i="21"/>
  <c r="I219" i="21"/>
  <c r="I220" i="21"/>
  <c r="I221" i="21"/>
  <c r="I222" i="21"/>
  <c r="I223" i="21"/>
  <c r="I224" i="21"/>
  <c r="I225" i="21"/>
  <c r="I226" i="21"/>
  <c r="I227" i="21"/>
  <c r="I228" i="21"/>
  <c r="I229" i="21"/>
  <c r="I230" i="21"/>
  <c r="I231" i="21"/>
  <c r="I232" i="21"/>
  <c r="I233" i="21"/>
  <c r="I234" i="21"/>
  <c r="I235" i="21"/>
  <c r="I236" i="21"/>
  <c r="I237" i="21"/>
  <c r="I238" i="21"/>
  <c r="I239" i="21"/>
  <c r="I240" i="21"/>
  <c r="I241" i="21"/>
  <c r="I242" i="21"/>
  <c r="I243" i="21"/>
  <c r="I244" i="21"/>
  <c r="I245" i="21"/>
  <c r="I215" i="21"/>
  <c r="I153" i="21"/>
  <c r="I154" i="21"/>
  <c r="I155" i="21"/>
  <c r="I156" i="21"/>
  <c r="I157" i="21"/>
  <c r="I158" i="21"/>
  <c r="I159" i="21"/>
  <c r="I160" i="21"/>
  <c r="I161" i="21"/>
  <c r="I162" i="21"/>
  <c r="I163" i="21"/>
  <c r="I164" i="21"/>
  <c r="I165" i="21"/>
  <c r="I166" i="21"/>
  <c r="I167" i="21"/>
  <c r="I168" i="21"/>
  <c r="I169" i="21"/>
  <c r="I170" i="21"/>
  <c r="I171" i="21"/>
  <c r="I172" i="21"/>
  <c r="I173" i="21"/>
  <c r="I174" i="21"/>
  <c r="I175" i="21"/>
  <c r="I176" i="21"/>
  <c r="I177" i="21"/>
  <c r="I178" i="21"/>
  <c r="I179" i="21"/>
  <c r="I180" i="21"/>
  <c r="I181" i="21"/>
  <c r="I182" i="21"/>
  <c r="I183" i="21"/>
  <c r="I184" i="21"/>
  <c r="I185" i="21"/>
  <c r="I186" i="21"/>
  <c r="I187" i="21"/>
  <c r="I188" i="21"/>
  <c r="I189" i="21"/>
  <c r="I190" i="21"/>
  <c r="I191" i="21"/>
  <c r="I192" i="21"/>
  <c r="I193" i="21"/>
  <c r="I194" i="21"/>
  <c r="I195" i="21"/>
  <c r="I196" i="21"/>
  <c r="I197" i="21"/>
  <c r="I198" i="21"/>
  <c r="I199" i="21"/>
  <c r="I200" i="21"/>
  <c r="I201" i="21"/>
  <c r="I202" i="21"/>
  <c r="I203" i="21"/>
  <c r="I204" i="21"/>
  <c r="I205" i="21"/>
  <c r="I206" i="21"/>
  <c r="I207" i="21"/>
  <c r="I208" i="21"/>
  <c r="I209" i="21"/>
  <c r="I210" i="21"/>
  <c r="I211" i="21"/>
  <c r="I212" i="21"/>
  <c r="I213" i="21"/>
  <c r="I214" i="21"/>
  <c r="I92" i="21"/>
  <c r="I93" i="21"/>
  <c r="I94" i="21"/>
  <c r="I95" i="21"/>
  <c r="I96" i="21"/>
  <c r="I97" i="21"/>
  <c r="I98" i="21"/>
  <c r="I99" i="21"/>
  <c r="I100" i="21"/>
  <c r="I101" i="21"/>
  <c r="I102" i="21"/>
  <c r="I103" i="21"/>
  <c r="I104" i="21"/>
  <c r="I105" i="21"/>
  <c r="I106" i="21"/>
  <c r="I107" i="21"/>
  <c r="I108" i="21"/>
  <c r="I109" i="21"/>
  <c r="I110" i="21"/>
  <c r="I111" i="21"/>
  <c r="I112" i="21"/>
  <c r="I113" i="21"/>
  <c r="I114" i="21"/>
  <c r="I115" i="21"/>
  <c r="I116" i="21"/>
  <c r="I117" i="21"/>
  <c r="I118" i="21"/>
  <c r="I119" i="21"/>
  <c r="I120" i="21"/>
  <c r="I121" i="21"/>
  <c r="I122" i="21"/>
  <c r="I123" i="21"/>
  <c r="I124" i="21"/>
  <c r="I125" i="21"/>
  <c r="I126" i="21"/>
  <c r="I127" i="21"/>
  <c r="I128" i="21"/>
  <c r="I129" i="21"/>
  <c r="I130" i="21"/>
  <c r="I131" i="21"/>
  <c r="I132" i="21"/>
  <c r="I133" i="21"/>
  <c r="I134" i="21"/>
  <c r="I135" i="21"/>
  <c r="I136" i="21"/>
  <c r="I137" i="21"/>
  <c r="I138" i="21"/>
  <c r="I139" i="21"/>
  <c r="I140" i="21"/>
  <c r="I141" i="21"/>
  <c r="I142" i="21"/>
  <c r="I143" i="21"/>
  <c r="I144" i="21"/>
  <c r="I145" i="21"/>
  <c r="I146" i="21"/>
  <c r="I147" i="21"/>
  <c r="I148" i="21"/>
  <c r="I149" i="21"/>
  <c r="I150" i="21"/>
  <c r="I151" i="21"/>
  <c r="I152" i="21"/>
  <c r="I61" i="21"/>
  <c r="I62" i="21"/>
  <c r="I63" i="21"/>
  <c r="I64" i="21"/>
  <c r="I65" i="21"/>
  <c r="I66" i="21"/>
  <c r="I67" i="21"/>
  <c r="I68" i="21"/>
  <c r="I69" i="21"/>
  <c r="I70" i="21"/>
  <c r="I71" i="21"/>
  <c r="I72" i="21"/>
  <c r="I73" i="21"/>
  <c r="I74" i="21"/>
  <c r="I75" i="21"/>
  <c r="I76" i="21"/>
  <c r="I77" i="21"/>
  <c r="I78" i="21"/>
  <c r="I79" i="21"/>
  <c r="I80" i="21"/>
  <c r="I81" i="21"/>
  <c r="I82" i="21"/>
  <c r="I83" i="21"/>
  <c r="I84" i="21"/>
  <c r="I85" i="21"/>
  <c r="I86" i="21"/>
  <c r="I87" i="21"/>
  <c r="I88" i="21"/>
  <c r="I89" i="21"/>
  <c r="I90" i="21"/>
  <c r="I91" i="21"/>
  <c r="I33" i="21"/>
  <c r="I34" i="21"/>
  <c r="I35" i="21"/>
  <c r="I36" i="21"/>
  <c r="I37" i="21"/>
  <c r="I38" i="21"/>
  <c r="I39" i="21"/>
  <c r="I40" i="21"/>
  <c r="I41" i="21"/>
  <c r="I42" i="21"/>
  <c r="I43" i="21"/>
  <c r="I44" i="21"/>
  <c r="I45" i="21"/>
  <c r="I46" i="21"/>
  <c r="I47" i="21"/>
  <c r="I48" i="21"/>
  <c r="I49" i="21"/>
  <c r="I50" i="21"/>
  <c r="I51" i="21"/>
  <c r="I52" i="21"/>
  <c r="I53" i="21"/>
  <c r="I54" i="21"/>
  <c r="I55" i="21"/>
  <c r="I56" i="21"/>
  <c r="I57" i="21"/>
  <c r="I58" i="21"/>
  <c r="I59" i="21"/>
  <c r="I60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" i="21"/>
  <c r="I2" i="21"/>
  <c r="I306" i="20"/>
  <c r="I307" i="20"/>
  <c r="I308" i="20"/>
  <c r="I309" i="20"/>
  <c r="I310" i="20"/>
  <c r="I311" i="20"/>
  <c r="I312" i="20"/>
  <c r="I313" i="20"/>
  <c r="I314" i="20"/>
  <c r="I315" i="20"/>
  <c r="I316" i="20"/>
  <c r="I317" i="20"/>
  <c r="I318" i="20"/>
  <c r="I319" i="20"/>
  <c r="I320" i="20"/>
  <c r="I321" i="20"/>
  <c r="I305" i="20"/>
  <c r="I276" i="20"/>
  <c r="I277" i="20"/>
  <c r="I278" i="20"/>
  <c r="I279" i="20"/>
  <c r="I280" i="20"/>
  <c r="I281" i="20"/>
  <c r="I282" i="20"/>
  <c r="I283" i="20"/>
  <c r="I284" i="20"/>
  <c r="I285" i="20"/>
  <c r="I286" i="20"/>
  <c r="I287" i="20"/>
  <c r="I288" i="20"/>
  <c r="I289" i="20"/>
  <c r="I290" i="20"/>
  <c r="I291" i="20"/>
  <c r="I292" i="20"/>
  <c r="I293" i="20"/>
  <c r="I294" i="20"/>
  <c r="I295" i="20"/>
  <c r="I296" i="20"/>
  <c r="I297" i="20"/>
  <c r="I298" i="20"/>
  <c r="I299" i="20"/>
  <c r="I300" i="20"/>
  <c r="I301" i="20"/>
  <c r="I302" i="20"/>
  <c r="I303" i="20"/>
  <c r="I304" i="20"/>
  <c r="I275" i="20"/>
  <c r="I245" i="20"/>
  <c r="I246" i="20"/>
  <c r="I247" i="20"/>
  <c r="I248" i="20"/>
  <c r="I249" i="20"/>
  <c r="I250" i="20"/>
  <c r="I251" i="20"/>
  <c r="I252" i="20"/>
  <c r="I253" i="20"/>
  <c r="I254" i="20"/>
  <c r="I255" i="20"/>
  <c r="I256" i="20"/>
  <c r="I257" i="20"/>
  <c r="I258" i="20"/>
  <c r="I259" i="20"/>
  <c r="I260" i="20"/>
  <c r="I261" i="20"/>
  <c r="I262" i="20"/>
  <c r="I263" i="20"/>
  <c r="I264" i="20"/>
  <c r="I265" i="20"/>
  <c r="I266" i="20"/>
  <c r="I267" i="20"/>
  <c r="I268" i="20"/>
  <c r="I269" i="20"/>
  <c r="I270" i="20"/>
  <c r="I271" i="20"/>
  <c r="I272" i="20"/>
  <c r="I273" i="20"/>
  <c r="I274" i="20"/>
  <c r="I244" i="20"/>
  <c r="I215" i="20"/>
  <c r="I216" i="20"/>
  <c r="I217" i="20"/>
  <c r="I218" i="20"/>
  <c r="I219" i="20"/>
  <c r="I220" i="20"/>
  <c r="I221" i="20"/>
  <c r="I222" i="20"/>
  <c r="I223" i="20"/>
  <c r="I224" i="20"/>
  <c r="I225" i="20"/>
  <c r="I226" i="20"/>
  <c r="I227" i="20"/>
  <c r="I228" i="20"/>
  <c r="I229" i="20"/>
  <c r="I230" i="20"/>
  <c r="I231" i="20"/>
  <c r="I232" i="20"/>
  <c r="I233" i="20"/>
  <c r="I234" i="20"/>
  <c r="I235" i="20"/>
  <c r="I236" i="20"/>
  <c r="I237" i="20"/>
  <c r="I238" i="20"/>
  <c r="I239" i="20"/>
  <c r="I240" i="20"/>
  <c r="I241" i="20"/>
  <c r="I242" i="20"/>
  <c r="I243" i="20"/>
  <c r="I214" i="20"/>
  <c r="I154" i="20"/>
  <c r="I155" i="20"/>
  <c r="I156" i="20"/>
  <c r="I157" i="20"/>
  <c r="I158" i="20"/>
  <c r="I159" i="20"/>
  <c r="I160" i="20"/>
  <c r="I161" i="20"/>
  <c r="I162" i="20"/>
  <c r="I163" i="20"/>
  <c r="I164" i="20"/>
  <c r="I165" i="20"/>
  <c r="I166" i="20"/>
  <c r="I167" i="20"/>
  <c r="I168" i="20"/>
  <c r="I169" i="20"/>
  <c r="I170" i="20"/>
  <c r="I171" i="20"/>
  <c r="I172" i="20"/>
  <c r="I173" i="20"/>
  <c r="I174" i="20"/>
  <c r="I175" i="20"/>
  <c r="I176" i="20"/>
  <c r="I177" i="20"/>
  <c r="I178" i="20"/>
  <c r="I179" i="20"/>
  <c r="I180" i="20"/>
  <c r="I181" i="20"/>
  <c r="I182" i="20"/>
  <c r="I183" i="20"/>
  <c r="I184" i="20"/>
  <c r="I185" i="20"/>
  <c r="I186" i="20"/>
  <c r="I187" i="20"/>
  <c r="I188" i="20"/>
  <c r="I189" i="20"/>
  <c r="I190" i="20"/>
  <c r="I191" i="20"/>
  <c r="I192" i="20"/>
  <c r="I193" i="20"/>
  <c r="I194" i="20"/>
  <c r="I195" i="20"/>
  <c r="I196" i="20"/>
  <c r="I197" i="20"/>
  <c r="I198" i="20"/>
  <c r="I199" i="20"/>
  <c r="I200" i="20"/>
  <c r="I201" i="20"/>
  <c r="I202" i="20"/>
  <c r="I203" i="20"/>
  <c r="I204" i="20"/>
  <c r="I205" i="20"/>
  <c r="I206" i="20"/>
  <c r="I207" i="20"/>
  <c r="I208" i="20"/>
  <c r="I209" i="20"/>
  <c r="I210" i="20"/>
  <c r="I211" i="20"/>
  <c r="I212" i="20"/>
  <c r="I213" i="20"/>
  <c r="I153" i="20"/>
  <c r="I122" i="20"/>
  <c r="I123" i="20"/>
  <c r="I124" i="20"/>
  <c r="I125" i="20"/>
  <c r="I126" i="20"/>
  <c r="I127" i="20"/>
  <c r="I128" i="20"/>
  <c r="I129" i="20"/>
  <c r="I130" i="20"/>
  <c r="I131" i="20"/>
  <c r="I132" i="20"/>
  <c r="I133" i="20"/>
  <c r="I134" i="20"/>
  <c r="I135" i="20"/>
  <c r="I136" i="20"/>
  <c r="I137" i="20"/>
  <c r="I138" i="20"/>
  <c r="I139" i="20"/>
  <c r="I140" i="20"/>
  <c r="I141" i="20"/>
  <c r="I142" i="20"/>
  <c r="I143" i="20"/>
  <c r="I144" i="20"/>
  <c r="I145" i="20"/>
  <c r="I146" i="20"/>
  <c r="I147" i="20"/>
  <c r="I148" i="20"/>
  <c r="I149" i="20"/>
  <c r="I150" i="20"/>
  <c r="I151" i="20"/>
  <c r="I152" i="20"/>
  <c r="I93" i="20"/>
  <c r="I94" i="20"/>
  <c r="I95" i="20"/>
  <c r="I96" i="20"/>
  <c r="I97" i="20"/>
  <c r="I98" i="20"/>
  <c r="I99" i="20"/>
  <c r="I100" i="20"/>
  <c r="I101" i="20"/>
  <c r="I102" i="20"/>
  <c r="I103" i="20"/>
  <c r="I104" i="20"/>
  <c r="I105" i="20"/>
  <c r="I106" i="20"/>
  <c r="I107" i="20"/>
  <c r="I108" i="20"/>
  <c r="I109" i="20"/>
  <c r="I110" i="20"/>
  <c r="I111" i="20"/>
  <c r="I112" i="20"/>
  <c r="I113" i="20"/>
  <c r="I114" i="20"/>
  <c r="I115" i="20"/>
  <c r="I116" i="20"/>
  <c r="I117" i="20"/>
  <c r="I118" i="20"/>
  <c r="I119" i="20"/>
  <c r="I120" i="20"/>
  <c r="I121" i="20"/>
  <c r="I92" i="20"/>
  <c r="I61" i="20"/>
  <c r="I62" i="20"/>
  <c r="I63" i="20"/>
  <c r="I64" i="20"/>
  <c r="I65" i="20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I85" i="20"/>
  <c r="I86" i="20"/>
  <c r="I87" i="20"/>
  <c r="I88" i="20"/>
  <c r="I89" i="20"/>
  <c r="I90" i="20"/>
  <c r="I91" i="20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3" i="20"/>
  <c r="I2" i="20"/>
  <c r="H306" i="19"/>
  <c r="H307" i="19"/>
  <c r="H308" i="19"/>
  <c r="H309" i="19"/>
  <c r="H310" i="19"/>
  <c r="H311" i="19"/>
  <c r="H312" i="19"/>
  <c r="H313" i="19"/>
  <c r="H314" i="19"/>
  <c r="H315" i="19"/>
  <c r="H316" i="19"/>
  <c r="H317" i="19"/>
  <c r="H318" i="19"/>
  <c r="H319" i="19"/>
  <c r="H320" i="19"/>
  <c r="H321" i="19"/>
  <c r="H322" i="19"/>
  <c r="H323" i="19"/>
  <c r="H324" i="19"/>
  <c r="H325" i="19"/>
  <c r="H326" i="19"/>
  <c r="H327" i="19"/>
  <c r="H328" i="19"/>
  <c r="H329" i="19"/>
  <c r="H330" i="19"/>
  <c r="H331" i="19"/>
  <c r="H332" i="19"/>
  <c r="H333" i="19"/>
  <c r="H334" i="19"/>
  <c r="H335" i="19"/>
  <c r="H336" i="19"/>
  <c r="H337" i="19"/>
  <c r="H338" i="19"/>
  <c r="H339" i="19"/>
  <c r="H340" i="19"/>
  <c r="H341" i="19"/>
  <c r="H342" i="19"/>
  <c r="H343" i="19"/>
  <c r="H344" i="19"/>
  <c r="H345" i="19"/>
  <c r="H346" i="19"/>
  <c r="H347" i="19"/>
  <c r="H348" i="19"/>
  <c r="H349" i="19"/>
  <c r="H350" i="19"/>
  <c r="H351" i="19"/>
  <c r="H352" i="19"/>
  <c r="H353" i="19"/>
  <c r="H354" i="19"/>
  <c r="H355" i="19"/>
  <c r="H356" i="19"/>
  <c r="H357" i="19"/>
  <c r="H358" i="19"/>
  <c r="H359" i="19"/>
  <c r="H360" i="19"/>
  <c r="H361" i="19"/>
  <c r="H362" i="19"/>
  <c r="H363" i="19"/>
  <c r="H364" i="19"/>
  <c r="H365" i="19"/>
  <c r="H366" i="19"/>
  <c r="H275" i="19"/>
  <c r="H276" i="19"/>
  <c r="H277" i="19"/>
  <c r="H278" i="19"/>
  <c r="H279" i="19"/>
  <c r="H280" i="19"/>
  <c r="H281" i="19"/>
  <c r="H282" i="19"/>
  <c r="H283" i="19"/>
  <c r="H284" i="19"/>
  <c r="H285" i="19"/>
  <c r="H286" i="19"/>
  <c r="H287" i="19"/>
  <c r="H288" i="19"/>
  <c r="H289" i="19"/>
  <c r="H290" i="19"/>
  <c r="H291" i="19"/>
  <c r="H292" i="19"/>
  <c r="H293" i="19"/>
  <c r="H294" i="19"/>
  <c r="H295" i="19"/>
  <c r="H296" i="19"/>
  <c r="H297" i="19"/>
  <c r="H298" i="19"/>
  <c r="H299" i="19"/>
  <c r="H300" i="19"/>
  <c r="H301" i="19"/>
  <c r="H302" i="19"/>
  <c r="H303" i="19"/>
  <c r="H304" i="19"/>
  <c r="H305" i="19"/>
  <c r="H246" i="19"/>
  <c r="H247" i="19"/>
  <c r="H248" i="19"/>
  <c r="H249" i="19"/>
  <c r="H250" i="19"/>
  <c r="H251" i="19"/>
  <c r="H252" i="19"/>
  <c r="H253" i="19"/>
  <c r="H254" i="19"/>
  <c r="H255" i="19"/>
  <c r="H256" i="19"/>
  <c r="H257" i="19"/>
  <c r="H258" i="19"/>
  <c r="H259" i="19"/>
  <c r="H260" i="19"/>
  <c r="H261" i="19"/>
  <c r="H262" i="19"/>
  <c r="H263" i="19"/>
  <c r="H264" i="19"/>
  <c r="H265" i="19"/>
  <c r="H266" i="19"/>
  <c r="H267" i="19"/>
  <c r="H268" i="19"/>
  <c r="H269" i="19"/>
  <c r="H270" i="19"/>
  <c r="H271" i="19"/>
  <c r="H272" i="19"/>
  <c r="H273" i="19"/>
  <c r="H274" i="19"/>
  <c r="H245" i="19"/>
  <c r="H214" i="19"/>
  <c r="H215" i="19"/>
  <c r="H216" i="19"/>
  <c r="H217" i="19"/>
  <c r="H218" i="19"/>
  <c r="H219" i="19"/>
  <c r="H220" i="19"/>
  <c r="H221" i="19"/>
  <c r="H222" i="19"/>
  <c r="H223" i="19"/>
  <c r="H224" i="19"/>
  <c r="H225" i="19"/>
  <c r="H226" i="19"/>
  <c r="H227" i="19"/>
  <c r="H228" i="19"/>
  <c r="H229" i="19"/>
  <c r="H230" i="19"/>
  <c r="H231" i="19"/>
  <c r="H232" i="19"/>
  <c r="H233" i="19"/>
  <c r="H234" i="19"/>
  <c r="H235" i="19"/>
  <c r="H236" i="19"/>
  <c r="H237" i="19"/>
  <c r="H238" i="19"/>
  <c r="H239" i="19"/>
  <c r="H240" i="19"/>
  <c r="H241" i="19"/>
  <c r="H242" i="19"/>
  <c r="H243" i="19"/>
  <c r="H244" i="19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58" i="19"/>
  <c r="H59" i="19"/>
  <c r="H60" i="19"/>
  <c r="H61" i="19"/>
  <c r="H62" i="19"/>
  <c r="H63" i="19"/>
  <c r="H64" i="19"/>
  <c r="H65" i="19"/>
  <c r="H66" i="19"/>
  <c r="H67" i="19"/>
  <c r="H68" i="19"/>
  <c r="H69" i="19"/>
  <c r="H70" i="19"/>
  <c r="H71" i="19"/>
  <c r="H72" i="19"/>
  <c r="H73" i="19"/>
  <c r="H74" i="19"/>
  <c r="H75" i="19"/>
  <c r="H76" i="19"/>
  <c r="H77" i="19"/>
  <c r="H78" i="19"/>
  <c r="H79" i="19"/>
  <c r="H80" i="19"/>
  <c r="H81" i="19"/>
  <c r="H82" i="19"/>
  <c r="H83" i="19"/>
  <c r="H84" i="19"/>
  <c r="H85" i="19"/>
  <c r="H86" i="19"/>
  <c r="H87" i="19"/>
  <c r="H88" i="19"/>
  <c r="H89" i="19"/>
  <c r="H90" i="19"/>
  <c r="H91" i="19"/>
  <c r="H92" i="19"/>
  <c r="H93" i="19"/>
  <c r="H94" i="19"/>
  <c r="H95" i="19"/>
  <c r="H96" i="19"/>
  <c r="H97" i="19"/>
  <c r="H98" i="19"/>
  <c r="H99" i="19"/>
  <c r="H100" i="19"/>
  <c r="H101" i="19"/>
  <c r="H102" i="19"/>
  <c r="H103" i="19"/>
  <c r="H104" i="19"/>
  <c r="H105" i="19"/>
  <c r="H106" i="19"/>
  <c r="H107" i="19"/>
  <c r="H108" i="19"/>
  <c r="H109" i="19"/>
  <c r="H110" i="19"/>
  <c r="H111" i="19"/>
  <c r="H112" i="19"/>
  <c r="H113" i="19"/>
  <c r="H114" i="19"/>
  <c r="H115" i="19"/>
  <c r="H116" i="19"/>
  <c r="H117" i="19"/>
  <c r="H118" i="19"/>
  <c r="H119" i="19"/>
  <c r="H120" i="19"/>
  <c r="H121" i="19"/>
  <c r="H122" i="19"/>
  <c r="H123" i="19"/>
  <c r="H124" i="19"/>
  <c r="H125" i="19"/>
  <c r="H126" i="19"/>
  <c r="H127" i="19"/>
  <c r="H128" i="19"/>
  <c r="H129" i="19"/>
  <c r="H130" i="19"/>
  <c r="H131" i="19"/>
  <c r="H132" i="19"/>
  <c r="H133" i="19"/>
  <c r="H134" i="19"/>
  <c r="H135" i="19"/>
  <c r="H136" i="19"/>
  <c r="H137" i="19"/>
  <c r="H138" i="19"/>
  <c r="H139" i="19"/>
  <c r="H140" i="19"/>
  <c r="H141" i="19"/>
  <c r="H142" i="19"/>
  <c r="H143" i="19"/>
  <c r="H144" i="19"/>
  <c r="H145" i="19"/>
  <c r="H146" i="19"/>
  <c r="H147" i="19"/>
  <c r="H148" i="19"/>
  <c r="H149" i="19"/>
  <c r="H150" i="19"/>
  <c r="H151" i="19"/>
  <c r="H152" i="19"/>
  <c r="H153" i="19"/>
  <c r="H154" i="19"/>
  <c r="H155" i="19"/>
  <c r="H156" i="19"/>
  <c r="H157" i="19"/>
  <c r="H158" i="19"/>
  <c r="H159" i="19"/>
  <c r="H160" i="19"/>
  <c r="H161" i="19"/>
  <c r="H162" i="19"/>
  <c r="H163" i="19"/>
  <c r="H164" i="19"/>
  <c r="H165" i="19"/>
  <c r="H166" i="19"/>
  <c r="H167" i="19"/>
  <c r="H168" i="19"/>
  <c r="H169" i="19"/>
  <c r="H170" i="19"/>
  <c r="H171" i="19"/>
  <c r="H172" i="19"/>
  <c r="H173" i="19"/>
  <c r="H174" i="19"/>
  <c r="H175" i="19"/>
  <c r="H176" i="19"/>
  <c r="H177" i="19"/>
  <c r="H178" i="19"/>
  <c r="H179" i="19"/>
  <c r="H180" i="19"/>
  <c r="H181" i="19"/>
  <c r="H182" i="19"/>
  <c r="H183" i="19"/>
  <c r="H184" i="19"/>
  <c r="H185" i="19"/>
  <c r="H186" i="19"/>
  <c r="H187" i="19"/>
  <c r="H188" i="19"/>
  <c r="H189" i="19"/>
  <c r="H190" i="19"/>
  <c r="H191" i="19"/>
  <c r="H192" i="19"/>
  <c r="H193" i="19"/>
  <c r="H194" i="19"/>
  <c r="H195" i="19"/>
  <c r="H196" i="19"/>
  <c r="H197" i="19"/>
  <c r="H198" i="19"/>
  <c r="H199" i="19"/>
  <c r="H200" i="19"/>
  <c r="H201" i="19"/>
  <c r="H202" i="19"/>
  <c r="H203" i="19"/>
  <c r="H204" i="19"/>
  <c r="H205" i="19"/>
  <c r="H206" i="19"/>
  <c r="H207" i="19"/>
  <c r="H208" i="19"/>
  <c r="H209" i="19"/>
  <c r="H210" i="19"/>
  <c r="H211" i="19"/>
  <c r="H212" i="19"/>
  <c r="H213" i="19"/>
  <c r="H2" i="19"/>
  <c r="H3" i="19"/>
  <c r="I337" i="18"/>
  <c r="I338" i="18"/>
  <c r="I339" i="18"/>
  <c r="I340" i="18"/>
  <c r="I341" i="18"/>
  <c r="I342" i="18"/>
  <c r="I343" i="18"/>
  <c r="I344" i="18"/>
  <c r="I345" i="18"/>
  <c r="I346" i="18"/>
  <c r="I347" i="18"/>
  <c r="I348" i="18"/>
  <c r="I349" i="18"/>
  <c r="I350" i="18"/>
  <c r="I336" i="18"/>
  <c r="I307" i="18"/>
  <c r="I308" i="18"/>
  <c r="I309" i="18"/>
  <c r="I310" i="18"/>
  <c r="I311" i="18"/>
  <c r="I312" i="18"/>
  <c r="I313" i="18"/>
  <c r="I314" i="18"/>
  <c r="I315" i="18"/>
  <c r="I316" i="18"/>
  <c r="I317" i="18"/>
  <c r="I318" i="18"/>
  <c r="I319" i="18"/>
  <c r="I320" i="18"/>
  <c r="I321" i="18"/>
  <c r="I322" i="18"/>
  <c r="I323" i="18"/>
  <c r="I324" i="18"/>
  <c r="I325" i="18"/>
  <c r="I326" i="18"/>
  <c r="I327" i="18"/>
  <c r="I328" i="18"/>
  <c r="I329" i="18"/>
  <c r="I330" i="18"/>
  <c r="I331" i="18"/>
  <c r="I332" i="18"/>
  <c r="I333" i="18"/>
  <c r="I334" i="18"/>
  <c r="I335" i="18"/>
  <c r="I306" i="18"/>
  <c r="I275" i="18"/>
  <c r="I276" i="18"/>
  <c r="I277" i="18"/>
  <c r="I278" i="18"/>
  <c r="I279" i="18"/>
  <c r="I280" i="18"/>
  <c r="I281" i="18"/>
  <c r="I282" i="18"/>
  <c r="I283" i="18"/>
  <c r="I284" i="18"/>
  <c r="I285" i="18"/>
  <c r="I286" i="18"/>
  <c r="I287" i="18"/>
  <c r="I288" i="18"/>
  <c r="I289" i="18"/>
  <c r="I290" i="18"/>
  <c r="I291" i="18"/>
  <c r="I292" i="18"/>
  <c r="I293" i="18"/>
  <c r="I294" i="18"/>
  <c r="I295" i="18"/>
  <c r="I296" i="18"/>
  <c r="I297" i="18"/>
  <c r="I298" i="18"/>
  <c r="I299" i="18"/>
  <c r="I300" i="18"/>
  <c r="I301" i="18"/>
  <c r="I302" i="18"/>
  <c r="I303" i="18"/>
  <c r="I304" i="18"/>
  <c r="I305" i="18"/>
  <c r="I246" i="18"/>
  <c r="I247" i="18"/>
  <c r="I248" i="18"/>
  <c r="I249" i="18"/>
  <c r="I250" i="18"/>
  <c r="I251" i="18"/>
  <c r="I252" i="18"/>
  <c r="I253" i="18"/>
  <c r="I254" i="18"/>
  <c r="I255" i="18"/>
  <c r="I256" i="18"/>
  <c r="I257" i="18"/>
  <c r="I258" i="18"/>
  <c r="I259" i="18"/>
  <c r="I260" i="18"/>
  <c r="I261" i="18"/>
  <c r="I262" i="18"/>
  <c r="I263" i="18"/>
  <c r="I264" i="18"/>
  <c r="I265" i="18"/>
  <c r="I266" i="18"/>
  <c r="I267" i="18"/>
  <c r="I268" i="18"/>
  <c r="I269" i="18"/>
  <c r="I270" i="18"/>
  <c r="I271" i="18"/>
  <c r="I272" i="18"/>
  <c r="I273" i="18"/>
  <c r="I274" i="18"/>
  <c r="I245" i="18"/>
  <c r="I214" i="18"/>
  <c r="I215" i="18"/>
  <c r="I216" i="18"/>
  <c r="I217" i="18"/>
  <c r="I218" i="18"/>
  <c r="I219" i="18"/>
  <c r="I220" i="18"/>
  <c r="I221" i="18"/>
  <c r="I222" i="18"/>
  <c r="I223" i="18"/>
  <c r="I224" i="18"/>
  <c r="I225" i="18"/>
  <c r="I226" i="18"/>
  <c r="I227" i="18"/>
  <c r="I228" i="18"/>
  <c r="I229" i="18"/>
  <c r="I230" i="18"/>
  <c r="I231" i="18"/>
  <c r="I232" i="18"/>
  <c r="I233" i="18"/>
  <c r="I234" i="18"/>
  <c r="I235" i="18"/>
  <c r="I236" i="18"/>
  <c r="I237" i="18"/>
  <c r="I238" i="18"/>
  <c r="I239" i="18"/>
  <c r="I240" i="18"/>
  <c r="I241" i="18"/>
  <c r="I242" i="18"/>
  <c r="I243" i="18"/>
  <c r="I244" i="18"/>
  <c r="I183" i="18"/>
  <c r="I184" i="18"/>
  <c r="I185" i="18"/>
  <c r="I186" i="18"/>
  <c r="I187" i="18"/>
  <c r="I188" i="18"/>
  <c r="I189" i="18"/>
  <c r="I190" i="18"/>
  <c r="I191" i="18"/>
  <c r="I192" i="18"/>
  <c r="I193" i="18"/>
  <c r="I194" i="18"/>
  <c r="I195" i="18"/>
  <c r="I196" i="18"/>
  <c r="I197" i="18"/>
  <c r="I198" i="18"/>
  <c r="I199" i="18"/>
  <c r="I200" i="18"/>
  <c r="I201" i="18"/>
  <c r="I202" i="18"/>
  <c r="I203" i="18"/>
  <c r="I204" i="18"/>
  <c r="I205" i="18"/>
  <c r="I206" i="18"/>
  <c r="I207" i="18"/>
  <c r="I208" i="18"/>
  <c r="I209" i="18"/>
  <c r="I210" i="18"/>
  <c r="I211" i="18"/>
  <c r="I212" i="18"/>
  <c r="I213" i="18"/>
  <c r="I154" i="18"/>
  <c r="I155" i="18"/>
  <c r="I156" i="18"/>
  <c r="I157" i="18"/>
  <c r="I158" i="18"/>
  <c r="I159" i="18"/>
  <c r="I160" i="18"/>
  <c r="I161" i="18"/>
  <c r="I162" i="18"/>
  <c r="I163" i="18"/>
  <c r="I164" i="18"/>
  <c r="I165" i="18"/>
  <c r="I166" i="18"/>
  <c r="I167" i="18"/>
  <c r="I168" i="18"/>
  <c r="I169" i="18"/>
  <c r="I170" i="18"/>
  <c r="I171" i="18"/>
  <c r="I172" i="18"/>
  <c r="I173" i="18"/>
  <c r="I174" i="18"/>
  <c r="I175" i="18"/>
  <c r="I176" i="18"/>
  <c r="I177" i="18"/>
  <c r="I178" i="18"/>
  <c r="I179" i="18"/>
  <c r="I180" i="18"/>
  <c r="I181" i="18"/>
  <c r="I182" i="18"/>
  <c r="I153" i="18"/>
  <c r="I4" i="18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2" i="18"/>
  <c r="I53" i="18"/>
  <c r="I54" i="18"/>
  <c r="I55" i="18"/>
  <c r="I56" i="18"/>
  <c r="I57" i="18"/>
  <c r="I58" i="18"/>
  <c r="I59" i="18"/>
  <c r="I60" i="18"/>
  <c r="I61" i="18"/>
  <c r="I62" i="18"/>
  <c r="I63" i="18"/>
  <c r="I64" i="18"/>
  <c r="I65" i="18"/>
  <c r="I66" i="18"/>
  <c r="I67" i="18"/>
  <c r="I68" i="18"/>
  <c r="I69" i="18"/>
  <c r="I70" i="18"/>
  <c r="I71" i="18"/>
  <c r="I72" i="18"/>
  <c r="I73" i="18"/>
  <c r="I74" i="18"/>
  <c r="I75" i="18"/>
  <c r="I76" i="18"/>
  <c r="I77" i="18"/>
  <c r="I78" i="18"/>
  <c r="I79" i="18"/>
  <c r="I80" i="18"/>
  <c r="I81" i="18"/>
  <c r="I82" i="18"/>
  <c r="I83" i="18"/>
  <c r="I84" i="18"/>
  <c r="I85" i="18"/>
  <c r="I86" i="18"/>
  <c r="I87" i="18"/>
  <c r="I88" i="18"/>
  <c r="I89" i="18"/>
  <c r="I90" i="18"/>
  <c r="I91" i="18"/>
  <c r="I92" i="18"/>
  <c r="I93" i="18"/>
  <c r="I94" i="18"/>
  <c r="I95" i="18"/>
  <c r="I96" i="18"/>
  <c r="I97" i="18"/>
  <c r="I98" i="18"/>
  <c r="I99" i="18"/>
  <c r="I100" i="18"/>
  <c r="I101" i="18"/>
  <c r="I102" i="18"/>
  <c r="I103" i="18"/>
  <c r="I104" i="18"/>
  <c r="I105" i="18"/>
  <c r="I106" i="18"/>
  <c r="I107" i="18"/>
  <c r="I108" i="18"/>
  <c r="I109" i="18"/>
  <c r="I110" i="18"/>
  <c r="I111" i="18"/>
  <c r="I112" i="18"/>
  <c r="I113" i="18"/>
  <c r="I114" i="18"/>
  <c r="I115" i="18"/>
  <c r="I116" i="18"/>
  <c r="I117" i="18"/>
  <c r="I118" i="18"/>
  <c r="I119" i="18"/>
  <c r="I120" i="18"/>
  <c r="I121" i="18"/>
  <c r="I122" i="18"/>
  <c r="I123" i="18"/>
  <c r="I124" i="18"/>
  <c r="I125" i="18"/>
  <c r="I126" i="18"/>
  <c r="I127" i="18"/>
  <c r="I128" i="18"/>
  <c r="I129" i="18"/>
  <c r="I130" i="18"/>
  <c r="I131" i="18"/>
  <c r="I132" i="18"/>
  <c r="I133" i="18"/>
  <c r="I134" i="18"/>
  <c r="I135" i="18"/>
  <c r="I136" i="18"/>
  <c r="I137" i="18"/>
  <c r="I138" i="18"/>
  <c r="I139" i="18"/>
  <c r="I140" i="18"/>
  <c r="I141" i="18"/>
  <c r="I142" i="18"/>
  <c r="I143" i="18"/>
  <c r="I144" i="18"/>
  <c r="I145" i="18"/>
  <c r="I146" i="18"/>
  <c r="I147" i="18"/>
  <c r="I148" i="18"/>
  <c r="I149" i="18"/>
  <c r="I150" i="18"/>
  <c r="I151" i="18"/>
  <c r="I152" i="18"/>
  <c r="I3" i="18"/>
  <c r="I2" i="18"/>
  <c r="I2" i="17"/>
  <c r="I3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I176" i="17"/>
  <c r="I177" i="17"/>
  <c r="I178" i="17"/>
  <c r="I179" i="17"/>
  <c r="I180" i="17"/>
  <c r="I181" i="17"/>
  <c r="I182" i="17"/>
  <c r="I183" i="17"/>
  <c r="I184" i="17"/>
  <c r="I185" i="17"/>
  <c r="I186" i="17"/>
  <c r="I187" i="17"/>
  <c r="I188" i="17"/>
  <c r="I189" i="17"/>
  <c r="I190" i="17"/>
  <c r="I191" i="17"/>
  <c r="I192" i="17"/>
  <c r="I193" i="17"/>
  <c r="I194" i="17"/>
  <c r="I195" i="17"/>
  <c r="I196" i="17"/>
  <c r="I197" i="17"/>
  <c r="I198" i="17"/>
  <c r="I199" i="17"/>
  <c r="I200" i="17"/>
  <c r="I201" i="17"/>
  <c r="I202" i="17"/>
  <c r="I203" i="17"/>
  <c r="I204" i="17"/>
  <c r="I205" i="17"/>
  <c r="I206" i="17"/>
  <c r="I207" i="17"/>
  <c r="I208" i="17"/>
  <c r="I209" i="17"/>
  <c r="I210" i="17"/>
  <c r="I211" i="17"/>
  <c r="I212" i="17"/>
  <c r="I213" i="17"/>
  <c r="I214" i="17"/>
  <c r="I215" i="17"/>
  <c r="I216" i="17"/>
  <c r="I217" i="17"/>
  <c r="I218" i="17"/>
  <c r="I219" i="17"/>
  <c r="I220" i="17"/>
  <c r="I221" i="17"/>
  <c r="I222" i="17"/>
  <c r="I223" i="17"/>
  <c r="I224" i="17"/>
  <c r="I225" i="17"/>
  <c r="I226" i="17"/>
  <c r="I227" i="17"/>
  <c r="I228" i="17"/>
  <c r="I229" i="17"/>
  <c r="I230" i="17"/>
  <c r="I231" i="17"/>
  <c r="I232" i="17"/>
  <c r="I233" i="17"/>
  <c r="I234" i="17"/>
  <c r="I235" i="17"/>
  <c r="I236" i="17"/>
  <c r="I237" i="17"/>
  <c r="I238" i="17"/>
  <c r="I239" i="17"/>
  <c r="I240" i="17"/>
  <c r="I241" i="17"/>
  <c r="I242" i="17"/>
  <c r="I243" i="17"/>
  <c r="I244" i="17"/>
  <c r="I245" i="17"/>
  <c r="I246" i="17"/>
  <c r="I247" i="17"/>
  <c r="I248" i="17"/>
  <c r="I249" i="17"/>
  <c r="I250" i="17"/>
  <c r="I251" i="17"/>
  <c r="I252" i="17"/>
  <c r="I253" i="17"/>
  <c r="I254" i="17"/>
  <c r="I255" i="17"/>
  <c r="I256" i="17"/>
  <c r="I257" i="17"/>
  <c r="I258" i="17"/>
  <c r="I259" i="17"/>
  <c r="I260" i="17"/>
  <c r="I261" i="17"/>
  <c r="I262" i="17"/>
  <c r="I263" i="17"/>
  <c r="I264" i="17"/>
  <c r="I265" i="17"/>
  <c r="I266" i="17"/>
  <c r="I267" i="17"/>
  <c r="I268" i="17"/>
  <c r="I269" i="17"/>
  <c r="I270" i="17"/>
  <c r="I271" i="17"/>
  <c r="I272" i="17"/>
  <c r="I273" i="17"/>
  <c r="I274" i="17"/>
  <c r="I275" i="17"/>
  <c r="I276" i="17"/>
  <c r="I277" i="17"/>
  <c r="I278" i="17"/>
  <c r="I279" i="17"/>
  <c r="I280" i="17"/>
  <c r="I281" i="17"/>
  <c r="I282" i="17"/>
  <c r="I283" i="17"/>
  <c r="I284" i="17"/>
  <c r="I285" i="17"/>
  <c r="I286" i="17"/>
  <c r="I287" i="17"/>
  <c r="I288" i="17"/>
  <c r="I289" i="17"/>
  <c r="I290" i="17"/>
  <c r="I291" i="17"/>
  <c r="I292" i="17"/>
  <c r="I293" i="17"/>
  <c r="I294" i="17"/>
  <c r="I295" i="17"/>
  <c r="I296" i="17"/>
  <c r="I297" i="17"/>
  <c r="I298" i="17"/>
  <c r="I299" i="17"/>
  <c r="I300" i="17"/>
  <c r="I301" i="17"/>
  <c r="I302" i="17"/>
  <c r="I303" i="17"/>
  <c r="I304" i="17"/>
  <c r="I305" i="17"/>
  <c r="I306" i="17"/>
  <c r="I307" i="17"/>
  <c r="I308" i="17"/>
  <c r="I309" i="17"/>
  <c r="I310" i="17"/>
  <c r="I311" i="17"/>
  <c r="I312" i="17"/>
  <c r="I313" i="17"/>
  <c r="I314" i="17"/>
  <c r="I315" i="17"/>
  <c r="I316" i="17"/>
  <c r="I317" i="17"/>
  <c r="I318" i="17"/>
  <c r="I319" i="17"/>
  <c r="I320" i="17"/>
  <c r="I321" i="17"/>
  <c r="I322" i="17"/>
  <c r="I323" i="17"/>
  <c r="I324" i="17"/>
  <c r="I325" i="17"/>
  <c r="I326" i="17"/>
  <c r="I327" i="17"/>
  <c r="I328" i="17"/>
  <c r="I329" i="17"/>
  <c r="I330" i="17"/>
  <c r="I331" i="17"/>
  <c r="I332" i="17"/>
  <c r="I333" i="17"/>
  <c r="I334" i="17"/>
  <c r="I335" i="17"/>
  <c r="I336" i="17"/>
  <c r="I337" i="17"/>
  <c r="I338" i="17"/>
  <c r="I339" i="17"/>
  <c r="I340" i="17"/>
  <c r="I341" i="17"/>
  <c r="I342" i="17"/>
  <c r="I343" i="17"/>
  <c r="I344" i="17"/>
  <c r="I345" i="17"/>
  <c r="I346" i="17"/>
  <c r="I347" i="17"/>
  <c r="I348" i="17"/>
  <c r="I349" i="17"/>
  <c r="I350" i="17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I250" i="12"/>
  <c r="I251" i="12"/>
  <c r="I252" i="12"/>
  <c r="I253" i="12"/>
  <c r="I254" i="12"/>
  <c r="I255" i="12"/>
  <c r="I256" i="12"/>
  <c r="I257" i="12"/>
  <c r="I258" i="12"/>
  <c r="I259" i="12"/>
  <c r="I260" i="12"/>
  <c r="I261" i="12"/>
  <c r="I262" i="12"/>
  <c r="I263" i="12"/>
  <c r="I264" i="12"/>
  <c r="I265" i="12"/>
  <c r="I266" i="12"/>
  <c r="I267" i="12"/>
  <c r="I268" i="12"/>
  <c r="I269" i="12"/>
  <c r="I270" i="12"/>
  <c r="I271" i="12"/>
  <c r="I272" i="12"/>
  <c r="I273" i="12"/>
  <c r="I274" i="12"/>
  <c r="I275" i="12"/>
  <c r="I276" i="12"/>
  <c r="I277" i="12"/>
  <c r="I278" i="12"/>
  <c r="I279" i="12"/>
  <c r="I280" i="12"/>
  <c r="I281" i="12"/>
  <c r="I282" i="12"/>
  <c r="I283" i="12"/>
  <c r="I284" i="12"/>
  <c r="I285" i="12"/>
  <c r="I286" i="12"/>
  <c r="I287" i="12"/>
  <c r="I288" i="12"/>
  <c r="I289" i="12"/>
  <c r="I290" i="12"/>
  <c r="I291" i="12"/>
  <c r="I292" i="12"/>
  <c r="I293" i="12"/>
  <c r="I294" i="12"/>
  <c r="I295" i="12"/>
  <c r="I296" i="12"/>
  <c r="I297" i="12"/>
  <c r="I298" i="12"/>
  <c r="I299" i="12"/>
  <c r="I300" i="12"/>
  <c r="I301" i="12"/>
  <c r="I302" i="12"/>
  <c r="I303" i="12"/>
  <c r="I304" i="12"/>
  <c r="I305" i="12"/>
  <c r="I306" i="12"/>
  <c r="I307" i="12"/>
  <c r="I308" i="12"/>
  <c r="I309" i="12"/>
  <c r="I310" i="12"/>
  <c r="I311" i="12"/>
  <c r="I312" i="12"/>
  <c r="I313" i="12"/>
  <c r="I314" i="12"/>
  <c r="I315" i="12"/>
  <c r="I316" i="12"/>
  <c r="I317" i="12"/>
  <c r="I318" i="12"/>
  <c r="I319" i="12"/>
  <c r="I320" i="12"/>
  <c r="I321" i="12"/>
  <c r="I322" i="12"/>
  <c r="I323" i="12"/>
  <c r="I324" i="12"/>
  <c r="I325" i="12"/>
  <c r="I326" i="12"/>
  <c r="I327" i="12"/>
  <c r="I328" i="12"/>
  <c r="I329" i="12"/>
  <c r="I330" i="12"/>
  <c r="I331" i="12"/>
  <c r="I332" i="12"/>
  <c r="I333" i="12"/>
  <c r="I334" i="12"/>
  <c r="I335" i="12"/>
  <c r="I336" i="12"/>
  <c r="I337" i="12"/>
  <c r="I338" i="12"/>
  <c r="I339" i="12"/>
  <c r="I340" i="12"/>
  <c r="I341" i="12"/>
  <c r="I342" i="12"/>
  <c r="I343" i="12"/>
  <c r="I344" i="12"/>
  <c r="I345" i="12"/>
  <c r="I346" i="12"/>
  <c r="I347" i="12"/>
  <c r="I348" i="12"/>
  <c r="I349" i="12"/>
  <c r="I350" i="12"/>
  <c r="I351" i="12"/>
  <c r="I352" i="12"/>
  <c r="I353" i="12"/>
  <c r="I354" i="12"/>
  <c r="I355" i="12"/>
  <c r="I356" i="12"/>
  <c r="I357" i="12"/>
  <c r="I358" i="12"/>
  <c r="I359" i="12"/>
  <c r="I360" i="12"/>
  <c r="I361" i="12"/>
  <c r="I362" i="12"/>
  <c r="I363" i="12"/>
  <c r="I364" i="12"/>
  <c r="I365" i="12"/>
  <c r="I366" i="12"/>
  <c r="I367" i="12"/>
  <c r="I368" i="12"/>
  <c r="I369" i="12"/>
  <c r="I370" i="12"/>
  <c r="I371" i="12"/>
  <c r="I372" i="12"/>
  <c r="I373" i="12"/>
  <c r="I374" i="12"/>
  <c r="I375" i="12"/>
  <c r="I376" i="12"/>
  <c r="I377" i="12"/>
  <c r="I378" i="12"/>
  <c r="I379" i="12"/>
  <c r="I380" i="12"/>
  <c r="I381" i="12"/>
  <c r="I382" i="12"/>
  <c r="I383" i="12"/>
  <c r="I384" i="12"/>
  <c r="I385" i="12"/>
  <c r="I386" i="12"/>
  <c r="I387" i="12"/>
  <c r="I388" i="12"/>
  <c r="I389" i="12"/>
  <c r="I390" i="12"/>
  <c r="I391" i="12"/>
  <c r="I392" i="12"/>
  <c r="I393" i="12"/>
  <c r="I394" i="12"/>
  <c r="I395" i="12"/>
  <c r="I396" i="12"/>
  <c r="I397" i="12"/>
  <c r="I398" i="12"/>
  <c r="I399" i="12"/>
  <c r="I400" i="12"/>
  <c r="I401" i="12"/>
  <c r="I402" i="12"/>
  <c r="I403" i="12"/>
  <c r="I404" i="12"/>
  <c r="I405" i="12"/>
  <c r="I406" i="12"/>
  <c r="I407" i="12"/>
  <c r="I408" i="12"/>
  <c r="I409" i="12"/>
  <c r="I410" i="12"/>
  <c r="I2" i="12"/>
  <c r="I3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7" i="16"/>
  <c r="I98" i="16"/>
  <c r="I99" i="16"/>
  <c r="I100" i="16"/>
  <c r="I101" i="16"/>
  <c r="I102" i="16"/>
  <c r="I103" i="16"/>
  <c r="I104" i="16"/>
  <c r="I105" i="16"/>
  <c r="I106" i="16"/>
  <c r="I107" i="16"/>
  <c r="I108" i="16"/>
  <c r="I109" i="16"/>
  <c r="I110" i="16"/>
  <c r="I111" i="16"/>
  <c r="I112" i="16"/>
  <c r="I113" i="16"/>
  <c r="I114" i="16"/>
  <c r="I115" i="16"/>
  <c r="I116" i="16"/>
  <c r="I117" i="16"/>
  <c r="I118" i="16"/>
  <c r="I119" i="16"/>
  <c r="I120" i="16"/>
  <c r="I121" i="16"/>
  <c r="I122" i="16"/>
  <c r="I123" i="16"/>
  <c r="I124" i="16"/>
  <c r="I125" i="16"/>
  <c r="I126" i="16"/>
  <c r="I127" i="16"/>
  <c r="I128" i="16"/>
  <c r="I129" i="16"/>
  <c r="I130" i="16"/>
  <c r="I131" i="16"/>
  <c r="I132" i="16"/>
  <c r="I133" i="16"/>
  <c r="I134" i="16"/>
  <c r="I135" i="16"/>
  <c r="I136" i="16"/>
  <c r="I137" i="16"/>
  <c r="I138" i="16"/>
  <c r="I139" i="16"/>
  <c r="I140" i="16"/>
  <c r="I141" i="16"/>
  <c r="I142" i="16"/>
  <c r="I143" i="16"/>
  <c r="I144" i="16"/>
  <c r="I145" i="16"/>
  <c r="I146" i="16"/>
  <c r="I147" i="16"/>
  <c r="I148" i="16"/>
  <c r="I149" i="16"/>
  <c r="I150" i="16"/>
  <c r="I151" i="16"/>
  <c r="I152" i="16"/>
  <c r="I153" i="16"/>
  <c r="I154" i="16"/>
  <c r="I155" i="16"/>
  <c r="I156" i="16"/>
  <c r="I157" i="16"/>
  <c r="I158" i="16"/>
  <c r="I159" i="16"/>
  <c r="I160" i="16"/>
  <c r="I161" i="16"/>
  <c r="I162" i="16"/>
  <c r="I163" i="16"/>
  <c r="I164" i="16"/>
  <c r="I165" i="16"/>
  <c r="I166" i="16"/>
  <c r="I167" i="16"/>
  <c r="I168" i="16"/>
  <c r="I169" i="16"/>
  <c r="I170" i="16"/>
  <c r="I171" i="16"/>
  <c r="I172" i="16"/>
  <c r="I173" i="16"/>
  <c r="I174" i="16"/>
  <c r="I175" i="16"/>
  <c r="I176" i="16"/>
  <c r="I177" i="16"/>
  <c r="I178" i="16"/>
  <c r="I179" i="16"/>
  <c r="I180" i="16"/>
  <c r="I181" i="16"/>
  <c r="I182" i="16"/>
  <c r="I183" i="16"/>
  <c r="I184" i="16"/>
  <c r="I185" i="16"/>
  <c r="I186" i="16"/>
  <c r="I187" i="16"/>
  <c r="I188" i="16"/>
  <c r="I189" i="16"/>
  <c r="I190" i="16"/>
  <c r="I191" i="16"/>
  <c r="I192" i="16"/>
  <c r="I193" i="16"/>
  <c r="I194" i="16"/>
  <c r="I195" i="16"/>
  <c r="I196" i="16"/>
  <c r="I197" i="16"/>
  <c r="I198" i="16"/>
  <c r="I199" i="16"/>
  <c r="I200" i="16"/>
  <c r="I201" i="16"/>
  <c r="I202" i="16"/>
  <c r="I203" i="16"/>
  <c r="I204" i="16"/>
  <c r="I205" i="16"/>
  <c r="I206" i="16"/>
  <c r="I207" i="16"/>
  <c r="I208" i="16"/>
  <c r="I209" i="16"/>
  <c r="I210" i="16"/>
  <c r="I211" i="16"/>
  <c r="I212" i="16"/>
  <c r="I213" i="16"/>
  <c r="I214" i="16"/>
  <c r="I215" i="16"/>
  <c r="I216" i="16"/>
  <c r="I217" i="16"/>
  <c r="I218" i="16"/>
  <c r="I219" i="16"/>
  <c r="I220" i="16"/>
  <c r="I221" i="16"/>
  <c r="I222" i="16"/>
  <c r="I223" i="16"/>
  <c r="I224" i="16"/>
  <c r="I225" i="16"/>
  <c r="I226" i="16"/>
  <c r="I227" i="16"/>
  <c r="I228" i="16"/>
  <c r="I229" i="16"/>
  <c r="I230" i="16"/>
  <c r="I231" i="16"/>
  <c r="I232" i="16"/>
  <c r="I233" i="16"/>
  <c r="I234" i="16"/>
  <c r="I235" i="16"/>
  <c r="I236" i="16"/>
  <c r="I237" i="16"/>
  <c r="I238" i="16"/>
  <c r="I239" i="16"/>
  <c r="I240" i="16"/>
  <c r="I241" i="16"/>
  <c r="I242" i="16"/>
  <c r="I243" i="16"/>
  <c r="I244" i="16"/>
  <c r="I245" i="16"/>
  <c r="I246" i="16"/>
  <c r="I247" i="16"/>
  <c r="I248" i="16"/>
  <c r="I249" i="16"/>
  <c r="I250" i="16"/>
  <c r="I251" i="16"/>
  <c r="I252" i="16"/>
  <c r="I253" i="16"/>
  <c r="I254" i="16"/>
  <c r="I255" i="16"/>
  <c r="I256" i="16"/>
  <c r="I257" i="16"/>
  <c r="I258" i="16"/>
  <c r="I259" i="16"/>
  <c r="I260" i="16"/>
  <c r="I261" i="16"/>
  <c r="I262" i="16"/>
  <c r="I263" i="16"/>
  <c r="I264" i="16"/>
  <c r="I265" i="16"/>
  <c r="I266" i="16"/>
  <c r="I267" i="16"/>
  <c r="I268" i="16"/>
  <c r="I269" i="16"/>
  <c r="I270" i="16"/>
  <c r="I271" i="16"/>
  <c r="I272" i="16"/>
  <c r="I273" i="16"/>
  <c r="I274" i="16"/>
  <c r="I275" i="16"/>
  <c r="I276" i="16"/>
  <c r="I277" i="16"/>
  <c r="I278" i="16"/>
  <c r="I279" i="16"/>
  <c r="I280" i="16"/>
  <c r="I281" i="16"/>
  <c r="I282" i="16"/>
  <c r="I283" i="16"/>
  <c r="I284" i="16"/>
  <c r="I285" i="16"/>
  <c r="I286" i="16"/>
  <c r="I287" i="16"/>
  <c r="I288" i="16"/>
  <c r="I289" i="16"/>
  <c r="I290" i="16"/>
  <c r="I291" i="16"/>
  <c r="I292" i="16"/>
  <c r="I293" i="16"/>
  <c r="I294" i="16"/>
  <c r="I295" i="16"/>
  <c r="I296" i="16"/>
  <c r="I297" i="16"/>
  <c r="I298" i="16"/>
  <c r="I299" i="16"/>
  <c r="I300" i="16"/>
  <c r="I301" i="16"/>
  <c r="I302" i="16"/>
  <c r="I303" i="16"/>
  <c r="I304" i="16"/>
  <c r="I305" i="16"/>
  <c r="I306" i="16"/>
  <c r="I307" i="16"/>
  <c r="I308" i="16"/>
  <c r="I309" i="16"/>
  <c r="I310" i="16"/>
  <c r="I311" i="16"/>
  <c r="I312" i="16"/>
  <c r="I313" i="16"/>
  <c r="I314" i="16"/>
  <c r="I315" i="16"/>
  <c r="I316" i="16"/>
  <c r="I317" i="16"/>
  <c r="I318" i="16"/>
  <c r="I319" i="16"/>
  <c r="I320" i="16"/>
  <c r="I321" i="16"/>
  <c r="I322" i="16"/>
  <c r="I323" i="16"/>
  <c r="I324" i="16"/>
  <c r="I325" i="16"/>
  <c r="I326" i="16"/>
  <c r="I327" i="16"/>
  <c r="I328" i="16"/>
  <c r="I329" i="16"/>
  <c r="I330" i="16"/>
  <c r="I331" i="16"/>
  <c r="I332" i="16"/>
  <c r="I333" i="16"/>
  <c r="I334" i="16"/>
  <c r="I335" i="16"/>
  <c r="I336" i="16"/>
  <c r="I337" i="16"/>
  <c r="I338" i="16"/>
  <c r="I339" i="16"/>
  <c r="I340" i="16"/>
  <c r="I341" i="16"/>
  <c r="I342" i="16"/>
  <c r="I343" i="16"/>
  <c r="I344" i="16"/>
  <c r="I345" i="16"/>
  <c r="I346" i="16"/>
  <c r="I347" i="16"/>
  <c r="I348" i="16"/>
  <c r="I349" i="16"/>
  <c r="I2" i="16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126" i="14"/>
  <c r="I127" i="14"/>
  <c r="I128" i="14"/>
  <c r="I129" i="14"/>
  <c r="I130" i="14"/>
  <c r="I131" i="14"/>
  <c r="I132" i="14"/>
  <c r="I133" i="14"/>
  <c r="I134" i="14"/>
  <c r="I135" i="14"/>
  <c r="I136" i="14"/>
  <c r="I137" i="14"/>
  <c r="I138" i="14"/>
  <c r="I139" i="14"/>
  <c r="I140" i="14"/>
  <c r="I141" i="14"/>
  <c r="I142" i="14"/>
  <c r="I143" i="14"/>
  <c r="I144" i="14"/>
  <c r="I145" i="14"/>
  <c r="I146" i="14"/>
  <c r="I147" i="14"/>
  <c r="I148" i="14"/>
  <c r="I149" i="14"/>
  <c r="I150" i="14"/>
  <c r="I151" i="14"/>
  <c r="I152" i="14"/>
  <c r="I153" i="14"/>
  <c r="I154" i="14"/>
  <c r="I155" i="14"/>
  <c r="I156" i="14"/>
  <c r="I157" i="14"/>
  <c r="I158" i="14"/>
  <c r="I159" i="14"/>
  <c r="I160" i="14"/>
  <c r="I161" i="14"/>
  <c r="I162" i="14"/>
  <c r="I163" i="14"/>
  <c r="I164" i="14"/>
  <c r="I165" i="14"/>
  <c r="I166" i="14"/>
  <c r="I167" i="14"/>
  <c r="I168" i="14"/>
  <c r="I169" i="14"/>
  <c r="I170" i="14"/>
  <c r="I171" i="14"/>
  <c r="I172" i="14"/>
  <c r="I173" i="14"/>
  <c r="I174" i="14"/>
  <c r="I175" i="14"/>
  <c r="I176" i="14"/>
  <c r="I177" i="14"/>
  <c r="I178" i="14"/>
  <c r="I179" i="14"/>
  <c r="I180" i="14"/>
  <c r="I181" i="14"/>
  <c r="I182" i="14"/>
  <c r="I183" i="14"/>
  <c r="I184" i="14"/>
  <c r="I185" i="14"/>
  <c r="I186" i="14"/>
  <c r="I187" i="14"/>
  <c r="I188" i="14"/>
  <c r="I189" i="14"/>
  <c r="I190" i="14"/>
  <c r="I191" i="14"/>
  <c r="I192" i="14"/>
  <c r="I193" i="14"/>
  <c r="I194" i="14"/>
  <c r="I195" i="14"/>
  <c r="I196" i="14"/>
  <c r="I197" i="14"/>
  <c r="I198" i="14"/>
  <c r="I199" i="14"/>
  <c r="I200" i="14"/>
  <c r="I201" i="14"/>
  <c r="I202" i="14"/>
  <c r="I203" i="14"/>
  <c r="I204" i="14"/>
  <c r="I205" i="14"/>
  <c r="I206" i="14"/>
  <c r="I207" i="14"/>
  <c r="I208" i="14"/>
  <c r="I209" i="14"/>
  <c r="I210" i="14"/>
  <c r="I211" i="14"/>
  <c r="I212" i="14"/>
  <c r="I213" i="14"/>
  <c r="I214" i="14"/>
  <c r="I215" i="14"/>
  <c r="I216" i="14"/>
  <c r="I217" i="14"/>
  <c r="I218" i="14"/>
  <c r="I219" i="14"/>
  <c r="I220" i="14"/>
  <c r="I221" i="14"/>
  <c r="I222" i="14"/>
  <c r="I223" i="14"/>
  <c r="I224" i="14"/>
  <c r="I225" i="14"/>
  <c r="I226" i="14"/>
  <c r="I227" i="14"/>
  <c r="I228" i="14"/>
  <c r="I229" i="14"/>
  <c r="I230" i="14"/>
  <c r="I231" i="14"/>
  <c r="I232" i="14"/>
  <c r="I233" i="14"/>
  <c r="I234" i="14"/>
  <c r="I235" i="14"/>
  <c r="I236" i="14"/>
  <c r="I237" i="14"/>
  <c r="I238" i="14"/>
  <c r="I239" i="14"/>
  <c r="I240" i="14"/>
  <c r="I241" i="14"/>
  <c r="I242" i="14"/>
  <c r="I243" i="14"/>
  <c r="I244" i="14"/>
  <c r="I245" i="14"/>
  <c r="I246" i="14"/>
  <c r="I247" i="14"/>
  <c r="I248" i="14"/>
  <c r="I249" i="14"/>
  <c r="I250" i="14"/>
  <c r="I251" i="14"/>
  <c r="I252" i="14"/>
  <c r="I253" i="14"/>
  <c r="I254" i="14"/>
  <c r="I255" i="14"/>
  <c r="I256" i="14"/>
  <c r="I257" i="14"/>
  <c r="I258" i="14"/>
  <c r="I259" i="14"/>
  <c r="I260" i="14"/>
  <c r="I261" i="14"/>
  <c r="I262" i="14"/>
  <c r="I263" i="14"/>
  <c r="I264" i="14"/>
  <c r="I265" i="14"/>
  <c r="I266" i="14"/>
  <c r="I267" i="14"/>
  <c r="I268" i="14"/>
  <c r="I269" i="14"/>
  <c r="I270" i="14"/>
  <c r="I271" i="14"/>
  <c r="I272" i="14"/>
  <c r="I273" i="14"/>
  <c r="I274" i="14"/>
  <c r="I275" i="14"/>
  <c r="I276" i="14"/>
  <c r="I277" i="14"/>
  <c r="I278" i="14"/>
  <c r="I279" i="14"/>
  <c r="I280" i="14"/>
  <c r="I281" i="14"/>
  <c r="I282" i="14"/>
  <c r="I283" i="14"/>
  <c r="I284" i="14"/>
  <c r="I285" i="14"/>
  <c r="I286" i="14"/>
  <c r="I287" i="14"/>
  <c r="I288" i="14"/>
  <c r="I289" i="14"/>
  <c r="I290" i="14"/>
  <c r="I291" i="14"/>
  <c r="I292" i="14"/>
  <c r="I293" i="14"/>
  <c r="I294" i="14"/>
  <c r="I295" i="14"/>
  <c r="I296" i="14"/>
  <c r="I297" i="14"/>
  <c r="I298" i="14"/>
  <c r="I299" i="14"/>
  <c r="I300" i="14"/>
  <c r="I301" i="14"/>
  <c r="I302" i="14"/>
  <c r="I303" i="14"/>
  <c r="I304" i="14"/>
  <c r="I305" i="14"/>
  <c r="I306" i="14"/>
  <c r="I307" i="14"/>
  <c r="I308" i="14"/>
  <c r="I309" i="14"/>
  <c r="I310" i="14"/>
  <c r="I311" i="14"/>
  <c r="I312" i="14"/>
  <c r="I313" i="14"/>
  <c r="I314" i="14"/>
  <c r="I315" i="14"/>
  <c r="I316" i="14"/>
  <c r="I317" i="14"/>
  <c r="I318" i="14"/>
  <c r="I319" i="14"/>
  <c r="I320" i="14"/>
  <c r="I321" i="14"/>
  <c r="I322" i="14"/>
  <c r="I323" i="14"/>
  <c r="I324" i="14"/>
  <c r="I325" i="14"/>
  <c r="I326" i="14"/>
  <c r="I327" i="14"/>
  <c r="I328" i="14"/>
  <c r="I329" i="14"/>
  <c r="I330" i="14"/>
  <c r="I331" i="14"/>
  <c r="I332" i="14"/>
  <c r="I333" i="14"/>
  <c r="I334" i="14"/>
  <c r="I335" i="14"/>
  <c r="I336" i="14"/>
  <c r="I337" i="14"/>
  <c r="I338" i="14"/>
  <c r="I339" i="14"/>
  <c r="I340" i="14"/>
  <c r="I341" i="14"/>
  <c r="I342" i="14"/>
  <c r="I343" i="14"/>
  <c r="I344" i="14"/>
  <c r="I345" i="14"/>
  <c r="I346" i="14"/>
  <c r="I347" i="14"/>
  <c r="I348" i="14"/>
  <c r="I349" i="14"/>
  <c r="I350" i="14"/>
  <c r="I351" i="14"/>
  <c r="I3" i="14"/>
  <c r="I2" i="14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66" i="11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14" i="15"/>
  <c r="I115" i="15"/>
  <c r="I116" i="15"/>
  <c r="I117" i="15"/>
  <c r="I118" i="15"/>
  <c r="I119" i="15"/>
  <c r="I120" i="15"/>
  <c r="I121" i="15"/>
  <c r="I122" i="15"/>
  <c r="I123" i="15"/>
  <c r="I124" i="15"/>
  <c r="I125" i="15"/>
  <c r="I126" i="15"/>
  <c r="I127" i="15"/>
  <c r="I128" i="15"/>
  <c r="I129" i="15"/>
  <c r="I130" i="15"/>
  <c r="I131" i="15"/>
  <c r="I132" i="15"/>
  <c r="I133" i="15"/>
  <c r="I134" i="15"/>
  <c r="I135" i="15"/>
  <c r="I136" i="15"/>
  <c r="I137" i="15"/>
  <c r="I138" i="15"/>
  <c r="I139" i="15"/>
  <c r="I140" i="15"/>
  <c r="I141" i="15"/>
  <c r="I142" i="15"/>
  <c r="I143" i="15"/>
  <c r="I144" i="15"/>
  <c r="I145" i="15"/>
  <c r="I146" i="15"/>
  <c r="I147" i="15"/>
  <c r="I148" i="15"/>
  <c r="I149" i="15"/>
  <c r="I150" i="15"/>
  <c r="I151" i="15"/>
  <c r="I152" i="15"/>
  <c r="I153" i="15"/>
  <c r="I154" i="15"/>
  <c r="I155" i="15"/>
  <c r="I156" i="15"/>
  <c r="I157" i="15"/>
  <c r="I158" i="15"/>
  <c r="I159" i="15"/>
  <c r="I160" i="15"/>
  <c r="I161" i="15"/>
  <c r="I162" i="15"/>
  <c r="I163" i="15"/>
  <c r="I164" i="15"/>
  <c r="I165" i="15"/>
  <c r="I166" i="15"/>
  <c r="I167" i="15"/>
  <c r="I168" i="15"/>
  <c r="I169" i="15"/>
  <c r="I170" i="15"/>
  <c r="I171" i="15"/>
  <c r="I172" i="15"/>
  <c r="I173" i="15"/>
  <c r="I174" i="15"/>
  <c r="I175" i="15"/>
  <c r="I176" i="15"/>
  <c r="I177" i="15"/>
  <c r="I178" i="15"/>
  <c r="I179" i="15"/>
  <c r="I180" i="15"/>
  <c r="I181" i="15"/>
  <c r="I182" i="15"/>
  <c r="I183" i="15"/>
  <c r="I184" i="15"/>
  <c r="I185" i="15"/>
  <c r="I186" i="15"/>
  <c r="I187" i="15"/>
  <c r="I188" i="15"/>
  <c r="I189" i="15"/>
  <c r="I190" i="15"/>
  <c r="I191" i="15"/>
  <c r="I192" i="15"/>
  <c r="I193" i="15"/>
  <c r="I194" i="15"/>
  <c r="I195" i="15"/>
  <c r="I196" i="15"/>
  <c r="I197" i="15"/>
  <c r="I198" i="15"/>
  <c r="I199" i="15"/>
  <c r="I200" i="15"/>
  <c r="I201" i="15"/>
  <c r="I202" i="15"/>
  <c r="I203" i="15"/>
  <c r="I204" i="15"/>
  <c r="I205" i="15"/>
  <c r="I206" i="15"/>
  <c r="I207" i="15"/>
  <c r="I208" i="15"/>
  <c r="I209" i="15"/>
  <c r="I210" i="15"/>
  <c r="I211" i="15"/>
  <c r="I212" i="15"/>
  <c r="I213" i="15"/>
  <c r="I214" i="15"/>
  <c r="I215" i="15"/>
  <c r="I216" i="15"/>
  <c r="I217" i="15"/>
  <c r="I218" i="15"/>
  <c r="I219" i="15"/>
  <c r="I220" i="15"/>
  <c r="I221" i="15"/>
  <c r="I222" i="15"/>
  <c r="I223" i="15"/>
  <c r="I224" i="15"/>
  <c r="I225" i="15"/>
  <c r="I226" i="15"/>
  <c r="I227" i="15"/>
  <c r="I228" i="15"/>
  <c r="I229" i="15"/>
  <c r="I230" i="15"/>
  <c r="I231" i="15"/>
  <c r="I232" i="15"/>
  <c r="I233" i="15"/>
  <c r="I234" i="15"/>
  <c r="I235" i="15"/>
  <c r="I236" i="15"/>
  <c r="I237" i="15"/>
  <c r="I238" i="15"/>
  <c r="I239" i="15"/>
  <c r="I240" i="15"/>
  <c r="I241" i="15"/>
  <c r="I242" i="15"/>
  <c r="I243" i="15"/>
  <c r="I244" i="15"/>
  <c r="I245" i="15"/>
  <c r="I246" i="15"/>
  <c r="I247" i="15"/>
  <c r="I248" i="15"/>
  <c r="I249" i="15"/>
  <c r="I250" i="15"/>
  <c r="I251" i="15"/>
  <c r="I252" i="15"/>
  <c r="I253" i="15"/>
  <c r="I254" i="15"/>
  <c r="I255" i="15"/>
  <c r="I256" i="15"/>
  <c r="I257" i="15"/>
  <c r="I258" i="15"/>
  <c r="I259" i="15"/>
  <c r="I260" i="15"/>
  <c r="I261" i="15"/>
  <c r="I262" i="15"/>
  <c r="I263" i="15"/>
  <c r="I264" i="15"/>
  <c r="I265" i="15"/>
  <c r="I266" i="15"/>
  <c r="I267" i="15"/>
  <c r="I268" i="15"/>
  <c r="I269" i="15"/>
  <c r="I270" i="15"/>
  <c r="I271" i="15"/>
  <c r="I272" i="15"/>
  <c r="I273" i="15"/>
  <c r="I274" i="15"/>
  <c r="I275" i="15"/>
  <c r="I276" i="15"/>
  <c r="I277" i="15"/>
  <c r="I278" i="15"/>
  <c r="I279" i="15"/>
  <c r="I280" i="15"/>
  <c r="I281" i="15"/>
  <c r="I282" i="15"/>
  <c r="I283" i="15"/>
  <c r="I284" i="15"/>
  <c r="I285" i="15"/>
  <c r="I286" i="15"/>
  <c r="I287" i="15"/>
  <c r="I288" i="15"/>
  <c r="I289" i="15"/>
  <c r="I290" i="15"/>
  <c r="I291" i="15"/>
  <c r="I292" i="15"/>
  <c r="I293" i="15"/>
  <c r="I294" i="15"/>
  <c r="I295" i="15"/>
  <c r="I296" i="15"/>
  <c r="I297" i="15"/>
  <c r="I298" i="15"/>
  <c r="I299" i="15"/>
  <c r="I300" i="15"/>
  <c r="I301" i="15"/>
  <c r="I302" i="15"/>
  <c r="I303" i="15"/>
  <c r="I304" i="15"/>
  <c r="I305" i="15"/>
  <c r="I306" i="15"/>
  <c r="I307" i="15"/>
  <c r="I308" i="15"/>
  <c r="I309" i="15"/>
  <c r="I310" i="15"/>
  <c r="I311" i="15"/>
  <c r="I312" i="15"/>
  <c r="I313" i="15"/>
  <c r="I314" i="15"/>
  <c r="I315" i="15"/>
  <c r="I316" i="15"/>
  <c r="I317" i="15"/>
  <c r="I318" i="15"/>
  <c r="I319" i="15"/>
  <c r="I320" i="15"/>
  <c r="I321" i="15"/>
  <c r="I322" i="15"/>
  <c r="I323" i="15"/>
  <c r="I324" i="15"/>
  <c r="I325" i="15"/>
  <c r="I326" i="15"/>
  <c r="I327" i="15"/>
  <c r="I328" i="15"/>
  <c r="I329" i="15"/>
  <c r="I330" i="15"/>
  <c r="I331" i="15"/>
  <c r="I332" i="15"/>
  <c r="I333" i="15"/>
  <c r="I334" i="15"/>
  <c r="I335" i="15"/>
  <c r="I336" i="15"/>
  <c r="I337" i="15"/>
  <c r="I338" i="15"/>
  <c r="I339" i="15"/>
  <c r="I340" i="15"/>
  <c r="I341" i="15"/>
  <c r="I342" i="15"/>
  <c r="I343" i="15"/>
  <c r="I344" i="15"/>
  <c r="I345" i="15"/>
  <c r="I346" i="15"/>
  <c r="I347" i="15"/>
  <c r="I348" i="15"/>
  <c r="I349" i="15"/>
  <c r="I350" i="15"/>
  <c r="I351" i="15"/>
  <c r="I352" i="15"/>
  <c r="I353" i="15"/>
  <c r="I354" i="15"/>
  <c r="I355" i="15"/>
  <c r="I356" i="15"/>
  <c r="I357" i="15"/>
  <c r="I358" i="15"/>
  <c r="I359" i="15"/>
  <c r="I360" i="15"/>
  <c r="I361" i="15"/>
  <c r="I362" i="15"/>
  <c r="I363" i="15"/>
  <c r="I364" i="15"/>
  <c r="I365" i="15"/>
  <c r="I366" i="15"/>
  <c r="I2" i="15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3" i="13"/>
  <c r="I194" i="13"/>
  <c r="I195" i="13"/>
  <c r="I196" i="13"/>
  <c r="I197" i="13"/>
  <c r="I198" i="13"/>
  <c r="I199" i="13"/>
  <c r="I200" i="13"/>
  <c r="I201" i="13"/>
  <c r="I202" i="13"/>
  <c r="I203" i="13"/>
  <c r="I204" i="13"/>
  <c r="I205" i="13"/>
  <c r="I206" i="13"/>
  <c r="I207" i="13"/>
  <c r="I208" i="13"/>
  <c r="I209" i="13"/>
  <c r="I210" i="13"/>
  <c r="I211" i="13"/>
  <c r="I212" i="13"/>
  <c r="I213" i="13"/>
  <c r="I214" i="13"/>
  <c r="I215" i="13"/>
  <c r="I216" i="13"/>
  <c r="I217" i="13"/>
  <c r="I218" i="13"/>
  <c r="I219" i="13"/>
  <c r="I220" i="13"/>
  <c r="I221" i="13"/>
  <c r="I222" i="13"/>
  <c r="I223" i="13"/>
  <c r="I224" i="13"/>
  <c r="I225" i="13"/>
  <c r="I226" i="13"/>
  <c r="I227" i="13"/>
  <c r="I228" i="13"/>
  <c r="I229" i="13"/>
  <c r="I230" i="13"/>
  <c r="I231" i="13"/>
  <c r="I232" i="13"/>
  <c r="I233" i="13"/>
  <c r="I234" i="13"/>
  <c r="I235" i="13"/>
  <c r="I236" i="13"/>
  <c r="I237" i="13"/>
  <c r="I238" i="13"/>
  <c r="I239" i="13"/>
  <c r="I240" i="13"/>
  <c r="I241" i="13"/>
  <c r="I242" i="13"/>
  <c r="I243" i="13"/>
  <c r="I244" i="13"/>
  <c r="I245" i="13"/>
  <c r="I246" i="13"/>
  <c r="I247" i="13"/>
  <c r="I248" i="13"/>
  <c r="I249" i="13"/>
  <c r="I250" i="13"/>
  <c r="I251" i="13"/>
  <c r="I252" i="13"/>
  <c r="I253" i="13"/>
  <c r="I254" i="13"/>
  <c r="I255" i="13"/>
  <c r="I256" i="13"/>
  <c r="I257" i="13"/>
  <c r="I258" i="13"/>
  <c r="I259" i="13"/>
  <c r="I260" i="13"/>
  <c r="I261" i="13"/>
  <c r="I262" i="13"/>
  <c r="I263" i="13"/>
  <c r="I264" i="13"/>
  <c r="I265" i="13"/>
  <c r="I266" i="13"/>
  <c r="I267" i="13"/>
  <c r="I268" i="13"/>
  <c r="I269" i="13"/>
  <c r="I270" i="13"/>
  <c r="I271" i="13"/>
  <c r="I272" i="13"/>
  <c r="I273" i="13"/>
  <c r="I274" i="13"/>
  <c r="I275" i="13"/>
  <c r="I276" i="13"/>
  <c r="I277" i="13"/>
  <c r="I278" i="13"/>
  <c r="I279" i="13"/>
  <c r="I280" i="13"/>
  <c r="I281" i="13"/>
  <c r="I282" i="13"/>
  <c r="I283" i="13"/>
  <c r="I284" i="13"/>
  <c r="I285" i="13"/>
  <c r="I286" i="13"/>
  <c r="I287" i="13"/>
  <c r="I288" i="13"/>
  <c r="I289" i="13"/>
  <c r="I290" i="13"/>
  <c r="I291" i="13"/>
  <c r="I292" i="13"/>
  <c r="I293" i="13"/>
  <c r="I294" i="13"/>
  <c r="I295" i="13"/>
  <c r="I296" i="13"/>
  <c r="I297" i="13"/>
  <c r="I298" i="13"/>
  <c r="I299" i="13"/>
  <c r="I300" i="13"/>
  <c r="I301" i="13"/>
  <c r="I302" i="13"/>
  <c r="I303" i="13"/>
  <c r="I304" i="13"/>
  <c r="I305" i="13"/>
  <c r="I306" i="13"/>
  <c r="I307" i="13"/>
  <c r="I308" i="13"/>
  <c r="I309" i="13"/>
  <c r="I310" i="13"/>
  <c r="I311" i="13"/>
  <c r="I312" i="13"/>
  <c r="I313" i="13"/>
  <c r="I314" i="13"/>
  <c r="I315" i="13"/>
  <c r="I316" i="13"/>
  <c r="I317" i="13"/>
  <c r="I318" i="13"/>
  <c r="I319" i="13"/>
  <c r="I320" i="13"/>
  <c r="I321" i="13"/>
  <c r="I322" i="13"/>
  <c r="I323" i="13"/>
  <c r="I324" i="13"/>
  <c r="I325" i="13"/>
  <c r="I326" i="13"/>
  <c r="I327" i="13"/>
  <c r="I328" i="13"/>
  <c r="I329" i="13"/>
  <c r="I330" i="13"/>
  <c r="I331" i="13"/>
  <c r="I332" i="13"/>
  <c r="I333" i="13"/>
  <c r="I334" i="13"/>
  <c r="I335" i="13"/>
  <c r="I336" i="13"/>
  <c r="I337" i="13"/>
  <c r="I338" i="13"/>
  <c r="I339" i="13"/>
  <c r="I340" i="13"/>
  <c r="I341" i="13"/>
  <c r="I342" i="13"/>
  <c r="I343" i="13"/>
  <c r="I344" i="13"/>
  <c r="I345" i="13"/>
  <c r="I346" i="13"/>
  <c r="I347" i="13"/>
  <c r="I348" i="13"/>
  <c r="I349" i="13"/>
  <c r="I350" i="13"/>
  <c r="I351" i="13"/>
  <c r="I352" i="13"/>
  <c r="I353" i="13"/>
  <c r="I354" i="13"/>
  <c r="I355" i="13"/>
  <c r="I356" i="13"/>
  <c r="I357" i="13"/>
  <c r="I358" i="13"/>
  <c r="I359" i="13"/>
  <c r="I360" i="13"/>
  <c r="I361" i="13"/>
  <c r="I362" i="13"/>
  <c r="I363" i="13"/>
  <c r="I364" i="13"/>
  <c r="I365" i="13"/>
  <c r="I366" i="13"/>
  <c r="I24" i="9"/>
  <c r="K24" i="9"/>
  <c r="I2" i="13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2" i="11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391" i="10"/>
  <c r="I392" i="10"/>
  <c r="I393" i="10"/>
  <c r="I394" i="10"/>
  <c r="I395" i="10"/>
  <c r="I396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2" i="10"/>
  <c r="K1" i="1"/>
  <c r="M14" i="1" s="1"/>
  <c r="L1" i="7"/>
  <c r="L1" i="8"/>
  <c r="L1" i="9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I39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67" i="7"/>
  <c r="K366" i="7"/>
  <c r="K365" i="7"/>
  <c r="K364" i="7"/>
  <c r="K363" i="7"/>
  <c r="K362" i="7"/>
  <c r="K361" i="7"/>
  <c r="K360" i="7"/>
  <c r="K359" i="7"/>
  <c r="K358" i="7"/>
  <c r="K357" i="7"/>
  <c r="K356" i="7"/>
  <c r="K355" i="7"/>
  <c r="K354" i="7"/>
  <c r="K353" i="7"/>
  <c r="K352" i="7"/>
  <c r="K351" i="7"/>
  <c r="K350" i="7"/>
  <c r="K349" i="7"/>
  <c r="K348" i="7"/>
  <c r="K347" i="7"/>
  <c r="K346" i="7"/>
  <c r="K345" i="7"/>
  <c r="K344" i="7"/>
  <c r="K343" i="7"/>
  <c r="K342" i="7"/>
  <c r="K341" i="7"/>
  <c r="K340" i="7"/>
  <c r="K339" i="7"/>
  <c r="K338" i="7"/>
  <c r="K337" i="7"/>
  <c r="K336" i="7"/>
  <c r="K335" i="7"/>
  <c r="K334" i="7"/>
  <c r="K333" i="7"/>
  <c r="K332" i="7"/>
  <c r="K331" i="7"/>
  <c r="K330" i="7"/>
  <c r="K329" i="7"/>
  <c r="K328" i="7"/>
  <c r="K327" i="7"/>
  <c r="K326" i="7"/>
  <c r="K325" i="7"/>
  <c r="K324" i="7"/>
  <c r="K323" i="7"/>
  <c r="K322" i="7"/>
  <c r="K321" i="7"/>
  <c r="K320" i="7"/>
  <c r="K319" i="7"/>
  <c r="K318" i="7"/>
  <c r="K317" i="7"/>
  <c r="K316" i="7"/>
  <c r="K315" i="7"/>
  <c r="K314" i="7"/>
  <c r="K313" i="7"/>
  <c r="K312" i="7"/>
  <c r="K311" i="7"/>
  <c r="K310" i="7"/>
  <c r="K309" i="7"/>
  <c r="K308" i="7"/>
  <c r="K307" i="7"/>
  <c r="K306" i="7"/>
  <c r="K305" i="7"/>
  <c r="K304" i="7"/>
  <c r="K303" i="7"/>
  <c r="K302" i="7"/>
  <c r="K301" i="7"/>
  <c r="K300" i="7"/>
  <c r="K299" i="7"/>
  <c r="K298" i="7"/>
  <c r="K297" i="7"/>
  <c r="K296" i="7"/>
  <c r="K295" i="7"/>
  <c r="K294" i="7"/>
  <c r="K293" i="7"/>
  <c r="K292" i="7"/>
  <c r="K291" i="7"/>
  <c r="K290" i="7"/>
  <c r="K289" i="7"/>
  <c r="K288" i="7"/>
  <c r="K287" i="7"/>
  <c r="K286" i="7"/>
  <c r="K285" i="7"/>
  <c r="K284" i="7"/>
  <c r="K283" i="7"/>
  <c r="K282" i="7"/>
  <c r="K281" i="7"/>
  <c r="K280" i="7"/>
  <c r="K279" i="7"/>
  <c r="K278" i="7"/>
  <c r="K277" i="7"/>
  <c r="K276" i="7"/>
  <c r="K275" i="7"/>
  <c r="K274" i="7"/>
  <c r="K273" i="7"/>
  <c r="K272" i="7"/>
  <c r="K271" i="7"/>
  <c r="K270" i="7"/>
  <c r="K269" i="7"/>
  <c r="K268" i="7"/>
  <c r="K267" i="7"/>
  <c r="K266" i="7"/>
  <c r="K265" i="7"/>
  <c r="K264" i="7"/>
  <c r="K263" i="7"/>
  <c r="K262" i="7"/>
  <c r="K261" i="7"/>
  <c r="K260" i="7"/>
  <c r="K259" i="7"/>
  <c r="K258" i="7"/>
  <c r="K257" i="7"/>
  <c r="K256" i="7"/>
  <c r="K255" i="7"/>
  <c r="K254" i="7"/>
  <c r="K253" i="7"/>
  <c r="K252" i="7"/>
  <c r="K251" i="7"/>
  <c r="K250" i="7"/>
  <c r="K249" i="7"/>
  <c r="K248" i="7"/>
  <c r="K247" i="7"/>
  <c r="K246" i="7"/>
  <c r="K245" i="7"/>
  <c r="K244" i="7"/>
  <c r="K243" i="7"/>
  <c r="K242" i="7"/>
  <c r="K241" i="7"/>
  <c r="K240" i="7"/>
  <c r="K239" i="7"/>
  <c r="K238" i="7"/>
  <c r="K237" i="7"/>
  <c r="K236" i="7"/>
  <c r="K235" i="7"/>
  <c r="K234" i="7"/>
  <c r="K233" i="7"/>
  <c r="K232" i="7"/>
  <c r="K231" i="7"/>
  <c r="K230" i="7"/>
  <c r="K229" i="7"/>
  <c r="K228" i="7"/>
  <c r="K227" i="7"/>
  <c r="K226" i="7"/>
  <c r="K225" i="7"/>
  <c r="K224" i="7"/>
  <c r="K223" i="7"/>
  <c r="K222" i="7"/>
  <c r="K221" i="7"/>
  <c r="K220" i="7"/>
  <c r="K219" i="7"/>
  <c r="K218" i="7"/>
  <c r="K217" i="7"/>
  <c r="K216" i="7"/>
  <c r="K215" i="7"/>
  <c r="K214" i="7"/>
  <c r="K213" i="7"/>
  <c r="K212" i="7"/>
  <c r="K211" i="7"/>
  <c r="K210" i="7"/>
  <c r="K209" i="7"/>
  <c r="K208" i="7"/>
  <c r="K207" i="7"/>
  <c r="K206" i="7"/>
  <c r="K205" i="7"/>
  <c r="K204" i="7"/>
  <c r="K203" i="7"/>
  <c r="K202" i="7"/>
  <c r="K201" i="7"/>
  <c r="K200" i="7"/>
  <c r="K199" i="7"/>
  <c r="K198" i="7"/>
  <c r="K197" i="7"/>
  <c r="K196" i="7"/>
  <c r="K195" i="7"/>
  <c r="K194" i="7"/>
  <c r="K193" i="7"/>
  <c r="K192" i="7"/>
  <c r="K191" i="7"/>
  <c r="K190" i="7"/>
  <c r="K189" i="7"/>
  <c r="K188" i="7"/>
  <c r="K187" i="7"/>
  <c r="K186" i="7"/>
  <c r="K185" i="7"/>
  <c r="K184" i="7"/>
  <c r="K183" i="7"/>
  <c r="K182" i="7"/>
  <c r="K181" i="7"/>
  <c r="K180" i="7"/>
  <c r="K179" i="7"/>
  <c r="K178" i="7"/>
  <c r="K177" i="7"/>
  <c r="K176" i="7"/>
  <c r="K175" i="7"/>
  <c r="K174" i="7"/>
  <c r="K173" i="7"/>
  <c r="K172" i="7"/>
  <c r="K171" i="7"/>
  <c r="K170" i="7"/>
  <c r="K169" i="7"/>
  <c r="K168" i="7"/>
  <c r="K167" i="7"/>
  <c r="K166" i="7"/>
  <c r="K165" i="7"/>
  <c r="K164" i="7"/>
  <c r="K163" i="7"/>
  <c r="K162" i="7"/>
  <c r="K161" i="7"/>
  <c r="K160" i="7"/>
  <c r="K159" i="7"/>
  <c r="K158" i="7"/>
  <c r="K157" i="7"/>
  <c r="K156" i="7"/>
  <c r="K155" i="7"/>
  <c r="K154" i="7"/>
  <c r="K153" i="7"/>
  <c r="K152" i="7"/>
  <c r="K151" i="7"/>
  <c r="K150" i="7"/>
  <c r="K149" i="7"/>
  <c r="K148" i="7"/>
  <c r="K147" i="7"/>
  <c r="K146" i="7"/>
  <c r="K145" i="7"/>
  <c r="K144" i="7"/>
  <c r="K143" i="7"/>
  <c r="K142" i="7"/>
  <c r="K141" i="7"/>
  <c r="K140" i="7"/>
  <c r="K139" i="7"/>
  <c r="K138" i="7"/>
  <c r="K137" i="7"/>
  <c r="K136" i="7"/>
  <c r="K135" i="7"/>
  <c r="K134" i="7"/>
  <c r="K133" i="7"/>
  <c r="K132" i="7"/>
  <c r="K131" i="7"/>
  <c r="K130" i="7"/>
  <c r="K129" i="7"/>
  <c r="K128" i="7"/>
  <c r="K127" i="7"/>
  <c r="K126" i="7"/>
  <c r="K125" i="7"/>
  <c r="K124" i="7"/>
  <c r="K123" i="7"/>
  <c r="K122" i="7"/>
  <c r="K121" i="7"/>
  <c r="K120" i="7"/>
  <c r="K119" i="7"/>
  <c r="K118" i="7"/>
  <c r="K117" i="7"/>
  <c r="K116" i="7"/>
  <c r="K115" i="7"/>
  <c r="K114" i="7"/>
  <c r="K113" i="7"/>
  <c r="K112" i="7"/>
  <c r="K111" i="7"/>
  <c r="K110" i="7"/>
  <c r="K109" i="7"/>
  <c r="K108" i="7"/>
  <c r="K107" i="7"/>
  <c r="K106" i="7"/>
  <c r="K105" i="7"/>
  <c r="K104" i="7"/>
  <c r="K103" i="7"/>
  <c r="K102" i="7"/>
  <c r="K101" i="7"/>
  <c r="K100" i="7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K2" i="7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11" i="8"/>
  <c r="K10" i="8"/>
  <c r="K9" i="8"/>
  <c r="K8" i="8"/>
  <c r="K7" i="8"/>
  <c r="K6" i="8"/>
  <c r="K5" i="8"/>
  <c r="K4" i="8"/>
  <c r="K3" i="8"/>
  <c r="K2" i="8"/>
  <c r="K426" i="9"/>
  <c r="K427" i="9"/>
  <c r="K428" i="9"/>
  <c r="K429" i="9"/>
  <c r="K430" i="9"/>
  <c r="K431" i="9"/>
  <c r="K432" i="9"/>
  <c r="K433" i="9"/>
  <c r="K434" i="9"/>
  <c r="K435" i="9"/>
  <c r="K436" i="9"/>
  <c r="K437" i="9"/>
  <c r="K438" i="9"/>
  <c r="K439" i="9"/>
  <c r="K440" i="9"/>
  <c r="K441" i="9"/>
  <c r="K442" i="9"/>
  <c r="K443" i="9"/>
  <c r="K444" i="9"/>
  <c r="K445" i="9"/>
  <c r="K446" i="9"/>
  <c r="K447" i="9"/>
  <c r="K448" i="9"/>
  <c r="K449" i="9"/>
  <c r="K450" i="9"/>
  <c r="K451" i="9"/>
  <c r="K452" i="9"/>
  <c r="K453" i="9"/>
  <c r="K454" i="9"/>
  <c r="K455" i="9"/>
  <c r="K456" i="9"/>
  <c r="I426" i="9"/>
  <c r="I427" i="9"/>
  <c r="I428" i="9"/>
  <c r="I429" i="9"/>
  <c r="I430" i="9"/>
  <c r="I431" i="9"/>
  <c r="I432" i="9"/>
  <c r="I433" i="9"/>
  <c r="I434" i="9"/>
  <c r="I435" i="9"/>
  <c r="I436" i="9"/>
  <c r="I437" i="9"/>
  <c r="I438" i="9"/>
  <c r="I439" i="9"/>
  <c r="I440" i="9"/>
  <c r="I441" i="9"/>
  <c r="I442" i="9"/>
  <c r="I443" i="9"/>
  <c r="I444" i="9"/>
  <c r="I445" i="9"/>
  <c r="I446" i="9"/>
  <c r="I447" i="9"/>
  <c r="I448" i="9"/>
  <c r="I449" i="9"/>
  <c r="I450" i="9"/>
  <c r="I451" i="9"/>
  <c r="I452" i="9"/>
  <c r="I453" i="9"/>
  <c r="I454" i="9"/>
  <c r="I455" i="9"/>
  <c r="I456" i="9"/>
  <c r="I395" i="9"/>
  <c r="I396" i="9"/>
  <c r="I397" i="9"/>
  <c r="I398" i="9"/>
  <c r="I399" i="9"/>
  <c r="I400" i="9"/>
  <c r="I401" i="9"/>
  <c r="I402" i="9"/>
  <c r="I403" i="9"/>
  <c r="I404" i="9"/>
  <c r="I405" i="9"/>
  <c r="I406" i="9"/>
  <c r="I407" i="9"/>
  <c r="I408" i="9"/>
  <c r="I409" i="9"/>
  <c r="I410" i="9"/>
  <c r="I411" i="9"/>
  <c r="I412" i="9"/>
  <c r="I413" i="9"/>
  <c r="I414" i="9"/>
  <c r="I415" i="9"/>
  <c r="I416" i="9"/>
  <c r="I417" i="9"/>
  <c r="I418" i="9"/>
  <c r="I419" i="9"/>
  <c r="I420" i="9"/>
  <c r="I421" i="9"/>
  <c r="I422" i="9"/>
  <c r="I423" i="9"/>
  <c r="I424" i="9"/>
  <c r="I425" i="9"/>
  <c r="K395" i="9"/>
  <c r="K396" i="9"/>
  <c r="K397" i="9"/>
  <c r="K398" i="9"/>
  <c r="K399" i="9"/>
  <c r="K400" i="9"/>
  <c r="K401" i="9"/>
  <c r="K402" i="9"/>
  <c r="K403" i="9"/>
  <c r="K404" i="9"/>
  <c r="K405" i="9"/>
  <c r="K406" i="9"/>
  <c r="K407" i="9"/>
  <c r="K408" i="9"/>
  <c r="K409" i="9"/>
  <c r="K410" i="9"/>
  <c r="K411" i="9"/>
  <c r="K412" i="9"/>
  <c r="K413" i="9"/>
  <c r="K414" i="9"/>
  <c r="K415" i="9"/>
  <c r="K416" i="9"/>
  <c r="K417" i="9"/>
  <c r="K418" i="9"/>
  <c r="K419" i="9"/>
  <c r="K420" i="9"/>
  <c r="K421" i="9"/>
  <c r="K422" i="9"/>
  <c r="K423" i="9"/>
  <c r="K424" i="9"/>
  <c r="K425" i="9"/>
  <c r="K13" i="9"/>
  <c r="K14" i="9"/>
  <c r="K15" i="9"/>
  <c r="K16" i="9"/>
  <c r="K17" i="9"/>
  <c r="K18" i="9"/>
  <c r="K19" i="9"/>
  <c r="K20" i="9"/>
  <c r="K21" i="9"/>
  <c r="K22" i="9"/>
  <c r="K23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K283" i="9"/>
  <c r="K284" i="9"/>
  <c r="K285" i="9"/>
  <c r="K286" i="9"/>
  <c r="K287" i="9"/>
  <c r="K288" i="9"/>
  <c r="K289" i="9"/>
  <c r="K290" i="9"/>
  <c r="K291" i="9"/>
  <c r="K292" i="9"/>
  <c r="K293" i="9"/>
  <c r="K294" i="9"/>
  <c r="K295" i="9"/>
  <c r="K296" i="9"/>
  <c r="K297" i="9"/>
  <c r="K298" i="9"/>
  <c r="K299" i="9"/>
  <c r="K300" i="9"/>
  <c r="K301" i="9"/>
  <c r="K302" i="9"/>
  <c r="K303" i="9"/>
  <c r="K304" i="9"/>
  <c r="K305" i="9"/>
  <c r="K306" i="9"/>
  <c r="K307" i="9"/>
  <c r="K308" i="9"/>
  <c r="K309" i="9"/>
  <c r="K310" i="9"/>
  <c r="K311" i="9"/>
  <c r="K312" i="9"/>
  <c r="K313" i="9"/>
  <c r="K314" i="9"/>
  <c r="K315" i="9"/>
  <c r="K316" i="9"/>
  <c r="K317" i="9"/>
  <c r="K318" i="9"/>
  <c r="K319" i="9"/>
  <c r="K320" i="9"/>
  <c r="K321" i="9"/>
  <c r="K322" i="9"/>
  <c r="K323" i="9"/>
  <c r="K324" i="9"/>
  <c r="K325" i="9"/>
  <c r="K326" i="9"/>
  <c r="K327" i="9"/>
  <c r="K328" i="9"/>
  <c r="K329" i="9"/>
  <c r="K330" i="9"/>
  <c r="K331" i="9"/>
  <c r="K332" i="9"/>
  <c r="K333" i="9"/>
  <c r="K334" i="9"/>
  <c r="K335" i="9"/>
  <c r="K336" i="9"/>
  <c r="K337" i="9"/>
  <c r="K338" i="9"/>
  <c r="K339" i="9"/>
  <c r="K340" i="9"/>
  <c r="K341" i="9"/>
  <c r="K342" i="9"/>
  <c r="K343" i="9"/>
  <c r="K344" i="9"/>
  <c r="K345" i="9"/>
  <c r="K346" i="9"/>
  <c r="K347" i="9"/>
  <c r="K348" i="9"/>
  <c r="K349" i="9"/>
  <c r="K350" i="9"/>
  <c r="K351" i="9"/>
  <c r="K352" i="9"/>
  <c r="K353" i="9"/>
  <c r="K354" i="9"/>
  <c r="K355" i="9"/>
  <c r="K356" i="9"/>
  <c r="K357" i="9"/>
  <c r="K358" i="9"/>
  <c r="K359" i="9"/>
  <c r="K360" i="9"/>
  <c r="K361" i="9"/>
  <c r="K362" i="9"/>
  <c r="K363" i="9"/>
  <c r="K364" i="9"/>
  <c r="K365" i="9"/>
  <c r="K366" i="9"/>
  <c r="K367" i="9"/>
  <c r="K368" i="9"/>
  <c r="K369" i="9"/>
  <c r="K370" i="9"/>
  <c r="K371" i="9"/>
  <c r="K372" i="9"/>
  <c r="K373" i="9"/>
  <c r="K374" i="9"/>
  <c r="K375" i="9"/>
  <c r="K376" i="9"/>
  <c r="K377" i="9"/>
  <c r="K378" i="9"/>
  <c r="K379" i="9"/>
  <c r="K380" i="9"/>
  <c r="K381" i="9"/>
  <c r="K382" i="9"/>
  <c r="K383" i="9"/>
  <c r="K384" i="9"/>
  <c r="K385" i="9"/>
  <c r="K386" i="9"/>
  <c r="K387" i="9"/>
  <c r="K388" i="9"/>
  <c r="K389" i="9"/>
  <c r="K390" i="9"/>
  <c r="K391" i="9"/>
  <c r="K392" i="9"/>
  <c r="K393" i="9"/>
  <c r="K394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307" i="9"/>
  <c r="I308" i="9"/>
  <c r="I309" i="9"/>
  <c r="I310" i="9"/>
  <c r="I311" i="9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326" i="9"/>
  <c r="I327" i="9"/>
  <c r="I328" i="9"/>
  <c r="I329" i="9"/>
  <c r="I330" i="9"/>
  <c r="I331" i="9"/>
  <c r="I332" i="9"/>
  <c r="I333" i="9"/>
  <c r="I334" i="9"/>
  <c r="I335" i="9"/>
  <c r="I336" i="9"/>
  <c r="I337" i="9"/>
  <c r="I338" i="9"/>
  <c r="I339" i="9"/>
  <c r="I340" i="9"/>
  <c r="I341" i="9"/>
  <c r="I342" i="9"/>
  <c r="I343" i="9"/>
  <c r="I344" i="9"/>
  <c r="I345" i="9"/>
  <c r="I346" i="9"/>
  <c r="I347" i="9"/>
  <c r="I348" i="9"/>
  <c r="I349" i="9"/>
  <c r="I350" i="9"/>
  <c r="I351" i="9"/>
  <c r="I352" i="9"/>
  <c r="I353" i="9"/>
  <c r="I354" i="9"/>
  <c r="I355" i="9"/>
  <c r="I356" i="9"/>
  <c r="I357" i="9"/>
  <c r="I358" i="9"/>
  <c r="I359" i="9"/>
  <c r="I360" i="9"/>
  <c r="I361" i="9"/>
  <c r="I362" i="9"/>
  <c r="I363" i="9"/>
  <c r="I364" i="9"/>
  <c r="I365" i="9"/>
  <c r="I366" i="9"/>
  <c r="I367" i="9"/>
  <c r="I368" i="9"/>
  <c r="I369" i="9"/>
  <c r="I370" i="9"/>
  <c r="I371" i="9"/>
  <c r="I372" i="9"/>
  <c r="I373" i="9"/>
  <c r="I374" i="9"/>
  <c r="I375" i="9"/>
  <c r="I376" i="9"/>
  <c r="I377" i="9"/>
  <c r="I378" i="9"/>
  <c r="I379" i="9"/>
  <c r="I380" i="9"/>
  <c r="I381" i="9"/>
  <c r="I382" i="9"/>
  <c r="I383" i="9"/>
  <c r="I384" i="9"/>
  <c r="I385" i="9"/>
  <c r="I386" i="9"/>
  <c r="I387" i="9"/>
  <c r="I388" i="9"/>
  <c r="I389" i="9"/>
  <c r="I390" i="9"/>
  <c r="I391" i="9"/>
  <c r="I392" i="9"/>
  <c r="I393" i="9"/>
  <c r="I394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K3" i="9"/>
  <c r="K4" i="9"/>
  <c r="K5" i="9"/>
  <c r="K6" i="9"/>
  <c r="K7" i="9"/>
  <c r="K8" i="9"/>
  <c r="K9" i="9"/>
  <c r="K10" i="9"/>
  <c r="K11" i="9"/>
  <c r="K12" i="9"/>
  <c r="K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5" i="9"/>
  <c r="I26" i="9"/>
  <c r="I27" i="9"/>
  <c r="I28" i="9"/>
  <c r="I29" i="9"/>
  <c r="I30" i="9"/>
  <c r="I31" i="9"/>
  <c r="I32" i="9"/>
  <c r="I2" i="9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33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J1" i="11" l="1"/>
  <c r="M13" i="10"/>
  <c r="N13" i="10" s="1"/>
  <c r="M11" i="10"/>
  <c r="N11" i="10" s="1"/>
  <c r="M9" i="10"/>
  <c r="N9" i="10" s="1"/>
  <c r="M4" i="10"/>
  <c r="N4" i="10" s="1"/>
  <c r="M10" i="10"/>
  <c r="N10" i="10" s="1"/>
  <c r="M12" i="10"/>
  <c r="N12" i="10" s="1"/>
  <c r="M5" i="10"/>
  <c r="N5" i="10" s="1"/>
  <c r="M6" i="10"/>
  <c r="N6" i="10" s="1"/>
  <c r="M14" i="10"/>
  <c r="N14" i="10" s="1"/>
  <c r="L1" i="10"/>
  <c r="M7" i="10"/>
  <c r="N7" i="10" s="1"/>
  <c r="M15" i="10"/>
  <c r="N15" i="10" s="1"/>
  <c r="M8" i="10"/>
  <c r="N8" i="10" s="1"/>
  <c r="M9" i="7"/>
  <c r="N9" i="7" s="1"/>
  <c r="M8" i="8"/>
  <c r="N8" i="8" s="1"/>
  <c r="M14" i="8"/>
  <c r="N14" i="8" s="1"/>
  <c r="M9" i="8"/>
  <c r="N9" i="8" s="1"/>
  <c r="M12" i="8"/>
  <c r="N12" i="8" s="1"/>
  <c r="M11" i="8"/>
  <c r="N11" i="8" s="1"/>
  <c r="M6" i="8"/>
  <c r="N6" i="8" s="1"/>
  <c r="M7" i="8"/>
  <c r="N7" i="8" s="1"/>
  <c r="M15" i="8"/>
  <c r="N15" i="8" s="1"/>
  <c r="M10" i="8"/>
  <c r="N10" i="8" s="1"/>
  <c r="M5" i="8"/>
  <c r="N5" i="8" s="1"/>
  <c r="M13" i="8"/>
  <c r="N13" i="8" s="1"/>
  <c r="M13" i="9"/>
  <c r="N13" i="9" s="1"/>
  <c r="M14" i="9"/>
  <c r="N14" i="9" s="1"/>
  <c r="M10" i="9"/>
  <c r="N10" i="9" s="1"/>
  <c r="M12" i="9"/>
  <c r="N12" i="9" s="1"/>
  <c r="M4" i="9"/>
  <c r="N4" i="9" s="1"/>
  <c r="M11" i="9"/>
  <c r="N11" i="9" s="1"/>
  <c r="M9" i="9"/>
  <c r="N9" i="9" s="1"/>
  <c r="M8" i="9"/>
  <c r="N8" i="9" s="1"/>
  <c r="M15" i="9"/>
  <c r="N15" i="9" s="1"/>
  <c r="M7" i="9"/>
  <c r="N7" i="9" s="1"/>
  <c r="M6" i="9"/>
  <c r="N6" i="9" s="1"/>
  <c r="M5" i="9"/>
  <c r="N5" i="9" s="1"/>
  <c r="N16" i="10" l="1"/>
  <c r="M16" i="10"/>
  <c r="N16" i="9"/>
  <c r="M16" i="9"/>
  <c r="I2" i="8" l="1"/>
  <c r="M4" i="8" s="1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M12" i="7" s="1"/>
  <c r="N12" i="7" s="1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2" i="7"/>
  <c r="M4" i="7" s="1"/>
  <c r="M7" i="7" l="1"/>
  <c r="N7" i="7" s="1"/>
  <c r="M14" i="7"/>
  <c r="N14" i="7" s="1"/>
  <c r="M8" i="7"/>
  <c r="N8" i="7" s="1"/>
  <c r="M6" i="7"/>
  <c r="N6" i="7" s="1"/>
  <c r="M15" i="7"/>
  <c r="N15" i="7" s="1"/>
  <c r="M5" i="7"/>
  <c r="N5" i="7" s="1"/>
  <c r="N4" i="7"/>
  <c r="M13" i="7"/>
  <c r="N13" i="7" s="1"/>
  <c r="M10" i="7"/>
  <c r="N10" i="7" s="1"/>
  <c r="M11" i="7"/>
  <c r="N11" i="7" s="1"/>
  <c r="M16" i="8"/>
  <c r="N4" i="8"/>
  <c r="N16" i="8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" i="3"/>
  <c r="I2" i="3"/>
  <c r="K1" i="3" s="1"/>
  <c r="M13" i="3" s="1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M6" i="2" s="1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33" i="2"/>
  <c r="I34" i="2"/>
  <c r="I35" i="2"/>
  <c r="I36" i="2"/>
  <c r="I37" i="2"/>
  <c r="I38" i="2"/>
  <c r="I39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2" i="2"/>
  <c r="I3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2" i="2"/>
  <c r="M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M4" i="1" s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M8" i="1" s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M10" i="1" s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2" i="1"/>
  <c r="M8" i="3" l="1"/>
  <c r="N8" i="3" s="1"/>
  <c r="M10" i="3"/>
  <c r="N10" i="3" s="1"/>
  <c r="M4" i="3"/>
  <c r="N4" i="3" s="1"/>
  <c r="M5" i="3"/>
  <c r="N5" i="3" s="1"/>
  <c r="M11" i="3"/>
  <c r="N11" i="3" s="1"/>
  <c r="M12" i="3"/>
  <c r="N12" i="3" s="1"/>
  <c r="M6" i="3"/>
  <c r="N6" i="3" s="1"/>
  <c r="M9" i="3"/>
  <c r="N9" i="3" s="1"/>
  <c r="M7" i="3"/>
  <c r="N7" i="3" s="1"/>
  <c r="M3" i="3"/>
  <c r="N3" i="3" s="1"/>
  <c r="M2" i="3"/>
  <c r="N13" i="3"/>
  <c r="N16" i="7"/>
  <c r="M16" i="7"/>
  <c r="M11" i="1"/>
  <c r="N11" i="1" s="1"/>
  <c r="M7" i="1"/>
  <c r="N7" i="1" s="1"/>
  <c r="M11" i="2"/>
  <c r="M10" i="2"/>
  <c r="N10" i="2" s="1"/>
  <c r="M13" i="2"/>
  <c r="M5" i="2"/>
  <c r="M9" i="2"/>
  <c r="M7" i="2"/>
  <c r="N7" i="2" s="1"/>
  <c r="M12" i="2"/>
  <c r="M4" i="2"/>
  <c r="N4" i="2" s="1"/>
  <c r="M8" i="2"/>
  <c r="M14" i="2"/>
  <c r="N14" i="2" s="1"/>
  <c r="M6" i="1"/>
  <c r="N6" i="1" s="1"/>
  <c r="N14" i="1"/>
  <c r="M13" i="1"/>
  <c r="N13" i="1" s="1"/>
  <c r="M5" i="1"/>
  <c r="N5" i="1" s="1"/>
  <c r="M12" i="1"/>
  <c r="N12" i="1" s="1"/>
  <c r="M3" i="1"/>
  <c r="N3" i="1" s="1"/>
  <c r="N10" i="1"/>
  <c r="N4" i="1"/>
  <c r="N6" i="2"/>
  <c r="N11" i="2"/>
  <c r="N8" i="2"/>
  <c r="N5" i="2"/>
  <c r="N9" i="2"/>
  <c r="N13" i="2"/>
  <c r="N12" i="2"/>
  <c r="M3" i="2"/>
  <c r="N3" i="2" s="1"/>
  <c r="N9" i="1"/>
  <c r="N8" i="1"/>
  <c r="M14" i="3" l="1"/>
  <c r="N2" i="3"/>
  <c r="N14" i="3" s="1"/>
  <c r="N15" i="2"/>
  <c r="M15" i="2"/>
  <c r="N15" i="1"/>
  <c r="M15" i="1"/>
</calcChain>
</file>

<file path=xl/sharedStrings.xml><?xml version="1.0" encoding="utf-8"?>
<sst xmlns="http://schemas.openxmlformats.org/spreadsheetml/2006/main" count="41918" uniqueCount="3760">
  <si>
    <t>Jour</t>
  </si>
  <si>
    <t>Type de Jour</t>
  </si>
  <si>
    <t>Taux Occ</t>
  </si>
  <si>
    <t>Ratio (œuf/client)</t>
  </si>
  <si>
    <t>Logique Métier</t>
  </si>
  <si>
    <t>Mer</t>
  </si>
  <si>
    <t>Férié</t>
  </si>
  <si>
    <t>Brunch du Nouvel An (Forte conso)</t>
  </si>
  <si>
    <t>Jeu</t>
  </si>
  <si>
    <t>Semaine</t>
  </si>
  <si>
    <t>Retour au travail, clients pressés</t>
  </si>
  <si>
    <t>Ven</t>
  </si>
  <si>
    <t>Transition vers le weekend</t>
  </si>
  <si>
    <t>Sam</t>
  </si>
  <si>
    <t>Weekend</t>
  </si>
  <si>
    <t>Clientèle locale, petit-déjeuner long</t>
  </si>
  <si>
    <t>Dim</t>
  </si>
  <si>
    <t>Ambiance décontractée</t>
  </si>
  <si>
    <t>Lun</t>
  </si>
  <si>
    <t>Basse saison, clientèle d'affaires</t>
  </si>
  <si>
    <t>Mar</t>
  </si>
  <si>
    <t>Stabilité en semaine</t>
  </si>
  <si>
    <t>Journée légère</t>
  </si>
  <si>
    <t>Remontée légère</t>
  </si>
  <si>
    <t>Préparation weekend</t>
  </si>
  <si>
    <t>Pic de weekend</t>
  </si>
  <si>
    <t>Petit-déjeuner familial</t>
  </si>
  <si>
    <t>Lundi calme</t>
  </si>
  <si>
    <t>Férié (Rév.)</t>
  </si>
  <si>
    <t>Journée de la Révolution (Férié)</t>
  </si>
  <si>
    <t>Reprise normale</t>
  </si>
  <si>
    <t>Clientèle d'affaires classique</t>
  </si>
  <si>
    <t>Arrivée des séminaires locaux</t>
  </si>
  <si>
    <t>Forte demande buffet (Familles)</t>
  </si>
  <si>
    <t>Brunch tardif</t>
  </si>
  <si>
    <t>Creux de début de semaine</t>
  </si>
  <si>
    <t>Basse saison (Minimiser les pertes)</t>
  </si>
  <si>
    <t>Reprise d'activité</t>
  </si>
  <si>
    <t>Clientèle corporate</t>
  </si>
  <si>
    <t>Préparation du dernier weekend</t>
  </si>
  <si>
    <t>Pic de fin de mois</t>
  </si>
  <si>
    <t>Consommation stable</t>
  </si>
  <si>
    <t>Lundi de gestion</t>
  </si>
  <si>
    <t>Semaine calme</t>
  </si>
  <si>
    <t>Transition</t>
  </si>
  <si>
    <t>Inventaire de fin de mois</t>
  </si>
  <si>
    <t>Préparation de février</t>
  </si>
  <si>
    <t>Weekend classique, clientèle locale.</t>
  </si>
  <si>
    <t>Brunch familial.</t>
  </si>
  <si>
    <t>Reprise séminaires entreprises.</t>
  </si>
  <si>
    <t>Clientèle d'affaires.</t>
  </si>
  <si>
    <t>Pic de milieu de semaine.</t>
  </si>
  <si>
    <t>Stabilité.</t>
  </si>
  <si>
    <t>Arrivées pour le weekend.</t>
  </si>
  <si>
    <t>Détente.</t>
  </si>
  <si>
    <t>Ambiance décontractée.</t>
  </si>
  <si>
    <t>Lundi calme.</t>
  </si>
  <si>
    <t>Affaires.</t>
  </si>
  <si>
    <t>Préparation événementiel.</t>
  </si>
  <si>
    <t>Veille de fête.</t>
  </si>
  <si>
    <t>St Valentin</t>
  </si>
  <si>
    <r>
      <t>Pic exceptionnel</t>
    </r>
    <r>
      <rPr>
        <sz val="11"/>
        <color rgb="FF1F1F1F"/>
        <rFont val="Arial"/>
        <family val="2"/>
      </rPr>
      <t xml:space="preserve"> : Petit-déjeuner premium/amoureux.</t>
    </r>
  </si>
  <si>
    <t>Prolongation weekend amoureux.</t>
  </si>
  <si>
    <t>Brunch de clôture.</t>
  </si>
  <si>
    <t>Redescente après pic.</t>
  </si>
  <si>
    <t>Corporate.</t>
  </si>
  <si>
    <t>Fin de semaine de travail.</t>
  </si>
  <si>
    <t>Arrivées weekend.</t>
  </si>
  <si>
    <t>Familles.</t>
  </si>
  <si>
    <t>Brunch.</t>
  </si>
  <si>
    <t>Transition.</t>
  </si>
  <si>
    <t>Travail.</t>
  </si>
  <si>
    <t>Préparation fin de mois.</t>
  </si>
  <si>
    <t>Dernier jour, forte occupation soir.</t>
  </si>
  <si>
    <t>Ramadan J1</t>
  </si>
  <si>
    <t>Début Ramadan : Chute brutale au petit-déj.</t>
  </si>
  <si>
    <t>Ramadan</t>
  </si>
  <si>
    <t>Clients jeûneurs majoritaires.</t>
  </si>
  <si>
    <t>Semaine calme, consommation minimale.</t>
  </si>
  <si>
    <t>Rythme de croisière Ramadan.</t>
  </si>
  <si>
    <t>Quelques clients étrangers (non-jeûneurs).</t>
  </si>
  <si>
    <t>Consommation très basse.</t>
  </si>
  <si>
    <t>Préparation weekend.</t>
  </si>
  <si>
    <t>Weekend : Légère hausse (Shour plus riche).</t>
  </si>
  <si>
    <t>Brunch de Shour.</t>
  </si>
  <si>
    <r>
      <t>Minimum annuel</t>
    </r>
    <r>
      <rPr>
        <sz val="11"/>
        <color rgb="FF1F1F1F"/>
        <rFont val="Arial"/>
        <family val="2"/>
      </rPr>
      <t xml:space="preserve"> de consommation.</t>
    </r>
  </si>
  <si>
    <t>Stabilité basse.</t>
  </si>
  <si>
    <t>Clients business étrangers.</t>
  </si>
  <si>
    <t>Routine.</t>
  </si>
  <si>
    <t>Pic de weekend en Ramadan.</t>
  </si>
  <si>
    <t>Fin de weekend.</t>
  </si>
  <si>
    <t>Clientèle locale.</t>
  </si>
  <si>
    <t>Faible demande.</t>
  </si>
  <si>
    <t>Stable.</t>
  </si>
  <si>
    <t>Férié (Indép.)</t>
  </si>
  <si>
    <t>Fête de l'Indépendance : Plus de non-jeûneurs.</t>
  </si>
  <si>
    <t>Sortie de fête.</t>
  </si>
  <si>
    <t>Weekend.</t>
  </si>
  <si>
    <t>Semaine.</t>
  </si>
  <si>
    <t>Fin de mois.</t>
  </si>
  <si>
    <t>Nuit du Destin approche (plus de Shour).</t>
  </si>
  <si>
    <t>Aïd approche</t>
  </si>
  <si>
    <t>Préparatifs Aïd : L'occupation grimpe.</t>
  </si>
  <si>
    <t>Familles arrivent pour l'Aïd.</t>
  </si>
  <si>
    <t>Aïd El Fitr</t>
  </si>
  <si>
    <r>
      <t>Pic de l'année</t>
    </r>
    <r>
      <rPr>
        <sz val="11"/>
        <color rgb="FF1F1F1F"/>
        <rFont val="Arial"/>
        <family val="2"/>
      </rPr>
      <t xml:space="preserve"> : Petit-déjeuner de fête.</t>
    </r>
  </si>
  <si>
    <t>Mar.</t>
  </si>
  <si>
    <t>Aïd J2</t>
  </si>
  <si>
    <t>Suite de l'Aïd : Occupation et consommation maximales.</t>
  </si>
  <si>
    <t>Mer.</t>
  </si>
  <si>
    <t>Aïd J3</t>
  </si>
  <si>
    <t>Fin des festivités.</t>
  </si>
  <si>
    <t>Jeu.</t>
  </si>
  <si>
    <t>Retour à la normale (période de transition).</t>
  </si>
  <si>
    <t>Ven.</t>
  </si>
  <si>
    <t>Reprise des séminaires.</t>
  </si>
  <si>
    <t>Sam.</t>
  </si>
  <si>
    <t>Weekend classique post-Ramadan.</t>
  </si>
  <si>
    <t>Dim.</t>
  </si>
  <si>
    <t>Brunch normal.</t>
  </si>
  <si>
    <t>Lun.</t>
  </si>
  <si>
    <t>Lundi de reprise.</t>
  </si>
  <si>
    <t>Férié (Martyrs)</t>
  </si>
  <si>
    <t>Jour des Martyrs : Pic de clientèle locale.</t>
  </si>
  <si>
    <t>Weekend printanier.</t>
  </si>
  <si>
    <t>Semaine calme.</t>
  </si>
  <si>
    <t>Début de vacances scolaires possible.</t>
  </si>
  <si>
    <t>Forte occupation familles.</t>
  </si>
  <si>
    <t>Clientèle mixte.</t>
  </si>
  <si>
    <t>Milieu de semaine.</t>
  </si>
  <si>
    <t>Fin de semaine business.</t>
  </si>
  <si>
    <t>Préparation dernier weekend.</t>
  </si>
  <si>
    <t>Beau temps : l'occupation monte.</t>
  </si>
  <si>
    <t>Veille du 1er Mai (Férié).</t>
  </si>
  <si>
    <t>Férié (Travail)</t>
  </si>
  <si>
    <t>Fête du Travail : Brunch familial important.</t>
  </si>
  <si>
    <t>Semaine (Pont)</t>
  </si>
  <si>
    <t>Weekend prolongé pour beaucoup</t>
  </si>
  <si>
    <t>Forte occupation loisirs.</t>
  </si>
  <si>
    <t>Buffet dominical.</t>
  </si>
  <si>
    <t>Clientèle business.</t>
  </si>
  <si>
    <t>Pic de congrès.</t>
  </si>
  <si>
    <t>Activité stable.</t>
  </si>
  <si>
    <t>Séminaires.</t>
  </si>
  <si>
    <t>Mixte Affaires/Loisirs.</t>
  </si>
  <si>
    <t>Mariages et événements.</t>
  </si>
  <si>
    <t>Début de semaine.</t>
  </si>
  <si>
    <t>Weekend proche.</t>
  </si>
  <si>
    <t>Hausse des températures (Loisirs).</t>
  </si>
  <si>
    <t>Buffet.</t>
  </si>
  <si>
    <t>Calme.</t>
  </si>
  <si>
    <t>Fin de mois corporate.</t>
  </si>
  <si>
    <t>Pré-clôture mois.</t>
  </si>
  <si>
    <t>Buffet dominical estival.</t>
  </si>
  <si>
    <t>Séminaires de clôture de semestre.</t>
  </si>
  <si>
    <t>Clientèle d'affaires internationale.</t>
  </si>
  <si>
    <t>Pic d'activité midweek.</t>
  </si>
  <si>
    <t>Arrivées anticipées pour le weekend.</t>
  </si>
  <si>
    <t>Pic de chaleur : les familles arrivent.</t>
  </si>
  <si>
    <t>Brunch complet.</t>
  </si>
  <si>
    <t>Lundi de gestion.</t>
  </si>
  <si>
    <t>Début des congés annuels pour certains.</t>
  </si>
  <si>
    <t>Forte occupation (Loisirs).</t>
  </si>
  <si>
    <t>Reprise business.</t>
  </si>
  <si>
    <t>Préparation grand weekend.</t>
  </si>
  <si>
    <r>
      <t>Fête de la Musique / Été</t>
    </r>
    <r>
      <rPr>
        <sz val="11"/>
        <color rgb="FF1F1F1F"/>
        <rFont val="Arial"/>
        <family val="2"/>
      </rPr>
      <t xml:space="preserve"> : Pic annuel.</t>
    </r>
  </si>
  <si>
    <t>Fin de mois business.</t>
  </si>
  <si>
    <t>Clôtures trimestrielles.</t>
  </si>
  <si>
    <t>Derniers séminaires avant juillet.</t>
  </si>
  <si>
    <r>
      <t>Férié (Aïd K.)</t>
    </r>
    <r>
      <rPr>
        <sz val="11"/>
        <color rgb="FF1F1F1F"/>
        <rFont val="Arial"/>
        <family val="2"/>
      </rPr>
      <t>*</t>
    </r>
  </si>
  <si>
    <r>
      <t>Aïd El Kebir</t>
    </r>
    <r>
      <rPr>
        <sz val="11"/>
        <color rgb="FF1F1F1F"/>
        <rFont val="Arial"/>
        <family val="2"/>
      </rPr>
      <t xml:space="preserve"> (Estimation) : Consommation record.</t>
    </r>
  </si>
  <si>
    <t>Weekend/Aïd</t>
  </si>
  <si>
    <t>Suite de fête.</t>
  </si>
  <si>
    <t>Bilan du premier semestre.</t>
  </si>
  <si>
    <t>Sem</t>
  </si>
  <si>
    <t>Début des vacances, familles installées.</t>
  </si>
  <si>
    <t>Clientèle mixte été.</t>
  </si>
  <si>
    <t>Montée progressive.</t>
  </si>
  <si>
    <t>Arrivées massives pour le weekend.</t>
  </si>
  <si>
    <t>WE</t>
  </si>
  <si>
    <t>Pic de weekend (Buffet complet).</t>
  </si>
  <si>
    <t>Brunch estival.</t>
  </si>
  <si>
    <t>Départ partiel, mais reste haut.</t>
  </si>
  <si>
    <t>Stabilité estivale.</t>
  </si>
  <si>
    <t>Milieu de semaine actif.</t>
  </si>
  <si>
    <t>Hausse avant weekend.</t>
  </si>
  <si>
    <t>Weekend de mi-juillet.</t>
  </si>
  <si>
    <r>
      <t>Forte affluence</t>
    </r>
    <r>
      <rPr>
        <sz val="11"/>
        <color rgb="FF1F1F1F"/>
        <rFont val="Arial"/>
        <family val="2"/>
      </rPr>
      <t xml:space="preserve"> (Piscine/Loisirs).</t>
    </r>
  </si>
  <si>
    <t>Clientèle TRE (Long séjour).</t>
  </si>
  <si>
    <t>Gros flux d'arrivées.</t>
  </si>
  <si>
    <t>Samedi de pleine saison.</t>
  </si>
  <si>
    <t>Dimanche de pleine saison.</t>
  </si>
  <si>
    <t>Lundi de juillet.</t>
  </si>
  <si>
    <t>Clientèle européenne/estivale.</t>
  </si>
  <si>
    <t>Pic midweek.</t>
  </si>
  <si>
    <t>Veille de fête nationale.</t>
  </si>
  <si>
    <r>
      <t>Fête de la République</t>
    </r>
    <r>
      <rPr>
        <sz val="11"/>
        <color rgb="FF1F1F1F"/>
        <rFont val="Arial"/>
        <family val="2"/>
      </rPr>
      <t xml:space="preserve"> (Pic record).</t>
    </r>
  </si>
  <si>
    <t>Weekend prolongé.</t>
  </si>
  <si>
    <t>Retour au calme relatif.</t>
  </si>
  <si>
    <t>Préparation du mois d'Août.</t>
  </si>
  <si>
    <t>Flux continu de vacanciers.</t>
  </si>
  <si>
    <t>Weekend de forte affluence.</t>
  </si>
  <si>
    <t>Brunch familial estival.</t>
  </si>
  <si>
    <t>Clientèle TRE (longs séjours).</t>
  </si>
  <si>
    <t>Occupation stable et haute.</t>
  </si>
  <si>
    <t>Montée vers le weekend.</t>
  </si>
  <si>
    <t>Arrivées pour le grand weekend d'août.</t>
  </si>
  <si>
    <r>
      <t>Saturation</t>
    </r>
    <r>
      <rPr>
        <sz val="11"/>
        <color rgb="FF1F1F1F"/>
        <rFont val="Arial"/>
        <family val="2"/>
      </rPr>
      <t xml:space="preserve"> (Hôtel complet).</t>
    </r>
  </si>
  <si>
    <t>Brunch de pleine saison.</t>
  </si>
  <si>
    <t>Rotation des clients.</t>
  </si>
  <si>
    <t>Veille de jour férié.</t>
  </si>
  <si>
    <r>
      <t>Fête de la Femme</t>
    </r>
    <r>
      <rPr>
        <sz val="11"/>
        <color rgb="FF1F1F1F"/>
        <rFont val="Arial"/>
        <family val="2"/>
      </rPr>
      <t xml:space="preserve"> (Pic de consommation).</t>
    </r>
  </si>
  <si>
    <t>Pont du 13 août.</t>
  </si>
  <si>
    <t>Weekend record.</t>
  </si>
  <si>
    <t>Fin du grand weekend.</t>
  </si>
  <si>
    <t>Légère redescente.</t>
  </si>
  <si>
    <t>Clientèle de séjour.</t>
  </si>
  <si>
    <t>Derniers grands départs.</t>
  </si>
  <si>
    <t>Avant-dernier weekend.</t>
  </si>
  <si>
    <t>Début des retours (Fin de vacances).</t>
  </si>
  <si>
    <t>Préparation rentrée.</t>
  </si>
  <si>
    <t>Baisse progressive.</t>
  </si>
  <si>
    <t>Dernier weekend d'août.</t>
  </si>
  <si>
    <t>Clôture de la saison.</t>
  </si>
  <si>
    <t>Veille de rentrée scolaire.</t>
  </si>
  <si>
    <t>Rentrée : Départ brutal des familles.</t>
  </si>
  <si>
    <t>Reprise des contrats Business.</t>
  </si>
  <si>
    <t>Veille du Mouled (Affluence monte).</t>
  </si>
  <si>
    <r>
      <t>Le Mouled</t>
    </r>
    <r>
      <rPr>
        <sz val="11"/>
        <color rgb="FF1F1F1F"/>
        <rFont val="Arial"/>
        <family val="2"/>
      </rPr>
      <t xml:space="preserve"> : Consommation locale forte (Assida).</t>
    </r>
  </si>
  <si>
    <t>Pont</t>
  </si>
  <si>
    <t>Weekend prolongé pour certains.</t>
  </si>
  <si>
    <t>Weekend de détente post-rentrée.</t>
  </si>
  <si>
    <t>Reprise normale des séminaires.</t>
  </si>
  <si>
    <t>Clientèle d'affaires (consomme vite).</t>
  </si>
  <si>
    <t>Pic de congrès en milieu de semaine.</t>
  </si>
  <si>
    <t>Stabilité corporate.</t>
  </si>
  <si>
    <t>Arrivées pour weekend local.</t>
  </si>
  <si>
    <t>Clientèle de passage.</t>
  </si>
  <si>
    <t>Brunch dominical.</t>
  </si>
  <si>
    <t>Séminaires ministériels/ONG.</t>
  </si>
  <si>
    <t>Fin de semaine active.</t>
  </si>
  <si>
    <t>Mariages/Événements au Laico.</t>
  </si>
  <si>
    <t>Creux de début de semaine.</t>
  </si>
  <si>
    <t>Fin de cycle business.</t>
  </si>
  <si>
    <t>Température clémente (Loisirs).</t>
  </si>
  <si>
    <t>Transition fin de mois.</t>
  </si>
  <si>
    <t>Inventaire et clôture Septembre.</t>
  </si>
  <si>
    <t>Lancement des grands salons d'automne.</t>
  </si>
  <si>
    <t>Clientèle corporate internationale.</t>
  </si>
  <si>
    <t>Séminaires résidentiels (arrivée WE).</t>
  </si>
  <si>
    <t>Weekend chargé (Mariages/Événements).</t>
  </si>
  <si>
    <t>Reprise séminaires ministériels.</t>
  </si>
  <si>
    <t>Flux de weekend local.</t>
  </si>
  <si>
    <t>Forte demande (Événements sociaux).</t>
  </si>
  <si>
    <r>
      <t>Fête de l'Évacuation</t>
    </r>
    <r>
      <rPr>
        <sz val="11"/>
        <color rgb="FF1F1F1F"/>
        <rFont val="Arial"/>
        <family val="2"/>
      </rPr>
      <t xml:space="preserve"> (Pic local).</t>
    </r>
  </si>
  <si>
    <t>Retour aux affaires après le férié.</t>
  </si>
  <si>
    <t>Très forte affluence (Loisirs/Mariages).</t>
  </si>
  <si>
    <t>Début de semaine calme.</t>
  </si>
  <si>
    <t>Séminaires d'entreprises.</t>
  </si>
  <si>
    <t>Arrivées pour le dernier WE d'octobre.</t>
  </si>
  <si>
    <t>Brunch (Passage à l'heure d'hiver).</t>
  </si>
  <si>
    <t>Clôture des budgets marketing.</t>
  </si>
  <si>
    <t>Veille de la Toussaint (Tourisme européen).</t>
  </si>
  <si>
    <t>Toussaint : Clientèle européenne et locale.</t>
  </si>
  <si>
    <t>Brunch dominical calme.</t>
  </si>
  <si>
    <t>Lundi de basse saison.</t>
  </si>
  <si>
    <t>Clientèle d'affaires (Corporate).</t>
  </si>
  <si>
    <t>Quelques séminaires locaux.</t>
  </si>
  <si>
    <t>Arrivées weekend local.</t>
  </si>
  <si>
    <t>Weekend (Événements/Mariages).</t>
  </si>
  <si>
    <t>Creux de semaine.</t>
  </si>
  <si>
    <t>Minimum d'occupation.</t>
  </si>
  <si>
    <t>Basse saison.</t>
  </si>
  <si>
    <t>Quelques délégations étrangères.</t>
  </si>
  <si>
    <t>Pic de weekend (Événementiel).</t>
  </si>
  <si>
    <t>Fin de mois calme.</t>
  </si>
  <si>
    <t>Fin des séminaires du mois.</t>
  </si>
  <si>
    <t>Dernier weekend de novembre.</t>
  </si>
  <si>
    <t>Début de mois très calme.</t>
  </si>
  <si>
    <t>Clientèle corporate.</t>
  </si>
  <si>
    <t>Stabilité hivernale.</t>
  </si>
  <si>
    <t>Clôture de dossiers fin d'année.</t>
  </si>
  <si>
    <t>Weekend local.</t>
  </si>
  <si>
    <t>Weekend (Événements de fin d'année).</t>
  </si>
  <si>
    <t>Brunch hivernal.</t>
  </si>
  <si>
    <t>Creux de décembre.</t>
  </si>
  <si>
    <t>Business.</t>
  </si>
  <si>
    <t>Derniers séminaires de 2025.</t>
  </si>
  <si>
    <t>Weekend pré-vacances.</t>
  </si>
  <si>
    <t>Mariages et fêtes de fin d'année.</t>
  </si>
  <si>
    <t>Lundi le plus calme du mois.</t>
  </si>
  <si>
    <t>Corporate local uniquement.</t>
  </si>
  <si>
    <t>Stabilité en basse saison.</t>
  </si>
  <si>
    <t>Fin des derniers séminaires de l'année.</t>
  </si>
  <si>
    <t>Début des arrivées pour les vacances scolaires.</t>
  </si>
  <si>
    <t>Début des vacances scolaires.</t>
  </si>
  <si>
    <t>Clientèle familiale.</t>
  </si>
  <si>
    <t>Arrivée des touristes et TRE.</t>
  </si>
  <si>
    <t>Ambiance de fête.</t>
  </si>
  <si>
    <t>Noël</t>
  </si>
  <si>
    <r>
      <t>Réveillon de Noël</t>
    </r>
    <r>
      <rPr>
        <sz val="11"/>
        <color rgb="FF1F1F1F"/>
        <rFont val="Arial"/>
        <family val="2"/>
      </rPr>
      <t xml:space="preserve"> : Forte conso au buffet.</t>
    </r>
  </si>
  <si>
    <r>
      <t>Férié</t>
    </r>
    <r>
      <rPr>
        <sz val="11"/>
        <color rgb="FF1F1F1F"/>
        <rFont val="Arial"/>
        <family val="2"/>
      </rPr>
      <t>*</t>
    </r>
  </si>
  <si>
    <t>Petit-déjeuner de Noël (très gourmand).</t>
  </si>
  <si>
    <t>Entre-deux fêtes.</t>
  </si>
  <si>
    <t>Weekend de fin d'année.</t>
  </si>
  <si>
    <t>Préparation du grand soir.</t>
  </si>
  <si>
    <t>Montée en puissance.</t>
  </si>
  <si>
    <t>St Sylv.</t>
  </si>
  <si>
    <r>
      <t>Réveillon</t>
    </r>
    <r>
      <rPr>
        <sz val="11"/>
        <color rgb="FF1F1F1F"/>
        <rFont val="Arial"/>
        <family val="2"/>
      </rPr>
      <t xml:space="preserve"> : Le pic ultime de consommation.</t>
    </r>
  </si>
  <si>
    <t xml:space="preserve">Recap _mensuel </t>
  </si>
  <si>
    <t xml:space="preserve">Mois </t>
  </si>
  <si>
    <t>Cons [Œuf]</t>
  </si>
  <si>
    <t>Volume   [L]</t>
  </si>
  <si>
    <t xml:space="preserve">Janvier 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</si>
  <si>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</si>
  <si>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</si>
  <si>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</si>
  <si>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</si>
  <si>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</si>
  <si>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</si>
  <si>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</si>
  <si>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</si>
  <si>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</si>
  <si>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</si>
  <si>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</si>
  <si>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Totale</t>
  </si>
  <si>
    <t>Voici l'application de votre modèle (RNN/LSTM ou XGBoost) adaptée spécifiquement au Golden Carthage pour décembre 2025/2026.</t>
  </si>
  <si>
    <t>1. Logique Métier spécifique au Golden Carthage</t>
  </si>
  <si>
    <r>
      <t xml:space="preserve">C'est une excellente initiative. Le </t>
    </r>
    <r>
      <rPr>
        <b/>
        <sz val="12"/>
        <color theme="1"/>
        <rFont val="Times New Roman"/>
        <family val="1"/>
      </rPr>
      <t>Golden Carthage Tunis</t>
    </r>
    <r>
      <rPr>
        <sz val="12"/>
        <color theme="1"/>
        <rFont val="Times New Roman"/>
        <family val="1"/>
      </rPr>
      <t>, étant situé sur les hauteurs de Gammarth, possède une dynamique différente du Laico (qui est un hôtel de centre-ville).</t>
    </r>
  </si>
  <si>
    <r>
      <t xml:space="preserve">Pour le Golden Carthage, nous devons ajuster la "Logique Métier" car c'est un hôtel plus orienté </t>
    </r>
    <r>
      <rPr>
        <b/>
        <sz val="12"/>
        <color theme="1"/>
        <rFont val="Times New Roman"/>
        <family val="1"/>
      </rPr>
      <t>Resort et Loisirs</t>
    </r>
    <r>
      <rPr>
        <sz val="12"/>
        <color theme="1"/>
        <rFont val="Times New Roman"/>
        <family val="1"/>
      </rPr>
      <t>, avec une forte clientèle de week-end et des événements de prestige (banquets, diplomatie).</t>
    </r>
  </si>
  <si>
    <r>
      <t>Ratio de base plus élevé</t>
    </r>
    <r>
      <rPr>
        <sz val="12"/>
        <color theme="1"/>
        <rFont val="Times New Roman"/>
        <family val="1"/>
      </rPr>
      <t xml:space="preserve"> : Étant un Resort, les clients prennent plus de temps au petit-déjeuner et consomment davantage d'œufs (omelettes à la minute, buffet plus large).</t>
    </r>
  </si>
  <si>
    <r>
      <t>Effet "Gammarth"</t>
    </r>
    <r>
      <rPr>
        <sz val="12"/>
        <color theme="1"/>
        <rFont val="Times New Roman"/>
        <family val="1"/>
      </rPr>
      <t xml:space="preserve"> : Les pics de week-end sont plus accentués qu'au centre-ville.</t>
    </r>
  </si>
  <si>
    <r>
      <t>Événements TRE</t>
    </r>
    <r>
      <rPr>
        <sz val="12"/>
        <color theme="1"/>
        <rFont val="Times New Roman"/>
        <family val="1"/>
      </rPr>
      <t xml:space="preserve"> : En décembre, le Golden Carthage accueille beaucoup de Tunisiens Résidents à l'Étranger (TRE) qui séjournent en famille.</t>
    </r>
  </si>
  <si>
    <t>Date</t>
  </si>
  <si>
    <t>Occ %</t>
  </si>
  <si>
    <t>Ratio</t>
  </si>
  <si>
    <t>Séminaires résidentiels.</t>
  </si>
  <si>
    <t>Business habituel.</t>
  </si>
  <si>
    <t>Reprise après jour férié.</t>
  </si>
  <si>
    <t>Pré-weekend.</t>
  </si>
  <si>
    <t>Brunch dominical classique.</t>
  </si>
  <si>
    <t>Préparation du weekend.</t>
  </si>
  <si>
    <t>Reprise des séminaires entreprises.</t>
  </si>
  <si>
    <t>Clientèle Business / Corporate.</t>
  </si>
  <si>
    <t>Férié (Nouvel An)</t>
  </si>
  <si>
    <r>
      <t>Pic exceptionnel</t>
    </r>
    <r>
      <rPr>
        <sz val="11"/>
        <color rgb="FF1F1F1F"/>
        <rFont val="Arial"/>
        <family val="2"/>
      </rPr>
      <t xml:space="preserve"> : Petit-déjeuner de fête.</t>
    </r>
  </si>
  <si>
    <t>Retour au calme après les festivités.</t>
  </si>
  <si>
    <t>Clientèle locale en quête de repos.</t>
  </si>
  <si>
    <t>Reprise progressive du corporate.</t>
  </si>
  <si>
    <t>Événements d'hiver / Mariages.</t>
  </si>
  <si>
    <t>Férié (Révolution)</t>
  </si>
  <si>
    <t>Sorties familiales (Impact local fort).</t>
  </si>
  <si>
    <t>Flux vers Gammarth.</t>
  </si>
  <si>
    <t>Weekend à forte affluence.</t>
  </si>
  <si>
    <t>Séminaires milieu de mois.</t>
  </si>
  <si>
    <t>Weekend festif / Banquets.</t>
  </si>
  <si>
    <t>Calme de fin de mois.</t>
  </si>
  <si>
    <t>Remontée de l'occupation.</t>
  </si>
  <si>
    <t>Clôture de mois en forte activité.</t>
  </si>
  <si>
    <t>Capacité maximale</t>
  </si>
  <si>
    <t>Rati_Volu</t>
  </si>
  <si>
    <t>œuf b</t>
  </si>
  <si>
    <t>Lundi corporate.</t>
  </si>
  <si>
    <t>Business / Séminaires.</t>
  </si>
  <si>
    <t>Séminaires d'hiver.</t>
  </si>
  <si>
    <t>Weekend fort (Mariages/Détente).</t>
  </si>
  <si>
    <t>Préparation Saint-Valentin.</t>
  </si>
  <si>
    <t>Arrivées pour le weekend Amoureux.</t>
  </si>
  <si>
    <r>
      <t>Pic</t>
    </r>
    <r>
      <rPr>
        <sz val="11"/>
        <color rgb="FF1F1F1F"/>
        <rFont val="Arial"/>
        <family val="2"/>
      </rPr>
      <t xml:space="preserve"> : Petit-déj romantique très riche.</t>
    </r>
  </si>
  <si>
    <t>Brunch post-St Valentin.</t>
  </si>
  <si>
    <t>Derniers séminaires pré-Ramadan.</t>
  </si>
  <si>
    <t>Ramadan (Début)</t>
  </si>
  <si>
    <r>
      <t>Chute</t>
    </r>
    <r>
      <rPr>
        <sz val="11"/>
        <color rgb="FF1F1F1F"/>
        <rFont val="Arial"/>
        <family val="2"/>
      </rPr>
      <t xml:space="preserve"> : Clientèle locale jeûne.</t>
    </r>
  </si>
  <si>
    <t>Petit-déjeuner restreint (Touristes).</t>
  </si>
  <si>
    <t>Faible affluence matin.</t>
  </si>
  <si>
    <t>Ramadan (WE)</t>
  </si>
  <si>
    <t>Weekend calme en journée.</t>
  </si>
  <si>
    <t>Pas de Brunch public habituel.</t>
  </si>
  <si>
    <t>Activité minimale matin.</t>
  </si>
  <si>
    <t>Business international uniquement.</t>
  </si>
  <si>
    <t>Business international.</t>
  </si>
  <si>
    <t>Préparation weekend Ramadan.</t>
  </si>
  <si>
    <t>Consommation limitée aux résidents.</t>
  </si>
  <si>
    <t>Indépendance</t>
  </si>
  <si>
    <t>Clientèle locale jeûne (pas de Brunch).</t>
  </si>
  <si>
    <t>Creux business (matin très calme).</t>
  </si>
  <si>
    <t>Préparation weekend calme.</t>
  </si>
  <si>
    <t>Résidents étrangers.</t>
  </si>
  <si>
    <t>Journée de la Femme (Célébrations le soir).</t>
  </si>
  <si>
    <t>Mi-Ramadan : Calme plat.</t>
  </si>
  <si>
    <t>Weekend détente.</t>
  </si>
  <si>
    <t>Dernière semaine sainte.</t>
  </si>
  <si>
    <t>Pré-Aïd.</t>
  </si>
  <si>
    <t>Montée de l'occupation (TRE).</t>
  </si>
  <si>
    <r>
      <t>Férié</t>
    </r>
    <r>
      <rPr>
        <sz val="11"/>
        <color rgb="FF1F1F1F"/>
        <rFont val="Arial"/>
        <family val="2"/>
      </rPr>
      <t xml:space="preserve"> : Retour progressif des petits-déj.</t>
    </r>
  </si>
  <si>
    <r>
      <t>Aïd al-Fitr</t>
    </r>
    <r>
      <rPr>
        <sz val="11"/>
        <color rgb="FF1F1F1F"/>
        <rFont val="Arial"/>
        <family val="2"/>
      </rPr>
      <t>*</t>
    </r>
  </si>
  <si>
    <r>
      <t>PIC ULTIME</t>
    </r>
    <r>
      <rPr>
        <sz val="11"/>
        <color rgb="FF1F1F1F"/>
        <rFont val="Arial"/>
        <family val="2"/>
      </rPr>
      <t xml:space="preserve"> : Buffet de l'Aïd.</t>
    </r>
  </si>
  <si>
    <t>Célébrations familiales à l'hôtel.</t>
  </si>
  <si>
    <t>Reprise progressive.</t>
  </si>
  <si>
    <t>Business corporate.</t>
  </si>
  <si>
    <t>Préparation 1er weekend post-Ramadan.</t>
  </si>
  <si>
    <t>Grand retour du Brunch Gammarth.</t>
  </si>
  <si>
    <t>Clôture de mois stable.</t>
  </si>
  <si>
    <t>Séminaires de printemps.</t>
  </si>
  <si>
    <t>Weekend loisirs (beau temps).</t>
  </si>
  <si>
    <r>
      <t>Pâques</t>
    </r>
    <r>
      <rPr>
        <sz val="11"/>
        <color rgb="FF1F1F1F"/>
        <rFont val="Arial"/>
        <family val="2"/>
      </rPr>
      <t xml:space="preserve"> : Brunch très fréquenté.</t>
    </r>
  </si>
  <si>
    <t>Début de semaine corporate.</t>
  </si>
  <si>
    <t>Journée des Martyrs : Affluence locale.</t>
  </si>
  <si>
    <t>Mariages et réceptions.</t>
  </si>
  <si>
    <t>Congrès.</t>
  </si>
  <si>
    <t>Transition loisirs.</t>
  </si>
  <si>
    <t>Pic de weekend (Saison Mariages).</t>
  </si>
  <si>
    <t>Brunch Gammarth.</t>
  </si>
  <si>
    <t>Reprise corporate.</t>
  </si>
  <si>
    <t>Séminaires fin de mois.</t>
  </si>
  <si>
    <t>Arrivées touristiques.</t>
  </si>
  <si>
    <r>
      <t>Forte occupation</t>
    </r>
    <r>
      <rPr>
        <sz val="11"/>
        <color rgb="FF1F1F1F"/>
        <rFont val="Arial"/>
        <family val="2"/>
      </rPr>
      <t xml:space="preserve"> (Tourisme).</t>
    </r>
  </si>
  <si>
    <r>
      <t>PIC</t>
    </r>
    <r>
      <rPr>
        <sz val="11"/>
        <color rgb="FF1F1F1F"/>
        <rFont val="Arial"/>
        <family val="2"/>
      </rPr>
      <t xml:space="preserve"> : Brunch de la fête du Travail.</t>
    </r>
  </si>
  <si>
    <t>Clientèle loisirs (weekend prolongé).</t>
  </si>
  <si>
    <t>Weekend détente Gammarth.</t>
  </si>
  <si>
    <t>Transition vers le weekend.</t>
  </si>
  <si>
    <t>Mariages / Banquets.</t>
  </si>
  <si>
    <t>Weekend proche (Saison estivale).</t>
  </si>
  <si>
    <t>Forte affluence touristique.</t>
  </si>
  <si>
    <t>Préparation weekend clôture.</t>
  </si>
  <si>
    <t>Pic de clôture de mois.</t>
  </si>
  <si>
    <t>Brunch final de mai.</t>
  </si>
  <si>
    <t>Séminaires de clôture.</t>
  </si>
  <si>
    <t>Business intense.</t>
  </si>
  <si>
    <t>Congrès annuels.</t>
  </si>
  <si>
    <t>Activité corporate.</t>
  </si>
  <si>
    <t>Arrivées touristiques estivales.</t>
  </si>
  <si>
    <r>
      <t>Weekend fort</t>
    </r>
    <r>
      <rPr>
        <sz val="11"/>
        <color rgb="FF1F1F1F"/>
        <rFont val="Arial"/>
        <family val="2"/>
      </rPr>
      <t xml:space="preserve"> : Mariages &amp; Détente.</t>
    </r>
  </si>
  <si>
    <t>Brunch d'été en terrasse.</t>
  </si>
  <si>
    <r>
      <t>Pic saisonnier</t>
    </r>
    <r>
      <rPr>
        <sz val="11"/>
        <color rgb="FF1F1F1F"/>
        <rFont val="Arial"/>
        <family val="2"/>
      </rPr>
      <t xml:space="preserve"> : Mariages.</t>
    </r>
  </si>
  <si>
    <t>Fin de semaine corporate.</t>
  </si>
  <si>
    <t>Flux touristique important.</t>
  </si>
  <si>
    <r>
      <t>Saturation</t>
    </r>
    <r>
      <rPr>
        <sz val="11"/>
        <color rgb="FF1F1F1F"/>
        <rFont val="Arial"/>
        <family val="2"/>
      </rPr>
      <t xml:space="preserve"> : Tourisme &amp; Événements.</t>
    </r>
  </si>
  <si>
    <t>Grand weekend de juin.</t>
  </si>
  <si>
    <r>
      <t>MAXIMUM</t>
    </r>
    <r>
      <rPr>
        <sz val="11"/>
        <color rgb="FF1F1F1F"/>
        <rFont val="Arial"/>
        <family val="2"/>
      </rPr>
      <t xml:space="preserve"> : Capacité quasi pleine.</t>
    </r>
  </si>
  <si>
    <t>Fin de mois séminaire.</t>
  </si>
  <si>
    <t>Tourisme estival + Business.</t>
  </si>
  <si>
    <t>Séminaires d'été.</t>
  </si>
  <si>
    <t>Arrivées massives des TRE.</t>
  </si>
  <si>
    <r>
      <t>Saturation</t>
    </r>
    <r>
      <rPr>
        <sz val="11"/>
        <color rgb="FF1F1F1F"/>
        <rFont val="Arial"/>
        <family val="2"/>
      </rPr>
      <t xml:space="preserve"> : Mariages &amp; Vacances.</t>
    </r>
  </si>
  <si>
    <t>Brunch d'été (Piscine).</t>
  </si>
  <si>
    <t>Tourisme international.</t>
  </si>
  <si>
    <t>Gros weekend estival.</t>
  </si>
  <si>
    <r>
      <t>RECORD</t>
    </r>
    <r>
      <rPr>
        <sz val="11"/>
        <color rgb="FF1F1F1F"/>
        <rFont val="Arial"/>
        <family val="2"/>
      </rPr>
      <t xml:space="preserve"> : Capacité maximale.</t>
    </r>
  </si>
  <si>
    <t>Vacances scolaires.</t>
  </si>
  <si>
    <t>Clients européens (Fête Nat FR).</t>
  </si>
  <si>
    <t>Pleine saison.</t>
  </si>
  <si>
    <r>
      <t>Saturé</t>
    </r>
    <r>
      <rPr>
        <sz val="11"/>
        <color rgb="FF1F1F1F"/>
        <rFont val="Arial"/>
        <family val="2"/>
      </rPr>
      <t xml:space="preserve"> : Événements extérieurs.</t>
    </r>
  </si>
  <si>
    <t>Tourisme national.</t>
  </si>
  <si>
    <t>Activité balnéaire.</t>
  </si>
  <si>
    <t>Préparation fête nationale.</t>
  </si>
  <si>
    <t>Weekend de fête.</t>
  </si>
  <si>
    <t>Férié (Répub.)</t>
  </si>
  <si>
    <r>
      <t>PIC ABSOLU</t>
    </r>
    <r>
      <rPr>
        <sz val="11"/>
        <color rgb="FF1F1F1F"/>
        <rFont val="Arial"/>
        <family val="2"/>
      </rPr>
      <t xml:space="preserve"> : Fête de la République.</t>
    </r>
  </si>
  <si>
    <t>Brunch festif.</t>
  </si>
  <si>
    <t>Reprise calme.</t>
  </si>
  <si>
    <t>Tourisme.</t>
  </si>
  <si>
    <t>Fin de mois intense.</t>
  </si>
  <si>
    <t>Transition vers Août.</t>
  </si>
  <si>
    <r>
      <t>Saturation totale</t>
    </r>
    <r>
      <rPr>
        <sz val="11"/>
        <color rgb="FF1F1F1F"/>
        <rFont val="Arial"/>
        <family val="2"/>
      </rPr>
      <t xml:space="preserve"> (Loisirs).</t>
    </r>
  </si>
  <si>
    <t>Brunch d'été massif.</t>
  </si>
  <si>
    <t>Vacanciers (long séjour).</t>
  </si>
  <si>
    <t>Flux touristique constant.</t>
  </si>
  <si>
    <t>Pré-weekend estival.</t>
  </si>
  <si>
    <t>Arrivées massives weekend.</t>
  </si>
  <si>
    <r>
      <t>Pic de saison</t>
    </r>
    <r>
      <rPr>
        <sz val="11"/>
        <color rgb="FF1F1F1F"/>
        <rFont val="Arial"/>
        <family val="2"/>
      </rPr>
      <t xml:space="preserve"> (Mariages).</t>
    </r>
  </si>
  <si>
    <t>Clientèle algérienne/libyenne.</t>
  </si>
  <si>
    <t>Férié (Femme)</t>
  </si>
  <si>
    <r>
      <t>Fête de la Femme</t>
    </r>
    <r>
      <rPr>
        <sz val="11"/>
        <color rgb="FF1F1F1F"/>
        <rFont val="Arial"/>
        <family val="2"/>
      </rPr>
      <t xml:space="preserve"> : Brunch local.</t>
    </r>
  </si>
  <si>
    <t>Weekend prolongé (Pont).</t>
  </si>
  <si>
    <t>Saturation.</t>
  </si>
  <si>
    <t>Vacances.</t>
  </si>
  <si>
    <t>Flux TRE.</t>
  </si>
  <si>
    <t>Amorçe de retour des TRE.</t>
  </si>
  <si>
    <t>Corporate fin de mois.</t>
  </si>
  <si>
    <t>Dernier grand weekend.</t>
  </si>
  <si>
    <t>Clôture de saison.</t>
  </si>
  <si>
    <t>Dernier Brunch d'août.</t>
  </si>
  <si>
    <t>Reprise séminaires.</t>
  </si>
  <si>
    <t>Mariages d'automne.</t>
  </si>
  <si>
    <t>Transition weekend.</t>
  </si>
  <si>
    <t>Détente Gammarth.</t>
  </si>
  <si>
    <t>Événements / Banquets.</t>
  </si>
  <si>
    <t>Weekend d'arrière-saison.</t>
  </si>
  <si>
    <r>
      <t>Pic</t>
    </r>
    <r>
      <rPr>
        <sz val="11"/>
        <color rgb="FF1F1F1F"/>
        <rFont val="Arial"/>
        <family val="2"/>
      </rPr>
      <t xml:space="preserve"> : Clôture mariages sept.</t>
    </r>
  </si>
  <si>
    <t>Brunch final.</t>
  </si>
  <si>
    <t>Fin de mois séminaires.</t>
  </si>
  <si>
    <t>Séminaires d'automne.</t>
  </si>
  <si>
    <t>Congrès internationaux.</t>
  </si>
  <si>
    <t>Weekend Gammarth.</t>
  </si>
  <si>
    <t>Férié (Évacuation)</t>
  </si>
  <si>
    <r>
      <t>Férié</t>
    </r>
    <r>
      <rPr>
        <sz val="11"/>
        <color rgb="FF1F1F1F"/>
        <rFont val="Arial"/>
        <family val="2"/>
      </rPr>
      <t xml:space="preserve"> : Pic de clientèle locale.</t>
    </r>
  </si>
  <si>
    <t>Mariages d'arrière-saison.</t>
  </si>
  <si>
    <r>
      <t>Pic</t>
    </r>
    <r>
      <rPr>
        <sz val="11"/>
        <color rgb="FF1F1F1F"/>
        <rFont val="Arial"/>
        <family val="2"/>
      </rPr>
      <t xml:space="preserve"> : Halloween / Weekend.</t>
    </r>
  </si>
  <si>
    <t>Brunch dominical d'automne.</t>
  </si>
  <si>
    <t>Business / Corporate.</t>
  </si>
  <si>
    <t>Congrès en salle.</t>
  </si>
  <si>
    <t>Événements sociaux / Banquets.</t>
  </si>
  <si>
    <t>Weekend cocooning.</t>
  </si>
  <si>
    <t>Événements de fin d'année.</t>
  </si>
  <si>
    <t>Clôture de mois.</t>
  </si>
  <si>
    <t>Séminaires de fin d'année.</t>
  </si>
  <si>
    <t>Derniers gros séminaires.</t>
  </si>
  <si>
    <t>Banquets de fin d'année.</t>
  </si>
  <si>
    <t>Calme avant les fêtes.</t>
  </si>
  <si>
    <t>Business résiduel.</t>
  </si>
  <si>
    <t>Vacances : familles locales.</t>
  </si>
  <si>
    <t>Brunch des vacances.</t>
  </si>
  <si>
    <t>Tourisme de fin d'année.</t>
  </si>
  <si>
    <t>Préparation Noël.</t>
  </si>
  <si>
    <r>
      <t>Réveillon Noël</t>
    </r>
    <r>
      <rPr>
        <sz val="11"/>
        <color rgb="FF1F1F1F"/>
        <rFont val="Arial"/>
        <family val="2"/>
      </rPr>
      <t xml:space="preserve"> : Dîner &amp; Séjour.</t>
    </r>
  </si>
  <si>
    <t>Férié (Noël)</t>
  </si>
  <si>
    <t>Brunch de Noël.</t>
  </si>
  <si>
    <t>Weekend festif.</t>
  </si>
  <si>
    <t>Flux vers le 31.</t>
  </si>
  <si>
    <t>Arrivées massives Réveillon.</t>
  </si>
  <si>
    <t>St Sylvestre</t>
  </si>
  <si>
    <r>
      <t>PIC</t>
    </r>
    <r>
      <rPr>
        <sz val="11"/>
        <color rgb="FF1F1F1F"/>
        <rFont val="Arial"/>
        <family val="2"/>
      </rPr>
      <t xml:space="preserve"> : Préparation du 1er Janvier.</t>
    </r>
  </si>
  <si>
    <t xml:space="preserve">Golden Carthage </t>
  </si>
  <si>
    <t>Séminaires diplomatiques.</t>
  </si>
  <si>
    <t>Brunch Sheraton.</t>
  </si>
  <si>
    <t>Reprise délégations.</t>
  </si>
  <si>
    <t>Calme relatif.</t>
  </si>
  <si>
    <t>Séminaires fin d'année.</t>
  </si>
  <si>
    <t>Préparation fêtes.</t>
  </si>
  <si>
    <t>Petit-déjeuner de fête.</t>
  </si>
  <si>
    <t>Arrivées massives.</t>
  </si>
  <si>
    <t>Férié (Jour de l'an)</t>
  </si>
  <si>
    <t>Weekend (Brunch)</t>
  </si>
  <si>
    <t>Semaine (Reprise)</t>
  </si>
  <si>
    <t>PIC : Brunch du Nouvel An.</t>
  </si>
  <si>
    <t>Lendemain de fête calme.</t>
  </si>
  <si>
    <t>Business Corporate.</t>
  </si>
  <si>
    <t>Banquets / Mariages d'hiver.</t>
  </si>
  <si>
    <t>Journée de la Révolution.</t>
  </si>
  <si>
    <t>Flux weekend.</t>
  </si>
  <si>
    <t>Weekend haute affluence.</t>
  </si>
  <si>
    <t>Réceptions.</t>
  </si>
  <si>
    <t>Weekend fin de mois.</t>
  </si>
  <si>
    <t>Reprise Corporate.</t>
  </si>
  <si>
    <t>Séminaires internationaux.</t>
  </si>
  <si>
    <t>Mariages de printemps.</t>
  </si>
  <si>
    <t>Pré-Ramadan (Stockage).</t>
  </si>
  <si>
    <t>Veille du Ramadan.</t>
  </si>
  <si>
    <t>Indépendance / Début Ramadan.</t>
  </si>
  <si>
    <t>Ramadan : Calme au petit-déj.</t>
  </si>
  <si>
    <t>Ramadan : Brunch réduit.</t>
  </si>
  <si>
    <t>Ramadan : Focus Iftar/Shour.</t>
  </si>
  <si>
    <t>Business réduit.</t>
  </si>
  <si>
    <t>Sorties Iftar.</t>
  </si>
  <si>
    <t>Ramadan.</t>
  </si>
  <si>
    <t>Arrivées Saint-Valentin.</t>
  </si>
  <si>
    <t>St-Valentin</t>
  </si>
  <si>
    <t>PIC : Dîners &amp; Pâtisserie.</t>
  </si>
  <si>
    <t>Brunch des amoureux.</t>
  </si>
  <si>
    <t>Réceptions d'hiver.</t>
  </si>
  <si>
    <t>Ramadan : Focus Shour/Iftar.</t>
  </si>
  <si>
    <t>Ramadan : Business réduit.</t>
  </si>
  <si>
    <t>Soirées Iftar.</t>
  </si>
  <si>
    <t>Pâques (en plein Ramadan).</t>
  </si>
  <si>
    <t>Ramadan calme.</t>
  </si>
  <si>
    <t>Martyrs : Sorties Iftar.</t>
  </si>
  <si>
    <t>Fin de Ramadan approchant.</t>
  </si>
  <si>
    <t>Dimanche Ramadan.</t>
  </si>
  <si>
    <t>Derniers jours de jeûne.</t>
  </si>
  <si>
    <t>Préparation Aïd (Pâtisserie).</t>
  </si>
  <si>
    <t>Forte activité Pâtisserie Aïd.</t>
  </si>
  <si>
    <t>Arrivées pour l'Aïd.</t>
  </si>
  <si>
    <t>Veille de l'Aïd : Gros débit.</t>
  </si>
  <si>
    <t>Aïd al-Fitr</t>
  </si>
  <si>
    <t>PIC : Petit-déjeuner de l'Aïd.</t>
  </si>
  <si>
    <t>Brunch de l'Aïd.</t>
  </si>
  <si>
    <t>Retour Business.</t>
  </si>
  <si>
    <t>Business diplomatique.</t>
  </si>
  <si>
    <t>Corporate intense.</t>
  </si>
  <si>
    <t>Veille du 1er Mai.</t>
  </si>
  <si>
    <t>Fête du Travail : Brunch massif.</t>
  </si>
  <si>
    <t>Weekend prolongé / Mariages.</t>
  </si>
  <si>
    <t>Délégations étrangères.</t>
  </si>
  <si>
    <t>Congrès &amp; Séminaires.</t>
  </si>
  <si>
    <t>Préparation événements.</t>
  </si>
  <si>
    <t>Saison des mariages (Pic).</t>
  </si>
  <si>
    <t>PIC : Mariages prestigieux.</t>
  </si>
  <si>
    <t>Brunch post-mariage.</t>
  </si>
  <si>
    <t>Flux estival.</t>
  </si>
  <si>
    <t>Grand Mariage.</t>
  </si>
  <si>
    <r>
      <t>Saison des Mariages</t>
    </r>
    <r>
      <rPr>
        <sz val="11"/>
        <color rgb="FF1F1F1F"/>
        <rFont val="Arial"/>
        <family val="2"/>
      </rPr>
      <t>.</t>
    </r>
  </si>
  <si>
    <t>Congrès annuel.</t>
  </si>
  <si>
    <t>Flux estival précoce.</t>
  </si>
  <si>
    <r>
      <t>PIC : Réceptions Gala</t>
    </r>
    <r>
      <rPr>
        <sz val="11"/>
        <color rgb="FF1F1F1F"/>
        <rFont val="Arial"/>
        <family val="2"/>
      </rPr>
      <t>.</t>
    </r>
  </si>
  <si>
    <t>Mariages / Soirées.</t>
  </si>
  <si>
    <t>Début vacances scolaires.</t>
  </si>
  <si>
    <r>
      <t>PIC : Grandes fêtes</t>
    </r>
    <r>
      <rPr>
        <sz val="11"/>
        <color rgb="FF1F1F1F"/>
        <rFont val="Arial"/>
        <family val="2"/>
      </rPr>
      <t>.</t>
    </r>
  </si>
  <si>
    <t>Clôture semestrielle.</t>
  </si>
  <si>
    <t>Business / Tourisme.</t>
  </si>
  <si>
    <t>Délégations été.</t>
  </si>
  <si>
    <t>PIC : Mariage prestige.</t>
  </si>
  <si>
    <t>Grand Brunch d'été.</t>
  </si>
  <si>
    <t>Flux régulier.</t>
  </si>
  <si>
    <t>Tourisme de luxe.</t>
  </si>
  <si>
    <t>Business / TRE.</t>
  </si>
  <si>
    <t>Weekend intense.</t>
  </si>
  <si>
    <t>PIC : Réceptions Gala.</t>
  </si>
  <si>
    <t>Brunch terrasse.</t>
  </si>
  <si>
    <t>Clientèle internationale.</t>
  </si>
  <si>
    <t>Mariages estivaux.</t>
  </si>
  <si>
    <t>Flux massif weekend.</t>
  </si>
  <si>
    <t>Férié (Rép.)</t>
  </si>
  <si>
    <t>Fête de la République.</t>
  </si>
  <si>
    <t>Corporate d'été.</t>
  </si>
  <si>
    <t>Transition août.</t>
  </si>
  <si>
    <t>PIC : Mariages.</t>
  </si>
  <si>
    <t>Tourisme / TRE.</t>
  </si>
  <si>
    <t>Grandes Réceptions.</t>
  </si>
  <si>
    <t>Journée de la Femme : Brunch.</t>
  </si>
  <si>
    <t>PIC : Mariage.</t>
  </si>
  <si>
    <t>Business / Diplomatie.</t>
  </si>
  <si>
    <t>Mariages de fin de saison.</t>
  </si>
  <si>
    <t>Événements.</t>
  </si>
  <si>
    <t>Brunch final août.</t>
  </si>
  <si>
    <t>Clôture été.</t>
  </si>
  <si>
    <t>Rentrée des classes / Business.</t>
  </si>
  <si>
    <t>Pic Corporate.</t>
  </si>
  <si>
    <t>Banquets de rentrée.</t>
  </si>
  <si>
    <t>Événements sociaux.</t>
  </si>
  <si>
    <t>23/0Mer</t>
  </si>
  <si>
    <t>Congrès &amp; Conférences.</t>
  </si>
  <si>
    <t>24/0Jeu</t>
  </si>
  <si>
    <t>25/0Ven</t>
  </si>
  <si>
    <t>26/0Sam</t>
  </si>
  <si>
    <t>27/0Dim</t>
  </si>
  <si>
    <t>28/0Lun</t>
  </si>
  <si>
    <t>29/0Mar</t>
  </si>
  <si>
    <t>30/0Mer</t>
  </si>
  <si>
    <t>Clôture mensuelle.</t>
  </si>
  <si>
    <t>Réceptions Corporate / Loisirs.</t>
  </si>
  <si>
    <r>
      <t>Forum International</t>
    </r>
    <r>
      <rPr>
        <sz val="11"/>
        <color rgb="FF1F1F1F"/>
        <rFont val="Arial"/>
        <family val="2"/>
      </rPr>
      <t>.</t>
    </r>
  </si>
  <si>
    <r>
      <t>Pic Congrès</t>
    </r>
    <r>
      <rPr>
        <sz val="11"/>
        <color rgb="FF1F1F1F"/>
        <rFont val="Arial"/>
        <family val="2"/>
      </rPr>
      <t>.</t>
    </r>
  </si>
  <si>
    <t>Férié (Évac.)</t>
  </si>
  <si>
    <t>Évacuation : Brunch local.</t>
  </si>
  <si>
    <t>Reprise Business.</t>
  </si>
  <si>
    <t>Halloween / Banquet.</t>
  </si>
  <si>
    <r>
      <t>Pic Séminaires</t>
    </r>
    <r>
      <rPr>
        <sz val="11"/>
        <color rgb="FF1F1F1F"/>
        <rFont val="Arial"/>
        <family val="2"/>
      </rPr>
      <t>.</t>
    </r>
  </si>
  <si>
    <t>Réceptions Corporate.</t>
  </si>
  <si>
    <r>
      <t>Congrès Médical/Technique</t>
    </r>
    <r>
      <rPr>
        <sz val="11"/>
        <color rgb="FF1F1F1F"/>
        <rFont val="Arial"/>
        <family val="2"/>
      </rPr>
      <t>.</t>
    </r>
  </si>
  <si>
    <r>
      <t>Clôture annuelle Business</t>
    </r>
    <r>
      <rPr>
        <sz val="11"/>
        <color rgb="FF1F1F1F"/>
        <rFont val="Arial"/>
        <family val="2"/>
      </rPr>
      <t>.</t>
    </r>
  </si>
  <si>
    <t>Transition vers décembre.</t>
  </si>
  <si>
    <t>Business / Budgets fin d'année.</t>
  </si>
  <si>
    <t>Banquets Corporate.</t>
  </si>
  <si>
    <r>
      <t>Derniers grands congrès</t>
    </r>
    <r>
      <rPr>
        <sz val="11"/>
        <color rgb="FF1F1F1F"/>
        <rFont val="Arial"/>
        <family val="2"/>
      </rPr>
      <t>.</t>
    </r>
  </si>
  <si>
    <t>Ralentissement Business.</t>
  </si>
  <si>
    <t>Départ délégations.</t>
  </si>
  <si>
    <t>Début vacances hiver.</t>
  </si>
  <si>
    <t>Vacances</t>
  </si>
  <si>
    <t>Vacances / Pâtisserie Noël.</t>
  </si>
  <si>
    <t>Production Bûches de Noël.</t>
  </si>
  <si>
    <t>Préparation Réveillon.</t>
  </si>
  <si>
    <t>Réveillon Noël</t>
  </si>
  <si>
    <t>PIC : Dîner &amp; Pâtisserie.</t>
  </si>
  <si>
    <t>Petit-déjeuner festif.</t>
  </si>
  <si>
    <t>Brunch fin d'année.</t>
  </si>
  <si>
    <t>Production Saint-Sylvestre.</t>
  </si>
  <si>
    <t>Préparation Gala.</t>
  </si>
  <si>
    <t>St-Sylvestre</t>
  </si>
  <si>
    <t>RECORD : Gala &amp; Buffet.</t>
  </si>
  <si>
    <t>Hotel</t>
  </si>
  <si>
    <t>Sheraton _Tunis</t>
  </si>
  <si>
    <t>Laico _Tunis</t>
  </si>
  <si>
    <t xml:space="preserve">Total egg hotel </t>
  </si>
  <si>
    <t>Listes _des _Hotels</t>
  </si>
  <si>
    <t xml:space="preserve">Laico_Tunis </t>
  </si>
  <si>
    <t>Golden _Carthage _Tunis</t>
  </si>
  <si>
    <t xml:space="preserve">Mariotte_Tunis </t>
  </si>
  <si>
    <t>Movenpick</t>
  </si>
  <si>
    <t>Radisson_Blue_Tunis</t>
  </si>
  <si>
    <t>Four _Seasons_Tunis</t>
  </si>
  <si>
    <t>Concord_Marco_polo</t>
  </si>
  <si>
    <t xml:space="preserve">Nozha beach </t>
  </si>
  <si>
    <t>El Mouradi_menzah</t>
  </si>
  <si>
    <t>Sentido phenecia</t>
  </si>
  <si>
    <t>Bel_Azur_Thalassu_</t>
  </si>
  <si>
    <t>Golden_Tulip</t>
  </si>
  <si>
    <t>Steigenberger  Thalasso</t>
  </si>
  <si>
    <t>Nahrawes resort thalasso</t>
  </si>
  <si>
    <t>Tui splach wolrd</t>
  </si>
  <si>
    <t>Les Orangers beach</t>
  </si>
  <si>
    <t xml:space="preserve">Khayem gharden </t>
  </si>
  <si>
    <t xml:space="preserve">Belisair </t>
  </si>
  <si>
    <t xml:space="preserve">Radissan bleur </t>
  </si>
  <si>
    <t>Royal hammamet</t>
  </si>
  <si>
    <t>Iberostar Waves Averroes</t>
  </si>
  <si>
    <t>La_Badira</t>
  </si>
  <si>
    <t xml:space="preserve">Houda yasmine </t>
  </si>
  <si>
    <t xml:space="preserve">Royal tulip tja sultan   thalasso </t>
  </si>
  <si>
    <t xml:space="preserve">Lella beya </t>
  </si>
  <si>
    <t xml:space="preserve">Medina Solaria </t>
  </si>
  <si>
    <t>Mehari hammamet   thalasso</t>
  </si>
  <si>
    <t>Hasdrubal Thalassa</t>
  </si>
  <si>
    <t>TUI sensimar Palace</t>
  </si>
  <si>
    <t>Calme après les fêtes.</t>
  </si>
  <si>
    <t>Travail</t>
  </si>
  <si>
    <t>Business</t>
  </si>
  <si>
    <t>Business (Pic)</t>
  </si>
  <si>
    <t>1er Ramadan</t>
  </si>
  <si>
    <t>Soirées animées.</t>
  </si>
  <si>
    <t>Événementiel de soirée.</t>
  </si>
  <si>
    <t>Shour complet.</t>
  </si>
  <si>
    <t>Activité corporate stable.</t>
  </si>
  <si>
    <t>Reprise active.</t>
  </si>
  <si>
    <t>Préparation de l'Aïd.</t>
  </si>
  <si>
    <t>Calme avant l'Aïd.</t>
  </si>
  <si>
    <t>Début de weekend.</t>
  </si>
  <si>
    <t>Flux stable.</t>
  </si>
  <si>
    <t>Conférences internationales.</t>
  </si>
  <si>
    <t>Brunch dominical (Haute saison).</t>
  </si>
  <si>
    <t>Reprise des délégations.</t>
  </si>
  <si>
    <r>
      <t>Pic Brunch Été</t>
    </r>
    <r>
      <rPr>
        <sz val="11"/>
        <color rgb="FF1F1F1F"/>
        <rFont val="Arial"/>
        <family val="2"/>
      </rPr>
      <t>.</t>
    </r>
  </si>
  <si>
    <t>Missions internationales.</t>
  </si>
  <si>
    <t>Soirées festives.</t>
  </si>
  <si>
    <t>Fête République</t>
  </si>
  <si>
    <t>Fête de la Femme</t>
  </si>
  <si>
    <t>Reprise douce.</t>
  </si>
  <si>
    <t>Weekend prolongé</t>
  </si>
  <si>
    <t>Weekend calme.</t>
  </si>
  <si>
    <t>Fin de semaine.</t>
  </si>
  <si>
    <t>Corporate international.</t>
  </si>
  <si>
    <t>Missions diplomatiques.</t>
  </si>
  <si>
    <t>Banquets privés.</t>
  </si>
  <si>
    <t>Brunch de fin de mois.</t>
  </si>
  <si>
    <t>Préparatifs cuisine.</t>
  </si>
  <si>
    <t>Jour de l'An</t>
  </si>
  <si>
    <t>Calme</t>
  </si>
  <si>
    <r>
      <t>Pic Brunch</t>
    </r>
    <r>
      <rPr>
        <sz val="11"/>
        <color rgb="FF1F1F1F"/>
        <rFont val="Arial"/>
        <family val="2"/>
      </rPr>
      <t>.</t>
    </r>
  </si>
  <si>
    <t>Reprise.</t>
  </si>
  <si>
    <t>Événementiel privé.</t>
  </si>
  <si>
    <t>Corporate réduit en journée.</t>
  </si>
  <si>
    <t>Shour.</t>
  </si>
  <si>
    <t>Fête Travail</t>
  </si>
  <si>
    <r>
      <t>Férié</t>
    </r>
    <r>
      <rPr>
        <sz val="11"/>
        <color rgb="FF1F1F1F"/>
        <rFont val="Arial"/>
        <family val="2"/>
      </rPr>
      <t xml:space="preserve"> : Buffet type Brunch.</t>
    </r>
  </si>
  <si>
    <t>Pont / Loisirs</t>
  </si>
  <si>
    <t>Pic Brunch.</t>
  </si>
  <si>
    <t>Banquets.</t>
  </si>
  <si>
    <t>Grd Brunch</t>
  </si>
  <si>
    <t>Transition Juin.</t>
  </si>
  <si>
    <t>Pic Brunch Été.</t>
  </si>
  <si>
    <t>Brunch de fête.</t>
  </si>
  <si>
    <t>Loisirs/Pro</t>
  </si>
  <si>
    <t>Weekend estival.</t>
  </si>
  <si>
    <t>Sommet du mois.</t>
  </si>
  <si>
    <t>Flux touristique.</t>
  </si>
  <si>
    <t>Fin de saison.</t>
  </si>
  <si>
    <t>Flux de fin de semaine.</t>
  </si>
  <si>
    <t>Grand Brunch</t>
  </si>
  <si>
    <t>Loisirs.</t>
  </si>
  <si>
    <t>Business Ram.</t>
  </si>
  <si>
    <t>Weekend Ram.</t>
  </si>
  <si>
    <t>Shour</t>
  </si>
  <si>
    <t>Événementiel Iftar.</t>
  </si>
  <si>
    <t>27ème Jour</t>
  </si>
  <si>
    <t>Fin Ramadan</t>
  </si>
  <si>
    <t>Reprise forte des séminaires.</t>
  </si>
  <si>
    <t>Pic : Retour du Brunch.</t>
  </si>
  <si>
    <t>Préparation Pâques.</t>
  </si>
  <si>
    <t>Brunch Pâques</t>
  </si>
  <si>
    <t>Départs post-fêtes.</t>
  </si>
  <si>
    <t>Clientèle diplomatique.</t>
  </si>
  <si>
    <t>Sommet Corporate.</t>
  </si>
  <si>
    <t>Record mensuel.</t>
  </si>
  <si>
    <r>
      <t>Pic</t>
    </r>
    <r>
      <rPr>
        <sz val="11"/>
        <color rgb="FF1F1F1F"/>
        <rFont val="Arial"/>
        <family val="2"/>
      </rPr>
      <t xml:space="preserve"> : Brunch Nouvel An.</t>
    </r>
  </si>
  <si>
    <t>Retour au calme.</t>
  </si>
  <si>
    <t>Tea-Time &amp; Pâtisserie.</t>
  </si>
  <si>
    <t>Séminaires VIP.</t>
  </si>
  <si>
    <t>Sorties locales.</t>
  </si>
  <si>
    <t>Record dominical.</t>
  </si>
  <si>
    <t>Révolution : Focus Goûter.</t>
  </si>
  <si>
    <t>Pâtisserie fine.</t>
  </si>
  <si>
    <t>Brunch au Lac.</t>
  </si>
  <si>
    <t>Record du mois.</t>
  </si>
  <si>
    <t>Clôture mois.</t>
  </si>
  <si>
    <t>Délégations diplomatiques.</t>
  </si>
  <si>
    <t>Mise en place St-Valentin.</t>
  </si>
  <si>
    <t>Pâtisserie intensive.</t>
  </si>
  <si>
    <t>RECORD : Dîners &amp; Dessert.</t>
  </si>
  <si>
    <t>Petit-déjeuner en chambre.</t>
  </si>
  <si>
    <t>Brunch Love</t>
  </si>
  <si>
    <t>Record Brunch de l'année.</t>
  </si>
  <si>
    <t>Passage vers Mars/Ramadan.</t>
  </si>
  <si>
    <t>Lancement Iftar &amp; Briks.</t>
  </si>
  <si>
    <t>Dimanche calme (Pas de Brunch).</t>
  </si>
  <si>
    <t>Iftar VIP</t>
  </si>
  <si>
    <t>Banquets Iftar Entreprises.</t>
  </si>
  <si>
    <t>Soirées sur la terrasse du Lac.</t>
  </si>
  <si>
    <t>Iftar familial (Buffet).</t>
  </si>
  <si>
    <t>Focus sur le menu Shour.</t>
  </si>
  <si>
    <t>Pic Banquets Corporate.</t>
  </si>
  <si>
    <r>
      <t>Férié</t>
    </r>
    <r>
      <rPr>
        <sz val="11"/>
        <color rgb="FF1F1F1F"/>
        <rFont val="Arial"/>
        <family val="2"/>
      </rPr>
      <t xml:space="preserve"> : Iftar prestige.</t>
    </r>
  </si>
  <si>
    <t>Pâtisserie Tunisienne.</t>
  </si>
  <si>
    <t>Dernière semaine.</t>
  </si>
  <si>
    <t>Pic Pâtisserie fine.</t>
  </si>
  <si>
    <t>Nuit du Destin</t>
  </si>
  <si>
    <t>Pic Crèmes &amp; Desserts.</t>
  </si>
  <si>
    <t>Mise en place Aïd.</t>
  </si>
  <si>
    <t>RECORD : Petit-déj de l'Aïd.</t>
  </si>
  <si>
    <t>Familles &amp; Brunch Aïd.</t>
  </si>
  <si>
    <t>Reprise séminaires VIP.</t>
  </si>
  <si>
    <t>Tea-time &amp; Pâtisserie.</t>
  </si>
  <si>
    <t>Délégations.</t>
  </si>
  <si>
    <t>Martyrs : Clientèle locale.</t>
  </si>
  <si>
    <t>Pâtisserie de Pâques.</t>
  </si>
  <si>
    <t>RECORD ANNUEL.</t>
  </si>
  <si>
    <t>Réceptions privées.</t>
  </si>
  <si>
    <t>Veille du 1er mai.</t>
  </si>
  <si>
    <t>Clientèle locale au Lac.</t>
  </si>
  <si>
    <t>Mariages &amp; Réceptions.</t>
  </si>
  <si>
    <t>Reprise diplomatique.</t>
  </si>
  <si>
    <t>Banquets &amp; Pâtisserie.</t>
  </si>
  <si>
    <t>Grand Mariage au Lac.</t>
  </si>
  <si>
    <t>Fête des Mères : Record.</t>
  </si>
  <si>
    <t>Mariages &amp; Banquets.</t>
  </si>
  <si>
    <t>Business/Loisirs</t>
  </si>
  <si>
    <t>Mix Business &amp; Vacanciers.</t>
  </si>
  <si>
    <t>Loisirs/VIP</t>
  </si>
  <si>
    <t>Clientèle Golf/Spa.</t>
  </si>
  <si>
    <t>Flux constant.</t>
  </si>
  <si>
    <t>Weekend Été</t>
  </si>
  <si>
    <t>Début du weekend prolongé.</t>
  </si>
  <si>
    <t>Grand Mariage</t>
  </si>
  <si>
    <t>Pic Pâtisserie Événementielle.</t>
  </si>
  <si>
    <t>RECORD : Affluence TRE.</t>
  </si>
  <si>
    <t>Loisirs</t>
  </si>
  <si>
    <t>Petit-déj tardif (Plein).</t>
  </si>
  <si>
    <t>Mariage/Soirée</t>
  </si>
  <si>
    <t>Banqueting intensif.</t>
  </si>
  <si>
    <t>Activité soutenue.</t>
  </si>
  <si>
    <t>Préparation gros weekend.</t>
  </si>
  <si>
    <t>Mariage/Gala</t>
  </si>
  <si>
    <t>Brunch signature.</t>
  </si>
  <si>
    <t>TRE en séjour.</t>
  </si>
  <si>
    <t>Veille Fête</t>
  </si>
  <si>
    <t>Préparation 25 Juillet.</t>
  </si>
  <si>
    <t>Férié : Buffet de Fête.</t>
  </si>
  <si>
    <t>Transition Août.</t>
  </si>
  <si>
    <t>Flux touristique TRE.</t>
  </si>
  <si>
    <t>Petit-déj tardif.</t>
  </si>
  <si>
    <t>Préparation 13 Août.</t>
  </si>
  <si>
    <t>Fête Femme</t>
  </si>
  <si>
    <t>Férié : Buffet Spécial.</t>
  </si>
  <si>
    <t>Weekend Assomption.</t>
  </si>
  <si>
    <t>Record Brunch.</t>
  </si>
  <si>
    <t>Flux de retour.</t>
  </si>
  <si>
    <t>Dernier Mariage</t>
  </si>
  <si>
    <t>Fin de saison mariages.</t>
  </si>
  <si>
    <t>Brunch de clôture août.</t>
  </si>
  <si>
    <t>Rentrée diplomatique.</t>
  </si>
  <si>
    <t>Conférences Int.</t>
  </si>
  <si>
    <t>Clôture Q3.</t>
  </si>
  <si>
    <t>Séminaires Q4.</t>
  </si>
  <si>
    <t>Pic Brunch Automne.</t>
  </si>
  <si>
    <t>Sommet International.</t>
  </si>
  <si>
    <t>Pic de Conférences.</t>
  </si>
  <si>
    <t>Évacuation</t>
  </si>
  <si>
    <r>
      <t>Férié</t>
    </r>
    <r>
      <rPr>
        <sz val="11"/>
        <color rgb="FF1F1F1F"/>
        <rFont val="Arial"/>
        <family val="2"/>
      </rPr>
      <t xml:space="preserve"> : Clientèle locale.</t>
    </r>
  </si>
  <si>
    <t>Halloween</t>
  </si>
  <si>
    <t>Soirée Thématique.</t>
  </si>
  <si>
    <t>Corporate &amp; Ambassades.</t>
  </si>
  <si>
    <t>Pâtisserie Tea-time.</t>
  </si>
  <si>
    <t>Tea-time.</t>
  </si>
  <si>
    <t>Tea-time d'hiver.</t>
  </si>
  <si>
    <t>Derniers grands sommets.</t>
  </si>
  <si>
    <t>Lancement des Bûches.</t>
  </si>
  <si>
    <t>Pic Pâtisserie</t>
  </si>
  <si>
    <t>Production Bûches.</t>
  </si>
  <si>
    <t>Weekend de Noël.</t>
  </si>
  <si>
    <t>Weekend Noël</t>
  </si>
  <si>
    <t>Brunch Noël</t>
  </si>
  <si>
    <t>Pic Brunch de l'Avent.</t>
  </si>
  <si>
    <t>Loisirs/Fêtes</t>
  </si>
  <si>
    <t>Vacances d'hiver.</t>
  </si>
  <si>
    <t>Dîner de Gala.</t>
  </si>
  <si>
    <t>Jour de Noël</t>
  </si>
  <si>
    <t>Petit-déj de Noël.</t>
  </si>
  <si>
    <t>Dernier Brunch 2025.</t>
  </si>
  <si>
    <t>Préparation St-Sylvestre.</t>
  </si>
  <si>
    <t>Production intensive.</t>
  </si>
  <si>
    <t>RECORD ABSOLU.</t>
  </si>
  <si>
    <t xml:space="preserve">Movenpick_Tunis </t>
  </si>
  <si>
    <t>Brunch de récupération.</t>
  </si>
  <si>
    <t>Séminaires locaux.</t>
  </si>
  <si>
    <t>Calme centre-ville.</t>
  </si>
  <si>
    <t>Forte reprise Corporate.</t>
  </si>
  <si>
    <t>Pic Séminaires.</t>
  </si>
  <si>
    <t>Conventions ONG.</t>
  </si>
  <si>
    <t>Banquets / Mariages.</t>
  </si>
  <si>
    <t>Férié (Révolution).</t>
  </si>
  <si>
    <t>Événements privés.</t>
  </si>
  <si>
    <t>Petit-déjeuner loisirs.</t>
  </si>
  <si>
    <t>Pic fin de mois.</t>
  </si>
  <si>
    <t>Banquets &amp; Mariages.</t>
  </si>
  <si>
    <t>Iftar Corporate</t>
  </si>
  <si>
    <t>Veille Aïd</t>
  </si>
  <si>
    <t>Pâques</t>
  </si>
  <si>
    <t>Lancement des buffets Iftar et Briks.</t>
  </si>
  <si>
    <t>Dimanche Ramadan</t>
  </si>
  <si>
    <t>Clientèle locale pour la rupture du jeûne.</t>
  </si>
  <si>
    <t>Reprise des délégations en mode Ramadan.</t>
  </si>
  <si>
    <r>
      <t>Banquets entreprises</t>
    </r>
    <r>
      <rPr>
        <sz val="11"/>
        <color rgb="FF1F1F1F"/>
        <rFont val="Arial"/>
        <family val="2"/>
      </rPr>
      <t xml:space="preserve"> (Iftar d'affaires).</t>
    </r>
  </si>
  <si>
    <t>Transition vers le Shour festif.</t>
  </si>
  <si>
    <t>Pâtisserie tunisienne pour les soirées.</t>
  </si>
  <si>
    <t>Focus sur le buffet du Shour.</t>
  </si>
  <si>
    <t>Corporate régulier.</t>
  </si>
  <si>
    <r>
      <t>Pic banquets</t>
    </r>
    <r>
      <rPr>
        <sz val="11"/>
        <color rgb="FF1F1F1F"/>
        <rFont val="Arial"/>
        <family val="2"/>
      </rPr>
      <t xml:space="preserve"> en milieu de semaine.</t>
    </r>
  </si>
  <si>
    <t>Travail et réception Iftar.</t>
  </si>
  <si>
    <t>Flux weekend résidentiel.</t>
  </si>
  <si>
    <t>Événementiel privé et Iftar.</t>
  </si>
  <si>
    <r>
      <t>Pic d'occupation</t>
    </r>
    <r>
      <rPr>
        <sz val="11"/>
        <color rgb="FF1F1F1F"/>
        <rFont val="Arial"/>
        <family val="2"/>
      </rPr>
      <t xml:space="preserve"> corporate du mois.</t>
    </r>
  </si>
  <si>
    <r>
      <t>Férié</t>
    </r>
    <r>
      <rPr>
        <sz val="11"/>
        <color rgb="FF1F1F1F"/>
        <rFont val="Arial"/>
        <family val="2"/>
      </rPr>
      <t xml:space="preserve"> : Iftar de prestige.</t>
    </r>
  </si>
  <si>
    <t>Pâtisserie fine pour soirées Ramadan.</t>
  </si>
  <si>
    <t>Menu Shour varié.</t>
  </si>
  <si>
    <t>Dernière ligne droite Ramadan.</t>
  </si>
  <si>
    <r>
      <t>Pic Pâtisserie</t>
    </r>
    <r>
      <rPr>
        <sz val="11"/>
        <color rgb="FF1F1F1F"/>
        <rFont val="Arial"/>
        <family val="2"/>
      </rPr>
      <t xml:space="preserve"> (Mousses, crèmes).</t>
    </r>
  </si>
  <si>
    <r>
      <t>Pic Desserts</t>
    </r>
    <r>
      <rPr>
        <sz val="11"/>
        <color rgb="FF1F1F1F"/>
        <rFont val="Arial"/>
        <family val="2"/>
      </rPr>
      <t xml:space="preserve"> traditionnels.</t>
    </r>
  </si>
  <si>
    <t>Calme avant les fêtes de l'Aïd.</t>
  </si>
  <si>
    <t>Mise en place logistique Aïd.</t>
  </si>
  <si>
    <r>
      <t>RECORD</t>
    </r>
    <r>
      <rPr>
        <sz val="11"/>
        <color rgb="FF1F1F1F"/>
        <rFont val="Arial"/>
        <family val="2"/>
      </rPr>
      <t xml:space="preserve"> : Petit-déjeuner de l'Aïd.</t>
    </r>
  </si>
  <si>
    <t>Brunch festif de l'Aïd.</t>
  </si>
  <si>
    <t>Banquets et mariages de début de mois.</t>
  </si>
  <si>
    <t>Petit-déjeuner loisirs prolongé.</t>
  </si>
  <si>
    <t>Arrivée des missions ONG/ONU.</t>
  </si>
  <si>
    <r>
      <t>Pic séminaires hebdomadaire</t>
    </r>
    <r>
      <rPr>
        <sz val="11"/>
        <color rgb="FF1F1F1F"/>
        <rFont val="Arial"/>
        <family val="2"/>
      </rPr>
      <t>.</t>
    </r>
  </si>
  <si>
    <t>Corporate et déjeuners d'affaires.</t>
  </si>
  <si>
    <t>Activité de travail stable.</t>
  </si>
  <si>
    <t>Événementiel privé en centre-ville.</t>
  </si>
  <si>
    <t>Reprise des contrats corporate.</t>
  </si>
  <si>
    <r>
      <t>Sommet Corporate (Station Live active)</t>
    </r>
    <r>
      <rPr>
        <sz val="11"/>
        <color rgb="FF1F1F1F"/>
        <rFont val="Arial"/>
        <family val="2"/>
      </rPr>
      <t>.</t>
    </r>
  </si>
  <si>
    <t>Travail et conférences.</t>
  </si>
  <si>
    <t>Flux de voyageurs d'affaires.</t>
  </si>
  <si>
    <r>
      <t>Pic Dîner &amp; Pâtisserie spécifique</t>
    </r>
    <r>
      <rPr>
        <sz val="11"/>
        <color rgb="FF1F1F1F"/>
        <rFont val="Arial"/>
        <family val="2"/>
      </rPr>
      <t>.</t>
    </r>
  </si>
  <si>
    <t>Weekend "City Break" amoureux.</t>
  </si>
  <si>
    <t>Petit-déjeuner tardif copieux.</t>
  </si>
  <si>
    <t>Retour de la clientèle d'affaires.</t>
  </si>
  <si>
    <t>Pic d'activité de milieu de mois.</t>
  </si>
  <si>
    <t>Banquets et réceptions.</t>
  </si>
  <si>
    <t>Loisirs urbains.</t>
  </si>
  <si>
    <r>
      <t>Pic de fin de mois</t>
    </r>
    <r>
      <rPr>
        <sz val="11"/>
        <color rgb="FF1F1F1F"/>
        <rFont val="Arial"/>
        <family val="2"/>
      </rPr>
      <t>.</t>
    </r>
  </si>
  <si>
    <t>Passage vers Mars et le Ramadan.</t>
  </si>
  <si>
    <t>Reprise du buffet petit-déjeuner complet.</t>
  </si>
  <si>
    <t>Séminaires et délégations.</t>
  </si>
  <si>
    <t>Flux corporate régulier.</t>
  </si>
  <si>
    <t>Banquets et réceptions de weekend.</t>
  </si>
  <si>
    <t>Arrivées massives des voyageurs d'affaires.</t>
  </si>
  <si>
    <r>
      <t>Pic hebdomadaire</t>
    </r>
    <r>
      <rPr>
        <sz val="11"/>
        <color rgb="FF1F1F1F"/>
        <rFont val="Arial"/>
        <family val="2"/>
      </rPr>
      <t xml:space="preserve"> : Sommet Corporate.</t>
    </r>
  </si>
  <si>
    <t>Martyrs : Clientèle locale au Salon de Thé.</t>
  </si>
  <si>
    <t>Reprise du travail.</t>
  </si>
  <si>
    <t>Petit-déjeuner copieux.</t>
  </si>
  <si>
    <r>
      <t>Pic conférences</t>
    </r>
    <r>
      <rPr>
        <sz val="11"/>
        <color rgb="FF1F1F1F"/>
        <rFont val="Arial"/>
        <family val="2"/>
      </rPr>
      <t>.</t>
    </r>
  </si>
  <si>
    <t>Préparation de Pâques.</t>
  </si>
  <si>
    <t>Pâtisserie festive (Brioches, Gâteaux).</t>
  </si>
  <si>
    <r>
      <t>Record</t>
    </r>
    <r>
      <rPr>
        <sz val="11"/>
        <color rgb="FF1F1F1F"/>
        <rFont val="Arial"/>
        <family val="2"/>
      </rPr>
      <t xml:space="preserve"> : Petit-déjeuner et desserts thématiques.</t>
    </r>
  </si>
  <si>
    <r>
      <t>Pic Corporate</t>
    </r>
    <r>
      <rPr>
        <sz val="11"/>
        <color rgb="FF1F1F1F"/>
        <rFont val="Arial"/>
        <family val="2"/>
      </rPr>
      <t>.</t>
    </r>
  </si>
  <si>
    <r>
      <t>Férié</t>
    </r>
    <r>
      <rPr>
        <sz val="11"/>
        <color rgb="FF1F1F1F"/>
        <rFont val="Arial"/>
        <family val="2"/>
      </rPr>
      <t xml:space="preserve"> : Brunch et pâtisserie locale.</t>
    </r>
  </si>
  <si>
    <t>Pont du 1er mai (Loisirs).</t>
  </si>
  <si>
    <t>Banquets et célébrations privées.</t>
  </si>
  <si>
    <t>Petit-déjeuner familial.</t>
  </si>
  <si>
    <r>
      <t>Pic hebdomadaire</t>
    </r>
    <r>
      <rPr>
        <sz val="11"/>
        <color rgb="FF1F1F1F"/>
        <rFont val="Arial"/>
        <family val="2"/>
      </rPr>
      <t xml:space="preserve"> : Corporate.</t>
    </r>
  </si>
  <si>
    <t>Flux de travail stable.</t>
  </si>
  <si>
    <t>Événementiel centre-ville.</t>
  </si>
  <si>
    <r>
      <t>Sommet Corporate</t>
    </r>
    <r>
      <rPr>
        <sz val="11"/>
        <color rgb="FF1F1F1F"/>
        <rFont val="Arial"/>
        <family val="2"/>
      </rPr>
      <t xml:space="preserve"> (Forte demande).</t>
    </r>
  </si>
  <si>
    <t>Petit-déjeuner de passage.</t>
  </si>
  <si>
    <r>
      <t>Conférences</t>
    </r>
    <r>
      <rPr>
        <sz val="11"/>
        <color rgb="FF1F1F1F"/>
        <rFont val="Arial"/>
        <family val="2"/>
      </rPr>
      <t>.</t>
    </r>
  </si>
  <si>
    <t>Veille Fête des Mères (Pâtisserie).</t>
  </si>
  <si>
    <t>Fête des Mères</t>
  </si>
  <si>
    <r>
      <t>RECORD</t>
    </r>
    <r>
      <rPr>
        <sz val="11"/>
        <color rgb="FF1F1F1F"/>
        <rFont val="Arial"/>
        <family val="2"/>
      </rPr>
      <t xml:space="preserve"> : Gâteaux et Brunch spécial.</t>
    </r>
  </si>
  <si>
    <t>Reprise post-weekend chargé.</t>
  </si>
  <si>
    <t>Flux de fin de mois.</t>
  </si>
  <si>
    <t>Petit-déjeuner familial d'été.</t>
  </si>
  <si>
    <t>Reprise des séminaires Q2.</t>
  </si>
  <si>
    <r>
      <t>Pic Corporate</t>
    </r>
    <r>
      <rPr>
        <sz val="11"/>
        <color rgb="FF1F1F1F"/>
        <rFont val="Arial"/>
        <family val="2"/>
      </rPr>
      <t xml:space="preserve"> : Conférences.</t>
    </r>
  </si>
  <si>
    <r>
      <t>Aïd al-Adha</t>
    </r>
    <r>
      <rPr>
        <sz val="11"/>
        <color rgb="FF1F1F1F"/>
        <rFont val="Arial"/>
        <family val="2"/>
      </rPr>
      <t xml:space="preserve"> (est.)</t>
    </r>
  </si>
  <si>
    <r>
      <t>Férié</t>
    </r>
    <r>
      <rPr>
        <sz val="11"/>
        <color rgb="FF1F1F1F"/>
        <rFont val="Arial"/>
        <family val="2"/>
      </rPr>
      <t xml:space="preserve"> : Brunch de fête.</t>
    </r>
  </si>
  <si>
    <r>
      <t>Férié</t>
    </r>
    <r>
      <rPr>
        <sz val="11"/>
        <color rgb="FF1F1F1F"/>
        <rFont val="Arial"/>
        <family val="2"/>
      </rPr>
      <t xml:space="preserve"> : Pâtisserie traditionnelle.</t>
    </r>
  </si>
  <si>
    <t>Retour progressif des résidents.</t>
  </si>
  <si>
    <t>Reprise post-Aïd.</t>
  </si>
  <si>
    <r>
      <t>Sommet annuel</t>
    </r>
    <r>
      <rPr>
        <sz val="11"/>
        <color rgb="FF1F1F1F"/>
        <rFont val="Arial"/>
        <family val="2"/>
      </rPr>
      <t xml:space="preserve"> (Forte affluence).</t>
    </r>
  </si>
  <si>
    <t>Début de la saison des mariages.</t>
  </si>
  <si>
    <r>
      <t>Pic Pâtisserie</t>
    </r>
    <r>
      <rPr>
        <sz val="11"/>
        <color rgb="FF1F1F1F"/>
        <rFont val="Arial"/>
        <family val="2"/>
      </rPr>
      <t xml:space="preserve"> : Banqueting.</t>
    </r>
  </si>
  <si>
    <t>Petit-déjeuner des mariés/invités.</t>
  </si>
  <si>
    <t>Séminaires de clôture semestrielle.</t>
  </si>
  <si>
    <t>Transition weekend d'été.</t>
  </si>
  <si>
    <r>
      <t>Banqueting intensif</t>
    </r>
    <r>
      <rPr>
        <sz val="11"/>
        <color rgb="FF1F1F1F"/>
        <rFont val="Arial"/>
        <family val="2"/>
      </rPr>
      <t>.</t>
    </r>
  </si>
  <si>
    <t>Veille Férié</t>
  </si>
  <si>
    <t>Souveraineté</t>
  </si>
  <si>
    <r>
      <t>Férié</t>
    </r>
    <r>
      <rPr>
        <sz val="11"/>
        <color rgb="FF1F1F1F"/>
        <rFont val="Arial"/>
        <family val="2"/>
      </rPr>
      <t xml:space="preserve"> : Événements officiels.</t>
    </r>
  </si>
  <si>
    <t>Brunch d'été.</t>
  </si>
  <si>
    <t>Bilan fin de semestre.</t>
  </si>
  <si>
    <t>Séminaires d'été et délégations.</t>
  </si>
  <si>
    <t>Flux de travail régulier.</t>
  </si>
  <si>
    <t>Arrivées des vacanciers et TRE.</t>
  </si>
  <si>
    <r>
      <t>Pic Pâtisserie</t>
    </r>
    <r>
      <rPr>
        <sz val="11"/>
        <color rgb="FF1F1F1F"/>
        <rFont val="Arial"/>
        <family val="2"/>
      </rPr>
      <t xml:space="preserve"> : Banquets de mariage.</t>
    </r>
  </si>
  <si>
    <t>Brunch dominical fort (clientèle locale).</t>
  </si>
  <si>
    <t>Mix clientèle d'affaires et loisirs.</t>
  </si>
  <si>
    <r>
      <t>Banqueting intensif</t>
    </r>
    <r>
      <rPr>
        <sz val="11"/>
        <color rgb="FF1F1F1F"/>
        <rFont val="Arial"/>
        <family val="2"/>
      </rPr>
      <t xml:space="preserve"> (Haute saison).</t>
    </r>
  </si>
  <si>
    <t>Affluence estivale record.</t>
  </si>
  <si>
    <t>Vacanciers de passage.</t>
  </si>
  <si>
    <r>
      <t>Événementiel privé</t>
    </r>
    <r>
      <rPr>
        <sz val="11"/>
        <color rgb="FF1F1F1F"/>
        <rFont val="Arial"/>
        <family val="2"/>
      </rPr>
      <t>.</t>
    </r>
  </si>
  <si>
    <r>
      <t>Record Brunch</t>
    </r>
    <r>
      <rPr>
        <sz val="11"/>
        <color rgb="FF1F1F1F"/>
        <rFont val="Arial"/>
        <family val="2"/>
      </rPr>
      <t xml:space="preserve"> (Juillet).</t>
    </r>
  </si>
  <si>
    <t>République</t>
  </si>
  <si>
    <r>
      <t>Férié</t>
    </r>
    <r>
      <rPr>
        <sz val="11"/>
        <color rgb="FF1F1F1F"/>
        <rFont val="Arial"/>
        <family val="2"/>
      </rPr>
      <t xml:space="preserve"> : Buffet de fête et pâtisserie.</t>
    </r>
  </si>
  <si>
    <t>Sorties locales et dîners.</t>
  </si>
  <si>
    <t>Flux touristique et TRE.</t>
  </si>
  <si>
    <r>
      <t>Pic Pâtisserie</t>
    </r>
    <r>
      <rPr>
        <sz val="11"/>
        <color rgb="FF1F1F1F"/>
        <rFont val="Arial"/>
        <family val="2"/>
      </rPr>
      <t xml:space="preserve"> : Banqueting intensif.</t>
    </r>
  </si>
  <si>
    <t>Petit-déjeuner tardif.</t>
  </si>
  <si>
    <t>Activité constante.</t>
  </si>
  <si>
    <r>
      <t>Banqueting</t>
    </r>
    <r>
      <rPr>
        <sz val="11"/>
        <color rgb="FF1F1F1F"/>
        <rFont val="Arial"/>
        <family val="2"/>
      </rPr>
      <t xml:space="preserve"> : Événementiel privé.</t>
    </r>
  </si>
  <si>
    <t>Préparation du 13 Août.</t>
  </si>
  <si>
    <r>
      <t>Férié</t>
    </r>
    <r>
      <rPr>
        <sz val="11"/>
        <color rgb="FF1F1F1F"/>
        <rFont val="Arial"/>
        <family val="2"/>
      </rPr>
      <t xml:space="preserve"> : Buffets et thés d'honneur.</t>
    </r>
  </si>
  <si>
    <t>Weekend de l'Assomption.</t>
  </si>
  <si>
    <r>
      <t>Pic Pâtisserie fine</t>
    </r>
    <r>
      <rPr>
        <sz val="11"/>
        <color rgb="FF1F1F1F"/>
        <rFont val="Arial"/>
        <family val="2"/>
      </rPr>
      <t>.</t>
    </r>
  </si>
  <si>
    <r>
      <t>Record Brunch</t>
    </r>
    <r>
      <rPr>
        <sz val="11"/>
        <color rgb="FF1F1F1F"/>
        <rFont val="Arial"/>
        <family val="2"/>
      </rPr>
      <t>.</t>
    </r>
  </si>
  <si>
    <t>Fin de saison des mariages.</t>
  </si>
  <si>
    <t>Rentrée des classes et reprise Corporate.</t>
  </si>
  <si>
    <r>
      <t>Pic hebdomadaire</t>
    </r>
    <r>
      <rPr>
        <sz val="11"/>
        <color rgb="FF1F1F1F"/>
        <rFont val="Arial"/>
        <family val="2"/>
      </rPr>
      <t xml:space="preserve"> : Séminaires de rentrée.</t>
    </r>
  </si>
  <si>
    <t>Conférences et réunions d'affaires.</t>
  </si>
  <si>
    <t>Derniers mariages de saison.</t>
  </si>
  <si>
    <t>Arrivées des délégations ONG/ONU.</t>
  </si>
  <si>
    <r>
      <t>Sommet Corporate</t>
    </r>
    <r>
      <rPr>
        <sz val="11"/>
        <color rgb="FF1F1F1F"/>
        <rFont val="Arial"/>
        <family val="2"/>
      </rPr>
      <t xml:space="preserve"> (Forte affluence).</t>
    </r>
  </si>
  <si>
    <t>Petit-déjeuner résident.</t>
  </si>
  <si>
    <r>
      <t>Sommet Corporate</t>
    </r>
    <r>
      <rPr>
        <sz val="11"/>
        <color rgb="FF1F1F1F"/>
        <rFont val="Arial"/>
        <family val="2"/>
      </rPr>
      <t>.</t>
    </r>
  </si>
  <si>
    <t>Clôture des séminaires Q3.</t>
  </si>
  <si>
    <t>Séminaires de rentrée Q4.</t>
  </si>
  <si>
    <t>Banquets et réceptions en ville.</t>
  </si>
  <si>
    <t>Petit-déjeuner résident prolongé.</t>
  </si>
  <si>
    <t>Arrivée des délégations internationales.</t>
  </si>
  <si>
    <r>
      <t>Sommet Corporate</t>
    </r>
    <r>
      <rPr>
        <sz val="11"/>
        <color rgb="FF1F1F1F"/>
        <rFont val="Arial"/>
        <family val="2"/>
      </rPr>
      <t xml:space="preserve"> (Hôtel quasi complet).</t>
    </r>
  </si>
  <si>
    <t>Conférences et ateliers.</t>
  </si>
  <si>
    <r>
      <t>Pic hebdomadaire</t>
    </r>
    <r>
      <rPr>
        <sz val="11"/>
        <color rgb="FF1F1F1F"/>
        <rFont val="Arial"/>
        <family val="2"/>
      </rPr>
      <t>.</t>
    </r>
  </si>
  <si>
    <r>
      <t>Férié</t>
    </r>
    <r>
      <rPr>
        <sz val="11"/>
        <color rgb="FF1F1F1F"/>
        <rFont val="Arial"/>
        <family val="2"/>
      </rPr>
      <t xml:space="preserve"> : Clientèle locale &amp; Brunch.</t>
    </r>
  </si>
  <si>
    <r>
      <t>Pic congrès</t>
    </r>
    <r>
      <rPr>
        <sz val="11"/>
        <color rgb="FF1F1F1F"/>
        <rFont val="Arial"/>
        <family val="2"/>
      </rPr>
      <t>.</t>
    </r>
  </si>
  <si>
    <t>Clôture de mois intense.</t>
  </si>
  <si>
    <t>Préparation événements de Novembre.</t>
  </si>
  <si>
    <t>Banquets et événements de début de mois.</t>
  </si>
  <si>
    <r>
      <t>Pic hebdomadaire</t>
    </r>
    <r>
      <rPr>
        <sz val="11"/>
        <color rgb="FF1F1F1F"/>
        <rFont val="Arial"/>
        <family val="2"/>
      </rPr>
      <t xml:space="preserve"> : Séminaires.</t>
    </r>
  </si>
  <si>
    <r>
      <t>Sommet Corporate</t>
    </r>
    <r>
      <rPr>
        <sz val="11"/>
        <color rgb="FF1F1F1F"/>
        <rFont val="Arial"/>
        <family val="2"/>
      </rPr>
      <t xml:space="preserve"> (Hôtel complet).</t>
    </r>
  </si>
  <si>
    <t>Travail et réception.</t>
  </si>
  <si>
    <r>
      <t>Clôture de mois intense</t>
    </r>
    <r>
      <rPr>
        <sz val="11"/>
        <color rgb="FF1F1F1F"/>
        <rFont val="Arial"/>
        <family val="2"/>
      </rPr>
      <t>.</t>
    </r>
  </si>
  <si>
    <t>Préparation fêtes de fin d'année.</t>
  </si>
  <si>
    <t>Transition vers Décembre.</t>
  </si>
  <si>
    <r>
      <t>Brunch de Luxe</t>
    </r>
    <r>
      <rPr>
        <sz val="11"/>
        <color rgb="FF1F1F1F"/>
        <rFont val="Arial"/>
        <family val="2"/>
      </rPr>
      <t xml:space="preserve"> (Incontournable).</t>
    </r>
  </si>
  <si>
    <t>Repos</t>
  </si>
  <si>
    <t>Clientèle résidente en repos.</t>
  </si>
  <si>
    <t>Séjours détente.</t>
  </si>
  <si>
    <t>Tea-time de luxe et banquets.</t>
  </si>
  <si>
    <t>Clientèle extérieure VIP.</t>
  </si>
  <si>
    <t>Business/Dipl.</t>
  </si>
  <si>
    <t>Weekend de luxe.</t>
  </si>
  <si>
    <r>
      <t>Banqueting</t>
    </r>
    <r>
      <rPr>
        <sz val="11"/>
        <color rgb="FF1F1F1F"/>
        <rFont val="Arial"/>
        <family val="2"/>
      </rPr>
      <t xml:space="preserve"> (Événement prestigieux).</t>
    </r>
  </si>
  <si>
    <t>Journée détente résidents locaux.</t>
  </si>
  <si>
    <t>Pâtisserie de luxe (L'Atrium).</t>
  </si>
  <si>
    <t>Dîners de Gala.</t>
  </si>
  <si>
    <t>Clientèle locale très forte.</t>
  </si>
  <si>
    <t>Banquets et dîners de luxe.</t>
  </si>
  <si>
    <t>Clientèle VIP locale.</t>
  </si>
  <si>
    <t>Petit-déjeuner à la carte.</t>
  </si>
  <si>
    <t>Début de weekend bien-être.</t>
  </si>
  <si>
    <t>Tea-time au salon L'Atrium.</t>
  </si>
  <si>
    <t>Corporate luxe.</t>
  </si>
  <si>
    <t>Préparation</t>
  </si>
  <si>
    <t>Labo pâtisserie (prépa St-Valentin).</t>
  </si>
  <si>
    <t>Veille de Fête</t>
  </si>
  <si>
    <t>Arrivées pour le weekend amoureux.</t>
  </si>
  <si>
    <r>
      <t>RECORD</t>
    </r>
    <r>
      <rPr>
        <sz val="11"/>
        <color rgb="FF1F1F1F"/>
        <rFont val="Arial"/>
        <family val="2"/>
      </rPr>
      <t xml:space="preserve"> : Dîners &amp; Pâtisserie fine.</t>
    </r>
  </si>
  <si>
    <t>Weekend Luxe</t>
  </si>
  <si>
    <t>Petit-déjeuner festif en chambre.</t>
  </si>
  <si>
    <t>Repos post-événement.</t>
  </si>
  <si>
    <t>Clientèle weekend.</t>
  </si>
  <si>
    <t>Dîners gastronomiques (The Creek).</t>
  </si>
  <si>
    <t>Clientèle locale régulière.</t>
  </si>
  <si>
    <t>Mise en place des buffets Iftar luxe.</t>
  </si>
  <si>
    <t>Dimanche Ram.</t>
  </si>
  <si>
    <t>Clientèle locale (Rupture du jeûne).</t>
  </si>
  <si>
    <t>Diplomatique</t>
  </si>
  <si>
    <t>Délégations en mode Ramadan.</t>
  </si>
  <si>
    <r>
      <t>Iftar Corporate de luxe</t>
    </r>
    <r>
      <rPr>
        <sz val="11"/>
        <color rgb="FF1F1F1F"/>
        <rFont val="Arial"/>
        <family val="2"/>
      </rPr>
      <t>.</t>
    </r>
  </si>
  <si>
    <t>Dîners d'affaires prestige.</t>
  </si>
  <si>
    <t>Résidentiel</t>
  </si>
  <si>
    <t>Calme et exclusivité.</t>
  </si>
  <si>
    <t>Arrivées pour "Ramadan Staycation".</t>
  </si>
  <si>
    <r>
      <t>Pâtisserie fine orientale</t>
    </r>
    <r>
      <rPr>
        <sz val="11"/>
        <color rgb="FF1F1F1F"/>
        <rFont val="Arial"/>
        <family val="2"/>
      </rPr>
      <t>.</t>
    </r>
  </si>
  <si>
    <t>Shour/Repos</t>
  </si>
  <si>
    <t>Focus sur le Shour à la carte.</t>
  </si>
  <si>
    <t>Réceptions diplomatiques.</t>
  </si>
  <si>
    <t>Weekend bien-être.</t>
  </si>
  <si>
    <t>Soirées "Layali" (Pâtisserie riche).</t>
  </si>
  <si>
    <t>Clientèle locale résidente.</t>
  </si>
  <si>
    <r>
      <t>Pic banqueting Iftar</t>
    </r>
    <r>
      <rPr>
        <sz val="11"/>
        <color rgb="FF1F1F1F"/>
        <rFont val="Arial"/>
        <family val="2"/>
      </rPr>
      <t>.</t>
    </r>
  </si>
  <si>
    <r>
      <t>Férié</t>
    </r>
    <r>
      <rPr>
        <sz val="11"/>
        <color rgb="FF1F1F1F"/>
        <rFont val="Arial"/>
        <family val="2"/>
      </rPr>
      <t xml:space="preserve"> : Iftar de gala.</t>
    </r>
  </si>
  <si>
    <t>Shour gastronomique.</t>
  </si>
  <si>
    <r>
      <t>Pic Pâtisserie</t>
    </r>
    <r>
      <rPr>
        <sz val="11"/>
        <color rgb="FF1F1F1F"/>
        <rFont val="Arial"/>
        <family val="2"/>
      </rPr>
      <t xml:space="preserve"> (Crèmes et mousses).</t>
    </r>
  </si>
  <si>
    <t>Production de gâteaux de l'Aïd.</t>
  </si>
  <si>
    <t>Desserts traditionnels de luxe.</t>
  </si>
  <si>
    <t>Préparation logistique Aïd.</t>
  </si>
  <si>
    <r>
      <t>RECORD</t>
    </r>
    <r>
      <rPr>
        <sz val="11"/>
        <color rgb="FF1F1F1F"/>
        <rFont val="Arial"/>
        <family val="2"/>
      </rPr>
      <t xml:space="preserve"> : Brunch de l'Aïd.</t>
    </r>
  </si>
  <si>
    <t>Brunch festif (Jour 2).</t>
  </si>
  <si>
    <t>Reprise Business</t>
  </si>
  <si>
    <t>Reprise des petits-déjeuners à la carte.</t>
  </si>
  <si>
    <r>
      <t xml:space="preserve">Déjeuners d'affaires au restaurant </t>
    </r>
    <r>
      <rPr>
        <i/>
        <sz val="11"/>
        <color rgb="FF1F1F1F"/>
        <rFont val="Arial"/>
        <family val="2"/>
      </rPr>
      <t>Azur</t>
    </r>
    <r>
      <rPr>
        <sz val="11"/>
        <color rgb="FF1F1F1F"/>
        <rFont val="Arial"/>
        <family val="2"/>
      </rPr>
      <t>.</t>
    </r>
  </si>
  <si>
    <t>Tea Time et Banquets.</t>
  </si>
  <si>
    <t>Clientèle locale VIP.</t>
  </si>
  <si>
    <t>Martyrs</t>
  </si>
  <si>
    <r>
      <t>Férié</t>
    </r>
    <r>
      <rPr>
        <sz val="11"/>
        <color rgb="FF1F1F1F"/>
        <rFont val="Arial"/>
        <family val="2"/>
      </rPr>
      <t xml:space="preserve"> : Déjeuners en famille.</t>
    </r>
  </si>
  <si>
    <t>Mariage de prestige / Gala.</t>
  </si>
  <si>
    <t>Affluence dominicale.</t>
  </si>
  <si>
    <t>Préparation Pâques (Labo chocolat).</t>
  </si>
  <si>
    <t>Production pâtissière accrue.</t>
  </si>
  <si>
    <t>Vendredi Saint</t>
  </si>
  <si>
    <t>Clientèle internationale résidente.</t>
  </si>
  <si>
    <t>Veille Pâques</t>
  </si>
  <si>
    <r>
      <t>Pic Pâtisserie</t>
    </r>
    <r>
      <rPr>
        <sz val="11"/>
        <color rgb="FF1F1F1F"/>
        <rFont val="Arial"/>
        <family val="2"/>
      </rPr>
      <t xml:space="preserve"> : Brioches et œufs.</t>
    </r>
  </si>
  <si>
    <r>
      <t>RECORD ANNUEL</t>
    </r>
    <r>
      <rPr>
        <sz val="11"/>
        <color rgb="FF1F1F1F"/>
        <rFont val="Arial"/>
        <family val="2"/>
      </rPr>
      <t xml:space="preserve"> : Brunch de Pâques.</t>
    </r>
  </si>
  <si>
    <t>Retour au corporate.</t>
  </si>
  <si>
    <t>Weekend résidentiel.</t>
  </si>
  <si>
    <t>Dîners gastronomiques.</t>
  </si>
  <si>
    <t>Veille 1er Mai</t>
  </si>
  <si>
    <t>Arrivées weekend prolongé.</t>
  </si>
  <si>
    <r>
      <t>Férié</t>
    </r>
    <r>
      <rPr>
        <sz val="11"/>
        <color rgb="FF1F1F1F"/>
        <rFont val="Arial"/>
        <family val="2"/>
      </rPr>
      <t xml:space="preserve"> : Brunch de mi-semaine.</t>
    </r>
  </si>
  <si>
    <t>Weekend prolongé (Loisirs).</t>
  </si>
  <si>
    <t>Mariage de prestige ou Gala.</t>
  </si>
  <si>
    <t>Affluence dominicale VIP.</t>
  </si>
  <si>
    <t>Reprise séminaires luxe.</t>
  </si>
  <si>
    <r>
      <t>Tea Time</t>
    </r>
    <r>
      <rPr>
        <sz val="11"/>
        <color rgb="FF1F1F1F"/>
        <rFont val="Arial"/>
        <family val="2"/>
      </rPr>
      <t xml:space="preserve"> (L'Atrium).</t>
    </r>
  </si>
  <si>
    <t>Haute saison Brunch.</t>
  </si>
  <si>
    <t>Weekend Fête des Mères.</t>
  </si>
  <si>
    <r>
      <t>Pic Labo</t>
    </r>
    <r>
      <rPr>
        <sz val="11"/>
        <color rgb="FF1F1F1F"/>
        <rFont val="Arial"/>
        <family val="2"/>
      </rPr>
      <t xml:space="preserve"> (Gâteaux de fête).</t>
    </r>
  </si>
  <si>
    <r>
      <t>RECORD</t>
    </r>
    <r>
      <rPr>
        <sz val="11"/>
        <color rgb="FF1F1F1F"/>
        <rFont val="Arial"/>
        <family val="2"/>
      </rPr>
      <t xml:space="preserve"> : Brunch &amp; Cadeaux pâtissiers.</t>
    </r>
  </si>
  <si>
    <t>Lendemain de fête.</t>
  </si>
  <si>
    <t>Flux weekend d'été.</t>
  </si>
  <si>
    <t>Banquets de fin de mois.</t>
  </si>
  <si>
    <t>Brunch d'été (Pleine capacité).</t>
  </si>
  <si>
    <t>Aïd al-Adha</t>
  </si>
  <si>
    <r>
      <t>Férié</t>
    </r>
    <r>
      <rPr>
        <sz val="11"/>
        <color rgb="FF1F1F1F"/>
        <rFont val="Arial"/>
        <family val="2"/>
      </rPr>
      <t xml:space="preserve"> : Petit-déjeuner et desserts de fête.</t>
    </r>
  </si>
  <si>
    <r>
      <t>Férié</t>
    </r>
    <r>
      <rPr>
        <sz val="11"/>
        <color rgb="FF1F1F1F"/>
        <rFont val="Arial"/>
        <family val="2"/>
      </rPr>
      <t xml:space="preserve"> : Brunch de l'Aïd (Jour 2).</t>
    </r>
  </si>
  <si>
    <t>Détente résidentielle.</t>
  </si>
  <si>
    <t>Reprise post-fête.</t>
  </si>
  <si>
    <t>Début de weekend mariages.</t>
  </si>
  <si>
    <r>
      <t>Pic Pâtisserie</t>
    </r>
    <r>
      <rPr>
        <sz val="11"/>
        <color rgb="FF1F1F1F"/>
        <rFont val="Arial"/>
        <family val="2"/>
      </rPr>
      <t xml:space="preserve"> : Mariage de luxe.</t>
    </r>
  </si>
  <si>
    <t>Clôture Q2.</t>
  </si>
  <si>
    <t>Arrivées estivales.</t>
  </si>
  <si>
    <r>
      <t>RECORD</t>
    </r>
    <r>
      <rPr>
        <sz val="11"/>
        <color rgb="FF1F1F1F"/>
        <rFont val="Arial"/>
        <family val="2"/>
      </rPr>
      <t xml:space="preserve"> : Grand Gala saisonnier.</t>
    </r>
  </si>
  <si>
    <r>
      <t>Férié</t>
    </r>
    <r>
      <rPr>
        <sz val="11"/>
        <color rgb="FF1F1F1F"/>
        <rFont val="Arial"/>
        <family val="2"/>
      </rPr>
      <t xml:space="preserve"> : Événements officiels &amp; Dîners.</t>
    </r>
  </si>
  <si>
    <t>Arrivées massives de l'été.</t>
  </si>
  <si>
    <r>
      <t>Pic Pâtisserie</t>
    </r>
    <r>
      <rPr>
        <sz val="11"/>
        <color rgb="FF1F1F1F"/>
        <rFont val="Arial"/>
        <family val="2"/>
      </rPr>
      <t xml:space="preserve"> : Mariage Palace.</t>
    </r>
  </si>
  <si>
    <t>Brunch estival complet.</t>
  </si>
  <si>
    <t>Loisirs Luxe</t>
  </si>
  <si>
    <t>Room Service intense.</t>
  </si>
  <si>
    <r>
      <t>RECORD</t>
    </r>
    <r>
      <rPr>
        <sz val="11"/>
        <color rgb="FF1F1F1F"/>
        <rFont val="Arial"/>
        <family val="2"/>
      </rPr>
      <t xml:space="preserve"> : Réception VIP.</t>
    </r>
  </si>
  <si>
    <t>Affluence dominicale maximale.</t>
  </si>
  <si>
    <r>
      <t>Férié</t>
    </r>
    <r>
      <rPr>
        <sz val="11"/>
        <color rgb="FF1F1F1F"/>
        <rFont val="Arial"/>
        <family val="2"/>
      </rPr>
      <t xml:space="preserve"> : Tea-time &amp; Buffets.</t>
    </r>
  </si>
  <si>
    <t>Assomption (Forte demande).</t>
  </si>
  <si>
    <t>Calme progressif.</t>
  </si>
  <si>
    <t>Flux de clôture.</t>
  </si>
  <si>
    <t>Fin de la saison des mariages.</t>
  </si>
  <si>
    <t>Rentrée/Dipl.</t>
  </si>
  <si>
    <t>Retour des délégations et ONG.</t>
  </si>
  <si>
    <t>Business Luxe</t>
  </si>
  <si>
    <t>Petit-déjeuner à la carte intense.</t>
  </si>
  <si>
    <r>
      <t>Banqueting</t>
    </r>
    <r>
      <rPr>
        <sz val="11"/>
        <color rgb="FF1F1F1F"/>
        <rFont val="Arial"/>
        <family val="2"/>
      </rPr>
      <t xml:space="preserve"> : Réception de rentrée.</t>
    </r>
  </si>
  <si>
    <t>Brunch dominical (Saison douce).</t>
  </si>
  <si>
    <t>Conférences de haut niveau.</t>
  </si>
  <si>
    <t>Tea-Time et mariages tardifs.</t>
  </si>
  <si>
    <r>
      <t>Pic Brunch Septembre</t>
    </r>
    <r>
      <rPr>
        <sz val="11"/>
        <color rgb="FF1F1F1F"/>
        <rFont val="Arial"/>
        <family val="2"/>
      </rPr>
      <t>.</t>
    </r>
  </si>
  <si>
    <t>Banquets et Galas.</t>
  </si>
  <si>
    <t>Banquets et dîners de saison.</t>
  </si>
  <si>
    <t>Brunch dominical (Clientèle fidèle).</t>
  </si>
  <si>
    <t>Réunions de direction.</t>
  </si>
  <si>
    <r>
      <t>Tea Time Automnal</t>
    </r>
    <r>
      <rPr>
        <sz val="11"/>
        <color rgb="FF1F1F1F"/>
        <rFont val="Arial"/>
        <family val="2"/>
      </rPr>
      <t xml:space="preserve"> (L'Atrium).</t>
    </r>
  </si>
  <si>
    <t>Affluence constante.</t>
  </si>
  <si>
    <t>Événementiel privé / Banquets.</t>
  </si>
  <si>
    <t>Brunch de luxe.</t>
  </si>
  <si>
    <r>
      <t>Pic Brunch Novembre</t>
    </r>
    <r>
      <rPr>
        <sz val="11"/>
        <color rgb="FF1F1F1F"/>
        <rFont val="Arial"/>
        <family val="2"/>
      </rPr>
      <t>.</t>
    </r>
  </si>
  <si>
    <t>Thanksgiving</t>
  </si>
  <si>
    <r>
      <t>Dîner spécial</t>
    </r>
    <r>
      <rPr>
        <sz val="11"/>
        <color rgb="FF1F1F1F"/>
        <rFont val="Arial"/>
        <family val="2"/>
      </rPr>
      <t xml:space="preserve"> (Clientèle US/Expats).</t>
    </r>
  </si>
  <si>
    <t>Préparation saison de Noël.</t>
  </si>
  <si>
    <t>Clôture de novembre.</t>
  </si>
  <si>
    <t>Clôture des budgets annuels.</t>
  </si>
  <si>
    <r>
      <t>Banqueting</t>
    </r>
    <r>
      <rPr>
        <sz val="11"/>
        <color rgb="FF1F1F1F"/>
        <rFont val="Arial"/>
        <family val="2"/>
      </rPr>
      <t xml:space="preserve"> : Galas de fin d'année.</t>
    </r>
  </si>
  <si>
    <t>Brunch de l'Avent.</t>
  </si>
  <si>
    <r>
      <t>Sommet Corporate Final</t>
    </r>
    <r>
      <rPr>
        <sz val="11"/>
        <color rgb="FF1F1F1F"/>
        <rFont val="Arial"/>
        <family val="2"/>
      </rPr>
      <t>.</t>
    </r>
  </si>
  <si>
    <r>
      <t>Lancement des Bûches Signatures</t>
    </r>
    <r>
      <rPr>
        <sz val="11"/>
        <color rgb="FF1F1F1F"/>
        <rFont val="Arial"/>
        <family val="2"/>
      </rPr>
      <t>.</t>
    </r>
  </si>
  <si>
    <t>Business/Fêtes</t>
  </si>
  <si>
    <t>Début des vacances de luxe.</t>
  </si>
  <si>
    <t>Travail/Loisirs.</t>
  </si>
  <si>
    <t>Weekend pré-Noël.</t>
  </si>
  <si>
    <t>Tea-Time de Noël à l'Atrium.</t>
  </si>
  <si>
    <r>
      <t>Brunch de Noël VIP</t>
    </r>
    <r>
      <rPr>
        <sz val="11"/>
        <color rgb="FF1F1F1F"/>
        <rFont val="Arial"/>
        <family val="2"/>
      </rPr>
      <t>.</t>
    </r>
  </si>
  <si>
    <t>Vacances Luxe</t>
  </si>
  <si>
    <t>Ambiance festive.</t>
  </si>
  <si>
    <t>Labo pâtisserie en continu.</t>
  </si>
  <si>
    <r>
      <t>Pic Dîner de Gala</t>
    </r>
    <r>
      <rPr>
        <sz val="11"/>
        <color rgb="FF1F1F1F"/>
        <rFont val="Arial"/>
        <family val="2"/>
      </rPr>
      <t>.</t>
    </r>
  </si>
  <si>
    <t>Repos.</t>
  </si>
  <si>
    <t>Dernier Brunch de 2025.</t>
  </si>
  <si>
    <t>Logistique</t>
  </si>
  <si>
    <t>Production massive pâtisserie.</t>
  </si>
  <si>
    <r>
      <t>RECORD ANNUEL</t>
    </r>
    <r>
      <rPr>
        <sz val="11"/>
        <color rgb="FF1F1F1F"/>
        <rFont val="Arial"/>
        <family val="2"/>
      </rPr>
      <t xml:space="preserve"> (Gala &amp; Buffets).</t>
    </r>
  </si>
  <si>
    <t>Clientèle d'affaires du Lac.</t>
  </si>
  <si>
    <t>Arrivée des familles du Golfe.</t>
  </si>
  <si>
    <t>Famille/Détente</t>
  </si>
  <si>
    <r>
      <t>Forte demande en Pâtisserie</t>
    </r>
    <r>
      <rPr>
        <sz val="11"/>
        <color rgb="FF1F1F1F"/>
        <rFont val="Arial"/>
        <family val="2"/>
      </rPr>
      <t>.</t>
    </r>
  </si>
  <si>
    <r>
      <t>Institution du Lac</t>
    </r>
    <r>
      <rPr>
        <sz val="11"/>
        <color rgb="FF1F1F1F"/>
        <rFont val="Arial"/>
        <family val="2"/>
      </rPr>
      <t xml:space="preserve"> (Complet).</t>
    </r>
  </si>
  <si>
    <t>Vacanciers résidents.</t>
  </si>
  <si>
    <t>Travail/Détente.</t>
  </si>
  <si>
    <t>Weekend familial.</t>
  </si>
  <si>
    <t>Événementiel</t>
  </si>
  <si>
    <t>Banquets et fiançailles.</t>
  </si>
  <si>
    <r>
      <t>Pic de consommation</t>
    </r>
    <r>
      <rPr>
        <sz val="11"/>
        <color rgb="FF1F1F1F"/>
        <rFont val="Arial"/>
        <family val="2"/>
      </rPr>
      <t>.</t>
    </r>
  </si>
  <si>
    <t>Clientèle estivale.</t>
  </si>
  <si>
    <t>Réceptions sur la terrasse.</t>
  </si>
  <si>
    <t>Affluence maximale.</t>
  </si>
  <si>
    <t>Préparation Fête République.</t>
  </si>
  <si>
    <r>
      <t>Férié</t>
    </r>
    <r>
      <rPr>
        <sz val="11"/>
        <color rgb="FF1F1F1F"/>
        <rFont val="Arial"/>
        <family val="2"/>
      </rPr>
      <t xml:space="preserve"> : Buffet spécial.</t>
    </r>
  </si>
  <si>
    <t>Brunch de clôture juillet.</t>
  </si>
  <si>
    <t>Passage vers Août.</t>
  </si>
  <si>
    <t>Séminaires de direction Q4.</t>
  </si>
  <si>
    <r>
      <t>Banqueting</t>
    </r>
    <r>
      <rPr>
        <sz val="11"/>
        <color rgb="FF1F1F1F"/>
        <rFont val="Arial"/>
        <family val="2"/>
      </rPr>
      <t xml:space="preserve"> : Événements privés.</t>
    </r>
  </si>
  <si>
    <t>Arrivée de délégations d'État.</t>
  </si>
  <si>
    <r>
      <t>Sommet International</t>
    </r>
    <r>
      <rPr>
        <sz val="11"/>
        <color rgb="FF1F1F1F"/>
        <rFont val="Arial"/>
        <family val="2"/>
      </rPr>
      <t xml:space="preserve"> (Hôtel complet).</t>
    </r>
  </si>
  <si>
    <t>Conférences et déjeuners de gala.</t>
  </si>
  <si>
    <t>Tea-Time &amp; Réceptions.</t>
  </si>
  <si>
    <r>
      <t>Férié</t>
    </r>
    <r>
      <rPr>
        <sz val="11"/>
        <color rgb="FF1F1F1F"/>
        <rFont val="Arial"/>
        <family val="2"/>
      </rPr>
      <t xml:space="preserve"> : Brunch de milieu de semaine.</t>
    </r>
  </si>
  <si>
    <r>
      <t>Conférence Diplomatique</t>
    </r>
    <r>
      <rPr>
        <sz val="11"/>
        <color rgb="FF1F1F1F"/>
        <rFont val="Arial"/>
        <family val="2"/>
      </rPr>
      <t>.</t>
    </r>
  </si>
  <si>
    <r>
      <t>Pic Brunch Octobre</t>
    </r>
    <r>
      <rPr>
        <sz val="11"/>
        <color rgb="FF1F1F1F"/>
        <rFont val="Arial"/>
        <family val="2"/>
      </rPr>
      <t>.</t>
    </r>
  </si>
  <si>
    <r>
      <t>Dîner thématique &amp; Pâtisserie</t>
    </r>
    <r>
      <rPr>
        <sz val="11"/>
        <color rgb="FF1F1F1F"/>
        <rFont val="Arial"/>
        <family val="2"/>
      </rPr>
      <t>.</t>
    </r>
  </si>
  <si>
    <t>Four_Season_Tunis</t>
  </si>
  <si>
    <t>Conférences Q4.</t>
  </si>
  <si>
    <t>Dîners d'entreprises.</t>
  </si>
  <si>
    <t>Brunch Classique</t>
  </si>
  <si>
    <t>Calme pré-vacances.</t>
  </si>
  <si>
    <t>Fin du corporate.</t>
  </si>
  <si>
    <r>
      <t>Pic Brunch de Noël</t>
    </r>
    <r>
      <rPr>
        <sz val="11"/>
        <color rgb="FF1F1F1F"/>
        <rFont val="Arial"/>
        <family val="2"/>
      </rPr>
      <t>.</t>
    </r>
  </si>
  <si>
    <t>Tourisme intérieur.</t>
  </si>
  <si>
    <r>
      <t>Dîner de Gala</t>
    </r>
    <r>
      <rPr>
        <sz val="11"/>
        <color rgb="FF1F1F1F"/>
        <rFont val="Arial"/>
        <family val="2"/>
      </rPr>
      <t>.</t>
    </r>
  </si>
  <si>
    <t>Buffet festif.</t>
  </si>
  <si>
    <t>Brunch Fin Année</t>
  </si>
  <si>
    <t>Dernier brunch 2025.</t>
  </si>
  <si>
    <t>Logistique intense.</t>
  </si>
  <si>
    <r>
      <t>RECORD ANNUEL</t>
    </r>
    <r>
      <rPr>
        <sz val="11"/>
        <color rgb="FF1F1F1F"/>
        <rFont val="Arial"/>
        <family val="2"/>
      </rPr>
      <t xml:space="preserve"> (Gala).</t>
    </r>
  </si>
  <si>
    <t>Séminaires de juin.</t>
  </si>
  <si>
    <t>Activité Corporate Lac.</t>
  </si>
  <si>
    <t>Fiançailles / Réceptions.</t>
  </si>
  <si>
    <t>Banquets de réussite.</t>
  </si>
  <si>
    <t>Sortie de bureau / Weekend.</t>
  </si>
  <si>
    <t>Férié : Petit-déjeuner de fête.</t>
  </si>
  <si>
    <t>Férié : Brunch familial.</t>
  </si>
  <si>
    <t>Pic Brunch de juin.</t>
  </si>
  <si>
    <t>Férié : Déjeuners familiaux.</t>
  </si>
  <si>
    <t>Petit-déj de fête (Buffet).</t>
  </si>
  <si>
    <t>Basse Saison</t>
  </si>
  <si>
    <t>Départ des groupes de réveillon.</t>
  </si>
  <si>
    <t>Clientèle locale calme.</t>
  </si>
  <si>
    <t>Weekend détente familles.</t>
  </si>
  <si>
    <t>Séminaire</t>
  </si>
  <si>
    <t>Groupes entreprises.</t>
  </si>
  <si>
    <t>Entretien technique.</t>
  </si>
  <si>
    <t>Arrivées locales.</t>
  </si>
  <si>
    <r>
      <t>Événement familial (Mariage)</t>
    </r>
    <r>
      <rPr>
        <sz val="11"/>
        <color rgb="FF1F1F1F"/>
        <rFont val="Arial"/>
        <family val="2"/>
      </rPr>
      <t>.</t>
    </r>
  </si>
  <si>
    <t>Buffet fin de semaine.</t>
  </si>
  <si>
    <t>Révolution</t>
  </si>
  <si>
    <r>
      <t>Férié</t>
    </r>
    <r>
      <rPr>
        <sz val="11"/>
        <color rgb="FF1F1F1F"/>
        <rFont val="Arial"/>
        <family val="2"/>
      </rPr>
      <t xml:space="preserve"> : Pic de clientèle tunisienne.</t>
    </r>
  </si>
  <si>
    <t>Sorties familles.</t>
  </si>
  <si>
    <t>Creux de saison.</t>
  </si>
  <si>
    <t>Début des vacances d'hiver (zones).</t>
  </si>
  <si>
    <r>
      <t>Pic Pâtisserie</t>
    </r>
    <r>
      <rPr>
        <sz val="11"/>
        <color rgb="FF1F1F1F"/>
        <rFont val="Arial"/>
        <family val="2"/>
      </rPr>
      <t xml:space="preserve"> (Enfants).</t>
    </r>
  </si>
  <si>
    <t>Buffet familles.</t>
  </si>
  <si>
    <t>Vacances/WE</t>
  </si>
  <si>
    <t>Pic de pâtisserie (Vacances).</t>
  </si>
  <si>
    <t>Buffet dominical famille.</t>
  </si>
  <si>
    <t>Loisirs enfants.</t>
  </si>
  <si>
    <t>Fin Vacances</t>
  </si>
  <si>
    <t>Flux de départs/arrivées.</t>
  </si>
  <si>
    <t>Buffet classique.</t>
  </si>
  <si>
    <t>Séminaire résidentiel.</t>
  </si>
  <si>
    <t>Veille St-Valentin</t>
  </si>
  <si>
    <t>Préparation buffet spécial.</t>
  </si>
  <si>
    <t>Saint-Valentin</t>
  </si>
  <si>
    <r>
      <t>Pic Soirée Romantique</t>
    </r>
    <r>
      <rPr>
        <sz val="11"/>
        <color rgb="FF1F1F1F"/>
        <rFont val="Arial"/>
        <family val="2"/>
      </rPr>
      <t>.</t>
    </r>
  </si>
  <si>
    <t>Prolongation weekend.</t>
  </si>
  <si>
    <t>Brunch/Buffet.</t>
  </si>
  <si>
    <t>Groupes seniors Europe.</t>
  </si>
  <si>
    <t>Banquets/Fiançailles.</t>
  </si>
  <si>
    <t>Entretien.</t>
  </si>
  <si>
    <t>Flux vers Mars.</t>
  </si>
  <si>
    <t>Début Ramadan</t>
  </si>
  <si>
    <t>Pic Pâtisserie (Zlabia, Briks).</t>
  </si>
  <si>
    <t>Shor &amp; Iftar.</t>
  </si>
  <si>
    <t>Calme semaine.</t>
  </si>
  <si>
    <t>Arrivées weekend locaux.</t>
  </si>
  <si>
    <t>Femme / WE</t>
  </si>
  <si>
    <r>
      <t>Fête de la Femme</t>
    </r>
    <r>
      <rPr>
        <sz val="11"/>
        <color rgb="FF1F1F1F"/>
        <rFont val="Arial"/>
        <family val="2"/>
      </rPr>
      <t xml:space="preserve"> + Weekend.</t>
    </r>
  </si>
  <si>
    <t>Iftar familial.</t>
  </si>
  <si>
    <t>Weekend Iftar.</t>
  </si>
  <si>
    <t>Banquet Iftar.</t>
  </si>
  <si>
    <t>Shor familial.</t>
  </si>
  <si>
    <t>Préparation Indépendance.</t>
  </si>
  <si>
    <r>
      <t>Férié</t>
    </r>
    <r>
      <rPr>
        <sz val="11"/>
        <color rgb="FF1F1F1F"/>
        <rFont val="Arial"/>
        <family val="2"/>
      </rPr>
      <t xml:space="preserve"> : Pic de consommation.</t>
    </r>
  </si>
  <si>
    <t>Iftars d'entreprises.</t>
  </si>
  <si>
    <t>Dimanche en famille.</t>
  </si>
  <si>
    <t>Reprise fin de mois.</t>
  </si>
  <si>
    <t>Leilat al-Qadr</t>
  </si>
  <si>
    <r>
      <t>Nuit du Destin</t>
    </r>
    <r>
      <rPr>
        <sz val="11"/>
        <color rgb="FF1F1F1F"/>
        <rFont val="Arial"/>
        <family val="2"/>
      </rPr>
      <t xml:space="preserve"> (Pâtisseries).</t>
    </r>
  </si>
  <si>
    <r>
      <t>Pic annuel Ramadan</t>
    </r>
    <r>
      <rPr>
        <sz val="11"/>
        <color rgb="FF1F1F1F"/>
        <rFont val="Arial"/>
        <family val="2"/>
      </rPr>
      <t>.</t>
    </r>
  </si>
  <si>
    <r>
      <t>RECORD</t>
    </r>
    <r>
      <rPr>
        <sz val="11"/>
        <color rgb="FF1F1F1F"/>
        <rFont val="Arial"/>
        <family val="2"/>
      </rPr>
      <t xml:space="preserve"> : Fête de l'Aïd.</t>
    </r>
  </si>
  <si>
    <t>Post-Aïd</t>
  </si>
  <si>
    <t>Événementiel local.</t>
  </si>
  <si>
    <t>Business/MICE</t>
  </si>
  <si>
    <r>
      <t>Férié</t>
    </r>
    <r>
      <rPr>
        <sz val="11"/>
        <color rgb="FF1F1F1F"/>
        <rFont val="Arial"/>
        <family val="2"/>
      </rPr>
      <t xml:space="preserve"> : Pic de fréquentation.</t>
    </r>
  </si>
  <si>
    <t>Banquet / Mariage.</t>
  </si>
  <si>
    <t>Vacances Europe</t>
  </si>
  <si>
    <t>Début des vacances de Pâques.</t>
  </si>
  <si>
    <t>Préparation weekend Pascal.</t>
  </si>
  <si>
    <t>Samedi Gloria</t>
  </si>
  <si>
    <r>
      <t>Pic Pâtisserie</t>
    </r>
    <r>
      <rPr>
        <sz val="11"/>
        <color rgb="FF1F1F1F"/>
        <rFont val="Arial"/>
        <family val="2"/>
      </rPr>
      <t>.</t>
    </r>
  </si>
  <si>
    <r>
      <t>RECORD DU MOIS</t>
    </r>
    <r>
      <rPr>
        <sz val="11"/>
        <color rgb="FF1F1F1F"/>
        <rFont val="Arial"/>
        <family val="2"/>
      </rPr>
      <t xml:space="preserve"> (Buffet Pâques).</t>
    </r>
  </si>
  <si>
    <t>Lundi de Pâques</t>
  </si>
  <si>
    <t>Départs et loisirs.</t>
  </si>
  <si>
    <t>Préparation Fête du Travail.</t>
  </si>
  <si>
    <t>Pont du 1er mai.</t>
  </si>
  <si>
    <t>Événementiel et mariages.</t>
  </si>
  <si>
    <t>Saison Haute</t>
  </si>
  <si>
    <t>Arrivées charters.</t>
  </si>
  <si>
    <t>Clientèle européenne.</t>
  </si>
  <si>
    <t>Séminaires et banquets.</t>
  </si>
  <si>
    <t>Groupes organisés.</t>
  </si>
  <si>
    <r>
      <t>Saison des mariages</t>
    </r>
    <r>
      <rPr>
        <sz val="11"/>
        <color rgb="FF1F1F1F"/>
        <rFont val="Arial"/>
        <family val="2"/>
      </rPr>
      <t>.</t>
    </r>
  </si>
  <si>
    <t>Buffet familial.</t>
  </si>
  <si>
    <r>
      <t>Gala / Mariage</t>
    </r>
    <r>
      <rPr>
        <sz val="11"/>
        <color rgb="FF1F1F1F"/>
        <rFont val="Arial"/>
        <family val="2"/>
      </rPr>
      <t>.</t>
    </r>
  </si>
  <si>
    <t>Préparation mois de juin.</t>
  </si>
  <si>
    <r>
      <t>Record du mois</t>
    </r>
    <r>
      <rPr>
        <sz val="11"/>
        <color rgb="FF1F1F1F"/>
        <rFont val="Arial"/>
        <family val="2"/>
      </rPr>
      <t>.</t>
    </r>
  </si>
  <si>
    <t>Haute Saison</t>
  </si>
  <si>
    <t>Flux touristique européen.</t>
  </si>
  <si>
    <r>
      <t>Férié</t>
    </r>
    <r>
      <rPr>
        <sz val="11"/>
        <color rgb="FF1F1F1F"/>
        <rFont val="Arial"/>
        <family val="2"/>
      </rPr>
      <t xml:space="preserve"> : Pic annuel de l'Aïd.</t>
    </r>
  </si>
  <si>
    <r>
      <t>RECORD</t>
    </r>
    <r>
      <rPr>
        <sz val="11"/>
        <color rgb="FF1F1F1F"/>
        <rFont val="Arial"/>
        <family val="2"/>
      </rPr>
      <t xml:space="preserve"> : Buffet de fête.</t>
    </r>
  </si>
  <si>
    <t>Weekend Aïd</t>
  </si>
  <si>
    <t>Familles en séjour.</t>
  </si>
  <si>
    <r>
      <t>Mariage / Banquet</t>
    </r>
    <r>
      <rPr>
        <sz val="11"/>
        <color rgb="FF1F1F1F"/>
        <rFont val="Arial"/>
        <family val="2"/>
      </rPr>
      <t>.</t>
    </r>
  </si>
  <si>
    <t>Pleine Saison</t>
  </si>
  <si>
    <t>Tourisme de masse.</t>
  </si>
  <si>
    <t>Buffet fin de mois.</t>
  </si>
  <si>
    <t>Flux estival continu.</t>
  </si>
  <si>
    <r>
      <t>Mariages de prestige</t>
    </r>
    <r>
      <rPr>
        <sz val="11"/>
        <color rgb="FF1F1F1F"/>
        <rFont val="Arial"/>
        <family val="2"/>
      </rPr>
      <t>.</t>
    </r>
  </si>
  <si>
    <t>Buffet dominical géant.</t>
  </si>
  <si>
    <r>
      <t>RECORD LOGISTIQUE</t>
    </r>
    <r>
      <rPr>
        <sz val="11"/>
        <color rgb="FF1F1F1F"/>
        <rFont val="Arial"/>
        <family val="2"/>
      </rPr>
      <t>.</t>
    </r>
  </si>
  <si>
    <r>
      <t>Férié</t>
    </r>
    <r>
      <rPr>
        <sz val="11"/>
        <color rgb="FF1F1F1F"/>
        <rFont val="Arial"/>
        <family val="2"/>
      </rPr>
      <t xml:space="preserve"> : Buffet de fête.</t>
    </r>
  </si>
  <si>
    <t>Rentrée Scolaire</t>
  </si>
  <si>
    <t>Départ des familles tunisiennes.</t>
  </si>
  <si>
    <t>Arrivées Seniors</t>
  </si>
  <si>
    <t>Nouveau flux touristique.</t>
  </si>
  <si>
    <r>
      <t>Mariages de septembre</t>
    </r>
    <r>
      <rPr>
        <sz val="11"/>
        <color rgb="FF1F1F1F"/>
        <rFont val="Arial"/>
        <family val="2"/>
      </rPr>
      <t>.</t>
    </r>
  </si>
  <si>
    <t>Séminaires MICE.</t>
  </si>
  <si>
    <r>
      <t>Événementiel</t>
    </r>
    <r>
      <rPr>
        <sz val="11"/>
        <color rgb="FF1F1F1F"/>
        <rFont val="Arial"/>
        <family val="2"/>
      </rPr>
      <t>.</t>
    </r>
  </si>
  <si>
    <t>Transition douce.</t>
  </si>
  <si>
    <t>Clientèle senior stable.</t>
  </si>
  <si>
    <r>
      <t>Mariages &amp; Réceptions</t>
    </r>
    <r>
      <rPr>
        <sz val="11"/>
        <color rgb="FF1F1F1F"/>
        <rFont val="Arial"/>
        <family val="2"/>
      </rPr>
      <t>.</t>
    </r>
  </si>
  <si>
    <t>Événementiel.</t>
  </si>
  <si>
    <r>
      <t>Férié</t>
    </r>
    <r>
      <rPr>
        <sz val="11"/>
        <color rgb="FF1F1F1F"/>
        <rFont val="Arial"/>
        <family val="2"/>
      </rPr>
      <t xml:space="preserve"> : Pic clientèle locale.</t>
    </r>
  </si>
  <si>
    <t>Vacances Toussaint</t>
  </si>
  <si>
    <t>Arrivées européennes.</t>
  </si>
  <si>
    <t>Weekend Toussaint.</t>
  </si>
  <si>
    <r>
      <t>Banquets massifs</t>
    </r>
    <r>
      <rPr>
        <sz val="11"/>
        <color rgb="FF1F1F1F"/>
        <rFont val="Arial"/>
        <family val="2"/>
      </rPr>
      <t>.</t>
    </r>
  </si>
  <si>
    <t>Fin des vacances.</t>
  </si>
  <si>
    <r>
      <t>Soirée Thématique</t>
    </r>
    <r>
      <rPr>
        <sz val="11"/>
        <color rgb="FF1F1F1F"/>
        <rFont val="Arial"/>
        <family val="2"/>
      </rPr>
      <t>.</t>
    </r>
  </si>
  <si>
    <t>Weekend Toussaint (fin).</t>
  </si>
  <si>
    <t>Arrivées seniors Europe.</t>
  </si>
  <si>
    <t>Clientèle stable.</t>
  </si>
  <si>
    <t>Groupe Corporate.</t>
  </si>
  <si>
    <t>Clôture conférence.</t>
  </si>
  <si>
    <t>Mariage local.</t>
  </si>
  <si>
    <t>Séminaire fin d'année.</t>
  </si>
  <si>
    <r>
      <t>Arbres de Noël (Entreprises)</t>
    </r>
    <r>
      <rPr>
        <sz val="11"/>
        <color rgb="FF1F1F1F"/>
        <rFont val="Arial"/>
        <family val="2"/>
      </rPr>
      <t>.</t>
    </r>
  </si>
  <si>
    <t>Préparation vacances.</t>
  </si>
  <si>
    <r>
      <t>Pic Pâtisserie (Bûches)</t>
    </r>
    <r>
      <rPr>
        <sz val="11"/>
        <color rgb="FF1F1F1F"/>
        <rFont val="Arial"/>
        <family val="2"/>
      </rPr>
      <t>.</t>
    </r>
  </si>
  <si>
    <t>Buffet de Noël.</t>
  </si>
  <si>
    <r>
      <t>RECORD ANNUEL BRUT</t>
    </r>
    <r>
      <rPr>
        <sz val="11"/>
        <color rgb="FF1F1F1F"/>
        <rFont val="Arial"/>
        <family val="2"/>
      </rPr>
      <t>.</t>
    </r>
  </si>
  <si>
    <t>Weekend de départ d'août.</t>
  </si>
  <si>
    <t>Flux touristique maximal.</t>
  </si>
  <si>
    <t>Préparation Fête de la Femme.</t>
  </si>
  <si>
    <t>Fin de saison (départs).</t>
  </si>
  <si>
    <t>Dernier gros weekend.</t>
  </si>
  <si>
    <t>Buffet fin de saison.</t>
  </si>
  <si>
    <r>
      <t>Mariages &amp; Gala</t>
    </r>
    <r>
      <rPr>
        <sz val="11"/>
        <color rgb="FF1F1F1F"/>
        <rFont val="Arial"/>
        <family val="2"/>
      </rPr>
      <t>.</t>
    </r>
  </si>
  <si>
    <r>
      <t>Pic Pâtisserie Été</t>
    </r>
    <r>
      <rPr>
        <sz val="11"/>
        <color rgb="FF1F1F1F"/>
        <rFont val="Arial"/>
        <family val="2"/>
      </rPr>
      <t>.</t>
    </r>
  </si>
  <si>
    <r>
      <t>Pic Clôture Août</t>
    </r>
    <r>
      <rPr>
        <sz val="11"/>
        <color rgb="FF1F1F1F"/>
        <rFont val="Arial"/>
        <family val="2"/>
      </rPr>
      <t>.</t>
    </r>
  </si>
  <si>
    <t>Concorde Marco Polo</t>
  </si>
  <si>
    <t>Buffet de fête (Matin + Midi).</t>
  </si>
  <si>
    <t>Départ des groupes.</t>
  </si>
  <si>
    <t>Mariage ou banquet local.</t>
  </si>
  <si>
    <t>Reprise travail.</t>
  </si>
  <si>
    <t>Soirée thématique.</t>
  </si>
  <si>
    <t>Préparation 14 Janvier.</t>
  </si>
  <si>
    <t>Arrivées Vacances.</t>
  </si>
  <si>
    <r>
      <t>Début Vacances Scolaires</t>
    </r>
    <r>
      <rPr>
        <sz val="11"/>
        <color rgb="FF1F1F1F"/>
        <rFont val="Arial"/>
        <family val="2"/>
      </rPr>
      <t>.</t>
    </r>
  </si>
  <si>
    <t>Familles / Sorties enfants.</t>
  </si>
  <si>
    <t>Buffet vacances.</t>
  </si>
  <si>
    <t>Animation enfants.</t>
  </si>
  <si>
    <t>Pic de pâtisserie (Enfants).</t>
  </si>
  <si>
    <t>Crêpes et goûters enfants.</t>
  </si>
  <si>
    <t>Départs/Arrivées.</t>
  </si>
  <si>
    <t>Buffet simple.</t>
  </si>
  <si>
    <t>Séminaire.</t>
  </si>
  <si>
    <t>Veille Valentin</t>
  </si>
  <si>
    <t>Préparation cuisine.</t>
  </si>
  <si>
    <r>
      <t>Pic Pâtisserie/Dîner</t>
    </r>
    <r>
      <rPr>
        <sz val="11"/>
        <color rgb="FF1F1F1F"/>
        <rFont val="Arial"/>
        <family val="2"/>
      </rPr>
      <t>.</t>
    </r>
  </si>
  <si>
    <t>Groupes seniors.</t>
  </si>
  <si>
    <r>
      <t>Mariage/Banquets</t>
    </r>
    <r>
      <rPr>
        <sz val="11"/>
        <color rgb="FF1F1F1F"/>
        <rFont val="Arial"/>
        <family val="2"/>
      </rPr>
      <t>.</t>
    </r>
  </si>
  <si>
    <t>Transition vers Mars.</t>
  </si>
  <si>
    <t>Veille Ramadan</t>
  </si>
  <si>
    <t>Arrivées pré-Ramadan.</t>
  </si>
  <si>
    <t>Pic Pâtisserie &amp; Briks.</t>
  </si>
  <si>
    <r>
      <t>Fête de la Femme</t>
    </r>
    <r>
      <rPr>
        <sz val="11"/>
        <color rgb="FF1F1F1F"/>
        <rFont val="Arial"/>
        <family val="2"/>
      </rPr>
      <t xml:space="preserve"> + Iftar.</t>
    </r>
  </si>
  <si>
    <t>Buffet Shor.</t>
  </si>
  <si>
    <t>Banquets Ramadan.</t>
  </si>
  <si>
    <r>
      <t>Férié</t>
    </r>
    <r>
      <rPr>
        <sz val="11"/>
        <color rgb="FF1F1F1F"/>
        <rFont val="Arial"/>
        <family val="2"/>
      </rPr>
      <t xml:space="preserve"> : Pic annuel Ramadan.</t>
    </r>
  </si>
  <si>
    <r>
      <t>Pic annuel</t>
    </r>
    <r>
      <rPr>
        <sz val="11"/>
        <color rgb="FF1F1F1F"/>
        <rFont val="Arial"/>
        <family val="2"/>
      </rPr>
      <t>.</t>
    </r>
  </si>
  <si>
    <r>
      <t>RECORD ABSOLU</t>
    </r>
    <r>
      <rPr>
        <sz val="11"/>
        <color rgb="FF1F1F1F"/>
        <rFont val="Arial"/>
        <family val="2"/>
      </rPr>
      <t>.</t>
    </r>
  </si>
  <si>
    <t>Buffet de fête.</t>
  </si>
  <si>
    <t>Fin des séjours de fête.</t>
  </si>
  <si>
    <t>Nettoyage et transition.</t>
  </si>
  <si>
    <r>
      <t>Événementiel local</t>
    </r>
    <r>
      <rPr>
        <sz val="11"/>
        <color rgb="FF1F1F1F"/>
        <rFont val="Arial"/>
        <family val="2"/>
      </rPr>
      <t>.</t>
    </r>
  </si>
  <si>
    <t>Préparation fête Martyrs.</t>
  </si>
  <si>
    <r>
      <t>Férié</t>
    </r>
    <r>
      <rPr>
        <sz val="11"/>
        <color rgb="FF1F1F1F"/>
        <rFont val="Arial"/>
        <family val="2"/>
      </rPr>
      <t xml:space="preserve"> : Pic de sorties locales.</t>
    </r>
  </si>
  <si>
    <r>
      <t>Mariages</t>
    </r>
    <r>
      <rPr>
        <sz val="11"/>
        <color rgb="FF1F1F1F"/>
        <rFont val="Arial"/>
        <family val="2"/>
      </rPr>
      <t>.</t>
    </r>
  </si>
  <si>
    <t>Transition vers Pâques.</t>
  </si>
  <si>
    <t>Vacances Euro</t>
  </si>
  <si>
    <r>
      <t>RECORD DU MOIS</t>
    </r>
    <r>
      <rPr>
        <sz val="11"/>
        <color rgb="FF1F1F1F"/>
        <rFont val="Arial"/>
        <family val="2"/>
      </rPr>
      <t>.</t>
    </r>
  </si>
  <si>
    <t>Départs et buffet midi.</t>
  </si>
  <si>
    <t>Relâchement.</t>
  </si>
  <si>
    <t>Préparation 1er Mai.</t>
  </si>
  <si>
    <t>Flux européen soutenu.</t>
  </si>
  <si>
    <t>Préparation Aïd.</t>
  </si>
  <si>
    <r>
      <t>Férié</t>
    </r>
    <r>
      <rPr>
        <sz val="11"/>
        <color rgb="FF1F1F1F"/>
        <rFont val="Arial"/>
        <family val="2"/>
      </rPr>
      <t xml:space="preserve"> : Pic annuel.</t>
    </r>
  </si>
  <si>
    <t>Weekend été.</t>
  </si>
  <si>
    <r>
      <t>Banquets / Mariages</t>
    </r>
    <r>
      <rPr>
        <sz val="11"/>
        <color rgb="FF1F1F1F"/>
        <rFont val="Arial"/>
        <family val="2"/>
      </rPr>
      <t>.</t>
    </r>
  </si>
  <si>
    <r>
      <t>Férié</t>
    </r>
    <r>
      <rPr>
        <sz val="11"/>
        <color rgb="FF1F1F1F"/>
        <rFont val="Arial"/>
        <family val="2"/>
      </rPr>
      <t xml:space="preserve"> : Pic affluence.</t>
    </r>
  </si>
  <si>
    <t>Weekend local + Algériens.</t>
  </si>
  <si>
    <r>
      <t>Mariages &amp; Soirées Gala</t>
    </r>
    <r>
      <rPr>
        <sz val="11"/>
        <color rgb="FF1F1F1F"/>
        <rFont val="Arial"/>
        <family val="2"/>
      </rPr>
      <t>.</t>
    </r>
  </si>
  <si>
    <t>Fête Nationale FR</t>
  </si>
  <si>
    <t>Clientèle française en fête.</t>
  </si>
  <si>
    <t>Flux continu.</t>
  </si>
  <si>
    <r>
      <t>Mariages XXL</t>
    </r>
    <r>
      <rPr>
        <sz val="11"/>
        <color rgb="FF1F1F1F"/>
        <rFont val="Arial"/>
        <family val="2"/>
      </rPr>
      <t>.</t>
    </r>
  </si>
  <si>
    <t>Préparation République.</t>
  </si>
  <si>
    <r>
      <t>Férié</t>
    </r>
    <r>
      <rPr>
        <sz val="11"/>
        <color rgb="FF1F1F1F"/>
        <rFont val="Arial"/>
        <family val="2"/>
      </rPr>
      <t xml:space="preserve"> : Record affluence.</t>
    </r>
  </si>
  <si>
    <t>Préparation Fête Femme.</t>
  </si>
  <si>
    <t>Arrivée des seniors européens.</t>
  </si>
  <si>
    <r>
      <t>Banquets</t>
    </r>
    <r>
      <rPr>
        <sz val="11"/>
        <color rgb="FF1F1F1F"/>
        <rFont val="Arial"/>
        <family val="2"/>
      </rPr>
      <t>.</t>
    </r>
  </si>
  <si>
    <r>
      <t>Événements privés</t>
    </r>
    <r>
      <rPr>
        <sz val="11"/>
        <color rgb="FF1F1F1F"/>
        <rFont val="Arial"/>
        <family val="2"/>
      </rPr>
      <t>.</t>
    </r>
  </si>
  <si>
    <r>
      <t>Clôture saison mariages</t>
    </r>
    <r>
      <rPr>
        <sz val="11"/>
        <color rgb="FF1F1F1F"/>
        <rFont val="Arial"/>
        <family val="2"/>
      </rPr>
      <t>.</t>
    </r>
  </si>
  <si>
    <t>Bilan Q3.</t>
  </si>
  <si>
    <t>Clientèle senior calme.</t>
  </si>
  <si>
    <r>
      <t>Mariages d'automne</t>
    </r>
    <r>
      <rPr>
        <sz val="11"/>
        <color rgb="FF1F1F1F"/>
        <rFont val="Arial"/>
        <family val="2"/>
      </rPr>
      <t>.</t>
    </r>
  </si>
  <si>
    <t>Arrivées Toussaint.</t>
  </si>
  <si>
    <t>All-inclusive actif.</t>
  </si>
  <si>
    <t>Weekend chargé.</t>
  </si>
  <si>
    <r>
      <t>Grand Banquet</t>
    </r>
    <r>
      <rPr>
        <sz val="11"/>
        <color rgb="FF1F1F1F"/>
        <rFont val="Arial"/>
        <family val="2"/>
      </rPr>
      <t>.</t>
    </r>
  </si>
  <si>
    <t>Veille Halloween</t>
  </si>
  <si>
    <t>Préparation fête.</t>
  </si>
  <si>
    <t>Toussaint (Fin)</t>
  </si>
  <si>
    <t>Derniers départs vacances.</t>
  </si>
  <si>
    <t>Buffet dominical calme.</t>
  </si>
  <si>
    <t>Chute post-vacances.</t>
  </si>
  <si>
    <t>Calme plat.</t>
  </si>
  <si>
    <t>Minimum technique.</t>
  </si>
  <si>
    <t>Séminaire local.</t>
  </si>
  <si>
    <r>
      <t>Mariage d'hiver</t>
    </r>
    <r>
      <rPr>
        <sz val="11"/>
        <color rgb="FF1F1F1F"/>
        <rFont val="Arial"/>
        <family val="2"/>
      </rPr>
      <t>.</t>
    </r>
  </si>
  <si>
    <r>
      <t>Creux du mois</t>
    </r>
    <r>
      <rPr>
        <sz val="11"/>
        <color rgb="FF1F1F1F"/>
        <rFont val="Arial"/>
        <family val="2"/>
      </rPr>
      <t>.</t>
    </r>
  </si>
  <si>
    <t>Banquet privé.</t>
  </si>
  <si>
    <t>Arrivée petits groupes.</t>
  </si>
  <si>
    <r>
      <t>Soirée thématique</t>
    </r>
    <r>
      <rPr>
        <sz val="11"/>
        <color rgb="FF1F1F1F"/>
        <rFont val="Arial"/>
        <family val="2"/>
      </rPr>
      <t>.</t>
    </r>
  </si>
  <si>
    <t>Brunch de Gala (Pâtisserie fine).</t>
  </si>
  <si>
    <t>Clientèle senior fidèle.</t>
  </si>
  <si>
    <t>Buffet thématique.</t>
  </si>
  <si>
    <t>Régularité seniors.</t>
  </si>
  <si>
    <t>Golfeurs (Protéines ++).</t>
  </si>
  <si>
    <t>Séjours longs.</t>
  </si>
  <si>
    <t>Soirée spéciale.</t>
  </si>
  <si>
    <t>Creux de mois.</t>
  </si>
  <si>
    <t>Minimum.</t>
  </si>
  <si>
    <t>Arrivées vacances.</t>
  </si>
  <si>
    <r>
      <t>Début Vacances Hiver</t>
    </r>
    <r>
      <rPr>
        <sz val="11"/>
        <color rgb="FF1F1F1F"/>
        <rFont val="Arial"/>
        <family val="2"/>
      </rPr>
      <t>.</t>
    </r>
  </si>
  <si>
    <t>Familles européennes.</t>
  </si>
  <si>
    <t>Vacances Hiver</t>
  </si>
  <si>
    <t>Pic pâtisserie.</t>
  </si>
  <si>
    <t>Saison Calme</t>
  </si>
  <si>
    <t>Départ des familles.</t>
  </si>
  <si>
    <t>Clientèle Senior.</t>
  </si>
  <si>
    <t>Golfeurs.</t>
  </si>
  <si>
    <t>Veille St-Val.</t>
  </si>
  <si>
    <t>Arrivées couples.</t>
  </si>
  <si>
    <r>
      <t>Pic Pâtisserie &amp; Gala</t>
    </r>
    <r>
      <rPr>
        <sz val="11"/>
        <color rgb="FF1F1F1F"/>
        <rFont val="Arial"/>
        <family val="2"/>
      </rPr>
      <t>.</t>
    </r>
  </si>
  <si>
    <t>Préparation Ramadan.</t>
  </si>
  <si>
    <t>Iftar premium &amp; Pâtisserie.</t>
  </si>
  <si>
    <t>Golfeurs (non-jeûneurs).</t>
  </si>
  <si>
    <r>
      <t>Iftar Spécial Femme</t>
    </r>
    <r>
      <rPr>
        <sz val="11"/>
        <color rgb="FF1F1F1F"/>
        <rFont val="Arial"/>
        <family val="2"/>
      </rPr>
      <t>.</t>
    </r>
  </si>
  <si>
    <r>
      <t>Férié</t>
    </r>
    <r>
      <rPr>
        <sz val="11"/>
        <color rgb="FF1F1F1F"/>
        <rFont val="Arial"/>
        <family val="2"/>
      </rPr>
      <t xml:space="preserve"> : Pic Iftar.</t>
    </r>
  </si>
  <si>
    <t>Mariages/Banquets.</t>
  </si>
  <si>
    <t>Préparation fin Ramadan.</t>
  </si>
  <si>
    <r>
      <t>Nuit du Destin</t>
    </r>
    <r>
      <rPr>
        <sz val="11"/>
        <color rgb="FF1F1F1F"/>
        <rFont val="Arial"/>
        <family val="2"/>
      </rPr>
      <t>.</t>
    </r>
  </si>
  <si>
    <r>
      <t>Pic Pâtisserie Aïd</t>
    </r>
    <r>
      <rPr>
        <sz val="11"/>
        <color rgb="FF1F1F1F"/>
        <rFont val="Arial"/>
        <family val="2"/>
      </rPr>
      <t>.</t>
    </r>
  </si>
  <si>
    <t>Transition clientèle.</t>
  </si>
  <si>
    <t>Préparation Martyrs.</t>
  </si>
  <si>
    <r>
      <t>Férié</t>
    </r>
    <r>
      <rPr>
        <sz val="11"/>
        <color rgb="FF1F1F1F"/>
        <rFont val="Arial"/>
        <family val="2"/>
      </rPr>
      <t xml:space="preserve"> : Pic local.</t>
    </r>
  </si>
  <si>
    <t>Arrivées TUI/Thomas Cook.</t>
  </si>
  <si>
    <t>Flux européen stable.</t>
  </si>
  <si>
    <r>
      <t>Pic Pâques</t>
    </r>
    <r>
      <rPr>
        <sz val="11"/>
        <color rgb="FF1F1F1F"/>
        <rFont val="Arial"/>
        <family val="2"/>
      </rPr>
      <t>.</t>
    </r>
  </si>
  <si>
    <r>
      <t>Pâtisserie Pascal</t>
    </r>
    <r>
      <rPr>
        <sz val="11"/>
        <color rgb="FF1F1F1F"/>
        <rFont val="Arial"/>
        <family val="2"/>
      </rPr>
      <t>.</t>
    </r>
  </si>
  <si>
    <t>Buffet midi.</t>
  </si>
  <si>
    <r>
      <t>Férié</t>
    </r>
    <r>
      <rPr>
        <sz val="11"/>
        <color rgb="FF1F1F1F"/>
        <rFont val="Arial"/>
        <family val="2"/>
      </rPr>
      <t xml:space="preserve"> : Brunch local + Euro.</t>
    </r>
  </si>
  <si>
    <t>Weekend pont</t>
  </si>
  <si>
    <t>Clientèle régionale.</t>
  </si>
  <si>
    <t>Arrivées circuits.</t>
  </si>
  <si>
    <t>Tourisme régulier.</t>
  </si>
  <si>
    <t>Séminaire MICE.</t>
  </si>
  <si>
    <r>
      <t>Événementiel majeur</t>
    </r>
    <r>
      <rPr>
        <sz val="11"/>
        <color rgb="FF1F1F1F"/>
        <rFont val="Arial"/>
        <family val="2"/>
      </rPr>
      <t>.</t>
    </r>
  </si>
  <si>
    <t>Reprise flux.</t>
  </si>
  <si>
    <r>
      <t>Mariage Prestige</t>
    </r>
    <r>
      <rPr>
        <sz val="11"/>
        <color rgb="FF1F1F1F"/>
        <rFont val="Arial"/>
        <family val="2"/>
      </rPr>
      <t>.</t>
    </r>
  </si>
  <si>
    <r>
      <t>Férié</t>
    </r>
    <r>
      <rPr>
        <sz val="11"/>
        <color rgb="FF1F1F1F"/>
        <rFont val="Arial"/>
        <family val="2"/>
      </rPr>
      <t xml:space="preserve"> : Iftar/Brunch prestige.</t>
    </r>
  </si>
  <si>
    <r>
      <t>Pic Pâtisserie de Fête</t>
    </r>
    <r>
      <rPr>
        <sz val="11"/>
        <color rgb="FF1F1F1F"/>
        <rFont val="Arial"/>
        <family val="2"/>
      </rPr>
      <t>.</t>
    </r>
  </si>
  <si>
    <t>Buffet Dominical.</t>
  </si>
  <si>
    <t>Weekend Souveraineté.</t>
  </si>
  <si>
    <t>Weekend local + Euro.</t>
  </si>
  <si>
    <r>
      <t>Mariage de Prestige</t>
    </r>
    <r>
      <rPr>
        <sz val="11"/>
        <color rgb="FF1F1F1F"/>
        <rFont val="Arial"/>
        <family val="2"/>
      </rPr>
      <t>.</t>
    </r>
  </si>
  <si>
    <t>Entretien des flux.</t>
  </si>
  <si>
    <r>
      <t>Pic Pâtisserie Fine</t>
    </r>
    <r>
      <rPr>
        <sz val="11"/>
        <color rgb="FF1F1F1F"/>
        <rFont val="Arial"/>
        <family val="2"/>
      </rPr>
      <t>.</t>
    </r>
  </si>
  <si>
    <t>Soirée spéciale (Clients FR).</t>
  </si>
  <si>
    <r>
      <t>Réception VIP</t>
    </r>
    <r>
      <rPr>
        <sz val="11"/>
        <color rgb="FF1F1F1F"/>
        <rFont val="Arial"/>
        <family val="2"/>
      </rPr>
      <t>.</t>
    </r>
  </si>
  <si>
    <r>
      <t>Férié</t>
    </r>
    <r>
      <rPr>
        <sz val="11"/>
        <color rgb="FF1F1F1F"/>
        <rFont val="Arial"/>
        <family val="2"/>
      </rPr>
      <t xml:space="preserve"> : Buffet Gala.</t>
    </r>
  </si>
  <si>
    <r>
      <t>Banquets d'été</t>
    </r>
    <r>
      <rPr>
        <sz val="11"/>
        <color rgb="FF1F1F1F"/>
        <rFont val="Arial"/>
        <family val="2"/>
      </rPr>
      <t>.</t>
    </r>
  </si>
  <si>
    <t>Transition Août</t>
  </si>
  <si>
    <t>Chaleur intense.</t>
  </si>
  <si>
    <r>
      <t>Férié</t>
    </r>
    <r>
      <rPr>
        <sz val="11"/>
        <color rgb="FF1F1F1F"/>
        <rFont val="Arial"/>
        <family val="2"/>
      </rPr>
      <t xml:space="preserve"> : Buffet Premium.</t>
    </r>
  </si>
  <si>
    <r>
      <t>Réception Prestige</t>
    </r>
    <r>
      <rPr>
        <sz val="11"/>
        <color rgb="FF1F1F1F"/>
        <rFont val="Arial"/>
        <family val="2"/>
      </rPr>
      <t>.</t>
    </r>
  </si>
  <si>
    <r>
      <t>Banquet d'été</t>
    </r>
    <r>
      <rPr>
        <sz val="11"/>
        <color rgb="FF1F1F1F"/>
        <rFont val="Arial"/>
        <family val="2"/>
      </rPr>
      <t>.</t>
    </r>
  </si>
  <si>
    <t>Légère baisse.</t>
  </si>
  <si>
    <r>
      <t>Clôture Août (Mariages)</t>
    </r>
    <r>
      <rPr>
        <sz val="11"/>
        <color rgb="FF1F1F1F"/>
        <rFont val="Arial"/>
        <family val="2"/>
      </rPr>
      <t>.</t>
    </r>
  </si>
  <si>
    <t>Rentrée</t>
  </si>
  <si>
    <t>Clientèle Senior s'installe.</t>
  </si>
  <si>
    <t>Weekend européen.</t>
  </si>
  <si>
    <r>
      <t>Mariage de Septembre</t>
    </r>
    <r>
      <rPr>
        <sz val="11"/>
        <color rgb="FF1F1F1F"/>
        <rFont val="Arial"/>
        <family val="2"/>
      </rPr>
      <t>.</t>
    </r>
  </si>
  <si>
    <r>
      <t>Banquets d'automne</t>
    </r>
    <r>
      <rPr>
        <sz val="11"/>
        <color rgb="FF1F1F1F"/>
        <rFont val="Arial"/>
        <family val="2"/>
      </rPr>
      <t>.</t>
    </r>
  </si>
  <si>
    <r>
      <t>Derniers grands mariages</t>
    </r>
    <r>
      <rPr>
        <sz val="11"/>
        <color rgb="FF1F1F1F"/>
        <rFont val="Arial"/>
        <family val="2"/>
      </rPr>
      <t>.</t>
    </r>
  </si>
  <si>
    <t>Seniors &amp; Golfeurs.</t>
  </si>
  <si>
    <t>Flux Toussaint.</t>
  </si>
  <si>
    <r>
      <t>Gala de saison</t>
    </r>
    <r>
      <rPr>
        <sz val="11"/>
        <color rgb="FF1F1F1F"/>
        <rFont val="Arial"/>
        <family val="2"/>
      </rPr>
      <t>.</t>
    </r>
  </si>
  <si>
    <r>
      <t>Dîner Thématique</t>
    </r>
    <r>
      <rPr>
        <sz val="11"/>
        <color rgb="FF1F1F1F"/>
        <rFont val="Arial"/>
        <family val="2"/>
      </rPr>
      <t>.</t>
    </r>
  </si>
  <si>
    <t>Arrivée des résidents hiver.</t>
  </si>
  <si>
    <t>Clientèle de détente.</t>
  </si>
  <si>
    <r>
      <t>Banquet privé</t>
    </r>
    <r>
      <rPr>
        <sz val="11"/>
        <color rgb="FF1F1F1F"/>
        <rFont val="Arial"/>
        <family val="2"/>
      </rPr>
      <t>.</t>
    </r>
  </si>
  <si>
    <r>
      <t>Banquet d'entreprise</t>
    </r>
    <r>
      <rPr>
        <sz val="11"/>
        <color rgb="FF1F1F1F"/>
        <rFont val="Arial"/>
        <family val="2"/>
      </rPr>
      <t>.</t>
    </r>
  </si>
  <si>
    <t>Arrivées pré-vacances.</t>
  </si>
  <si>
    <r>
      <t>Début Vacances</t>
    </r>
    <r>
      <rPr>
        <sz val="11"/>
        <color rgb="FF1F1F1F"/>
        <rFont val="Arial"/>
        <family val="2"/>
      </rPr>
      <t>.</t>
    </r>
  </si>
  <si>
    <t>Mise en place Noël.</t>
  </si>
  <si>
    <r>
      <t>Gala : Bûches &amp; Entremets</t>
    </r>
    <r>
      <rPr>
        <sz val="11"/>
        <color rgb="FF1F1F1F"/>
        <rFont val="Arial"/>
        <family val="2"/>
      </rPr>
      <t>.</t>
    </r>
  </si>
  <si>
    <t>Petit-déj de fête.</t>
  </si>
  <si>
    <t>Weekend Vac.</t>
  </si>
  <si>
    <t>Pré-Réveillon</t>
  </si>
  <si>
    <t>Préparation Sylvestre.</t>
  </si>
  <si>
    <t>SYLVESTRE</t>
  </si>
  <si>
    <r>
      <t>RECORD ANNUEL</t>
    </r>
    <r>
      <rPr>
        <sz val="11"/>
        <color rgb="FF1F1F1F"/>
        <rFont val="Arial"/>
        <family val="2"/>
      </rPr>
      <t>.</t>
    </r>
  </si>
  <si>
    <t>Brunch de la nouvelle année.</t>
  </si>
  <si>
    <t>Repos des curistes.</t>
  </si>
  <si>
    <t>Arrivées weekend national.</t>
  </si>
  <si>
    <r>
      <t>Banquet / Mariage</t>
    </r>
    <r>
      <rPr>
        <sz val="11"/>
        <color rgb="FF1F1F1F"/>
        <rFont val="Arial"/>
        <family val="2"/>
      </rPr>
      <t>.</t>
    </r>
  </si>
  <si>
    <t>Thalasso / Senior</t>
  </si>
  <si>
    <t>Clientèle bien-être.</t>
  </si>
  <si>
    <r>
      <t>Férié</t>
    </r>
    <r>
      <rPr>
        <sz val="11"/>
        <color rgb="FF1F1F1F"/>
        <rFont val="Arial"/>
        <family val="2"/>
      </rPr>
      <t xml:space="preserve"> : Sorties locales.</t>
    </r>
  </si>
  <si>
    <t>Reprise soins Thalasso.</t>
  </si>
  <si>
    <t>Banquet.</t>
  </si>
  <si>
    <t>Pré-vacances.</t>
  </si>
  <si>
    <t>Familles &amp; Enfants (Crêpes++).</t>
  </si>
  <si>
    <t>Goûter bungalows.</t>
  </si>
  <si>
    <t>Flux soutenu.</t>
  </si>
  <si>
    <t>Weekend de fin de mois.</t>
  </si>
  <si>
    <t>Pic familles (Crêpes/Gâteaux).</t>
  </si>
  <si>
    <t>Dernier brunch vacances.</t>
  </si>
  <si>
    <t>Reprise Thalasso calme.</t>
  </si>
  <si>
    <t>Clientèle senior.</t>
  </si>
  <si>
    <t>Mise en place pâtisserie.</t>
  </si>
  <si>
    <r>
      <t>Dîner Gala (Record Pâtisserie)</t>
    </r>
    <r>
      <rPr>
        <sz val="11"/>
        <color rgb="FF1F1F1F"/>
        <rFont val="Arial"/>
        <family val="2"/>
      </rPr>
      <t>.</t>
    </r>
  </si>
  <si>
    <t>Thalasso.</t>
  </si>
  <si>
    <t>Arrivées locales pré-jeûne.</t>
  </si>
  <si>
    <t>Iftar premium &amp; Brik.</t>
  </si>
  <si>
    <t>Curistes Thalasso.</t>
  </si>
  <si>
    <t>Banquets Iftar.</t>
  </si>
  <si>
    <t>Soirées Ramadan.</t>
  </si>
  <si>
    <r>
      <t>Pâtisserie Aïd</t>
    </r>
    <r>
      <rPr>
        <sz val="11"/>
        <color rgb="FF1F1F1F"/>
        <rFont val="Arial"/>
        <family val="2"/>
      </rPr>
      <t>.</t>
    </r>
  </si>
  <si>
    <t>Transition clients.</t>
  </si>
  <si>
    <t>Arrivées TUI / France.</t>
  </si>
  <si>
    <t>Flux européen.</t>
  </si>
  <si>
    <t>Activité Thalasso ++.</t>
  </si>
  <si>
    <t>Arrivées Thalasso.</t>
  </si>
  <si>
    <t>Curistes européens.</t>
  </si>
  <si>
    <r>
      <t>Mariage XXL</t>
    </r>
    <r>
      <rPr>
        <sz val="11"/>
        <color rgb="FF1F1F1F"/>
        <rFont val="Arial"/>
        <family val="2"/>
      </rPr>
      <t>.</t>
    </r>
  </si>
  <si>
    <t>Weekend pré-juin.</t>
  </si>
  <si>
    <r>
      <t>Férié</t>
    </r>
    <r>
      <rPr>
        <sz val="11"/>
        <color rgb="FF1F1F1F"/>
        <rFont val="Arial"/>
        <family val="2"/>
      </rPr>
      <t xml:space="preserve"> : Iftar/Brunch.</t>
    </r>
  </si>
  <si>
    <t>Flux international.</t>
  </si>
  <si>
    <r>
      <t>Mariage &amp; Réception</t>
    </r>
    <r>
      <rPr>
        <sz val="11"/>
        <color rgb="FF1F1F1F"/>
        <rFont val="Arial"/>
        <family val="2"/>
      </rPr>
      <t>.</t>
    </r>
  </si>
  <si>
    <t>Clôture semestre.</t>
  </si>
  <si>
    <t>Fête Nat. FR</t>
  </si>
  <si>
    <t>Flux maximal.</t>
  </si>
  <si>
    <t>Arrivées seniors.</t>
  </si>
  <si>
    <t>Flux thalasso.</t>
  </si>
  <si>
    <t>Activité spa stable.</t>
  </si>
  <si>
    <r>
      <t>Mariage d'automne</t>
    </r>
    <r>
      <rPr>
        <sz val="11"/>
        <color rgb="FF1F1F1F"/>
        <rFont val="Arial"/>
        <family val="2"/>
      </rPr>
      <t>.</t>
    </r>
  </si>
  <si>
    <r>
      <t>Banquets de saison</t>
    </r>
    <r>
      <rPr>
        <sz val="11"/>
        <color rgb="FF1F1F1F"/>
        <rFont val="Arial"/>
        <family val="2"/>
      </rPr>
      <t>.</t>
    </r>
  </si>
  <si>
    <r>
      <t>Mariage/Gala</t>
    </r>
    <r>
      <rPr>
        <sz val="11"/>
        <color rgb="FF1F1F1F"/>
        <rFont val="Arial"/>
        <family val="2"/>
      </rPr>
      <t>.</t>
    </r>
  </si>
  <si>
    <t>Seniors &amp; Thalasso.</t>
  </si>
  <si>
    <r>
      <t>Banquet / Réception</t>
    </r>
    <r>
      <rPr>
        <sz val="11"/>
        <color rgb="FF1F1F1F"/>
        <rFont val="Arial"/>
        <family val="2"/>
      </rPr>
      <t>.</t>
    </r>
  </si>
  <si>
    <t>Préparation Toussaint.</t>
  </si>
  <si>
    <t>Fin Toussaint</t>
  </si>
  <si>
    <t>Derniers départs familles.</t>
  </si>
  <si>
    <t>Arrivée des curistes.</t>
  </si>
  <si>
    <t>Thalasso &amp; Repos.</t>
  </si>
  <si>
    <t>Séminaire médical.</t>
  </si>
  <si>
    <r>
      <t>Banquet d'hiver</t>
    </r>
    <r>
      <rPr>
        <sz val="11"/>
        <color rgb="FF1F1F1F"/>
        <rFont val="Arial"/>
        <family val="2"/>
      </rPr>
      <t>.</t>
    </r>
  </si>
  <si>
    <t>Soirée détente.</t>
  </si>
  <si>
    <r>
      <t>Réception privée</t>
    </r>
    <r>
      <rPr>
        <sz val="11"/>
        <color rgb="FF1F1F1F"/>
        <rFont val="Arial"/>
        <family val="2"/>
      </rPr>
      <t>.</t>
    </r>
  </si>
  <si>
    <t>Curistes seniors.</t>
  </si>
  <si>
    <t>Calme Thalasso.</t>
  </si>
  <si>
    <t>Familles &amp; Curistes.</t>
  </si>
  <si>
    <r>
      <t>Événement d'entreprise</t>
    </r>
    <r>
      <rPr>
        <sz val="11"/>
        <color rgb="FF1F1F1F"/>
        <rFont val="Arial"/>
        <family val="2"/>
      </rPr>
      <t>.</t>
    </r>
  </si>
  <si>
    <t>Familles tunisiennes.</t>
  </si>
  <si>
    <t>Clientèle algérienne.</t>
  </si>
  <si>
    <r>
      <t>Gala de Noël</t>
    </r>
    <r>
      <rPr>
        <sz val="11"/>
        <color rgb="FF1F1F1F"/>
        <rFont val="Arial"/>
        <family val="2"/>
      </rPr>
      <t>.</t>
    </r>
  </si>
  <si>
    <t>Grosses arrivées.</t>
  </si>
  <si>
    <t xml:space="preserve">Sentido Phenecia </t>
  </si>
  <si>
    <t xml:space="preserve">Bel Azur Thalasso </t>
  </si>
  <si>
    <t xml:space="preserve">Hotel </t>
  </si>
  <si>
    <t>Brunch de masse (récupération).</t>
  </si>
  <si>
    <t>Départs massifs.</t>
  </si>
  <si>
    <r>
      <t>Séminaire / Banquet</t>
    </r>
    <r>
      <rPr>
        <sz val="11"/>
        <color rgb="FF1F1F1F"/>
        <rFont val="Arial"/>
        <family val="2"/>
      </rPr>
      <t>.</t>
    </r>
  </si>
  <si>
    <t>Séminaire d'entreprise.</t>
  </si>
  <si>
    <r>
      <t>Événement social</t>
    </r>
    <r>
      <rPr>
        <sz val="11"/>
        <color rgb="FF1F1F1F"/>
        <rFont val="Arial"/>
        <family val="2"/>
      </rPr>
      <t>.</t>
    </r>
  </si>
  <si>
    <r>
      <t>Pic Familles (Crêpes++)</t>
    </r>
    <r>
      <rPr>
        <sz val="11"/>
        <color rgb="FF1F1F1F"/>
        <rFont val="Arial"/>
        <family val="2"/>
      </rPr>
      <t>.</t>
    </r>
  </si>
  <si>
    <t>Buffet enfants.</t>
  </si>
  <si>
    <t>Activités All-in.</t>
  </si>
  <si>
    <r>
      <t>Pic Familles</t>
    </r>
    <r>
      <rPr>
        <sz val="11"/>
        <color rgb="FF1F1F1F"/>
        <rFont val="Arial"/>
        <family val="2"/>
      </rPr>
      <t xml:space="preserve"> (Crêpes &amp; Beignets).</t>
    </r>
  </si>
  <si>
    <t>Fin des vacances scolaires.</t>
  </si>
  <si>
    <t>Départs massifs / Nettoyage.</t>
  </si>
  <si>
    <t>Calme technique.</t>
  </si>
  <si>
    <t>Congrès d'entreprise.</t>
  </si>
  <si>
    <t>Weekend national.</t>
  </si>
  <si>
    <r>
      <t>Banquet / Mariage local</t>
    </r>
    <r>
      <rPr>
        <sz val="11"/>
        <color rgb="FF1F1F1F"/>
        <rFont val="Arial"/>
        <family val="2"/>
      </rPr>
      <t>.</t>
    </r>
  </si>
  <si>
    <t>Arrivées couples locaux.</t>
  </si>
  <si>
    <r>
      <t>Soirée thématique / Gala</t>
    </r>
    <r>
      <rPr>
        <sz val="11"/>
        <color rgb="FF1F1F1F"/>
        <rFont val="Arial"/>
        <family val="2"/>
      </rPr>
      <t>.</t>
    </r>
  </si>
  <si>
    <t>Brunch des couples.</t>
  </si>
  <si>
    <t>Groupe associatif.</t>
  </si>
  <si>
    <t>Logistique cuisine.</t>
  </si>
  <si>
    <r>
      <t>Dernier repas avant jeûne</t>
    </r>
    <r>
      <rPr>
        <sz val="11"/>
        <color rgb="FF1F1F1F"/>
        <rFont val="Arial"/>
        <family val="2"/>
      </rPr>
      <t>.</t>
    </r>
  </si>
  <si>
    <r>
      <t>Iftar : Pic de Briks</t>
    </r>
    <r>
      <rPr>
        <sz val="11"/>
        <color rgb="FF1F1F1F"/>
        <rFont val="Arial"/>
        <family val="2"/>
      </rPr>
      <t>.</t>
    </r>
  </si>
  <si>
    <t>Séminaire (non-jeûneurs).</t>
  </si>
  <si>
    <t>Arrivées pour Iftar weekend.</t>
  </si>
  <si>
    <r>
      <t>Dîner de Gala / Iftar</t>
    </r>
    <r>
      <rPr>
        <sz val="11"/>
        <color rgb="FF1F1F1F"/>
        <rFont val="Arial"/>
        <family val="2"/>
      </rPr>
      <t>.</t>
    </r>
  </si>
  <si>
    <t>Buffet Shor &amp; Iftar.</t>
  </si>
  <si>
    <r>
      <t>Férié</t>
    </r>
    <r>
      <rPr>
        <sz val="11"/>
        <color rgb="FF1F1F1F"/>
        <rFont val="Arial"/>
        <family val="2"/>
      </rPr>
      <t xml:space="preserve"> : Gros flux Iftar.</t>
    </r>
  </si>
  <si>
    <t>Arrivées Aïd.</t>
  </si>
  <si>
    <r>
      <t>Iftar sacré (Briks++)</t>
    </r>
    <r>
      <rPr>
        <sz val="11"/>
        <color rgb="FF1F1F1F"/>
        <rFont val="Arial"/>
        <family val="2"/>
      </rPr>
      <t>.</t>
    </r>
  </si>
  <si>
    <r>
      <t>Pâtisserie massive</t>
    </r>
    <r>
      <rPr>
        <sz val="11"/>
        <color rgb="FF1F1F1F"/>
        <rFont val="Arial"/>
        <family val="2"/>
      </rPr>
      <t>.</t>
    </r>
  </si>
  <si>
    <r>
      <t>Grand Séminaire / Mariage</t>
    </r>
    <r>
      <rPr>
        <sz val="11"/>
        <color rgb="FF1F1F1F"/>
        <rFont val="Arial"/>
        <family val="2"/>
      </rPr>
      <t>.</t>
    </r>
  </si>
  <si>
    <r>
      <t>Banquet associatif</t>
    </r>
    <r>
      <rPr>
        <sz val="11"/>
        <color rgb="FF1F1F1F"/>
        <rFont val="Arial"/>
        <family val="2"/>
      </rPr>
      <t>.</t>
    </r>
  </si>
  <si>
    <t>Flux All-In.</t>
  </si>
  <si>
    <r>
      <t>Weekend de Pâques</t>
    </r>
    <r>
      <rPr>
        <sz val="11"/>
        <color rgb="FF1F1F1F"/>
        <rFont val="Arial"/>
        <family val="2"/>
      </rPr>
      <t>.</t>
    </r>
  </si>
  <si>
    <r>
      <t>Gala Pâques (Buffet)</t>
    </r>
    <r>
      <rPr>
        <sz val="11"/>
        <color rgb="FF1F1F1F"/>
        <rFont val="Arial"/>
        <family val="2"/>
      </rPr>
      <t>.</t>
    </r>
  </si>
  <si>
    <t>Brunch de départ.</t>
  </si>
  <si>
    <r>
      <t>Férié</t>
    </r>
    <r>
      <rPr>
        <sz val="11"/>
        <color rgb="FF1F1F1F"/>
        <rFont val="Arial"/>
        <family val="2"/>
      </rPr>
      <t xml:space="preserve"> : Pic familles.</t>
    </r>
  </si>
  <si>
    <r>
      <t>Grand Mariage / Banquet</t>
    </r>
    <r>
      <rPr>
        <sz val="11"/>
        <color rgb="FF1F1F1F"/>
        <rFont val="Arial"/>
        <family val="2"/>
      </rPr>
      <t>.</t>
    </r>
  </si>
  <si>
    <t>Arrivées Séminaires.</t>
  </si>
  <si>
    <t>Fin de congrès.</t>
  </si>
  <si>
    <t>Flux régulier All-In.</t>
  </si>
  <si>
    <r>
      <t>Mariage / Gala</t>
    </r>
    <r>
      <rPr>
        <sz val="11"/>
        <color rgb="FF1F1F1F"/>
        <rFont val="Arial"/>
        <family val="2"/>
      </rPr>
      <t>.</t>
    </r>
  </si>
  <si>
    <r>
      <t>RECORD DU MOIS (Gala)</t>
    </r>
    <r>
      <rPr>
        <sz val="11"/>
        <color rgb="FF1F1F1F"/>
        <rFont val="Arial"/>
        <family val="2"/>
      </rPr>
      <t>.</t>
    </r>
  </si>
  <si>
    <r>
      <t>Férié</t>
    </r>
    <r>
      <rPr>
        <sz val="11"/>
        <color rgb="FF1F1F1F"/>
        <rFont val="Arial"/>
        <family val="2"/>
      </rPr>
      <t xml:space="preserve"> : Pic pâtisserie.</t>
    </r>
  </si>
  <si>
    <r>
      <t>RECORD AÏD</t>
    </r>
    <r>
      <rPr>
        <sz val="11"/>
        <color rgb="FF1F1F1F"/>
        <rFont val="Arial"/>
        <family val="2"/>
      </rPr>
      <t>.</t>
    </r>
  </si>
  <si>
    <t>Séminaire fin saison.</t>
  </si>
  <si>
    <t>Weekend familles.</t>
  </si>
  <si>
    <t>Tourisme massif.</t>
  </si>
  <si>
    <t>Clôture Juin.</t>
  </si>
  <si>
    <t>Flux estival massif.</t>
  </si>
  <si>
    <t>Arrivées week-end.</t>
  </si>
  <si>
    <t>Forte affluence locale.</t>
  </si>
  <si>
    <r>
      <t>Mariage / Soirée Gala</t>
    </r>
    <r>
      <rPr>
        <sz val="11"/>
        <color rgb="FF1F1F1F"/>
        <rFont val="Arial"/>
        <family val="2"/>
      </rPr>
      <t>.</t>
    </r>
  </si>
  <si>
    <r>
      <t>Pic Pâtisserie Buffet</t>
    </r>
    <r>
      <rPr>
        <sz val="11"/>
        <color rgb="FF1F1F1F"/>
        <rFont val="Arial"/>
        <family val="2"/>
      </rPr>
      <t>.</t>
    </r>
  </si>
  <si>
    <r>
      <t>Férié : Buffet de Fête</t>
    </r>
    <r>
      <rPr>
        <sz val="11"/>
        <color rgb="FF1F1F1F"/>
        <rFont val="Arial"/>
        <family val="2"/>
      </rPr>
      <t>.</t>
    </r>
  </si>
  <si>
    <t>Chaleur record.</t>
  </si>
  <si>
    <t>Flux maximal continu.</t>
  </si>
  <si>
    <t>All-Inclusive total.</t>
  </si>
  <si>
    <t>Transition fin août.</t>
  </si>
  <si>
    <t>Buffet de clôture.</t>
  </si>
  <si>
    <r>
      <t>Pic Pâtisserie Annuel</t>
    </r>
    <r>
      <rPr>
        <sz val="11"/>
        <color rgb="FF1F1F1F"/>
        <rFont val="Arial"/>
        <family val="2"/>
      </rPr>
      <t>.</t>
    </r>
  </si>
  <si>
    <r>
      <t>Férié : Buffet de Gala</t>
    </r>
    <r>
      <rPr>
        <sz val="11"/>
        <color rgb="FF1F1F1F"/>
        <rFont val="Arial"/>
        <family val="2"/>
      </rPr>
      <t>.</t>
    </r>
  </si>
  <si>
    <r>
      <t>Gala d'Août</t>
    </r>
    <r>
      <rPr>
        <sz val="11"/>
        <color rgb="FF1F1F1F"/>
        <rFont val="Arial"/>
        <family val="2"/>
      </rPr>
      <t>.</t>
    </r>
  </si>
  <si>
    <t>**95%</t>
  </si>
  <si>
    <t>Seniors &amp; Travail.</t>
  </si>
  <si>
    <r>
      <t>Congrès d'entreprise</t>
    </r>
    <r>
      <rPr>
        <sz val="11"/>
        <color rgb="FF1F1F1F"/>
        <rFont val="Arial"/>
        <family val="2"/>
      </rPr>
      <t>.</t>
    </r>
  </si>
  <si>
    <t>Séminaire national.</t>
  </si>
  <si>
    <r>
      <t>Grand Gala</t>
    </r>
    <r>
      <rPr>
        <sz val="11"/>
        <color rgb="FF1F1F1F"/>
        <rFont val="Arial"/>
        <family val="2"/>
      </rPr>
      <t>.</t>
    </r>
  </si>
  <si>
    <t>Préparation Évacuation.</t>
  </si>
  <si>
    <r>
      <t>Férié</t>
    </r>
    <r>
      <rPr>
        <sz val="11"/>
        <color rgb="FF1F1F1F"/>
        <rFont val="Arial"/>
        <family val="2"/>
      </rPr>
      <t xml:space="preserve"> : Pic tunisien.</t>
    </r>
  </si>
  <si>
    <t>Flux All-In continu.</t>
  </si>
  <si>
    <t>Séminaire + Vacances.</t>
  </si>
  <si>
    <t>Préparation.</t>
  </si>
  <si>
    <r>
      <t>Buffet Thématique</t>
    </r>
    <r>
      <rPr>
        <sz val="11"/>
        <color rgb="FF1F1F1F"/>
        <rFont val="Arial"/>
        <family val="2"/>
      </rPr>
      <t>.</t>
    </r>
  </si>
  <si>
    <r>
      <t>Congrès syndical</t>
    </r>
    <r>
      <rPr>
        <sz val="11"/>
        <color rgb="FF1F1F1F"/>
        <rFont val="Arial"/>
        <family val="2"/>
      </rPr>
      <t>.</t>
    </r>
  </si>
  <si>
    <r>
      <t>Gala local</t>
    </r>
    <r>
      <rPr>
        <sz val="11"/>
        <color rgb="FF1F1F1F"/>
        <rFont val="Arial"/>
        <family val="2"/>
      </rPr>
      <t>.</t>
    </r>
  </si>
  <si>
    <r>
      <t>Congrès National</t>
    </r>
    <r>
      <rPr>
        <sz val="11"/>
        <color rgb="FF1F1F1F"/>
        <rFont val="Arial"/>
        <family val="2"/>
      </rPr>
      <t>.</t>
    </r>
  </si>
  <si>
    <r>
      <t>Grand Mariage</t>
    </r>
    <r>
      <rPr>
        <sz val="11"/>
        <color rgb="FF1F1F1F"/>
        <rFont val="Arial"/>
        <family val="2"/>
      </rPr>
      <t>.</t>
    </r>
  </si>
  <si>
    <r>
      <t>Gros Banquet / Événement</t>
    </r>
    <r>
      <rPr>
        <sz val="11"/>
        <color rgb="FF1F1F1F"/>
        <rFont val="Arial"/>
        <family val="2"/>
      </rPr>
      <t>.</t>
    </r>
  </si>
  <si>
    <t>Buffet clôture.</t>
  </si>
  <si>
    <t>Banquet fin d'année.</t>
  </si>
  <si>
    <r>
      <t>Grand Mariage d'Hiver</t>
    </r>
    <r>
      <rPr>
        <sz val="11"/>
        <color rgb="FF1F1F1F"/>
        <rFont val="Arial"/>
        <family val="2"/>
      </rPr>
      <t>.</t>
    </r>
  </si>
  <si>
    <t>Début des vacances.</t>
  </si>
  <si>
    <t>Flux familles.</t>
  </si>
  <si>
    <t>Mise en place massive.</t>
  </si>
  <si>
    <t>El Mouradi _Hammamet</t>
  </si>
  <si>
    <r>
      <t>Brunch de Luxe (Bénédicte++)</t>
    </r>
    <r>
      <rPr>
        <sz val="11"/>
        <color rgb="FF1F1F1F"/>
        <rFont val="Arial"/>
        <family val="2"/>
      </rPr>
      <t>.</t>
    </r>
  </si>
  <si>
    <t>Clientèle Thalasso reste.</t>
  </si>
  <si>
    <t>Weekend VIP Tunis.</t>
  </si>
  <si>
    <r>
      <t>Dîner de Gala Hiver</t>
    </r>
    <r>
      <rPr>
        <sz val="11"/>
        <color rgb="FF1F1F1F"/>
        <rFont val="Arial"/>
        <family val="2"/>
      </rPr>
      <t>.</t>
    </r>
  </si>
  <si>
    <t>Clientèle senior Euro.</t>
  </si>
  <si>
    <t>Séminaire Luxe</t>
  </si>
  <si>
    <t>Comité de direction (MICE).</t>
  </si>
  <si>
    <r>
      <t>Férié</t>
    </r>
    <r>
      <rPr>
        <sz val="11"/>
        <color rgb="FF1F1F1F"/>
        <rFont val="Arial"/>
        <family val="2"/>
      </rPr>
      <t xml:space="preserve"> : Déjeuner spécial.</t>
    </r>
  </si>
  <si>
    <r>
      <t>Banquet prestige</t>
    </r>
    <r>
      <rPr>
        <sz val="11"/>
        <color rgb="FF1F1F1F"/>
        <rFont val="Arial"/>
        <family val="2"/>
      </rPr>
      <t>.</t>
    </r>
  </si>
  <si>
    <r>
      <t>Vacances d'Hiver</t>
    </r>
    <r>
      <rPr>
        <sz val="11"/>
        <color rgb="FF1F1F1F"/>
        <rFont val="Arial"/>
        <family val="2"/>
      </rPr>
      <t>.</t>
    </r>
  </si>
  <si>
    <t>Buffet familles Luxe.</t>
  </si>
  <si>
    <t>Activités enfants.</t>
  </si>
  <si>
    <r>
      <t>Pic Familles Luxe</t>
    </r>
    <r>
      <rPr>
        <sz val="11"/>
        <color rgb="FF1F1F1F"/>
        <rFont val="Arial"/>
        <family val="2"/>
      </rPr>
      <t>.</t>
    </r>
  </si>
  <si>
    <t>Départs / Calme curistes.</t>
  </si>
  <si>
    <t>Séminaire VIP</t>
  </si>
  <si>
    <t>Groupe pharmaceutique.</t>
  </si>
  <si>
    <r>
      <t>Dîner thématique</t>
    </r>
    <r>
      <rPr>
        <sz val="11"/>
        <color rgb="FF1F1F1F"/>
        <rFont val="Arial"/>
        <family val="2"/>
      </rPr>
      <t>.</t>
    </r>
  </si>
  <si>
    <t>Pré-St Valentin</t>
  </si>
  <si>
    <t>Arrivées anticipées.</t>
  </si>
  <si>
    <t>Préparation pâtisserie.</t>
  </si>
  <si>
    <r>
      <t>Gala Romantique (Records)</t>
    </r>
    <r>
      <rPr>
        <sz val="11"/>
        <color rgb="FF1F1F1F"/>
        <rFont val="Arial"/>
        <family val="2"/>
      </rPr>
      <t>.</t>
    </r>
  </si>
  <si>
    <t>Weekend St-Val</t>
  </si>
  <si>
    <t>Retombée post-fête.</t>
  </si>
  <si>
    <t>Calme curistes.</t>
  </si>
  <si>
    <t>Séminaire direction.</t>
  </si>
  <si>
    <t>Soirée Jazzy / Buffet.</t>
  </si>
  <si>
    <r>
      <t>Dernier dîner classique</t>
    </r>
    <r>
      <rPr>
        <sz val="11"/>
        <color rgb="FF1F1F1F"/>
        <rFont val="Arial"/>
        <family val="2"/>
      </rPr>
      <t>.</t>
    </r>
  </si>
  <si>
    <r>
      <t>Iftar Signature</t>
    </r>
    <r>
      <rPr>
        <sz val="11"/>
        <color rgb="FF1F1F1F"/>
        <rFont val="Arial"/>
        <family val="2"/>
      </rPr>
      <t>.</t>
    </r>
  </si>
  <si>
    <t>Shor délicat.</t>
  </si>
  <si>
    <t>Groupe Corporate (non-jeûneurs).</t>
  </si>
  <si>
    <t>Arrivées Iftar Weekend.</t>
  </si>
  <si>
    <r>
      <t>Soirée de Gala / Iftar VIP</t>
    </r>
    <r>
      <rPr>
        <sz val="11"/>
        <color rgb="FF1F1F1F"/>
        <rFont val="Arial"/>
        <family val="2"/>
      </rPr>
      <t>.</t>
    </r>
  </si>
  <si>
    <t>Brunch/Shor.</t>
  </si>
  <si>
    <t>Shor gastronomique.</t>
  </si>
  <si>
    <t>Soirées thématiques.</t>
  </si>
  <si>
    <t>Shor.</t>
  </si>
  <si>
    <t>Transition Aïd</t>
  </si>
  <si>
    <t>Arrivées Aïd Luxe.</t>
  </si>
  <si>
    <r>
      <t>Dîner Sacré (Pâtisserie++)</t>
    </r>
    <r>
      <rPr>
        <sz val="11"/>
        <color rgb="FF1F1F1F"/>
        <rFont val="Arial"/>
        <family val="2"/>
      </rPr>
      <t>.</t>
    </r>
  </si>
  <si>
    <r>
      <t>Mise en place massive</t>
    </r>
    <r>
      <rPr>
        <sz val="11"/>
        <color rgb="FF1F1F1F"/>
        <rFont val="Arial"/>
        <family val="2"/>
      </rPr>
      <t>.</t>
    </r>
  </si>
  <si>
    <t>Printemps</t>
  </si>
  <si>
    <t>Curistes Européens.</t>
  </si>
  <si>
    <r>
      <t>Banquet Privé / Gala</t>
    </r>
    <r>
      <rPr>
        <sz val="11"/>
        <color rgb="FF1F1F1F"/>
        <rFont val="Arial"/>
        <family val="2"/>
      </rPr>
      <t>.</t>
    </r>
  </si>
  <si>
    <t>Arrivées Seniors Euro.</t>
  </si>
  <si>
    <t>Semaine Pâques</t>
  </si>
  <si>
    <t>Arrivées internationales.</t>
  </si>
  <si>
    <t>Clientèle exigeante.</t>
  </si>
  <si>
    <t>Mise en place Pâtisserie.</t>
  </si>
  <si>
    <r>
      <t>Spécialités de Pâques</t>
    </r>
    <r>
      <rPr>
        <sz val="11"/>
        <color rgb="FF1F1F1F"/>
        <rFont val="Arial"/>
        <family val="2"/>
      </rPr>
      <t>.</t>
    </r>
  </si>
  <si>
    <r>
      <t>Grand Buffet de Gala</t>
    </r>
    <r>
      <rPr>
        <sz val="11"/>
        <color rgb="FF1F1F1F"/>
        <rFont val="Arial"/>
        <family val="2"/>
      </rPr>
      <t>.</t>
    </r>
  </si>
  <si>
    <t>PÂQUES</t>
  </si>
  <si>
    <r>
      <t>RECORD ANNUEL (Brunch)</t>
    </r>
    <r>
      <rPr>
        <sz val="11"/>
        <color rgb="FF1F1F1F"/>
        <rFont val="Arial"/>
        <family val="2"/>
      </rPr>
      <t>.</t>
    </r>
  </si>
  <si>
    <t>Lundi Pâques</t>
  </si>
  <si>
    <t>Retombée post-fêtes.</t>
  </si>
  <si>
    <r>
      <t>Mariage de Printemps</t>
    </r>
    <r>
      <rPr>
        <sz val="11"/>
        <color rgb="FF1F1F1F"/>
        <rFont val="Arial"/>
        <family val="2"/>
      </rPr>
      <t>.</t>
    </r>
  </si>
  <si>
    <r>
      <t>Férié</t>
    </r>
    <r>
      <rPr>
        <sz val="11"/>
        <color rgb="FF1F1F1F"/>
        <rFont val="Arial"/>
        <family val="2"/>
      </rPr>
      <t xml:space="preserve"> : Brunch de luxe.</t>
    </r>
  </si>
  <si>
    <r>
      <t>Mariage Prestige XXL</t>
    </r>
    <r>
      <rPr>
        <sz val="11"/>
        <color rgb="FF1F1F1F"/>
        <rFont val="Arial"/>
        <family val="2"/>
      </rPr>
      <t>.</t>
    </r>
  </si>
  <si>
    <t>Arrivées Séminaires VIP.</t>
  </si>
  <si>
    <t>Congrès International.</t>
  </si>
  <si>
    <t>Weekend Thalasso.</t>
  </si>
  <si>
    <r>
      <t>Dîner de Gala / Banquet</t>
    </r>
    <r>
      <rPr>
        <sz val="11"/>
        <color rgb="FF1F1F1F"/>
        <rFont val="Arial"/>
        <family val="2"/>
      </rPr>
      <t>.</t>
    </r>
  </si>
  <si>
    <t>Buffet raffiné.</t>
  </si>
  <si>
    <t>Flux curistes.</t>
  </si>
  <si>
    <r>
      <t>Mariage / Réception</t>
    </r>
    <r>
      <rPr>
        <sz val="11"/>
        <color rgb="FF1F1F1F"/>
        <rFont val="Arial"/>
        <family val="2"/>
      </rPr>
      <t>.</t>
    </r>
  </si>
  <si>
    <t>Comité de direction.</t>
  </si>
  <si>
    <t>Clientèle Euro.</t>
  </si>
  <si>
    <t>Weekend pré-été.</t>
  </si>
  <si>
    <t>Buffet dominical luxe.</t>
  </si>
  <si>
    <r>
      <t>Gala Aïd (Pâtisserie fine)</t>
    </r>
    <r>
      <rPr>
        <sz val="11"/>
        <color rgb="FF1F1F1F"/>
        <rFont val="Arial"/>
        <family val="2"/>
      </rPr>
      <t>.</t>
    </r>
  </si>
  <si>
    <r>
      <t>RECORD AÏD / Banquet</t>
    </r>
    <r>
      <rPr>
        <sz val="11"/>
        <color rgb="FF1F1F1F"/>
        <rFont val="Arial"/>
        <family val="2"/>
      </rPr>
      <t>.</t>
    </r>
  </si>
  <si>
    <t>Flux post-fête.</t>
  </si>
  <si>
    <t>Séminaire VIP fin saison.</t>
  </si>
  <si>
    <t>Flux All-In Luxe.</t>
  </si>
  <si>
    <t>Weekend familles VIP.</t>
  </si>
  <si>
    <r>
      <t>Gala d'Été / Réception</t>
    </r>
    <r>
      <rPr>
        <sz val="11"/>
        <color rgb="FF1F1F1F"/>
        <rFont val="Arial"/>
        <family val="2"/>
      </rPr>
      <t>.</t>
    </r>
  </si>
  <si>
    <r>
      <t>RECORD DU MOIS (Mariage)</t>
    </r>
    <r>
      <rPr>
        <sz val="11"/>
        <color rgb="FF1F1F1F"/>
        <rFont val="Arial"/>
        <family val="2"/>
      </rPr>
      <t>.</t>
    </r>
  </si>
  <si>
    <r>
      <t>RECORD ANNUEL (Gala)</t>
    </r>
    <r>
      <rPr>
        <sz val="11"/>
        <color rgb="FF1F1F1F"/>
        <rFont val="Arial"/>
        <family val="2"/>
      </rPr>
      <t>.</t>
    </r>
  </si>
  <si>
    <t>Brunch Garden.</t>
  </si>
  <si>
    <r>
      <t>Férié : Buffet Prestige</t>
    </r>
    <r>
      <rPr>
        <sz val="11"/>
        <color rgb="FF1F1F1F"/>
        <rFont val="Arial"/>
        <family val="2"/>
      </rPr>
      <t>.</t>
    </r>
  </si>
  <si>
    <r>
      <t>Mariage VIP</t>
    </r>
    <r>
      <rPr>
        <sz val="11"/>
        <color rgb="FF1F1F1F"/>
        <rFont val="Arial"/>
        <family val="2"/>
      </rPr>
      <t>.</t>
    </r>
  </si>
  <si>
    <t>Retour des seniors Européens.</t>
  </si>
  <si>
    <t>Clientèle Thalasso.</t>
  </si>
  <si>
    <r>
      <t>Comité de direction</t>
    </r>
    <r>
      <rPr>
        <sz val="11"/>
        <color rgb="FF1F1F1F"/>
        <rFont val="Arial"/>
        <family val="2"/>
      </rPr>
      <t>.</t>
    </r>
  </si>
  <si>
    <t>Séminaire International.</t>
  </si>
  <si>
    <r>
      <t>Gala de Saison</t>
    </r>
    <r>
      <rPr>
        <sz val="11"/>
        <color rgb="FF1F1F1F"/>
        <rFont val="Arial"/>
        <family val="2"/>
      </rPr>
      <t>.</t>
    </r>
  </si>
  <si>
    <r>
      <t>Mariage Automne</t>
    </r>
    <r>
      <rPr>
        <sz val="11"/>
        <color rgb="FF1F1F1F"/>
        <rFont val="Arial"/>
        <family val="2"/>
      </rPr>
      <t>.</t>
    </r>
  </si>
  <si>
    <t>Dernier séminaire.</t>
  </si>
  <si>
    <r>
      <t>Soirée de Gala</t>
    </r>
    <r>
      <rPr>
        <sz val="11"/>
        <color rgb="FF1F1F1F"/>
        <rFont val="Arial"/>
        <family val="2"/>
      </rPr>
      <t>.</t>
    </r>
  </si>
  <si>
    <t>Transition Octobre.</t>
  </si>
  <si>
    <t>Seniors Européens.</t>
  </si>
  <si>
    <r>
      <t>Congrès Médical</t>
    </r>
    <r>
      <rPr>
        <sz val="11"/>
        <color rgb="FF1F1F1F"/>
        <rFont val="Arial"/>
        <family val="2"/>
      </rPr>
      <t>.</t>
    </r>
  </si>
  <si>
    <t>Séminaire Corporate.</t>
  </si>
  <si>
    <r>
      <t>Férié : Buffet Gourmet</t>
    </r>
    <r>
      <rPr>
        <sz val="11"/>
        <color rgb="FF1F1F1F"/>
        <rFont val="Arial"/>
        <family val="2"/>
      </rPr>
      <t>.</t>
    </r>
  </si>
  <si>
    <t>Entre-fêtes</t>
  </si>
  <si>
    <t>Début Toussaint.</t>
  </si>
  <si>
    <t>Brunch familles Luxe.</t>
  </si>
  <si>
    <t>Pré-Halloween</t>
  </si>
  <si>
    <t>Mise en place.</t>
  </si>
  <si>
    <r>
      <t>Soirée Thématique VIP</t>
    </r>
    <r>
      <rPr>
        <sz val="11"/>
        <color rgb="FF1F1F1F"/>
        <rFont val="Arial"/>
        <family val="2"/>
      </rPr>
      <t>.</t>
    </r>
  </si>
  <si>
    <t>Clientèle Thalasso Euro.</t>
  </si>
  <si>
    <r>
      <t>Congrès Pharmaceutique</t>
    </r>
    <r>
      <rPr>
        <sz val="11"/>
        <color rgb="FF1F1F1F"/>
        <rFont val="Arial"/>
        <family val="2"/>
      </rPr>
      <t>.</t>
    </r>
  </si>
  <si>
    <t>Séminaire de direction.</t>
  </si>
  <si>
    <r>
      <t>Gala / Banquet Prestige</t>
    </r>
    <r>
      <rPr>
        <sz val="11"/>
        <color rgb="FF1F1F1F"/>
        <rFont val="Arial"/>
        <family val="2"/>
      </rPr>
      <t>.</t>
    </r>
  </si>
  <si>
    <t>Groupe incentive.</t>
  </si>
  <si>
    <r>
      <t>Dîner de Gala Annuel</t>
    </r>
    <r>
      <rPr>
        <sz val="11"/>
        <color rgb="FF1F1F1F"/>
        <rFont val="Arial"/>
        <family val="2"/>
      </rPr>
      <t>.</t>
    </r>
  </si>
  <si>
    <t>Banquets entreprises.</t>
  </si>
  <si>
    <r>
      <t>Mariage d'Hiver</t>
    </r>
    <r>
      <rPr>
        <sz val="11"/>
        <color rgb="FF1F1F1F"/>
        <rFont val="Arial"/>
        <family val="2"/>
      </rPr>
      <t>.</t>
    </r>
  </si>
  <si>
    <t>Arrivées Européennes.</t>
  </si>
  <si>
    <t>Flux Thalasso.</t>
  </si>
  <si>
    <r>
      <t>Dîner de Gala (Luxe)</t>
    </r>
    <r>
      <rPr>
        <sz val="11"/>
        <color rgb="FF1F1F1F"/>
        <rFont val="Arial"/>
        <family val="2"/>
      </rPr>
      <t>.</t>
    </r>
  </si>
  <si>
    <r>
      <t>Brunch de Noël</t>
    </r>
    <r>
      <rPr>
        <sz val="11"/>
        <color rgb="FF1F1F1F"/>
        <rFont val="Arial"/>
        <family val="2"/>
      </rPr>
      <t>.</t>
    </r>
  </si>
  <si>
    <t>Buffet familles VIP.</t>
  </si>
  <si>
    <r>
      <t>EXCELLENCE (Buffet Or)</t>
    </r>
    <r>
      <rPr>
        <sz val="11"/>
        <color rgb="FF1F1F1F"/>
        <rFont val="Arial"/>
        <family val="2"/>
      </rPr>
      <t>.</t>
    </r>
  </si>
  <si>
    <t>Steigenberger  Marhaba  Thalasso</t>
  </si>
  <si>
    <t>Arrivées.</t>
  </si>
  <si>
    <r>
      <t>Brunch Récupération</t>
    </r>
    <r>
      <rPr>
        <sz val="11"/>
        <color rgb="FF1F1F1F"/>
        <rFont val="Arial"/>
        <family val="2"/>
      </rPr>
      <t>.</t>
    </r>
  </si>
  <si>
    <t>Retours.</t>
  </si>
  <si>
    <r>
      <t>Stage Sportif / Stage</t>
    </r>
    <r>
      <rPr>
        <sz val="11"/>
        <color rgb="FF1F1F1F"/>
        <rFont val="Arial"/>
        <family val="2"/>
      </rPr>
      <t>.</t>
    </r>
  </si>
  <si>
    <r>
      <t>Férié : Pic local</t>
    </r>
    <r>
      <rPr>
        <sz val="11"/>
        <color rgb="FF1F1F1F"/>
        <rFont val="Arial"/>
        <family val="2"/>
      </rPr>
      <t>.</t>
    </r>
  </si>
  <si>
    <r>
      <t>Banquet</t>
    </r>
    <r>
      <rPr>
        <sz val="11"/>
        <color rgb="FF1F1F1F"/>
        <rFont val="Arial"/>
        <family val="2"/>
      </rPr>
      <t>.</t>
    </r>
  </si>
  <si>
    <t>Pré-Vacances</t>
  </si>
  <si>
    <t>Arrivées scolaires.</t>
  </si>
  <si>
    <t>All-In continu.</t>
  </si>
  <si>
    <r>
      <t>Pic familles / Banquet</t>
    </r>
    <r>
      <rPr>
        <sz val="11"/>
        <color rgb="FF1F1F1F"/>
        <rFont val="Arial"/>
        <family val="2"/>
      </rPr>
      <t>.</t>
    </r>
  </si>
  <si>
    <t>Formation professionnelle.</t>
  </si>
  <si>
    <r>
      <t>Mariage / Soirée</t>
    </r>
    <r>
      <rPr>
        <sz val="11"/>
        <color rgb="FF1F1F1F"/>
        <rFont val="Arial"/>
        <family val="2"/>
      </rPr>
      <t>.</t>
    </r>
  </si>
  <si>
    <r>
      <t>Gala / Banquet</t>
    </r>
    <r>
      <rPr>
        <sz val="11"/>
        <color rgb="FF1F1F1F"/>
        <rFont val="Arial"/>
        <family val="2"/>
      </rPr>
      <t>.</t>
    </r>
  </si>
  <si>
    <t>Retombée.</t>
  </si>
  <si>
    <t>Réunion régionale.</t>
  </si>
  <si>
    <r>
      <t>Dernier buffet standard</t>
    </r>
    <r>
      <rPr>
        <sz val="11"/>
        <color rgb="FF1F1F1F"/>
        <rFont val="Arial"/>
        <family val="2"/>
      </rPr>
      <t>.</t>
    </r>
  </si>
  <si>
    <r>
      <t>Pic Iftar : Briks massives</t>
    </r>
    <r>
      <rPr>
        <sz val="11"/>
        <color rgb="FF1F1F1F"/>
        <rFont val="Arial"/>
        <family val="2"/>
      </rPr>
      <t>.</t>
    </r>
  </si>
  <si>
    <t>Buffet Shor / Iftar.</t>
  </si>
  <si>
    <t>Groupes non-jeûneurs.</t>
  </si>
  <si>
    <r>
      <t>Gala Iftar : Complet</t>
    </r>
    <r>
      <rPr>
        <sz val="11"/>
        <color rgb="FF1F1F1F"/>
        <rFont val="Arial"/>
        <family val="2"/>
      </rPr>
      <t>.</t>
    </r>
  </si>
  <si>
    <r>
      <t>Iftar Entreprises</t>
    </r>
    <r>
      <rPr>
        <sz val="11"/>
        <color rgb="FF1F1F1F"/>
        <rFont val="Arial"/>
        <family val="2"/>
      </rPr>
      <t>.</t>
    </r>
  </si>
  <si>
    <r>
      <t>Férié : Iftar National</t>
    </r>
    <r>
      <rPr>
        <sz val="11"/>
        <color rgb="FF1F1F1F"/>
        <rFont val="Arial"/>
        <family val="2"/>
      </rPr>
      <t>.</t>
    </r>
  </si>
  <si>
    <r>
      <t>Iftar Familles</t>
    </r>
    <r>
      <rPr>
        <sz val="11"/>
        <color rgb="FF1F1F1F"/>
        <rFont val="Arial"/>
        <family val="2"/>
      </rPr>
      <t>.</t>
    </r>
  </si>
  <si>
    <r>
      <t>Nuit du Destin : Pic Pâtiss.</t>
    </r>
    <r>
      <rPr>
        <sz val="11"/>
        <color rgb="FF1F1F1F"/>
        <rFont val="Arial"/>
        <family val="2"/>
      </rPr>
      <t>.</t>
    </r>
  </si>
  <si>
    <t>Weekend de fête prolongé.</t>
  </si>
  <si>
    <t>Flux résiduel Aïd.</t>
  </si>
  <si>
    <r>
      <t>Formation Corporate</t>
    </r>
    <r>
      <rPr>
        <sz val="11"/>
        <color rgb="FF1F1F1F"/>
        <rFont val="Arial"/>
        <family val="2"/>
      </rPr>
      <t>.</t>
    </r>
  </si>
  <si>
    <r>
      <t>Férié : Pic familles</t>
    </r>
    <r>
      <rPr>
        <sz val="11"/>
        <color rgb="FF1F1F1F"/>
        <rFont val="Arial"/>
        <family val="2"/>
      </rPr>
      <t>.</t>
    </r>
  </si>
  <si>
    <t>Flux séminaires.</t>
  </si>
  <si>
    <t>Vacances Printemps</t>
  </si>
  <si>
    <t>All-In Soft.</t>
  </si>
  <si>
    <t>Flux stable familles.</t>
  </si>
  <si>
    <t>Pré-weekend vacances.</t>
  </si>
  <si>
    <r>
      <t>Gala / Animation</t>
    </r>
    <r>
      <rPr>
        <sz val="11"/>
        <color rgb="FF1F1F1F"/>
        <rFont val="Arial"/>
        <family val="2"/>
      </rPr>
      <t>.</t>
    </r>
  </si>
  <si>
    <t>Buffet de Pâques (local).</t>
  </si>
  <si>
    <t>Derniers jours vacances.</t>
  </si>
  <si>
    <t>Stage de formation.</t>
  </si>
  <si>
    <r>
      <t>Mariage</t>
    </r>
    <r>
      <rPr>
        <sz val="11"/>
        <color rgb="FF1F1F1F"/>
        <rFont val="Arial"/>
        <family val="2"/>
      </rPr>
      <t>.</t>
    </r>
  </si>
  <si>
    <r>
      <t>Férié : Buffet Familles</t>
    </r>
    <r>
      <rPr>
        <sz val="11"/>
        <color rgb="FF1F1F1F"/>
        <rFont val="Arial"/>
        <family val="2"/>
      </rPr>
      <t>.</t>
    </r>
  </si>
  <si>
    <t>Séminaire institutionnel.</t>
  </si>
  <si>
    <t>Fin de session.</t>
  </si>
  <si>
    <r>
      <t>Gala / Grand Mariage</t>
    </r>
    <r>
      <rPr>
        <sz val="11"/>
        <color rgb="FF1F1F1F"/>
        <rFont val="Arial"/>
        <family val="2"/>
      </rPr>
      <t>.</t>
    </r>
  </si>
  <si>
    <t>Buffet chargé.</t>
  </si>
  <si>
    <r>
      <t>COMPLET (Banquet)</t>
    </r>
    <r>
      <rPr>
        <sz val="11"/>
        <color rgb="FF1F1F1F"/>
        <rFont val="Arial"/>
        <family val="2"/>
      </rPr>
      <t>.</t>
    </r>
  </si>
  <si>
    <t>Brunch / Buffet.</t>
  </si>
  <si>
    <t>Arrivées étrangères.</t>
  </si>
  <si>
    <t>Flux estival débutant.</t>
  </si>
  <si>
    <r>
      <t>Gala Aïd (Buffet géant)</t>
    </r>
    <r>
      <rPr>
        <sz val="11"/>
        <color rgb="FF1F1F1F"/>
        <rFont val="Arial"/>
        <family val="2"/>
      </rPr>
      <t>.</t>
    </r>
  </si>
  <si>
    <r>
      <t>Record Fête / Mariage</t>
    </r>
    <r>
      <rPr>
        <sz val="11"/>
        <color rgb="FF1F1F1F"/>
        <rFont val="Arial"/>
        <family val="2"/>
      </rPr>
      <t>.</t>
    </r>
  </si>
  <si>
    <t>Flux All-In Soft.</t>
  </si>
  <si>
    <r>
      <t>Grand Gala d'Été</t>
    </r>
    <r>
      <rPr>
        <sz val="11"/>
        <color rgb="FF1F1F1F"/>
        <rFont val="Arial"/>
        <family val="2"/>
      </rPr>
      <t>.</t>
    </r>
  </si>
  <si>
    <t>Tourisme local/étranger.</t>
  </si>
  <si>
    <r>
      <t>RECORD MENSUEL (Mariage)</t>
    </r>
    <r>
      <rPr>
        <sz val="11"/>
        <color rgb="FF1F1F1F"/>
        <rFont val="Arial"/>
        <family val="2"/>
      </rPr>
      <t>.</t>
    </r>
  </si>
  <si>
    <r>
      <t>Gala / Réception</t>
    </r>
    <r>
      <rPr>
        <sz val="11"/>
        <color rgb="FF1F1F1F"/>
        <rFont val="Arial"/>
        <family val="2"/>
      </rPr>
      <t>.</t>
    </r>
  </si>
  <si>
    <t>Chaleur / Flux.</t>
  </si>
  <si>
    <t>Buffet dominical saturé.</t>
  </si>
  <si>
    <r>
      <t>RECORD ANNUEL (Mariage)</t>
    </r>
    <r>
      <rPr>
        <sz val="11"/>
        <color rgb="FF1F1F1F"/>
        <rFont val="Arial"/>
        <family val="2"/>
      </rPr>
      <t>.</t>
    </r>
  </si>
  <si>
    <r>
      <t>Grand Gala d'Août</t>
    </r>
    <r>
      <rPr>
        <sz val="11"/>
        <color rgb="FF1F1F1F"/>
        <rFont val="Arial"/>
        <family val="2"/>
      </rPr>
      <t>.</t>
    </r>
  </si>
  <si>
    <r>
      <t>MAXIMUM HISTORIQUE</t>
    </r>
    <r>
      <rPr>
        <sz val="11"/>
        <color rgb="FF1F1F1F"/>
        <rFont val="Arial"/>
        <family val="2"/>
      </rPr>
      <t>.</t>
    </r>
  </si>
  <si>
    <t>Buffet clôture été.</t>
  </si>
  <si>
    <t>Flux "all-inclusive" senior.</t>
  </si>
  <si>
    <t>Arrivées Europe.</t>
  </si>
  <si>
    <r>
      <t>Réunion régionale</t>
    </r>
    <r>
      <rPr>
        <sz val="11"/>
        <color rgb="FF1F1F1F"/>
        <rFont val="Arial"/>
        <family val="2"/>
      </rPr>
      <t>.</t>
    </r>
  </si>
  <si>
    <r>
      <t>Congrès</t>
    </r>
    <r>
      <rPr>
        <sz val="11"/>
        <color rgb="FF1F1F1F"/>
        <rFont val="Arial"/>
        <family val="2"/>
      </rPr>
      <t>.</t>
    </r>
  </si>
  <si>
    <r>
      <t>Banquet / Soirée</t>
    </r>
    <r>
      <rPr>
        <sz val="11"/>
        <color rgb="FF1F1F1F"/>
        <rFont val="Arial"/>
        <family val="2"/>
      </rPr>
      <t>.</t>
    </r>
  </si>
  <si>
    <t>Seniors européens.</t>
  </si>
  <si>
    <t>Séminaire corporate.</t>
  </si>
  <si>
    <r>
      <t>Mariage Arrière-Saison</t>
    </r>
    <r>
      <rPr>
        <sz val="11"/>
        <color rgb="FF1F1F1F"/>
        <rFont val="Arial"/>
        <family val="2"/>
      </rPr>
      <t>.</t>
    </r>
  </si>
  <si>
    <t>Formation.</t>
  </si>
  <si>
    <t>Seniors &amp; Curistes.</t>
  </si>
  <si>
    <r>
      <t>Congrès Entreprise</t>
    </r>
    <r>
      <rPr>
        <sz val="11"/>
        <color rgb="FF1F1F1F"/>
        <rFont val="Arial"/>
        <family val="2"/>
      </rPr>
      <t>.</t>
    </r>
  </si>
  <si>
    <r>
      <t>Formation Cadres</t>
    </r>
    <r>
      <rPr>
        <sz val="11"/>
        <color rgb="FF1F1F1F"/>
        <rFont val="Arial"/>
        <family val="2"/>
      </rPr>
      <t>.</t>
    </r>
  </si>
  <si>
    <r>
      <t>Banquet / Gala</t>
    </r>
    <r>
      <rPr>
        <sz val="11"/>
        <color rgb="FF1F1F1F"/>
        <rFont val="Arial"/>
        <family val="2"/>
      </rPr>
      <t>.</t>
    </r>
  </si>
  <si>
    <t>Brunch familles.</t>
  </si>
  <si>
    <t>All-In Euro.</t>
  </si>
  <si>
    <t>Mix Affaires / Loisirs.</t>
  </si>
  <si>
    <t>Point bas du mois.</t>
  </si>
  <si>
    <t>Réunion cadres.</t>
  </si>
  <si>
    <r>
      <t>Banquet local</t>
    </r>
    <r>
      <rPr>
        <sz val="11"/>
        <color rgb="FF1F1F1F"/>
        <rFont val="Arial"/>
        <family val="2"/>
      </rPr>
      <t>.</t>
    </r>
  </si>
  <si>
    <r>
      <t>Dîners Entreprises</t>
    </r>
    <r>
      <rPr>
        <sz val="11"/>
        <color rgb="FF1F1F1F"/>
        <rFont val="Arial"/>
        <family val="2"/>
      </rPr>
      <t>.</t>
    </r>
  </si>
  <si>
    <r>
      <t>Mariage Hiver</t>
    </r>
    <r>
      <rPr>
        <sz val="11"/>
        <color rgb="FF1F1F1F"/>
        <rFont val="Arial"/>
        <family val="2"/>
      </rPr>
      <t>.</t>
    </r>
  </si>
  <si>
    <t>Début vacances locales.</t>
  </si>
  <si>
    <r>
      <t>Buffet de Noël</t>
    </r>
    <r>
      <rPr>
        <sz val="11"/>
        <color rgb="FF1F1F1F"/>
        <rFont val="Arial"/>
        <family val="2"/>
      </rPr>
      <t>.</t>
    </r>
  </si>
  <si>
    <r>
      <t>RECORD (Buffet Gala)</t>
    </r>
    <r>
      <rPr>
        <sz val="11"/>
        <color rgb="FF1F1F1F"/>
        <rFont val="Arial"/>
        <family val="2"/>
      </rPr>
      <t>.</t>
    </r>
  </si>
  <si>
    <t xml:space="preserve">El mouradi El menzah </t>
  </si>
  <si>
    <r>
      <t>Brunch Gastronomique</t>
    </r>
    <r>
      <rPr>
        <sz val="11"/>
        <color rgb="FF1F1F1F"/>
        <rFont val="Arial"/>
        <family val="2"/>
      </rPr>
      <t>.</t>
    </r>
  </si>
  <si>
    <t>Retours clients.</t>
  </si>
  <si>
    <t>MICE</t>
  </si>
  <si>
    <t>Séminaire de rentrée.</t>
  </si>
  <si>
    <t>Weekend Affaires/Loisirs.</t>
  </si>
  <si>
    <r>
      <t>Férié : Buffet VIP</t>
    </r>
    <r>
      <rPr>
        <sz val="11"/>
        <color rgb="FF1F1F1F"/>
        <rFont val="Arial"/>
        <family val="2"/>
      </rPr>
      <t>.</t>
    </r>
  </si>
  <si>
    <r>
      <t>Lancement de Produit</t>
    </r>
    <r>
      <rPr>
        <sz val="11"/>
        <color rgb="FF1F1F1F"/>
        <rFont val="Arial"/>
        <family val="2"/>
      </rPr>
      <t>.</t>
    </r>
  </si>
  <si>
    <r>
      <t>Gala de Société</t>
    </r>
    <r>
      <rPr>
        <sz val="11"/>
        <color rgb="FF1F1F1F"/>
        <rFont val="Arial"/>
        <family val="2"/>
      </rPr>
      <t>.</t>
    </r>
  </si>
  <si>
    <r>
      <t>Vacances scolaires</t>
    </r>
    <r>
      <rPr>
        <sz val="11"/>
        <color rgb="FF1F1F1F"/>
        <rFont val="Arial"/>
        <family val="2"/>
      </rPr>
      <t>.</t>
    </r>
  </si>
  <si>
    <t>All-In Luxe.</t>
  </si>
  <si>
    <r>
      <t>Mariage / Gala de clôture</t>
    </r>
    <r>
      <rPr>
        <sz val="11"/>
        <color rgb="FF1F1F1F"/>
        <rFont val="Arial"/>
        <family val="2"/>
      </rPr>
      <t>.</t>
    </r>
  </si>
  <si>
    <t>Brunch de fin de vacances.</t>
  </si>
  <si>
    <t>Retombée calme.</t>
  </si>
  <si>
    <t>Séminaire MICE</t>
  </si>
  <si>
    <t>Formation cadre.</t>
  </si>
  <si>
    <t>Préparation St-Valentin.</t>
  </si>
  <si>
    <t>ST-VALENTIN</t>
  </si>
  <si>
    <r>
      <t>Gala Pâtisserie / Cœurs</t>
    </r>
    <r>
      <rPr>
        <sz val="11"/>
        <color rgb="FF1F1F1F"/>
        <rFont val="Arial"/>
        <family val="2"/>
      </rPr>
      <t>.</t>
    </r>
  </si>
  <si>
    <r>
      <t>COMPLET (Couples local)</t>
    </r>
    <r>
      <rPr>
        <sz val="11"/>
        <color rgb="FF1F1F1F"/>
        <rFont val="Arial"/>
        <family val="2"/>
      </rPr>
      <t>.</t>
    </r>
  </si>
  <si>
    <r>
      <t>Kick-off Corporate</t>
    </r>
    <r>
      <rPr>
        <sz val="11"/>
        <color rgb="FF1F1F1F"/>
        <rFont val="Arial"/>
        <family val="2"/>
      </rPr>
      <t>.</t>
    </r>
  </si>
  <si>
    <t>Pré-Ramadan.</t>
  </si>
  <si>
    <t>Transition cuisine.</t>
  </si>
  <si>
    <r>
      <t>Iftar VIP : Briks crevettes</t>
    </r>
    <r>
      <rPr>
        <sz val="11"/>
        <color rgb="FF1F1F1F"/>
        <rFont val="Arial"/>
        <family val="2"/>
      </rPr>
      <t>.</t>
    </r>
  </si>
  <si>
    <r>
      <t>Gala Iftar (Complet)</t>
    </r>
    <r>
      <rPr>
        <sz val="11"/>
        <color rgb="FF1F1F1F"/>
        <rFont val="Arial"/>
        <family val="2"/>
      </rPr>
      <t>.</t>
    </r>
  </si>
  <si>
    <t>Brunch / Iftar.</t>
  </si>
  <si>
    <t>Reprise MICE.</t>
  </si>
  <si>
    <r>
      <t>Dîner d'entreprises</t>
    </r>
    <r>
      <rPr>
        <sz val="11"/>
        <color rgb="FF1F1F1F"/>
        <rFont val="Arial"/>
        <family val="2"/>
      </rPr>
      <t>.</t>
    </r>
  </si>
  <si>
    <t>Iftar famille VIP.</t>
  </si>
  <si>
    <r>
      <t>Férié : Iftar Prestige</t>
    </r>
    <r>
      <rPr>
        <sz val="11"/>
        <color rgb="FF1F1F1F"/>
        <rFont val="Arial"/>
        <family val="2"/>
      </rPr>
      <t>.</t>
    </r>
  </si>
  <si>
    <r>
      <t>Gala Iftar</t>
    </r>
    <r>
      <rPr>
        <sz val="11"/>
        <color rgb="FF1F1F1F"/>
        <rFont val="Arial"/>
        <family val="2"/>
      </rPr>
      <t>.</t>
    </r>
  </si>
  <si>
    <r>
      <t>Nuit du Destin : Pâtiss.</t>
    </r>
    <r>
      <rPr>
        <sz val="11"/>
        <color rgb="FF1F1F1F"/>
        <rFont val="Arial"/>
        <family val="2"/>
      </rPr>
      <t>.</t>
    </r>
  </si>
  <si>
    <r>
      <t>RECORD (Petit-Déj Gala)</t>
    </r>
    <r>
      <rPr>
        <sz val="11"/>
        <color rgb="FF1F1F1F"/>
        <rFont val="Arial"/>
        <family val="2"/>
      </rPr>
      <t>.</t>
    </r>
  </si>
  <si>
    <t>Flux résiduel.</t>
  </si>
  <si>
    <r>
      <t>Séminaire Corporate</t>
    </r>
    <r>
      <rPr>
        <sz val="11"/>
        <color rgb="FF1F1F1F"/>
        <rFont val="Arial"/>
        <family val="2"/>
      </rPr>
      <t>.</t>
    </r>
  </si>
  <si>
    <t>Weekend détente VIP.</t>
  </si>
  <si>
    <t>Workshop.</t>
  </si>
  <si>
    <r>
      <t>Gala de Printemps</t>
    </r>
    <r>
      <rPr>
        <sz val="11"/>
        <color rgb="FF1F1F1F"/>
        <rFont val="Arial"/>
        <family val="2"/>
      </rPr>
      <t>.</t>
    </r>
  </si>
  <si>
    <t>Vacances Print.</t>
  </si>
  <si>
    <t>Clientèle "Loisirs".</t>
  </si>
  <si>
    <t>Weekend Pâques (Euro).</t>
  </si>
  <si>
    <r>
      <t>Brunch de Pâques</t>
    </r>
    <r>
      <rPr>
        <sz val="11"/>
        <color rgb="FF1F1F1F"/>
        <rFont val="Arial"/>
        <family val="2"/>
      </rPr>
      <t>.</t>
    </r>
  </si>
  <si>
    <r>
      <t>Brunch de Gala</t>
    </r>
    <r>
      <rPr>
        <sz val="11"/>
        <color rgb="FF1F1F1F"/>
        <rFont val="Arial"/>
        <family val="2"/>
      </rPr>
      <t>.</t>
    </r>
  </si>
  <si>
    <t>Séminaire Ambassade.</t>
  </si>
  <si>
    <r>
      <t>Congrès International</t>
    </r>
    <r>
      <rPr>
        <sz val="11"/>
        <color rgb="FF1F1F1F"/>
        <rFont val="Arial"/>
        <family val="2"/>
      </rPr>
      <t>.</t>
    </r>
  </si>
  <si>
    <r>
      <t>MAXIMUM DU MOIS</t>
    </r>
    <r>
      <rPr>
        <sz val="11"/>
        <color rgb="FF1F1F1F"/>
        <rFont val="Arial"/>
        <family val="2"/>
      </rPr>
      <t>.</t>
    </r>
  </si>
  <si>
    <t>Flux MICE.</t>
  </si>
  <si>
    <r>
      <t>Mise en place Gala</t>
    </r>
    <r>
      <rPr>
        <sz val="11"/>
        <color rgb="FF1F1F1F"/>
        <rFont val="Arial"/>
        <family val="2"/>
      </rPr>
      <t>.</t>
    </r>
  </si>
  <si>
    <r>
      <t>Grand Iftar de l'Aïd</t>
    </r>
    <r>
      <rPr>
        <sz val="11"/>
        <color rgb="FF1F1F1F"/>
        <rFont val="Arial"/>
        <family val="2"/>
      </rPr>
      <t>.</t>
    </r>
  </si>
  <si>
    <t>Weekend VIP.</t>
  </si>
  <si>
    <t>Début vacances Euro.</t>
  </si>
  <si>
    <r>
      <t>Gala d'Été / Mariage</t>
    </r>
    <r>
      <rPr>
        <sz val="11"/>
        <color rgb="FF1F1F1F"/>
        <rFont val="Arial"/>
        <family val="2"/>
      </rPr>
      <t>.</t>
    </r>
  </si>
  <si>
    <t>Flux estival intense.</t>
  </si>
  <si>
    <t>Buffets de poissons.</t>
  </si>
  <si>
    <r>
      <t>Grand Mariage / Gala</t>
    </r>
    <r>
      <rPr>
        <sz val="11"/>
        <color rgb="FF1F1F1F"/>
        <rFont val="Arial"/>
        <family val="2"/>
      </rPr>
      <t>.</t>
    </r>
  </si>
  <si>
    <t>Brunch dominical 5*.</t>
  </si>
  <si>
    <t>Flux Europe/Maghreb.</t>
  </si>
  <si>
    <t>Flux tourisme luxe.</t>
  </si>
  <si>
    <r>
      <t>Gala National</t>
    </r>
    <r>
      <rPr>
        <sz val="11"/>
        <color rgb="FF1F1F1F"/>
        <rFont val="Arial"/>
        <family val="2"/>
      </rPr>
      <t>.</t>
    </r>
  </si>
  <si>
    <r>
      <t>MAXIMUM ANNUEL</t>
    </r>
    <r>
      <rPr>
        <sz val="11"/>
        <color rgb="FF1F1F1F"/>
        <rFont val="Arial"/>
        <family val="2"/>
      </rPr>
      <t>.</t>
    </r>
  </si>
  <si>
    <t>Pic chaleur.</t>
  </si>
  <si>
    <t>All-In Luxe continu.</t>
  </si>
  <si>
    <r>
      <t>RECORD (Mariage de Luxe)</t>
    </r>
    <r>
      <rPr>
        <sz val="11"/>
        <color rgb="FF1F1F1F"/>
        <rFont val="Arial"/>
        <family val="2"/>
      </rPr>
      <t>.</t>
    </r>
  </si>
  <si>
    <r>
      <t>Gala Gastronomique</t>
    </r>
    <r>
      <rPr>
        <sz val="11"/>
        <color rgb="FF1F1F1F"/>
        <rFont val="Arial"/>
        <family val="2"/>
      </rPr>
      <t>.</t>
    </r>
  </si>
  <si>
    <t>Fin de saison estivale.</t>
  </si>
  <si>
    <t>Arrivées Europe / MICE.</t>
  </si>
  <si>
    <t>MICE local.</t>
  </si>
  <si>
    <r>
      <t>Workshop International</t>
    </r>
    <r>
      <rPr>
        <sz val="11"/>
        <color rgb="FF1F1F1F"/>
        <rFont val="Arial"/>
        <family val="2"/>
      </rPr>
      <t>.</t>
    </r>
  </si>
  <si>
    <t>Clientèle Seniors VIP.</t>
  </si>
  <si>
    <t>Séminaire technique.</t>
  </si>
  <si>
    <r>
      <t>Mariage Arrière-saison</t>
    </r>
    <r>
      <rPr>
        <sz val="11"/>
        <color rgb="FF1F1F1F"/>
        <rFont val="Arial"/>
        <family val="2"/>
      </rPr>
      <t>.</t>
    </r>
  </si>
  <si>
    <t>Formation cadres.</t>
  </si>
  <si>
    <t>Clientèle thalasso.</t>
  </si>
  <si>
    <r>
      <t>Forum Économique</t>
    </r>
    <r>
      <rPr>
        <sz val="11"/>
        <color rgb="FF1F1F1F"/>
        <rFont val="Arial"/>
        <family val="2"/>
      </rPr>
      <t>.</t>
    </r>
  </si>
  <si>
    <r>
      <t>Grand Gala Annuel</t>
    </r>
    <r>
      <rPr>
        <sz val="11"/>
        <color rgb="FF1F1F1F"/>
        <rFont val="Arial"/>
        <family val="2"/>
      </rPr>
      <t>.</t>
    </r>
  </si>
  <si>
    <t>Flux familles Euro.</t>
  </si>
  <si>
    <t>Mix Affaires/Loisirs.</t>
  </si>
  <si>
    <t>Brunch calme.</t>
  </si>
  <si>
    <r>
      <t>Séminaire Banque</t>
    </r>
    <r>
      <rPr>
        <sz val="11"/>
        <color rgb="FF1F1F1F"/>
        <rFont val="Arial"/>
        <family val="2"/>
      </rPr>
      <t>.</t>
    </r>
  </si>
  <si>
    <r>
      <t>Forum Entreprise</t>
    </r>
    <r>
      <rPr>
        <sz val="11"/>
        <color rgb="FF1F1F1F"/>
        <rFont val="Arial"/>
        <family val="2"/>
      </rPr>
      <t>.</t>
    </r>
  </si>
  <si>
    <r>
      <t>Banquet / Soirée Gala</t>
    </r>
    <r>
      <rPr>
        <sz val="11"/>
        <color rgb="FF1F1F1F"/>
        <rFont val="Arial"/>
        <family val="2"/>
      </rPr>
      <t>.</t>
    </r>
  </si>
  <si>
    <t>Travail interne.</t>
  </si>
  <si>
    <r>
      <t>Séminaire Annuel</t>
    </r>
    <r>
      <rPr>
        <sz val="11"/>
        <color rgb="FF1F1F1F"/>
        <rFont val="Arial"/>
        <family val="2"/>
      </rPr>
      <t>.</t>
    </r>
  </si>
  <si>
    <t>Clôture du mois.</t>
  </si>
  <si>
    <r>
      <t>Dîners de fin d'année</t>
    </r>
    <r>
      <rPr>
        <sz val="11"/>
        <color rgb="FF1F1F1F"/>
        <rFont val="Arial"/>
        <family val="2"/>
      </rPr>
      <t>.</t>
    </r>
  </si>
  <si>
    <t>Début vacances Toussaint.</t>
  </si>
  <si>
    <t>Brunch familles VIP.</t>
  </si>
  <si>
    <r>
      <t>Dîner Gastronomique</t>
    </r>
    <r>
      <rPr>
        <sz val="11"/>
        <color rgb="FF1F1F1F"/>
        <rFont val="Arial"/>
        <family val="2"/>
      </rPr>
      <t>.</t>
    </r>
  </si>
  <si>
    <r>
      <t>RECORD (Gala Prestige)</t>
    </r>
    <r>
      <rPr>
        <sz val="11"/>
        <color rgb="FF1F1F1F"/>
        <rFont val="Arial"/>
        <family val="2"/>
      </rPr>
      <t>.</t>
    </r>
  </si>
  <si>
    <t xml:space="preserve">Golden Tulip </t>
  </si>
  <si>
    <r>
      <t>Brunch de récupération</t>
    </r>
    <r>
      <rPr>
        <sz val="11"/>
        <color rgb="FF1F1F1F"/>
        <rFont val="Arial"/>
        <family val="2"/>
      </rPr>
      <t>.</t>
    </r>
  </si>
  <si>
    <t>Curistes en cure.</t>
  </si>
  <si>
    <r>
      <t>Banquet Local</t>
    </r>
    <r>
      <rPr>
        <sz val="11"/>
        <color rgb="FF1F1F1F"/>
        <rFont val="Arial"/>
        <family val="2"/>
      </rPr>
      <t>.</t>
    </r>
  </si>
  <si>
    <t>Thalasso</t>
  </si>
  <si>
    <t>Clientèle "Santé".</t>
  </si>
  <si>
    <r>
      <t>Vacances Scolaires</t>
    </r>
    <r>
      <rPr>
        <sz val="11"/>
        <color rgb="FF1F1F1F"/>
        <rFont val="Arial"/>
        <family val="2"/>
      </rPr>
      <t>.</t>
    </r>
  </si>
  <si>
    <r>
      <t>Mariage / Clôture vacances</t>
    </r>
    <r>
      <rPr>
        <sz val="11"/>
        <color rgb="FF1F1F1F"/>
        <rFont val="Arial"/>
        <family val="2"/>
      </rPr>
      <t>.</t>
    </r>
  </si>
  <si>
    <t>Reprise Thalasso.</t>
  </si>
  <si>
    <t>Curistes.</t>
  </si>
  <si>
    <t>Pré-St Val</t>
  </si>
  <si>
    <r>
      <t>Dîner Gala / Pâtisserie</t>
    </r>
    <r>
      <rPr>
        <sz val="11"/>
        <color rgb="FF1F1F1F"/>
        <rFont val="Arial"/>
        <family val="2"/>
      </rPr>
      <t>.</t>
    </r>
  </si>
  <si>
    <r>
      <t>COMPLET (Couples locaux)</t>
    </r>
    <r>
      <rPr>
        <sz val="11"/>
        <color rgb="FF1F1F1F"/>
        <rFont val="Arial"/>
        <family val="2"/>
      </rPr>
      <t>.</t>
    </r>
  </si>
  <si>
    <t>Buffet "Love" dominical.</t>
  </si>
  <si>
    <t>Minimum mois.</t>
  </si>
  <si>
    <t>Pré-Ramadan MICE.</t>
  </si>
  <si>
    <r>
      <t>Iftar : Briks &amp; Entrées</t>
    </r>
    <r>
      <rPr>
        <sz val="11"/>
        <color rgb="FF1F1F1F"/>
        <rFont val="Arial"/>
        <family val="2"/>
      </rPr>
      <t>.</t>
    </r>
  </si>
  <si>
    <t>Clientèle MICE.</t>
  </si>
  <si>
    <t>Iftar familles.</t>
  </si>
  <si>
    <r>
      <t>Iftar Corporate (Banqueting)</t>
    </r>
    <r>
      <rPr>
        <sz val="11"/>
        <color rgb="FF1F1F1F"/>
        <rFont val="Arial"/>
        <family val="2"/>
      </rPr>
      <t>.</t>
    </r>
  </si>
  <si>
    <t>Iftar local.</t>
  </si>
  <si>
    <r>
      <t>Férié : Iftar Populaire</t>
    </r>
    <r>
      <rPr>
        <sz val="11"/>
        <color rgb="FF1F1F1F"/>
        <rFont val="Arial"/>
        <family val="2"/>
      </rPr>
      <t>.</t>
    </r>
  </si>
  <si>
    <r>
      <t>Pic banquets Iftar</t>
    </r>
    <r>
      <rPr>
        <sz val="11"/>
        <color rgb="FF1F1F1F"/>
        <rFont val="Arial"/>
        <family val="2"/>
      </rPr>
      <t>.</t>
    </r>
  </si>
  <si>
    <r>
      <t>Nuit du Destin : Pâtisseries</t>
    </r>
    <r>
      <rPr>
        <sz val="11"/>
        <color rgb="FF1F1F1F"/>
        <rFont val="Arial"/>
        <family val="2"/>
      </rPr>
      <t>.</t>
    </r>
  </si>
  <si>
    <t>Workshop technique.</t>
  </si>
  <si>
    <r>
      <t>Grand Banquet local</t>
    </r>
    <r>
      <rPr>
        <sz val="11"/>
        <color rgb="FF1F1F1F"/>
        <rFont val="Arial"/>
        <family val="2"/>
      </rPr>
      <t>.</t>
    </r>
  </si>
  <si>
    <t>Animation WaterPark.</t>
  </si>
  <si>
    <r>
      <t>Pâtisserie de fête</t>
    </r>
    <r>
      <rPr>
        <sz val="11"/>
        <color rgb="FF1F1F1F"/>
        <rFont val="Arial"/>
        <family val="2"/>
      </rPr>
      <t>.</t>
    </r>
  </si>
  <si>
    <t>Séminaire Banque.</t>
  </si>
  <si>
    <t>Arrivées MICE.</t>
  </si>
  <si>
    <r>
      <t>COMPLET (Mariage local)</t>
    </r>
    <r>
      <rPr>
        <sz val="11"/>
        <color rgb="FF1F1F1F"/>
        <rFont val="Arial"/>
        <family val="2"/>
      </rPr>
      <t>.</t>
    </r>
  </si>
  <si>
    <t>Buffet de sortie.</t>
  </si>
  <si>
    <r>
      <t>Grand Gala / Banquet</t>
    </r>
    <r>
      <rPr>
        <sz val="11"/>
        <color rgb="FF1F1F1F"/>
        <rFont val="Arial"/>
        <family val="2"/>
      </rPr>
      <t>.</t>
    </r>
  </si>
  <si>
    <t>Buffet WaterPark.</t>
  </si>
  <si>
    <t>Flux étranger.</t>
  </si>
  <si>
    <r>
      <t>Banquet de fin de mois</t>
    </r>
    <r>
      <rPr>
        <sz val="11"/>
        <color rgb="FF1F1F1F"/>
        <rFont val="Arial"/>
        <family val="2"/>
      </rPr>
      <t>.</t>
    </r>
  </si>
  <si>
    <r>
      <t>Gala : Briks &amp; Gâteaux</t>
    </r>
    <r>
      <rPr>
        <sz val="11"/>
        <color rgb="FF1F1F1F"/>
        <rFont val="Arial"/>
        <family val="2"/>
      </rPr>
      <t>.</t>
    </r>
  </si>
  <si>
    <r>
      <t>RECORD (Banquet Aïd)</t>
    </r>
    <r>
      <rPr>
        <sz val="11"/>
        <color rgb="FF1F1F1F"/>
        <rFont val="Arial"/>
        <family val="2"/>
      </rPr>
      <t>.</t>
    </r>
  </si>
  <si>
    <t>Brunch WaterPark.</t>
  </si>
  <si>
    <r>
      <t>MAX DE JUIN (Mariage)</t>
    </r>
    <r>
      <rPr>
        <sz val="11"/>
        <color rgb="FF1F1F1F"/>
        <rFont val="Arial"/>
        <family val="2"/>
      </rPr>
      <t>.</t>
    </r>
  </si>
  <si>
    <r>
      <t>GALA (Fête Nationale)</t>
    </r>
    <r>
      <rPr>
        <sz val="11"/>
        <color rgb="FF1F1F1F"/>
        <rFont val="Arial"/>
        <family val="2"/>
      </rPr>
      <t>.</t>
    </r>
  </si>
  <si>
    <r>
      <t>Banquet Géant</t>
    </r>
    <r>
      <rPr>
        <sz val="11"/>
        <color rgb="FF1F1F1F"/>
        <rFont val="Arial"/>
        <family val="2"/>
      </rPr>
      <t>.</t>
    </r>
  </si>
  <si>
    <r>
      <t>Fête Nationale : Gala</t>
    </r>
    <r>
      <rPr>
        <sz val="11"/>
        <color rgb="FF1F1F1F"/>
        <rFont val="Arial"/>
        <family val="2"/>
      </rPr>
      <t>.</t>
    </r>
  </si>
  <si>
    <t>Weekend de départ.</t>
  </si>
  <si>
    <t>Flux estival maximal.</t>
  </si>
  <si>
    <r>
      <t>RECORD (Grand Mariage)</t>
    </r>
    <r>
      <rPr>
        <sz val="11"/>
        <color rgb="FF1F1F1F"/>
        <rFont val="Arial"/>
        <family val="2"/>
      </rPr>
      <t>.</t>
    </r>
  </si>
  <si>
    <t>Arrivées MICE / Seniors.</t>
  </si>
  <si>
    <r>
      <t>Congrès Éducation</t>
    </r>
    <r>
      <rPr>
        <sz val="11"/>
        <color rgb="FF1F1F1F"/>
        <rFont val="Arial"/>
        <family val="2"/>
      </rPr>
      <t>.</t>
    </r>
  </si>
  <si>
    <r>
      <t>Workshop Entreprise</t>
    </r>
    <r>
      <rPr>
        <sz val="11"/>
        <color rgb="FF1F1F1F"/>
        <rFont val="Arial"/>
        <family val="2"/>
      </rPr>
      <t>.</t>
    </r>
  </si>
  <si>
    <t>Cure Thalasso.</t>
  </si>
  <si>
    <r>
      <t>Congrès Régional</t>
    </r>
    <r>
      <rPr>
        <sz val="11"/>
        <color rgb="FF1F1F1F"/>
        <rFont val="Arial"/>
        <family val="2"/>
      </rPr>
      <t>.</t>
    </r>
  </si>
  <si>
    <r>
      <t>Pâtisserie de Vacances</t>
    </r>
    <r>
      <rPr>
        <sz val="11"/>
        <color rgb="FF1F1F1F"/>
        <rFont val="Arial"/>
        <family val="2"/>
      </rPr>
      <t>.</t>
    </r>
  </si>
  <si>
    <t>Fin de vacances.</t>
  </si>
  <si>
    <t>Clientèle cure.</t>
  </si>
  <si>
    <r>
      <t>Séminaire Assurance</t>
    </r>
    <r>
      <rPr>
        <sz val="11"/>
        <color rgb="FF1F1F1F"/>
        <rFont val="Arial"/>
        <family val="2"/>
      </rPr>
      <t>.</t>
    </r>
  </si>
  <si>
    <t>Weekend thalasso.</t>
  </si>
  <si>
    <r>
      <t>Séminaire technique</t>
    </r>
    <r>
      <rPr>
        <sz val="11"/>
        <color rgb="FF1F1F1F"/>
        <rFont val="Arial"/>
        <family val="2"/>
      </rPr>
      <t>.</t>
    </r>
  </si>
  <si>
    <t>Clientèle cure hiver.</t>
  </si>
  <si>
    <r>
      <t>Dîner de fin d'année</t>
    </r>
    <r>
      <rPr>
        <sz val="11"/>
        <color rgb="FF1F1F1F"/>
        <rFont val="Arial"/>
        <family val="2"/>
      </rPr>
      <t>.</t>
    </r>
  </si>
  <si>
    <t>Arrivées familles.</t>
  </si>
  <si>
    <t>Flux vacances.</t>
  </si>
  <si>
    <r>
      <t>RECORD (Gala Spectacle)</t>
    </r>
    <r>
      <rPr>
        <sz val="11"/>
        <color rgb="FF1F1F1F"/>
        <rFont val="Arial"/>
        <family val="2"/>
      </rPr>
      <t>.</t>
    </r>
  </si>
  <si>
    <t>Nahrawess Resort Thalasso &amp; Wat</t>
  </si>
  <si>
    <r>
      <t>Brunch Signature (VIP)</t>
    </r>
    <r>
      <rPr>
        <sz val="11"/>
        <color rgb="FF1F1F1F"/>
        <rFont val="Arial"/>
        <family val="2"/>
      </rPr>
      <t>.</t>
    </r>
  </si>
  <si>
    <t>Diplomatie / Affaires.</t>
  </si>
  <si>
    <r>
      <t>Mariage Urbain Luxe</t>
    </r>
    <r>
      <rPr>
        <sz val="11"/>
        <color rgb="FF1F1F1F"/>
        <rFont val="Arial"/>
        <family val="2"/>
      </rPr>
      <t>.</t>
    </r>
  </si>
  <si>
    <t>Brunch dominical prisé.</t>
  </si>
  <si>
    <t>Business / Afterwork.</t>
  </si>
  <si>
    <t>Férié (Service réduit).</t>
  </si>
  <si>
    <t>Reprise intense.</t>
  </si>
  <si>
    <t>Diplomatie.</t>
  </si>
  <si>
    <t>Séminaire Pharma.</t>
  </si>
  <si>
    <r>
      <t>Mariage Urbain</t>
    </r>
    <r>
      <rPr>
        <sz val="11"/>
        <color rgb="FF1F1F1F"/>
        <rFont val="Arial"/>
        <family val="2"/>
      </rPr>
      <t>.</t>
    </r>
  </si>
  <si>
    <t>Consultants / Experts.</t>
  </si>
  <si>
    <t>Séminaire IT.</t>
  </si>
  <si>
    <t>Afterwork VIP.</t>
  </si>
  <si>
    <r>
      <t>Réception Gala</t>
    </r>
    <r>
      <rPr>
        <sz val="11"/>
        <color rgb="FF1F1F1F"/>
        <rFont val="Arial"/>
        <family val="2"/>
      </rPr>
      <t>.</t>
    </r>
  </si>
  <si>
    <t>Arrivées couples Business.</t>
  </si>
  <si>
    <r>
      <t>Dîner d'exception (Record)</t>
    </r>
    <r>
      <rPr>
        <sz val="11"/>
        <color rgb="FF1F1F1F"/>
        <rFont val="Arial"/>
        <family val="2"/>
      </rPr>
      <t>.</t>
    </r>
  </si>
  <si>
    <t>Weekend Romantique.</t>
  </si>
  <si>
    <t>Brunch "After Valentine".</t>
  </si>
  <si>
    <t>Afterwork.</t>
  </si>
  <si>
    <t>Iftar familles VIP.</t>
  </si>
  <si>
    <t>Diplomatie (non-jeûneurs).</t>
  </si>
  <si>
    <t>Business lunch réduit.</t>
  </si>
  <si>
    <r>
      <t>Iftar Entreprise</t>
    </r>
    <r>
      <rPr>
        <sz val="11"/>
        <color rgb="FF1F1F1F"/>
        <rFont val="Arial"/>
        <family val="2"/>
      </rPr>
      <t>.</t>
    </r>
  </si>
  <si>
    <t>Iftar &amp; Soirée.</t>
  </si>
  <si>
    <t>Brunch Iftar.</t>
  </si>
  <si>
    <r>
      <t>Banquet Pharma</t>
    </r>
    <r>
      <rPr>
        <sz val="11"/>
        <color rgb="FF1F1F1F"/>
        <rFont val="Arial"/>
        <family val="2"/>
      </rPr>
      <t>.</t>
    </r>
  </si>
  <si>
    <r>
      <t>Banquet Banque</t>
    </r>
    <r>
      <rPr>
        <sz val="11"/>
        <color rgb="FF1F1F1F"/>
        <rFont val="Arial"/>
        <family val="2"/>
      </rPr>
      <t>.</t>
    </r>
  </si>
  <si>
    <t>Iftar résidentiel.</t>
  </si>
  <si>
    <r>
      <t>Iftar de Prestige</t>
    </r>
    <r>
      <rPr>
        <sz val="11"/>
        <color rgb="FF1F1F1F"/>
        <rFont val="Arial"/>
        <family val="2"/>
      </rPr>
      <t>.</t>
    </r>
  </si>
  <si>
    <r>
      <t>Banqueting Iftar</t>
    </r>
    <r>
      <rPr>
        <sz val="11"/>
        <color rgb="FF1F1F1F"/>
        <rFont val="Arial"/>
        <family val="2"/>
      </rPr>
      <t>.</t>
    </r>
  </si>
  <si>
    <r>
      <t>Nuit du Destin : Buffet VIP</t>
    </r>
    <r>
      <rPr>
        <sz val="11"/>
        <color rgb="FF1F1F1F"/>
        <rFont val="Arial"/>
        <family val="2"/>
      </rPr>
      <t>.</t>
    </r>
  </si>
  <si>
    <r>
      <t>RECORD (Petit-Déj de l'Aïd)</t>
    </r>
    <r>
      <rPr>
        <sz val="11"/>
        <color rgb="FF1F1F1F"/>
        <rFont val="Arial"/>
        <family val="2"/>
      </rPr>
      <t>.</t>
    </r>
  </si>
  <si>
    <t>Business intensif.</t>
  </si>
  <si>
    <t>Arrivées Business/Loisirs.</t>
  </si>
  <si>
    <r>
      <t>Férié : Brunch spécial</t>
    </r>
    <r>
      <rPr>
        <sz val="11"/>
        <color rgb="FF1F1F1F"/>
        <rFont val="Arial"/>
        <family val="2"/>
      </rPr>
      <t>.</t>
    </r>
  </si>
  <si>
    <t>Clients "Expatriés".</t>
  </si>
  <si>
    <r>
      <t>Pâtisserie Pâques</t>
    </r>
    <r>
      <rPr>
        <sz val="11"/>
        <color rgb="FF1F1F1F"/>
        <rFont val="Arial"/>
        <family val="2"/>
      </rPr>
      <t>.</t>
    </r>
  </si>
  <si>
    <r>
      <t>Grand Brunch de Pâques</t>
    </r>
    <r>
      <rPr>
        <sz val="11"/>
        <color rgb="FF1F1F1F"/>
        <rFont val="Arial"/>
        <family val="2"/>
      </rPr>
      <t>.</t>
    </r>
  </si>
  <si>
    <r>
      <t>Férié : Brunch Urbain</t>
    </r>
    <r>
      <rPr>
        <sz val="11"/>
        <color rgb="FF1F1F1F"/>
        <rFont val="Arial"/>
        <family val="2"/>
      </rPr>
      <t>.</t>
    </r>
  </si>
  <si>
    <r>
      <t>Congrès Telecom</t>
    </r>
    <r>
      <rPr>
        <sz val="11"/>
        <color rgb="FF1F1F1F"/>
        <rFont val="Arial"/>
        <family val="2"/>
      </rPr>
      <t>.</t>
    </r>
  </si>
  <si>
    <t>Flux diplomatique.</t>
  </si>
  <si>
    <t>Fin de conférence.</t>
  </si>
  <si>
    <r>
      <t>Grand Banquet VIP</t>
    </r>
    <r>
      <rPr>
        <sz val="11"/>
        <color rgb="FF1F1F1F"/>
        <rFont val="Arial"/>
        <family val="2"/>
      </rPr>
      <t>.</t>
    </r>
  </si>
  <si>
    <r>
      <t>Mariage Luxe</t>
    </r>
    <r>
      <rPr>
        <sz val="11"/>
        <color rgb="FF1F1F1F"/>
        <rFont val="Arial"/>
        <family val="2"/>
      </rPr>
      <t>.</t>
    </r>
  </si>
  <si>
    <t>Brunch Signature.</t>
  </si>
  <si>
    <r>
      <t>Sommet Régional</t>
    </r>
    <r>
      <rPr>
        <sz val="11"/>
        <color rgb="FF1F1F1F"/>
        <rFont val="Arial"/>
        <family val="2"/>
      </rPr>
      <t>.</t>
    </r>
  </si>
  <si>
    <r>
      <t>Mariage (Record du mois)</t>
    </r>
    <r>
      <rPr>
        <sz val="11"/>
        <color rgb="FF1F1F1F"/>
        <rFont val="Arial"/>
        <family val="2"/>
      </rPr>
      <t>.</t>
    </r>
  </si>
  <si>
    <t>Arrivées Loisirs/VIP.</t>
  </si>
  <si>
    <r>
      <t>Petit-déj de fête</t>
    </r>
    <r>
      <rPr>
        <sz val="11"/>
        <color rgb="FF1F1F1F"/>
        <rFont val="Arial"/>
        <family val="2"/>
      </rPr>
      <t>.</t>
    </r>
  </si>
  <si>
    <r>
      <t>Gala Aïd (Record)</t>
    </r>
    <r>
      <rPr>
        <sz val="11"/>
        <color rgb="FF1F1F1F"/>
        <rFont val="Arial"/>
        <family val="2"/>
      </rPr>
      <t>.</t>
    </r>
  </si>
  <si>
    <r>
      <t>Mariage (Haute Saison)</t>
    </r>
    <r>
      <rPr>
        <sz val="11"/>
        <color rgb="FF1F1F1F"/>
        <rFont val="Arial"/>
        <family val="2"/>
      </rPr>
      <t>.</t>
    </r>
  </si>
  <si>
    <t>Pré-Fête Nationale.</t>
  </si>
  <si>
    <t>Clientèle Gulf / TRE.</t>
  </si>
  <si>
    <t>Afterwork Terrasse.</t>
  </si>
  <si>
    <r>
      <t>Grand Mariage (Luxe)</t>
    </r>
    <r>
      <rPr>
        <sz val="11"/>
        <color rgb="FF1F1F1F"/>
        <rFont val="Arial"/>
        <family val="2"/>
      </rPr>
      <t>.</t>
    </r>
  </si>
  <si>
    <r>
      <t>Mariage VIP (Record)</t>
    </r>
    <r>
      <rPr>
        <sz val="11"/>
        <color rgb="FF1F1F1F"/>
        <rFont val="Arial"/>
        <family val="2"/>
      </rPr>
      <t>.</t>
    </r>
  </si>
  <si>
    <t>Soirée Roof-top.</t>
  </si>
  <si>
    <r>
      <t>Gala Fête Nationale</t>
    </r>
    <r>
      <rPr>
        <sz val="11"/>
        <color rgb="FF1F1F1F"/>
        <rFont val="Arial"/>
        <family val="2"/>
      </rPr>
      <t>.</t>
    </r>
  </si>
  <si>
    <t>Soirée Roof-top VIP.</t>
  </si>
  <si>
    <t>Clientèle TRE / Golfe.</t>
  </si>
  <si>
    <t>Clientèle Libyenne VIP.</t>
  </si>
  <si>
    <r>
      <t>RECORD (Mariage/Gala)</t>
    </r>
    <r>
      <rPr>
        <sz val="11"/>
        <color rgb="FF1F1F1F"/>
        <rFont val="Arial"/>
        <family val="2"/>
      </rPr>
      <t>.</t>
    </r>
  </si>
  <si>
    <t>Soirée terrasse.</t>
  </si>
  <si>
    <t>Weekend touristique.</t>
  </si>
  <si>
    <t>Fin de saison TRE.</t>
  </si>
  <si>
    <t>Reprise</t>
  </si>
  <si>
    <t>Rentrée Business.</t>
  </si>
  <si>
    <r>
      <t>Congrès Assurance</t>
    </r>
    <r>
      <rPr>
        <sz val="11"/>
        <color rgb="FF1F1F1F"/>
        <rFont val="Arial"/>
        <family val="2"/>
      </rPr>
      <t>.</t>
    </r>
  </si>
  <si>
    <t>Afterwork Diplomatie.</t>
  </si>
  <si>
    <t>Flux intense.</t>
  </si>
  <si>
    <r>
      <t>Pic Séminaires IT</t>
    </r>
    <r>
      <rPr>
        <sz val="11"/>
        <color rgb="FF1F1F1F"/>
        <rFont val="Arial"/>
        <family val="2"/>
      </rPr>
      <t>.</t>
    </r>
  </si>
  <si>
    <r>
      <t>Forum Médical</t>
    </r>
    <r>
      <rPr>
        <sz val="11"/>
        <color rgb="FF1F1F1F"/>
        <rFont val="Arial"/>
        <family val="2"/>
      </rPr>
      <t>.</t>
    </r>
  </si>
  <si>
    <t>Délégations ONU/UE.</t>
  </si>
  <si>
    <r>
      <t>Sommet Afrique-Europe</t>
    </r>
    <r>
      <rPr>
        <sz val="11"/>
        <color rgb="FF1F1F1F"/>
        <rFont val="Arial"/>
        <family val="2"/>
      </rPr>
      <t>.</t>
    </r>
  </si>
  <si>
    <t>Diplomatie / Clôture.</t>
  </si>
  <si>
    <r>
      <t>Conférence Tech</t>
    </r>
    <r>
      <rPr>
        <sz val="11"/>
        <color rgb="FF1F1F1F"/>
        <rFont val="Arial"/>
        <family val="2"/>
      </rPr>
      <t>.</t>
    </r>
  </si>
  <si>
    <r>
      <t>Banquet d'Automne</t>
    </r>
    <r>
      <rPr>
        <sz val="11"/>
        <color rgb="FF1F1F1F"/>
        <rFont val="Arial"/>
        <family val="2"/>
      </rPr>
      <t>.</t>
    </r>
  </si>
  <si>
    <r>
      <t>Forum Énergie</t>
    </r>
    <r>
      <rPr>
        <sz val="11"/>
        <color rgb="FF1F1F1F"/>
        <rFont val="Arial"/>
        <family val="2"/>
      </rPr>
      <t>.</t>
    </r>
  </si>
  <si>
    <t>Préparation Halloween.</t>
  </si>
  <si>
    <t>Mariage urbain.</t>
  </si>
  <si>
    <r>
      <t>Lundi de rush</t>
    </r>
    <r>
      <rPr>
        <sz val="11"/>
        <color rgb="FF1F1F1F"/>
        <rFont val="Arial"/>
        <family val="2"/>
      </rPr>
      <t>.</t>
    </r>
  </si>
  <si>
    <r>
      <t>Forum Financier</t>
    </r>
    <r>
      <rPr>
        <sz val="11"/>
        <color rgb="FF1F1F1F"/>
        <rFont val="Arial"/>
        <family val="2"/>
      </rPr>
      <t>.</t>
    </r>
  </si>
  <si>
    <t>Afterwork Networking.</t>
  </si>
  <si>
    <r>
      <t>Gala d'Entreprise</t>
    </r>
    <r>
      <rPr>
        <sz val="11"/>
        <color rgb="FF1F1F1F"/>
        <rFont val="Arial"/>
        <family val="2"/>
      </rPr>
      <t>.</t>
    </r>
  </si>
  <si>
    <r>
      <t>Séminaire Pharma</t>
    </r>
    <r>
      <rPr>
        <sz val="11"/>
        <color rgb="FF1F1F1F"/>
        <rFont val="Arial"/>
        <family val="2"/>
      </rPr>
      <t>.</t>
    </r>
  </si>
  <si>
    <r>
      <t>Conférence Énergie</t>
    </r>
    <r>
      <rPr>
        <sz val="11"/>
        <color rgb="FF1F1F1F"/>
        <rFont val="Arial"/>
        <family val="2"/>
      </rPr>
      <t>.</t>
    </r>
  </si>
  <si>
    <t>Networking.</t>
  </si>
  <si>
    <r>
      <t>Banquet Annuel</t>
    </r>
    <r>
      <rPr>
        <sz val="11"/>
        <color rgb="FF1F1F1F"/>
        <rFont val="Arial"/>
        <family val="2"/>
      </rPr>
      <t>.</t>
    </r>
  </si>
  <si>
    <r>
      <t>Workshop Tech</t>
    </r>
    <r>
      <rPr>
        <sz val="11"/>
        <color rgb="FF1F1F1F"/>
        <rFont val="Arial"/>
        <family val="2"/>
      </rPr>
      <t>.</t>
    </r>
  </si>
  <si>
    <r>
      <t>Dîner Spécial (Expat)</t>
    </r>
    <r>
      <rPr>
        <sz val="11"/>
        <color rgb="FF1F1F1F"/>
        <rFont val="Arial"/>
        <family val="2"/>
      </rPr>
      <t>.</t>
    </r>
  </si>
  <si>
    <r>
      <t>Grand Mariage Hiver</t>
    </r>
    <r>
      <rPr>
        <sz val="11"/>
        <color rgb="FF1F1F1F"/>
        <rFont val="Arial"/>
        <family val="2"/>
      </rPr>
      <t>.</t>
    </r>
  </si>
  <si>
    <t>Rush de début de mois.</t>
  </si>
  <si>
    <t>Séminaire Finance.</t>
  </si>
  <si>
    <r>
      <t>Congrès Annuel</t>
    </r>
    <r>
      <rPr>
        <sz val="11"/>
        <color rgb="FF1F1F1F"/>
        <rFont val="Arial"/>
        <family val="2"/>
      </rPr>
      <t>.</t>
    </r>
  </si>
  <si>
    <t>Veille de férié.</t>
  </si>
  <si>
    <t>Afterwork de Noël.</t>
  </si>
  <si>
    <t>Clientèle Loisirs.</t>
  </si>
  <si>
    <t>Calme business.</t>
  </si>
  <si>
    <r>
      <t>Dîner Réveillon</t>
    </r>
    <r>
      <rPr>
        <sz val="11"/>
        <color rgb="FF1F1F1F"/>
        <rFont val="Arial"/>
        <family val="2"/>
      </rPr>
      <t>.</t>
    </r>
  </si>
  <si>
    <r>
      <t>Banquet VIP</t>
    </r>
    <r>
      <rPr>
        <sz val="11"/>
        <color rgb="FF1F1F1F"/>
        <rFont val="Arial"/>
        <family val="2"/>
      </rPr>
      <t>.</t>
    </r>
  </si>
  <si>
    <t>Réveillon</t>
  </si>
  <si>
    <r>
      <t>Gala de l'An</t>
    </r>
    <r>
      <rPr>
        <sz val="11"/>
        <color rgb="FF1F1F1F"/>
        <rFont val="Arial"/>
        <family val="2"/>
      </rPr>
      <t>.</t>
    </r>
  </si>
  <si>
    <t>Post-Fêtes</t>
  </si>
  <si>
    <t>Clientèle locale (Détente).</t>
  </si>
  <si>
    <t>Long Séjour</t>
  </si>
  <si>
    <t>Arrivée seniors Europe.</t>
  </si>
  <si>
    <t>Menu "Santé/Omelettes".</t>
  </si>
  <si>
    <t>Séminaire (Pauses café).</t>
  </si>
  <si>
    <t>Mariage / Banquet local.</t>
  </si>
  <si>
    <t>Entretien Aquapark.</t>
  </si>
  <si>
    <t>Soirée thématique TUI.</t>
  </si>
  <si>
    <t>Clientèle fidèle.</t>
  </si>
  <si>
    <t>Congrès (Clôture).</t>
  </si>
  <si>
    <t>Weekend familles locales.</t>
  </si>
  <si>
    <t>Nettoyage cuisine.</t>
  </si>
  <si>
    <t>Afterwork &amp; Weekend.</t>
  </si>
  <si>
    <r>
      <t>Brunch du Nouvel An</t>
    </r>
    <r>
      <rPr>
        <sz val="11"/>
        <color rgb="FF1F1F1F"/>
        <rFont val="Arial"/>
        <family val="2"/>
      </rPr>
      <t>.</t>
    </r>
  </si>
  <si>
    <r>
      <t>Groupe Corporate</t>
    </r>
    <r>
      <rPr>
        <sz val="11"/>
        <color rgb="FF1F1F1F"/>
        <rFont val="Arial"/>
        <family val="2"/>
      </rPr>
      <t>.</t>
    </r>
  </si>
  <si>
    <r>
      <t>Férié : Buffet spécial</t>
    </r>
    <r>
      <rPr>
        <sz val="11"/>
        <color rgb="FF1F1F1F"/>
        <rFont val="Arial"/>
        <family val="2"/>
      </rPr>
      <t>.</t>
    </r>
  </si>
  <si>
    <t>Clientèle Seniors.</t>
  </si>
  <si>
    <t>Routine All-In.</t>
  </si>
  <si>
    <r>
      <t>Convention Entreprise</t>
    </r>
    <r>
      <rPr>
        <sz val="11"/>
        <color rgb="FF1F1F1F"/>
        <rFont val="Arial"/>
        <family val="2"/>
      </rPr>
      <t>.</t>
    </r>
  </si>
  <si>
    <t>Séminaire (Clôture).</t>
  </si>
  <si>
    <t>Brunch Splash.</t>
  </si>
  <si>
    <t>Préparation Buffet.</t>
  </si>
  <si>
    <r>
      <t>Dîner Gala (Record)</t>
    </r>
    <r>
      <rPr>
        <sz val="11"/>
        <color rgb="FF1F1F1F"/>
        <rFont val="Arial"/>
        <family val="2"/>
      </rPr>
      <t>.</t>
    </r>
  </si>
  <si>
    <t>Splash &amp; Snacking.</t>
  </si>
  <si>
    <t>Flux vacanciers.</t>
  </si>
  <si>
    <t>Weekend de vacances.</t>
  </si>
  <si>
    <r>
      <t>Soirée TUI Magic</t>
    </r>
    <r>
      <rPr>
        <sz val="11"/>
        <color rgb="FF1F1F1F"/>
        <rFont val="Arial"/>
        <family val="2"/>
      </rPr>
      <t>.</t>
    </r>
  </si>
  <si>
    <t>Départs familles.</t>
  </si>
  <si>
    <t>Transition Cuisine.</t>
  </si>
  <si>
    <r>
      <t>Iftar de bienvenue</t>
    </r>
    <r>
      <rPr>
        <sz val="11"/>
        <color rgb="FF1F1F1F"/>
        <rFont val="Arial"/>
        <family val="2"/>
      </rPr>
      <t>.</t>
    </r>
  </si>
  <si>
    <t>Shour &amp; Brunch.</t>
  </si>
  <si>
    <t>Flux touristique calme.</t>
  </si>
  <si>
    <r>
      <t>Grand Iftar Weekend</t>
    </r>
    <r>
      <rPr>
        <sz val="11"/>
        <color rgb="FF1F1F1F"/>
        <rFont val="Arial"/>
        <family val="2"/>
      </rPr>
      <t>.</t>
    </r>
  </si>
  <si>
    <t>Shour copieux.</t>
  </si>
  <si>
    <r>
      <t>Iftar &amp; Soirée TUI</t>
    </r>
    <r>
      <rPr>
        <sz val="11"/>
        <color rgb="FF1F1F1F"/>
        <rFont val="Arial"/>
        <family val="2"/>
      </rPr>
      <t>.</t>
    </r>
  </si>
  <si>
    <t>Pré-Indépendance.</t>
  </si>
  <si>
    <r>
      <t>Pic Iftar Weekend</t>
    </r>
    <r>
      <rPr>
        <sz val="11"/>
        <color rgb="FF1F1F1F"/>
        <rFont val="Arial"/>
        <family val="2"/>
      </rPr>
      <t>.</t>
    </r>
  </si>
  <si>
    <t>Shour familles.</t>
  </si>
  <si>
    <t>27ème Jour (Nuit Destin)</t>
  </si>
  <si>
    <t>Fin Ramadan calme.</t>
  </si>
  <si>
    <r>
      <t>RESTAURATION NON-STOP</t>
    </r>
    <r>
      <rPr>
        <sz val="11"/>
        <color rgb="FF1F1F1F"/>
        <rFont val="Arial"/>
        <family val="2"/>
      </rPr>
      <t>.</t>
    </r>
  </si>
  <si>
    <r>
      <t>Fête &amp; Brunch</t>
    </r>
    <r>
      <rPr>
        <sz val="11"/>
        <color rgb="FF1F1F1F"/>
        <rFont val="Arial"/>
        <family val="2"/>
      </rPr>
      <t>.</t>
    </r>
  </si>
  <si>
    <t>Départs.</t>
  </si>
  <si>
    <t>Début de saison.</t>
  </si>
  <si>
    <r>
      <t>Férié : Buffet local</t>
    </r>
    <r>
      <rPr>
        <sz val="11"/>
        <color rgb="FF1F1F1F"/>
        <rFont val="Arial"/>
        <family val="2"/>
      </rPr>
      <t>.</t>
    </r>
  </si>
  <si>
    <t>Début vacances Europe.</t>
  </si>
  <si>
    <r>
      <t>Gala Vacances</t>
    </r>
    <r>
      <rPr>
        <sz val="11"/>
        <color rgb="FF1F1F1F"/>
        <rFont val="Arial"/>
        <family val="2"/>
      </rPr>
      <t>.</t>
    </r>
  </si>
  <si>
    <t>Snacking intense.</t>
  </si>
  <si>
    <t>Mid-week rush.</t>
  </si>
  <si>
    <r>
      <t>Banquet Printemps</t>
    </r>
    <r>
      <rPr>
        <sz val="11"/>
        <color rgb="FF1F1F1F"/>
        <rFont val="Arial"/>
        <family val="2"/>
      </rPr>
      <t>.</t>
    </r>
  </si>
  <si>
    <r>
      <t>RECORD : Grand Brunch</t>
    </r>
    <r>
      <rPr>
        <sz val="11"/>
        <color rgb="FF1F1F1F"/>
        <rFont val="Arial"/>
        <family val="2"/>
      </rPr>
      <t>.</t>
    </r>
  </si>
  <si>
    <t>Lundi de Pâques.</t>
  </si>
  <si>
    <r>
      <t>Soirée Spectacle</t>
    </r>
    <r>
      <rPr>
        <sz val="11"/>
        <color rgb="FF1F1F1F"/>
        <rFont val="Arial"/>
        <family val="2"/>
      </rPr>
      <t>.</t>
    </r>
  </si>
  <si>
    <r>
      <t>Férié : Buffet de fête</t>
    </r>
    <r>
      <rPr>
        <sz val="11"/>
        <color rgb="FF1F1F1F"/>
        <rFont val="Arial"/>
        <family val="2"/>
      </rPr>
      <t>.</t>
    </r>
  </si>
  <si>
    <r>
      <t>Gala TUI Magic</t>
    </r>
    <r>
      <rPr>
        <sz val="11"/>
        <color rgb="FF1F1F1F"/>
        <rFont val="Arial"/>
        <family val="2"/>
      </rPr>
      <t>.</t>
    </r>
  </si>
  <si>
    <t>Business Incentive.</t>
  </si>
  <si>
    <t>Arrivées Ascension.</t>
  </si>
  <si>
    <t>Pont de l'Ascension.</t>
  </si>
  <si>
    <r>
      <t>Gala Ascension</t>
    </r>
    <r>
      <rPr>
        <sz val="11"/>
        <color rgb="FF1F1F1F"/>
        <rFont val="Arial"/>
        <family val="2"/>
      </rPr>
      <t>.</t>
    </r>
  </si>
  <si>
    <t>Brunch massif.</t>
  </si>
  <si>
    <r>
      <t>Record Mai (Mariage)</t>
    </r>
    <r>
      <rPr>
        <sz val="11"/>
        <color rgb="FF1F1F1F"/>
        <rFont val="Arial"/>
        <family val="2"/>
      </rPr>
      <t>.</t>
    </r>
  </si>
  <si>
    <t>Arrivées locales massives.</t>
  </si>
  <si>
    <r>
      <t>Gala Aïd al-Adha</t>
    </r>
    <r>
      <rPr>
        <sz val="11"/>
        <color rgb="FF1F1F1F"/>
        <rFont val="Arial"/>
        <family val="2"/>
      </rPr>
      <t>.</t>
    </r>
  </si>
  <si>
    <r>
      <t>RECORD (Petit-déj fête)</t>
    </r>
    <r>
      <rPr>
        <sz val="11"/>
        <color rgb="FF1F1F1F"/>
        <rFont val="Arial"/>
        <family val="2"/>
      </rPr>
      <t>.</t>
    </r>
  </si>
  <si>
    <t>Reprise All-In.</t>
  </si>
  <si>
    <r>
      <t>Soirée TUI Show</t>
    </r>
    <r>
      <rPr>
        <sz val="11"/>
        <color rgb="FF1F1F1F"/>
        <rFont val="Arial"/>
        <family val="2"/>
      </rPr>
      <t>.</t>
    </r>
  </si>
  <si>
    <r>
      <t>Gala d'Été</t>
    </r>
    <r>
      <rPr>
        <sz val="11"/>
        <color rgb="FF1F1F1F"/>
        <rFont val="Arial"/>
        <family val="2"/>
      </rPr>
      <t>.</t>
    </r>
  </si>
  <si>
    <t>Veille Fête Nationale.</t>
  </si>
  <si>
    <r>
      <t>Grand Buffet Gala</t>
    </r>
    <r>
      <rPr>
        <sz val="11"/>
        <color rgb="FF1F1F1F"/>
        <rFont val="Arial"/>
        <family val="2"/>
      </rPr>
      <t>.</t>
    </r>
  </si>
  <si>
    <r>
      <t>Gala d'été</t>
    </r>
    <r>
      <rPr>
        <sz val="11"/>
        <color rgb="FF1F1F1F"/>
        <rFont val="Arial"/>
        <family val="2"/>
      </rPr>
      <t>.</t>
    </r>
  </si>
  <si>
    <t>Flux All-In max.</t>
  </si>
  <si>
    <t>Activités Sportives.</t>
  </si>
  <si>
    <t>Weekend TRE.</t>
  </si>
  <si>
    <r>
      <t>Soirée Magique</t>
    </r>
    <r>
      <rPr>
        <sz val="11"/>
        <color rgb="FF1F1F1F"/>
        <rFont val="Arial"/>
        <family val="2"/>
      </rPr>
      <t>.</t>
    </r>
  </si>
  <si>
    <t>Brunch international.</t>
  </si>
  <si>
    <t>Snack non-stop.</t>
  </si>
  <si>
    <r>
      <t>GALA NATIONAL</t>
    </r>
    <r>
      <rPr>
        <sz val="11"/>
        <color rgb="FF1F1F1F"/>
        <rFont val="Arial"/>
        <family val="2"/>
      </rPr>
      <t>.</t>
    </r>
  </si>
  <si>
    <t>Weekend Mid-Août.</t>
  </si>
  <si>
    <t>Brunch géant.</t>
  </si>
  <si>
    <t>Routine 100%.</t>
  </si>
  <si>
    <r>
      <t>Show &amp; Buffet</t>
    </r>
    <r>
      <rPr>
        <sz val="11"/>
        <color rgb="FF1F1F1F"/>
        <rFont val="Arial"/>
        <family val="2"/>
      </rPr>
      <t>.</t>
    </r>
  </si>
  <si>
    <t>Dernier weekend.</t>
  </si>
  <si>
    <r>
      <t>Grand Banquet Final</t>
    </r>
    <r>
      <rPr>
        <sz val="11"/>
        <color rgb="FF1F1F1F"/>
        <rFont val="Arial"/>
        <family val="2"/>
      </rPr>
      <t>.</t>
    </r>
  </si>
  <si>
    <t>Clientèle couples.</t>
  </si>
  <si>
    <r>
      <t>Dernier Grand Gala</t>
    </r>
    <r>
      <rPr>
        <sz val="11"/>
        <color rgb="FF1F1F1F"/>
        <rFont val="Arial"/>
        <family val="2"/>
      </rPr>
      <t>.</t>
    </r>
  </si>
  <si>
    <t>Séminaire (Dîner Gala).</t>
  </si>
  <si>
    <r>
      <t>Mariage Septembre</t>
    </r>
    <r>
      <rPr>
        <sz val="11"/>
        <color rgb="FF1F1F1F"/>
        <rFont val="Arial"/>
        <family val="2"/>
      </rPr>
      <t>.</t>
    </r>
  </si>
  <si>
    <r>
      <t>Banqueting</t>
    </r>
    <r>
      <rPr>
        <sz val="11"/>
        <color rgb="FF1F1F1F"/>
        <rFont val="Arial"/>
        <family val="2"/>
      </rPr>
      <t>.</t>
    </r>
  </si>
  <si>
    <r>
      <t>Banquet d'automne</t>
    </r>
    <r>
      <rPr>
        <sz val="11"/>
        <color rgb="FF1F1F1F"/>
        <rFont val="Arial"/>
        <family val="2"/>
      </rPr>
      <t>.</t>
    </r>
  </si>
  <si>
    <t>Seniors</t>
  </si>
  <si>
    <t>Clientèle "Long Stay".</t>
  </si>
  <si>
    <r>
      <t>Convention IT</t>
    </r>
    <r>
      <rPr>
        <sz val="11"/>
        <color rgb="FF1F1F1F"/>
        <rFont val="Arial"/>
        <family val="2"/>
      </rPr>
      <t>.</t>
    </r>
  </si>
  <si>
    <t>Convention (Gala).</t>
  </si>
  <si>
    <r>
      <t>Férié : Grand Buffet</t>
    </r>
    <r>
      <rPr>
        <sz val="11"/>
        <color rgb="FF1F1F1F"/>
        <rFont val="Arial"/>
        <family val="2"/>
      </rPr>
      <t>.</t>
    </r>
  </si>
  <si>
    <r>
      <t>Début Vacances Toussaint</t>
    </r>
    <r>
      <rPr>
        <sz val="11"/>
        <color rgb="FF1F1F1F"/>
        <rFont val="Arial"/>
        <family val="2"/>
      </rPr>
      <t>.</t>
    </r>
  </si>
  <si>
    <r>
      <t>Gala des Familles</t>
    </r>
    <r>
      <rPr>
        <sz val="11"/>
        <color rgb="FF1F1F1F"/>
        <rFont val="Arial"/>
        <family val="2"/>
      </rPr>
      <t>.</t>
    </r>
  </si>
  <si>
    <t>Snacking actif.</t>
  </si>
  <si>
    <r>
      <t>BUFFET THÉMATIQUE</t>
    </r>
    <r>
      <rPr>
        <sz val="11"/>
        <color rgb="FF1F1F1F"/>
        <rFont val="Arial"/>
        <family val="2"/>
      </rPr>
      <t>.</t>
    </r>
  </si>
  <si>
    <t>Congrès (Ateliers).</t>
  </si>
  <si>
    <t>Clôture &amp; Gala.</t>
  </si>
  <si>
    <r>
      <t>Réception Privée</t>
    </r>
    <r>
      <rPr>
        <sz val="11"/>
        <color rgb="FF1F1F1F"/>
        <rFont val="Arial"/>
        <family val="2"/>
      </rPr>
      <t>.</t>
    </r>
  </si>
  <si>
    <t>Weekend Incentive.</t>
  </si>
  <si>
    <t>Routine hiver.</t>
  </si>
  <si>
    <r>
      <t>Gala Corporate</t>
    </r>
    <r>
      <rPr>
        <sz val="11"/>
        <color rgb="FF1F1F1F"/>
        <rFont val="Arial"/>
        <family val="2"/>
      </rPr>
      <t>.</t>
    </r>
  </si>
  <si>
    <r>
      <t>RÉVEILLON DE NOËL</t>
    </r>
    <r>
      <rPr>
        <sz val="11"/>
        <color rgb="FF1F1F1F"/>
        <rFont val="Arial"/>
        <family val="2"/>
      </rPr>
      <t>.</t>
    </r>
  </si>
  <si>
    <t>Flux max.</t>
  </si>
  <si>
    <t>Mise en place Sylvestre.</t>
  </si>
  <si>
    <r>
      <t>RECORD ABSOLU GALA</t>
    </r>
    <r>
      <rPr>
        <sz val="11"/>
        <color rgb="FF1F1F1F"/>
        <rFont val="Arial"/>
        <family val="2"/>
      </rPr>
      <t>.</t>
    </r>
  </si>
  <si>
    <t>TUI MAGIC LIFE Africana (Splash</t>
  </si>
  <si>
    <r>
      <t>Brunch de Gala (Prosecco &amp; Eggs)</t>
    </r>
    <r>
      <rPr>
        <sz val="11"/>
        <color rgb="FF1F1F1F"/>
        <rFont val="Arial"/>
        <family val="2"/>
      </rPr>
      <t>.</t>
    </r>
  </si>
  <si>
    <t>Dîner thématique.</t>
  </si>
  <si>
    <t>Clientèle Long Séjour.</t>
  </si>
  <si>
    <t>Routine "Healthy".</t>
  </si>
  <si>
    <r>
      <t>Soirée Signature</t>
    </r>
    <r>
      <rPr>
        <sz val="11"/>
        <color rgb="FF1F1F1F"/>
        <rFont val="Arial"/>
        <family val="2"/>
      </rPr>
      <t>.</t>
    </r>
  </si>
  <si>
    <t>Brunch Palace.</t>
  </si>
  <si>
    <r>
      <t>Menu Dégustation</t>
    </r>
    <r>
      <rPr>
        <sz val="11"/>
        <color rgb="FF1F1F1F"/>
        <rFont val="Arial"/>
        <family val="2"/>
      </rPr>
      <t>.</t>
    </r>
  </si>
  <si>
    <t>Clientèle locale (Couples).</t>
  </si>
  <si>
    <r>
      <t>Dîner aux chandelles</t>
    </r>
    <r>
      <rPr>
        <sz val="11"/>
        <color rgb="FF1F1F1F"/>
        <rFont val="Arial"/>
        <family val="2"/>
      </rPr>
      <t>.</t>
    </r>
  </si>
  <si>
    <r>
      <t>Soirée Blue Night</t>
    </r>
    <r>
      <rPr>
        <sz val="11"/>
        <color rgb="FF1F1F1F"/>
        <rFont val="Arial"/>
        <family val="2"/>
      </rPr>
      <t>.</t>
    </r>
  </si>
  <si>
    <t>Transition Février.</t>
  </si>
  <si>
    <t>Brunch "Sérénité".</t>
  </si>
  <si>
    <t>Routine Seniors.</t>
  </si>
  <si>
    <t>Petit groupe MICE.</t>
  </si>
  <si>
    <t>Clôture séminaire.</t>
  </si>
  <si>
    <t>Soirée Blue Night.</t>
  </si>
  <si>
    <t>Préparations pâtissières.</t>
  </si>
  <si>
    <t>Veille St-Val</t>
  </si>
  <si>
    <t>Arrivées romantiques.</t>
  </si>
  <si>
    <r>
      <t>RECORD : Gala Amour</t>
    </r>
    <r>
      <rPr>
        <sz val="11"/>
        <color rgb="FF1F1F1F"/>
        <rFont val="Arial"/>
        <family val="2"/>
      </rPr>
      <t>.</t>
    </r>
  </si>
  <si>
    <r>
      <t>Soirée Post-St Val</t>
    </r>
    <r>
      <rPr>
        <sz val="11"/>
        <color rgb="FF1F1F1F"/>
        <rFont val="Arial"/>
        <family val="2"/>
      </rPr>
      <t>.</t>
    </r>
  </si>
  <si>
    <r>
      <t>Dîner Signature</t>
    </r>
    <r>
      <rPr>
        <sz val="11"/>
        <color rgb="FF1F1F1F"/>
        <rFont val="Arial"/>
        <family val="2"/>
      </rPr>
      <t>.</t>
    </r>
  </si>
  <si>
    <t>Veille de Ramadan.</t>
  </si>
  <si>
    <t>Brunch &amp; Shour.</t>
  </si>
  <si>
    <t>Routine calme.</t>
  </si>
  <si>
    <t>Weekend local (Couples).</t>
  </si>
  <si>
    <r>
      <t>Iftar de Gala</t>
    </r>
    <r>
      <rPr>
        <sz val="11"/>
        <color rgb="FF1F1F1F"/>
        <rFont val="Arial"/>
        <family val="2"/>
      </rPr>
      <t>.</t>
    </r>
  </si>
  <si>
    <t>Service discret.</t>
  </si>
  <si>
    <r>
      <t>Menu Gastronomique</t>
    </r>
    <r>
      <rPr>
        <sz val="11"/>
        <color rgb="FF1F1F1F"/>
        <rFont val="Arial"/>
        <family val="2"/>
      </rPr>
      <t>.</t>
    </r>
  </si>
  <si>
    <r>
      <t>27ème Nuit (Spécial)</t>
    </r>
    <r>
      <rPr>
        <sz val="11"/>
        <color rgb="FF1F1F1F"/>
        <rFont val="Arial"/>
        <family val="2"/>
      </rPr>
      <t>.</t>
    </r>
  </si>
  <si>
    <t>Calme fin Ramadan.</t>
  </si>
  <si>
    <r>
      <t>GALA AÏD (Adults Only)</t>
    </r>
    <r>
      <rPr>
        <sz val="11"/>
        <color rgb="FF1F1F1F"/>
        <rFont val="Arial"/>
        <family val="2"/>
      </rPr>
      <t>.</t>
    </r>
  </si>
  <si>
    <r>
      <t>Brunch de l'Aïd</t>
    </r>
    <r>
      <rPr>
        <sz val="11"/>
        <color rgb="FF1F1F1F"/>
        <rFont val="Arial"/>
        <family val="2"/>
      </rPr>
      <t>.</t>
    </r>
  </si>
  <si>
    <t>Clientèle Seniors Europe.</t>
  </si>
  <si>
    <t>Routine Gourmet.</t>
  </si>
  <si>
    <t>Arrivées Charters.</t>
  </si>
  <si>
    <r>
      <t>Férié : Buffet thématique</t>
    </r>
    <r>
      <rPr>
        <sz val="11"/>
        <color rgb="FF1F1F1F"/>
        <rFont val="Arial"/>
        <family val="2"/>
      </rPr>
      <t>.</t>
    </r>
  </si>
  <si>
    <t>Début Vacances Pâques.</t>
  </si>
  <si>
    <t>Mise en place Pâques.</t>
  </si>
  <si>
    <t>Vendredi Saint.</t>
  </si>
  <si>
    <r>
      <t>Grand Buffet Printemps</t>
    </r>
    <r>
      <rPr>
        <sz val="11"/>
        <color rgb="FF1F1F1F"/>
        <rFont val="Arial"/>
        <family val="2"/>
      </rPr>
      <t>.</t>
    </r>
  </si>
  <si>
    <r>
      <t>RECORD : Brunch de Pâques</t>
    </r>
    <r>
      <rPr>
        <sz val="11"/>
        <color rgb="FF1F1F1F"/>
        <rFont val="Arial"/>
        <family val="2"/>
      </rPr>
      <t>.</t>
    </r>
  </si>
  <si>
    <t>Veille 1er Mai.</t>
  </si>
  <si>
    <r>
      <t>Férié : Buffet Printemps</t>
    </r>
    <r>
      <rPr>
        <sz val="11"/>
        <color rgb="FF1F1F1F"/>
        <rFont val="Arial"/>
        <family val="2"/>
      </rPr>
      <t>.</t>
    </r>
  </si>
  <si>
    <t>Arrivées Incentive.</t>
  </si>
  <si>
    <r>
      <t>Gala TUI BLUE</t>
    </r>
    <r>
      <rPr>
        <sz val="11"/>
        <color rgb="FF1F1F1F"/>
        <rFont val="Arial"/>
        <family val="2"/>
      </rPr>
      <t>.</t>
    </r>
  </si>
  <si>
    <t>Business VIP.</t>
  </si>
  <si>
    <r>
      <t>Mariage VIP (Adults Only)</t>
    </r>
    <r>
      <rPr>
        <sz val="11"/>
        <color rgb="FF1F1F1F"/>
        <rFont val="Arial"/>
        <family val="2"/>
      </rPr>
      <t>.</t>
    </r>
  </si>
  <si>
    <t>Préparation Ascension.</t>
  </si>
  <si>
    <r>
      <t>Soirée "Culinarium"</t>
    </r>
    <r>
      <rPr>
        <sz val="11"/>
        <color rgb="FF1F1F1F"/>
        <rFont val="Arial"/>
        <family val="2"/>
      </rPr>
      <t>.</t>
    </r>
  </si>
  <si>
    <r>
      <t>Menu Dégustation Aïd</t>
    </r>
    <r>
      <rPr>
        <sz val="11"/>
        <color rgb="FF1F1F1F"/>
        <rFont val="Arial"/>
        <family val="2"/>
      </rPr>
      <t>.</t>
    </r>
  </si>
  <si>
    <r>
      <t>Petit-déjeuner Festif</t>
    </r>
    <r>
      <rPr>
        <sz val="11"/>
        <color rgb="FF1F1F1F"/>
        <rFont val="Arial"/>
        <family val="2"/>
      </rPr>
      <t>.</t>
    </r>
  </si>
  <si>
    <t>Petit-déjeuner Gourmet.</t>
  </si>
  <si>
    <r>
      <t>Gala "Blue Night"</t>
    </r>
    <r>
      <rPr>
        <sz val="11"/>
        <color rgb="FF1F1F1F"/>
        <rFont val="Arial"/>
        <family val="2"/>
      </rPr>
      <t>.</t>
    </r>
  </si>
  <si>
    <r>
      <t>Brunch Champagne</t>
    </r>
    <r>
      <rPr>
        <sz val="11"/>
        <color rgb="FF1F1F1F"/>
        <rFont val="Arial"/>
        <family val="2"/>
      </rPr>
      <t>.</t>
    </r>
  </si>
  <si>
    <t>Routine de luxe.</t>
  </si>
  <si>
    <t>Weekend local VIP.</t>
  </si>
  <si>
    <r>
      <t>Soirée Culinarium</t>
    </r>
    <r>
      <rPr>
        <sz val="11"/>
        <color rgb="FF1F1F1F"/>
        <rFont val="Arial"/>
        <family val="2"/>
      </rPr>
      <t>.</t>
    </r>
  </si>
  <si>
    <r>
      <t>RECORD : Gala d'Été</t>
    </r>
    <r>
      <rPr>
        <sz val="11"/>
        <color rgb="FF1F1F1F"/>
        <rFont val="Arial"/>
        <family val="2"/>
      </rPr>
      <t>.</t>
    </r>
  </si>
  <si>
    <t>Pic Saison</t>
  </si>
  <si>
    <r>
      <t>Gala "Blue Summer"</t>
    </r>
    <r>
      <rPr>
        <sz val="11"/>
        <color rgb="FF1F1F1F"/>
        <rFont val="Arial"/>
        <family val="2"/>
      </rPr>
      <t>.</t>
    </r>
  </si>
  <si>
    <t>Service à la minute.</t>
  </si>
  <si>
    <r>
      <t>Dîner Culinarium</t>
    </r>
    <r>
      <rPr>
        <sz val="11"/>
        <color rgb="FF1F1F1F"/>
        <rFont val="Arial"/>
        <family val="2"/>
      </rPr>
      <t>.</t>
    </r>
  </si>
  <si>
    <t>Brunch &amp; Prosecco.</t>
  </si>
  <si>
    <t>Mise en place Gala.</t>
  </si>
  <si>
    <r>
      <t>GALA NATIONAL (Prestige)</t>
    </r>
    <r>
      <rPr>
        <sz val="11"/>
        <color rgb="FF1F1F1F"/>
        <rFont val="Arial"/>
        <family val="2"/>
      </rPr>
      <t>.</t>
    </r>
  </si>
  <si>
    <r>
      <t>RECORD : Gala d'Août</t>
    </r>
    <r>
      <rPr>
        <sz val="11"/>
        <color rgb="FF1F1F1F"/>
        <rFont val="Arial"/>
        <family val="2"/>
      </rPr>
      <t>.</t>
    </r>
  </si>
  <si>
    <r>
      <t>Gala de Clôture</t>
    </r>
    <r>
      <rPr>
        <sz val="11"/>
        <color rgb="FF1F1F1F"/>
        <rFont val="Arial"/>
        <family val="2"/>
      </rPr>
      <t>.</t>
    </r>
  </si>
  <si>
    <t>Petit-déjeuner calme.</t>
  </si>
  <si>
    <r>
      <t>Gala Blue Night</t>
    </r>
    <r>
      <rPr>
        <sz val="11"/>
        <color rgb="FF1F1F1F"/>
        <rFont val="Arial"/>
        <family val="2"/>
      </rPr>
      <t>.</t>
    </r>
  </si>
  <si>
    <t>Focus "Healthy".</t>
  </si>
  <si>
    <t>MICE VIP</t>
  </si>
  <si>
    <t>Petit séminaire Direction.</t>
  </si>
  <si>
    <t>Dîner de clôture.</t>
  </si>
  <si>
    <t>Routine diététique.</t>
  </si>
  <si>
    <r>
      <t>Comité de Direction</t>
    </r>
    <r>
      <rPr>
        <sz val="11"/>
        <color rgb="FF1F1F1F"/>
        <rFont val="Arial"/>
        <family val="2"/>
      </rPr>
      <t>.</t>
    </r>
  </si>
  <si>
    <t>Cocktail &amp; Gala.</t>
  </si>
  <si>
    <r>
      <t>Début Toussaint</t>
    </r>
    <r>
      <rPr>
        <sz val="11"/>
        <color rgb="FF1F1F1F"/>
        <rFont val="Arial"/>
        <family val="2"/>
      </rPr>
      <t>.</t>
    </r>
  </si>
  <si>
    <r>
      <t>Banqueting Signature</t>
    </r>
    <r>
      <rPr>
        <sz val="11"/>
        <color rgb="FF1F1F1F"/>
        <rFont val="Arial"/>
        <family val="2"/>
      </rPr>
      <t>.</t>
    </r>
  </si>
  <si>
    <t>Mise en place Halloween.</t>
  </si>
  <si>
    <r>
      <t>DÎNER GASTRO NOIR</t>
    </r>
    <r>
      <rPr>
        <sz val="11"/>
        <color rgb="FF1F1F1F"/>
        <rFont val="Arial"/>
        <family val="2"/>
      </rPr>
      <t>.</t>
    </r>
  </si>
  <si>
    <t>Toussaint</t>
  </si>
  <si>
    <t>Brunch de clôture Toussaint.</t>
  </si>
  <si>
    <t>Routine Healthy.</t>
  </si>
  <si>
    <r>
      <t>Séminaire Stratégique</t>
    </r>
    <r>
      <rPr>
        <sz val="11"/>
        <color rgb="FF1F1F1F"/>
        <rFont val="Arial"/>
        <family val="2"/>
      </rPr>
      <t>.</t>
    </r>
  </si>
  <si>
    <t>Cocktail &amp; Finger Food.</t>
  </si>
  <si>
    <r>
      <t>Dîner de Gala Corporate</t>
    </r>
    <r>
      <rPr>
        <sz val="11"/>
        <color rgb="FF1F1F1F"/>
        <rFont val="Arial"/>
        <family val="2"/>
      </rPr>
      <t>.</t>
    </r>
  </si>
  <si>
    <t>Calme absolu.</t>
  </si>
  <si>
    <r>
      <t>Workshop Management</t>
    </r>
    <r>
      <rPr>
        <sz val="11"/>
        <color rgb="FF1F1F1F"/>
        <rFont val="Arial"/>
        <family val="2"/>
      </rPr>
      <t>.</t>
    </r>
  </si>
  <si>
    <r>
      <t>Mariage Prestige (Intimiste)</t>
    </r>
    <r>
      <rPr>
        <sz val="11"/>
        <color rgb="FF1F1F1F"/>
        <rFont val="Arial"/>
        <family val="2"/>
      </rPr>
      <t>.</t>
    </r>
  </si>
  <si>
    <r>
      <t>Incentive Corporate</t>
    </r>
    <r>
      <rPr>
        <sz val="11"/>
        <color rgb="FF1F1F1F"/>
        <rFont val="Arial"/>
        <family val="2"/>
      </rPr>
      <t>.</t>
    </r>
  </si>
  <si>
    <t>Weekend incentive.</t>
  </si>
  <si>
    <t>Arrivées locales VIP.</t>
  </si>
  <si>
    <r>
      <t>Gala de fin de mois</t>
    </r>
    <r>
      <rPr>
        <sz val="11"/>
        <color rgb="FF1F1F1F"/>
        <rFont val="Arial"/>
        <family val="2"/>
      </rPr>
      <t>.</t>
    </r>
  </si>
  <si>
    <r>
      <t>Gala d'Hiver</t>
    </r>
    <r>
      <rPr>
        <sz val="11"/>
        <color rgb="FF1F1F1F"/>
        <rFont val="Arial"/>
        <family val="2"/>
      </rPr>
      <t>.</t>
    </r>
  </si>
  <si>
    <t>Préparation Fête.</t>
  </si>
  <si>
    <t>Début vacances TUI.</t>
  </si>
  <si>
    <r>
      <t>RÉVEILLON GOURMET</t>
    </r>
    <r>
      <rPr>
        <sz val="11"/>
        <color rgb="FF1F1F1F"/>
        <rFont val="Arial"/>
        <family val="2"/>
      </rPr>
      <t>.</t>
    </r>
  </si>
  <si>
    <t>Flux pré-Sylvestre.</t>
  </si>
  <si>
    <t>Sylvestre</t>
  </si>
  <si>
    <t>Préparations finales.</t>
  </si>
  <si>
    <r>
      <t>GALA D'EXCEPTION</t>
    </r>
    <r>
      <rPr>
        <sz val="11"/>
        <color rgb="FF1F1F1F"/>
        <rFont val="Arial"/>
        <family val="2"/>
      </rPr>
      <t>.</t>
    </r>
  </si>
  <si>
    <t xml:space="preserve">TUI BLUE Palace </t>
  </si>
  <si>
    <r>
      <t>Brunch des Résidents</t>
    </r>
    <r>
      <rPr>
        <sz val="11"/>
        <color rgb="FF1F1F1F"/>
        <rFont val="Arial"/>
        <family val="2"/>
      </rPr>
      <t>.</t>
    </r>
  </si>
  <si>
    <r>
      <t>Dîner Tunisien</t>
    </r>
    <r>
      <rPr>
        <sz val="11"/>
        <color rgb="FF1F1F1F"/>
        <rFont val="Arial"/>
        <family val="2"/>
      </rPr>
      <t>.</t>
    </r>
  </si>
  <si>
    <r>
      <t>Soirée Buffet Thématique</t>
    </r>
    <r>
      <rPr>
        <sz val="11"/>
        <color rgb="FF1F1F1F"/>
        <rFont val="Arial"/>
        <family val="2"/>
      </rPr>
      <t>.</t>
    </r>
  </si>
  <si>
    <t>Brunch des Orangers.</t>
  </si>
  <si>
    <r>
      <t>Soirée Méditerranéenne</t>
    </r>
    <r>
      <rPr>
        <sz val="11"/>
        <color rgb="FF1F1F1F"/>
        <rFont val="Arial"/>
        <family val="2"/>
      </rPr>
      <t>.</t>
    </r>
  </si>
  <si>
    <r>
      <t>Gala Hivernal</t>
    </r>
    <r>
      <rPr>
        <sz val="11"/>
        <color rgb="FF1F1F1F"/>
        <rFont val="Arial"/>
        <family val="2"/>
      </rPr>
      <t>.</t>
    </r>
  </si>
  <si>
    <t>Petit-déjeuner Golfeurs.</t>
  </si>
  <si>
    <r>
      <t>Dîner de Gala Amour</t>
    </r>
    <r>
      <rPr>
        <sz val="11"/>
        <color rgb="FF1F1F1F"/>
        <rFont val="Arial"/>
        <family val="2"/>
      </rPr>
      <t>.</t>
    </r>
  </si>
  <si>
    <r>
      <t>Post-St Valentin</t>
    </r>
    <r>
      <rPr>
        <sz val="11"/>
        <color rgb="FF1F1F1F"/>
        <rFont val="Arial"/>
        <family val="2"/>
      </rPr>
      <t>.</t>
    </r>
  </si>
  <si>
    <r>
      <t>Férié : Buffet Spécial</t>
    </r>
    <r>
      <rPr>
        <sz val="11"/>
        <color rgb="FF1F1F1F"/>
        <rFont val="Arial"/>
        <family val="2"/>
      </rPr>
      <t>.</t>
    </r>
  </si>
  <si>
    <r>
      <t>RECORD : Brunch Pascal</t>
    </r>
    <r>
      <rPr>
        <sz val="11"/>
        <color rgb="FF1F1F1F"/>
        <rFont val="Arial"/>
        <family val="2"/>
      </rPr>
      <t>.</t>
    </r>
  </si>
  <si>
    <r>
      <t>Buffet Fleurs d'Orangers</t>
    </r>
    <r>
      <rPr>
        <sz val="11"/>
        <color rgb="FF1F1F1F"/>
        <rFont val="Arial"/>
        <family val="2"/>
      </rPr>
      <t>.</t>
    </r>
  </si>
  <si>
    <r>
      <t>Férié : Buffet National</t>
    </r>
    <r>
      <rPr>
        <sz val="11"/>
        <color rgb="FF1F1F1F"/>
        <rFont val="Arial"/>
        <family val="2"/>
      </rPr>
      <t>.</t>
    </r>
  </si>
  <si>
    <t>Début Vacances de Pâques.</t>
  </si>
  <si>
    <r>
      <t>Grand Buffet de Pâques</t>
    </r>
    <r>
      <rPr>
        <sz val="11"/>
        <color rgb="FF1F1F1F"/>
        <rFont val="Arial"/>
        <family val="2"/>
      </rPr>
      <t>.</t>
    </r>
  </si>
  <si>
    <r>
      <t>Dîner Méditerranéen</t>
    </r>
    <r>
      <rPr>
        <sz val="11"/>
        <color rgb="FF1F1F1F"/>
        <rFont val="Arial"/>
        <family val="2"/>
      </rPr>
      <t>.</t>
    </r>
  </si>
  <si>
    <t>Weekend prolongé local.</t>
  </si>
  <si>
    <t>Brunch des Jardins.</t>
  </si>
  <si>
    <t>Brunch &amp; Détente.</t>
  </si>
  <si>
    <t>Weekend international.</t>
  </si>
  <si>
    <t>ASCENSION</t>
  </si>
  <si>
    <t>Occupation maximale.</t>
  </si>
  <si>
    <r>
      <t>Grand Buffet de Mai</t>
    </r>
    <r>
      <rPr>
        <sz val="11"/>
        <color rgb="FF1F1F1F"/>
        <rFont val="Arial"/>
        <family val="2"/>
      </rPr>
      <t>.</t>
    </r>
  </si>
  <si>
    <r>
      <t>Soirée Méditerranée</t>
    </r>
    <r>
      <rPr>
        <sz val="11"/>
        <color rgb="FF1F1F1F"/>
        <rFont val="Arial"/>
        <family val="2"/>
      </rPr>
      <t>.</t>
    </r>
  </si>
  <si>
    <r>
      <t>Gala Printanier</t>
    </r>
    <r>
      <rPr>
        <sz val="11"/>
        <color rgb="FF1F1F1F"/>
        <rFont val="Arial"/>
        <family val="2"/>
      </rPr>
      <t>.</t>
    </r>
  </si>
  <si>
    <r>
      <t>Mariage Garden Party</t>
    </r>
    <r>
      <rPr>
        <sz val="11"/>
        <color rgb="FF1F1F1F"/>
        <rFont val="Arial"/>
        <family val="2"/>
      </rPr>
      <t>.</t>
    </r>
  </si>
  <si>
    <r>
      <t>Fête des Mères (FR)</t>
    </r>
    <r>
      <rPr>
        <sz val="11"/>
        <color rgb="FF1F1F1F"/>
        <rFont val="Arial"/>
        <family val="2"/>
      </rPr>
      <t>.</t>
    </r>
  </si>
  <si>
    <r>
      <t>Pont de l'Ascension</t>
    </r>
    <r>
      <rPr>
        <sz val="11"/>
        <color rgb="FF1F1F1F"/>
        <rFont val="Arial"/>
        <family val="2"/>
      </rPr>
      <t>.</t>
    </r>
  </si>
  <si>
    <r>
      <t>Gala de Clôture Mai</t>
    </r>
    <r>
      <rPr>
        <sz val="11"/>
        <color rgb="FF1F1F1F"/>
        <rFont val="Arial"/>
        <family val="2"/>
      </rPr>
      <t>.</t>
    </r>
  </si>
  <si>
    <r>
      <t>Iftar / Dîner de Fête</t>
    </r>
    <r>
      <rPr>
        <sz val="11"/>
        <color rgb="FF1F1F1F"/>
        <rFont val="Arial"/>
        <family val="2"/>
      </rPr>
      <t>.</t>
    </r>
  </si>
  <si>
    <r>
      <t>Grand Petit-déjeuner Aïd</t>
    </r>
    <r>
      <rPr>
        <sz val="11"/>
        <color rgb="FF1F1F1F"/>
        <rFont val="Arial"/>
        <family val="2"/>
      </rPr>
      <t>.</t>
    </r>
  </si>
  <si>
    <t>Brunch des Bungalows.</t>
  </si>
  <si>
    <r>
      <t>Gala de l'Été</t>
    </r>
    <r>
      <rPr>
        <sz val="11"/>
        <color rgb="FF1F1F1F"/>
        <rFont val="Arial"/>
        <family val="2"/>
      </rPr>
      <t>.</t>
    </r>
  </si>
  <si>
    <t>Rush de milieu de semaine.</t>
  </si>
  <si>
    <r>
      <t>Buffet Historique</t>
    </r>
    <r>
      <rPr>
        <sz val="11"/>
        <color rgb="FF1F1F1F"/>
        <rFont val="Arial"/>
        <family val="2"/>
      </rPr>
      <t>.</t>
    </r>
  </si>
  <si>
    <r>
      <t>Lancement des Briks</t>
    </r>
    <r>
      <rPr>
        <sz val="11"/>
        <color rgb="FF1F1F1F"/>
        <rFont val="Arial"/>
        <family val="2"/>
      </rPr>
      <t>.</t>
    </r>
  </si>
  <si>
    <t>Weekend local (Iftar).</t>
  </si>
  <si>
    <t>Veille Férié.</t>
  </si>
  <si>
    <t>27ème Nuit</t>
  </si>
  <si>
    <t>Arrivées pour la fête.</t>
  </si>
  <si>
    <r>
      <t>GALA DE L'AÏD</t>
    </r>
    <r>
      <rPr>
        <sz val="11"/>
        <color rgb="FF1F1F1F"/>
        <rFont val="Arial"/>
        <family val="2"/>
      </rPr>
      <t>.</t>
    </r>
  </si>
  <si>
    <t>Départs &amp; Repos.</t>
  </si>
  <si>
    <t>Flux International.</t>
  </si>
  <si>
    <t>Arrivées Weekend.</t>
  </si>
  <si>
    <r>
      <t>Gala "Orangers Night"</t>
    </r>
    <r>
      <rPr>
        <sz val="11"/>
        <color rgb="FF1F1F1F"/>
        <rFont val="Arial"/>
        <family val="2"/>
      </rPr>
      <t>.</t>
    </r>
  </si>
  <si>
    <r>
      <t>Grand Brunch d'Été</t>
    </r>
    <r>
      <rPr>
        <sz val="11"/>
        <color rgb="FF1F1F1F"/>
        <rFont val="Arial"/>
        <family val="2"/>
      </rPr>
      <t>.</t>
    </r>
  </si>
  <si>
    <t>Routine estivale.</t>
  </si>
  <si>
    <t>Fête Nationale FR.</t>
  </si>
  <si>
    <r>
      <t>RECORD : Grand Gala</t>
    </r>
    <r>
      <rPr>
        <sz val="11"/>
        <color rgb="FF1F1F1F"/>
        <rFont val="Arial"/>
        <family val="2"/>
      </rPr>
      <t>.</t>
    </r>
  </si>
  <si>
    <t>Brunch final weekend.</t>
  </si>
  <si>
    <r>
      <t>Soirée de Gala Été</t>
    </r>
    <r>
      <rPr>
        <sz val="11"/>
        <color rgb="FF1F1F1F"/>
        <rFont val="Arial"/>
        <family val="2"/>
      </rPr>
      <t>.</t>
    </r>
  </si>
  <si>
    <r>
      <t>Grand Brunch</t>
    </r>
    <r>
      <rPr>
        <sz val="11"/>
        <color rgb="FF1F1F1F"/>
        <rFont val="Arial"/>
        <family val="2"/>
      </rPr>
      <t>.</t>
    </r>
  </si>
  <si>
    <t>Flux familial intensif.</t>
  </si>
  <si>
    <t>Routine haute saison.</t>
  </si>
  <si>
    <t>Brunch &amp; Club Enfants.</t>
  </si>
  <si>
    <r>
      <t>RECORD : Gala National</t>
    </r>
    <r>
      <rPr>
        <sz val="11"/>
        <color rgb="FF1F1F1F"/>
        <rFont val="Arial"/>
        <family val="2"/>
      </rPr>
      <t>.</t>
    </r>
  </si>
  <si>
    <t>Mi-Août (Pont local).</t>
  </si>
  <si>
    <r>
      <t>Gala des Jardins</t>
    </r>
    <r>
      <rPr>
        <sz val="11"/>
        <color rgb="FF1F1F1F"/>
        <rFont val="Arial"/>
        <family val="2"/>
      </rPr>
      <t>.</t>
    </r>
  </si>
  <si>
    <t>Début de décompression.</t>
  </si>
  <si>
    <t>Dernier weekend août.</t>
  </si>
  <si>
    <t>Départs massifs familles.</t>
  </si>
  <si>
    <t>Weekend local indien.</t>
  </si>
  <si>
    <r>
      <t>Gala des Orangers</t>
    </r>
    <r>
      <rPr>
        <sz val="11"/>
        <color rgb="FF1F1F1F"/>
        <rFont val="Arial"/>
        <family val="2"/>
      </rPr>
      <t>.</t>
    </r>
  </si>
  <si>
    <t>Routine Europe.</t>
  </si>
  <si>
    <r>
      <t>Dîner des Jardins</t>
    </r>
    <r>
      <rPr>
        <sz val="11"/>
        <color rgb="FF1F1F1F"/>
        <rFont val="Arial"/>
        <family val="2"/>
      </rPr>
      <t>.</t>
    </r>
  </si>
  <si>
    <r>
      <t>Soirée Tunisienne</t>
    </r>
    <r>
      <rPr>
        <sz val="11"/>
        <color rgb="FF1F1F1F"/>
        <rFont val="Arial"/>
        <family val="2"/>
      </rPr>
      <t>.</t>
    </r>
  </si>
  <si>
    <r>
      <t>Début Vacances (Pic)</t>
    </r>
    <r>
      <rPr>
        <sz val="11"/>
        <color rgb="FF1F1F1F"/>
        <rFont val="Arial"/>
        <family val="2"/>
      </rPr>
      <t>.</t>
    </r>
  </si>
  <si>
    <t>Brunch de Toussaint.</t>
  </si>
  <si>
    <r>
      <t>Gala d'Automne</t>
    </r>
    <r>
      <rPr>
        <sz val="11"/>
        <color rgb="FF1F1F1F"/>
        <rFont val="Arial"/>
        <family val="2"/>
      </rPr>
      <t>.</t>
    </r>
  </si>
  <si>
    <t>Routine Vacances.</t>
  </si>
  <si>
    <r>
      <t>Soirée Halloween</t>
    </r>
    <r>
      <rPr>
        <sz val="11"/>
        <color rgb="FF1F1F1F"/>
        <rFont val="Arial"/>
        <family val="2"/>
      </rPr>
      <t>.</t>
    </r>
  </si>
  <si>
    <t>Préparation Férié.</t>
  </si>
  <si>
    <r>
      <t>Pic Vacances</t>
    </r>
    <r>
      <rPr>
        <sz val="11"/>
        <color rgb="FF1F1F1F"/>
        <rFont val="Arial"/>
        <family val="2"/>
      </rPr>
      <t>.</t>
    </r>
  </si>
  <si>
    <t>Weekend de masse.</t>
  </si>
  <si>
    <t>Installation Seniors.</t>
  </si>
  <si>
    <t>Pré-Fêtes</t>
  </si>
  <si>
    <t>Début arrivées fêtes.</t>
  </si>
  <si>
    <t>Flux montant.</t>
  </si>
  <si>
    <r>
      <t>Soirée Pré-Noël</t>
    </r>
    <r>
      <rPr>
        <sz val="11"/>
        <color rgb="FF1F1F1F"/>
        <rFont val="Arial"/>
        <family val="2"/>
      </rPr>
      <t>.</t>
    </r>
  </si>
  <si>
    <t>Préparatifs pâtisserie.</t>
  </si>
  <si>
    <t>RÉVEILLON</t>
  </si>
  <si>
    <r>
      <t>NOËL : Bûches &amp; Farces</t>
    </r>
    <r>
      <rPr>
        <sz val="11"/>
        <color rgb="FF1F1F1F"/>
        <rFont val="Arial"/>
        <family val="2"/>
      </rPr>
      <t>.</t>
    </r>
  </si>
  <si>
    <t>NOËL</t>
  </si>
  <si>
    <r>
      <t>Grand Brunch de Noël</t>
    </r>
    <r>
      <rPr>
        <sz val="11"/>
        <color rgb="FF1F1F1F"/>
        <rFont val="Arial"/>
        <family val="2"/>
      </rPr>
      <t>.</t>
    </r>
  </si>
  <si>
    <t>Logistique réveillon.</t>
  </si>
  <si>
    <t>Stockage critique.</t>
  </si>
  <si>
    <r>
      <t>GALA DE L'AN : Record</t>
    </r>
    <r>
      <rPr>
        <sz val="11"/>
        <color rgb="FF1F1F1F"/>
        <rFont val="Arial"/>
        <family val="2"/>
      </rPr>
      <t>.</t>
    </r>
  </si>
  <si>
    <t>Les Orangers Beach Resort &amp; Bungalows</t>
  </si>
  <si>
    <t>Weekend local calme.</t>
  </si>
  <si>
    <r>
      <t>Soirée Medina</t>
    </r>
    <r>
      <rPr>
        <sz val="11"/>
        <color rgb="FF1F1F1F"/>
        <rFont val="Arial"/>
        <family val="2"/>
      </rPr>
      <t>.</t>
    </r>
  </si>
  <si>
    <t>Début des cures hebdo.</t>
  </si>
  <si>
    <t>Diététique &amp; Protéines.</t>
  </si>
  <si>
    <t>Clientèle Business.</t>
  </si>
  <si>
    <r>
      <t>Gala Medina</t>
    </r>
    <r>
      <rPr>
        <sz val="11"/>
        <color rgb="FF1F1F1F"/>
        <rFont val="Arial"/>
        <family val="2"/>
      </rPr>
      <t>.</t>
    </r>
  </si>
  <si>
    <t>Routine cures.</t>
  </si>
  <si>
    <t>Buffet Méditerranéen.</t>
  </si>
  <si>
    <t>Routine curistes.</t>
  </si>
  <si>
    <t>Arrivées curistes.</t>
  </si>
  <si>
    <t>Préparatifs</t>
  </si>
  <si>
    <t>VALENTIN</t>
  </si>
  <si>
    <r>
      <t>RECORD : Dîner Amoureux</t>
    </r>
    <r>
      <rPr>
        <sz val="11"/>
        <color rgb="FF1F1F1F"/>
        <rFont val="Arial"/>
        <family val="2"/>
      </rPr>
      <t>.</t>
    </r>
  </si>
  <si>
    <r>
      <t>Post-Valentin / Gala</t>
    </r>
    <r>
      <rPr>
        <sz val="11"/>
        <color rgb="FF1F1F1F"/>
        <rFont val="Arial"/>
        <family val="2"/>
      </rPr>
      <t>.</t>
    </r>
  </si>
  <si>
    <t>Brunch prolongé.</t>
  </si>
  <si>
    <t>Zone Europe A.</t>
  </si>
  <si>
    <r>
      <t>Buffet des Saveurs</t>
    </r>
    <r>
      <rPr>
        <sz val="11"/>
        <color rgb="FF1F1F1F"/>
        <rFont val="Arial"/>
        <family val="2"/>
      </rPr>
      <t>.</t>
    </r>
  </si>
  <si>
    <t>Transition Mars/Ramadan.</t>
  </si>
  <si>
    <r>
      <t>Lancement Station Briks</t>
    </r>
    <r>
      <rPr>
        <sz val="11"/>
        <color rgb="FF1F1F1F"/>
        <rFont val="Arial"/>
        <family val="2"/>
      </rPr>
      <t>.</t>
    </r>
  </si>
  <si>
    <t>Clientèle Thalasso Europe.</t>
  </si>
  <si>
    <r>
      <t>Iftar de Gala Medina</t>
    </r>
    <r>
      <rPr>
        <sz val="11"/>
        <color rgb="FF1F1F1F"/>
        <rFont val="Arial"/>
        <family val="2"/>
      </rPr>
      <t>.</t>
    </r>
  </si>
  <si>
    <r>
      <t>Grand Iftar Spectacle</t>
    </r>
    <r>
      <rPr>
        <sz val="11"/>
        <color rgb="FF1F1F1F"/>
        <rFont val="Arial"/>
        <family val="2"/>
      </rPr>
      <t>.</t>
    </r>
  </si>
  <si>
    <r>
      <t>Pic Ramadan Weekend</t>
    </r>
    <r>
      <rPr>
        <sz val="11"/>
        <color rgb="FF1F1F1F"/>
        <rFont val="Arial"/>
        <family val="2"/>
      </rPr>
      <t>.</t>
    </r>
  </si>
  <si>
    <r>
      <t>Nuit du Destin (Iftar)</t>
    </r>
    <r>
      <rPr>
        <sz val="11"/>
        <color rgb="FF1F1F1F"/>
        <rFont val="Arial"/>
        <family val="2"/>
      </rPr>
      <t>.</t>
    </r>
  </si>
  <si>
    <t>Routine Thalasso.</t>
  </si>
  <si>
    <t>Weekend printanier local.</t>
  </si>
  <si>
    <r>
      <t>Début Pâques (Europe)</t>
    </r>
    <r>
      <rPr>
        <sz val="11"/>
        <color rgb="FF1F1F1F"/>
        <rFont val="Arial"/>
        <family val="2"/>
      </rPr>
      <t>.</t>
    </r>
  </si>
  <si>
    <t>Flux familles EU.</t>
  </si>
  <si>
    <t>Préparation Week-end Saint.</t>
  </si>
  <si>
    <t>Pic d'occupation.</t>
  </si>
  <si>
    <t>Samedi Saint</t>
  </si>
  <si>
    <r>
      <t>Gala de Pâques</t>
    </r>
    <r>
      <rPr>
        <sz val="11"/>
        <color rgb="FF1F1F1F"/>
        <rFont val="Arial"/>
        <family val="2"/>
      </rPr>
      <t>.</t>
    </r>
  </si>
  <si>
    <r>
      <t>BRUNCH &amp; CHASSE AUX ŒUFS</t>
    </r>
    <r>
      <rPr>
        <sz val="11"/>
        <color rgb="FF1F1F1F"/>
        <rFont val="Arial"/>
        <family val="2"/>
      </rPr>
      <t>.</t>
    </r>
  </si>
  <si>
    <r>
      <t>Buffet Gourmand</t>
    </r>
    <r>
      <rPr>
        <sz val="11"/>
        <color rgb="FF1F1F1F"/>
        <rFont val="Arial"/>
        <family val="2"/>
      </rPr>
      <t>.</t>
    </r>
  </si>
  <si>
    <t>Routine Printemps.</t>
  </si>
  <si>
    <r>
      <t>Dîner Signature Medina</t>
    </r>
    <r>
      <rPr>
        <sz val="11"/>
        <color rgb="FF1F1F1F"/>
        <rFont val="Arial"/>
        <family val="2"/>
      </rPr>
      <t>.</t>
    </r>
  </si>
  <si>
    <r>
      <t>Gala Méditerranéen</t>
    </r>
    <r>
      <rPr>
        <sz val="11"/>
        <color rgb="FF1F1F1F"/>
        <rFont val="Arial"/>
        <family val="2"/>
      </rPr>
      <t>.</t>
    </r>
  </si>
  <si>
    <t>Flux Europe.</t>
  </si>
  <si>
    <t>Weekend local fort.</t>
  </si>
  <si>
    <t>Transition été.</t>
  </si>
  <si>
    <t>Arrivées Ascension (EU).</t>
  </si>
  <si>
    <t>Weekend massif.</t>
  </si>
  <si>
    <r>
      <t>Gala de clôture Mai</t>
    </r>
    <r>
      <rPr>
        <sz val="11"/>
        <color rgb="FF1F1F1F"/>
        <rFont val="Arial"/>
        <family val="2"/>
      </rPr>
      <t>.</t>
    </r>
  </si>
  <si>
    <t>Routine pré-Aïd.</t>
  </si>
  <si>
    <t>Arrivées locales anticipées.</t>
  </si>
  <si>
    <t>Préparation massive pâtisserie.</t>
  </si>
  <si>
    <t>AÏD AL-ADHA</t>
  </si>
  <si>
    <r>
      <t>GALA DE L'AÏD (Tajines &amp; Briks)</t>
    </r>
    <r>
      <rPr>
        <sz val="11"/>
        <color rgb="FF1F1F1F"/>
        <rFont val="Arial"/>
        <family val="2"/>
      </rPr>
      <t>.</t>
    </r>
  </si>
  <si>
    <r>
      <t>BUFFET DES DESSERTS (Max)</t>
    </r>
    <r>
      <rPr>
        <sz val="11"/>
        <color rgb="FF1F1F1F"/>
        <rFont val="Arial"/>
        <family val="2"/>
      </rPr>
      <t>.</t>
    </r>
  </si>
  <si>
    <t>Routine été.</t>
  </si>
  <si>
    <t>Flux Europe montant.</t>
  </si>
  <si>
    <r>
      <t>Soirée Medina Spectacle</t>
    </r>
    <r>
      <rPr>
        <sz val="11"/>
        <color rgb="FF1F1F1F"/>
        <rFont val="Arial"/>
        <family val="2"/>
      </rPr>
      <t>.</t>
    </r>
  </si>
  <si>
    <t>Arrivées TRE (Résidents Étranger).</t>
  </si>
  <si>
    <t>Weekend rush.</t>
  </si>
  <si>
    <r>
      <t>Gala d'Été (Fête de la Musique)</t>
    </r>
    <r>
      <rPr>
        <sz val="11"/>
        <color rgb="FF1F1F1F"/>
        <rFont val="Arial"/>
        <family val="2"/>
      </rPr>
      <t>.</t>
    </r>
  </si>
  <si>
    <t>Été</t>
  </si>
  <si>
    <t>Weekend Juillet anticipé.</t>
  </si>
  <si>
    <r>
      <t>Grande Soirée Medina</t>
    </r>
    <r>
      <rPr>
        <sz val="11"/>
        <color rgb="FF1F1F1F"/>
        <rFont val="Arial"/>
        <family val="2"/>
      </rPr>
      <t>.</t>
    </r>
  </si>
  <si>
    <t>Brunch saturation.</t>
  </si>
  <si>
    <t>Routine canicule.</t>
  </si>
  <si>
    <t>Routine Haute Saison.</t>
  </si>
  <si>
    <t>Flux touristique continu.</t>
  </si>
  <si>
    <t>Weekend rush local.</t>
  </si>
  <si>
    <r>
      <t>Gala Medina de Juillet</t>
    </r>
    <r>
      <rPr>
        <sz val="11"/>
        <color rgb="FF1F1F1F"/>
        <rFont val="Arial"/>
        <family val="2"/>
      </rPr>
      <t>.</t>
    </r>
  </si>
  <si>
    <t>Rotation des départs.</t>
  </si>
  <si>
    <t>Préparation stock.</t>
  </si>
  <si>
    <r>
      <t>Grande Fête d'Été</t>
    </r>
    <r>
      <rPr>
        <sz val="11"/>
        <color rgb="FF1F1F1F"/>
        <rFont val="Arial"/>
        <family val="2"/>
      </rPr>
      <t>.</t>
    </r>
  </si>
  <si>
    <t>Arrivées 25 Juillet.</t>
  </si>
  <si>
    <r>
      <t>Gala Signature</t>
    </r>
    <r>
      <rPr>
        <sz val="11"/>
        <color rgb="FF1F1F1F"/>
        <rFont val="Arial"/>
        <family val="2"/>
      </rPr>
      <t>.</t>
    </r>
  </si>
  <si>
    <t>Brunch final Juillet.</t>
  </si>
  <si>
    <t>Flux montant Août.</t>
  </si>
  <si>
    <t>Préparation Pic Août.</t>
  </si>
  <si>
    <t>Weekend pic estival.</t>
  </si>
  <si>
    <t>Brunch de saturation.</t>
  </si>
  <si>
    <t>Plein Été</t>
  </si>
  <si>
    <t>Routine haute intensité.</t>
  </si>
  <si>
    <t>Flux TRE massif.</t>
  </si>
  <si>
    <t>Mise en place fête.</t>
  </si>
  <si>
    <t>Femme</t>
  </si>
  <si>
    <t>Weekend Assomption (EU).</t>
  </si>
  <si>
    <r>
      <t>GALA RECORD AOÛT</t>
    </r>
    <r>
      <rPr>
        <sz val="11"/>
        <color rgb="FF1F1F1F"/>
        <rFont val="Arial"/>
        <family val="2"/>
      </rPr>
      <t>.</t>
    </r>
  </si>
  <si>
    <t>Brunch record.</t>
  </si>
  <si>
    <t>Légère baisse (Rentrée).</t>
  </si>
  <si>
    <t>Fin des vacances TRE.</t>
  </si>
  <si>
    <t>Dernier weekend local.</t>
  </si>
  <si>
    <r>
      <t>Grand Gala de Clôture</t>
    </r>
    <r>
      <rPr>
        <sz val="11"/>
        <color rgb="FF1F1F1F"/>
        <rFont val="Arial"/>
        <family val="2"/>
      </rPr>
      <t>.</t>
    </r>
  </si>
  <si>
    <t>Routine bien-être.</t>
  </si>
  <si>
    <t>Départ des dernières familles.</t>
  </si>
  <si>
    <t>Installation des curistes.</t>
  </si>
  <si>
    <t>Weekend local (Arrière-saison).</t>
  </si>
  <si>
    <t>Focus petit-déjeuner santé.</t>
  </si>
  <si>
    <t>Reprise du corporate.</t>
  </si>
  <si>
    <t>Groupe entreprise.</t>
  </si>
  <si>
    <r>
      <t>Grand Buffet Medina</t>
    </r>
    <r>
      <rPr>
        <sz val="11"/>
        <color rgb="FF1F1F1F"/>
        <rFont val="Arial"/>
        <family val="2"/>
      </rPr>
      <t>.</t>
    </r>
  </si>
  <si>
    <t>Routine hivernale.</t>
  </si>
  <si>
    <r>
      <t>Buffet Medina</t>
    </r>
    <r>
      <rPr>
        <sz val="11"/>
        <color rgb="FF1F1F1F"/>
        <rFont val="Arial"/>
        <family val="2"/>
      </rPr>
      <t>.</t>
    </r>
  </si>
  <si>
    <t>Pré-fêtes</t>
  </si>
  <si>
    <t>Mise en place décorations.</t>
  </si>
  <si>
    <t>Veille Noël</t>
  </si>
  <si>
    <t>RÉVEILLON NOËL</t>
  </si>
  <si>
    <r>
      <t>Pré-Réveillon</t>
    </r>
    <r>
      <rPr>
        <sz val="11"/>
        <color rgb="FF1F1F1F"/>
        <rFont val="Arial"/>
        <family val="2"/>
      </rPr>
      <t>.</t>
    </r>
  </si>
  <si>
    <t>Fin d'année</t>
  </si>
  <si>
    <t>Veille 31</t>
  </si>
  <si>
    <t>SAINT-SYLVESTRE</t>
  </si>
  <si>
    <r>
      <t>GRAND RÉVEILLON</t>
    </r>
    <r>
      <rPr>
        <sz val="11"/>
        <color rgb="FF1F1F1F"/>
        <rFont val="Arial"/>
        <family val="2"/>
      </rPr>
      <t>.</t>
    </r>
  </si>
  <si>
    <t>Suite Halloween / Weekend local.</t>
  </si>
  <si>
    <t>Routine santé.</t>
  </si>
  <si>
    <r>
      <t>Grand Gala Novembre</t>
    </r>
    <r>
      <rPr>
        <sz val="11"/>
        <color rgb="FF1F1F1F"/>
        <rFont val="Arial"/>
        <family val="2"/>
      </rPr>
      <t>.</t>
    </r>
  </si>
  <si>
    <r>
      <t>Dîner Medina</t>
    </r>
    <r>
      <rPr>
        <sz val="11"/>
        <color rgb="FF1F1F1F"/>
        <rFont val="Arial"/>
        <family val="2"/>
      </rPr>
      <t>.</t>
    </r>
  </si>
  <si>
    <r>
      <t>Férié : Buffet Traditionnel</t>
    </r>
    <r>
      <rPr>
        <sz val="11"/>
        <color rgb="FF1F1F1F"/>
        <rFont val="Arial"/>
        <family val="2"/>
      </rPr>
      <t>.</t>
    </r>
  </si>
  <si>
    <r>
      <t>Pic Vacances Europe</t>
    </r>
    <r>
      <rPr>
        <sz val="11"/>
        <color rgb="FF1F1F1F"/>
        <rFont val="Arial"/>
        <family val="2"/>
      </rPr>
      <t>.</t>
    </r>
  </si>
  <si>
    <t>Kids Club (Crêpes).</t>
  </si>
  <si>
    <t>Kids Club.</t>
  </si>
  <si>
    <r>
      <t>Grand Gala Octobre</t>
    </r>
    <r>
      <rPr>
        <sz val="11"/>
        <color rgb="FF1F1F1F"/>
        <rFont val="Arial"/>
        <family val="2"/>
      </rPr>
      <t>.</t>
    </r>
  </si>
  <si>
    <t>HALLOWEEN</t>
  </si>
  <si>
    <t>Medina Belisaire</t>
  </si>
  <si>
    <r>
      <t>Soirée Nabeulienne</t>
    </r>
    <r>
      <rPr>
        <sz val="11"/>
        <color rgb="FF1F1F1F"/>
        <rFont val="Arial"/>
        <family val="2"/>
      </rPr>
      <t>.</t>
    </r>
  </si>
  <si>
    <t>Sport/Thalasso</t>
  </si>
  <si>
    <t>Arrivée Stages Sportifs.</t>
  </si>
  <si>
    <t>Régime hyperprotéiné.</t>
  </si>
  <si>
    <t>Routine sportifs.</t>
  </si>
  <si>
    <r>
      <t>Dîner Gala Hiver</t>
    </r>
    <r>
      <rPr>
        <sz val="11"/>
        <color rgb="FF1F1F1F"/>
        <rFont val="Arial"/>
        <family val="2"/>
      </rPr>
      <t>.</t>
    </r>
  </si>
  <si>
    <t>Focus protéines sport.</t>
  </si>
  <si>
    <r>
      <t>Grand Buffet du Jardin</t>
    </r>
    <r>
      <rPr>
        <sz val="11"/>
        <color rgb="FF1F1F1F"/>
        <rFont val="Arial"/>
        <family val="2"/>
      </rPr>
      <t>.</t>
    </r>
  </si>
  <si>
    <t>Thalasso/Sport</t>
  </si>
  <si>
    <t>Stage sportif Europe.</t>
  </si>
  <si>
    <t>Focus protéines.</t>
  </si>
  <si>
    <t>Calme pré-Valentin.</t>
  </si>
  <si>
    <r>
      <t>Dîner Rouge : Buffets Passion</t>
    </r>
    <r>
      <rPr>
        <sz val="11"/>
        <color rgb="FF1F1F1F"/>
        <rFont val="Arial"/>
        <family val="2"/>
      </rPr>
      <t>.</t>
    </r>
  </si>
  <si>
    <t>Weekend prolongé complet.</t>
  </si>
  <si>
    <t>Début Vacances Scolaires.</t>
  </si>
  <si>
    <t>Animation Kids.</t>
  </si>
  <si>
    <t>Weekend vacances.</t>
  </si>
  <si>
    <t>Retour stages sportifs.</t>
  </si>
  <si>
    <t>Corporate / Fin de mois.</t>
  </si>
  <si>
    <t>Brunch Shour tardif.</t>
  </si>
  <si>
    <r>
      <t>Iftar National (Gala)</t>
    </r>
    <r>
      <rPr>
        <sz val="11"/>
        <color rgb="FF1F1F1F"/>
        <rFont val="Arial"/>
        <family val="2"/>
      </rPr>
      <t>.</t>
    </r>
  </si>
  <si>
    <t>Shour familial.</t>
  </si>
  <si>
    <t>27ème nuit</t>
  </si>
  <si>
    <r>
      <t>Leïlat al-Qadr (Max Pâtisserie)</t>
    </r>
    <r>
      <rPr>
        <sz val="11"/>
        <color rgb="FF1F1F1F"/>
        <rFont val="Arial"/>
        <family val="2"/>
      </rPr>
      <t>.</t>
    </r>
  </si>
  <si>
    <t>AÏD EL-FITR</t>
  </si>
  <si>
    <r>
      <t>Petit-déjeuner de l'Aïd</t>
    </r>
    <r>
      <rPr>
        <sz val="11"/>
        <color rgb="FF1F1F1F"/>
        <rFont val="Arial"/>
        <family val="2"/>
      </rPr>
      <t>.</t>
    </r>
  </si>
  <si>
    <t>Aïd (J2)</t>
  </si>
  <si>
    <t>Buffet festif continu.</t>
  </si>
  <si>
    <r>
      <t>Soirée de Printemps</t>
    </r>
    <r>
      <rPr>
        <sz val="11"/>
        <color rgb="FF1F1F1F"/>
        <rFont val="Arial"/>
        <family val="2"/>
      </rPr>
      <t>.</t>
    </r>
  </si>
  <si>
    <t>Début Vacances Pâques (Zone A).</t>
  </si>
  <si>
    <r>
      <t>Gala Medina Garden</t>
    </r>
    <r>
      <rPr>
        <sz val="11"/>
        <color rgb="FF1F1F1F"/>
        <rFont val="Arial"/>
        <family val="2"/>
      </rPr>
      <t>.</t>
    </r>
  </si>
  <si>
    <t>Flux enfants (Crêpes).</t>
  </si>
  <si>
    <t>Arrivées weekend Pascal.</t>
  </si>
  <si>
    <r>
      <t>GALA DE PÂQUES (Max Pâtisserie)</t>
    </r>
    <r>
      <rPr>
        <sz val="11"/>
        <color rgb="FF1F1F1F"/>
        <rFont val="Arial"/>
        <family val="2"/>
      </rPr>
      <t>.</t>
    </r>
  </si>
  <si>
    <r>
      <t>Brunch &amp; Chasse aux œufs</t>
    </r>
    <r>
      <rPr>
        <sz val="11"/>
        <color rgb="FF1F1F1F"/>
        <rFont val="Arial"/>
        <family val="2"/>
      </rPr>
      <t>.</t>
    </r>
  </si>
  <si>
    <t>Lundi de Pâques (EU).</t>
  </si>
  <si>
    <t>Routine vacances.</t>
  </si>
  <si>
    <r>
      <t>Grande Soirée Nabeulienne</t>
    </r>
    <r>
      <rPr>
        <sz val="11"/>
        <color rgb="FF1F1F1F"/>
        <rFont val="Arial"/>
        <family val="2"/>
      </rPr>
      <t>.</t>
    </r>
  </si>
  <si>
    <t>Arrivées 1er Mai.</t>
  </si>
  <si>
    <r>
      <t>Iftar de bienvenue (Brik &amp; Tajine)</t>
    </r>
    <r>
      <rPr>
        <sz val="11"/>
        <color rgb="FF1F1F1F"/>
        <rFont val="Arial"/>
        <family val="2"/>
      </rPr>
      <t>.</t>
    </r>
  </si>
  <si>
    <t>Shour &amp; Iftar traditionnel.</t>
  </si>
  <si>
    <t>Routine Ramadan.</t>
  </si>
  <si>
    <t>Weekend local (Iftar familles).</t>
  </si>
  <si>
    <r>
      <t>Grand Gala Iftar</t>
    </r>
    <r>
      <rPr>
        <sz val="11"/>
        <color rgb="FF1F1F1F"/>
        <rFont val="Arial"/>
        <family val="2"/>
      </rPr>
      <t>.</t>
    </r>
  </si>
  <si>
    <t>Arrivées Indépendance.</t>
  </si>
  <si>
    <t>Weekend prolongé Indépendance.</t>
  </si>
  <si>
    <t>Brunch Shour.</t>
  </si>
  <si>
    <t>Préparation 27ème nuit.</t>
  </si>
  <si>
    <t>Fin de Ramadan.</t>
  </si>
  <si>
    <t>Arrivées massives Aïd.</t>
  </si>
  <si>
    <t>Reprise douce des cures.</t>
  </si>
  <si>
    <t>Groupe Corporate Tunis.</t>
  </si>
  <si>
    <t>Début Vacances Pâques (EU).</t>
  </si>
  <si>
    <t>Activité Kids Club (Crêpes).</t>
  </si>
  <si>
    <t>Weekend Pascal (Arrivées).</t>
  </si>
  <si>
    <r>
      <t>GALA DE PÂQUES (Pâtisserie)</t>
    </r>
    <r>
      <rPr>
        <sz val="11"/>
        <color rgb="FF1F1F1F"/>
        <rFont val="Arial"/>
        <family val="2"/>
      </rPr>
      <t>.</t>
    </r>
  </si>
  <si>
    <t>Lundi de Pâques (Europe).</t>
  </si>
  <si>
    <t>Brunch fin de mois.</t>
  </si>
  <si>
    <t>Préparation pont.</t>
  </si>
  <si>
    <t>Ascension</t>
  </si>
  <si>
    <t>Flux Europe (Ascension).</t>
  </si>
  <si>
    <t>Weekend complet.</t>
  </si>
  <si>
    <t>Arrivées familles locales.</t>
  </si>
  <si>
    <t>AÏD (J2)</t>
  </si>
  <si>
    <r>
      <t>Gala de l'Aïd</t>
    </r>
    <r>
      <rPr>
        <sz val="11"/>
        <color rgb="FF1F1F1F"/>
        <rFont val="Arial"/>
        <family val="2"/>
      </rPr>
      <t>.</t>
    </r>
  </si>
  <si>
    <r>
      <t>Fête de la Musique / Gala</t>
    </r>
    <r>
      <rPr>
        <sz val="11"/>
        <color rgb="FF1F1F1F"/>
        <rFont val="Arial"/>
        <family val="2"/>
      </rPr>
      <t>.</t>
    </r>
  </si>
  <si>
    <t>Flux touristique EU.</t>
  </si>
  <si>
    <r>
      <t>Fête : Tajines &amp; Entrées</t>
    </r>
    <r>
      <rPr>
        <sz val="11"/>
        <color rgb="FF1F1F1F"/>
        <rFont val="Arial"/>
        <family val="2"/>
      </rPr>
      <t>.</t>
    </r>
  </si>
  <si>
    <t>Weekend plein été.</t>
  </si>
  <si>
    <t>MUSIQUE</t>
  </si>
  <si>
    <r>
      <t>Gala / Fête de la Musique</t>
    </r>
    <r>
      <rPr>
        <sz val="11"/>
        <color rgb="FF1F1F1F"/>
        <rFont val="Arial"/>
        <family val="2"/>
      </rPr>
      <t>.</t>
    </r>
  </si>
  <si>
    <t>Haute saison active.</t>
  </si>
  <si>
    <t>Weekend saturation.</t>
  </si>
  <si>
    <t>Arrivées massives TRE.</t>
  </si>
  <si>
    <t>Arrivées pour le 25.</t>
  </si>
  <si>
    <r>
      <t>GALA RECORD JUILLET</t>
    </r>
    <r>
      <rPr>
        <sz val="11"/>
        <color rgb="FF1F1F1F"/>
        <rFont val="Arial"/>
        <family val="2"/>
      </rPr>
      <t>.</t>
    </r>
  </si>
  <si>
    <t>Flux croissant.</t>
  </si>
  <si>
    <t>FEMME</t>
  </si>
  <si>
    <t>Routine intense.</t>
  </si>
  <si>
    <r>
      <t>GRAND GALA D'AOÛT</t>
    </r>
    <r>
      <rPr>
        <sz val="11"/>
        <color rgb="FF1F1F1F"/>
        <rFont val="Arial"/>
        <family val="2"/>
      </rPr>
      <t>.</t>
    </r>
  </si>
  <si>
    <t>Préparation clôture.</t>
  </si>
  <si>
    <t>Dernier weekend été.</t>
  </si>
  <si>
    <r>
      <t>Gala de fin de saison</t>
    </r>
    <r>
      <rPr>
        <sz val="11"/>
        <color rgb="FF1F1F1F"/>
        <rFont val="Arial"/>
        <family val="2"/>
      </rPr>
      <t>.</t>
    </r>
  </si>
  <si>
    <t>Brunch des départs.</t>
  </si>
  <si>
    <t>Arrière-saison</t>
  </si>
  <si>
    <t>Derniers TRE (Tunisiens de l'Étranger).</t>
  </si>
  <si>
    <t>Routine été indien.</t>
  </si>
  <si>
    <t>Flux familles locales.</t>
  </si>
  <si>
    <t>Dernier weekend "pré-rentrée".</t>
  </si>
  <si>
    <t>Arrivées Seniors EU.</t>
  </si>
  <si>
    <t>Brunch transition.</t>
  </si>
  <si>
    <t>RENTRÉE</t>
  </si>
  <si>
    <r>
      <t>Chute brutale de l'Occ %</t>
    </r>
    <r>
      <rPr>
        <sz val="11"/>
        <color rgb="FF1F1F1F"/>
        <rFont val="Arial"/>
        <family val="2"/>
      </rPr>
      <t>.</t>
    </r>
  </si>
  <si>
    <t>Clientèle curative.</t>
  </si>
  <si>
    <t>Premier séminaire de rentrée.</t>
  </si>
  <si>
    <t>Brunch Seniors.</t>
  </si>
  <si>
    <t>Clôture Septembre.</t>
  </si>
  <si>
    <t>Arrivées pour le 15.</t>
  </si>
  <si>
    <t>ÉVACUATION</t>
  </si>
  <si>
    <t>Début Toussaint (Zone A).</t>
  </si>
  <si>
    <t>Clients locaux (Toussaint).</t>
  </si>
  <si>
    <t>Convention entreprise.</t>
  </si>
  <si>
    <r>
      <t>Dîner Gala Automne</t>
    </r>
    <r>
      <rPr>
        <sz val="11"/>
        <color rgb="FF1F1F1F"/>
        <rFont val="Arial"/>
        <family val="2"/>
      </rPr>
      <t>.</t>
    </r>
  </si>
  <si>
    <t>Clients "Long Séjour".</t>
  </si>
  <si>
    <t>Fin de mois Corporate.</t>
  </si>
  <si>
    <r>
      <t>Gala de clôture</t>
    </r>
    <r>
      <rPr>
        <sz val="11"/>
        <color rgb="FF1F1F1F"/>
        <rFont val="Arial"/>
        <family val="2"/>
      </rPr>
      <t>.</t>
    </r>
  </si>
  <si>
    <t>Routine Seniors EU.</t>
  </si>
  <si>
    <t>Derniers groupes Corporate.</t>
  </si>
  <si>
    <t>Calme avant le rush.</t>
  </si>
  <si>
    <t>Début Vacances Hiver.</t>
  </si>
  <si>
    <r>
      <t>Gala Pré-Noël</t>
    </r>
    <r>
      <rPr>
        <sz val="11"/>
        <color rgb="FF1F1F1F"/>
        <rFont val="Arial"/>
        <family val="2"/>
      </rPr>
      <t>.</t>
    </r>
  </si>
  <si>
    <r>
      <t>Grand Gala d'Hiver</t>
    </r>
    <r>
      <rPr>
        <sz val="11"/>
        <color rgb="FF1F1F1F"/>
        <rFont val="Arial"/>
        <family val="2"/>
      </rPr>
      <t>.</t>
    </r>
  </si>
  <si>
    <t>Préparation 31.</t>
  </si>
  <si>
    <r>
      <t>RÉVEILLON DE LA SYLVESTRE</t>
    </r>
    <r>
      <rPr>
        <sz val="11"/>
        <color rgb="FF1F1F1F"/>
        <rFont val="Arial"/>
        <family val="2"/>
      </rPr>
      <t>.</t>
    </r>
  </si>
  <si>
    <t>Convention annuelle.</t>
  </si>
  <si>
    <t>Khayem Garden Beach Resort &amp; Spa</t>
  </si>
  <si>
    <t>JOUR AN</t>
  </si>
  <si>
    <r>
      <t>Brunch de la Nouvelle Année</t>
    </r>
    <r>
      <rPr>
        <sz val="11"/>
        <color rgb="FF1F1F1F"/>
        <rFont val="Arial"/>
        <family val="2"/>
      </rPr>
      <t>.</t>
    </r>
  </si>
  <si>
    <t>Post-Réveillon</t>
  </si>
  <si>
    <t>Départs et cure détente.</t>
  </si>
  <si>
    <t>Arrivées weekend cocooning.</t>
  </si>
  <si>
    <r>
      <t>Soirée Lounge &amp; Piano Bar</t>
    </r>
    <r>
      <rPr>
        <sz val="11"/>
        <color rgb="FF1F1F1F"/>
        <rFont val="Arial"/>
        <family val="2"/>
      </rPr>
      <t>.</t>
    </r>
  </si>
  <si>
    <t>Clientèle Business/Thalasso.</t>
  </si>
  <si>
    <t>Conférence Entreprise.</t>
  </si>
  <si>
    <t>Weekend Spa &amp; Détente.</t>
  </si>
  <si>
    <t>Brunch familles locales.</t>
  </si>
  <si>
    <t>Arrivées pour le 14.</t>
  </si>
  <si>
    <t>RÉVOLUTION</t>
  </si>
  <si>
    <r>
      <t>Buffet National Premium</t>
    </r>
    <r>
      <rPr>
        <sz val="11"/>
        <color rgb="FF1F1F1F"/>
        <rFont val="Arial"/>
        <family val="2"/>
      </rPr>
      <t>.</t>
    </r>
  </si>
  <si>
    <r>
      <t>Gala Signature Blu</t>
    </r>
    <r>
      <rPr>
        <sz val="11"/>
        <color rgb="FF1F1F1F"/>
        <rFont val="Arial"/>
        <family val="2"/>
      </rPr>
      <t>.</t>
    </r>
  </si>
  <si>
    <t>Convention Corporate.</t>
  </si>
  <si>
    <r>
      <t>Gala Fin de Mois</t>
    </r>
    <r>
      <rPr>
        <sz val="11"/>
        <color rgb="FF1F1F1F"/>
        <rFont val="Arial"/>
        <family val="2"/>
      </rPr>
      <t>.</t>
    </r>
  </si>
  <si>
    <t>CHANDELEUR</t>
  </si>
  <si>
    <r>
      <t>Brunch spécial Crêpes</t>
    </r>
    <r>
      <rPr>
        <sz val="11"/>
        <color rgb="FF1F1F1F"/>
        <rFont val="Arial"/>
        <family val="2"/>
      </rPr>
      <t>.</t>
    </r>
  </si>
  <si>
    <r>
      <t>Soirée Signature Blu</t>
    </r>
    <r>
      <rPr>
        <sz val="11"/>
        <color rgb="FF1F1F1F"/>
        <rFont val="Arial"/>
        <family val="2"/>
      </rPr>
      <t>.</t>
    </r>
  </si>
  <si>
    <t>Préparation Valentin.</t>
  </si>
  <si>
    <t>Veille S-V</t>
  </si>
  <si>
    <r>
      <t>Dîner de Gala Cupidon</t>
    </r>
    <r>
      <rPr>
        <sz val="11"/>
        <color rgb="FF1F1F1F"/>
        <rFont val="Arial"/>
        <family val="2"/>
      </rPr>
      <t>.</t>
    </r>
  </si>
  <si>
    <t>WEEKEND</t>
  </si>
  <si>
    <r>
      <t>Saturation Romantique</t>
    </r>
    <r>
      <rPr>
        <sz val="11"/>
        <color rgb="FF1F1F1F"/>
        <rFont val="Arial"/>
        <family val="2"/>
      </rPr>
      <t>.</t>
    </r>
  </si>
  <si>
    <t>Mi-février (Zone A).</t>
  </si>
  <si>
    <t>Convention Médicale.</t>
  </si>
  <si>
    <r>
      <t>Gala de Février</t>
    </r>
    <r>
      <rPr>
        <sz val="11"/>
        <color rgb="FF1F1F1F"/>
        <rFont val="Arial"/>
        <family val="2"/>
      </rPr>
      <t>.</t>
    </r>
  </si>
  <si>
    <t>1er RAMADAN</t>
  </si>
  <si>
    <t>Shour &amp; Iftar familles.</t>
  </si>
  <si>
    <t>Iftar Corporate (Entreprise).</t>
  </si>
  <si>
    <t>Arrivées pour le 20 mars.</t>
  </si>
  <si>
    <t>INDÉPENDANCE</t>
  </si>
  <si>
    <t>Shour famille.</t>
  </si>
  <si>
    <t>LEILA 27</t>
  </si>
  <si>
    <t>Pâtisserie de l'Aïd.</t>
  </si>
  <si>
    <t>AÏD AL-FITR</t>
  </si>
  <si>
    <r>
      <t>Iftar de Gala / Briks</t>
    </r>
    <r>
      <rPr>
        <sz val="11"/>
        <color rgb="FF1F1F1F"/>
        <rFont val="Arial"/>
        <family val="2"/>
      </rPr>
      <t>.</t>
    </r>
  </si>
  <si>
    <r>
      <t>Grand Buffet Ramadan</t>
    </r>
    <r>
      <rPr>
        <sz val="11"/>
        <color rgb="FF1F1F1F"/>
        <rFont val="Arial"/>
        <family val="2"/>
      </rPr>
      <t>.</t>
    </r>
  </si>
  <si>
    <r>
      <t>Pic Iftar mi-Ramadan</t>
    </r>
    <r>
      <rPr>
        <sz val="11"/>
        <color rgb="FF1F1F1F"/>
        <rFont val="Arial"/>
        <family val="2"/>
      </rPr>
      <t>.</t>
    </r>
  </si>
  <si>
    <r>
      <t>Soirée Prestige</t>
    </r>
    <r>
      <rPr>
        <sz val="11"/>
        <color rgb="FF1F1F1F"/>
        <rFont val="Arial"/>
        <family val="2"/>
      </rPr>
      <t>.</t>
    </r>
  </si>
  <si>
    <r>
      <t>Nuit du Destin (Iftar record)</t>
    </r>
    <r>
      <rPr>
        <sz val="11"/>
        <color rgb="FF1F1F1F"/>
        <rFont val="Arial"/>
        <family val="2"/>
      </rPr>
      <t>.</t>
    </r>
  </si>
  <si>
    <r>
      <t>Fête : Petit-déjeuner Royal</t>
    </r>
    <r>
      <rPr>
        <sz val="11"/>
        <color rgb="FF1F1F1F"/>
        <rFont val="Arial"/>
        <family val="2"/>
      </rPr>
      <t>.</t>
    </r>
  </si>
  <si>
    <t>Post-Aïd, retour Thalasso.</t>
  </si>
  <si>
    <t>Convention d'entreprise.</t>
  </si>
  <si>
    <t>MARTYRS</t>
  </si>
  <si>
    <r>
      <t>Férié : Buffet Tradition</t>
    </r>
    <r>
      <rPr>
        <sz val="11"/>
        <color rgb="FF1F1F1F"/>
        <rFont val="Arial"/>
        <family val="2"/>
      </rPr>
      <t>.</t>
    </r>
  </si>
  <si>
    <t>Début vacances (Zone B).</t>
  </si>
  <si>
    <t>Activités Kids Club.</t>
  </si>
  <si>
    <t>VENDREDI S.</t>
  </si>
  <si>
    <t>SAMEDI S.</t>
  </si>
  <si>
    <r>
      <t>Préparation Pâques</t>
    </r>
    <r>
      <rPr>
        <sz val="11"/>
        <color rgb="FF1F1F1F"/>
        <rFont val="Arial"/>
        <family val="2"/>
      </rPr>
      <t>.</t>
    </r>
  </si>
  <si>
    <r>
      <t>GRAND BRUNCH DE PÂQUES</t>
    </r>
    <r>
      <rPr>
        <sz val="11"/>
        <color rgb="FF1F1F1F"/>
        <rFont val="Arial"/>
        <family val="2"/>
      </rPr>
      <t>.</t>
    </r>
  </si>
  <si>
    <t>PÂQUES (L)</t>
  </si>
  <si>
    <t>Buffet de Pâques.</t>
  </si>
  <si>
    <t>Thalasso post-fêtes.</t>
  </si>
  <si>
    <r>
      <t>Gala de Fin de Mois</t>
    </r>
    <r>
      <rPr>
        <sz val="11"/>
        <color rgb="FF1F1F1F"/>
        <rFont val="Arial"/>
        <family val="2"/>
      </rPr>
      <t>.</t>
    </r>
  </si>
  <si>
    <t>Arrivées pour le 1er Mai.</t>
  </si>
  <si>
    <t>TRAVAIL</t>
  </si>
  <si>
    <r>
      <t>Buffet de Gala du 1er Mai</t>
    </r>
    <r>
      <rPr>
        <sz val="11"/>
        <color rgb="FF1F1F1F"/>
        <rFont val="Arial"/>
        <family val="2"/>
      </rPr>
      <t>.</t>
    </r>
  </si>
  <si>
    <t>Brunch printanier.</t>
  </si>
  <si>
    <r>
      <t>Soirée Lounge</t>
    </r>
    <r>
      <rPr>
        <sz val="11"/>
        <color rgb="FF1F1F1F"/>
        <rFont val="Arial"/>
        <family val="2"/>
      </rPr>
      <t>.</t>
    </r>
  </si>
  <si>
    <r>
      <t>Grand Gala de Mai</t>
    </r>
    <r>
      <rPr>
        <sz val="11"/>
        <color rgb="FF1F1F1F"/>
        <rFont val="Arial"/>
        <family val="2"/>
      </rPr>
      <t>.</t>
    </r>
  </si>
  <si>
    <t>Ascension*</t>
  </si>
  <si>
    <r>
      <t>Gala Clôture Mai</t>
    </r>
    <r>
      <rPr>
        <sz val="11"/>
        <color rgb="FF1F1F1F"/>
        <rFont val="Arial"/>
        <family val="2"/>
      </rPr>
      <t>.</t>
    </r>
  </si>
  <si>
    <t>Weekend local prolongé.</t>
  </si>
  <si>
    <t>Convention Entreprise.</t>
  </si>
  <si>
    <t>Clientèle européenne (Pont).</t>
  </si>
  <si>
    <t>Weekend pré-estival.</t>
  </si>
  <si>
    <t>Brunch de début de saison.</t>
  </si>
  <si>
    <r>
      <t>Weekend de l'Aïd</t>
    </r>
    <r>
      <rPr>
        <sz val="11"/>
        <color rgb="FF1F1F1F"/>
        <rFont val="Arial"/>
        <family val="2"/>
      </rPr>
      <t>.</t>
    </r>
  </si>
  <si>
    <t>AÏD (J3)</t>
  </si>
  <si>
    <t>Récupération</t>
  </si>
  <si>
    <t>Début saison balnéaire.</t>
  </si>
  <si>
    <r>
      <t>Grand Gala de Juin</t>
    </r>
    <r>
      <rPr>
        <sz val="11"/>
        <color rgb="FF1F1F1F"/>
        <rFont val="Arial"/>
        <family val="2"/>
      </rPr>
      <t>.</t>
    </r>
  </si>
  <si>
    <t>Fin de mois</t>
  </si>
  <si>
    <t>Routine Business &amp; Thalasso.</t>
  </si>
  <si>
    <t>Pré-Aïd</t>
  </si>
  <si>
    <t>Mise en place des festivités.</t>
  </si>
  <si>
    <t>AÏD EL-IDHA</t>
  </si>
  <si>
    <t>Flux local post-Aïd.</t>
  </si>
  <si>
    <t>Dernier grand séminaire.</t>
  </si>
  <si>
    <t>FÊTE MUSIQUE</t>
  </si>
  <si>
    <r>
      <t>Gala Été : Show-cooking</t>
    </r>
    <r>
      <rPr>
        <sz val="11"/>
        <color rgb="FF1F1F1F"/>
        <rFont val="Arial"/>
        <family val="2"/>
      </rPr>
      <t>.</t>
    </r>
  </si>
  <si>
    <t>Brunch clôture.</t>
  </si>
  <si>
    <t>Transition vers Juillet.</t>
  </si>
  <si>
    <t>Lancement Haute Saison.</t>
  </si>
  <si>
    <t>Arrivées Festival.</t>
  </si>
  <si>
    <r>
      <t>Gala d'Été n°1</t>
    </r>
    <r>
      <rPr>
        <sz val="11"/>
        <color rgb="FF1F1F1F"/>
        <rFont val="Arial"/>
        <family val="2"/>
      </rPr>
      <t>.</t>
    </r>
  </si>
  <si>
    <t>Grand Brunch.</t>
  </si>
  <si>
    <t>Flux Algérie/Libye.</t>
  </si>
  <si>
    <t>Weekend Festival.</t>
  </si>
  <si>
    <t>FÊTE FR</t>
  </si>
  <si>
    <r>
      <t>Buffet Spécial 14 Juillet</t>
    </r>
    <r>
      <rPr>
        <sz val="11"/>
        <color rgb="FF1F1F1F"/>
        <rFont val="Arial"/>
        <family val="2"/>
      </rPr>
      <t>.</t>
    </r>
  </si>
  <si>
    <t>Weekend balnéaire.</t>
  </si>
  <si>
    <t>RÉPUBLIQUE</t>
  </si>
  <si>
    <r>
      <t>Grand Gala de Juillet</t>
    </r>
    <r>
      <rPr>
        <sz val="11"/>
        <color rgb="FF1F1F1F"/>
        <rFont val="Arial"/>
        <family val="2"/>
      </rPr>
      <t>.</t>
    </r>
  </si>
  <si>
    <t>Brunch de la République.</t>
  </si>
  <si>
    <t>Rotation clients.</t>
  </si>
  <si>
    <t>Arrivées pour le 13/08.</t>
  </si>
  <si>
    <r>
      <t>Fête de la Femme (Gala)</t>
    </r>
    <r>
      <rPr>
        <sz val="11"/>
        <color rgb="FF1F1F1F"/>
        <rFont val="Arial"/>
        <family val="2"/>
      </rPr>
      <t>.</t>
    </r>
  </si>
  <si>
    <t>ASSOMPTION</t>
  </si>
  <si>
    <r>
      <t>Clientèle Italienne/Française</t>
    </r>
    <r>
      <rPr>
        <sz val="11"/>
        <color rgb="FF1F1F1F"/>
        <rFont val="Arial"/>
        <family val="2"/>
      </rPr>
      <t>.</t>
    </r>
  </si>
  <si>
    <r>
      <t>Pic de consommation annuel</t>
    </r>
    <r>
      <rPr>
        <sz val="11"/>
        <color rgb="FF1F1F1F"/>
        <rFont val="Arial"/>
        <family val="2"/>
      </rPr>
      <t>.</t>
    </r>
  </si>
  <si>
    <t>Début des départs.</t>
  </si>
  <si>
    <t>Fin de Saison</t>
  </si>
  <si>
    <r>
      <t>Dernier Gala Été</t>
    </r>
    <r>
      <rPr>
        <sz val="11"/>
        <color rgb="FF1F1F1F"/>
        <rFont val="Arial"/>
        <family val="2"/>
      </rPr>
      <t>.</t>
    </r>
  </si>
  <si>
    <t>Veille de Weekend</t>
  </si>
  <si>
    <r>
      <t>Gala de l'Équinoxe</t>
    </r>
    <r>
      <rPr>
        <sz val="11"/>
        <color rgb="FF1F1F1F"/>
        <rFont val="Arial"/>
        <family val="2"/>
      </rPr>
      <t>.</t>
    </r>
  </si>
  <si>
    <t>Départ des familles, retour au calme.</t>
  </si>
  <si>
    <t>Clientèle bien-être (Seniors).</t>
  </si>
  <si>
    <t>Reprise des conventions d'entreprises.</t>
  </si>
  <si>
    <t>Weekend local arrière-saison.</t>
  </si>
  <si>
    <t>Routine européenne.</t>
  </si>
  <si>
    <t>Grand Séminaire International.</t>
  </si>
  <si>
    <t>Weekend détente locale.</t>
  </si>
  <si>
    <t>Arrivée long-séjours (EU).</t>
  </si>
  <si>
    <t>Convention de rentrée.</t>
  </si>
  <si>
    <r>
      <t>Forte demande omelettes blancs</t>
    </r>
    <r>
      <rPr>
        <sz val="11"/>
        <color rgb="FF1F1F1F"/>
        <rFont val="Arial"/>
        <family val="2"/>
      </rPr>
      <t>.</t>
    </r>
  </si>
  <si>
    <r>
      <t>Coffee-breaks (cakes/quiches)</t>
    </r>
    <r>
      <rPr>
        <sz val="11"/>
        <color rgb="FF1F1F1F"/>
        <rFont val="Arial"/>
        <family val="2"/>
      </rPr>
      <t>.</t>
    </r>
  </si>
  <si>
    <r>
      <t>Déjeuner d'affaires</t>
    </r>
    <r>
      <rPr>
        <sz val="11"/>
        <color rgb="FF1F1F1F"/>
        <rFont val="Arial"/>
        <family val="2"/>
      </rPr>
      <t>.</t>
    </r>
  </si>
  <si>
    <r>
      <t>Soirée Gastronomique</t>
    </r>
    <r>
      <rPr>
        <sz val="11"/>
        <color rgb="FF1F1F1F"/>
        <rFont val="Arial"/>
        <family val="2"/>
      </rPr>
      <t>.</t>
    </r>
  </si>
  <si>
    <r>
      <t>Soirée Automnale</t>
    </r>
    <r>
      <rPr>
        <sz val="11"/>
        <color rgb="FF1F1F1F"/>
        <rFont val="Arial"/>
        <family val="2"/>
      </rPr>
      <t>.</t>
    </r>
  </si>
  <si>
    <r>
      <t>Grand Congrès Médical</t>
    </r>
    <r>
      <rPr>
        <sz val="11"/>
        <color rgb="FF1F1F1F"/>
        <rFont val="Arial"/>
        <family val="2"/>
      </rPr>
      <t>.</t>
    </r>
  </si>
  <si>
    <t>Routine post-férié.</t>
  </si>
  <si>
    <t>Vacances EU</t>
  </si>
  <si>
    <t>Début vacances (France/Belgique).</t>
  </si>
  <si>
    <r>
      <t>Grand Gala d'Octobre</t>
    </r>
    <r>
      <rPr>
        <sz val="11"/>
        <color rgb="FF1F1F1F"/>
        <rFont val="Arial"/>
        <family val="2"/>
      </rPr>
      <t>.</t>
    </r>
  </si>
  <si>
    <t>Brunch des familles.</t>
  </si>
  <si>
    <t>Weekend balnéaire doux.</t>
  </si>
  <si>
    <t>Préparation festivités.</t>
  </si>
  <si>
    <t>Congrès d'affaires.</t>
  </si>
  <si>
    <t>Brunch cocooning.</t>
  </si>
  <si>
    <r>
      <t>Soirée de Prestige</t>
    </r>
    <r>
      <rPr>
        <sz val="11"/>
        <color rgb="FF1F1F1F"/>
        <rFont val="Arial"/>
        <family val="2"/>
      </rPr>
      <t>.</t>
    </r>
  </si>
  <si>
    <t>Groupe d'entreprise.</t>
  </si>
  <si>
    <r>
      <t>Gala de mi-Novembre</t>
    </r>
    <r>
      <rPr>
        <sz val="11"/>
        <color rgb="FF1F1F1F"/>
        <rFont val="Arial"/>
        <family val="2"/>
      </rPr>
      <t>.</t>
    </r>
  </si>
  <si>
    <r>
      <t>Gala Clôture Novembre</t>
    </r>
    <r>
      <rPr>
        <sz val="11"/>
        <color rgb="FF1F1F1F"/>
        <rFont val="Arial"/>
        <family val="2"/>
      </rPr>
      <t>.</t>
    </r>
  </si>
  <si>
    <t>Routine curistes hiver.</t>
  </si>
  <si>
    <t>Derniers séminaires de l'année.</t>
  </si>
  <si>
    <t>Prélude des fêtes.</t>
  </si>
  <si>
    <t>Préparation décorations.</t>
  </si>
  <si>
    <t>Arrivées clientèle européenne.</t>
  </si>
  <si>
    <r>
      <t>Ouverture Saison des Fêtes</t>
    </r>
    <r>
      <rPr>
        <sz val="11"/>
        <color rgb="FF1F1F1F"/>
        <rFont val="Arial"/>
        <family val="2"/>
      </rPr>
      <t>.</t>
    </r>
  </si>
  <si>
    <t>Brunch de Noël anticipé.</t>
  </si>
  <si>
    <t>Forte affluence familles.</t>
  </si>
  <si>
    <t>Préparation réveillon Noël.</t>
  </si>
  <si>
    <r>
      <t>Dîner de Gala &amp; Bûches</t>
    </r>
    <r>
      <rPr>
        <sz val="11"/>
        <color rgb="FF1F1F1F"/>
        <rFont val="Arial"/>
        <family val="2"/>
      </rPr>
      <t>.</t>
    </r>
  </si>
  <si>
    <t>Weekend entre deux fêtes.</t>
  </si>
  <si>
    <t>Mise en place Saint-Sylvestre.</t>
  </si>
  <si>
    <r>
      <t>Le Grand Réveillon</t>
    </r>
    <r>
      <rPr>
        <sz val="11"/>
        <color rgb="FF1F1F1F"/>
        <rFont val="Arial"/>
        <family val="2"/>
      </rPr>
      <t>.</t>
    </r>
  </si>
  <si>
    <t xml:space="preserve">Radissan blue </t>
  </si>
  <si>
    <t>JOUR DE L'AN</t>
  </si>
  <si>
    <r>
      <t>Brunch de Gala "Le Kamil"</t>
    </r>
    <r>
      <rPr>
        <sz val="11"/>
        <color rgb="FF1F1F1F"/>
        <rFont val="Arial"/>
        <family val="2"/>
      </rPr>
      <t>.</t>
    </r>
  </si>
  <si>
    <t>Routine post-fête.</t>
  </si>
  <si>
    <t>Brunch dominical chic.</t>
  </si>
  <si>
    <t>Weekend Spa &amp; Sérénité.</t>
  </si>
  <si>
    <r>
      <t>Soirée Piano Bar</t>
    </r>
    <r>
      <rPr>
        <sz val="11"/>
        <color rgb="FF1F1F1F"/>
        <rFont val="Arial"/>
        <family val="2"/>
      </rPr>
      <t>.</t>
    </r>
  </si>
  <si>
    <t>Brunch raffiné.</t>
  </si>
  <si>
    <r>
      <t>Férié : Menu Signature</t>
    </r>
    <r>
      <rPr>
        <sz val="11"/>
        <color rgb="FF1F1F1F"/>
        <rFont val="Arial"/>
        <family val="2"/>
      </rPr>
      <t>.</t>
    </r>
  </si>
  <si>
    <t>Escapade romantique.</t>
  </si>
  <si>
    <t>Comité de direction privé.</t>
  </si>
  <si>
    <t>Type de Journée</t>
  </si>
  <si>
    <t>Thalasso &amp; Calme</t>
  </si>
  <si>
    <t>Clientèle européenne en long séjour.</t>
  </si>
  <si>
    <t>Routine Spa : Focus omelettes "Healthy".</t>
  </si>
  <si>
    <t>Petit groupe de direction (MICE de luxe).</t>
  </si>
  <si>
    <t>Veille Weekend</t>
  </si>
  <si>
    <t>Mise en place pour le weekend de clôture.</t>
  </si>
  <si>
    <t>Brunch chic.</t>
  </si>
  <si>
    <t>WEEKEND VAL.</t>
  </si>
  <si>
    <r>
      <t>Soirée Signature Adra</t>
    </r>
    <r>
      <rPr>
        <sz val="11"/>
        <color rgb="FF1F1F1F"/>
        <rFont val="Arial"/>
        <family val="2"/>
      </rPr>
      <t>.</t>
    </r>
  </si>
  <si>
    <t>Comité VIP.</t>
  </si>
  <si>
    <t>Arrivées pré-Valentin.</t>
  </si>
  <si>
    <t>Calme avant la fête.</t>
  </si>
  <si>
    <r>
      <t>Gala Cupidon (Pic Pâtisserie)</t>
    </r>
    <r>
      <rPr>
        <sz val="11"/>
        <color rgb="FF1F1F1F"/>
        <rFont val="Arial"/>
        <family val="2"/>
      </rPr>
      <t>.</t>
    </r>
  </si>
  <si>
    <r>
      <t>Record Room Service</t>
    </r>
    <r>
      <rPr>
        <sz val="11"/>
        <color rgb="FF1F1F1F"/>
        <rFont val="Arial"/>
        <family val="2"/>
      </rPr>
      <t>.</t>
    </r>
  </si>
  <si>
    <t>Groupe Corporate de Luxe.</t>
  </si>
  <si>
    <r>
      <t>1er Iftar Signature</t>
    </r>
    <r>
      <rPr>
        <sz val="11"/>
        <color rgb="FF1F1F1F"/>
        <rFont val="Arial"/>
        <family val="2"/>
      </rPr>
      <t>.</t>
    </r>
  </si>
  <si>
    <t>Brunch maintenu pour EU.</t>
  </si>
  <si>
    <t>Routine Iftar calme.</t>
  </si>
  <si>
    <t>Iftar d'entreprise (VIP).</t>
  </si>
  <si>
    <t>Arrivées weekend Iftar.</t>
  </si>
  <si>
    <r>
      <t>Grand Iftar du Samedi</t>
    </r>
    <r>
      <rPr>
        <sz val="11"/>
        <color rgb="FF1F1F1F"/>
        <rFont val="Arial"/>
        <family val="2"/>
      </rPr>
      <t>.</t>
    </r>
  </si>
  <si>
    <t>Iftar Corporate.</t>
  </si>
  <si>
    <r>
      <t>Iftar Signature "Adra"</t>
    </r>
    <r>
      <rPr>
        <sz val="11"/>
        <color rgb="FF1F1F1F"/>
        <rFont val="Arial"/>
        <family val="2"/>
      </rPr>
      <t>.</t>
    </r>
  </si>
  <si>
    <r>
      <t>Férié : Iftar de Gala</t>
    </r>
    <r>
      <rPr>
        <sz val="11"/>
        <color rgb="FF1F1F1F"/>
        <rFont val="Arial"/>
        <family val="2"/>
      </rPr>
      <t>.</t>
    </r>
  </si>
  <si>
    <r>
      <t>Iftar Prestige</t>
    </r>
    <r>
      <rPr>
        <sz val="11"/>
        <color rgb="FF1F1F1F"/>
        <rFont val="Arial"/>
        <family val="2"/>
      </rPr>
      <t>.</t>
    </r>
  </si>
  <si>
    <t>Veille de weekend.</t>
  </si>
  <si>
    <t>Weekend fin Ramadan.</t>
  </si>
  <si>
    <t>AÏD EL FITR (?)</t>
  </si>
  <si>
    <r>
      <t>Réveillon de l'Aïd (Gala)</t>
    </r>
    <r>
      <rPr>
        <sz val="11"/>
        <color rgb="FF1F1F1F"/>
        <rFont val="Arial"/>
        <family val="2"/>
      </rPr>
      <t>.</t>
    </r>
  </si>
  <si>
    <t>AÏD EL FITR</t>
  </si>
  <si>
    <r>
      <t>Petit-déjeuner de fête</t>
    </r>
    <r>
      <rPr>
        <sz val="11"/>
        <color rgb="FF1F1F1F"/>
        <rFont val="Arial"/>
        <family val="2"/>
      </rPr>
      <t>.</t>
    </r>
  </si>
  <si>
    <t>Détente post-festivités.</t>
  </si>
  <si>
    <t>Comité de direction VIP.</t>
  </si>
  <si>
    <t>Brunch en terrasse.</t>
  </si>
  <si>
    <r>
      <t>Férié : Déjeuner Signature</t>
    </r>
    <r>
      <rPr>
        <sz val="11"/>
        <color rgb="FF1F1F1F"/>
        <rFont val="Arial"/>
        <family val="2"/>
      </rPr>
      <t>.</t>
    </r>
  </si>
  <si>
    <t>Weekend Spa.</t>
  </si>
  <si>
    <t>Brunch Printanier.</t>
  </si>
  <si>
    <t>Début vacances de Pâques.</t>
  </si>
  <si>
    <t>Routine vacanciers.</t>
  </si>
  <si>
    <t>VENDREDI SAINT</t>
  </si>
  <si>
    <t>SAMEDI PÂQUES</t>
  </si>
  <si>
    <r>
      <t>Grand Brunch Pascal</t>
    </r>
    <r>
      <rPr>
        <sz val="11"/>
        <color rgb="FF1F1F1F"/>
        <rFont val="Arial"/>
        <family val="2"/>
      </rPr>
      <t>.</t>
    </r>
  </si>
  <si>
    <t>LUNDI PÂQUES</t>
  </si>
  <si>
    <t>Petit-déjeuner prolongé.</t>
  </si>
  <si>
    <t>Convention Luxe.</t>
  </si>
  <si>
    <t>Post-Pâques / Calme</t>
  </si>
  <si>
    <t>Séjour Thalasso</t>
  </si>
  <si>
    <t>Routine Luxe :</t>
  </si>
  <si>
    <t>Focus Détox :</t>
  </si>
  <si>
    <t>FÊTE TRAVAIL</t>
  </si>
  <si>
    <r>
      <t>Grand Brunch Férié</t>
    </r>
    <r>
      <rPr>
        <sz val="11"/>
        <color rgb="FF1F1F1F"/>
        <rFont val="Arial"/>
        <family val="2"/>
      </rPr>
      <t>.</t>
    </r>
  </si>
  <si>
    <t>Brunch au bord de la piscine.</t>
  </si>
  <si>
    <r>
      <t>Soirée Jazz &amp; Gastronomie</t>
    </r>
    <r>
      <rPr>
        <sz val="11"/>
        <color rgb="FF1F1F1F"/>
        <rFont val="Arial"/>
        <family val="2"/>
      </rPr>
      <t>.</t>
    </r>
  </si>
  <si>
    <t>Brunch Garden View.</t>
  </si>
  <si>
    <t>Clientèle Luxe.</t>
  </si>
  <si>
    <r>
      <t>Gala du Printemps</t>
    </r>
    <r>
      <rPr>
        <sz val="11"/>
        <color rgb="FF1F1F1F"/>
        <rFont val="Arial"/>
        <family val="2"/>
      </rPr>
      <t>.</t>
    </r>
  </si>
  <si>
    <t>Convention internationale.</t>
  </si>
  <si>
    <t>Brunch de mariage.</t>
  </si>
  <si>
    <t>Ascension (EU)</t>
  </si>
  <si>
    <t>Arrivées France/Belgique.</t>
  </si>
  <si>
    <t>Brunch au bord de l'eau.</t>
  </si>
  <si>
    <t>Routine Luxe.</t>
  </si>
  <si>
    <t>Lancement de produit Luxe.</t>
  </si>
  <si>
    <t>Arrivées weekend été.</t>
  </si>
  <si>
    <t>Brunch "Poolside".</t>
  </si>
  <si>
    <t>Weekend Chill &amp; Spa.</t>
  </si>
  <si>
    <r>
      <t>Mariage Signature</t>
    </r>
    <r>
      <rPr>
        <sz val="11"/>
        <color rgb="FF1F1F1F"/>
        <rFont val="Arial"/>
        <family val="2"/>
      </rPr>
      <t>.</t>
    </r>
  </si>
  <si>
    <t>Convention VIP.</t>
  </si>
  <si>
    <t>Weekend très fort.</t>
  </si>
  <si>
    <t>SOUVENIR</t>
  </si>
  <si>
    <r>
      <t>Gala de fin Juin</t>
    </r>
    <r>
      <rPr>
        <sz val="11"/>
        <color rgb="FF1F1F1F"/>
        <rFont val="Arial"/>
        <family val="2"/>
      </rPr>
      <t>.</t>
    </r>
  </si>
  <si>
    <t>Transition Juillet.</t>
  </si>
  <si>
    <t>Weekend Summer.</t>
  </si>
  <si>
    <r>
      <t>Gala d'Été / Soirée Blanche</t>
    </r>
    <r>
      <rPr>
        <sz val="11"/>
        <color rgb="FF1F1F1F"/>
        <rFont val="Arial"/>
        <family val="2"/>
      </rPr>
      <t>.</t>
    </r>
  </si>
  <si>
    <t>Brunch "Le Kamil".</t>
  </si>
  <si>
    <t>Clientèle Internationale.</t>
  </si>
  <si>
    <t>Pré-weekend fort.</t>
  </si>
  <si>
    <t>Weekend Complet.</t>
  </si>
  <si>
    <t>Fête FR</t>
  </si>
  <si>
    <t>Weekend Beach Club.</t>
  </si>
  <si>
    <r>
      <t>Gala Signature Adra</t>
    </r>
    <r>
      <rPr>
        <sz val="11"/>
        <color rgb="FF1F1F1F"/>
        <rFont val="Arial"/>
        <family val="2"/>
      </rPr>
      <t>.</t>
    </r>
  </si>
  <si>
    <t>Arrivées Fête de la République.</t>
  </si>
  <si>
    <r>
      <t>Buffet de la République</t>
    </r>
    <r>
      <rPr>
        <sz val="11"/>
        <color rgb="FF1F1F1F"/>
        <rFont val="Arial"/>
        <family val="2"/>
      </rPr>
      <t>.</t>
    </r>
  </si>
  <si>
    <t>Préparation Août.</t>
  </si>
  <si>
    <t>Transition post-été.</t>
  </si>
  <si>
    <t>Comité de direction Luxe.</t>
  </si>
  <si>
    <t>Arrivées weekend "Été Indien".</t>
  </si>
  <si>
    <r>
      <t>Gala Signature Septembre</t>
    </r>
    <r>
      <rPr>
        <sz val="11"/>
        <color rgb="FF1F1F1F"/>
        <rFont val="Arial"/>
        <family val="2"/>
      </rPr>
      <t>.</t>
    </r>
  </si>
  <si>
    <r>
      <t>Soirée Piano Bar &amp; Gala</t>
    </r>
    <r>
      <rPr>
        <sz val="11"/>
        <color rgb="FF1F1F1F"/>
        <rFont val="Arial"/>
        <family val="2"/>
      </rPr>
      <t>.</t>
    </r>
  </si>
  <si>
    <t>Rentrée / Thalasso</t>
  </si>
  <si>
    <t>Clientèle "Long Séjour".</t>
  </si>
  <si>
    <t>Routine Luxe</t>
  </si>
  <si>
    <t>Focus petit-déjeuner détox.</t>
  </si>
  <si>
    <t>Comité de direction international.</t>
  </si>
  <si>
    <t>Weekend Été Indien</t>
  </si>
  <si>
    <t>GALA SEPTEMBRE</t>
  </si>
  <si>
    <r>
      <t>Dîner Signature Adra</t>
    </r>
    <r>
      <rPr>
        <sz val="11"/>
        <color rgb="FF1F1F1F"/>
        <rFont val="Arial"/>
        <family val="2"/>
      </rPr>
      <t>.</t>
    </r>
  </si>
  <si>
    <t>BRUNCH CHIC</t>
  </si>
  <si>
    <t>Calme / Thalasso</t>
  </si>
  <si>
    <t>Incentive de luxe.</t>
  </si>
  <si>
    <t>Weekend Romantique</t>
  </si>
  <si>
    <t>Escapade Spa.</t>
  </si>
  <si>
    <t>MARIAGE PRESTIGE</t>
  </si>
  <si>
    <r>
      <t>Privatisation partielle</t>
    </r>
    <r>
      <rPr>
        <sz val="11"/>
        <color rgb="FF1F1F1F"/>
        <rFont val="Arial"/>
        <family val="2"/>
      </rPr>
      <t>.</t>
    </r>
  </si>
  <si>
    <t>BRUNCH MARIAGE</t>
  </si>
  <si>
    <t>Calme &amp; Sérénité.</t>
  </si>
  <si>
    <t>Pré-Weekend</t>
  </si>
  <si>
    <t>SOIRÉE PIANO BAR</t>
  </si>
  <si>
    <t>BRUNCH DOMINICAL</t>
  </si>
  <si>
    <t>Détente au bord de l'eau.</t>
  </si>
  <si>
    <t>Réunion stratégique.</t>
  </si>
  <si>
    <t>Weekend Détente</t>
  </si>
  <si>
    <t>DÎNER GOURMET</t>
  </si>
  <si>
    <t>BRUNCH COMPLET</t>
  </si>
  <si>
    <t>Clôture de weekend.</t>
  </si>
  <si>
    <t>Inventaire fin de mois.</t>
  </si>
  <si>
    <t>Routine / Thalasso</t>
  </si>
  <si>
    <t>Weekend Douceur</t>
  </si>
  <si>
    <t>SOIRÉE GOURMET</t>
  </si>
  <si>
    <t>BRUNCH AUTOMNE</t>
  </si>
  <si>
    <t>Brunch en terrasse (soleil doux).</t>
  </si>
  <si>
    <t>Routine Spa.</t>
  </si>
  <si>
    <t>Convention incentive.</t>
  </si>
  <si>
    <t>Weekend Spa</t>
  </si>
  <si>
    <t>GALAsignature</t>
  </si>
  <si>
    <r>
      <t>Férié : Menu Spécial</t>
    </r>
    <r>
      <rPr>
        <sz val="11"/>
        <color rgb="FF1F1F1F"/>
        <rFont val="Arial"/>
        <family val="2"/>
      </rPr>
      <t>.</t>
    </r>
  </si>
  <si>
    <t>Clientèle locale &amp; Européens.</t>
  </si>
  <si>
    <t>DÎNER CHANDELLES</t>
  </si>
  <si>
    <t>Groupe Corporate Luxe.</t>
  </si>
  <si>
    <t>Weekend Automne</t>
  </si>
  <si>
    <t>Début vacances scolaires (EU).</t>
  </si>
  <si>
    <t>SOIRÉE SIGNATURE</t>
  </si>
  <si>
    <t>GRAND BRUNCH</t>
  </si>
  <si>
    <t>Brunch record d'octobre.</t>
  </si>
  <si>
    <t>Familles (Suites communicantes).</t>
  </si>
  <si>
    <t>Préparation Halloween/Fin mois.</t>
  </si>
  <si>
    <t>HALLOWEEN CHIC</t>
  </si>
  <si>
    <r>
      <t>Dîner Thématique (Citrouille/Œufs)</t>
    </r>
    <r>
      <rPr>
        <sz val="11"/>
        <color rgb="FF1F1F1F"/>
        <rFont val="Arial"/>
        <family val="2"/>
      </rPr>
      <t>.</t>
    </r>
  </si>
  <si>
    <t>WEEKEND TOUSSAINT</t>
  </si>
  <si>
    <t>BRUNCH HIVERNAL</t>
  </si>
  <si>
    <t>Brunch au coin du feu.</t>
  </si>
  <si>
    <t>Weekend Bien-être</t>
  </si>
  <si>
    <t>Groupe incentive Luxe.</t>
  </si>
  <si>
    <t>GALA ADRA</t>
  </si>
  <si>
    <t>Brunch record du mois.</t>
  </si>
  <si>
    <t>Weekend Cocooning</t>
  </si>
  <si>
    <t>Weekend romantique.</t>
  </si>
  <si>
    <t>SOIRÉE JAZZ</t>
  </si>
  <si>
    <t>Détente intérieure.</t>
  </si>
  <si>
    <t>Groupe corporate.</t>
  </si>
  <si>
    <r>
      <t>Préparation des fêtes</t>
    </r>
    <r>
      <rPr>
        <sz val="11"/>
        <color rgb="FF1F1F1F"/>
        <rFont val="Arial"/>
        <family val="2"/>
      </rPr>
      <t>.</t>
    </r>
  </si>
  <si>
    <t>BRUNCH DE CLÔTURE</t>
  </si>
  <si>
    <t>Transition Décembre.</t>
  </si>
  <si>
    <t>Thalasso / Calme</t>
  </si>
  <si>
    <t>Routine bien-être d'hiver.</t>
  </si>
  <si>
    <t>Derniers boards de l'année.</t>
  </si>
  <si>
    <t>Brunch Hivernal</t>
  </si>
  <si>
    <t>Brunch près de la cheminée.</t>
  </si>
  <si>
    <t>Pré-festivités.</t>
  </si>
  <si>
    <t>Brunch Chic</t>
  </si>
  <si>
    <t>Clientèle locale fidèle.</t>
  </si>
  <si>
    <t>OUVERTURE FÊTES</t>
  </si>
  <si>
    <t>Arrivées clientèle Europe.</t>
  </si>
  <si>
    <t>Brunch des Fêtes</t>
  </si>
  <si>
    <t>Ambiance de Noël.</t>
  </si>
  <si>
    <t>Semaine Festive</t>
  </si>
  <si>
    <t>Veille de Noël</t>
  </si>
  <si>
    <t>JOUR DE NOËL</t>
  </si>
  <si>
    <t>Weekend de Fêtes</t>
  </si>
  <si>
    <t>Brunch de Fêtes</t>
  </si>
  <si>
    <t>Brunch de fin d'année.</t>
  </si>
  <si>
    <t>ST-SYLVESTRE</t>
  </si>
  <si>
    <t>La Badira</t>
  </si>
  <si>
    <r>
      <t>Brunch de la nouvelle année</t>
    </r>
    <r>
      <rPr>
        <sz val="11"/>
        <color rgb="FF1F1F1F"/>
        <rFont val="Arial"/>
        <family val="2"/>
      </rPr>
      <t>.</t>
    </r>
  </si>
  <si>
    <t>Après-fête</t>
  </si>
  <si>
    <t>Clientèle locale (weekend).</t>
  </si>
  <si>
    <t>Buffets thématiques.</t>
  </si>
  <si>
    <t>Clientèle Seniors (Europe).</t>
  </si>
  <si>
    <t>Routine All-inclusive.</t>
  </si>
  <si>
    <t>Arrivées groupes.</t>
  </si>
  <si>
    <t>Brunch buffet.</t>
  </si>
  <si>
    <t>Calme (Seniors).</t>
  </si>
  <si>
    <t>Animation forte.</t>
  </si>
  <si>
    <t>Clientèle hivernale.</t>
  </si>
  <si>
    <t>Buffet thématique international.</t>
  </si>
  <si>
    <t>Buffet familial (Enfants).</t>
  </si>
  <si>
    <t>Arrivées groupes seniors.</t>
  </si>
  <si>
    <t>Début des vacances de février.</t>
  </si>
  <si>
    <t>Grand buffet dominical.</t>
  </si>
  <si>
    <t>Semaine Vac.</t>
  </si>
  <si>
    <t>Présence enfants (Crêpes/Pancakes).</t>
  </si>
  <si>
    <r>
      <t>Dîner Rouge / Pâtisserie massive</t>
    </r>
    <r>
      <rPr>
        <sz val="11"/>
        <color rgb="FF1F1F1F"/>
        <rFont val="Arial"/>
        <family val="2"/>
      </rPr>
      <t>.</t>
    </r>
  </si>
  <si>
    <r>
      <t>Hôtel Complet</t>
    </r>
    <r>
      <rPr>
        <sz val="11"/>
        <color rgb="FF1F1F1F"/>
        <rFont val="Arial"/>
        <family val="2"/>
      </rPr>
      <t>.</t>
    </r>
  </si>
  <si>
    <t>Brunch de clôture weekend.</t>
  </si>
  <si>
    <t>Retour des seniors.</t>
  </si>
  <si>
    <t>Buffet famille.</t>
  </si>
  <si>
    <t>Routine fin de mois.</t>
  </si>
  <si>
    <t>DÉBUT RAMADAN</t>
  </si>
  <si>
    <t>Mise en place des Briks Iftar.</t>
  </si>
  <si>
    <t>Buffet mixte EU/Local.</t>
  </si>
  <si>
    <t>Séminaire Iftar</t>
  </si>
  <si>
    <t>Groupe entreprise (Rupture jeûne).</t>
  </si>
  <si>
    <t>Arrivées pour l'Iftar.</t>
  </si>
  <si>
    <r>
      <t>Iftar thématique buffet</t>
    </r>
    <r>
      <rPr>
        <sz val="11"/>
        <color rgb="FF1F1F1F"/>
        <rFont val="Arial"/>
        <family val="2"/>
      </rPr>
      <t>.</t>
    </r>
  </si>
  <si>
    <t>Brunch dominical (EU).</t>
  </si>
  <si>
    <t>Dîner d'entreprise.</t>
  </si>
  <si>
    <t>Weekend Ramadan.</t>
  </si>
  <si>
    <r>
      <t>Fête de l'Aïd (Gala)</t>
    </r>
    <r>
      <rPr>
        <sz val="11"/>
        <color rgb="FF1F1F1F"/>
        <rFont val="Arial"/>
        <family val="2"/>
      </rPr>
      <t>.</t>
    </r>
  </si>
  <si>
    <r>
      <t>Buffet de fête &amp; Gâteaux</t>
    </r>
    <r>
      <rPr>
        <sz val="11"/>
        <color rgb="FF1F1F1F"/>
        <rFont val="Arial"/>
        <family val="2"/>
      </rPr>
      <t>.</t>
    </r>
  </si>
  <si>
    <t>Fin de vacances locales.</t>
  </si>
  <si>
    <t>Arrivées pré-weekend.</t>
  </si>
  <si>
    <r>
      <t>Soirée thématique buffet</t>
    </r>
    <r>
      <rPr>
        <sz val="11"/>
        <color rgb="FF1F1F1F"/>
        <rFont val="Arial"/>
        <family val="2"/>
      </rPr>
      <t>.</t>
    </r>
  </si>
  <si>
    <t>Arrivées vacances EU.</t>
  </si>
  <si>
    <r>
      <t>Dîner Gala</t>
    </r>
    <r>
      <rPr>
        <sz val="11"/>
        <color rgb="FF1F1F1F"/>
        <rFont val="Arial"/>
        <family val="2"/>
      </rPr>
      <t>.</t>
    </r>
  </si>
  <si>
    <t>Buffet Famille.</t>
  </si>
  <si>
    <t>Forte demande Crêpes/Pancakes.</t>
  </si>
  <si>
    <t>Arrivées weekend Pâques.</t>
  </si>
  <si>
    <r>
      <t>Méga Brunch Pascal</t>
    </r>
    <r>
      <rPr>
        <sz val="11"/>
        <color rgb="FF1F1F1F"/>
        <rFont val="Arial"/>
        <family val="2"/>
      </rPr>
      <t>.</t>
    </r>
  </si>
  <si>
    <r>
      <t>Grand Buffet Férié</t>
    </r>
    <r>
      <rPr>
        <sz val="11"/>
        <color rgb="FF1F1F1F"/>
        <rFont val="Arial"/>
        <family val="2"/>
      </rPr>
      <t>.</t>
    </r>
  </si>
  <si>
    <t>Pont / Weekend</t>
  </si>
  <si>
    <t>Buffet familial terrasse.</t>
  </si>
  <si>
    <t>GALA ÉTÉ</t>
  </si>
  <si>
    <r>
      <t>Grand Buffet Spectacle</t>
    </r>
    <r>
      <rPr>
        <sz val="11"/>
        <color rgb="FF1F1F1F"/>
        <rFont val="Arial"/>
        <family val="2"/>
      </rPr>
      <t>.</t>
    </r>
  </si>
  <si>
    <t>BRUNCH POOL</t>
  </si>
  <si>
    <t>Buffet piscine complet.</t>
  </si>
  <si>
    <t>Convention.</t>
  </si>
  <si>
    <t>SOIRÉE GALA</t>
  </si>
  <si>
    <r>
      <t>Gala de la Musique</t>
    </r>
    <r>
      <rPr>
        <sz val="11"/>
        <color rgb="FF1F1F1F"/>
        <rFont val="Arial"/>
        <family val="2"/>
      </rPr>
      <t>.</t>
    </r>
  </si>
  <si>
    <t>BRUNCH</t>
  </si>
  <si>
    <t>Buffet été.</t>
  </si>
  <si>
    <t>Arrivées Férié.</t>
  </si>
  <si>
    <t>GALA FIN JUIN</t>
  </si>
  <si>
    <r>
      <t>Soirée de Clôture</t>
    </r>
    <r>
      <rPr>
        <sz val="11"/>
        <color rgb="FF1F1F1F"/>
        <rFont val="Arial"/>
        <family val="2"/>
      </rPr>
      <t>.</t>
    </r>
  </si>
  <si>
    <t>Record brunch juin.</t>
  </si>
  <si>
    <t>Routine été All-In.</t>
  </si>
  <si>
    <r>
      <t>Méga Buffet Spectacle</t>
    </r>
    <r>
      <rPr>
        <sz val="11"/>
        <color rgb="FF1F1F1F"/>
        <rFont val="Arial"/>
        <family val="2"/>
      </rPr>
      <t>.</t>
    </r>
  </si>
  <si>
    <t>Buffet piscine géant.</t>
  </si>
  <si>
    <t>Rotation clientèle EU.</t>
  </si>
  <si>
    <t>Weekend records.</t>
  </si>
  <si>
    <r>
      <t>Buffet International</t>
    </r>
    <r>
      <rPr>
        <sz val="11"/>
        <color rgb="FF1F1F1F"/>
        <rFont val="Arial"/>
        <family val="2"/>
      </rPr>
      <t>.</t>
    </r>
  </si>
  <si>
    <t>Clientèle FR nombreuse.</t>
  </si>
  <si>
    <t>GALA SIGNATURE</t>
  </si>
  <si>
    <r>
      <t>Grand Gala Juillet</t>
    </r>
    <r>
      <rPr>
        <sz val="11"/>
        <color rgb="FF1F1F1F"/>
        <rFont val="Arial"/>
        <family val="2"/>
      </rPr>
      <t>.</t>
    </r>
  </si>
  <si>
    <t>Buffet complet.</t>
  </si>
  <si>
    <r>
      <t>Buffet Férié (Briks +++)</t>
    </r>
    <r>
      <rPr>
        <sz val="11"/>
        <color rgb="FF1F1F1F"/>
        <rFont val="Arial"/>
        <family val="2"/>
      </rPr>
      <t>.</t>
    </r>
  </si>
  <si>
    <r>
      <t>Record Consommation</t>
    </r>
    <r>
      <rPr>
        <sz val="11"/>
        <color rgb="FF1F1F1F"/>
        <rFont val="Arial"/>
        <family val="2"/>
      </rPr>
      <t>.</t>
    </r>
  </si>
  <si>
    <t>Arrivées massives du mois d'août.</t>
  </si>
  <si>
    <t>GALA AOÛT</t>
  </si>
  <si>
    <t>Buffet piscine familial.</t>
  </si>
  <si>
    <t>Routine show-cooking.</t>
  </si>
  <si>
    <t>Pâtisserie de buffet massive.</t>
  </si>
  <si>
    <r>
      <t>Méga Buffet International</t>
    </r>
    <r>
      <rPr>
        <sz val="11"/>
        <color rgb="FF1F1F1F"/>
        <rFont val="Arial"/>
        <family val="2"/>
      </rPr>
      <t>.</t>
    </r>
  </si>
  <si>
    <t>Brunch dominical géant.</t>
  </si>
  <si>
    <t>FÊTE FEMME</t>
  </si>
  <si>
    <t>Arrivées Mi-Août.</t>
  </si>
  <si>
    <t>GALA MI-AOÛT</t>
  </si>
  <si>
    <t>BRUNCH RECORD</t>
  </si>
  <si>
    <t>Buffet familial complet.</t>
  </si>
  <si>
    <t>Buffet terrasse.</t>
  </si>
  <si>
    <t>Rotation clientèle.</t>
  </si>
  <si>
    <t>GALA CLÔTURE</t>
  </si>
  <si>
    <t>Rentrée / EU</t>
  </si>
  <si>
    <t>Départ des familles locales.</t>
  </si>
  <si>
    <t>Routine All-In Seniors.</t>
  </si>
  <si>
    <t>Weekend "Été Indien".</t>
  </si>
  <si>
    <t>GALA SEPT</t>
  </si>
  <si>
    <t>Rotation Seniors.</t>
  </si>
  <si>
    <t>Calme &amp; Qualité.</t>
  </si>
  <si>
    <t>GALA GOURMET</t>
  </si>
  <si>
    <r>
      <t>Dîner de prestige</t>
    </r>
    <r>
      <rPr>
        <sz val="11"/>
        <color rgb="FF1F1F1F"/>
        <rFont val="Arial"/>
        <family val="2"/>
      </rPr>
      <t>.</t>
    </r>
  </si>
  <si>
    <t>Dernier weekend sept.</t>
  </si>
  <si>
    <t>Buffet familial dominical.</t>
  </si>
  <si>
    <t>Weekend automnal.</t>
  </si>
  <si>
    <t>GALA ÉTÉ INDIEN</t>
  </si>
  <si>
    <r>
      <t>Férié : Buffet Tunisien</t>
    </r>
    <r>
      <rPr>
        <sz val="11"/>
        <color rgb="FF1F1F1F"/>
        <rFont val="Arial"/>
        <family val="2"/>
      </rPr>
      <t>.</t>
    </r>
  </si>
  <si>
    <t>Arrivées familles EU.</t>
  </si>
  <si>
    <t>Fort flux familial.</t>
  </si>
  <si>
    <t>GALA VACANCES</t>
  </si>
  <si>
    <t>Station Crêpes/Pancakes.</t>
  </si>
  <si>
    <t>HALLOWEEN GALA</t>
  </si>
  <si>
    <r>
      <t>Soirée Thématique Halloween</t>
    </r>
    <r>
      <rPr>
        <sz val="11"/>
        <color rgb="FF1F1F1F"/>
        <rFont val="Arial"/>
        <family val="2"/>
      </rPr>
      <t>.</t>
    </r>
  </si>
  <si>
    <t>GALA TOUSSAINT</t>
  </si>
  <si>
    <r>
      <t>Fin des vacances EU</t>
    </r>
    <r>
      <rPr>
        <sz val="11"/>
        <color rgb="FF1F1F1F"/>
        <rFont val="Arial"/>
        <family val="2"/>
      </rPr>
      <t>.</t>
    </r>
  </si>
  <si>
    <t>Semaine Seniors</t>
  </si>
  <si>
    <t>Routine long séjour.</t>
  </si>
  <si>
    <t>SOIRÉE THÉMA</t>
  </si>
  <si>
    <t>GALA HIVER</t>
  </si>
  <si>
    <t>GALA FIN MOIS</t>
  </si>
  <si>
    <t>Séminaire Fin d'An</t>
  </si>
  <si>
    <t>Weekend Pré-Fêtes</t>
  </si>
  <si>
    <t>VACANCES DÉBUT</t>
  </si>
  <si>
    <t>BRUNCH NOËL</t>
  </si>
  <si>
    <r>
      <t>Grand Buffet de Noël</t>
    </r>
    <r>
      <rPr>
        <sz val="11"/>
        <color rgb="FF1F1F1F"/>
        <rFont val="Arial"/>
        <family val="2"/>
      </rPr>
      <t>.</t>
    </r>
  </si>
  <si>
    <t>Weekend Fêtes</t>
  </si>
  <si>
    <t>GALA FIN D'AN</t>
  </si>
  <si>
    <r>
      <t>Buffet Prestige</t>
    </r>
    <r>
      <rPr>
        <sz val="11"/>
        <color rgb="FF1F1F1F"/>
        <rFont val="Arial"/>
        <family val="2"/>
      </rPr>
      <t>.</t>
    </r>
  </si>
  <si>
    <r>
      <t>Le Méga Réveillon</t>
    </r>
    <r>
      <rPr>
        <sz val="11"/>
        <color rgb="FF1F1F1F"/>
        <rFont val="Arial"/>
        <family val="2"/>
      </rPr>
      <t>.</t>
    </r>
  </si>
  <si>
    <t xml:space="preserve">Iberostar waves </t>
  </si>
  <si>
    <t>Clientèle locale weekend.</t>
  </si>
  <si>
    <t>Calme (1 carton pile).</t>
  </si>
  <si>
    <t>SOIRÉE TUNISIENNE</t>
  </si>
  <si>
    <r>
      <t>Gala populaire</t>
    </r>
    <r>
      <rPr>
        <sz val="11"/>
        <color rgb="FF1F1F1F"/>
        <rFont val="Arial"/>
        <family val="2"/>
      </rPr>
      <t>.</t>
    </r>
  </si>
  <si>
    <t>SOIRÉE FOLKLORE</t>
  </si>
  <si>
    <r>
      <t>Buffet complet</t>
    </r>
    <r>
      <rPr>
        <sz val="11"/>
        <color rgb="FF1F1F1F"/>
        <rFont val="Arial"/>
        <family val="2"/>
      </rPr>
      <t>.</t>
    </r>
  </si>
  <si>
    <t>Brunch enfants.</t>
  </si>
  <si>
    <r>
      <t>Animation forte / Buffets</t>
    </r>
    <r>
      <rPr>
        <sz val="11"/>
        <color rgb="FF1F1F1F"/>
        <rFont val="Arial"/>
        <family val="2"/>
      </rPr>
      <t>.</t>
    </r>
  </si>
  <si>
    <t>BRUNCH VAC.</t>
  </si>
  <si>
    <t>Record brunch famille.</t>
  </si>
  <si>
    <t>Forte demande Crêpes.</t>
  </si>
  <si>
    <r>
      <t>Buffet Rouge &amp; Pâtisserie</t>
    </r>
    <r>
      <rPr>
        <sz val="11"/>
        <color rgb="FF1F1F1F"/>
        <rFont val="Arial"/>
        <family val="2"/>
      </rPr>
      <t>.</t>
    </r>
  </si>
  <si>
    <t>Fin de weekend Valentin.</t>
  </si>
  <si>
    <t>Lancement des Briks Iftar.</t>
  </si>
  <si>
    <t>Buffet mixte.</t>
  </si>
  <si>
    <t>Routine All-In (Touristes).</t>
  </si>
  <si>
    <t>Groupe local (Dîner).</t>
  </si>
  <si>
    <t>GALA IFTAR</t>
  </si>
  <si>
    <r>
      <t>Buffet Ramadan complet</t>
    </r>
    <r>
      <rPr>
        <sz val="11"/>
        <color rgb="FF1F1F1F"/>
        <rFont val="Arial"/>
        <family val="2"/>
      </rPr>
      <t>.</t>
    </r>
  </si>
  <si>
    <r>
      <t>Forte demande Briks</t>
    </r>
    <r>
      <rPr>
        <sz val="11"/>
        <color rgb="FF1F1F1F"/>
        <rFont val="Arial"/>
        <family val="2"/>
      </rPr>
      <t>.</t>
    </r>
  </si>
  <si>
    <r>
      <t>Buffet Gâteaux &amp; Fête</t>
    </r>
    <r>
      <rPr>
        <sz val="11"/>
        <color rgb="FF1F1F1F"/>
        <rFont val="Arial"/>
        <family val="2"/>
      </rPr>
      <t>.</t>
    </r>
  </si>
  <si>
    <r>
      <t>Grand Buffet / Animation</t>
    </r>
    <r>
      <rPr>
        <sz val="11"/>
        <color rgb="FF1F1F1F"/>
        <rFont val="Arial"/>
        <family val="2"/>
      </rPr>
      <t>.</t>
    </r>
  </si>
  <si>
    <t>Arrivées groupes EU.</t>
  </si>
  <si>
    <t>Début vacances Toussaint/Pâques.</t>
  </si>
  <si>
    <t>Station Crêpes massive.</t>
  </si>
  <si>
    <r>
      <t>Buffet de Gala (Complet)</t>
    </r>
    <r>
      <rPr>
        <sz val="11"/>
        <color rgb="FF1F1F1F"/>
        <rFont val="Arial"/>
        <family val="2"/>
      </rPr>
      <t>.</t>
    </r>
  </si>
  <si>
    <r>
      <t>Méga Brunch de Pâques</t>
    </r>
    <r>
      <rPr>
        <sz val="11"/>
        <color rgb="FF1F1F1F"/>
        <rFont val="Arial"/>
        <family val="2"/>
      </rPr>
      <t>.</t>
    </r>
  </si>
  <si>
    <t>Départ progressif.</t>
  </si>
  <si>
    <t>Weekend printemps.</t>
  </si>
  <si>
    <t>GALA PRINTEMPS</t>
  </si>
  <si>
    <r>
      <t>Buffet thématique</t>
    </r>
    <r>
      <rPr>
        <sz val="11"/>
        <color rgb="FF1F1F1F"/>
        <rFont val="Arial"/>
        <family val="2"/>
      </rPr>
      <t>.</t>
    </r>
  </si>
  <si>
    <t>GALA ASCENSION</t>
  </si>
  <si>
    <t>Flux européen fort.</t>
  </si>
  <si>
    <t>Weekend de clôture.</t>
  </si>
  <si>
    <t>GALA FIN MAI</t>
  </si>
  <si>
    <t>Buffet dominical terrasse.</t>
  </si>
  <si>
    <r>
      <t>Méga Buffet de Gala</t>
    </r>
    <r>
      <rPr>
        <sz val="11"/>
        <color rgb="FF1F1F1F"/>
        <rFont val="Arial"/>
        <family val="2"/>
      </rPr>
      <t>.</t>
    </r>
  </si>
  <si>
    <r>
      <t>Gala / Soirée Spéciale</t>
    </r>
    <r>
      <rPr>
        <sz val="11"/>
        <color rgb="FF1F1F1F"/>
        <rFont val="Arial"/>
        <family val="2"/>
      </rPr>
      <t>.</t>
    </r>
  </si>
  <si>
    <t>GALA JUIN</t>
  </si>
  <si>
    <t>GALA JUILLET</t>
  </si>
  <si>
    <r>
      <t>Le Pic de Juillet</t>
    </r>
    <r>
      <rPr>
        <sz val="11"/>
        <color rgb="FF1F1F1F"/>
        <rFont val="Arial"/>
        <family val="2"/>
      </rPr>
      <t>.</t>
    </r>
  </si>
  <si>
    <r>
      <t>LE RECORD ABSOLU</t>
    </r>
    <r>
      <rPr>
        <sz val="11"/>
        <color rgb="FF1F1F1F"/>
        <rFont val="Arial"/>
        <family val="2"/>
      </rPr>
      <t>.</t>
    </r>
  </si>
  <si>
    <t>Clientèle seniors All-In.</t>
  </si>
  <si>
    <t>Inventaire stocks.</t>
  </si>
  <si>
    <r>
      <t>Buffet de Gala</t>
    </r>
    <r>
      <rPr>
        <sz val="11"/>
        <color rgb="FF1F1F1F"/>
        <rFont val="Arial"/>
        <family val="2"/>
      </rPr>
      <t>.</t>
    </r>
  </si>
  <si>
    <r>
      <t>Buffet Spécial (Briks)</t>
    </r>
    <r>
      <rPr>
        <sz val="11"/>
        <color rgb="FF1F1F1F"/>
        <rFont val="Arial"/>
        <family val="2"/>
      </rPr>
      <t>.</t>
    </r>
  </si>
  <si>
    <r>
      <t>Buffet Festif</t>
    </r>
    <r>
      <rPr>
        <sz val="11"/>
        <color rgb="FF1F1F1F"/>
        <rFont val="Arial"/>
        <family val="2"/>
      </rPr>
      <t>.</t>
    </r>
  </si>
  <si>
    <r>
      <t>PIC ANNUEL DE L'HÔTEL</t>
    </r>
    <r>
      <rPr>
        <sz val="11"/>
        <color rgb="FF1F1F1F"/>
        <rFont val="Arial"/>
        <family val="2"/>
      </rPr>
      <t>.</t>
    </r>
  </si>
  <si>
    <t>Buffet piscine.</t>
  </si>
  <si>
    <t>Dernier rush.</t>
  </si>
  <si>
    <r>
      <t>Soirée Finale</t>
    </r>
    <r>
      <rPr>
        <sz val="11"/>
        <color rgb="FF1F1F1F"/>
        <rFont val="Arial"/>
        <family val="2"/>
      </rPr>
      <t>.</t>
    </r>
  </si>
  <si>
    <t>Flux familial élevé.</t>
  </si>
  <si>
    <t>Station Crêpes active.</t>
  </si>
  <si>
    <r>
      <t>Hôtel Complet / Halloween</t>
    </r>
    <r>
      <rPr>
        <sz val="11"/>
        <color rgb="FF1F1F1F"/>
        <rFont val="Arial"/>
        <family val="2"/>
      </rPr>
      <t>.</t>
    </r>
  </si>
  <si>
    <t>Groupe entreprise local.</t>
  </si>
  <si>
    <t>Calme (Peu de gâchis).</t>
  </si>
  <si>
    <t>Convention cadres.</t>
  </si>
  <si>
    <t>17/11/</t>
  </si>
  <si>
    <t>Groupe local.</t>
  </si>
  <si>
    <t>Séminaire local</t>
  </si>
  <si>
    <t>Pause café/cakes.</t>
  </si>
  <si>
    <t>Weekend Calme</t>
  </si>
  <si>
    <t>SOIRÉE HIVER</t>
  </si>
  <si>
    <t>Fin d'année entreprise.</t>
  </si>
  <si>
    <t>DÉBUT VACANCES</t>
  </si>
  <si>
    <r>
      <t>Retour des familles</t>
    </r>
    <r>
      <rPr>
        <sz val="11"/>
        <color rgb="FF1F1F1F"/>
        <rFont val="Arial"/>
        <family val="2"/>
      </rPr>
      <t>.</t>
    </r>
  </si>
  <si>
    <t>Enfants : Crêpes +++.</t>
  </si>
  <si>
    <r>
      <t>Grand Buffet Noël</t>
    </r>
    <r>
      <rPr>
        <sz val="11"/>
        <color rgb="FF1F1F1F"/>
        <rFont val="Arial"/>
        <family val="2"/>
      </rPr>
      <t>.</t>
    </r>
  </si>
  <si>
    <r>
      <t>LE MÉGA RÉVEILLON</t>
    </r>
    <r>
      <rPr>
        <sz val="11"/>
        <color rgb="FF1F1F1F"/>
        <rFont val="Arial"/>
        <family val="2"/>
      </rPr>
      <t>.</t>
    </r>
  </si>
  <si>
    <t>Houda Yasmine Sultan</t>
  </si>
  <si>
    <t>Flux familles été.</t>
  </si>
  <si>
    <t>Weekend Aquapark</t>
  </si>
  <si>
    <t>Weekend très chargé.</t>
  </si>
  <si>
    <t>GALA ORIENTAL</t>
  </si>
  <si>
    <r>
      <t>Buffet spectacle</t>
    </r>
    <r>
      <rPr>
        <sz val="11"/>
        <color rgb="FF1F1F1F"/>
        <rFont val="Arial"/>
        <family val="2"/>
      </rPr>
      <t>.</t>
    </r>
  </si>
  <si>
    <t>Brunch post-baignade.</t>
  </si>
  <si>
    <t>Clientèle locale +++.</t>
  </si>
  <si>
    <t>Routine pâtisserie.</t>
  </si>
  <si>
    <r>
      <t>Forte demande pâtisserie</t>
    </r>
    <r>
      <rPr>
        <sz val="11"/>
        <color rgb="FF1F1F1F"/>
        <rFont val="Arial"/>
        <family val="2"/>
      </rPr>
      <t>.</t>
    </r>
  </si>
  <si>
    <t>FÊTE RÉPUBLIQUE</t>
  </si>
  <si>
    <r>
      <t>Spécialités : Briks/Tajines</t>
    </r>
    <r>
      <rPr>
        <sz val="11"/>
        <color rgb="FF1F1F1F"/>
        <rFont val="Arial"/>
        <family val="2"/>
      </rPr>
      <t>.</t>
    </r>
  </si>
  <si>
    <t>Fin de weekend chargé.</t>
  </si>
  <si>
    <t>Préparation mois d'Août.</t>
  </si>
  <si>
    <t>Dimanche familial.</t>
  </si>
  <si>
    <t>Semaine Thalasso</t>
  </si>
  <si>
    <t>GALA JANVIER</t>
  </si>
  <si>
    <t>Convention cadre.</t>
  </si>
  <si>
    <t>Préparation Février.</t>
  </si>
  <si>
    <t>Mise en place Saint-Valentin.</t>
  </si>
  <si>
    <r>
      <t>Dîner Gala (Pâtisserie +++)</t>
    </r>
    <r>
      <rPr>
        <sz val="11"/>
        <color rgb="FF1F1F1F"/>
        <rFont val="Arial"/>
        <family val="2"/>
      </rPr>
      <t>.</t>
    </r>
  </si>
  <si>
    <t>Routine enfants.</t>
  </si>
  <si>
    <t>Préparation début Mars.</t>
  </si>
  <si>
    <t>Routine S'hour/Iftar.</t>
  </si>
  <si>
    <t>Groupe Corporate local.</t>
  </si>
  <si>
    <r>
      <t>Buffet 1001 Nuits</t>
    </r>
    <r>
      <rPr>
        <sz val="11"/>
        <color rgb="FF1F1F1F"/>
        <rFont val="Arial"/>
        <family val="2"/>
      </rPr>
      <t>.</t>
    </r>
  </si>
  <si>
    <t>Brunch/Iftar.</t>
  </si>
  <si>
    <t>IFTAR PRESTIGE</t>
  </si>
  <si>
    <r>
      <t>Pic de fréquentation</t>
    </r>
    <r>
      <rPr>
        <sz val="11"/>
        <color rgb="FF1F1F1F"/>
        <rFont val="Arial"/>
        <family val="2"/>
      </rPr>
      <t>.</t>
    </r>
  </si>
  <si>
    <t>Travail sur gâteaux Aïd.</t>
  </si>
  <si>
    <r>
      <t>Buffet &amp; Gâteaux</t>
    </r>
    <r>
      <rPr>
        <sz val="11"/>
        <color rgb="FF1F1F1F"/>
        <rFont val="Arial"/>
        <family val="2"/>
      </rPr>
      <t>.</t>
    </r>
  </si>
  <si>
    <t>Clientèle Thalasso seniors.</t>
  </si>
  <si>
    <t>Weekend local (Printemps).</t>
  </si>
  <si>
    <t>Brunch familial complet.</t>
  </si>
  <si>
    <t>Arrivées Pâques.</t>
  </si>
  <si>
    <r>
      <t>Gala (Hôtel Complet)</t>
    </r>
    <r>
      <rPr>
        <sz val="11"/>
        <color rgb="FF1F1F1F"/>
        <rFont val="Arial"/>
        <family val="2"/>
      </rPr>
      <t>.</t>
    </r>
  </si>
  <si>
    <t>Départs progressifs.</t>
  </si>
  <si>
    <t>SOIRÉE ORIENT</t>
  </si>
  <si>
    <t>Weekend Pont</t>
  </si>
  <si>
    <t>GALA MAI</t>
  </si>
  <si>
    <r>
      <t>Complet / Soirée Gala</t>
    </r>
    <r>
      <rPr>
        <sz val="11"/>
        <color rgb="FF1F1F1F"/>
        <rFont val="Arial"/>
        <family val="2"/>
      </rPr>
      <t>.</t>
    </r>
  </si>
  <si>
    <r>
      <t>Buffet Tunisien</t>
    </r>
    <r>
      <rPr>
        <sz val="11"/>
        <color rgb="FF1F1F1F"/>
        <rFont val="Arial"/>
        <family val="2"/>
      </rPr>
      <t>.</t>
    </r>
  </si>
  <si>
    <t>Familles locales.</t>
  </si>
  <si>
    <t>Weekend ensoleillé.</t>
  </si>
  <si>
    <t>SOIRÉE MÉDIT.</t>
  </si>
  <si>
    <t>Arrivées touristes.</t>
  </si>
  <si>
    <t>Weekend pré-saison.</t>
  </si>
  <si>
    <r>
      <t>AÏD EL KEBIR</t>
    </r>
    <r>
      <rPr>
        <sz val="11"/>
        <color rgb="FF1F1F1F"/>
        <rFont val="Arial"/>
        <family val="2"/>
      </rPr>
      <t xml:space="preserve"> (est.)</t>
    </r>
  </si>
  <si>
    <t>AÏD / GALA</t>
  </si>
  <si>
    <t>AÏD / BRUNCH</t>
  </si>
  <si>
    <t>Weekend exceptionnel.</t>
  </si>
  <si>
    <t>Prolongation vacances.</t>
  </si>
  <si>
    <t>Rush Aquapark.</t>
  </si>
  <si>
    <t>Rush local.</t>
  </si>
  <si>
    <r>
      <t>Fête de la Musique</t>
    </r>
    <r>
      <rPr>
        <sz val="11"/>
        <color rgb="FF1F1F1F"/>
        <rFont val="Arial"/>
        <family val="2"/>
      </rPr>
      <t>.</t>
    </r>
  </si>
  <si>
    <t>Arrivées Juillet.</t>
  </si>
  <si>
    <t>GRAND GALA</t>
  </si>
  <si>
    <t>Ouverture saison Juil.</t>
  </si>
  <si>
    <r>
      <t>Buffet de Gala (Record)</t>
    </r>
    <r>
      <rPr>
        <sz val="11"/>
        <color rgb="FF1F1F1F"/>
        <rFont val="Arial"/>
        <family val="2"/>
      </rPr>
      <t>.</t>
    </r>
  </si>
  <si>
    <t>Flux All-In non-stop.</t>
  </si>
  <si>
    <r>
      <t>Buffet de fête (Assomption)</t>
    </r>
    <r>
      <rPr>
        <sz val="11"/>
        <color rgb="FF1F1F1F"/>
        <rFont val="Arial"/>
        <family val="2"/>
      </rPr>
      <t>.</t>
    </r>
  </si>
  <si>
    <r>
      <t>Soirée de Gala finale</t>
    </r>
    <r>
      <rPr>
        <sz val="11"/>
        <color rgb="FF1F1F1F"/>
        <rFont val="Arial"/>
        <family val="2"/>
      </rPr>
      <t>.</t>
    </r>
  </si>
  <si>
    <t>Départs fin de saison.</t>
  </si>
  <si>
    <t>Clientèle seniors / Thalasso.</t>
  </si>
  <si>
    <t>Buffet final.</t>
  </si>
  <si>
    <t>Calme, focus Thalasso.</t>
  </si>
  <si>
    <t>Routine petit-déjeuner.</t>
  </si>
  <si>
    <t>GALA AUTOMNE</t>
  </si>
  <si>
    <r>
      <t>Spécialités Tunisiennes</t>
    </r>
    <r>
      <rPr>
        <sz val="11"/>
        <color rgb="FF1F1F1F"/>
        <rFont val="Arial"/>
        <family val="2"/>
      </rPr>
      <t>.</t>
    </r>
  </si>
  <si>
    <t>GALA PRESTIGE</t>
  </si>
  <si>
    <t>Rush familial.</t>
  </si>
  <si>
    <r>
      <t>Buffet Grand Spectacle</t>
    </r>
    <r>
      <rPr>
        <sz val="11"/>
        <color rgb="FF1F1F1F"/>
        <rFont val="Arial"/>
        <family val="2"/>
      </rPr>
      <t>.</t>
    </r>
  </si>
  <si>
    <t>Station Crêpes +++.</t>
  </si>
  <si>
    <t>FIN TOUSSAINT</t>
  </si>
  <si>
    <t>Dernier rush familles EU.</t>
  </si>
  <si>
    <t>GALA NOVEMBRE</t>
  </si>
  <si>
    <t>Routine dominicale.</t>
  </si>
  <si>
    <t>Buffet international.</t>
  </si>
  <si>
    <t>Veille de l'An</t>
  </si>
  <si>
    <t>Hôtel complet.</t>
  </si>
  <si>
    <t>Lella Baya Thalasso &amp; Aquapark.</t>
  </si>
  <si>
    <t>BRUNCH PRESTIGE</t>
  </si>
  <si>
    <r>
      <t>Brunch de l'An (Truffes/Saumon)</t>
    </r>
    <r>
      <rPr>
        <sz val="11"/>
        <color rgb="FF1F1F1F"/>
        <rFont val="Arial"/>
        <family val="2"/>
      </rPr>
      <t>.</t>
    </r>
  </si>
  <si>
    <t>Service en chambre privilégié.</t>
  </si>
  <si>
    <t>Curistes européens (Seniors).</t>
  </si>
  <si>
    <t>Menu dégustation au restaurant.</t>
  </si>
  <si>
    <t>Petit-Déjeuner</t>
  </si>
  <si>
    <t>Œufs Benedict &amp; Florentine.</t>
  </si>
  <si>
    <t>Semaine Cure</t>
  </si>
  <si>
    <t>Clientèle de long séjour.</t>
  </si>
  <si>
    <t>Routine gastronomique calme.</t>
  </si>
  <si>
    <t>SOIRÉE PIANO</t>
  </si>
  <si>
    <r>
      <t>Haute Pâtisserie</t>
    </r>
    <r>
      <rPr>
        <sz val="11"/>
        <color rgb="FF1F1F1F"/>
        <rFont val="Arial"/>
        <family val="2"/>
      </rPr>
      <t>.</t>
    </r>
  </si>
  <si>
    <t>Service personnalisé.</t>
  </si>
  <si>
    <r>
      <t>Menu thématique local VIP</t>
    </r>
    <r>
      <rPr>
        <sz val="11"/>
        <color rgb="FF1F1F1F"/>
        <rFont val="Arial"/>
        <family val="2"/>
      </rPr>
      <t>.</t>
    </r>
  </si>
  <si>
    <t>Arrivées du weekend.</t>
  </si>
  <si>
    <t>DÎNER BOUGIES</t>
  </si>
  <si>
    <r>
      <t>Soirée de prestige</t>
    </r>
    <r>
      <rPr>
        <sz val="11"/>
        <color rgb="FF1F1F1F"/>
        <rFont val="Arial"/>
        <family val="2"/>
      </rPr>
      <t>.</t>
    </r>
  </si>
  <si>
    <t>Brunch léger.</t>
  </si>
  <si>
    <r>
      <t>Buffet Gourmet</t>
    </r>
    <r>
      <rPr>
        <sz val="11"/>
        <color rgb="FF1F1F1F"/>
        <rFont val="Arial"/>
        <family val="2"/>
      </rPr>
      <t>.</t>
    </r>
  </si>
  <si>
    <t>Service à la carte.</t>
  </si>
  <si>
    <t>Arrivées fin de mois.</t>
  </si>
  <si>
    <t>Weekend Prestige</t>
  </si>
  <si>
    <t>Dîner aux chandelles.</t>
  </si>
  <si>
    <t>Focus Thalasso.</t>
  </si>
  <si>
    <t>Clientèle Senior EU.</t>
  </si>
  <si>
    <t>Menu dégustation.</t>
  </si>
  <si>
    <t>Préparatifs St-Val</t>
  </si>
  <si>
    <t>Arrivées couples VIP.</t>
  </si>
  <si>
    <r>
      <t>Dîner d'Exception / Soufflés</t>
    </r>
    <r>
      <rPr>
        <sz val="11"/>
        <color rgb="FF1F1F1F"/>
        <rFont val="Arial"/>
        <family val="2"/>
      </rPr>
      <t>.</t>
    </r>
  </si>
  <si>
    <t>Weekend Passion</t>
  </si>
  <si>
    <t>Pâtisserie thématique.</t>
  </si>
  <si>
    <t>BRUNCH LUXE</t>
  </si>
  <si>
    <t>Clientèle familiale haut de gamme.</t>
  </si>
  <si>
    <t>Weekend prestige.</t>
  </si>
  <si>
    <t>Service complet.</t>
  </si>
  <si>
    <t>Veille Mars</t>
  </si>
  <si>
    <t>Transition Ramadan.</t>
  </si>
  <si>
    <t>Début Iftar (Briks Prestige).</t>
  </si>
  <si>
    <t>Shour &amp; Petit-déjeuner EU.</t>
  </si>
  <si>
    <t>Routine Thalasso calme.</t>
  </si>
  <si>
    <t>Weekend Ramadan</t>
  </si>
  <si>
    <t>Iftar local VIP.</t>
  </si>
  <si>
    <t>GALA RAMADAN</t>
  </si>
  <si>
    <t>Brunch/Shour</t>
  </si>
  <si>
    <t>Mix clientèle.</t>
  </si>
  <si>
    <t>Routine discrète.</t>
  </si>
  <si>
    <t>Iftar &amp; Bien-être.</t>
  </si>
  <si>
    <t>MI-RAMADAN</t>
  </si>
  <si>
    <r>
      <t>Pic de fréquentation locale</t>
    </r>
    <r>
      <rPr>
        <sz val="11"/>
        <color rgb="FF1F1F1F"/>
        <rFont val="Arial"/>
        <family val="2"/>
      </rPr>
      <t>.</t>
    </r>
  </si>
  <si>
    <t>Weekend luxe.</t>
  </si>
  <si>
    <t>Veille 27ème</t>
  </si>
  <si>
    <t>Mise en place spéciale.</t>
  </si>
  <si>
    <t>27ème (DESTIN)</t>
  </si>
  <si>
    <r>
      <t>Iftar Sacré &amp; Pâtisserie</t>
    </r>
    <r>
      <rPr>
        <sz val="11"/>
        <color rgb="FF1F1F1F"/>
        <rFont val="Arial"/>
        <family val="2"/>
      </rPr>
      <t>.</t>
    </r>
  </si>
  <si>
    <t>Fin de mois chargée.</t>
  </si>
  <si>
    <t>FIN RAMADAN</t>
  </si>
  <si>
    <r>
      <t>Fête &amp; Pâtisserie Tradition</t>
    </r>
    <r>
      <rPr>
        <sz val="11"/>
        <color rgb="FF1F1F1F"/>
        <rFont val="Arial"/>
        <family val="2"/>
      </rPr>
      <t>.</t>
    </r>
  </si>
  <si>
    <t>Focus Thalasso EU.</t>
  </si>
  <si>
    <t>Rotation curistes.</t>
  </si>
  <si>
    <r>
      <t>Menu dégustation</t>
    </r>
    <r>
      <rPr>
        <sz val="11"/>
        <color rgb="FF1F1F1F"/>
        <rFont val="Arial"/>
        <family val="2"/>
      </rPr>
      <t>.</t>
    </r>
  </si>
  <si>
    <t>Veille de Pâques</t>
  </si>
  <si>
    <t>Weekend Pascal.</t>
  </si>
  <si>
    <t>VEILLE PÂQUES</t>
  </si>
  <si>
    <r>
      <t>Pâtisserie Pascal massive</t>
    </r>
    <r>
      <rPr>
        <sz val="11"/>
        <color rgb="FF1F1F1F"/>
        <rFont val="Arial"/>
        <family val="2"/>
      </rPr>
      <t>.</t>
    </r>
  </si>
  <si>
    <r>
      <t>LE PIC (Buffet Gastronomique)</t>
    </r>
    <r>
      <rPr>
        <sz val="11"/>
        <color rgb="FF1F1F1F"/>
        <rFont val="Arial"/>
        <family val="2"/>
      </rPr>
      <t>.</t>
    </r>
  </si>
  <si>
    <r>
      <t>Brunch &amp; Farandole d'œufs</t>
    </r>
    <r>
      <rPr>
        <sz val="11"/>
        <color rgb="FF1F1F1F"/>
        <rFont val="Arial"/>
        <family val="2"/>
      </rPr>
      <t>.</t>
    </r>
  </si>
  <si>
    <t>Arrivées ponts de mai.</t>
  </si>
  <si>
    <r>
      <t>Brunch de Fête</t>
    </r>
    <r>
      <rPr>
        <sz val="11"/>
        <color rgb="FF1F1F1F"/>
        <rFont val="Arial"/>
        <family val="2"/>
      </rPr>
      <t>.</t>
    </r>
  </si>
  <si>
    <t>Arrivées de proximité VIP.</t>
  </si>
  <si>
    <t>Service à la carte riche.</t>
  </si>
  <si>
    <r>
      <t>Buffet Gourmet Tunisien</t>
    </r>
    <r>
      <rPr>
        <sz val="11"/>
        <color rgb="FF1F1F1F"/>
        <rFont val="Arial"/>
        <family val="2"/>
      </rPr>
      <t>.</t>
    </r>
  </si>
  <si>
    <t>Groupe d'entreprise luxe.</t>
  </si>
  <si>
    <t>DÎNER JARDIN</t>
  </si>
  <si>
    <r>
      <t>Inauguration Terrasse</t>
    </r>
    <r>
      <rPr>
        <sz val="11"/>
        <color rgb="FF1F1F1F"/>
        <rFont val="Arial"/>
        <family val="2"/>
      </rPr>
      <t>.</t>
    </r>
  </si>
  <si>
    <t>Arrivées curistes EU.</t>
  </si>
  <si>
    <t>GALA MAI CLÔTURE</t>
  </si>
  <si>
    <t>Buffet dominical prestige.</t>
  </si>
  <si>
    <t>VEILLE AÏD</t>
  </si>
  <si>
    <t>AÏD EL-KEBIR</t>
  </si>
  <si>
    <r>
      <t>Grand Buffet Traditionnel</t>
    </r>
    <r>
      <rPr>
        <sz val="11"/>
        <color rgb="FF1F1F1F"/>
        <rFont val="Arial"/>
        <family val="2"/>
      </rPr>
      <t>.</t>
    </r>
  </si>
  <si>
    <t>BRUNCH AÏD</t>
  </si>
  <si>
    <t>Fin de weekend prolongé.</t>
  </si>
  <si>
    <t>Retour au calme</t>
  </si>
  <si>
    <r>
      <t>Buffet Gastronomique</t>
    </r>
    <r>
      <rPr>
        <sz val="11"/>
        <color rgb="FF1F1F1F"/>
        <rFont val="Arial"/>
        <family val="2"/>
      </rPr>
      <t>.</t>
    </r>
  </si>
  <si>
    <t>Arrivées familles VIP.</t>
  </si>
  <si>
    <t>Buffet dominical complet.</t>
  </si>
  <si>
    <t>Arrivées pré-été.</t>
  </si>
  <si>
    <t>Weekend haute saison.</t>
  </si>
  <si>
    <r>
      <t>Grand Buffet Été</t>
    </r>
    <r>
      <rPr>
        <sz val="11"/>
        <color rgb="FF1F1F1F"/>
        <rFont val="Arial"/>
        <family val="2"/>
      </rPr>
      <t>.</t>
    </r>
  </si>
  <si>
    <t>Service terrasse.</t>
  </si>
  <si>
    <t>SOIRÉE BLANCHE</t>
  </si>
  <si>
    <r>
      <t>Événement Prestige</t>
    </r>
    <r>
      <rPr>
        <sz val="11"/>
        <color rgb="FF1F1F1F"/>
        <rFont val="Arial"/>
        <family val="2"/>
      </rPr>
      <t>.</t>
    </r>
  </si>
  <si>
    <t>Clientèle française VIP.</t>
  </si>
  <si>
    <t>GALA MARIN</t>
  </si>
  <si>
    <r>
      <t>Buffet Fruits de Mer</t>
    </r>
    <r>
      <rPr>
        <sz val="11"/>
        <color rgb="FF1F1F1F"/>
        <rFont val="Arial"/>
        <family val="2"/>
      </rPr>
      <t>.</t>
    </r>
  </si>
  <si>
    <t>Service piscine.</t>
  </si>
  <si>
    <t>Arrivées VIP locales.</t>
  </si>
  <si>
    <t>Veille Août</t>
  </si>
  <si>
    <t>Préparation Pic Saison.</t>
  </si>
  <si>
    <r>
      <t>Buffet Signature</t>
    </r>
    <r>
      <rPr>
        <sz val="11"/>
        <color rgb="FF1F1F1F"/>
        <rFont val="Arial"/>
        <family val="2"/>
      </rPr>
      <t>.</t>
    </r>
  </si>
  <si>
    <t>Service terrasse complet.</t>
  </si>
  <si>
    <t>Pâtisserie journalière.</t>
  </si>
  <si>
    <t>Flux VIP.</t>
  </si>
  <si>
    <r>
      <t>RECORD (Haute Gastronomie)</t>
    </r>
    <r>
      <rPr>
        <sz val="11"/>
        <color rgb="FF1F1F1F"/>
        <rFont val="Arial"/>
        <family val="2"/>
      </rPr>
      <t>.</t>
    </r>
  </si>
  <si>
    <t>Brunch post-gala.</t>
  </si>
  <si>
    <r>
      <t>Grand Final d'Août</t>
    </r>
    <r>
      <rPr>
        <sz val="11"/>
        <color rgb="FF1F1F1F"/>
        <rFont val="Arial"/>
        <family val="2"/>
      </rPr>
      <t>.</t>
    </r>
  </si>
  <si>
    <t>Arrivées Cure</t>
  </si>
  <si>
    <t>Retour des curistes long séjour.</t>
  </si>
  <si>
    <t>SOIRÉE BOUGIES</t>
  </si>
  <si>
    <r>
      <t>Dîner de Prestige</t>
    </r>
    <r>
      <rPr>
        <sz val="11"/>
        <color rgb="FF1F1F1F"/>
        <rFont val="Arial"/>
        <family val="2"/>
      </rPr>
      <t>.</t>
    </r>
  </si>
  <si>
    <t>Préparation Octobre.</t>
  </si>
  <si>
    <t>Clientèle Cure EU.</t>
  </si>
  <si>
    <t>Weekend Bien-être.</t>
  </si>
  <si>
    <t>Service terrasse douce.</t>
  </si>
  <si>
    <t>Début Vacances EU.</t>
  </si>
  <si>
    <t>Clientèle Toussaint.</t>
  </si>
  <si>
    <t>Routine enfants VIP.</t>
  </si>
  <si>
    <r>
      <t>Grand Buffet Prestige</t>
    </r>
    <r>
      <rPr>
        <sz val="11"/>
        <color rgb="FF1F1F1F"/>
        <rFont val="Arial"/>
        <family val="2"/>
      </rPr>
      <t>.</t>
    </r>
  </si>
  <si>
    <t>Station Omelettes +++.</t>
  </si>
  <si>
    <t>HALLOWEEN LUXE</t>
  </si>
  <si>
    <r>
      <t>Soirée de l'Horreur Chic</t>
    </r>
    <r>
      <rPr>
        <sz val="11"/>
        <color rgb="FF1F1F1F"/>
        <rFont val="Arial"/>
        <family val="2"/>
      </rPr>
      <t>.</t>
    </r>
  </si>
  <si>
    <t>TOUSSAINT (FIN)</t>
  </si>
  <si>
    <t>Dernier grand buffet d'automne.</t>
  </si>
  <si>
    <t>Départ des familles VIP.</t>
  </si>
  <si>
    <t>Retour au calme feutré.</t>
  </si>
  <si>
    <t>Clientèle locale bien-être.</t>
  </si>
  <si>
    <t>Basse saison européenne.</t>
  </si>
  <si>
    <r>
      <t>Pâtisserie de précision</t>
    </r>
    <r>
      <rPr>
        <sz val="11"/>
        <color rgb="FF1F1F1F"/>
        <rFont val="Arial"/>
        <family val="2"/>
      </rPr>
      <t>.</t>
    </r>
  </si>
  <si>
    <r>
      <t>Ambiance Palace</t>
    </r>
    <r>
      <rPr>
        <sz val="11"/>
        <color rgb="FF1F1F1F"/>
        <rFont val="Arial"/>
        <family val="2"/>
      </rPr>
      <t>.</t>
    </r>
  </si>
  <si>
    <t>Travaux de maintenance légers.</t>
  </si>
  <si>
    <t>Calme hivernal.</t>
  </si>
  <si>
    <r>
      <t>Pâtisserie fine</t>
    </r>
    <r>
      <rPr>
        <sz val="11"/>
        <color rgb="FF1F1F1F"/>
        <rFont val="Arial"/>
        <family val="2"/>
      </rPr>
      <t>.</t>
    </r>
  </si>
  <si>
    <t>Mise en place</t>
  </si>
  <si>
    <t>Début décorations.</t>
  </si>
  <si>
    <r>
      <t>Prélude aux fêtes</t>
    </r>
    <r>
      <rPr>
        <sz val="11"/>
        <color rgb="FF1F1F1F"/>
        <rFont val="Arial"/>
        <family val="2"/>
      </rPr>
      <t>.</t>
    </r>
  </si>
  <si>
    <t>Semaine Noël</t>
  </si>
  <si>
    <r>
      <t>Rush Pâtisserie (Bûches)</t>
    </r>
    <r>
      <rPr>
        <sz val="11"/>
        <color rgb="FF1F1F1F"/>
        <rFont val="Arial"/>
        <family val="2"/>
      </rPr>
      <t>.</t>
    </r>
  </si>
  <si>
    <r>
      <t>Banquet de Noël</t>
    </r>
    <r>
      <rPr>
        <sz val="11"/>
        <color rgb="FF1F1F1F"/>
        <rFont val="Arial"/>
        <family val="2"/>
      </rPr>
      <t>.</t>
    </r>
  </si>
  <si>
    <t>Détente luxe.</t>
  </si>
  <si>
    <r>
      <t>Buffet de l'An avant l'heure</t>
    </r>
    <r>
      <rPr>
        <sz val="11"/>
        <color rgb="FF1F1F1F"/>
        <rFont val="Arial"/>
        <family val="2"/>
      </rPr>
      <t>.</t>
    </r>
  </si>
  <si>
    <t>Logistique tendue.</t>
  </si>
  <si>
    <t>Hôtel Complet.</t>
  </si>
  <si>
    <r>
      <t>Dîner de Gala de l'An</t>
    </r>
    <r>
      <rPr>
        <sz val="11"/>
        <color rgb="FF1F1F1F"/>
        <rFont val="Arial"/>
        <family val="2"/>
      </rPr>
      <t>.</t>
    </r>
  </si>
  <si>
    <t>Hasdrubal Thalassa &amp; Spa</t>
  </si>
  <si>
    <t>Buffet méditerranéen.</t>
  </si>
  <si>
    <r>
      <t>Arrivées massives</t>
    </r>
    <r>
      <rPr>
        <sz val="11"/>
        <color rgb="FF1F1F1F"/>
        <rFont val="Arial"/>
        <family val="2"/>
      </rPr>
      <t>.</t>
    </r>
  </si>
  <si>
    <t>VEILLE RAMADAN</t>
  </si>
  <si>
    <t>NOUVEL AN</t>
  </si>
  <si>
    <r>
      <t>Brunch de l'An (Ojja VIP)</t>
    </r>
    <r>
      <rPr>
        <sz val="11"/>
        <color rgb="FF1F1F1F"/>
        <rFont val="Arial"/>
        <family val="2"/>
      </rPr>
      <t>.</t>
    </r>
  </si>
  <si>
    <t>Clientèle résidente calme.</t>
  </si>
  <si>
    <r>
      <t>Grand Buffet Varié</t>
    </r>
    <r>
      <rPr>
        <sz val="11"/>
        <color rgb="FF1F1F1F"/>
        <rFont val="Arial"/>
        <family val="2"/>
      </rPr>
      <t>.</t>
    </r>
  </si>
  <si>
    <t>Check-out weekend.</t>
  </si>
  <si>
    <t>Clientèle Corporate.</t>
  </si>
  <si>
    <t>Routine Business.</t>
  </si>
  <si>
    <t>Fin de session business.</t>
  </si>
  <si>
    <t>SOIRÉE MÉHARI</t>
  </si>
  <si>
    <t>Brunch Local</t>
  </si>
  <si>
    <t>Passagers &amp; Résidents.</t>
  </si>
  <si>
    <r>
      <t>Plats Traditionnels</t>
    </r>
    <r>
      <rPr>
        <sz val="11"/>
        <color rgb="FF1F1F1F"/>
        <rFont val="Arial"/>
        <family val="2"/>
      </rPr>
      <t>.</t>
    </r>
  </si>
  <si>
    <t>Détente hivernale.</t>
  </si>
  <si>
    <t>WEEKEND VIP</t>
  </si>
  <si>
    <r>
      <t>Forte influence locale</t>
    </r>
    <r>
      <rPr>
        <sz val="11"/>
        <color rgb="FF1F1F1F"/>
        <rFont val="Arial"/>
        <family val="2"/>
      </rPr>
      <t>.</t>
    </r>
  </si>
  <si>
    <t>Brunch</t>
  </si>
  <si>
    <t>Buffet riche.</t>
  </si>
  <si>
    <r>
      <t>Grand Buffet de l'Amour</t>
    </r>
    <r>
      <rPr>
        <sz val="11"/>
        <color rgb="FF1F1F1F"/>
        <rFont val="Arial"/>
        <family val="2"/>
      </rPr>
      <t>.</t>
    </r>
  </si>
  <si>
    <r>
      <t>Petit-déjeuner tardif</t>
    </r>
    <r>
      <rPr>
        <sz val="11"/>
        <color rgb="FF1F1F1F"/>
        <rFont val="Arial"/>
        <family val="2"/>
      </rPr>
      <t>.</t>
    </r>
  </si>
  <si>
    <t>Retour séminaires.</t>
  </si>
  <si>
    <r>
      <t>Dernier weekend avant jeûne</t>
    </r>
    <r>
      <rPr>
        <sz val="11"/>
        <color rgb="FF1F1F1F"/>
        <rFont val="Arial"/>
        <family val="2"/>
      </rPr>
      <t>.</t>
    </r>
  </si>
  <si>
    <r>
      <t>Brik obligatoire</t>
    </r>
    <r>
      <rPr>
        <sz val="11"/>
        <color rgb="FF1F1F1F"/>
        <rFont val="Arial"/>
        <family val="2"/>
      </rPr>
      <t xml:space="preserve"> (1/pers).</t>
    </r>
  </si>
  <si>
    <t>Iftar familial local.</t>
  </si>
  <si>
    <t>Ramadan Business</t>
  </si>
  <si>
    <t>Iftar entreprises.</t>
  </si>
  <si>
    <r>
      <t>Iftar musical</t>
    </r>
    <r>
      <rPr>
        <sz val="11"/>
        <color rgb="FF1F1F1F"/>
        <rFont val="Arial"/>
        <family val="2"/>
      </rPr>
      <t>.</t>
    </r>
  </si>
  <si>
    <t>S'hour copieux.</t>
  </si>
  <si>
    <r>
      <t>Buffet Traditionnel</t>
    </r>
    <r>
      <rPr>
        <sz val="11"/>
        <color rgb="FF1F1F1F"/>
        <rFont val="Arial"/>
        <family val="2"/>
      </rPr>
      <t>.</t>
    </r>
  </si>
  <si>
    <r>
      <t>Férié : Grand Iftar</t>
    </r>
    <r>
      <rPr>
        <sz val="11"/>
        <color rgb="FF1F1F1F"/>
        <rFont val="Arial"/>
        <family val="2"/>
      </rPr>
      <t>.</t>
    </r>
  </si>
  <si>
    <t>SOIRÉE RAMADAN</t>
  </si>
  <si>
    <r>
      <t>Pleine saison Ramadan</t>
    </r>
    <r>
      <rPr>
        <sz val="11"/>
        <color rgb="FF1F1F1F"/>
        <rFont val="Arial"/>
        <family val="2"/>
      </rPr>
      <t>.</t>
    </r>
  </si>
  <si>
    <t>Préparation Leilat al-Qadr.</t>
  </si>
  <si>
    <t>27ème NUIT</t>
  </si>
  <si>
    <r>
      <t>Pic Pâtisserie &amp; Briks</t>
    </r>
    <r>
      <rPr>
        <sz val="11"/>
        <color rgb="FF1F1F1F"/>
        <rFont val="Arial"/>
        <family val="2"/>
      </rPr>
      <t>.</t>
    </r>
  </si>
  <si>
    <t>Fatigue de fin de jeûne.</t>
  </si>
  <si>
    <r>
      <t>Préparation Gâteaux Aïd</t>
    </r>
    <r>
      <rPr>
        <sz val="11"/>
        <color rgb="FF1F1F1F"/>
        <rFont val="Arial"/>
        <family val="2"/>
      </rPr>
      <t>.</t>
    </r>
  </si>
  <si>
    <r>
      <t>RECORD : Petit-déj Aïd</t>
    </r>
    <r>
      <rPr>
        <sz val="11"/>
        <color rgb="FF1F1F1F"/>
        <rFont val="Arial"/>
        <family val="2"/>
      </rPr>
      <t>.</t>
    </r>
  </si>
  <si>
    <t>Buffet de fête continu.</t>
  </si>
  <si>
    <t>Clientèle locale en congés.</t>
  </si>
  <si>
    <t>Routine Corporate.</t>
  </si>
  <si>
    <r>
      <t>Buffet international</t>
    </r>
    <r>
      <rPr>
        <sz val="11"/>
        <color rgb="FF1F1F1F"/>
        <rFont val="Arial"/>
        <family val="2"/>
      </rPr>
      <t>.</t>
    </r>
  </si>
  <si>
    <t>Sortie weekend.</t>
  </si>
  <si>
    <r>
      <t>Clientèle locale forte</t>
    </r>
    <r>
      <rPr>
        <sz val="11"/>
        <color rgb="FF1F1F1F"/>
        <rFont val="Arial"/>
        <family val="2"/>
      </rPr>
      <t>.</t>
    </r>
  </si>
  <si>
    <t>Début Pâques EU</t>
  </si>
  <si>
    <r>
      <t>Préparation Œufs de Pâques</t>
    </r>
    <r>
      <rPr>
        <sz val="11"/>
        <color rgb="FF1F1F1F"/>
        <rFont val="Arial"/>
        <family val="2"/>
      </rPr>
      <t>.</t>
    </r>
  </si>
  <si>
    <r>
      <t>RECORD : Buffet de Pâques</t>
    </r>
    <r>
      <rPr>
        <sz val="11"/>
        <color rgb="FF1F1F1F"/>
        <rFont val="Arial"/>
        <family val="2"/>
      </rPr>
      <t>.</t>
    </r>
  </si>
  <si>
    <t>GALA AVRIL</t>
  </si>
  <si>
    <t>Pont de Mai</t>
  </si>
  <si>
    <t>Grand séminaire.</t>
  </si>
  <si>
    <r>
      <t>Forte demande</t>
    </r>
    <r>
      <rPr>
        <sz val="11"/>
        <color rgb="FF1F1F1F"/>
        <rFont val="Arial"/>
        <family val="2"/>
      </rPr>
      <t>.</t>
    </r>
  </si>
  <si>
    <t>FÊTE DES MÈRES</t>
  </si>
  <si>
    <r>
      <t>RECORD : Buffet Spécial</t>
    </r>
    <r>
      <rPr>
        <sz val="11"/>
        <color rgb="FF1F1F1F"/>
        <rFont val="Arial"/>
        <family val="2"/>
      </rPr>
      <t>.</t>
    </r>
  </si>
  <si>
    <t>Retour calme</t>
  </si>
  <si>
    <t>GALA PRÉ-ÉTÉ</t>
  </si>
  <si>
    <r>
      <t>Transition Juin</t>
    </r>
    <r>
      <rPr>
        <sz val="11"/>
        <color rgb="FF1F1F1F"/>
        <rFont val="Arial"/>
        <family val="2"/>
      </rPr>
      <t>.</t>
    </r>
  </si>
  <si>
    <t>Clientèle locale en détente.</t>
  </si>
  <si>
    <t>Hôtel presque complet.</t>
  </si>
  <si>
    <r>
      <t>Pic : Tajines &amp; Pâtisseries</t>
    </r>
    <r>
      <rPr>
        <sz val="11"/>
        <color rgb="FF1F1F1F"/>
        <rFont val="Arial"/>
        <family val="2"/>
      </rPr>
      <t>.</t>
    </r>
  </si>
  <si>
    <t>Buffet prolongé.</t>
  </si>
  <si>
    <t>Arrivées Libyens/Algériens.</t>
  </si>
  <si>
    <t>Tourisme européen (UK/DE).</t>
  </si>
  <si>
    <t>Rotation des vols.</t>
  </si>
  <si>
    <r>
      <t>Soirée spéciale &amp; Buffet</t>
    </r>
    <r>
      <rPr>
        <sz val="11"/>
        <color rgb="FF1F1F1F"/>
        <rFont val="Arial"/>
        <family val="2"/>
      </rPr>
      <t>.</t>
    </r>
  </si>
  <si>
    <t>Piscine &amp; Snack actif.</t>
  </si>
  <si>
    <t>Weekend local très fort.</t>
  </si>
  <si>
    <r>
      <t>Record Pâtisserie Été</t>
    </r>
    <r>
      <rPr>
        <sz val="11"/>
        <color rgb="FF1F1F1F"/>
        <rFont val="Arial"/>
        <family val="2"/>
      </rPr>
      <t>.</t>
    </r>
  </si>
  <si>
    <t>POOL BRUNCH</t>
  </si>
  <si>
    <r>
      <t>Service extérieur intensif</t>
    </r>
    <r>
      <rPr>
        <sz val="11"/>
        <color rgb="FF1F1F1F"/>
        <rFont val="Arial"/>
        <family val="2"/>
      </rPr>
      <t>.</t>
    </r>
  </si>
  <si>
    <t>Transition Juillet</t>
  </si>
  <si>
    <t>Préparation mois record.</t>
  </si>
  <si>
    <t>Weekend Rush</t>
  </si>
  <si>
    <t>Arrivées locales &amp; Algériens.</t>
  </si>
  <si>
    <t>SOIRÉE MÉHARÉE</t>
  </si>
  <si>
    <t>POOL PARTY</t>
  </si>
  <si>
    <r>
      <t>Brunch &amp; Snack Piscine</t>
    </r>
    <r>
      <rPr>
        <sz val="11"/>
        <color rgb="FF1F1F1F"/>
        <rFont val="Arial"/>
        <family val="2"/>
      </rPr>
      <t>.</t>
    </r>
  </si>
  <si>
    <t>Brunch Piscine</t>
  </si>
  <si>
    <t>Consommation Snack.</t>
  </si>
  <si>
    <r>
      <t>Brik, Tajine &amp; Ojja</t>
    </r>
    <r>
      <rPr>
        <sz val="11"/>
        <color rgb="FF1F1F1F"/>
        <rFont val="Arial"/>
        <family val="2"/>
      </rPr>
      <t>.</t>
    </r>
  </si>
  <si>
    <t>Pool Brunch</t>
  </si>
  <si>
    <r>
      <t>Buffet National (Pic)</t>
    </r>
    <r>
      <rPr>
        <sz val="11"/>
        <color rgb="FF1F1F1F"/>
        <rFont val="Arial"/>
        <family val="2"/>
      </rPr>
      <t>.</t>
    </r>
  </si>
  <si>
    <t>Rotation fin de mois.</t>
  </si>
  <si>
    <t>Arrivées massives des locaux.</t>
  </si>
  <si>
    <r>
      <t>Pic Pâtisserie &amp; Buffets</t>
    </r>
    <r>
      <rPr>
        <sz val="11"/>
        <color rgb="FF1F1F1F"/>
        <rFont val="Arial"/>
        <family val="2"/>
      </rPr>
      <t>.</t>
    </r>
  </si>
  <si>
    <t>Consommation Snack non-stop.</t>
  </si>
  <si>
    <t>Rotation des vols EU.</t>
  </si>
  <si>
    <t>Weekend frontalier (Algérie).</t>
  </si>
  <si>
    <r>
      <t>Grand Buffet International</t>
    </r>
    <r>
      <rPr>
        <sz val="11"/>
        <color rgb="FF1F1F1F"/>
        <rFont val="Arial"/>
        <family val="2"/>
      </rPr>
      <t>.</t>
    </r>
  </si>
  <si>
    <t>Forte demande frites/œufs.</t>
  </si>
  <si>
    <t>Rotation.</t>
  </si>
  <si>
    <t>Préparation Buffet 13 août.</t>
  </si>
  <si>
    <r>
      <t>RECORD : Buffet d'Honneur</t>
    </r>
    <r>
      <rPr>
        <sz val="11"/>
        <color rgb="FF1F1F1F"/>
        <rFont val="Arial"/>
        <family val="2"/>
      </rPr>
      <t>.</t>
    </r>
  </si>
  <si>
    <t>Assomption</t>
  </si>
  <si>
    <t>Max Snack (Salades/Briks).</t>
  </si>
  <si>
    <t>Rush weekend local.</t>
  </si>
  <si>
    <r>
      <t>Buffet de clôture saison</t>
    </r>
    <r>
      <rPr>
        <sz val="11"/>
        <color rgb="FF1F1F1F"/>
        <rFont val="Arial"/>
        <family val="2"/>
      </rPr>
      <t>.</t>
    </r>
  </si>
  <si>
    <t>Brunch Final</t>
  </si>
  <si>
    <t>Dernier grand départ familles.</t>
  </si>
  <si>
    <t>Départs scolaires.</t>
  </si>
  <si>
    <t>Dernier buffet du mois.</t>
  </si>
  <si>
    <t>Transition Septembre.</t>
  </si>
  <si>
    <t>Chute brutale post-été.</t>
  </si>
  <si>
    <t>Arrivées Thalasso/Seniors.</t>
  </si>
  <si>
    <t>Détente seniors.</t>
  </si>
  <si>
    <t>VEILLE MOULED</t>
  </si>
  <si>
    <r>
      <t>Préparation des Assidas</t>
    </r>
    <r>
      <rPr>
        <sz val="11"/>
        <color rgb="FF1F1F1F"/>
        <rFont val="Arial"/>
        <family val="2"/>
      </rPr>
      <t>.</t>
    </r>
  </si>
  <si>
    <t>MOULED</t>
  </si>
  <si>
    <r>
      <t>Fête : Crèmes &amp; Desserts</t>
    </r>
    <r>
      <rPr>
        <sz val="11"/>
        <color rgb="FF1F1F1F"/>
        <rFont val="Arial"/>
        <family val="2"/>
      </rPr>
      <t>.</t>
    </r>
  </si>
  <si>
    <t>Calme après fête.</t>
  </si>
  <si>
    <t>Congrès Médical</t>
  </si>
  <si>
    <r>
      <t>Grand groupe résidentiel</t>
    </r>
    <r>
      <rPr>
        <sz val="11"/>
        <color rgb="FF1F1F1F"/>
        <rFont val="Arial"/>
        <family val="2"/>
      </rPr>
      <t>.</t>
    </r>
  </si>
  <si>
    <t>Congrès</t>
  </si>
  <si>
    <t>Déjeuner buffet rapide.</t>
  </si>
  <si>
    <r>
      <t>Férié : Repas de fête</t>
    </r>
    <r>
      <rPr>
        <sz val="11"/>
        <color rgb="FF1F1F1F"/>
        <rFont val="Arial"/>
        <family val="2"/>
      </rPr>
      <t>.</t>
    </r>
  </si>
  <si>
    <t>Séminaire IT</t>
  </si>
  <si>
    <t>GALA OCTOBRE</t>
  </si>
  <si>
    <r>
      <t>Grand buffet international</t>
    </r>
    <r>
      <rPr>
        <sz val="11"/>
        <color rgb="FF1F1F1F"/>
        <rFont val="Arial"/>
        <family val="2"/>
      </rPr>
      <t>.</t>
    </r>
  </si>
  <si>
    <r>
      <t>Dîner Thématique &amp; Décor</t>
    </r>
    <r>
      <rPr>
        <sz val="11"/>
        <color rgb="FF1F1F1F"/>
        <rFont val="Arial"/>
        <family val="2"/>
      </rPr>
      <t>.</t>
    </r>
  </si>
  <si>
    <t>Toussaint / Spa</t>
  </si>
  <si>
    <t>Clientèle européenne (Seniors).</t>
  </si>
  <si>
    <t>Arrivées séminaires.</t>
  </si>
  <si>
    <t>CONGRÈS ANNUEL</t>
  </si>
  <si>
    <r>
      <t>Buffet Corporate (MICE)</t>
    </r>
    <r>
      <rPr>
        <sz val="11"/>
        <color rgb="FF1F1F1F"/>
        <rFont val="Arial"/>
        <family val="2"/>
      </rPr>
      <t>.</t>
    </r>
  </si>
  <si>
    <t>Sessions de travail intensives.</t>
  </si>
  <si>
    <t>Weekend Thalasso</t>
  </si>
  <si>
    <t>Détente automnale.</t>
  </si>
  <si>
    <t>Groupe résidentiel.</t>
  </si>
  <si>
    <t>WEEKEND SPA</t>
  </si>
  <si>
    <r>
      <t>Forte demande Bien-être</t>
    </r>
    <r>
      <rPr>
        <sz val="11"/>
        <color rgb="FF1F1F1F"/>
        <rFont val="Arial"/>
        <family val="2"/>
      </rPr>
      <t>.</t>
    </r>
  </si>
  <si>
    <t>Buffet convivial.</t>
  </si>
  <si>
    <t>Séminaire Fin Année</t>
  </si>
  <si>
    <t>Groupes bancaires/assurances.</t>
  </si>
  <si>
    <r>
      <t>Sortie locale (pré-hiver)</t>
    </r>
    <r>
      <rPr>
        <sz val="11"/>
        <color rgb="FF1F1F1F"/>
        <rFont val="Arial"/>
        <family val="2"/>
      </rPr>
      <t>.</t>
    </r>
  </si>
  <si>
    <t>Arrivées Thalasso Seniors.</t>
  </si>
  <si>
    <t>Derniers grands groupes.</t>
  </si>
  <si>
    <t>Creux pré-vacances.</t>
  </si>
  <si>
    <t>VACANCES</t>
  </si>
  <si>
    <r>
      <t>Arrivées familles</t>
    </r>
    <r>
      <rPr>
        <sz val="11"/>
        <color rgb="FF1F1F1F"/>
        <rFont val="Arial"/>
        <family val="2"/>
      </rPr>
      <t>.</t>
    </r>
  </si>
  <si>
    <t>Brunch Hiver</t>
  </si>
  <si>
    <t>GALA PRÉ-AN</t>
  </si>
  <si>
    <t>VEILLE AN</t>
  </si>
  <si>
    <r>
      <t>Stockage critique</t>
    </r>
    <r>
      <rPr>
        <sz val="11"/>
        <color rgb="FF1F1F1F"/>
        <rFont val="Arial"/>
        <family val="2"/>
      </rPr>
      <t>.</t>
    </r>
  </si>
  <si>
    <r>
      <t>RECORD DE L'ANNÉE</t>
    </r>
    <r>
      <rPr>
        <sz val="11"/>
        <color rgb="FF1F1F1F"/>
        <rFont val="Arial"/>
        <family val="2"/>
      </rPr>
      <t>.</t>
    </r>
  </si>
  <si>
    <t>Golden Tulip Méhari</t>
  </si>
  <si>
    <t>Logique Métier Royal</t>
  </si>
  <si>
    <r>
      <t>Brunch Record (Bénédicte)</t>
    </r>
    <r>
      <rPr>
        <sz val="11"/>
        <color rgb="FF1F1F1F"/>
        <rFont val="Arial"/>
        <family val="2"/>
      </rPr>
      <t>.</t>
    </r>
  </si>
  <si>
    <t>Clientèle locale en repos.</t>
  </si>
  <si>
    <r>
      <t>Buffet de Prestige</t>
    </r>
    <r>
      <rPr>
        <sz val="11"/>
        <color rgb="FF1F1F1F"/>
        <rFont val="Arial"/>
        <family val="2"/>
      </rPr>
      <t>.</t>
    </r>
  </si>
  <si>
    <t>Brunch Royal</t>
  </si>
  <si>
    <t>Familles VIP Tunis.</t>
  </si>
  <si>
    <t>Clientèle Thalasso EU.</t>
  </si>
  <si>
    <t>GALA ROYAL</t>
  </si>
  <si>
    <t>GALA FIN JANVIER</t>
  </si>
  <si>
    <t>Séminaires de début de mois.</t>
  </si>
  <si>
    <t>Buffet gastronomique.</t>
  </si>
  <si>
    <r>
      <t>Rush familles Tunis</t>
    </r>
    <r>
      <rPr>
        <sz val="11"/>
        <color rgb="FF1F1F1F"/>
        <rFont val="Arial"/>
        <family val="2"/>
      </rPr>
      <t>.</t>
    </r>
  </si>
  <si>
    <t>Vacances J1</t>
  </si>
  <si>
    <t>Station Crêpes/Gaufres non-stop.</t>
  </si>
  <si>
    <t>Vacances J2</t>
  </si>
  <si>
    <t>Buffet spécial enfants.</t>
  </si>
  <si>
    <t>Vacances J3</t>
  </si>
  <si>
    <t>Animation et goûters.</t>
  </si>
  <si>
    <t>Vacances J4</t>
  </si>
  <si>
    <t>Préparation pâtisserie fine.</t>
  </si>
  <si>
    <r>
      <t>PIC : Dîner Gala &amp; Pâtisserie</t>
    </r>
    <r>
      <rPr>
        <sz val="11"/>
        <color rgb="FF1F1F1F"/>
        <rFont val="Arial"/>
        <family val="2"/>
      </rPr>
      <t>.</t>
    </r>
  </si>
  <si>
    <t>Brunch Amoureux</t>
  </si>
  <si>
    <t>Clientèle Seniors EU.</t>
  </si>
  <si>
    <t>Buffet Signature.</t>
  </si>
  <si>
    <t>Routine weekend VIP.</t>
  </si>
  <si>
    <t>Séminaires Printemps.</t>
  </si>
  <si>
    <t>Buffet Gastronomique.</t>
  </si>
  <si>
    <t>JOURNÉE FEMME</t>
  </si>
  <si>
    <r>
      <t>Buffet spécial &amp; Pâtisserie</t>
    </r>
    <r>
      <rPr>
        <sz val="11"/>
        <color rgb="FF1F1F1F"/>
        <rFont val="Arial"/>
        <family val="2"/>
      </rPr>
      <t>.</t>
    </r>
  </si>
  <si>
    <t>Calme pré-Ramadan.</t>
  </si>
  <si>
    <r>
      <t>Iftar : Brik, Tajine, Soupes</t>
    </r>
    <r>
      <rPr>
        <sz val="11"/>
        <color rgb="FF1F1F1F"/>
        <rFont val="Arial"/>
        <family val="2"/>
      </rPr>
      <t>.</t>
    </r>
  </si>
  <si>
    <t>Ramadan / Weekend</t>
  </si>
  <si>
    <t>Rupture du jeûne en famille.</t>
  </si>
  <si>
    <t>Ramadan / Repos</t>
  </si>
  <si>
    <t>Iftar &amp; Shour.</t>
  </si>
  <si>
    <t>Ramadan / Travail</t>
  </si>
  <si>
    <r>
      <t>Iftar VIP (Sorties Tunis)</t>
    </r>
    <r>
      <rPr>
        <sz val="11"/>
        <color rgb="FF1F1F1F"/>
        <rFont val="Arial"/>
        <family val="2"/>
      </rPr>
      <t>.</t>
    </r>
  </si>
  <si>
    <r>
      <t>Soirée Tarawih &amp; Pâtisserie</t>
    </r>
    <r>
      <rPr>
        <sz val="11"/>
        <color rgb="FF1F1F1F"/>
        <rFont val="Arial"/>
        <family val="2"/>
      </rPr>
      <t>.</t>
    </r>
  </si>
  <si>
    <t>Iftar Business.</t>
  </si>
  <si>
    <t>Ramadan / W-E</t>
  </si>
  <si>
    <r>
      <t>Iftar VIP (Tunis)</t>
    </r>
    <r>
      <rPr>
        <sz val="11"/>
        <color rgb="FF1F1F1F"/>
        <rFont val="Arial"/>
        <family val="2"/>
      </rPr>
      <t>.</t>
    </r>
  </si>
  <si>
    <r>
      <t>Gala Ramadan</t>
    </r>
    <r>
      <rPr>
        <sz val="11"/>
        <color rgb="FF1F1F1F"/>
        <rFont val="Arial"/>
        <family val="2"/>
      </rPr>
      <t>.</t>
    </r>
  </si>
  <si>
    <t>PÂQUES (EU)</t>
  </si>
  <si>
    <t>MARTYRS (Veille)</t>
  </si>
  <si>
    <t>Sortie pré-férié.</t>
  </si>
  <si>
    <t>JOUR MARTYRS</t>
  </si>
  <si>
    <r>
      <t>Iftar de Fête</t>
    </r>
    <r>
      <rPr>
        <sz val="11"/>
        <color rgb="FF1F1F1F"/>
        <rFont val="Arial"/>
        <family val="2"/>
      </rPr>
      <t>.</t>
    </r>
  </si>
  <si>
    <t>Dernière ligne droite.</t>
  </si>
  <si>
    <r>
      <t>RECORD : Buffets &amp; Crèmes</t>
    </r>
    <r>
      <rPr>
        <sz val="11"/>
        <color rgb="FF1F1F1F"/>
        <rFont val="Arial"/>
        <family val="2"/>
      </rPr>
      <t>.</t>
    </r>
  </si>
  <si>
    <t>Routine fin Ramadan.</t>
  </si>
  <si>
    <r>
      <t>Petit-Déjeuner Royal</t>
    </r>
    <r>
      <rPr>
        <sz val="11"/>
        <color rgb="FF1F1F1F"/>
        <rFont val="Arial"/>
        <family val="2"/>
      </rPr>
      <t>.</t>
    </r>
  </si>
  <si>
    <t>Rotation seniors.</t>
  </si>
  <si>
    <t>VEILLE 1er MAI</t>
  </si>
  <si>
    <r>
      <t>Grand Buffet Déjeuner</t>
    </r>
    <r>
      <rPr>
        <sz val="11"/>
        <color rgb="FF1F1F1F"/>
        <rFont val="Arial"/>
        <family val="2"/>
      </rPr>
      <t>.</t>
    </r>
  </si>
  <si>
    <t>Arrivées Thalasso EU.</t>
  </si>
  <si>
    <t>CONGRÈS INTER</t>
  </si>
  <si>
    <r>
      <t>Déjeuner Buffet Rapide</t>
    </r>
    <r>
      <rPr>
        <sz val="11"/>
        <color rgb="FF1F1F1F"/>
        <rFont val="Arial"/>
        <family val="2"/>
      </rPr>
      <t>.</t>
    </r>
  </si>
  <si>
    <r>
      <t>Pause-café gourmande</t>
    </r>
    <r>
      <rPr>
        <sz val="11"/>
        <color rgb="FF1F1F1F"/>
        <rFont val="Arial"/>
        <family val="2"/>
      </rPr>
      <t>.</t>
    </r>
  </si>
  <si>
    <t>Seniors &amp; Bien-être.</t>
  </si>
  <si>
    <t>Soirée de gala.</t>
  </si>
  <si>
    <t>Buffet de la mer.</t>
  </si>
  <si>
    <t>Préparation Juin.</t>
  </si>
  <si>
    <t>GALA PRE-SUMMER</t>
  </si>
  <si>
    <r>
      <t>Ouverture Snack Piscine</t>
    </r>
    <r>
      <rPr>
        <sz val="11"/>
        <color rgb="FF1F1F1F"/>
        <rFont val="Arial"/>
        <family val="2"/>
      </rPr>
      <t>.</t>
    </r>
  </si>
  <si>
    <t>Summer Business</t>
  </si>
  <si>
    <t>Séminaires de pré-saison.</t>
  </si>
  <si>
    <t>Clientèle de Tunis.</t>
  </si>
  <si>
    <t>Tourisme européen.</t>
  </si>
  <si>
    <t>Occupation forte.</t>
  </si>
  <si>
    <r>
      <t>Arrivées records</t>
    </r>
    <r>
      <rPr>
        <sz val="11"/>
        <color rgb="FF1F1F1F"/>
        <rFont val="Arial"/>
        <family val="2"/>
      </rPr>
      <t>.</t>
    </r>
  </si>
  <si>
    <r>
      <t>Festivités &amp; Pâtisserie</t>
    </r>
    <r>
      <rPr>
        <sz val="11"/>
        <color rgb="FF1F1F1F"/>
        <rFont val="Arial"/>
        <family val="2"/>
      </rPr>
      <t>.</t>
    </r>
  </si>
  <si>
    <r>
      <t>Grand Brunch de l'Aïd</t>
    </r>
    <r>
      <rPr>
        <sz val="11"/>
        <color rgb="FF1F1F1F"/>
        <rFont val="Arial"/>
        <family val="2"/>
      </rPr>
      <t>.</t>
    </r>
  </si>
  <si>
    <t>Vacances Été</t>
  </si>
  <si>
    <t>Full Summer</t>
  </si>
  <si>
    <t>Flux estival permanent.</t>
  </si>
  <si>
    <t>Routine Resort.</t>
  </si>
  <si>
    <t>Weekend High</t>
  </si>
  <si>
    <t>Arrivées massives de Tunis.</t>
  </si>
  <si>
    <t>GALA SUMMER</t>
  </si>
  <si>
    <r>
      <t>Buffet Grand Prestige</t>
    </r>
    <r>
      <rPr>
        <sz val="11"/>
        <color rgb="FF1F1F1F"/>
        <rFont val="Arial"/>
        <family val="2"/>
      </rPr>
      <t>.</t>
    </r>
  </si>
  <si>
    <t>Journée piscine VIP.</t>
  </si>
  <si>
    <t>Rotation clients EU.</t>
  </si>
  <si>
    <t>FESTIVAL ROYAL</t>
  </si>
  <si>
    <t>Ambiance Resort.</t>
  </si>
  <si>
    <t>Mi-Juillet</t>
  </si>
  <si>
    <t>Pic de chaleur/conso.</t>
  </si>
  <si>
    <r>
      <t>Prestige Culinaire</t>
    </r>
    <r>
      <rPr>
        <sz val="11"/>
        <color rgb="FF1F1F1F"/>
        <rFont val="Arial"/>
        <family val="2"/>
      </rPr>
      <t>.</t>
    </r>
  </si>
  <si>
    <t>Routine luxe.</t>
  </si>
  <si>
    <t>Flux permanent.</t>
  </si>
  <si>
    <t>VEILLE FÊTE</t>
  </si>
  <si>
    <t>Weekend République.</t>
  </si>
  <si>
    <r>
      <t>Gala National : Buffets</t>
    </r>
    <r>
      <rPr>
        <sz val="11"/>
        <color rgb="FF1F1F1F"/>
        <rFont val="Arial"/>
        <family val="2"/>
      </rPr>
      <t>.</t>
    </r>
  </si>
  <si>
    <t>Brunch National</t>
  </si>
  <si>
    <t>Prolongation festive.</t>
  </si>
  <si>
    <t>Weekend Août</t>
  </si>
  <si>
    <t>Clientèle VIP Tunis.</t>
  </si>
  <si>
    <t>Peak Summer</t>
  </si>
  <si>
    <t>Flux touristique max.</t>
  </si>
  <si>
    <t>Arrivées Diaspora (TRE).</t>
  </si>
  <si>
    <t>FESTIVAL ÉTÉ</t>
  </si>
  <si>
    <t>Familles &amp; Détente.</t>
  </si>
  <si>
    <r>
      <t>RECORD : Gala &amp; Pâtisserie</t>
    </r>
    <r>
      <rPr>
        <sz val="11"/>
        <color rgb="FF1F1F1F"/>
        <rFont val="Arial"/>
        <family val="2"/>
      </rPr>
      <t>.</t>
    </r>
  </si>
  <si>
    <r>
      <t>Sommet de la saison</t>
    </r>
    <r>
      <rPr>
        <sz val="11"/>
        <color rgb="FF1F1F1F"/>
        <rFont val="Arial"/>
        <family val="2"/>
      </rPr>
      <t>.</t>
    </r>
  </si>
  <si>
    <t>Brunch Mi-Août</t>
  </si>
  <si>
    <t>Weekend Fin Été</t>
  </si>
  <si>
    <t>Derniers départs locaux.</t>
  </si>
  <si>
    <t>DERNIER GALA</t>
  </si>
  <si>
    <t>Clôture des animations.</t>
  </si>
  <si>
    <t>Brunch Adieu</t>
  </si>
  <si>
    <t>Inventaire &amp; Nettoyage.</t>
  </si>
  <si>
    <t>Derniers départs été.</t>
  </si>
  <si>
    <t>GALA SEPT.</t>
  </si>
  <si>
    <r>
      <t>MICE : Cocktails</t>
    </r>
    <r>
      <rPr>
        <sz val="11"/>
        <color rgb="FF1F1F1F"/>
        <rFont val="Arial"/>
        <family val="2"/>
      </rPr>
      <t>.</t>
    </r>
  </si>
  <si>
    <r>
      <t>MICE : Pauses-café</t>
    </r>
    <r>
      <rPr>
        <sz val="11"/>
        <color rgb="FF1F1F1F"/>
        <rFont val="Arial"/>
        <family val="2"/>
      </rPr>
      <t>.</t>
    </r>
  </si>
  <si>
    <t>Clientèle de cure.</t>
  </si>
  <si>
    <t>GALA FINAL</t>
  </si>
  <si>
    <t>Clôture de saison haute.</t>
  </si>
  <si>
    <t>Inventaire.</t>
  </si>
  <si>
    <t>Séminaires de rentrée.</t>
  </si>
  <si>
    <r>
      <t>Buffet Terroir &amp; Chasse</t>
    </r>
    <r>
      <rPr>
        <sz val="11"/>
        <color rgb="FF1F1F1F"/>
        <rFont val="Arial"/>
        <family val="2"/>
      </rPr>
      <t>.</t>
    </r>
  </si>
  <si>
    <t>Familles de Tunis.</t>
  </si>
  <si>
    <t>Préparation 15 Octobre.</t>
  </si>
  <si>
    <r>
      <t>Hôtel très chargé</t>
    </r>
    <r>
      <rPr>
        <sz val="11"/>
        <color rgb="FF1F1F1F"/>
        <rFont val="Arial"/>
        <family val="2"/>
      </rPr>
      <t>.</t>
    </r>
  </si>
  <si>
    <t>Buffet gourmand.</t>
  </si>
  <si>
    <t>Arrivées pour Halloween.</t>
  </si>
  <si>
    <r>
      <t>Pic : Soirée &amp; Pâtisserie</t>
    </r>
    <r>
      <rPr>
        <sz val="11"/>
        <color rgb="FF1F1F1F"/>
        <rFont val="Arial"/>
        <family val="2"/>
      </rPr>
      <t>.</t>
    </r>
  </si>
  <si>
    <t>Brunch Toussaint</t>
  </si>
  <si>
    <t>Derniers touristes de la Toussaint.</t>
  </si>
  <si>
    <r>
      <t>Buffet Terroir &amp; Gibier</t>
    </r>
    <r>
      <rPr>
        <sz val="11"/>
        <color rgb="FF1F1F1F"/>
        <rFont val="Arial"/>
        <family val="2"/>
      </rPr>
      <t>.</t>
    </r>
  </si>
  <si>
    <t>Clientèle locale de prestige.</t>
  </si>
  <si>
    <t>Préparation Congrès.</t>
  </si>
  <si>
    <r>
      <t>Pause-café &amp; Cocktails</t>
    </r>
    <r>
      <rPr>
        <sz val="11"/>
        <color rgb="FF1F1F1F"/>
        <rFont val="Arial"/>
        <family val="2"/>
      </rPr>
      <t>.</t>
    </r>
  </si>
  <si>
    <r>
      <t>Buffet Déjeuner Rapide</t>
    </r>
    <r>
      <rPr>
        <sz val="11"/>
        <color rgb="FF1F1F1F"/>
        <rFont val="Arial"/>
        <family val="2"/>
      </rPr>
      <t>.</t>
    </r>
  </si>
  <si>
    <t>GALA BIEN-ÊTRE</t>
  </si>
  <si>
    <t>Buffet "Healthy &amp; Chic".</t>
  </si>
  <si>
    <t>GALA PRÉ-NOËL</t>
  </si>
  <si>
    <r>
      <t>Lancement Illuminations</t>
    </r>
    <r>
      <rPr>
        <sz val="11"/>
        <color rgb="FF1F1F1F"/>
        <rFont val="Arial"/>
        <family val="2"/>
      </rPr>
      <t>.</t>
    </r>
  </si>
  <si>
    <t>Brunch Dimanche</t>
  </si>
  <si>
    <t>Business / Spa</t>
  </si>
  <si>
    <t>BRUNCH AMOUR</t>
  </si>
  <si>
    <t>SOIRÉE SPA</t>
  </si>
  <si>
    <t>Royal Hammamet</t>
  </si>
  <si>
    <t>Début de mois calme.</t>
  </si>
  <si>
    <r>
      <t>Buffet Terroir</t>
    </r>
    <r>
      <rPr>
        <sz val="11"/>
        <color rgb="FF1F1F1F"/>
        <rFont val="Arial"/>
        <family val="2"/>
      </rPr>
      <t>.</t>
    </r>
  </si>
  <si>
    <t>Lancement décorations.</t>
  </si>
  <si>
    <t>Logistique Fêtes.</t>
  </si>
  <si>
    <r>
      <t>Férié : Buffet Famille</t>
    </r>
    <r>
      <rPr>
        <sz val="11"/>
        <color rgb="FF1F1F1F"/>
        <rFont val="Arial"/>
        <family val="2"/>
      </rPr>
      <t>.</t>
    </r>
  </si>
  <si>
    <r>
      <t>Hôtel presque plein</t>
    </r>
    <r>
      <rPr>
        <sz val="11"/>
        <color rgb="FF1F1F1F"/>
        <rFont val="Arial"/>
        <family val="2"/>
      </rPr>
      <t>.</t>
    </r>
  </si>
  <si>
    <t>Enfants en séjour.</t>
  </si>
  <si>
    <t>Pâtisserie active.</t>
  </si>
  <si>
    <t>Mise en place Saint-S.</t>
  </si>
  <si>
    <t>Stockage record.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</si>
</sst>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Times New Roman"/>
      <family val="1"/>
    </font>
    <font>
      <b/>
      <sz val="10"/>
      <color rgb="FF002060"/>
      <name val="Times New Roman"/>
      <family val="1"/>
    </font>
    <font>
      <sz val="11"/>
      <color rgb="FF1F1F1F"/>
      <name val="Arial"/>
      <family val="2"/>
    </font>
    <font>
      <b/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4"/>
      <color rgb="FF002060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ptos Narrow"/>
      <family val="2"/>
      <scheme val="minor"/>
    </font>
    <font>
      <sz val="22"/>
      <color theme="0"/>
      <name val="Baguet Script"/>
    </font>
    <font>
      <b/>
      <sz val="12"/>
      <color theme="0"/>
      <name val="Times New Roman"/>
      <family val="1"/>
    </font>
    <font>
      <b/>
      <sz val="12"/>
      <color rgb="FF002060"/>
      <name val="Aptos Narrow"/>
      <family val="2"/>
      <scheme val="minor"/>
    </font>
    <font>
      <i/>
      <sz val="11"/>
      <color rgb="FF1F1F1F"/>
      <name val="Arial"/>
      <family val="2"/>
    </font>
    <font>
      <b/>
      <sz val="10"/>
      <color rgb="FFFF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/>
      <right/>
      <top/>
      <bottom style="double">
        <color theme="0"/>
      </bottom>
      <diagonal/>
    </border>
    <border>
      <left style="double">
        <color theme="0"/>
      </left>
      <right/>
      <top style="double">
        <color theme="0"/>
      </top>
      <bottom/>
      <diagonal/>
    </border>
    <border>
      <left style="double">
        <color theme="0"/>
      </left>
      <right/>
      <top style="double">
        <color theme="0"/>
      </top>
      <bottom style="double">
        <color theme="0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 style="double">
        <color rgb="FF002060"/>
      </left>
      <right/>
      <top style="double">
        <color rgb="FF002060"/>
      </top>
      <bottom style="double">
        <color rgb="FF00206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3" fillId="3" borderId="2" xfId="0" applyNumberFormat="1" applyFont="1" applyFill="1" applyBorder="1" applyAlignment="1">
      <alignment horizontal="left" vertical="center" wrapText="1" indent="3"/>
    </xf>
    <xf numFmtId="9" fontId="3" fillId="3" borderId="2" xfId="1" applyFont="1" applyFill="1" applyBorder="1" applyAlignment="1">
      <alignment horizontal="left" vertical="center" wrapText="1" indent="3"/>
    </xf>
    <xf numFmtId="2" fontId="3" fillId="3" borderId="2" xfId="0" applyNumberFormat="1" applyFont="1" applyFill="1" applyBorder="1" applyAlignment="1">
      <alignment horizontal="left" vertical="center" wrapText="1" indent="3"/>
    </xf>
    <xf numFmtId="1" fontId="3" fillId="3" borderId="2" xfId="0" applyNumberFormat="1" applyFont="1" applyFill="1" applyBorder="1" applyAlignment="1">
      <alignment horizontal="left" vertical="center" wrapText="1" indent="3"/>
    </xf>
    <xf numFmtId="1" fontId="3" fillId="3" borderId="2" xfId="0" applyNumberFormat="1" applyFont="1" applyFill="1" applyBorder="1" applyAlignment="1">
      <alignment horizontal="left" vertical="center" wrapText="1" indent="1"/>
    </xf>
    <xf numFmtId="2" fontId="0" fillId="0" borderId="0" xfId="0" applyNumberFormat="1"/>
    <xf numFmtId="0" fontId="0" fillId="3" borderId="0" xfId="0" applyFill="1"/>
    <xf numFmtId="0" fontId="5" fillId="4" borderId="4" xfId="0" applyFont="1" applyFill="1" applyBorder="1" applyAlignment="1">
      <alignment horizontal="left" indent="1"/>
    </xf>
    <xf numFmtId="0" fontId="5" fillId="4" borderId="5" xfId="0" applyFont="1" applyFill="1" applyBorder="1" applyAlignment="1">
      <alignment horizontal="left" indent="1"/>
    </xf>
    <xf numFmtId="0" fontId="7" fillId="4" borderId="6" xfId="0" applyFont="1" applyFill="1" applyBorder="1" applyAlignment="1">
      <alignment horizontal="left" indent="2"/>
    </xf>
    <xf numFmtId="0" fontId="8" fillId="5" borderId="7" xfId="0" applyFont="1" applyFill="1" applyBorder="1" applyAlignment="1">
      <alignment horizontal="left" indent="1"/>
    </xf>
    <xf numFmtId="3" fontId="8" fillId="5" borderId="7" xfId="0" applyNumberFormat="1" applyFont="1" applyFill="1" applyBorder="1" applyAlignment="1">
      <alignment horizontal="left" indent="1"/>
    </xf>
    <xf numFmtId="3" fontId="8" fillId="6" borderId="8" xfId="0" applyNumberFormat="1" applyFont="1" applyFill="1" applyBorder="1" applyAlignment="1">
      <alignment horizontal="left" indent="2"/>
    </xf>
    <xf numFmtId="3" fontId="9" fillId="7" borderId="5" xfId="0" applyNumberFormat="1" applyFont="1" applyFill="1" applyBorder="1" applyAlignment="1">
      <alignment horizontal="left" indent="1"/>
    </xf>
    <xf numFmtId="0" fontId="0" fillId="0" borderId="0" xfId="0" applyAlignment="1">
      <alignment horizontal="left"/>
    </xf>
    <xf numFmtId="0" fontId="10" fillId="3" borderId="0" xfId="0" applyFont="1" applyFill="1" applyAlignment="1">
      <alignment vertical="top"/>
    </xf>
    <xf numFmtId="14" fontId="3" fillId="3" borderId="2" xfId="0" applyNumberFormat="1" applyFont="1" applyFill="1" applyBorder="1" applyAlignment="1">
      <alignment vertical="center" wrapText="1"/>
    </xf>
    <xf numFmtId="14" fontId="3" fillId="3" borderId="2" xfId="0" applyNumberFormat="1" applyFont="1" applyFill="1" applyBorder="1" applyAlignment="1">
      <alignment horizontal="left" vertical="center" wrapText="1"/>
    </xf>
    <xf numFmtId="1" fontId="3" fillId="3" borderId="2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indent="1"/>
    </xf>
    <xf numFmtId="0" fontId="2" fillId="2" borderId="1" xfId="0" applyFont="1" applyFill="1" applyBorder="1" applyAlignment="1">
      <alignment horizontal="left" vertical="center" indent="2"/>
    </xf>
    <xf numFmtId="0" fontId="0" fillId="0" borderId="0" xfId="0" applyAlignment="1">
      <alignment horizontal="left" indent="2"/>
    </xf>
    <xf numFmtId="0" fontId="2" fillId="2" borderId="1" xfId="0" applyFont="1" applyFill="1" applyBorder="1" applyAlignment="1">
      <alignment horizontal="left" vertical="center" indent="3"/>
    </xf>
    <xf numFmtId="164" fontId="3" fillId="3" borderId="2" xfId="0" applyNumberFormat="1" applyFont="1" applyFill="1" applyBorder="1" applyAlignment="1">
      <alignment horizontal="left" vertical="center" wrapText="1" indent="3"/>
    </xf>
    <xf numFmtId="0" fontId="0" fillId="0" borderId="0" xfId="0" applyAlignment="1">
      <alignment horizontal="left" indent="3"/>
    </xf>
    <xf numFmtId="0" fontId="0" fillId="0" borderId="0" xfId="0" applyAlignment="1">
      <alignment horizontal="center"/>
    </xf>
    <xf numFmtId="0" fontId="0" fillId="9" borderId="0" xfId="0" applyFill="1"/>
    <xf numFmtId="0" fontId="2" fillId="2" borderId="1" xfId="0" applyFont="1" applyFill="1" applyBorder="1" applyAlignment="1">
      <alignment vertical="center"/>
    </xf>
    <xf numFmtId="164" fontId="2" fillId="8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9" fontId="2" fillId="2" borderId="1" xfId="1" applyFont="1" applyFill="1" applyBorder="1" applyAlignment="1">
      <alignment horizontal="center" vertical="center"/>
    </xf>
    <xf numFmtId="9" fontId="0" fillId="0" borderId="0" xfId="1" applyFont="1"/>
    <xf numFmtId="9" fontId="3" fillId="3" borderId="2" xfId="1" applyFont="1" applyFill="1" applyBorder="1" applyAlignment="1">
      <alignment horizontal="center" vertical="center" wrapText="1"/>
    </xf>
    <xf numFmtId="9" fontId="0" fillId="0" borderId="0" xfId="1" applyFont="1" applyAlignment="1">
      <alignment horizontal="center"/>
    </xf>
    <xf numFmtId="2" fontId="2" fillId="2" borderId="1" xfId="0" applyNumberFormat="1" applyFont="1" applyFill="1" applyBorder="1" applyAlignment="1">
      <alignment horizontal="center" vertical="center" wrapText="1"/>
    </xf>
    <xf numFmtId="2" fontId="3" fillId="3" borderId="2" xfId="1" applyNumberFormat="1" applyFont="1" applyFill="1" applyBorder="1" applyAlignment="1">
      <alignment horizontal="left" vertical="center" wrapText="1" indent="3"/>
    </xf>
    <xf numFmtId="164" fontId="2" fillId="2" borderId="1" xfId="0" applyNumberFormat="1" applyFont="1" applyFill="1" applyBorder="1" applyAlignment="1">
      <alignment horizontal="center" vertical="center" wrapText="1"/>
    </xf>
    <xf numFmtId="164" fontId="3" fillId="3" borderId="2" xfId="1" applyNumberFormat="1" applyFont="1" applyFill="1" applyBorder="1" applyAlignment="1">
      <alignment horizontal="left" vertical="center" wrapText="1" indent="3"/>
    </xf>
    <xf numFmtId="1" fontId="3" fillId="3" borderId="2" xfId="1" applyNumberFormat="1" applyFont="1" applyFill="1" applyBorder="1" applyAlignment="1">
      <alignment horizontal="left" vertical="center" wrapText="1" indent="3"/>
    </xf>
    <xf numFmtId="1" fontId="0" fillId="0" borderId="0" xfId="0" applyNumberFormat="1"/>
    <xf numFmtId="1" fontId="2" fillId="8" borderId="1" xfId="0" applyNumberFormat="1" applyFont="1" applyFill="1" applyBorder="1" applyAlignment="1">
      <alignment horizontal="center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2" fontId="3" fillId="3" borderId="2" xfId="1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3" fillId="3" borderId="2" xfId="0" applyNumberFormat="1" applyFont="1" applyFill="1" applyBorder="1" applyAlignment="1">
      <alignment horizontal="left" vertical="center" wrapText="1" indent="2"/>
    </xf>
    <xf numFmtId="14" fontId="17" fillId="3" borderId="2" xfId="0" applyNumberFormat="1" applyFont="1" applyFill="1" applyBorder="1" applyAlignment="1">
      <alignment horizontal="left" vertical="center" wrapText="1" indent="3"/>
    </xf>
    <xf numFmtId="0" fontId="8" fillId="5" borderId="9" xfId="0" applyFont="1" applyFill="1" applyBorder="1" applyAlignment="1">
      <alignment horizontal="left" indent="1"/>
    </xf>
    <xf numFmtId="0" fontId="8" fillId="5" borderId="10" xfId="0" applyFont="1" applyFill="1" applyBorder="1" applyAlignment="1">
      <alignment horizontal="left" indent="1"/>
    </xf>
    <xf numFmtId="0" fontId="8" fillId="5" borderId="11" xfId="0" applyFont="1" applyFill="1" applyBorder="1" applyAlignment="1">
      <alignment horizontal="left" indent="1"/>
    </xf>
    <xf numFmtId="0" fontId="15" fillId="10" borderId="9" xfId="0" applyFont="1" applyFill="1" applyBorder="1" applyAlignment="1">
      <alignment horizontal="left" indent="1"/>
    </xf>
    <xf numFmtId="0" fontId="15" fillId="10" borderId="10" xfId="0" applyFont="1" applyFill="1" applyBorder="1" applyAlignment="1">
      <alignment horizontal="left" indent="1"/>
    </xf>
    <xf numFmtId="0" fontId="15" fillId="10" borderId="11" xfId="0" applyFont="1" applyFill="1" applyBorder="1" applyAlignment="1">
      <alignment horizontal="left" indent="1"/>
    </xf>
    <xf numFmtId="0" fontId="13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15240</xdr:colOff>
      <xdr:row>14</xdr:row>
      <xdr:rowOff>60960</xdr:rowOff>
    </xdr:from>
    <xdr:to>
      <xdr:col>24</xdr:col>
      <xdr:colOff>404443</xdr:colOff>
      <xdr:row>25</xdr:row>
      <xdr:rowOff>162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CCF31D6-6E79-94D6-39A3-C0B156EE9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02440" y="2766060"/>
          <a:ext cx="6729043" cy="18670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1455F-9C5D-43DE-AABB-558BA2907897}">
  <dimension ref="A1:S35"/>
  <sheetViews>
    <sheetView workbookViewId="0">
      <pane ySplit="5" topLeftCell="A6" activePane="bottomLeft" state="frozen"/>
      <selection pane="bottomLeft" activeCell="L22" sqref="L22"/>
    </sheetView>
  </sheetViews>
  <sheetFormatPr baseColWidth="10" defaultRowHeight="14.4" x14ac:dyDescent="0.3"/>
  <cols>
    <col min="1" max="1" width="4.109375" customWidth="1"/>
    <col min="19" max="19" width="11.5546875" style="9"/>
  </cols>
  <sheetData>
    <row r="1" spans="1:18" x14ac:dyDescent="0.3">
      <c r="A1" s="59" t="s">
        <v>673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8" x14ac:dyDescent="0.3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</row>
    <row r="3" spans="1:18" x14ac:dyDescent="0.3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</row>
    <row r="4" spans="1:18" x14ac:dyDescent="0.3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1:18" ht="21" customHeight="1" x14ac:dyDescent="0.3">
      <c r="A5" s="33"/>
      <c r="B5" s="60" t="s">
        <v>674</v>
      </c>
      <c r="C5" s="60"/>
      <c r="D5" s="60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ht="15.6" x14ac:dyDescent="0.3">
      <c r="A6" s="33"/>
      <c r="B6" s="56" t="s">
        <v>675</v>
      </c>
      <c r="C6" s="57"/>
      <c r="D6" s="58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</row>
    <row r="7" spans="1:18" ht="15.6" x14ac:dyDescent="0.3">
      <c r="A7" s="33"/>
      <c r="B7" s="56" t="s">
        <v>676</v>
      </c>
      <c r="C7" s="57"/>
      <c r="D7" s="58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</row>
    <row r="8" spans="1:18" ht="15.6" x14ac:dyDescent="0.3">
      <c r="A8" s="33"/>
      <c r="B8" s="56" t="s">
        <v>671</v>
      </c>
      <c r="C8" s="57"/>
      <c r="D8" s="58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</row>
    <row r="9" spans="1:18" ht="15.6" x14ac:dyDescent="0.3">
      <c r="A9" s="33"/>
      <c r="B9" s="56" t="s">
        <v>677</v>
      </c>
      <c r="C9" s="57"/>
      <c r="D9" s="58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</row>
    <row r="10" spans="1:18" ht="15.6" x14ac:dyDescent="0.3">
      <c r="A10" s="33"/>
      <c r="B10" s="56" t="s">
        <v>678</v>
      </c>
      <c r="C10" s="57"/>
      <c r="D10" s="58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</row>
    <row r="11" spans="1:18" ht="15.6" x14ac:dyDescent="0.3">
      <c r="A11" s="33"/>
      <c r="B11" s="56" t="s">
        <v>679</v>
      </c>
      <c r="C11" s="57"/>
      <c r="D11" s="58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</row>
    <row r="12" spans="1:18" ht="15.6" x14ac:dyDescent="0.3">
      <c r="A12" s="33"/>
      <c r="B12" s="56" t="s">
        <v>680</v>
      </c>
      <c r="C12" s="57"/>
      <c r="D12" s="58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</row>
    <row r="13" spans="1:18" x14ac:dyDescent="0.3">
      <c r="A13" s="33"/>
      <c r="B13" s="53" t="s">
        <v>681</v>
      </c>
      <c r="C13" s="54"/>
      <c r="D13" s="55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</row>
    <row r="14" spans="1:18" x14ac:dyDescent="0.3">
      <c r="A14" s="33"/>
      <c r="B14" s="53" t="s">
        <v>682</v>
      </c>
      <c r="C14" s="54"/>
      <c r="D14" s="55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</row>
    <row r="15" spans="1:18" x14ac:dyDescent="0.3">
      <c r="A15" s="33"/>
      <c r="B15" s="53" t="s">
        <v>683</v>
      </c>
      <c r="C15" s="54"/>
      <c r="D15" s="55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</row>
    <row r="16" spans="1:18" x14ac:dyDescent="0.3">
      <c r="A16" s="33"/>
      <c r="B16" s="53" t="s">
        <v>684</v>
      </c>
      <c r="C16" s="54"/>
      <c r="D16" s="55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</row>
    <row r="17" spans="1:18" x14ac:dyDescent="0.3">
      <c r="A17" s="33"/>
      <c r="B17" s="53" t="s">
        <v>685</v>
      </c>
      <c r="C17" s="54"/>
      <c r="D17" s="55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</row>
    <row r="18" spans="1:18" x14ac:dyDescent="0.3">
      <c r="A18" s="33"/>
      <c r="B18" s="53" t="s">
        <v>686</v>
      </c>
      <c r="C18" s="54"/>
      <c r="D18" s="55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</row>
    <row r="19" spans="1:18" x14ac:dyDescent="0.3">
      <c r="A19" s="33"/>
      <c r="B19" s="53" t="s">
        <v>687</v>
      </c>
      <c r="C19" s="54"/>
      <c r="D19" s="55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</row>
    <row r="20" spans="1:18" x14ac:dyDescent="0.3">
      <c r="A20" s="33"/>
      <c r="B20" s="53" t="s">
        <v>688</v>
      </c>
      <c r="C20" s="54"/>
      <c r="D20" s="55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</row>
    <row r="21" spans="1:18" x14ac:dyDescent="0.3">
      <c r="A21" s="33"/>
      <c r="B21" s="53" t="s">
        <v>689</v>
      </c>
      <c r="C21" s="54"/>
      <c r="D21" s="55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</row>
    <row r="22" spans="1:18" x14ac:dyDescent="0.3">
      <c r="A22" s="33"/>
      <c r="B22" s="53" t="s">
        <v>690</v>
      </c>
      <c r="C22" s="54"/>
      <c r="D22" s="55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</row>
    <row r="23" spans="1:18" x14ac:dyDescent="0.3">
      <c r="A23" s="33"/>
      <c r="B23" s="53" t="s">
        <v>691</v>
      </c>
      <c r="C23" s="54"/>
      <c r="D23" s="55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</row>
    <row r="24" spans="1:18" x14ac:dyDescent="0.3">
      <c r="A24" s="33"/>
      <c r="B24" s="53" t="s">
        <v>692</v>
      </c>
      <c r="C24" s="54"/>
      <c r="D24" s="55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</row>
    <row r="25" spans="1:18" x14ac:dyDescent="0.3">
      <c r="A25" s="33"/>
      <c r="B25" s="53" t="s">
        <v>693</v>
      </c>
      <c r="C25" s="54"/>
      <c r="D25" s="55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</row>
    <row r="26" spans="1:18" x14ac:dyDescent="0.3">
      <c r="A26" s="33"/>
      <c r="B26" s="53" t="s">
        <v>694</v>
      </c>
      <c r="C26" s="54"/>
      <c r="D26" s="55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</row>
    <row r="27" spans="1:18" x14ac:dyDescent="0.3">
      <c r="A27" s="33"/>
      <c r="B27" s="53" t="s">
        <v>695</v>
      </c>
      <c r="C27" s="54"/>
      <c r="D27" s="55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</row>
    <row r="28" spans="1:18" x14ac:dyDescent="0.3">
      <c r="A28" s="33"/>
      <c r="B28" s="53" t="s">
        <v>696</v>
      </c>
      <c r="C28" s="54"/>
      <c r="D28" s="55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</row>
    <row r="29" spans="1:18" x14ac:dyDescent="0.3">
      <c r="A29" s="33"/>
      <c r="B29" s="53" t="s">
        <v>697</v>
      </c>
      <c r="C29" s="54"/>
      <c r="D29" s="55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</row>
    <row r="30" spans="1:18" x14ac:dyDescent="0.3">
      <c r="A30" s="33"/>
      <c r="B30" s="53" t="s">
        <v>698</v>
      </c>
      <c r="C30" s="54"/>
      <c r="D30" s="55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</row>
    <row r="31" spans="1:18" x14ac:dyDescent="0.3">
      <c r="A31" s="33"/>
      <c r="B31" s="53" t="s">
        <v>699</v>
      </c>
      <c r="C31" s="54"/>
      <c r="D31" s="55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</row>
    <row r="32" spans="1:18" x14ac:dyDescent="0.3">
      <c r="A32" s="33"/>
      <c r="B32" s="53" t="s">
        <v>700</v>
      </c>
      <c r="C32" s="54"/>
      <c r="D32" s="55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</row>
    <row r="33" spans="1:18" x14ac:dyDescent="0.3">
      <c r="A33" s="33"/>
      <c r="B33" s="53" t="s">
        <v>701</v>
      </c>
      <c r="C33" s="54"/>
      <c r="D33" s="55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</row>
    <row r="34" spans="1:18" x14ac:dyDescent="0.3">
      <c r="A34" s="33"/>
      <c r="B34" s="53" t="s">
        <v>702</v>
      </c>
      <c r="C34" s="54"/>
      <c r="D34" s="55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  <row r="35" spans="1:18" x14ac:dyDescent="0.3">
      <c r="A35" s="33"/>
      <c r="B35" s="53" t="s">
        <v>703</v>
      </c>
      <c r="C35" s="54"/>
      <c r="D35" s="55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</row>
  </sheetData>
  <mergeCells count="32">
    <mergeCell ref="B9:D9"/>
    <mergeCell ref="A1:R3"/>
    <mergeCell ref="B5:D5"/>
    <mergeCell ref="B6:D6"/>
    <mergeCell ref="B7:D7"/>
    <mergeCell ref="B8:D8"/>
    <mergeCell ref="B21:D21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7:D27"/>
    <mergeCell ref="B28:D28"/>
    <mergeCell ref="B29:D29"/>
    <mergeCell ref="B30:D30"/>
    <mergeCell ref="B22:D22"/>
    <mergeCell ref="B23:D23"/>
    <mergeCell ref="B24:D24"/>
    <mergeCell ref="B25:D25"/>
    <mergeCell ref="B26:D26"/>
    <mergeCell ref="B31:D31"/>
    <mergeCell ref="B32:D32"/>
    <mergeCell ref="B33:D33"/>
    <mergeCell ref="B34:D34"/>
    <mergeCell ref="B35:D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8C307-8325-4EF2-906E-AED57A8029AE}">
  <dimension ref="A1:P365"/>
  <sheetViews>
    <sheetView topLeftCell="F1" workbookViewId="0">
      <selection activeCell="K23" sqref="K23"/>
    </sheetView>
  </sheetViews>
  <sheetFormatPr baseColWidth="10" defaultRowHeight="14.4" x14ac:dyDescent="0.3"/>
  <cols>
    <col min="1" max="1" width="14.109375" customWidth="1"/>
    <col min="2" max="2" width="16" customWidth="1"/>
    <col min="3" max="3" width="10" customWidth="1"/>
    <col min="4" max="4" width="15.44140625" customWidth="1"/>
    <col min="6" max="6" width="13.88671875" style="8" customWidth="1"/>
    <col min="7" max="8" width="14.21875" customWidth="1"/>
    <col min="9" max="9" width="12.21875" customWidth="1"/>
    <col min="10" max="10" width="52.5546875" customWidth="1"/>
    <col min="11" max="11" width="11.5546875" style="17"/>
    <col min="14" max="14" width="13.33203125" customWidth="1"/>
  </cols>
  <sheetData>
    <row r="1" spans="1:16" ht="33" customHeight="1" thickBot="1" x14ac:dyDescent="0.35">
      <c r="A1" s="1" t="s">
        <v>333</v>
      </c>
      <c r="B1" s="1" t="s">
        <v>670</v>
      </c>
      <c r="C1" s="1" t="s">
        <v>0</v>
      </c>
      <c r="D1" s="1" t="s">
        <v>1</v>
      </c>
      <c r="E1" s="1" t="s">
        <v>2</v>
      </c>
      <c r="F1" s="2" t="s">
        <v>3</v>
      </c>
      <c r="G1" s="23" t="s">
        <v>359</v>
      </c>
      <c r="H1" s="23" t="s">
        <v>360</v>
      </c>
      <c r="I1" s="23" t="s">
        <v>361</v>
      </c>
      <c r="J1" s="1" t="s">
        <v>4</v>
      </c>
      <c r="K1">
        <f>RSQ(I:I,E:E)</f>
        <v>0.81403771774352496</v>
      </c>
      <c r="L1" s="61" t="s">
        <v>309</v>
      </c>
      <c r="M1" s="61"/>
      <c r="N1" s="61"/>
      <c r="O1" s="9"/>
      <c r="P1" s="9"/>
    </row>
    <row r="2" spans="1:16" ht="13.95" customHeight="1" thickTop="1" thickBot="1" x14ac:dyDescent="0.35">
      <c r="A2" s="3">
        <v>45658</v>
      </c>
      <c r="B2" s="3" t="s">
        <v>672</v>
      </c>
      <c r="C2" s="3" t="s">
        <v>5</v>
      </c>
      <c r="D2" s="3" t="s">
        <v>6</v>
      </c>
      <c r="E2" s="4">
        <v>0.85</v>
      </c>
      <c r="F2" s="5">
        <v>2.4500000000000002</v>
      </c>
      <c r="G2" s="6">
        <v>305</v>
      </c>
      <c r="H2" s="30">
        <v>2.1</v>
      </c>
      <c r="I2" s="21">
        <f>(284*E2)*F2*H2</f>
        <v>1242.0030000000002</v>
      </c>
      <c r="J2" s="7" t="s">
        <v>7</v>
      </c>
      <c r="K2" s="17">
        <f>MONTH(A2)</f>
        <v>1</v>
      </c>
      <c r="L2" s="10" t="s">
        <v>310</v>
      </c>
      <c r="M2" s="11" t="s">
        <v>311</v>
      </c>
      <c r="N2" s="12" t="s">
        <v>312</v>
      </c>
      <c r="O2">
        <v>1</v>
      </c>
      <c r="P2" t="s">
        <v>313</v>
      </c>
    </row>
    <row r="3" spans="1:16" ht="13.95" customHeight="1" thickTop="1" thickBot="1" x14ac:dyDescent="0.35">
      <c r="A3" s="3">
        <v>45659</v>
      </c>
      <c r="B3" s="3" t="s">
        <v>672</v>
      </c>
      <c r="C3" s="3" t="s">
        <v>8</v>
      </c>
      <c r="D3" s="3" t="s">
        <v>9</v>
      </c>
      <c r="E3" s="4">
        <v>0.65</v>
      </c>
      <c r="F3" s="5">
        <v>1.85</v>
      </c>
      <c r="G3" s="6">
        <v>305</v>
      </c>
      <c r="H3" s="30">
        <v>2.1</v>
      </c>
      <c r="I3" s="21">
        <f t="shared" ref="I3:I66" si="0">(284*E3)*F3*H3</f>
        <v>717.17100000000005</v>
      </c>
      <c r="J3" s="7" t="s">
        <v>10</v>
      </c>
      <c r="K3" s="17">
        <f t="shared" ref="K3:K66" si="1">MONTH(A3)</f>
        <v>1</v>
      </c>
      <c r="L3" s="13" t="s">
        <v>313</v>
      </c>
      <c r="M3" s="14">
        <f>SUMIFS(I:I,K:K,O2)</f>
        <v>20496.120960000004</v>
      </c>
      <c r="N3" s="15">
        <f>M3*0.054</f>
        <v>1106.7905318400001</v>
      </c>
      <c r="O3">
        <v>2</v>
      </c>
      <c r="P3" t="s">
        <v>314</v>
      </c>
    </row>
    <row r="4" spans="1:16" ht="13.95" customHeight="1" thickTop="1" thickBot="1" x14ac:dyDescent="0.35">
      <c r="A4" s="3">
        <v>45660</v>
      </c>
      <c r="B4" s="3" t="s">
        <v>672</v>
      </c>
      <c r="C4" s="3" t="s">
        <v>11</v>
      </c>
      <c r="D4" s="3" t="s">
        <v>9</v>
      </c>
      <c r="E4" s="4">
        <v>0.6</v>
      </c>
      <c r="F4" s="5">
        <v>1.9</v>
      </c>
      <c r="G4" s="6">
        <v>305</v>
      </c>
      <c r="H4" s="30">
        <v>2.1</v>
      </c>
      <c r="I4" s="21">
        <f t="shared" si="0"/>
        <v>679.89599999999996</v>
      </c>
      <c r="J4" s="7" t="s">
        <v>12</v>
      </c>
      <c r="K4" s="17">
        <f t="shared" si="1"/>
        <v>1</v>
      </c>
      <c r="L4" s="13" t="s">
        <v>314</v>
      </c>
      <c r="M4" s="14">
        <f t="shared" ref="M4:M13" si="2">SUMIFS(I:I,K:K,O3)</f>
        <v>20905.847760000004</v>
      </c>
      <c r="N4" s="15">
        <f t="shared" ref="N4:N14" si="3">M4*0.054</f>
        <v>1128.9157790400002</v>
      </c>
      <c r="O4">
        <v>3</v>
      </c>
      <c r="P4" t="s">
        <v>315</v>
      </c>
    </row>
    <row r="5" spans="1:16" ht="13.95" customHeight="1" thickTop="1" thickBot="1" x14ac:dyDescent="0.35">
      <c r="A5" s="3">
        <v>45661</v>
      </c>
      <c r="B5" s="3" t="s">
        <v>672</v>
      </c>
      <c r="C5" s="3" t="s">
        <v>13</v>
      </c>
      <c r="D5" s="3" t="s">
        <v>14</v>
      </c>
      <c r="E5" s="4">
        <v>0.75</v>
      </c>
      <c r="F5" s="5">
        <v>2.2000000000000002</v>
      </c>
      <c r="G5" s="6">
        <v>305</v>
      </c>
      <c r="H5" s="30">
        <v>2.1</v>
      </c>
      <c r="I5" s="21">
        <f t="shared" si="0"/>
        <v>984.06000000000006</v>
      </c>
      <c r="J5" s="7" t="s">
        <v>15</v>
      </c>
      <c r="K5" s="17">
        <f t="shared" si="1"/>
        <v>1</v>
      </c>
      <c r="L5" s="13" t="s">
        <v>315</v>
      </c>
      <c r="M5" s="14">
        <f t="shared" si="2"/>
        <v>10784.16444</v>
      </c>
      <c r="N5" s="15">
        <f t="shared" si="3"/>
        <v>582.34487976000003</v>
      </c>
      <c r="O5">
        <v>4</v>
      </c>
      <c r="P5" t="s">
        <v>316</v>
      </c>
    </row>
    <row r="6" spans="1:16" ht="13.95" customHeight="1" thickTop="1" thickBot="1" x14ac:dyDescent="0.35">
      <c r="A6" s="3">
        <v>45662</v>
      </c>
      <c r="B6" s="3" t="s">
        <v>672</v>
      </c>
      <c r="C6" s="3" t="s">
        <v>16</v>
      </c>
      <c r="D6" s="3" t="s">
        <v>14</v>
      </c>
      <c r="E6" s="4">
        <v>0.7</v>
      </c>
      <c r="F6" s="5">
        <v>2.15</v>
      </c>
      <c r="G6" s="6">
        <v>305</v>
      </c>
      <c r="H6" s="30">
        <v>2.1</v>
      </c>
      <c r="I6" s="21">
        <f t="shared" si="0"/>
        <v>897.58199999999999</v>
      </c>
      <c r="J6" s="7" t="s">
        <v>17</v>
      </c>
      <c r="K6" s="17">
        <f t="shared" si="1"/>
        <v>1</v>
      </c>
      <c r="L6" s="13" t="s">
        <v>316</v>
      </c>
      <c r="M6" s="14">
        <f t="shared" si="2"/>
        <v>22137.652320000001</v>
      </c>
      <c r="N6" s="15">
        <f t="shared" si="3"/>
        <v>1195.43322528</v>
      </c>
      <c r="O6">
        <v>5</v>
      </c>
      <c r="P6" t="s">
        <v>317</v>
      </c>
    </row>
    <row r="7" spans="1:16" ht="13.95" customHeight="1" thickTop="1" thickBot="1" x14ac:dyDescent="0.35">
      <c r="A7" s="3">
        <v>45663</v>
      </c>
      <c r="B7" s="3" t="s">
        <v>672</v>
      </c>
      <c r="C7" s="3" t="s">
        <v>18</v>
      </c>
      <c r="D7" s="3" t="s">
        <v>9</v>
      </c>
      <c r="E7" s="4">
        <v>0.5</v>
      </c>
      <c r="F7" s="5">
        <v>1.75</v>
      </c>
      <c r="G7" s="6">
        <v>305</v>
      </c>
      <c r="H7" s="30">
        <v>2.1</v>
      </c>
      <c r="I7" s="21">
        <f t="shared" si="0"/>
        <v>521.85</v>
      </c>
      <c r="J7" s="7" t="s">
        <v>19</v>
      </c>
      <c r="K7" s="17">
        <f t="shared" si="1"/>
        <v>1</v>
      </c>
      <c r="L7" s="13" t="s">
        <v>317</v>
      </c>
      <c r="M7" s="14">
        <f t="shared" si="2"/>
        <v>22334.643239999998</v>
      </c>
      <c r="N7" s="15">
        <f t="shared" si="3"/>
        <v>1206.0707349599998</v>
      </c>
      <c r="O7">
        <v>6</v>
      </c>
      <c r="P7" t="s">
        <v>318</v>
      </c>
    </row>
    <row r="8" spans="1:16" ht="13.95" customHeight="1" thickTop="1" thickBot="1" x14ac:dyDescent="0.35">
      <c r="A8" s="3">
        <v>45664</v>
      </c>
      <c r="B8" s="3" t="s">
        <v>672</v>
      </c>
      <c r="C8" s="3" t="s">
        <v>20</v>
      </c>
      <c r="D8" s="3" t="s">
        <v>9</v>
      </c>
      <c r="E8" s="4">
        <v>0.48</v>
      </c>
      <c r="F8" s="5">
        <v>1.8</v>
      </c>
      <c r="G8" s="6">
        <v>305</v>
      </c>
      <c r="H8" s="30">
        <v>2.1</v>
      </c>
      <c r="I8" s="21">
        <f t="shared" si="0"/>
        <v>515.28960000000006</v>
      </c>
      <c r="J8" s="7" t="s">
        <v>21</v>
      </c>
      <c r="K8" s="17">
        <f t="shared" si="1"/>
        <v>1</v>
      </c>
      <c r="L8" s="13" t="s">
        <v>318</v>
      </c>
      <c r="M8" s="14">
        <f t="shared" si="2"/>
        <v>27410.484360000002</v>
      </c>
      <c r="N8" s="15">
        <f t="shared" si="3"/>
        <v>1480.16615544</v>
      </c>
      <c r="O8">
        <v>7</v>
      </c>
      <c r="P8" t="s">
        <v>319</v>
      </c>
    </row>
    <row r="9" spans="1:16" ht="13.95" customHeight="1" thickTop="1" thickBot="1" x14ac:dyDescent="0.35">
      <c r="A9" s="3">
        <v>45665</v>
      </c>
      <c r="B9" s="3" t="s">
        <v>672</v>
      </c>
      <c r="C9" s="3" t="s">
        <v>5</v>
      </c>
      <c r="D9" s="3" t="s">
        <v>9</v>
      </c>
      <c r="E9" s="4">
        <v>0.52</v>
      </c>
      <c r="F9" s="5">
        <v>1.7</v>
      </c>
      <c r="G9" s="6">
        <v>305</v>
      </c>
      <c r="H9" s="30">
        <v>2.1</v>
      </c>
      <c r="I9" s="21">
        <f t="shared" si="0"/>
        <v>527.21760000000006</v>
      </c>
      <c r="J9" s="7" t="s">
        <v>22</v>
      </c>
      <c r="K9" s="17">
        <f t="shared" si="1"/>
        <v>1</v>
      </c>
      <c r="L9" s="13" t="s">
        <v>319</v>
      </c>
      <c r="M9" s="14">
        <f t="shared" si="2"/>
        <v>36187.166399999995</v>
      </c>
      <c r="N9" s="15">
        <f t="shared" si="3"/>
        <v>1954.1069855999997</v>
      </c>
      <c r="O9">
        <v>8</v>
      </c>
      <c r="P9" t="s">
        <v>320</v>
      </c>
    </row>
    <row r="10" spans="1:16" ht="13.95" customHeight="1" thickTop="1" thickBot="1" x14ac:dyDescent="0.35">
      <c r="A10" s="3">
        <v>45666</v>
      </c>
      <c r="B10" s="3" t="s">
        <v>672</v>
      </c>
      <c r="C10" s="3" t="s">
        <v>8</v>
      </c>
      <c r="D10" s="3" t="s">
        <v>9</v>
      </c>
      <c r="E10" s="4">
        <v>0.55000000000000004</v>
      </c>
      <c r="F10" s="5">
        <v>1.82</v>
      </c>
      <c r="G10" s="6">
        <v>305</v>
      </c>
      <c r="H10" s="30">
        <v>2.1</v>
      </c>
      <c r="I10" s="21">
        <f t="shared" si="0"/>
        <v>596.99640000000011</v>
      </c>
      <c r="J10" s="7" t="s">
        <v>23</v>
      </c>
      <c r="K10" s="17">
        <f t="shared" si="1"/>
        <v>1</v>
      </c>
      <c r="L10" s="13" t="s">
        <v>320</v>
      </c>
      <c r="M10" s="14">
        <f t="shared" si="2"/>
        <v>38507.63951999999</v>
      </c>
      <c r="N10" s="15">
        <f t="shared" si="3"/>
        <v>2079.4125340799992</v>
      </c>
      <c r="O10">
        <v>9</v>
      </c>
      <c r="P10" t="s">
        <v>321</v>
      </c>
    </row>
    <row r="11" spans="1:16" ht="13.95" customHeight="1" thickTop="1" thickBot="1" x14ac:dyDescent="0.35">
      <c r="A11" s="3">
        <v>45667</v>
      </c>
      <c r="B11" s="3" t="s">
        <v>672</v>
      </c>
      <c r="C11" s="3" t="s">
        <v>11</v>
      </c>
      <c r="D11" s="3" t="s">
        <v>9</v>
      </c>
      <c r="E11" s="4">
        <v>0.57999999999999996</v>
      </c>
      <c r="F11" s="5">
        <v>1.88</v>
      </c>
      <c r="G11" s="6">
        <v>305</v>
      </c>
      <c r="H11" s="30">
        <v>2.1</v>
      </c>
      <c r="I11" s="21">
        <f t="shared" si="0"/>
        <v>650.31455999999991</v>
      </c>
      <c r="J11" s="7" t="s">
        <v>24</v>
      </c>
      <c r="K11" s="17">
        <f t="shared" si="1"/>
        <v>1</v>
      </c>
      <c r="L11" s="13" t="s">
        <v>321</v>
      </c>
      <c r="M11" s="14">
        <f t="shared" si="2"/>
        <v>22883.068824000005</v>
      </c>
      <c r="N11" s="15">
        <f t="shared" si="3"/>
        <v>1235.6857164960002</v>
      </c>
      <c r="O11">
        <v>10</v>
      </c>
      <c r="P11" t="s">
        <v>322</v>
      </c>
    </row>
    <row r="12" spans="1:16" ht="13.95" customHeight="1" thickTop="1" thickBot="1" x14ac:dyDescent="0.35">
      <c r="A12" s="3">
        <v>45668</v>
      </c>
      <c r="B12" s="3" t="s">
        <v>672</v>
      </c>
      <c r="C12" s="3" t="s">
        <v>13</v>
      </c>
      <c r="D12" s="3" t="s">
        <v>14</v>
      </c>
      <c r="E12" s="4">
        <v>0.72</v>
      </c>
      <c r="F12" s="5">
        <v>2.25</v>
      </c>
      <c r="G12" s="6">
        <v>305</v>
      </c>
      <c r="H12" s="30">
        <v>2.1</v>
      </c>
      <c r="I12" s="21">
        <f t="shared" si="0"/>
        <v>966.16800000000001</v>
      </c>
      <c r="J12" s="7" t="s">
        <v>25</v>
      </c>
      <c r="K12" s="17">
        <f t="shared" si="1"/>
        <v>1</v>
      </c>
      <c r="L12" s="13" t="s">
        <v>322</v>
      </c>
      <c r="M12" s="14">
        <f t="shared" si="2"/>
        <v>26226.212880000006</v>
      </c>
      <c r="N12" s="15">
        <f t="shared" si="3"/>
        <v>1416.2154955200003</v>
      </c>
      <c r="O12">
        <v>11</v>
      </c>
      <c r="P12" t="s">
        <v>323</v>
      </c>
    </row>
    <row r="13" spans="1:16" ht="13.95" customHeight="1" thickTop="1" thickBot="1" x14ac:dyDescent="0.35">
      <c r="A13" s="3">
        <v>45669</v>
      </c>
      <c r="B13" s="3" t="s">
        <v>672</v>
      </c>
      <c r="C13" s="3" t="s">
        <v>16</v>
      </c>
      <c r="D13" s="3" t="s">
        <v>14</v>
      </c>
      <c r="E13" s="4">
        <v>0.68</v>
      </c>
      <c r="F13" s="5">
        <v>2.1800000000000002</v>
      </c>
      <c r="G13" s="6">
        <v>305</v>
      </c>
      <c r="H13" s="30">
        <v>2.1</v>
      </c>
      <c r="I13" s="21">
        <f t="shared" si="0"/>
        <v>884.10336000000018</v>
      </c>
      <c r="J13" s="7" t="s">
        <v>26</v>
      </c>
      <c r="K13" s="17">
        <f t="shared" si="1"/>
        <v>1</v>
      </c>
      <c r="L13" s="13" t="s">
        <v>323</v>
      </c>
      <c r="M13" s="14">
        <f t="shared" si="2"/>
        <v>19020.448440000004</v>
      </c>
      <c r="N13" s="15">
        <f t="shared" si="3"/>
        <v>1027.1042157600002</v>
      </c>
      <c r="O13">
        <v>12</v>
      </c>
      <c r="P13" t="s">
        <v>324</v>
      </c>
    </row>
    <row r="14" spans="1:16" ht="13.95" customHeight="1" thickTop="1" thickBot="1" x14ac:dyDescent="0.35">
      <c r="A14" s="3">
        <v>45670</v>
      </c>
      <c r="B14" s="3" t="s">
        <v>672</v>
      </c>
      <c r="C14" s="3" t="s">
        <v>18</v>
      </c>
      <c r="D14" s="3" t="s">
        <v>9</v>
      </c>
      <c r="E14" s="4">
        <v>0.45</v>
      </c>
      <c r="F14" s="5">
        <v>1.72</v>
      </c>
      <c r="G14" s="6">
        <v>305</v>
      </c>
      <c r="H14" s="30">
        <v>2.1</v>
      </c>
      <c r="I14" s="21">
        <f t="shared" si="0"/>
        <v>461.61360000000002</v>
      </c>
      <c r="J14" s="7" t="s">
        <v>27</v>
      </c>
      <c r="K14" s="17">
        <f t="shared" si="1"/>
        <v>1</v>
      </c>
      <c r="L14" s="13" t="s">
        <v>324</v>
      </c>
      <c r="M14" s="14">
        <f>SUMIFS(I:I,K:K,O13)</f>
        <v>23510.207279999999</v>
      </c>
      <c r="N14" s="15">
        <f t="shared" si="3"/>
        <v>1269.5511931199999</v>
      </c>
      <c r="O14" s="9"/>
      <c r="P14" s="9"/>
    </row>
    <row r="15" spans="1:16" ht="17.399999999999999" customHeight="1" thickTop="1" thickBot="1" x14ac:dyDescent="0.4">
      <c r="A15" s="3">
        <v>45671</v>
      </c>
      <c r="B15" s="3" t="s">
        <v>672</v>
      </c>
      <c r="C15" s="3" t="s">
        <v>20</v>
      </c>
      <c r="D15" s="3" t="s">
        <v>28</v>
      </c>
      <c r="E15" s="4">
        <v>0.6</v>
      </c>
      <c r="F15" s="5">
        <v>2.1</v>
      </c>
      <c r="G15" s="6">
        <v>305</v>
      </c>
      <c r="H15" s="30">
        <v>2.1</v>
      </c>
      <c r="I15" s="21">
        <f t="shared" si="0"/>
        <v>751.46400000000006</v>
      </c>
      <c r="J15" s="7" t="s">
        <v>29</v>
      </c>
      <c r="K15" s="17">
        <f t="shared" si="1"/>
        <v>1</v>
      </c>
      <c r="L15" s="10" t="s">
        <v>325</v>
      </c>
      <c r="M15" s="16">
        <f>SUM(M3:M14)</f>
        <v>290403.65642399999</v>
      </c>
      <c r="N15" s="16">
        <f>SUM(N3:N14)</f>
        <v>15681.797446895998</v>
      </c>
      <c r="O15" s="9"/>
      <c r="P15" s="9"/>
    </row>
    <row r="16" spans="1:16" ht="13.95" customHeight="1" thickTop="1" x14ac:dyDescent="0.3">
      <c r="A16" s="3">
        <v>45672</v>
      </c>
      <c r="B16" s="3" t="s">
        <v>672</v>
      </c>
      <c r="C16" s="3" t="s">
        <v>5</v>
      </c>
      <c r="D16" s="3" t="s">
        <v>9</v>
      </c>
      <c r="E16" s="4">
        <v>0.5</v>
      </c>
      <c r="F16" s="5">
        <v>1.78</v>
      </c>
      <c r="G16" s="6">
        <v>305</v>
      </c>
      <c r="H16" s="30">
        <v>2.1</v>
      </c>
      <c r="I16" s="21">
        <f t="shared" si="0"/>
        <v>530.79600000000005</v>
      </c>
      <c r="J16" s="7" t="s">
        <v>30</v>
      </c>
      <c r="K16" s="17">
        <f t="shared" si="1"/>
        <v>1</v>
      </c>
    </row>
    <row r="17" spans="1:11" ht="13.95" customHeight="1" x14ac:dyDescent="0.3">
      <c r="A17" s="3">
        <v>45673</v>
      </c>
      <c r="B17" s="3" t="s">
        <v>672</v>
      </c>
      <c r="C17" s="3" t="s">
        <v>8</v>
      </c>
      <c r="D17" s="3" t="s">
        <v>9</v>
      </c>
      <c r="E17" s="4">
        <v>0.52</v>
      </c>
      <c r="F17" s="5">
        <v>1.78</v>
      </c>
      <c r="G17" s="6">
        <v>305</v>
      </c>
      <c r="H17" s="30">
        <v>2.1</v>
      </c>
      <c r="I17" s="21">
        <f t="shared" si="0"/>
        <v>552.02784000000008</v>
      </c>
      <c r="J17" s="7" t="s">
        <v>31</v>
      </c>
      <c r="K17" s="17">
        <f t="shared" si="1"/>
        <v>1</v>
      </c>
    </row>
    <row r="18" spans="1:11" ht="13.95" customHeight="1" x14ac:dyDescent="0.3">
      <c r="A18" s="3">
        <v>45674</v>
      </c>
      <c r="B18" s="3" t="s">
        <v>672</v>
      </c>
      <c r="C18" s="3" t="s">
        <v>11</v>
      </c>
      <c r="D18" s="3" t="s">
        <v>9</v>
      </c>
      <c r="E18" s="4">
        <v>0.55000000000000004</v>
      </c>
      <c r="F18" s="5">
        <v>1.85</v>
      </c>
      <c r="G18" s="6">
        <v>305</v>
      </c>
      <c r="H18" s="30">
        <v>2.1</v>
      </c>
      <c r="I18" s="21">
        <f t="shared" si="0"/>
        <v>606.8370000000001</v>
      </c>
      <c r="J18" s="7" t="s">
        <v>32</v>
      </c>
      <c r="K18" s="17">
        <f t="shared" si="1"/>
        <v>1</v>
      </c>
    </row>
    <row r="19" spans="1:11" ht="13.95" customHeight="1" x14ac:dyDescent="0.3">
      <c r="A19" s="3">
        <v>45675</v>
      </c>
      <c r="B19" s="3" t="s">
        <v>672</v>
      </c>
      <c r="C19" s="3" t="s">
        <v>13</v>
      </c>
      <c r="D19" s="3" t="s">
        <v>14</v>
      </c>
      <c r="E19" s="4">
        <v>0.68</v>
      </c>
      <c r="F19" s="5">
        <v>2.2200000000000002</v>
      </c>
      <c r="G19" s="6">
        <v>305</v>
      </c>
      <c r="H19" s="30">
        <v>2.1</v>
      </c>
      <c r="I19" s="21">
        <f t="shared" si="0"/>
        <v>900.32544000000019</v>
      </c>
      <c r="J19" s="7" t="s">
        <v>33</v>
      </c>
      <c r="K19" s="17">
        <f t="shared" si="1"/>
        <v>1</v>
      </c>
    </row>
    <row r="20" spans="1:11" ht="13.95" customHeight="1" x14ac:dyDescent="0.3">
      <c r="A20" s="3">
        <v>45676</v>
      </c>
      <c r="B20" s="3" t="s">
        <v>672</v>
      </c>
      <c r="C20" s="3" t="s">
        <v>16</v>
      </c>
      <c r="D20" s="3" t="s">
        <v>14</v>
      </c>
      <c r="E20" s="4">
        <v>0.65</v>
      </c>
      <c r="F20" s="5">
        <v>2.1800000000000002</v>
      </c>
      <c r="G20" s="6">
        <v>305</v>
      </c>
      <c r="H20" s="30">
        <v>2.1</v>
      </c>
      <c r="I20" s="21">
        <f t="shared" si="0"/>
        <v>845.09879999999998</v>
      </c>
      <c r="J20" s="7" t="s">
        <v>34</v>
      </c>
      <c r="K20" s="17">
        <f t="shared" si="1"/>
        <v>1</v>
      </c>
    </row>
    <row r="21" spans="1:11" ht="13.95" customHeight="1" x14ac:dyDescent="0.3">
      <c r="A21" s="3">
        <v>45677</v>
      </c>
      <c r="B21" s="3" t="s">
        <v>672</v>
      </c>
      <c r="C21" s="3" t="s">
        <v>18</v>
      </c>
      <c r="D21" s="3" t="s">
        <v>9</v>
      </c>
      <c r="E21" s="4">
        <v>0.42</v>
      </c>
      <c r="F21" s="5">
        <v>1.7</v>
      </c>
      <c r="G21" s="6">
        <v>305</v>
      </c>
      <c r="H21" s="30">
        <v>2.1</v>
      </c>
      <c r="I21" s="21">
        <f t="shared" si="0"/>
        <v>425.82960000000003</v>
      </c>
      <c r="J21" s="7" t="s">
        <v>35</v>
      </c>
      <c r="K21" s="17">
        <f t="shared" si="1"/>
        <v>1</v>
      </c>
    </row>
    <row r="22" spans="1:11" ht="13.95" customHeight="1" x14ac:dyDescent="0.3">
      <c r="A22" s="3">
        <v>45678</v>
      </c>
      <c r="B22" s="3" t="s">
        <v>672</v>
      </c>
      <c r="C22" s="3" t="s">
        <v>20</v>
      </c>
      <c r="D22" s="3" t="s">
        <v>9</v>
      </c>
      <c r="E22" s="4">
        <v>0.4</v>
      </c>
      <c r="F22" s="5">
        <v>1.68</v>
      </c>
      <c r="G22" s="6">
        <v>305</v>
      </c>
      <c r="H22" s="30">
        <v>2.1</v>
      </c>
      <c r="I22" s="21">
        <f t="shared" si="0"/>
        <v>400.78080000000006</v>
      </c>
      <c r="J22" s="7" t="s">
        <v>36</v>
      </c>
      <c r="K22" s="17">
        <f t="shared" si="1"/>
        <v>1</v>
      </c>
    </row>
    <row r="23" spans="1:11" ht="13.95" customHeight="1" x14ac:dyDescent="0.3">
      <c r="A23" s="3">
        <v>45679</v>
      </c>
      <c r="B23" s="3" t="s">
        <v>672</v>
      </c>
      <c r="C23" s="3" t="s">
        <v>5</v>
      </c>
      <c r="D23" s="3" t="s">
        <v>9</v>
      </c>
      <c r="E23" s="4">
        <v>0.45</v>
      </c>
      <c r="F23" s="5">
        <v>1.75</v>
      </c>
      <c r="G23" s="6">
        <v>305</v>
      </c>
      <c r="H23" s="30">
        <v>2.1</v>
      </c>
      <c r="I23" s="21">
        <f t="shared" si="0"/>
        <v>469.66500000000002</v>
      </c>
      <c r="J23" s="7" t="s">
        <v>37</v>
      </c>
      <c r="K23" s="17">
        <f t="shared" si="1"/>
        <v>1</v>
      </c>
    </row>
    <row r="24" spans="1:11" ht="13.95" customHeight="1" x14ac:dyDescent="0.3">
      <c r="A24" s="3">
        <v>45680</v>
      </c>
      <c r="B24" s="3" t="s">
        <v>672</v>
      </c>
      <c r="C24" s="3" t="s">
        <v>8</v>
      </c>
      <c r="D24" s="3" t="s">
        <v>9</v>
      </c>
      <c r="E24" s="4">
        <v>0.48</v>
      </c>
      <c r="F24" s="5">
        <v>1.8</v>
      </c>
      <c r="G24" s="6">
        <v>305</v>
      </c>
      <c r="H24" s="30">
        <v>2.1</v>
      </c>
      <c r="I24" s="21">
        <f t="shared" si="0"/>
        <v>515.28960000000006</v>
      </c>
      <c r="J24" s="7" t="s">
        <v>38</v>
      </c>
      <c r="K24" s="17">
        <f t="shared" si="1"/>
        <v>1</v>
      </c>
    </row>
    <row r="25" spans="1:11" ht="13.95" customHeight="1" x14ac:dyDescent="0.3">
      <c r="A25" s="3">
        <v>45681</v>
      </c>
      <c r="B25" s="3" t="s">
        <v>672</v>
      </c>
      <c r="C25" s="3" t="s">
        <v>11</v>
      </c>
      <c r="D25" s="3" t="s">
        <v>9</v>
      </c>
      <c r="E25" s="4">
        <v>0.54</v>
      </c>
      <c r="F25" s="5">
        <v>1.92</v>
      </c>
      <c r="G25" s="6">
        <v>305</v>
      </c>
      <c r="H25" s="30">
        <v>2.1</v>
      </c>
      <c r="I25" s="21">
        <f t="shared" si="0"/>
        <v>618.34752000000003</v>
      </c>
      <c r="J25" s="7" t="s">
        <v>39</v>
      </c>
      <c r="K25" s="17">
        <f t="shared" si="1"/>
        <v>1</v>
      </c>
    </row>
    <row r="26" spans="1:11" ht="13.95" customHeight="1" x14ac:dyDescent="0.3">
      <c r="A26" s="3">
        <v>45682</v>
      </c>
      <c r="B26" s="3" t="s">
        <v>672</v>
      </c>
      <c r="C26" s="3" t="s">
        <v>13</v>
      </c>
      <c r="D26" s="3" t="s">
        <v>14</v>
      </c>
      <c r="E26" s="4">
        <v>0.7</v>
      </c>
      <c r="F26" s="5">
        <v>2.2799999999999998</v>
      </c>
      <c r="G26" s="6">
        <v>305</v>
      </c>
      <c r="H26" s="30">
        <v>2.1</v>
      </c>
      <c r="I26" s="21">
        <f t="shared" si="0"/>
        <v>951.85439999999983</v>
      </c>
      <c r="J26" s="7" t="s">
        <v>40</v>
      </c>
      <c r="K26" s="17">
        <f t="shared" si="1"/>
        <v>1</v>
      </c>
    </row>
    <row r="27" spans="1:11" ht="13.95" customHeight="1" x14ac:dyDescent="0.3">
      <c r="A27" s="3">
        <v>45683</v>
      </c>
      <c r="B27" s="3" t="s">
        <v>672</v>
      </c>
      <c r="C27" s="3" t="s">
        <v>16</v>
      </c>
      <c r="D27" s="3" t="s">
        <v>14</v>
      </c>
      <c r="E27" s="4">
        <v>0.66</v>
      </c>
      <c r="F27" s="5">
        <v>2.15</v>
      </c>
      <c r="G27" s="6">
        <v>305</v>
      </c>
      <c r="H27" s="30">
        <v>2.1</v>
      </c>
      <c r="I27" s="21">
        <f t="shared" si="0"/>
        <v>846.29160000000002</v>
      </c>
      <c r="J27" s="7" t="s">
        <v>41</v>
      </c>
      <c r="K27" s="17">
        <f t="shared" si="1"/>
        <v>1</v>
      </c>
    </row>
    <row r="28" spans="1:11" ht="13.95" customHeight="1" x14ac:dyDescent="0.3">
      <c r="A28" s="3">
        <v>45684</v>
      </c>
      <c r="B28" s="3" t="s">
        <v>672</v>
      </c>
      <c r="C28" s="3" t="s">
        <v>18</v>
      </c>
      <c r="D28" s="3" t="s">
        <v>9</v>
      </c>
      <c r="E28" s="4">
        <v>0.44</v>
      </c>
      <c r="F28" s="5">
        <v>1.74</v>
      </c>
      <c r="G28" s="6">
        <v>305</v>
      </c>
      <c r="H28" s="30">
        <v>2.1</v>
      </c>
      <c r="I28" s="21">
        <f t="shared" si="0"/>
        <v>456.60383999999999</v>
      </c>
      <c r="J28" s="7" t="s">
        <v>42</v>
      </c>
      <c r="K28" s="17">
        <f t="shared" si="1"/>
        <v>1</v>
      </c>
    </row>
    <row r="29" spans="1:11" ht="13.95" customHeight="1" x14ac:dyDescent="0.3">
      <c r="A29" s="3">
        <v>45685</v>
      </c>
      <c r="B29" s="3" t="s">
        <v>672</v>
      </c>
      <c r="C29" s="3" t="s">
        <v>20</v>
      </c>
      <c r="D29" s="3" t="s">
        <v>9</v>
      </c>
      <c r="E29" s="4">
        <v>0.41</v>
      </c>
      <c r="F29" s="5">
        <v>1.69</v>
      </c>
      <c r="G29" s="6">
        <v>305</v>
      </c>
      <c r="H29" s="30">
        <v>2.1</v>
      </c>
      <c r="I29" s="21">
        <f t="shared" si="0"/>
        <v>413.24555999999995</v>
      </c>
      <c r="J29" s="7" t="s">
        <v>43</v>
      </c>
      <c r="K29" s="17">
        <f t="shared" si="1"/>
        <v>1</v>
      </c>
    </row>
    <row r="30" spans="1:11" ht="13.95" customHeight="1" x14ac:dyDescent="0.3">
      <c r="A30" s="3">
        <v>45686</v>
      </c>
      <c r="B30" s="3" t="s">
        <v>672</v>
      </c>
      <c r="C30" s="3" t="s">
        <v>5</v>
      </c>
      <c r="D30" s="3" t="s">
        <v>9</v>
      </c>
      <c r="E30" s="4">
        <v>0.43</v>
      </c>
      <c r="F30" s="5">
        <v>1.73</v>
      </c>
      <c r="G30" s="6">
        <v>305</v>
      </c>
      <c r="H30" s="30">
        <v>2.1</v>
      </c>
      <c r="I30" s="21">
        <f t="shared" si="0"/>
        <v>443.66196000000008</v>
      </c>
      <c r="J30" s="7" t="s">
        <v>44</v>
      </c>
      <c r="K30" s="17">
        <f t="shared" si="1"/>
        <v>1</v>
      </c>
    </row>
    <row r="31" spans="1:11" ht="13.95" customHeight="1" x14ac:dyDescent="0.3">
      <c r="A31" s="3">
        <v>45687</v>
      </c>
      <c r="B31" s="3" t="s">
        <v>672</v>
      </c>
      <c r="C31" s="3" t="s">
        <v>8</v>
      </c>
      <c r="D31" s="3" t="s">
        <v>9</v>
      </c>
      <c r="E31" s="4">
        <v>0.47</v>
      </c>
      <c r="F31" s="5">
        <v>1.81</v>
      </c>
      <c r="G31" s="6">
        <v>305</v>
      </c>
      <c r="H31" s="30">
        <v>2.1</v>
      </c>
      <c r="I31" s="21">
        <f t="shared" si="0"/>
        <v>507.35748000000001</v>
      </c>
      <c r="J31" s="7" t="s">
        <v>45</v>
      </c>
      <c r="K31" s="17">
        <f t="shared" si="1"/>
        <v>1</v>
      </c>
    </row>
    <row r="32" spans="1:11" ht="13.95" customHeight="1" x14ac:dyDescent="0.3">
      <c r="A32" s="3">
        <v>45688</v>
      </c>
      <c r="B32" s="3" t="s">
        <v>672</v>
      </c>
      <c r="C32" s="3" t="s">
        <v>11</v>
      </c>
      <c r="D32" s="3" t="s">
        <v>9</v>
      </c>
      <c r="E32" s="4">
        <v>0.53</v>
      </c>
      <c r="F32" s="5">
        <v>1.95</v>
      </c>
      <c r="G32" s="6">
        <v>305</v>
      </c>
      <c r="H32" s="30">
        <v>2.1</v>
      </c>
      <c r="I32" s="21">
        <f t="shared" si="0"/>
        <v>616.37940000000003</v>
      </c>
      <c r="J32" s="7" t="s">
        <v>46</v>
      </c>
      <c r="K32" s="17">
        <f t="shared" si="1"/>
        <v>1</v>
      </c>
    </row>
    <row r="33" spans="1:11" ht="13.95" customHeight="1" x14ac:dyDescent="0.3">
      <c r="A33" s="3">
        <v>45689</v>
      </c>
      <c r="B33" s="3" t="s">
        <v>672</v>
      </c>
      <c r="C33" s="3" t="s">
        <v>13</v>
      </c>
      <c r="D33" s="3" t="s">
        <v>14</v>
      </c>
      <c r="E33" s="4">
        <v>0.72</v>
      </c>
      <c r="F33" s="5">
        <v>2.25</v>
      </c>
      <c r="G33" s="6">
        <v>305</v>
      </c>
      <c r="H33" s="30">
        <v>2.1</v>
      </c>
      <c r="I33" s="21">
        <f t="shared" si="0"/>
        <v>966.16800000000001</v>
      </c>
      <c r="J33" s="7" t="s">
        <v>47</v>
      </c>
      <c r="K33" s="17">
        <f t="shared" si="1"/>
        <v>2</v>
      </c>
    </row>
    <row r="34" spans="1:11" ht="13.95" customHeight="1" x14ac:dyDescent="0.3">
      <c r="A34" s="3">
        <v>45690</v>
      </c>
      <c r="B34" s="3" t="s">
        <v>672</v>
      </c>
      <c r="C34" s="3" t="s">
        <v>16</v>
      </c>
      <c r="D34" s="3" t="s">
        <v>14</v>
      </c>
      <c r="E34" s="4">
        <v>0.68</v>
      </c>
      <c r="F34" s="5">
        <v>2.1800000000000002</v>
      </c>
      <c r="G34" s="6">
        <v>305</v>
      </c>
      <c r="H34" s="30">
        <v>2.1</v>
      </c>
      <c r="I34" s="21">
        <f t="shared" si="0"/>
        <v>884.10336000000018</v>
      </c>
      <c r="J34" s="7" t="s">
        <v>48</v>
      </c>
      <c r="K34" s="17">
        <f t="shared" si="1"/>
        <v>2</v>
      </c>
    </row>
    <row r="35" spans="1:11" ht="13.95" customHeight="1" x14ac:dyDescent="0.3">
      <c r="A35" s="3">
        <v>45691</v>
      </c>
      <c r="B35" s="3" t="s">
        <v>672</v>
      </c>
      <c r="C35" s="3" t="s">
        <v>18</v>
      </c>
      <c r="D35" s="3" t="s">
        <v>9</v>
      </c>
      <c r="E35" s="4">
        <v>0.55000000000000004</v>
      </c>
      <c r="F35" s="5">
        <v>1.78</v>
      </c>
      <c r="G35" s="6">
        <v>305</v>
      </c>
      <c r="H35" s="30">
        <v>2.1</v>
      </c>
      <c r="I35" s="21">
        <f t="shared" si="0"/>
        <v>583.87560000000019</v>
      </c>
      <c r="J35" s="7" t="s">
        <v>49</v>
      </c>
      <c r="K35" s="17">
        <f t="shared" si="1"/>
        <v>2</v>
      </c>
    </row>
    <row r="36" spans="1:11" ht="13.95" customHeight="1" x14ac:dyDescent="0.3">
      <c r="A36" s="3">
        <v>45692</v>
      </c>
      <c r="B36" s="3" t="s">
        <v>672</v>
      </c>
      <c r="C36" s="3" t="s">
        <v>20</v>
      </c>
      <c r="D36" s="3" t="s">
        <v>9</v>
      </c>
      <c r="E36" s="4">
        <v>0.57999999999999996</v>
      </c>
      <c r="F36" s="5">
        <v>1.75</v>
      </c>
      <c r="G36" s="6">
        <v>305</v>
      </c>
      <c r="H36" s="30">
        <v>2.1</v>
      </c>
      <c r="I36" s="21">
        <f t="shared" si="0"/>
        <v>605.346</v>
      </c>
      <c r="J36" s="7" t="s">
        <v>50</v>
      </c>
      <c r="K36" s="17">
        <f t="shared" si="1"/>
        <v>2</v>
      </c>
    </row>
    <row r="37" spans="1:11" ht="13.95" customHeight="1" x14ac:dyDescent="0.3">
      <c r="A37" s="3">
        <v>45693</v>
      </c>
      <c r="B37" s="3" t="s">
        <v>672</v>
      </c>
      <c r="C37" s="3" t="s">
        <v>5</v>
      </c>
      <c r="D37" s="3" t="s">
        <v>9</v>
      </c>
      <c r="E37" s="4">
        <v>0.6</v>
      </c>
      <c r="F37" s="5">
        <v>1.82</v>
      </c>
      <c r="G37" s="6">
        <v>305</v>
      </c>
      <c r="H37" s="30">
        <v>2.1</v>
      </c>
      <c r="I37" s="21">
        <f t="shared" si="0"/>
        <v>651.26880000000017</v>
      </c>
      <c r="J37" s="7" t="s">
        <v>51</v>
      </c>
      <c r="K37" s="17">
        <f t="shared" si="1"/>
        <v>2</v>
      </c>
    </row>
    <row r="38" spans="1:11" ht="13.95" customHeight="1" x14ac:dyDescent="0.3">
      <c r="A38" s="3">
        <v>45694</v>
      </c>
      <c r="B38" s="3" t="s">
        <v>672</v>
      </c>
      <c r="C38" s="3" t="s">
        <v>8</v>
      </c>
      <c r="D38" s="3" t="s">
        <v>9</v>
      </c>
      <c r="E38" s="4">
        <v>0.56999999999999995</v>
      </c>
      <c r="F38" s="5">
        <v>1.8</v>
      </c>
      <c r="G38" s="6">
        <v>305</v>
      </c>
      <c r="H38" s="30">
        <v>2.1</v>
      </c>
      <c r="I38" s="21">
        <f t="shared" si="0"/>
        <v>611.90640000000008</v>
      </c>
      <c r="J38" s="7" t="s">
        <v>52</v>
      </c>
      <c r="K38" s="17">
        <f t="shared" si="1"/>
        <v>2</v>
      </c>
    </row>
    <row r="39" spans="1:11" ht="13.95" customHeight="1" x14ac:dyDescent="0.3">
      <c r="A39" s="3">
        <v>45695</v>
      </c>
      <c r="B39" s="3" t="s">
        <v>672</v>
      </c>
      <c r="C39" s="3" t="s">
        <v>11</v>
      </c>
      <c r="D39" s="3" t="s">
        <v>9</v>
      </c>
      <c r="E39" s="4">
        <v>0.62</v>
      </c>
      <c r="F39" s="5">
        <v>1.95</v>
      </c>
      <c r="G39" s="6">
        <v>305</v>
      </c>
      <c r="H39" s="30">
        <v>2.1</v>
      </c>
      <c r="I39" s="21">
        <f t="shared" si="0"/>
        <v>721.04759999999999</v>
      </c>
      <c r="J39" s="7" t="s">
        <v>53</v>
      </c>
      <c r="K39" s="17">
        <f t="shared" si="1"/>
        <v>2</v>
      </c>
    </row>
    <row r="40" spans="1:11" ht="13.95" customHeight="1" x14ac:dyDescent="0.3">
      <c r="A40" s="3">
        <v>45696</v>
      </c>
      <c r="B40" s="3" t="s">
        <v>672</v>
      </c>
      <c r="C40" s="3" t="s">
        <v>13</v>
      </c>
      <c r="D40" s="3" t="s">
        <v>14</v>
      </c>
      <c r="E40" s="4">
        <v>0.75</v>
      </c>
      <c r="F40" s="5">
        <v>2.2000000000000002</v>
      </c>
      <c r="G40" s="6">
        <v>305</v>
      </c>
      <c r="H40" s="30">
        <v>2.1</v>
      </c>
      <c r="I40" s="21">
        <f t="shared" si="0"/>
        <v>984.06000000000006</v>
      </c>
      <c r="J40" s="7" t="s">
        <v>54</v>
      </c>
      <c r="K40" s="17">
        <f t="shared" si="1"/>
        <v>2</v>
      </c>
    </row>
    <row r="41" spans="1:11" ht="13.95" customHeight="1" x14ac:dyDescent="0.3">
      <c r="A41" s="3">
        <v>45697</v>
      </c>
      <c r="B41" s="3" t="s">
        <v>672</v>
      </c>
      <c r="C41" s="3" t="s">
        <v>16</v>
      </c>
      <c r="D41" s="3" t="s">
        <v>14</v>
      </c>
      <c r="E41" s="4">
        <v>0.7</v>
      </c>
      <c r="F41" s="5">
        <v>2.15</v>
      </c>
      <c r="G41" s="6">
        <v>305</v>
      </c>
      <c r="H41" s="30">
        <v>2.1</v>
      </c>
      <c r="I41" s="21">
        <f t="shared" si="0"/>
        <v>897.58199999999999</v>
      </c>
      <c r="J41" s="7" t="s">
        <v>55</v>
      </c>
      <c r="K41" s="17">
        <f t="shared" si="1"/>
        <v>2</v>
      </c>
    </row>
    <row r="42" spans="1:11" ht="13.95" customHeight="1" x14ac:dyDescent="0.3">
      <c r="A42" s="3">
        <v>45698</v>
      </c>
      <c r="B42" s="3" t="s">
        <v>672</v>
      </c>
      <c r="C42" s="3" t="s">
        <v>18</v>
      </c>
      <c r="D42" s="3" t="s">
        <v>9</v>
      </c>
      <c r="E42" s="4">
        <v>0.52</v>
      </c>
      <c r="F42" s="5">
        <v>1.72</v>
      </c>
      <c r="G42" s="6">
        <v>305</v>
      </c>
      <c r="H42" s="30">
        <v>2.1</v>
      </c>
      <c r="I42" s="21">
        <f t="shared" si="0"/>
        <v>533.42016000000001</v>
      </c>
      <c r="J42" s="7" t="s">
        <v>56</v>
      </c>
      <c r="K42" s="17">
        <f t="shared" si="1"/>
        <v>2</v>
      </c>
    </row>
    <row r="43" spans="1:11" ht="13.95" customHeight="1" x14ac:dyDescent="0.3">
      <c r="A43" s="3">
        <v>45699</v>
      </c>
      <c r="B43" s="3" t="s">
        <v>672</v>
      </c>
      <c r="C43" s="3" t="s">
        <v>20</v>
      </c>
      <c r="D43" s="3" t="s">
        <v>9</v>
      </c>
      <c r="E43" s="4">
        <v>0.55000000000000004</v>
      </c>
      <c r="F43" s="5">
        <v>1.76</v>
      </c>
      <c r="G43" s="6">
        <v>305</v>
      </c>
      <c r="H43" s="30">
        <v>2.1</v>
      </c>
      <c r="I43" s="21">
        <f t="shared" si="0"/>
        <v>577.31520000000012</v>
      </c>
      <c r="J43" s="7" t="s">
        <v>57</v>
      </c>
      <c r="K43" s="17">
        <f t="shared" si="1"/>
        <v>2</v>
      </c>
    </row>
    <row r="44" spans="1:11" ht="13.95" customHeight="1" x14ac:dyDescent="0.3">
      <c r="A44" s="3">
        <v>45700</v>
      </c>
      <c r="B44" s="3" t="s">
        <v>672</v>
      </c>
      <c r="C44" s="3" t="s">
        <v>5</v>
      </c>
      <c r="D44" s="3" t="s">
        <v>9</v>
      </c>
      <c r="E44" s="4">
        <v>0.6</v>
      </c>
      <c r="F44" s="5">
        <v>1.84</v>
      </c>
      <c r="G44" s="6">
        <v>305</v>
      </c>
      <c r="H44" s="30">
        <v>2.1</v>
      </c>
      <c r="I44" s="21">
        <f t="shared" si="0"/>
        <v>658.42560000000003</v>
      </c>
      <c r="J44" s="7" t="s">
        <v>58</v>
      </c>
      <c r="K44" s="17">
        <f t="shared" si="1"/>
        <v>2</v>
      </c>
    </row>
    <row r="45" spans="1:11" ht="13.95" customHeight="1" x14ac:dyDescent="0.3">
      <c r="A45" s="3">
        <v>45701</v>
      </c>
      <c r="B45" s="3" t="s">
        <v>672</v>
      </c>
      <c r="C45" s="3" t="s">
        <v>8</v>
      </c>
      <c r="D45" s="3" t="s">
        <v>9</v>
      </c>
      <c r="E45" s="4">
        <v>0.65</v>
      </c>
      <c r="F45" s="5">
        <v>1.9</v>
      </c>
      <c r="G45" s="6">
        <v>305</v>
      </c>
      <c r="H45" s="30">
        <v>2.1</v>
      </c>
      <c r="I45" s="21">
        <f t="shared" si="0"/>
        <v>736.55399999999997</v>
      </c>
      <c r="J45" s="7" t="s">
        <v>59</v>
      </c>
      <c r="K45" s="17">
        <f t="shared" si="1"/>
        <v>2</v>
      </c>
    </row>
    <row r="46" spans="1:11" ht="13.95" customHeight="1" x14ac:dyDescent="0.3">
      <c r="A46" s="3">
        <v>45702</v>
      </c>
      <c r="B46" s="3" t="s">
        <v>672</v>
      </c>
      <c r="C46" s="3" t="s">
        <v>11</v>
      </c>
      <c r="D46" s="3" t="s">
        <v>60</v>
      </c>
      <c r="E46" s="4">
        <v>0.88</v>
      </c>
      <c r="F46" s="5">
        <v>2.5499999999999998</v>
      </c>
      <c r="G46" s="6">
        <v>305</v>
      </c>
      <c r="H46" s="30">
        <v>2.1</v>
      </c>
      <c r="I46" s="21">
        <f t="shared" si="0"/>
        <v>1338.3216</v>
      </c>
      <c r="J46" s="7" t="s">
        <v>61</v>
      </c>
      <c r="K46" s="17">
        <f t="shared" si="1"/>
        <v>2</v>
      </c>
    </row>
    <row r="47" spans="1:11" ht="13.95" customHeight="1" x14ac:dyDescent="0.3">
      <c r="A47" s="3">
        <v>45703</v>
      </c>
      <c r="B47" s="3" t="s">
        <v>672</v>
      </c>
      <c r="C47" s="3" t="s">
        <v>13</v>
      </c>
      <c r="D47" s="3" t="s">
        <v>14</v>
      </c>
      <c r="E47" s="4">
        <v>0.82</v>
      </c>
      <c r="F47" s="5">
        <v>2.2999999999999998</v>
      </c>
      <c r="G47" s="6">
        <v>305</v>
      </c>
      <c r="H47" s="30">
        <v>2.1</v>
      </c>
      <c r="I47" s="21">
        <f t="shared" si="0"/>
        <v>1124.8103999999998</v>
      </c>
      <c r="J47" s="7" t="s">
        <v>62</v>
      </c>
      <c r="K47" s="17">
        <f t="shared" si="1"/>
        <v>2</v>
      </c>
    </row>
    <row r="48" spans="1:11" ht="13.95" customHeight="1" x14ac:dyDescent="0.3">
      <c r="A48" s="3">
        <v>45704</v>
      </c>
      <c r="B48" s="3" t="s">
        <v>672</v>
      </c>
      <c r="C48" s="3" t="s">
        <v>16</v>
      </c>
      <c r="D48" s="3" t="s">
        <v>14</v>
      </c>
      <c r="E48" s="4">
        <v>0.75</v>
      </c>
      <c r="F48" s="5">
        <v>2.2000000000000002</v>
      </c>
      <c r="G48" s="6">
        <v>305</v>
      </c>
      <c r="H48" s="30">
        <v>2.1</v>
      </c>
      <c r="I48" s="21">
        <f t="shared" si="0"/>
        <v>984.06000000000006</v>
      </c>
      <c r="J48" s="7" t="s">
        <v>63</v>
      </c>
      <c r="K48" s="17">
        <f t="shared" si="1"/>
        <v>2</v>
      </c>
    </row>
    <row r="49" spans="1:11" ht="13.95" customHeight="1" x14ac:dyDescent="0.3">
      <c r="A49" s="3">
        <v>45705</v>
      </c>
      <c r="B49" s="3" t="s">
        <v>672</v>
      </c>
      <c r="C49" s="3" t="s">
        <v>18</v>
      </c>
      <c r="D49" s="3" t="s">
        <v>9</v>
      </c>
      <c r="E49" s="4">
        <v>0.5</v>
      </c>
      <c r="F49" s="5">
        <v>1.74</v>
      </c>
      <c r="G49" s="6">
        <v>305</v>
      </c>
      <c r="H49" s="30">
        <v>2.1</v>
      </c>
      <c r="I49" s="21">
        <f t="shared" si="0"/>
        <v>518.86800000000005</v>
      </c>
      <c r="J49" s="7" t="s">
        <v>64</v>
      </c>
      <c r="K49" s="17">
        <f t="shared" si="1"/>
        <v>2</v>
      </c>
    </row>
    <row r="50" spans="1:11" ht="13.95" customHeight="1" x14ac:dyDescent="0.3">
      <c r="A50" s="3">
        <v>45706</v>
      </c>
      <c r="B50" s="3" t="s">
        <v>672</v>
      </c>
      <c r="C50" s="3" t="s">
        <v>20</v>
      </c>
      <c r="D50" s="3" t="s">
        <v>9</v>
      </c>
      <c r="E50" s="4">
        <v>0.53</v>
      </c>
      <c r="F50" s="5">
        <v>1.79</v>
      </c>
      <c r="G50" s="6">
        <v>305</v>
      </c>
      <c r="H50" s="30">
        <v>2.1</v>
      </c>
      <c r="I50" s="21">
        <f t="shared" si="0"/>
        <v>565.80468000000008</v>
      </c>
      <c r="J50" s="7" t="s">
        <v>65</v>
      </c>
      <c r="K50" s="17">
        <f t="shared" si="1"/>
        <v>2</v>
      </c>
    </row>
    <row r="51" spans="1:11" ht="13.95" customHeight="1" x14ac:dyDescent="0.3">
      <c r="A51" s="3">
        <v>45707</v>
      </c>
      <c r="B51" s="3" t="s">
        <v>672</v>
      </c>
      <c r="C51" s="3" t="s">
        <v>5</v>
      </c>
      <c r="D51" s="3" t="s">
        <v>9</v>
      </c>
      <c r="E51" s="4">
        <v>0.55000000000000004</v>
      </c>
      <c r="F51" s="5">
        <v>1.81</v>
      </c>
      <c r="G51" s="6">
        <v>305</v>
      </c>
      <c r="H51" s="30">
        <v>2.1</v>
      </c>
      <c r="I51" s="21">
        <f t="shared" si="0"/>
        <v>593.71620000000007</v>
      </c>
      <c r="J51" s="7" t="s">
        <v>65</v>
      </c>
      <c r="K51" s="17">
        <f t="shared" si="1"/>
        <v>2</v>
      </c>
    </row>
    <row r="52" spans="1:11" ht="13.95" customHeight="1" x14ac:dyDescent="0.3">
      <c r="A52" s="3">
        <v>45708</v>
      </c>
      <c r="B52" s="3" t="s">
        <v>672</v>
      </c>
      <c r="C52" s="3" t="s">
        <v>8</v>
      </c>
      <c r="D52" s="3" t="s">
        <v>9</v>
      </c>
      <c r="E52" s="4">
        <v>0.57999999999999996</v>
      </c>
      <c r="F52" s="5">
        <v>1.83</v>
      </c>
      <c r="G52" s="6">
        <v>305</v>
      </c>
      <c r="H52" s="30">
        <v>2.1</v>
      </c>
      <c r="I52" s="21">
        <f t="shared" si="0"/>
        <v>633.01896000000011</v>
      </c>
      <c r="J52" s="7" t="s">
        <v>66</v>
      </c>
      <c r="K52" s="17">
        <f t="shared" si="1"/>
        <v>2</v>
      </c>
    </row>
    <row r="53" spans="1:11" ht="13.95" customHeight="1" x14ac:dyDescent="0.3">
      <c r="A53" s="3">
        <v>45709</v>
      </c>
      <c r="B53" s="3" t="s">
        <v>672</v>
      </c>
      <c r="C53" s="3" t="s">
        <v>11</v>
      </c>
      <c r="D53" s="3" t="s">
        <v>9</v>
      </c>
      <c r="E53" s="4">
        <v>0.63</v>
      </c>
      <c r="F53" s="5">
        <v>1.96</v>
      </c>
      <c r="G53" s="6">
        <v>305</v>
      </c>
      <c r="H53" s="30">
        <v>2.1</v>
      </c>
      <c r="I53" s="21">
        <f t="shared" si="0"/>
        <v>736.43471999999986</v>
      </c>
      <c r="J53" s="7" t="s">
        <v>67</v>
      </c>
      <c r="K53" s="17">
        <f t="shared" si="1"/>
        <v>2</v>
      </c>
    </row>
    <row r="54" spans="1:11" ht="13.95" customHeight="1" x14ac:dyDescent="0.3">
      <c r="A54" s="3">
        <v>45710</v>
      </c>
      <c r="B54" s="3" t="s">
        <v>672</v>
      </c>
      <c r="C54" s="3" t="s">
        <v>13</v>
      </c>
      <c r="D54" s="3" t="s">
        <v>14</v>
      </c>
      <c r="E54" s="4">
        <v>0.74</v>
      </c>
      <c r="F54" s="5">
        <v>2.2200000000000002</v>
      </c>
      <c r="G54" s="6">
        <v>305</v>
      </c>
      <c r="H54" s="30">
        <v>2.1</v>
      </c>
      <c r="I54" s="21">
        <f t="shared" si="0"/>
        <v>979.76592000000005</v>
      </c>
      <c r="J54" s="7" t="s">
        <v>68</v>
      </c>
      <c r="K54" s="17">
        <f t="shared" si="1"/>
        <v>2</v>
      </c>
    </row>
    <row r="55" spans="1:11" ht="13.95" customHeight="1" x14ac:dyDescent="0.3">
      <c r="A55" s="3">
        <v>45711</v>
      </c>
      <c r="B55" s="3" t="s">
        <v>672</v>
      </c>
      <c r="C55" s="3" t="s">
        <v>16</v>
      </c>
      <c r="D55" s="3" t="s">
        <v>14</v>
      </c>
      <c r="E55" s="4">
        <v>0.7</v>
      </c>
      <c r="F55" s="5">
        <v>2.17</v>
      </c>
      <c r="G55" s="6">
        <v>305</v>
      </c>
      <c r="H55" s="30">
        <v>2.1</v>
      </c>
      <c r="I55" s="21">
        <f t="shared" si="0"/>
        <v>905.9316</v>
      </c>
      <c r="J55" s="7" t="s">
        <v>69</v>
      </c>
      <c r="K55" s="17">
        <f t="shared" si="1"/>
        <v>2</v>
      </c>
    </row>
    <row r="56" spans="1:11" ht="13.95" customHeight="1" x14ac:dyDescent="0.3">
      <c r="A56" s="3">
        <v>45712</v>
      </c>
      <c r="B56" s="3" t="s">
        <v>672</v>
      </c>
      <c r="C56" s="3" t="s">
        <v>18</v>
      </c>
      <c r="D56" s="3" t="s">
        <v>9</v>
      </c>
      <c r="E56" s="4">
        <v>0.51</v>
      </c>
      <c r="F56" s="5">
        <v>1.73</v>
      </c>
      <c r="G56" s="6">
        <v>305</v>
      </c>
      <c r="H56" s="30">
        <v>2.1</v>
      </c>
      <c r="I56" s="21">
        <f t="shared" si="0"/>
        <v>526.20372000000009</v>
      </c>
      <c r="J56" s="7" t="s">
        <v>70</v>
      </c>
      <c r="K56" s="17">
        <f t="shared" si="1"/>
        <v>2</v>
      </c>
    </row>
    <row r="57" spans="1:11" ht="13.95" customHeight="1" x14ac:dyDescent="0.3">
      <c r="A57" s="3">
        <v>45713</v>
      </c>
      <c r="B57" s="3" t="s">
        <v>672</v>
      </c>
      <c r="C57" s="3" t="s">
        <v>20</v>
      </c>
      <c r="D57" s="3" t="s">
        <v>9</v>
      </c>
      <c r="E57" s="4">
        <v>0.54</v>
      </c>
      <c r="F57" s="5">
        <v>1.78</v>
      </c>
      <c r="G57" s="6">
        <v>305</v>
      </c>
      <c r="H57" s="30">
        <v>2.1</v>
      </c>
      <c r="I57" s="21">
        <f t="shared" si="0"/>
        <v>573.25968000000012</v>
      </c>
      <c r="J57" s="7" t="s">
        <v>71</v>
      </c>
      <c r="K57" s="17">
        <f t="shared" si="1"/>
        <v>2</v>
      </c>
    </row>
    <row r="58" spans="1:11" ht="13.95" customHeight="1" x14ac:dyDescent="0.3">
      <c r="A58" s="3">
        <v>45714</v>
      </c>
      <c r="B58" s="3" t="s">
        <v>672</v>
      </c>
      <c r="C58" s="3" t="s">
        <v>5</v>
      </c>
      <c r="D58" s="3" t="s">
        <v>9</v>
      </c>
      <c r="E58" s="4">
        <v>0.56000000000000005</v>
      </c>
      <c r="F58" s="5">
        <v>1.82</v>
      </c>
      <c r="G58" s="6">
        <v>305</v>
      </c>
      <c r="H58" s="30">
        <v>2.1</v>
      </c>
      <c r="I58" s="21">
        <f t="shared" si="0"/>
        <v>607.85088000000007</v>
      </c>
      <c r="J58" s="7" t="s">
        <v>71</v>
      </c>
      <c r="K58" s="17">
        <f t="shared" si="1"/>
        <v>2</v>
      </c>
    </row>
    <row r="59" spans="1:11" ht="13.95" customHeight="1" x14ac:dyDescent="0.3">
      <c r="A59" s="3">
        <v>45715</v>
      </c>
      <c r="B59" s="3" t="s">
        <v>672</v>
      </c>
      <c r="C59" s="3" t="s">
        <v>8</v>
      </c>
      <c r="D59" s="3" t="s">
        <v>9</v>
      </c>
      <c r="E59" s="4">
        <v>0.59</v>
      </c>
      <c r="F59" s="5">
        <v>1.85</v>
      </c>
      <c r="G59" s="6">
        <v>305</v>
      </c>
      <c r="H59" s="30">
        <v>2.1</v>
      </c>
      <c r="I59" s="21">
        <f t="shared" si="0"/>
        <v>650.9706000000001</v>
      </c>
      <c r="J59" s="7" t="s">
        <v>72</v>
      </c>
      <c r="K59" s="17">
        <f t="shared" si="1"/>
        <v>2</v>
      </c>
    </row>
    <row r="60" spans="1:11" ht="13.95" customHeight="1" x14ac:dyDescent="0.3">
      <c r="A60" s="3">
        <v>45716</v>
      </c>
      <c r="B60" s="3" t="s">
        <v>672</v>
      </c>
      <c r="C60" s="3" t="s">
        <v>11</v>
      </c>
      <c r="D60" s="3" t="s">
        <v>9</v>
      </c>
      <c r="E60" s="4">
        <v>0.64</v>
      </c>
      <c r="F60" s="5">
        <v>1.98</v>
      </c>
      <c r="G60" s="6">
        <v>305</v>
      </c>
      <c r="H60" s="30">
        <v>2.1</v>
      </c>
      <c r="I60" s="21">
        <f t="shared" si="0"/>
        <v>755.75807999999995</v>
      </c>
      <c r="J60" s="7" t="s">
        <v>73</v>
      </c>
      <c r="K60" s="17">
        <f t="shared" si="1"/>
        <v>2</v>
      </c>
    </row>
    <row r="61" spans="1:11" ht="13.95" customHeight="1" x14ac:dyDescent="0.3">
      <c r="A61" s="3">
        <v>45717</v>
      </c>
      <c r="B61" s="3" t="s">
        <v>672</v>
      </c>
      <c r="C61" s="3" t="s">
        <v>13</v>
      </c>
      <c r="D61" s="3" t="s">
        <v>74</v>
      </c>
      <c r="E61" s="4">
        <v>0.65</v>
      </c>
      <c r="F61" s="5">
        <v>0.8</v>
      </c>
      <c r="G61" s="6">
        <v>305</v>
      </c>
      <c r="H61" s="30">
        <v>2.1</v>
      </c>
      <c r="I61" s="21">
        <f t="shared" si="0"/>
        <v>310.12800000000004</v>
      </c>
      <c r="J61" s="7" t="s">
        <v>75</v>
      </c>
      <c r="K61" s="17">
        <f t="shared" si="1"/>
        <v>3</v>
      </c>
    </row>
    <row r="62" spans="1:11" ht="13.95" customHeight="1" x14ac:dyDescent="0.3">
      <c r="A62" s="3">
        <v>45718</v>
      </c>
      <c r="B62" s="3" t="s">
        <v>672</v>
      </c>
      <c r="C62" s="3" t="s">
        <v>16</v>
      </c>
      <c r="D62" s="3" t="s">
        <v>76</v>
      </c>
      <c r="E62" s="4">
        <v>0.6</v>
      </c>
      <c r="F62" s="5">
        <v>0.75</v>
      </c>
      <c r="G62" s="6">
        <v>305</v>
      </c>
      <c r="H62" s="30">
        <v>2.1</v>
      </c>
      <c r="I62" s="21">
        <f t="shared" si="0"/>
        <v>268.38000000000005</v>
      </c>
      <c r="J62" s="7" t="s">
        <v>77</v>
      </c>
      <c r="K62" s="17">
        <f t="shared" si="1"/>
        <v>3</v>
      </c>
    </row>
    <row r="63" spans="1:11" ht="13.95" customHeight="1" x14ac:dyDescent="0.3">
      <c r="A63" s="3">
        <v>45719</v>
      </c>
      <c r="B63" s="3" t="s">
        <v>672</v>
      </c>
      <c r="C63" s="3" t="s">
        <v>18</v>
      </c>
      <c r="D63" s="3" t="s">
        <v>76</v>
      </c>
      <c r="E63" s="4">
        <v>0.55000000000000004</v>
      </c>
      <c r="F63" s="5">
        <v>0.65</v>
      </c>
      <c r="G63" s="6">
        <v>305</v>
      </c>
      <c r="H63" s="30">
        <v>2.1</v>
      </c>
      <c r="I63" s="21">
        <f t="shared" si="0"/>
        <v>213.21300000000005</v>
      </c>
      <c r="J63" s="7" t="s">
        <v>78</v>
      </c>
      <c r="K63" s="17">
        <f t="shared" si="1"/>
        <v>3</v>
      </c>
    </row>
    <row r="64" spans="1:11" ht="13.95" customHeight="1" x14ac:dyDescent="0.3">
      <c r="A64" s="3">
        <v>45720</v>
      </c>
      <c r="B64" s="3" t="s">
        <v>672</v>
      </c>
      <c r="C64" s="3" t="s">
        <v>20</v>
      </c>
      <c r="D64" s="3" t="s">
        <v>76</v>
      </c>
      <c r="E64" s="4">
        <v>0.57999999999999996</v>
      </c>
      <c r="F64" s="5">
        <v>0.68</v>
      </c>
      <c r="G64" s="6">
        <v>305</v>
      </c>
      <c r="H64" s="30">
        <v>2.1</v>
      </c>
      <c r="I64" s="21">
        <f t="shared" si="0"/>
        <v>235.22016000000002</v>
      </c>
      <c r="J64" s="7" t="s">
        <v>79</v>
      </c>
      <c r="K64" s="17">
        <f t="shared" si="1"/>
        <v>3</v>
      </c>
    </row>
    <row r="65" spans="1:11" ht="13.95" customHeight="1" x14ac:dyDescent="0.3">
      <c r="A65" s="3">
        <v>45721</v>
      </c>
      <c r="B65" s="3" t="s">
        <v>672</v>
      </c>
      <c r="C65" s="3" t="s">
        <v>5</v>
      </c>
      <c r="D65" s="3" t="s">
        <v>76</v>
      </c>
      <c r="E65" s="4">
        <v>0.62</v>
      </c>
      <c r="F65" s="5">
        <v>0.7</v>
      </c>
      <c r="G65" s="6">
        <v>305</v>
      </c>
      <c r="H65" s="30">
        <v>2.1</v>
      </c>
      <c r="I65" s="21">
        <f t="shared" si="0"/>
        <v>258.83760000000001</v>
      </c>
      <c r="J65" s="7" t="s">
        <v>80</v>
      </c>
      <c r="K65" s="17">
        <f t="shared" si="1"/>
        <v>3</v>
      </c>
    </row>
    <row r="66" spans="1:11" ht="13.95" customHeight="1" x14ac:dyDescent="0.3">
      <c r="A66" s="3">
        <v>45722</v>
      </c>
      <c r="B66" s="3" t="s">
        <v>672</v>
      </c>
      <c r="C66" s="3" t="s">
        <v>8</v>
      </c>
      <c r="D66" s="3" t="s">
        <v>76</v>
      </c>
      <c r="E66" s="4">
        <v>0.6</v>
      </c>
      <c r="F66" s="5">
        <v>0.65</v>
      </c>
      <c r="G66" s="6">
        <v>305</v>
      </c>
      <c r="H66" s="30">
        <v>2.1</v>
      </c>
      <c r="I66" s="21">
        <f t="shared" si="0"/>
        <v>232.59600000000003</v>
      </c>
      <c r="J66" s="7" t="s">
        <v>81</v>
      </c>
      <c r="K66" s="17">
        <f t="shared" si="1"/>
        <v>3</v>
      </c>
    </row>
    <row r="67" spans="1:11" ht="13.95" customHeight="1" x14ac:dyDescent="0.3">
      <c r="A67" s="3">
        <v>45723</v>
      </c>
      <c r="B67" s="3" t="s">
        <v>672</v>
      </c>
      <c r="C67" s="3" t="s">
        <v>11</v>
      </c>
      <c r="D67" s="3" t="s">
        <v>76</v>
      </c>
      <c r="E67" s="4">
        <v>0.65</v>
      </c>
      <c r="F67" s="5">
        <v>0.72</v>
      </c>
      <c r="G67" s="6">
        <v>305</v>
      </c>
      <c r="H67" s="30">
        <v>2.1</v>
      </c>
      <c r="I67" s="21">
        <f t="shared" ref="I67:I130" si="4">(284*E67)*F67*H67</f>
        <v>279.11519999999996</v>
      </c>
      <c r="J67" s="7" t="s">
        <v>82</v>
      </c>
      <c r="K67" s="17">
        <f t="shared" ref="K67:K130" si="5">MONTH(A67)</f>
        <v>3</v>
      </c>
    </row>
    <row r="68" spans="1:11" ht="13.95" customHeight="1" x14ac:dyDescent="0.3">
      <c r="A68" s="3">
        <v>45724</v>
      </c>
      <c r="B68" s="3" t="s">
        <v>672</v>
      </c>
      <c r="C68" s="3" t="s">
        <v>13</v>
      </c>
      <c r="D68" s="3" t="s">
        <v>76</v>
      </c>
      <c r="E68" s="4">
        <v>0.75</v>
      </c>
      <c r="F68" s="5">
        <v>0.95</v>
      </c>
      <c r="G68" s="6">
        <v>305</v>
      </c>
      <c r="H68" s="30">
        <v>2.1</v>
      </c>
      <c r="I68" s="21">
        <f t="shared" si="4"/>
        <v>424.935</v>
      </c>
      <c r="J68" s="7" t="s">
        <v>83</v>
      </c>
      <c r="K68" s="17">
        <f t="shared" si="5"/>
        <v>3</v>
      </c>
    </row>
    <row r="69" spans="1:11" ht="13.95" customHeight="1" x14ac:dyDescent="0.3">
      <c r="A69" s="3">
        <v>45725</v>
      </c>
      <c r="B69" s="3" t="s">
        <v>672</v>
      </c>
      <c r="C69" s="3" t="s">
        <v>16</v>
      </c>
      <c r="D69" s="3" t="s">
        <v>76</v>
      </c>
      <c r="E69" s="4">
        <v>0.7</v>
      </c>
      <c r="F69" s="5">
        <v>0.9</v>
      </c>
      <c r="G69" s="6">
        <v>305</v>
      </c>
      <c r="H69" s="30">
        <v>2.1</v>
      </c>
      <c r="I69" s="21">
        <f t="shared" si="4"/>
        <v>375.73199999999997</v>
      </c>
      <c r="J69" s="7" t="s">
        <v>84</v>
      </c>
      <c r="K69" s="17">
        <f t="shared" si="5"/>
        <v>3</v>
      </c>
    </row>
    <row r="70" spans="1:11" ht="13.95" customHeight="1" x14ac:dyDescent="0.3">
      <c r="A70" s="3">
        <v>45726</v>
      </c>
      <c r="B70" s="3" t="s">
        <v>672</v>
      </c>
      <c r="C70" s="3" t="s">
        <v>18</v>
      </c>
      <c r="D70" s="3" t="s">
        <v>76</v>
      </c>
      <c r="E70" s="4">
        <v>0.5</v>
      </c>
      <c r="F70" s="5">
        <v>0.6</v>
      </c>
      <c r="G70" s="6">
        <v>305</v>
      </c>
      <c r="H70" s="30">
        <v>2.1</v>
      </c>
      <c r="I70" s="21">
        <f t="shared" si="4"/>
        <v>178.92000000000002</v>
      </c>
      <c r="J70" s="7" t="s">
        <v>85</v>
      </c>
      <c r="K70" s="17">
        <f t="shared" si="5"/>
        <v>3</v>
      </c>
    </row>
    <row r="71" spans="1:11" ht="13.95" customHeight="1" x14ac:dyDescent="0.3">
      <c r="A71" s="3">
        <v>45727</v>
      </c>
      <c r="B71" s="3" t="s">
        <v>672</v>
      </c>
      <c r="C71" s="3" t="s">
        <v>20</v>
      </c>
      <c r="D71" s="3" t="s">
        <v>76</v>
      </c>
      <c r="E71" s="4">
        <v>0.55000000000000004</v>
      </c>
      <c r="F71" s="5">
        <v>0.65</v>
      </c>
      <c r="G71" s="6">
        <v>305</v>
      </c>
      <c r="H71" s="30">
        <v>2.1</v>
      </c>
      <c r="I71" s="21">
        <f t="shared" si="4"/>
        <v>213.21300000000005</v>
      </c>
      <c r="J71" s="7" t="s">
        <v>86</v>
      </c>
      <c r="K71" s="17">
        <f t="shared" si="5"/>
        <v>3</v>
      </c>
    </row>
    <row r="72" spans="1:11" ht="13.95" customHeight="1" x14ac:dyDescent="0.3">
      <c r="A72" s="3">
        <v>45728</v>
      </c>
      <c r="B72" s="3" t="s">
        <v>672</v>
      </c>
      <c r="C72" s="3" t="s">
        <v>5</v>
      </c>
      <c r="D72" s="3" t="s">
        <v>76</v>
      </c>
      <c r="E72" s="4">
        <v>0.57999999999999996</v>
      </c>
      <c r="F72" s="5">
        <v>0.68</v>
      </c>
      <c r="G72" s="6">
        <v>305</v>
      </c>
      <c r="H72" s="30">
        <v>2.1</v>
      </c>
      <c r="I72" s="21">
        <f t="shared" si="4"/>
        <v>235.22016000000002</v>
      </c>
      <c r="J72" s="7" t="s">
        <v>87</v>
      </c>
      <c r="K72" s="17">
        <f t="shared" si="5"/>
        <v>3</v>
      </c>
    </row>
    <row r="73" spans="1:11" ht="13.95" customHeight="1" x14ac:dyDescent="0.3">
      <c r="A73" s="3">
        <v>45729</v>
      </c>
      <c r="B73" s="3" t="s">
        <v>672</v>
      </c>
      <c r="C73" s="3" t="s">
        <v>8</v>
      </c>
      <c r="D73" s="3" t="s">
        <v>76</v>
      </c>
      <c r="E73" s="4">
        <v>0.6</v>
      </c>
      <c r="F73" s="5">
        <v>0.65</v>
      </c>
      <c r="G73" s="6">
        <v>305</v>
      </c>
      <c r="H73" s="30">
        <v>2.1</v>
      </c>
      <c r="I73" s="21">
        <f t="shared" si="4"/>
        <v>232.59600000000003</v>
      </c>
      <c r="J73" s="7" t="s">
        <v>88</v>
      </c>
      <c r="K73" s="17">
        <f t="shared" si="5"/>
        <v>3</v>
      </c>
    </row>
    <row r="74" spans="1:11" ht="13.95" customHeight="1" x14ac:dyDescent="0.3">
      <c r="A74" s="3">
        <v>45730</v>
      </c>
      <c r="B74" s="3" t="s">
        <v>672</v>
      </c>
      <c r="C74" s="3" t="s">
        <v>11</v>
      </c>
      <c r="D74" s="3" t="s">
        <v>76</v>
      </c>
      <c r="E74" s="4">
        <v>0.62</v>
      </c>
      <c r="F74" s="5">
        <v>0.75</v>
      </c>
      <c r="G74" s="6">
        <v>305</v>
      </c>
      <c r="H74" s="30">
        <v>2.1</v>
      </c>
      <c r="I74" s="21">
        <f t="shared" si="4"/>
        <v>277.32600000000002</v>
      </c>
      <c r="J74" s="7" t="s">
        <v>70</v>
      </c>
      <c r="K74" s="17">
        <f t="shared" si="5"/>
        <v>3</v>
      </c>
    </row>
    <row r="75" spans="1:11" ht="13.95" customHeight="1" x14ac:dyDescent="0.3">
      <c r="A75" s="3">
        <v>45731</v>
      </c>
      <c r="B75" s="3" t="s">
        <v>672</v>
      </c>
      <c r="C75" s="3" t="s">
        <v>13</v>
      </c>
      <c r="D75" s="3" t="s">
        <v>76</v>
      </c>
      <c r="E75" s="4">
        <v>0.78</v>
      </c>
      <c r="F75" s="5">
        <v>1</v>
      </c>
      <c r="G75" s="6">
        <v>305</v>
      </c>
      <c r="H75" s="30">
        <v>2.1</v>
      </c>
      <c r="I75" s="21">
        <f t="shared" si="4"/>
        <v>465.19200000000006</v>
      </c>
      <c r="J75" s="7" t="s">
        <v>89</v>
      </c>
      <c r="K75" s="17">
        <f t="shared" si="5"/>
        <v>3</v>
      </c>
    </row>
    <row r="76" spans="1:11" ht="13.95" customHeight="1" x14ac:dyDescent="0.3">
      <c r="A76" s="3">
        <v>45732</v>
      </c>
      <c r="B76" s="3" t="s">
        <v>672</v>
      </c>
      <c r="C76" s="3" t="s">
        <v>16</v>
      </c>
      <c r="D76" s="3" t="s">
        <v>76</v>
      </c>
      <c r="E76" s="4">
        <v>0.72</v>
      </c>
      <c r="F76" s="5">
        <v>0.95</v>
      </c>
      <c r="G76" s="6">
        <v>305</v>
      </c>
      <c r="H76" s="30">
        <v>2.1</v>
      </c>
      <c r="I76" s="21">
        <f t="shared" si="4"/>
        <v>407.93759999999997</v>
      </c>
      <c r="J76" s="7" t="s">
        <v>90</v>
      </c>
      <c r="K76" s="17">
        <f t="shared" si="5"/>
        <v>3</v>
      </c>
    </row>
    <row r="77" spans="1:11" ht="13.95" customHeight="1" x14ac:dyDescent="0.3">
      <c r="A77" s="3">
        <v>45733</v>
      </c>
      <c r="B77" s="3" t="s">
        <v>672</v>
      </c>
      <c r="C77" s="3" t="s">
        <v>18</v>
      </c>
      <c r="D77" s="3" t="s">
        <v>76</v>
      </c>
      <c r="E77" s="4">
        <v>0.48</v>
      </c>
      <c r="F77" s="5">
        <v>0.62</v>
      </c>
      <c r="G77" s="6">
        <v>305</v>
      </c>
      <c r="H77" s="30">
        <v>2.1</v>
      </c>
      <c r="I77" s="21">
        <f t="shared" si="4"/>
        <v>177.48864</v>
      </c>
      <c r="J77" s="7" t="s">
        <v>91</v>
      </c>
      <c r="K77" s="17">
        <f t="shared" si="5"/>
        <v>3</v>
      </c>
    </row>
    <row r="78" spans="1:11" ht="13.95" customHeight="1" x14ac:dyDescent="0.3">
      <c r="A78" s="3">
        <v>45734</v>
      </c>
      <c r="B78" s="3" t="s">
        <v>672</v>
      </c>
      <c r="C78" s="3" t="s">
        <v>20</v>
      </c>
      <c r="D78" s="3" t="s">
        <v>76</v>
      </c>
      <c r="E78" s="4">
        <v>0.52</v>
      </c>
      <c r="F78" s="5">
        <v>0.65</v>
      </c>
      <c r="G78" s="6">
        <v>305</v>
      </c>
      <c r="H78" s="30">
        <v>2.1</v>
      </c>
      <c r="I78" s="21">
        <f t="shared" si="4"/>
        <v>201.58320000000001</v>
      </c>
      <c r="J78" s="7" t="s">
        <v>92</v>
      </c>
      <c r="K78" s="17">
        <f t="shared" si="5"/>
        <v>3</v>
      </c>
    </row>
    <row r="79" spans="1:11" ht="13.95" customHeight="1" x14ac:dyDescent="0.3">
      <c r="A79" s="3">
        <v>45735</v>
      </c>
      <c r="B79" s="3" t="s">
        <v>672</v>
      </c>
      <c r="C79" s="3" t="s">
        <v>5</v>
      </c>
      <c r="D79" s="3" t="s">
        <v>76</v>
      </c>
      <c r="E79" s="4">
        <v>0.55000000000000004</v>
      </c>
      <c r="F79" s="5">
        <v>0.68</v>
      </c>
      <c r="G79" s="6">
        <v>305</v>
      </c>
      <c r="H79" s="30">
        <v>2.1</v>
      </c>
      <c r="I79" s="21">
        <f t="shared" si="4"/>
        <v>223.05360000000005</v>
      </c>
      <c r="J79" s="7" t="s">
        <v>93</v>
      </c>
      <c r="K79" s="17">
        <f t="shared" si="5"/>
        <v>3</v>
      </c>
    </row>
    <row r="80" spans="1:11" ht="13.95" customHeight="1" x14ac:dyDescent="0.3">
      <c r="A80" s="3">
        <v>45736</v>
      </c>
      <c r="B80" s="3" t="s">
        <v>672</v>
      </c>
      <c r="C80" s="3" t="s">
        <v>8</v>
      </c>
      <c r="D80" s="3" t="s">
        <v>94</v>
      </c>
      <c r="E80" s="4">
        <v>0.8</v>
      </c>
      <c r="F80" s="5">
        <v>1.1000000000000001</v>
      </c>
      <c r="G80" s="6">
        <v>305</v>
      </c>
      <c r="H80" s="30">
        <v>2.1</v>
      </c>
      <c r="I80" s="21">
        <f t="shared" si="4"/>
        <v>524.83200000000011</v>
      </c>
      <c r="J80" s="7" t="s">
        <v>95</v>
      </c>
      <c r="K80" s="17">
        <f t="shared" si="5"/>
        <v>3</v>
      </c>
    </row>
    <row r="81" spans="1:11" ht="13.95" customHeight="1" x14ac:dyDescent="0.3">
      <c r="A81" s="3">
        <v>45737</v>
      </c>
      <c r="B81" s="3" t="s">
        <v>672</v>
      </c>
      <c r="C81" s="3" t="s">
        <v>11</v>
      </c>
      <c r="D81" s="3" t="s">
        <v>76</v>
      </c>
      <c r="E81" s="4">
        <v>0.65</v>
      </c>
      <c r="F81" s="5">
        <v>0.8</v>
      </c>
      <c r="G81" s="6">
        <v>305</v>
      </c>
      <c r="H81" s="30">
        <v>2.1</v>
      </c>
      <c r="I81" s="21">
        <f t="shared" si="4"/>
        <v>310.12800000000004</v>
      </c>
      <c r="J81" s="7" t="s">
        <v>96</v>
      </c>
      <c r="K81" s="17">
        <f t="shared" si="5"/>
        <v>3</v>
      </c>
    </row>
    <row r="82" spans="1:11" ht="13.95" customHeight="1" x14ac:dyDescent="0.3">
      <c r="A82" s="3">
        <v>45738</v>
      </c>
      <c r="B82" s="3" t="s">
        <v>672</v>
      </c>
      <c r="C82" s="3" t="s">
        <v>13</v>
      </c>
      <c r="D82" s="3" t="s">
        <v>76</v>
      </c>
      <c r="E82" s="4">
        <v>0.7</v>
      </c>
      <c r="F82" s="5">
        <v>0.95</v>
      </c>
      <c r="G82" s="6">
        <v>305</v>
      </c>
      <c r="H82" s="30">
        <v>2.1</v>
      </c>
      <c r="I82" s="21">
        <f t="shared" si="4"/>
        <v>396.60599999999999</v>
      </c>
      <c r="J82" s="7" t="s">
        <v>97</v>
      </c>
      <c r="K82" s="17">
        <f t="shared" si="5"/>
        <v>3</v>
      </c>
    </row>
    <row r="83" spans="1:11" ht="13.95" customHeight="1" x14ac:dyDescent="0.3">
      <c r="A83" s="3">
        <v>45739</v>
      </c>
      <c r="B83" s="3" t="s">
        <v>672</v>
      </c>
      <c r="C83" s="3" t="s">
        <v>16</v>
      </c>
      <c r="D83" s="3" t="s">
        <v>76</v>
      </c>
      <c r="E83" s="4">
        <v>0.68</v>
      </c>
      <c r="F83" s="5">
        <v>0.9</v>
      </c>
      <c r="G83" s="6">
        <v>305</v>
      </c>
      <c r="H83" s="30">
        <v>2.1</v>
      </c>
      <c r="I83" s="21">
        <f t="shared" si="4"/>
        <v>364.99680000000006</v>
      </c>
      <c r="J83" s="7" t="s">
        <v>97</v>
      </c>
      <c r="K83" s="17">
        <f t="shared" si="5"/>
        <v>3</v>
      </c>
    </row>
    <row r="84" spans="1:11" ht="13.95" customHeight="1" x14ac:dyDescent="0.3">
      <c r="A84" s="3">
        <v>45740</v>
      </c>
      <c r="B84" s="3" t="s">
        <v>672</v>
      </c>
      <c r="C84" s="3" t="s">
        <v>18</v>
      </c>
      <c r="D84" s="3" t="s">
        <v>76</v>
      </c>
      <c r="E84" s="4">
        <v>0.5</v>
      </c>
      <c r="F84" s="5">
        <v>0.65</v>
      </c>
      <c r="G84" s="6">
        <v>305</v>
      </c>
      <c r="H84" s="30">
        <v>2.1</v>
      </c>
      <c r="I84" s="21">
        <f t="shared" si="4"/>
        <v>193.83</v>
      </c>
      <c r="J84" s="7" t="s">
        <v>98</v>
      </c>
      <c r="K84" s="17">
        <f t="shared" si="5"/>
        <v>3</v>
      </c>
    </row>
    <row r="85" spans="1:11" ht="13.95" customHeight="1" x14ac:dyDescent="0.3">
      <c r="A85" s="3">
        <v>45741</v>
      </c>
      <c r="B85" s="3" t="s">
        <v>672</v>
      </c>
      <c r="C85" s="3" t="s">
        <v>20</v>
      </c>
      <c r="D85" s="3" t="s">
        <v>76</v>
      </c>
      <c r="E85" s="4">
        <v>0.52</v>
      </c>
      <c r="F85" s="5">
        <v>0.68</v>
      </c>
      <c r="G85" s="6">
        <v>305</v>
      </c>
      <c r="H85" s="30">
        <v>2.1</v>
      </c>
      <c r="I85" s="21">
        <f t="shared" si="4"/>
        <v>210.88704000000004</v>
      </c>
      <c r="J85" s="7" t="s">
        <v>98</v>
      </c>
      <c r="K85" s="17">
        <f t="shared" si="5"/>
        <v>3</v>
      </c>
    </row>
    <row r="86" spans="1:11" ht="13.95" customHeight="1" x14ac:dyDescent="0.3">
      <c r="A86" s="3">
        <v>45742</v>
      </c>
      <c r="B86" s="3" t="s">
        <v>672</v>
      </c>
      <c r="C86" s="3" t="s">
        <v>5</v>
      </c>
      <c r="D86" s="3" t="s">
        <v>76</v>
      </c>
      <c r="E86" s="4">
        <v>0.55000000000000004</v>
      </c>
      <c r="F86" s="5">
        <v>0.7</v>
      </c>
      <c r="G86" s="6">
        <v>305</v>
      </c>
      <c r="H86" s="30">
        <v>2.1</v>
      </c>
      <c r="I86" s="21">
        <f t="shared" si="4"/>
        <v>229.614</v>
      </c>
      <c r="J86" s="7" t="s">
        <v>98</v>
      </c>
      <c r="K86" s="17">
        <f t="shared" si="5"/>
        <v>3</v>
      </c>
    </row>
    <row r="87" spans="1:11" ht="13.95" customHeight="1" x14ac:dyDescent="0.3">
      <c r="A87" s="3">
        <v>45743</v>
      </c>
      <c r="B87" s="3" t="s">
        <v>672</v>
      </c>
      <c r="C87" s="3" t="s">
        <v>8</v>
      </c>
      <c r="D87" s="3" t="s">
        <v>76</v>
      </c>
      <c r="E87" s="4">
        <v>0.57999999999999996</v>
      </c>
      <c r="F87" s="5">
        <v>0.72</v>
      </c>
      <c r="G87" s="6">
        <v>305</v>
      </c>
      <c r="H87" s="30">
        <v>2.1</v>
      </c>
      <c r="I87" s="21">
        <f t="shared" si="4"/>
        <v>249.05664000000002</v>
      </c>
      <c r="J87" s="7" t="s">
        <v>99</v>
      </c>
      <c r="K87" s="17">
        <f t="shared" si="5"/>
        <v>3</v>
      </c>
    </row>
    <row r="88" spans="1:11" ht="13.95" customHeight="1" x14ac:dyDescent="0.3">
      <c r="A88" s="3">
        <v>45744</v>
      </c>
      <c r="B88" s="3" t="s">
        <v>672</v>
      </c>
      <c r="C88" s="3" t="s">
        <v>11</v>
      </c>
      <c r="D88" s="3" t="s">
        <v>76</v>
      </c>
      <c r="E88" s="4">
        <v>0.62</v>
      </c>
      <c r="F88" s="5">
        <v>0.85</v>
      </c>
      <c r="G88" s="6">
        <v>305</v>
      </c>
      <c r="H88" s="30">
        <v>2.1</v>
      </c>
      <c r="I88" s="21">
        <f t="shared" si="4"/>
        <v>314.30280000000005</v>
      </c>
      <c r="J88" s="7" t="s">
        <v>100</v>
      </c>
      <c r="K88" s="17">
        <f t="shared" si="5"/>
        <v>3</v>
      </c>
    </row>
    <row r="89" spans="1:11" ht="13.95" customHeight="1" x14ac:dyDescent="0.3">
      <c r="A89" s="3">
        <v>45745</v>
      </c>
      <c r="B89" s="3" t="s">
        <v>672</v>
      </c>
      <c r="C89" s="3" t="s">
        <v>13</v>
      </c>
      <c r="D89" s="3" t="s">
        <v>101</v>
      </c>
      <c r="E89" s="4">
        <v>0.85</v>
      </c>
      <c r="F89" s="5">
        <v>1.2</v>
      </c>
      <c r="G89" s="6">
        <v>305</v>
      </c>
      <c r="H89" s="30">
        <v>2.1</v>
      </c>
      <c r="I89" s="21">
        <f t="shared" si="4"/>
        <v>608.32800000000009</v>
      </c>
      <c r="J89" s="7" t="s">
        <v>102</v>
      </c>
      <c r="K89" s="17">
        <f t="shared" si="5"/>
        <v>3</v>
      </c>
    </row>
    <row r="90" spans="1:11" ht="13.95" customHeight="1" x14ac:dyDescent="0.3">
      <c r="A90" s="3">
        <v>45746</v>
      </c>
      <c r="B90" s="3" t="s">
        <v>672</v>
      </c>
      <c r="C90" s="3" t="s">
        <v>16</v>
      </c>
      <c r="D90" s="3" t="s">
        <v>101</v>
      </c>
      <c r="E90" s="4">
        <v>0.9</v>
      </c>
      <c r="F90" s="5">
        <v>1.3</v>
      </c>
      <c r="G90" s="6">
        <v>305</v>
      </c>
      <c r="H90" s="30">
        <v>2.1</v>
      </c>
      <c r="I90" s="21">
        <f t="shared" si="4"/>
        <v>697.78800000000012</v>
      </c>
      <c r="J90" s="7" t="s">
        <v>103</v>
      </c>
      <c r="K90" s="17">
        <f t="shared" si="5"/>
        <v>3</v>
      </c>
    </row>
    <row r="91" spans="1:11" ht="13.95" customHeight="1" x14ac:dyDescent="0.3">
      <c r="A91" s="3">
        <v>45747</v>
      </c>
      <c r="B91" s="3" t="s">
        <v>672</v>
      </c>
      <c r="C91" s="3" t="s">
        <v>18</v>
      </c>
      <c r="D91" s="3" t="s">
        <v>104</v>
      </c>
      <c r="E91" s="4">
        <v>0.95</v>
      </c>
      <c r="F91" s="5">
        <v>2.6</v>
      </c>
      <c r="G91" s="6">
        <v>305</v>
      </c>
      <c r="H91" s="30">
        <v>2.1</v>
      </c>
      <c r="I91" s="21">
        <f t="shared" si="4"/>
        <v>1473.1080000000002</v>
      </c>
      <c r="J91" s="7" t="s">
        <v>105</v>
      </c>
      <c r="K91" s="17">
        <f t="shared" si="5"/>
        <v>3</v>
      </c>
    </row>
    <row r="92" spans="1:11" ht="13.95" customHeight="1" x14ac:dyDescent="0.3">
      <c r="A92" s="3">
        <v>45748</v>
      </c>
      <c r="B92" s="3" t="s">
        <v>672</v>
      </c>
      <c r="C92" s="3" t="s">
        <v>106</v>
      </c>
      <c r="D92" s="3" t="s">
        <v>107</v>
      </c>
      <c r="E92" s="4">
        <v>0.9</v>
      </c>
      <c r="F92" s="5">
        <v>2.5</v>
      </c>
      <c r="G92" s="6">
        <v>305</v>
      </c>
      <c r="H92" s="30">
        <v>2.1</v>
      </c>
      <c r="I92" s="21">
        <f t="shared" si="4"/>
        <v>1341.9</v>
      </c>
      <c r="J92" s="7" t="s">
        <v>108</v>
      </c>
      <c r="K92" s="17">
        <f t="shared" si="5"/>
        <v>4</v>
      </c>
    </row>
    <row r="93" spans="1:11" ht="13.95" customHeight="1" x14ac:dyDescent="0.3">
      <c r="A93" s="3">
        <v>45749</v>
      </c>
      <c r="B93" s="3" t="s">
        <v>672</v>
      </c>
      <c r="C93" s="3" t="s">
        <v>109</v>
      </c>
      <c r="D93" s="3" t="s">
        <v>110</v>
      </c>
      <c r="E93" s="4">
        <v>0.8</v>
      </c>
      <c r="F93" s="5">
        <v>2.2999999999999998</v>
      </c>
      <c r="G93" s="6">
        <v>305</v>
      </c>
      <c r="H93" s="30">
        <v>2.1</v>
      </c>
      <c r="I93" s="21">
        <f t="shared" si="4"/>
        <v>1097.376</v>
      </c>
      <c r="J93" s="7" t="s">
        <v>111</v>
      </c>
      <c r="K93" s="17">
        <f t="shared" si="5"/>
        <v>4</v>
      </c>
    </row>
    <row r="94" spans="1:11" ht="13.95" customHeight="1" x14ac:dyDescent="0.3">
      <c r="A94" s="3">
        <v>45750</v>
      </c>
      <c r="B94" s="3" t="s">
        <v>672</v>
      </c>
      <c r="C94" s="3" t="s">
        <v>112</v>
      </c>
      <c r="D94" s="3" t="s">
        <v>9</v>
      </c>
      <c r="E94" s="4">
        <v>0.6</v>
      </c>
      <c r="F94" s="5">
        <v>1.85</v>
      </c>
      <c r="G94" s="6">
        <v>305</v>
      </c>
      <c r="H94" s="30">
        <v>2.1</v>
      </c>
      <c r="I94" s="21">
        <f t="shared" si="4"/>
        <v>662.00400000000002</v>
      </c>
      <c r="J94" s="7" t="s">
        <v>113</v>
      </c>
      <c r="K94" s="17">
        <f t="shared" si="5"/>
        <v>4</v>
      </c>
    </row>
    <row r="95" spans="1:11" ht="13.95" customHeight="1" x14ac:dyDescent="0.3">
      <c r="A95" s="3">
        <v>45751</v>
      </c>
      <c r="B95" s="3" t="s">
        <v>672</v>
      </c>
      <c r="C95" s="3" t="s">
        <v>114</v>
      </c>
      <c r="D95" s="3" t="s">
        <v>9</v>
      </c>
      <c r="E95" s="4">
        <v>0.57999999999999996</v>
      </c>
      <c r="F95" s="5">
        <v>1.9</v>
      </c>
      <c r="G95" s="6">
        <v>305</v>
      </c>
      <c r="H95" s="30">
        <v>2.1</v>
      </c>
      <c r="I95" s="21">
        <f t="shared" si="4"/>
        <v>657.2328</v>
      </c>
      <c r="J95" s="7" t="s">
        <v>115</v>
      </c>
      <c r="K95" s="17">
        <f t="shared" si="5"/>
        <v>4</v>
      </c>
    </row>
    <row r="96" spans="1:11" ht="13.95" customHeight="1" x14ac:dyDescent="0.3">
      <c r="A96" s="3">
        <v>45752</v>
      </c>
      <c r="B96" s="3" t="s">
        <v>672</v>
      </c>
      <c r="C96" s="3" t="s">
        <v>116</v>
      </c>
      <c r="D96" s="3" t="s">
        <v>14</v>
      </c>
      <c r="E96" s="4">
        <v>0.7</v>
      </c>
      <c r="F96" s="5">
        <v>2.2000000000000002</v>
      </c>
      <c r="G96" s="6">
        <v>305</v>
      </c>
      <c r="H96" s="30">
        <v>2.1</v>
      </c>
      <c r="I96" s="21">
        <f t="shared" si="4"/>
        <v>918.45600000000002</v>
      </c>
      <c r="J96" s="7" t="s">
        <v>117</v>
      </c>
      <c r="K96" s="17">
        <f t="shared" si="5"/>
        <v>4</v>
      </c>
    </row>
    <row r="97" spans="1:11" ht="13.95" customHeight="1" x14ac:dyDescent="0.3">
      <c r="A97" s="3">
        <v>45753</v>
      </c>
      <c r="B97" s="3" t="s">
        <v>672</v>
      </c>
      <c r="C97" s="3" t="s">
        <v>118</v>
      </c>
      <c r="D97" s="3" t="s">
        <v>14</v>
      </c>
      <c r="E97" s="4">
        <v>0.65</v>
      </c>
      <c r="F97" s="5">
        <v>2.15</v>
      </c>
      <c r="G97" s="6">
        <v>305</v>
      </c>
      <c r="H97" s="30">
        <v>2.1</v>
      </c>
      <c r="I97" s="21">
        <f t="shared" si="4"/>
        <v>833.46900000000005</v>
      </c>
      <c r="J97" s="7" t="s">
        <v>119</v>
      </c>
      <c r="K97" s="17">
        <f t="shared" si="5"/>
        <v>4</v>
      </c>
    </row>
    <row r="98" spans="1:11" ht="13.95" customHeight="1" x14ac:dyDescent="0.3">
      <c r="A98" s="3">
        <v>45754</v>
      </c>
      <c r="B98" s="3" t="s">
        <v>672</v>
      </c>
      <c r="C98" s="3" t="s">
        <v>120</v>
      </c>
      <c r="D98" s="3" t="s">
        <v>9</v>
      </c>
      <c r="E98" s="4">
        <v>0.45</v>
      </c>
      <c r="F98" s="5">
        <v>1.75</v>
      </c>
      <c r="G98" s="6">
        <v>305</v>
      </c>
      <c r="H98" s="30">
        <v>2.1</v>
      </c>
      <c r="I98" s="21">
        <f t="shared" si="4"/>
        <v>469.66500000000002</v>
      </c>
      <c r="J98" s="7" t="s">
        <v>121</v>
      </c>
      <c r="K98" s="17">
        <f t="shared" si="5"/>
        <v>4</v>
      </c>
    </row>
    <row r="99" spans="1:11" ht="13.95" customHeight="1" x14ac:dyDescent="0.3">
      <c r="A99" s="3">
        <v>45755</v>
      </c>
      <c r="B99" s="3" t="s">
        <v>672</v>
      </c>
      <c r="C99" s="3" t="s">
        <v>106</v>
      </c>
      <c r="D99" s="3" t="s">
        <v>9</v>
      </c>
      <c r="E99" s="4">
        <v>0.48</v>
      </c>
      <c r="F99" s="5">
        <v>1.78</v>
      </c>
      <c r="G99" s="6">
        <v>305</v>
      </c>
      <c r="H99" s="30">
        <v>2.1</v>
      </c>
      <c r="I99" s="21">
        <f t="shared" si="4"/>
        <v>509.56416000000002</v>
      </c>
      <c r="J99" s="7" t="s">
        <v>57</v>
      </c>
      <c r="K99" s="17">
        <f t="shared" si="5"/>
        <v>4</v>
      </c>
    </row>
    <row r="100" spans="1:11" ht="13.95" customHeight="1" x14ac:dyDescent="0.3">
      <c r="A100" s="3">
        <v>45756</v>
      </c>
      <c r="B100" s="3" t="s">
        <v>672</v>
      </c>
      <c r="C100" s="3" t="s">
        <v>109</v>
      </c>
      <c r="D100" s="3" t="s">
        <v>122</v>
      </c>
      <c r="E100" s="4">
        <v>0.65</v>
      </c>
      <c r="F100" s="5">
        <v>2.1</v>
      </c>
      <c r="G100" s="6">
        <v>305</v>
      </c>
      <c r="H100" s="30">
        <v>2.1</v>
      </c>
      <c r="I100" s="21">
        <f t="shared" si="4"/>
        <v>814.08600000000013</v>
      </c>
      <c r="J100" s="7" t="s">
        <v>123</v>
      </c>
      <c r="K100" s="17">
        <f t="shared" si="5"/>
        <v>4</v>
      </c>
    </row>
    <row r="101" spans="1:11" ht="13.95" customHeight="1" x14ac:dyDescent="0.3">
      <c r="A101" s="3">
        <v>45757</v>
      </c>
      <c r="B101" s="3" t="s">
        <v>672</v>
      </c>
      <c r="C101" s="3" t="s">
        <v>112</v>
      </c>
      <c r="D101" s="3" t="s">
        <v>9</v>
      </c>
      <c r="E101" s="4">
        <v>0.55000000000000004</v>
      </c>
      <c r="F101" s="5">
        <v>1.8</v>
      </c>
      <c r="G101" s="6">
        <v>305</v>
      </c>
      <c r="H101" s="30">
        <v>2.1</v>
      </c>
      <c r="I101" s="21">
        <f t="shared" si="4"/>
        <v>590.43600000000004</v>
      </c>
      <c r="J101" s="7" t="s">
        <v>71</v>
      </c>
      <c r="K101" s="17">
        <f t="shared" si="5"/>
        <v>4</v>
      </c>
    </row>
    <row r="102" spans="1:11" ht="13.95" customHeight="1" x14ac:dyDescent="0.3">
      <c r="A102" s="3">
        <v>45758</v>
      </c>
      <c r="B102" s="3" t="s">
        <v>672</v>
      </c>
      <c r="C102" s="3" t="s">
        <v>114</v>
      </c>
      <c r="D102" s="3" t="s">
        <v>9</v>
      </c>
      <c r="E102" s="4">
        <v>0.57999999999999996</v>
      </c>
      <c r="F102" s="5">
        <v>1.92</v>
      </c>
      <c r="G102" s="6">
        <v>305</v>
      </c>
      <c r="H102" s="30">
        <v>2.1</v>
      </c>
      <c r="I102" s="21">
        <f t="shared" si="4"/>
        <v>664.15104000000008</v>
      </c>
      <c r="J102" s="7" t="s">
        <v>67</v>
      </c>
      <c r="K102" s="17">
        <f t="shared" si="5"/>
        <v>4</v>
      </c>
    </row>
    <row r="103" spans="1:11" ht="13.95" customHeight="1" x14ac:dyDescent="0.3">
      <c r="A103" s="3">
        <v>45759</v>
      </c>
      <c r="B103" s="3" t="s">
        <v>672</v>
      </c>
      <c r="C103" s="3" t="s">
        <v>116</v>
      </c>
      <c r="D103" s="3" t="s">
        <v>14</v>
      </c>
      <c r="E103" s="4">
        <v>0.72</v>
      </c>
      <c r="F103" s="5">
        <v>2.25</v>
      </c>
      <c r="G103" s="6">
        <v>305</v>
      </c>
      <c r="H103" s="30">
        <v>2.1</v>
      </c>
      <c r="I103" s="21">
        <f t="shared" si="4"/>
        <v>966.16800000000001</v>
      </c>
      <c r="J103" s="7" t="s">
        <v>124</v>
      </c>
      <c r="K103" s="17">
        <f t="shared" si="5"/>
        <v>4</v>
      </c>
    </row>
    <row r="104" spans="1:11" ht="13.95" customHeight="1" x14ac:dyDescent="0.3">
      <c r="A104" s="3">
        <v>45760</v>
      </c>
      <c r="B104" s="3" t="s">
        <v>672</v>
      </c>
      <c r="C104" s="3" t="s">
        <v>118</v>
      </c>
      <c r="D104" s="3" t="s">
        <v>14</v>
      </c>
      <c r="E104" s="4">
        <v>0.68</v>
      </c>
      <c r="F104" s="5">
        <v>2.1800000000000002</v>
      </c>
      <c r="G104" s="6">
        <v>305</v>
      </c>
      <c r="H104" s="30">
        <v>2.1</v>
      </c>
      <c r="I104" s="21">
        <f t="shared" si="4"/>
        <v>884.10336000000018</v>
      </c>
      <c r="J104" s="7" t="s">
        <v>69</v>
      </c>
      <c r="K104" s="17">
        <f t="shared" si="5"/>
        <v>4</v>
      </c>
    </row>
    <row r="105" spans="1:11" ht="13.95" customHeight="1" x14ac:dyDescent="0.3">
      <c r="A105" s="3">
        <v>45761</v>
      </c>
      <c r="B105" s="3" t="s">
        <v>672</v>
      </c>
      <c r="C105" s="3" t="s">
        <v>120</v>
      </c>
      <c r="D105" s="3" t="s">
        <v>9</v>
      </c>
      <c r="E105" s="4">
        <v>0.44</v>
      </c>
      <c r="F105" s="5">
        <v>1.72</v>
      </c>
      <c r="G105" s="6">
        <v>305</v>
      </c>
      <c r="H105" s="30">
        <v>2.1</v>
      </c>
      <c r="I105" s="21">
        <f t="shared" si="4"/>
        <v>451.35552000000001</v>
      </c>
      <c r="J105" s="7" t="s">
        <v>125</v>
      </c>
      <c r="K105" s="17">
        <f t="shared" si="5"/>
        <v>4</v>
      </c>
    </row>
    <row r="106" spans="1:11" ht="13.95" customHeight="1" x14ac:dyDescent="0.3">
      <c r="A106" s="3">
        <v>45762</v>
      </c>
      <c r="B106" s="3" t="s">
        <v>672</v>
      </c>
      <c r="C106" s="3" t="s">
        <v>106</v>
      </c>
      <c r="D106" s="3" t="s">
        <v>9</v>
      </c>
      <c r="E106" s="4">
        <v>0.46</v>
      </c>
      <c r="F106" s="5">
        <v>1.76</v>
      </c>
      <c r="G106" s="6">
        <v>305</v>
      </c>
      <c r="H106" s="30">
        <v>2.1</v>
      </c>
      <c r="I106" s="21">
        <f t="shared" si="4"/>
        <v>482.84544000000011</v>
      </c>
      <c r="J106" s="7" t="s">
        <v>88</v>
      </c>
      <c r="K106" s="17">
        <f t="shared" si="5"/>
        <v>4</v>
      </c>
    </row>
    <row r="107" spans="1:11" ht="13.95" customHeight="1" x14ac:dyDescent="0.3">
      <c r="A107" s="3">
        <v>45763</v>
      </c>
      <c r="B107" s="3" t="s">
        <v>672</v>
      </c>
      <c r="C107" s="3" t="s">
        <v>109</v>
      </c>
      <c r="D107" s="3" t="s">
        <v>9</v>
      </c>
      <c r="E107" s="4">
        <v>0.5</v>
      </c>
      <c r="F107" s="5">
        <v>1.8</v>
      </c>
      <c r="G107" s="6">
        <v>305</v>
      </c>
      <c r="H107" s="30">
        <v>2.1</v>
      </c>
      <c r="I107" s="21">
        <f t="shared" si="4"/>
        <v>536.76</v>
      </c>
      <c r="J107" s="7" t="s">
        <v>88</v>
      </c>
      <c r="K107" s="17">
        <f t="shared" si="5"/>
        <v>4</v>
      </c>
    </row>
    <row r="108" spans="1:11" ht="13.95" customHeight="1" x14ac:dyDescent="0.3">
      <c r="A108" s="3">
        <v>45764</v>
      </c>
      <c r="B108" s="3" t="s">
        <v>672</v>
      </c>
      <c r="C108" s="3" t="s">
        <v>112</v>
      </c>
      <c r="D108" s="3" t="s">
        <v>9</v>
      </c>
      <c r="E108" s="4">
        <v>0.52</v>
      </c>
      <c r="F108" s="5">
        <v>1.82</v>
      </c>
      <c r="G108" s="6">
        <v>305</v>
      </c>
      <c r="H108" s="30">
        <v>2.1</v>
      </c>
      <c r="I108" s="21">
        <f t="shared" si="4"/>
        <v>564.43296000000009</v>
      </c>
      <c r="J108" s="7" t="s">
        <v>88</v>
      </c>
      <c r="K108" s="17">
        <f t="shared" si="5"/>
        <v>4</v>
      </c>
    </row>
    <row r="109" spans="1:11" ht="13.95" customHeight="1" x14ac:dyDescent="0.3">
      <c r="A109" s="3">
        <v>45765</v>
      </c>
      <c r="B109" s="3" t="s">
        <v>672</v>
      </c>
      <c r="C109" s="3" t="s">
        <v>114</v>
      </c>
      <c r="D109" s="3" t="s">
        <v>9</v>
      </c>
      <c r="E109" s="4">
        <v>0.56000000000000005</v>
      </c>
      <c r="F109" s="5">
        <v>1.95</v>
      </c>
      <c r="G109" s="6">
        <v>305</v>
      </c>
      <c r="H109" s="30">
        <v>2.1</v>
      </c>
      <c r="I109" s="21">
        <f t="shared" si="4"/>
        <v>651.26880000000017</v>
      </c>
      <c r="J109" s="7" t="s">
        <v>126</v>
      </c>
      <c r="K109" s="17">
        <f t="shared" si="5"/>
        <v>4</v>
      </c>
    </row>
    <row r="110" spans="1:11" ht="13.95" customHeight="1" x14ac:dyDescent="0.3">
      <c r="A110" s="3">
        <v>45766</v>
      </c>
      <c r="B110" s="3" t="s">
        <v>672</v>
      </c>
      <c r="C110" s="3" t="s">
        <v>116</v>
      </c>
      <c r="D110" s="3" t="s">
        <v>14</v>
      </c>
      <c r="E110" s="4">
        <v>0.78</v>
      </c>
      <c r="F110" s="5">
        <v>2.2999999999999998</v>
      </c>
      <c r="G110" s="6">
        <v>305</v>
      </c>
      <c r="H110" s="30">
        <v>2.1</v>
      </c>
      <c r="I110" s="21">
        <f t="shared" si="4"/>
        <v>1069.9416000000001</v>
      </c>
      <c r="J110" s="7" t="s">
        <v>127</v>
      </c>
      <c r="K110" s="17">
        <f t="shared" si="5"/>
        <v>4</v>
      </c>
    </row>
    <row r="111" spans="1:11" ht="13.95" customHeight="1" x14ac:dyDescent="0.3">
      <c r="A111" s="3">
        <v>45767</v>
      </c>
      <c r="B111" s="3" t="s">
        <v>672</v>
      </c>
      <c r="C111" s="3" t="s">
        <v>118</v>
      </c>
      <c r="D111" s="3" t="s">
        <v>14</v>
      </c>
      <c r="E111" s="4">
        <v>0.74</v>
      </c>
      <c r="F111" s="5">
        <v>2.2200000000000002</v>
      </c>
      <c r="G111" s="6">
        <v>305</v>
      </c>
      <c r="H111" s="30">
        <v>2.1</v>
      </c>
      <c r="I111" s="21">
        <f t="shared" si="4"/>
        <v>979.76592000000005</v>
      </c>
      <c r="J111" s="7" t="s">
        <v>69</v>
      </c>
      <c r="K111" s="17">
        <f t="shared" si="5"/>
        <v>4</v>
      </c>
    </row>
    <row r="112" spans="1:11" ht="13.95" customHeight="1" x14ac:dyDescent="0.3">
      <c r="A112" s="3">
        <v>45768</v>
      </c>
      <c r="B112" s="3" t="s">
        <v>672</v>
      </c>
      <c r="C112" s="3" t="s">
        <v>120</v>
      </c>
      <c r="D112" s="3" t="s">
        <v>9</v>
      </c>
      <c r="E112" s="4">
        <v>0.5</v>
      </c>
      <c r="F112" s="5">
        <v>1.78</v>
      </c>
      <c r="G112" s="6">
        <v>305</v>
      </c>
      <c r="H112" s="30">
        <v>2.1</v>
      </c>
      <c r="I112" s="21">
        <f t="shared" si="4"/>
        <v>530.79600000000005</v>
      </c>
      <c r="J112" s="7" t="s">
        <v>128</v>
      </c>
      <c r="K112" s="17">
        <f t="shared" si="5"/>
        <v>4</v>
      </c>
    </row>
    <row r="113" spans="1:11" ht="13.95" customHeight="1" x14ac:dyDescent="0.3">
      <c r="A113" s="3">
        <v>45769</v>
      </c>
      <c r="B113" s="3" t="s">
        <v>672</v>
      </c>
      <c r="C113" s="3" t="s">
        <v>106</v>
      </c>
      <c r="D113" s="3" t="s">
        <v>9</v>
      </c>
      <c r="E113" s="4">
        <v>0.52</v>
      </c>
      <c r="F113" s="5">
        <v>1.75</v>
      </c>
      <c r="G113" s="6">
        <v>305</v>
      </c>
      <c r="H113" s="30">
        <v>2.1</v>
      </c>
      <c r="I113" s="21">
        <f t="shared" si="4"/>
        <v>542.72400000000005</v>
      </c>
      <c r="J113" s="7" t="s">
        <v>57</v>
      </c>
      <c r="K113" s="17">
        <f t="shared" si="5"/>
        <v>4</v>
      </c>
    </row>
    <row r="114" spans="1:11" ht="13.95" customHeight="1" x14ac:dyDescent="0.3">
      <c r="A114" s="3">
        <v>45770</v>
      </c>
      <c r="B114" s="3" t="s">
        <v>672</v>
      </c>
      <c r="C114" s="3" t="s">
        <v>109</v>
      </c>
      <c r="D114" s="3" t="s">
        <v>9</v>
      </c>
      <c r="E114" s="4">
        <v>0.55000000000000004</v>
      </c>
      <c r="F114" s="5">
        <v>1.8</v>
      </c>
      <c r="G114" s="6">
        <v>305</v>
      </c>
      <c r="H114" s="30">
        <v>2.1</v>
      </c>
      <c r="I114" s="21">
        <f t="shared" si="4"/>
        <v>590.43600000000004</v>
      </c>
      <c r="J114" s="7" t="s">
        <v>129</v>
      </c>
      <c r="K114" s="17">
        <f t="shared" si="5"/>
        <v>4</v>
      </c>
    </row>
    <row r="115" spans="1:11" ht="13.95" customHeight="1" x14ac:dyDescent="0.3">
      <c r="A115" s="3">
        <v>45771</v>
      </c>
      <c r="B115" s="3" t="s">
        <v>672</v>
      </c>
      <c r="C115" s="3" t="s">
        <v>112</v>
      </c>
      <c r="D115" s="3" t="s">
        <v>9</v>
      </c>
      <c r="E115" s="4">
        <v>0.57999999999999996</v>
      </c>
      <c r="F115" s="5">
        <v>1.84</v>
      </c>
      <c r="G115" s="6">
        <v>305</v>
      </c>
      <c r="H115" s="30">
        <v>2.1</v>
      </c>
      <c r="I115" s="21">
        <f t="shared" si="4"/>
        <v>636.47808000000009</v>
      </c>
      <c r="J115" s="7" t="s">
        <v>130</v>
      </c>
      <c r="K115" s="17">
        <f t="shared" si="5"/>
        <v>4</v>
      </c>
    </row>
    <row r="116" spans="1:11" ht="13.95" customHeight="1" x14ac:dyDescent="0.3">
      <c r="A116" s="3">
        <v>45772</v>
      </c>
      <c r="B116" s="3" t="s">
        <v>672</v>
      </c>
      <c r="C116" s="3" t="s">
        <v>114</v>
      </c>
      <c r="D116" s="3" t="s">
        <v>9</v>
      </c>
      <c r="E116" s="4">
        <v>0.62</v>
      </c>
      <c r="F116" s="5">
        <v>1.98</v>
      </c>
      <c r="G116" s="6">
        <v>305</v>
      </c>
      <c r="H116" s="30">
        <v>2.1</v>
      </c>
      <c r="I116" s="21">
        <f t="shared" si="4"/>
        <v>732.14064000000008</v>
      </c>
      <c r="J116" s="7" t="s">
        <v>131</v>
      </c>
      <c r="K116" s="17">
        <f t="shared" si="5"/>
        <v>4</v>
      </c>
    </row>
    <row r="117" spans="1:11" ht="13.95" customHeight="1" x14ac:dyDescent="0.3">
      <c r="A117" s="3">
        <v>45773</v>
      </c>
      <c r="B117" s="3" t="s">
        <v>672</v>
      </c>
      <c r="C117" s="3" t="s">
        <v>116</v>
      </c>
      <c r="D117" s="3" t="s">
        <v>14</v>
      </c>
      <c r="E117" s="4">
        <v>0.8</v>
      </c>
      <c r="F117" s="5">
        <v>2.35</v>
      </c>
      <c r="G117" s="6">
        <v>305</v>
      </c>
      <c r="H117" s="30">
        <v>2.1</v>
      </c>
      <c r="I117" s="21">
        <f t="shared" si="4"/>
        <v>1121.2320000000002</v>
      </c>
      <c r="J117" s="7" t="s">
        <v>132</v>
      </c>
      <c r="K117" s="17">
        <f t="shared" si="5"/>
        <v>4</v>
      </c>
    </row>
    <row r="118" spans="1:11" ht="13.95" customHeight="1" x14ac:dyDescent="0.3">
      <c r="A118" s="3">
        <v>45774</v>
      </c>
      <c r="B118" s="3" t="s">
        <v>672</v>
      </c>
      <c r="C118" s="3" t="s">
        <v>118</v>
      </c>
      <c r="D118" s="3" t="s">
        <v>14</v>
      </c>
      <c r="E118" s="4">
        <v>0.75</v>
      </c>
      <c r="F118" s="5">
        <v>2.25</v>
      </c>
      <c r="G118" s="6">
        <v>305</v>
      </c>
      <c r="H118" s="30">
        <v>2.1</v>
      </c>
      <c r="I118" s="21">
        <f t="shared" si="4"/>
        <v>1006.4250000000001</v>
      </c>
      <c r="J118" s="7" t="s">
        <v>69</v>
      </c>
      <c r="K118" s="17">
        <f t="shared" si="5"/>
        <v>4</v>
      </c>
    </row>
    <row r="119" spans="1:11" ht="13.95" customHeight="1" x14ac:dyDescent="0.3">
      <c r="A119" s="3">
        <v>45775</v>
      </c>
      <c r="B119" s="3" t="s">
        <v>672</v>
      </c>
      <c r="C119" s="3" t="s">
        <v>120</v>
      </c>
      <c r="D119" s="3" t="s">
        <v>9</v>
      </c>
      <c r="E119" s="4">
        <v>0.48</v>
      </c>
      <c r="F119" s="5">
        <v>1.75</v>
      </c>
      <c r="G119" s="6">
        <v>305</v>
      </c>
      <c r="H119" s="30">
        <v>2.1</v>
      </c>
      <c r="I119" s="21">
        <f t="shared" si="4"/>
        <v>500.976</v>
      </c>
      <c r="J119" s="7" t="s">
        <v>56</v>
      </c>
      <c r="K119" s="17">
        <f t="shared" si="5"/>
        <v>4</v>
      </c>
    </row>
    <row r="120" spans="1:11" ht="13.95" customHeight="1" x14ac:dyDescent="0.3">
      <c r="A120" s="3">
        <v>45776</v>
      </c>
      <c r="B120" s="3" t="s">
        <v>672</v>
      </c>
      <c r="C120" s="3" t="s">
        <v>106</v>
      </c>
      <c r="D120" s="3" t="s">
        <v>9</v>
      </c>
      <c r="E120" s="4">
        <v>0.5</v>
      </c>
      <c r="F120" s="5">
        <v>1.8</v>
      </c>
      <c r="G120" s="6">
        <v>305</v>
      </c>
      <c r="H120" s="30">
        <v>2.1</v>
      </c>
      <c r="I120" s="21">
        <f t="shared" si="4"/>
        <v>536.76</v>
      </c>
      <c r="J120" s="7" t="s">
        <v>88</v>
      </c>
      <c r="K120" s="17">
        <f t="shared" si="5"/>
        <v>4</v>
      </c>
    </row>
    <row r="121" spans="1:11" ht="13.95" customHeight="1" x14ac:dyDescent="0.3">
      <c r="A121" s="3">
        <v>45777</v>
      </c>
      <c r="B121" s="3" t="s">
        <v>672</v>
      </c>
      <c r="C121" s="3" t="s">
        <v>109</v>
      </c>
      <c r="D121" s="3" t="s">
        <v>9</v>
      </c>
      <c r="E121" s="4">
        <v>0.65</v>
      </c>
      <c r="F121" s="5">
        <v>2.0499999999999998</v>
      </c>
      <c r="G121" s="6">
        <v>305</v>
      </c>
      <c r="H121" s="30">
        <v>2.1</v>
      </c>
      <c r="I121" s="21">
        <f t="shared" si="4"/>
        <v>794.70299999999997</v>
      </c>
      <c r="J121" s="7" t="s">
        <v>133</v>
      </c>
      <c r="K121" s="17">
        <f t="shared" si="5"/>
        <v>4</v>
      </c>
    </row>
    <row r="122" spans="1:11" ht="13.95" customHeight="1" x14ac:dyDescent="0.3">
      <c r="A122" s="3">
        <v>45778</v>
      </c>
      <c r="B122" s="3" t="s">
        <v>672</v>
      </c>
      <c r="C122" s="3" t="s">
        <v>112</v>
      </c>
      <c r="D122" s="3" t="s">
        <v>134</v>
      </c>
      <c r="E122" s="4">
        <v>0.85</v>
      </c>
      <c r="F122" s="5">
        <v>2.4</v>
      </c>
      <c r="G122" s="6">
        <v>305</v>
      </c>
      <c r="H122" s="30">
        <v>2.1</v>
      </c>
      <c r="I122" s="21">
        <f t="shared" si="4"/>
        <v>1216.6560000000002</v>
      </c>
      <c r="J122" s="7" t="s">
        <v>135</v>
      </c>
      <c r="K122" s="17">
        <f t="shared" si="5"/>
        <v>5</v>
      </c>
    </row>
    <row r="123" spans="1:11" ht="13.95" customHeight="1" x14ac:dyDescent="0.3">
      <c r="A123" s="3">
        <v>45779</v>
      </c>
      <c r="B123" s="3" t="s">
        <v>672</v>
      </c>
      <c r="C123" s="3" t="s">
        <v>114</v>
      </c>
      <c r="D123" s="3" t="s">
        <v>136</v>
      </c>
      <c r="E123" s="4">
        <v>0.75</v>
      </c>
      <c r="F123" s="5">
        <v>2.25</v>
      </c>
      <c r="G123" s="6">
        <v>305</v>
      </c>
      <c r="H123" s="30">
        <v>2.1</v>
      </c>
      <c r="I123" s="21">
        <f t="shared" si="4"/>
        <v>1006.4250000000001</v>
      </c>
      <c r="J123" s="7" t="s">
        <v>137</v>
      </c>
      <c r="K123" s="17">
        <f t="shared" si="5"/>
        <v>5</v>
      </c>
    </row>
    <row r="124" spans="1:11" ht="13.95" customHeight="1" x14ac:dyDescent="0.3">
      <c r="A124" s="3">
        <v>45780</v>
      </c>
      <c r="B124" s="3" t="s">
        <v>672</v>
      </c>
      <c r="C124" s="3" t="s">
        <v>116</v>
      </c>
      <c r="D124" s="3" t="s">
        <v>14</v>
      </c>
      <c r="E124" s="4">
        <v>0.8</v>
      </c>
      <c r="F124" s="5">
        <v>2.2999999999999998</v>
      </c>
      <c r="G124" s="6">
        <v>305</v>
      </c>
      <c r="H124" s="30">
        <v>2.1</v>
      </c>
      <c r="I124" s="21">
        <f t="shared" si="4"/>
        <v>1097.376</v>
      </c>
      <c r="J124" s="7" t="s">
        <v>138</v>
      </c>
      <c r="K124" s="17">
        <f t="shared" si="5"/>
        <v>5</v>
      </c>
    </row>
    <row r="125" spans="1:11" ht="13.95" customHeight="1" x14ac:dyDescent="0.3">
      <c r="A125" s="3">
        <v>45781</v>
      </c>
      <c r="B125" s="3" t="s">
        <v>672</v>
      </c>
      <c r="C125" s="3" t="s">
        <v>118</v>
      </c>
      <c r="D125" s="3" t="s">
        <v>14</v>
      </c>
      <c r="E125" s="4">
        <v>0.78</v>
      </c>
      <c r="F125" s="5">
        <v>2.2000000000000002</v>
      </c>
      <c r="G125" s="6">
        <v>305</v>
      </c>
      <c r="H125" s="30">
        <v>2.1</v>
      </c>
      <c r="I125" s="21">
        <f t="shared" si="4"/>
        <v>1023.4224000000002</v>
      </c>
      <c r="J125" s="7" t="s">
        <v>139</v>
      </c>
      <c r="K125" s="17">
        <f t="shared" si="5"/>
        <v>5</v>
      </c>
    </row>
    <row r="126" spans="1:11" ht="13.95" customHeight="1" x14ac:dyDescent="0.3">
      <c r="A126" s="3">
        <v>45782</v>
      </c>
      <c r="B126" s="3" t="s">
        <v>672</v>
      </c>
      <c r="C126" s="3" t="s">
        <v>120</v>
      </c>
      <c r="D126" s="3" t="s">
        <v>9</v>
      </c>
      <c r="E126" s="4">
        <v>0.55000000000000004</v>
      </c>
      <c r="F126" s="5">
        <v>1.8</v>
      </c>
      <c r="G126" s="6">
        <v>305</v>
      </c>
      <c r="H126" s="30">
        <v>2.1</v>
      </c>
      <c r="I126" s="21">
        <f t="shared" si="4"/>
        <v>590.43600000000004</v>
      </c>
      <c r="J126" s="7" t="s">
        <v>49</v>
      </c>
      <c r="K126" s="17">
        <f t="shared" si="5"/>
        <v>5</v>
      </c>
    </row>
    <row r="127" spans="1:11" ht="13.95" customHeight="1" x14ac:dyDescent="0.3">
      <c r="A127" s="3">
        <v>45783</v>
      </c>
      <c r="B127" s="3" t="s">
        <v>672</v>
      </c>
      <c r="C127" s="3" t="s">
        <v>106</v>
      </c>
      <c r="D127" s="3" t="s">
        <v>9</v>
      </c>
      <c r="E127" s="4">
        <v>0.62</v>
      </c>
      <c r="F127" s="5">
        <v>1.85</v>
      </c>
      <c r="G127" s="6">
        <v>305</v>
      </c>
      <c r="H127" s="30">
        <v>2.1</v>
      </c>
      <c r="I127" s="21">
        <f t="shared" si="4"/>
        <v>684.07080000000008</v>
      </c>
      <c r="J127" s="7" t="s">
        <v>140</v>
      </c>
      <c r="K127" s="17">
        <f t="shared" si="5"/>
        <v>5</v>
      </c>
    </row>
    <row r="128" spans="1:11" ht="13.95" customHeight="1" x14ac:dyDescent="0.3">
      <c r="A128" s="3">
        <v>45784</v>
      </c>
      <c r="B128" s="3" t="s">
        <v>672</v>
      </c>
      <c r="C128" s="3" t="s">
        <v>109</v>
      </c>
      <c r="D128" s="3" t="s">
        <v>9</v>
      </c>
      <c r="E128" s="4">
        <v>0.65</v>
      </c>
      <c r="F128" s="5">
        <v>1.82</v>
      </c>
      <c r="G128" s="6">
        <v>305</v>
      </c>
      <c r="H128" s="30">
        <v>2.1</v>
      </c>
      <c r="I128" s="21">
        <f t="shared" si="4"/>
        <v>705.5412</v>
      </c>
      <c r="J128" s="7" t="s">
        <v>141</v>
      </c>
      <c r="K128" s="17">
        <f t="shared" si="5"/>
        <v>5</v>
      </c>
    </row>
    <row r="129" spans="1:11" ht="13.95" customHeight="1" x14ac:dyDescent="0.3">
      <c r="A129" s="3">
        <v>45785</v>
      </c>
      <c r="B129" s="3" t="s">
        <v>672</v>
      </c>
      <c r="C129" s="3" t="s">
        <v>112</v>
      </c>
      <c r="D129" s="3" t="s">
        <v>9</v>
      </c>
      <c r="E129" s="4">
        <v>0.6</v>
      </c>
      <c r="F129" s="5">
        <v>1.78</v>
      </c>
      <c r="G129" s="6">
        <v>305</v>
      </c>
      <c r="H129" s="30">
        <v>2.1</v>
      </c>
      <c r="I129" s="21">
        <f t="shared" si="4"/>
        <v>636.9552000000001</v>
      </c>
      <c r="J129" s="7" t="s">
        <v>142</v>
      </c>
      <c r="K129" s="17">
        <f t="shared" si="5"/>
        <v>5</v>
      </c>
    </row>
    <row r="130" spans="1:11" ht="13.95" customHeight="1" x14ac:dyDescent="0.3">
      <c r="A130" s="3">
        <v>45786</v>
      </c>
      <c r="B130" s="3" t="s">
        <v>672</v>
      </c>
      <c r="C130" s="3" t="s">
        <v>114</v>
      </c>
      <c r="D130" s="3" t="s">
        <v>9</v>
      </c>
      <c r="E130" s="4">
        <v>0.57999999999999996</v>
      </c>
      <c r="F130" s="5">
        <v>1.95</v>
      </c>
      <c r="G130" s="6">
        <v>305</v>
      </c>
      <c r="H130" s="30">
        <v>2.1</v>
      </c>
      <c r="I130" s="21">
        <f t="shared" si="4"/>
        <v>674.52840000000003</v>
      </c>
      <c r="J130" s="7" t="s">
        <v>82</v>
      </c>
      <c r="K130" s="17">
        <f t="shared" si="5"/>
        <v>5</v>
      </c>
    </row>
    <row r="131" spans="1:11" ht="13.95" customHeight="1" x14ac:dyDescent="0.3">
      <c r="A131" s="3">
        <v>45787</v>
      </c>
      <c r="B131" s="3" t="s">
        <v>672</v>
      </c>
      <c r="C131" s="3" t="s">
        <v>116</v>
      </c>
      <c r="D131" s="3" t="s">
        <v>14</v>
      </c>
      <c r="E131" s="4">
        <v>0.72</v>
      </c>
      <c r="F131" s="5">
        <v>2.2200000000000002</v>
      </c>
      <c r="G131" s="6">
        <v>305</v>
      </c>
      <c r="H131" s="30">
        <v>2.1</v>
      </c>
      <c r="I131" s="21">
        <f t="shared" ref="I131:I194" si="6">(284*E131)*F131*H131</f>
        <v>953.2857600000001</v>
      </c>
      <c r="J131" s="7" t="s">
        <v>91</v>
      </c>
      <c r="K131" s="17">
        <f t="shared" ref="K131:K194" si="7">MONTH(A131)</f>
        <v>5</v>
      </c>
    </row>
    <row r="132" spans="1:11" ht="13.95" customHeight="1" x14ac:dyDescent="0.3">
      <c r="A132" s="3">
        <v>45788</v>
      </c>
      <c r="B132" s="3" t="s">
        <v>672</v>
      </c>
      <c r="C132" s="3" t="s">
        <v>118</v>
      </c>
      <c r="D132" s="3" t="s">
        <v>14</v>
      </c>
      <c r="E132" s="4">
        <v>0.68</v>
      </c>
      <c r="F132" s="5">
        <v>2.15</v>
      </c>
      <c r="G132" s="6">
        <v>305</v>
      </c>
      <c r="H132" s="30">
        <v>2.1</v>
      </c>
      <c r="I132" s="21">
        <f t="shared" si="6"/>
        <v>871.93679999999995</v>
      </c>
      <c r="J132" s="7" t="s">
        <v>69</v>
      </c>
      <c r="K132" s="17">
        <f t="shared" si="7"/>
        <v>5</v>
      </c>
    </row>
    <row r="133" spans="1:11" ht="13.95" customHeight="1" x14ac:dyDescent="0.3">
      <c r="A133" s="3">
        <v>45789</v>
      </c>
      <c r="B133" s="3" t="s">
        <v>672</v>
      </c>
      <c r="C133" s="3" t="s">
        <v>120</v>
      </c>
      <c r="D133" s="3" t="s">
        <v>9</v>
      </c>
      <c r="E133" s="4">
        <v>0.5</v>
      </c>
      <c r="F133" s="5">
        <v>1.75</v>
      </c>
      <c r="G133" s="6">
        <v>305</v>
      </c>
      <c r="H133" s="30">
        <v>2.1</v>
      </c>
      <c r="I133" s="21">
        <f t="shared" si="6"/>
        <v>521.85</v>
      </c>
      <c r="J133" s="7" t="s">
        <v>56</v>
      </c>
      <c r="K133" s="17">
        <f t="shared" si="7"/>
        <v>5</v>
      </c>
    </row>
    <row r="134" spans="1:11" ht="13.95" customHeight="1" x14ac:dyDescent="0.3">
      <c r="A134" s="3">
        <v>45790</v>
      </c>
      <c r="B134" s="3" t="s">
        <v>672</v>
      </c>
      <c r="C134" s="3" t="s">
        <v>106</v>
      </c>
      <c r="D134" s="3" t="s">
        <v>9</v>
      </c>
      <c r="E134" s="4">
        <v>0.55000000000000004</v>
      </c>
      <c r="F134" s="5">
        <v>1.8</v>
      </c>
      <c r="G134" s="6">
        <v>305</v>
      </c>
      <c r="H134" s="30">
        <v>2.1</v>
      </c>
      <c r="I134" s="21">
        <f t="shared" si="6"/>
        <v>590.43600000000004</v>
      </c>
      <c r="J134" s="7" t="s">
        <v>143</v>
      </c>
      <c r="K134" s="17">
        <f t="shared" si="7"/>
        <v>5</v>
      </c>
    </row>
    <row r="135" spans="1:11" ht="13.95" customHeight="1" x14ac:dyDescent="0.3">
      <c r="A135" s="3">
        <v>45791</v>
      </c>
      <c r="B135" s="3" t="s">
        <v>672</v>
      </c>
      <c r="C135" s="3" t="s">
        <v>109</v>
      </c>
      <c r="D135" s="3" t="s">
        <v>9</v>
      </c>
      <c r="E135" s="4">
        <v>0.57999999999999996</v>
      </c>
      <c r="F135" s="5">
        <v>1.82</v>
      </c>
      <c r="G135" s="6">
        <v>305</v>
      </c>
      <c r="H135" s="30">
        <v>2.1</v>
      </c>
      <c r="I135" s="21">
        <f t="shared" si="6"/>
        <v>629.55984000000012</v>
      </c>
      <c r="J135" s="7" t="s">
        <v>143</v>
      </c>
      <c r="K135" s="17">
        <f t="shared" si="7"/>
        <v>5</v>
      </c>
    </row>
    <row r="136" spans="1:11" ht="13.95" customHeight="1" x14ac:dyDescent="0.3">
      <c r="A136" s="3">
        <v>45792</v>
      </c>
      <c r="B136" s="3" t="s">
        <v>672</v>
      </c>
      <c r="C136" s="3" t="s">
        <v>112</v>
      </c>
      <c r="D136" s="3" t="s">
        <v>9</v>
      </c>
      <c r="E136" s="4">
        <v>0.54</v>
      </c>
      <c r="F136" s="5">
        <v>1.78</v>
      </c>
      <c r="G136" s="6">
        <v>305</v>
      </c>
      <c r="H136" s="30">
        <v>2.1</v>
      </c>
      <c r="I136" s="21">
        <f t="shared" si="6"/>
        <v>573.25968000000012</v>
      </c>
      <c r="J136" s="7" t="s">
        <v>65</v>
      </c>
      <c r="K136" s="17">
        <f t="shared" si="7"/>
        <v>5</v>
      </c>
    </row>
    <row r="137" spans="1:11" ht="13.95" customHeight="1" x14ac:dyDescent="0.3">
      <c r="A137" s="3">
        <v>45793</v>
      </c>
      <c r="B137" s="3" t="s">
        <v>672</v>
      </c>
      <c r="C137" s="3" t="s">
        <v>114</v>
      </c>
      <c r="D137" s="3" t="s">
        <v>9</v>
      </c>
      <c r="E137" s="4">
        <v>0.6</v>
      </c>
      <c r="F137" s="5">
        <v>1.92</v>
      </c>
      <c r="G137" s="6">
        <v>305</v>
      </c>
      <c r="H137" s="30">
        <v>2.1</v>
      </c>
      <c r="I137" s="21">
        <f t="shared" si="6"/>
        <v>687.05280000000005</v>
      </c>
      <c r="J137" s="7" t="s">
        <v>144</v>
      </c>
      <c r="K137" s="17">
        <f t="shared" si="7"/>
        <v>5</v>
      </c>
    </row>
    <row r="138" spans="1:11" ht="13.95" customHeight="1" x14ac:dyDescent="0.3">
      <c r="A138" s="3">
        <v>45794</v>
      </c>
      <c r="B138" s="3" t="s">
        <v>672</v>
      </c>
      <c r="C138" s="3" t="s">
        <v>116</v>
      </c>
      <c r="D138" s="3" t="s">
        <v>14</v>
      </c>
      <c r="E138" s="4">
        <v>0.75</v>
      </c>
      <c r="F138" s="5">
        <v>2.25</v>
      </c>
      <c r="G138" s="6">
        <v>305</v>
      </c>
      <c r="H138" s="30">
        <v>2.1</v>
      </c>
      <c r="I138" s="21">
        <f t="shared" si="6"/>
        <v>1006.4250000000001</v>
      </c>
      <c r="J138" s="7" t="s">
        <v>145</v>
      </c>
      <c r="K138" s="17">
        <f t="shared" si="7"/>
        <v>5</v>
      </c>
    </row>
    <row r="139" spans="1:11" ht="13.95" customHeight="1" x14ac:dyDescent="0.3">
      <c r="A139" s="3">
        <v>45795</v>
      </c>
      <c r="B139" s="3" t="s">
        <v>672</v>
      </c>
      <c r="C139" s="3" t="s">
        <v>118</v>
      </c>
      <c r="D139" s="3" t="s">
        <v>14</v>
      </c>
      <c r="E139" s="4">
        <v>0.72</v>
      </c>
      <c r="F139" s="5">
        <v>2.1800000000000002</v>
      </c>
      <c r="G139" s="6">
        <v>305</v>
      </c>
      <c r="H139" s="30">
        <v>2.1</v>
      </c>
      <c r="I139" s="21">
        <f t="shared" si="6"/>
        <v>936.10944000000006</v>
      </c>
      <c r="J139" s="7" t="s">
        <v>69</v>
      </c>
      <c r="K139" s="17">
        <f t="shared" si="7"/>
        <v>5</v>
      </c>
    </row>
    <row r="140" spans="1:11" ht="13.95" customHeight="1" x14ac:dyDescent="0.3">
      <c r="A140" s="3">
        <v>45796</v>
      </c>
      <c r="B140" s="3" t="s">
        <v>672</v>
      </c>
      <c r="C140" s="3" t="s">
        <v>120</v>
      </c>
      <c r="D140" s="3" t="s">
        <v>9</v>
      </c>
      <c r="E140" s="4">
        <v>0.48</v>
      </c>
      <c r="F140" s="5">
        <v>1.72</v>
      </c>
      <c r="G140" s="6">
        <v>305</v>
      </c>
      <c r="H140" s="30">
        <v>2.1</v>
      </c>
      <c r="I140" s="21">
        <f t="shared" si="6"/>
        <v>492.38783999999998</v>
      </c>
      <c r="J140" s="7" t="s">
        <v>146</v>
      </c>
      <c r="K140" s="17">
        <f t="shared" si="7"/>
        <v>5</v>
      </c>
    </row>
    <row r="141" spans="1:11" ht="13.95" customHeight="1" x14ac:dyDescent="0.3">
      <c r="A141" s="3">
        <v>45797</v>
      </c>
      <c r="B141" s="3" t="s">
        <v>672</v>
      </c>
      <c r="C141" s="3" t="s">
        <v>106</v>
      </c>
      <c r="D141" s="3" t="s">
        <v>9</v>
      </c>
      <c r="E141" s="4">
        <v>0.52</v>
      </c>
      <c r="F141" s="5">
        <v>1.78</v>
      </c>
      <c r="G141" s="6">
        <v>305</v>
      </c>
      <c r="H141" s="30">
        <v>2.1</v>
      </c>
      <c r="I141" s="21">
        <f t="shared" si="6"/>
        <v>552.02784000000008</v>
      </c>
      <c r="J141" s="7" t="s">
        <v>71</v>
      </c>
      <c r="K141" s="17">
        <f t="shared" si="7"/>
        <v>5</v>
      </c>
    </row>
    <row r="142" spans="1:11" ht="13.95" customHeight="1" x14ac:dyDescent="0.3">
      <c r="A142" s="3">
        <v>45798</v>
      </c>
      <c r="B142" s="3" t="s">
        <v>672</v>
      </c>
      <c r="C142" s="3" t="s">
        <v>109</v>
      </c>
      <c r="D142" s="3" t="s">
        <v>9</v>
      </c>
      <c r="E142" s="4">
        <v>0.55000000000000004</v>
      </c>
      <c r="F142" s="5">
        <v>1.8</v>
      </c>
      <c r="G142" s="6">
        <v>305</v>
      </c>
      <c r="H142" s="30">
        <v>2.1</v>
      </c>
      <c r="I142" s="21">
        <f t="shared" si="6"/>
        <v>590.43600000000004</v>
      </c>
      <c r="J142" s="7" t="s">
        <v>71</v>
      </c>
      <c r="K142" s="17">
        <f t="shared" si="7"/>
        <v>5</v>
      </c>
    </row>
    <row r="143" spans="1:11" ht="13.95" customHeight="1" x14ac:dyDescent="0.3">
      <c r="A143" s="3">
        <v>45799</v>
      </c>
      <c r="B143" s="3" t="s">
        <v>672</v>
      </c>
      <c r="C143" s="3" t="s">
        <v>112</v>
      </c>
      <c r="D143" s="3" t="s">
        <v>9</v>
      </c>
      <c r="E143" s="4">
        <v>0.56999999999999995</v>
      </c>
      <c r="F143" s="5">
        <v>1.83</v>
      </c>
      <c r="G143" s="6">
        <v>305</v>
      </c>
      <c r="H143" s="30">
        <v>2.1</v>
      </c>
      <c r="I143" s="21">
        <f t="shared" si="6"/>
        <v>622.10484000000008</v>
      </c>
      <c r="J143" s="7" t="s">
        <v>71</v>
      </c>
      <c r="K143" s="17">
        <f t="shared" si="7"/>
        <v>5</v>
      </c>
    </row>
    <row r="144" spans="1:11" ht="13.95" customHeight="1" x14ac:dyDescent="0.3">
      <c r="A144" s="3">
        <v>45800</v>
      </c>
      <c r="B144" s="3" t="s">
        <v>672</v>
      </c>
      <c r="C144" s="3" t="s">
        <v>114</v>
      </c>
      <c r="D144" s="3" t="s">
        <v>9</v>
      </c>
      <c r="E144" s="4">
        <v>0.62</v>
      </c>
      <c r="F144" s="5">
        <v>1.96</v>
      </c>
      <c r="G144" s="6">
        <v>305</v>
      </c>
      <c r="H144" s="30">
        <v>2.1</v>
      </c>
      <c r="I144" s="21">
        <f t="shared" si="6"/>
        <v>724.74528000000009</v>
      </c>
      <c r="J144" s="7" t="s">
        <v>147</v>
      </c>
      <c r="K144" s="17">
        <f t="shared" si="7"/>
        <v>5</v>
      </c>
    </row>
    <row r="145" spans="1:11" ht="13.95" customHeight="1" x14ac:dyDescent="0.3">
      <c r="A145" s="3">
        <v>45801</v>
      </c>
      <c r="B145" s="3" t="s">
        <v>672</v>
      </c>
      <c r="C145" s="3" t="s">
        <v>116</v>
      </c>
      <c r="D145" s="3" t="s">
        <v>14</v>
      </c>
      <c r="E145" s="4">
        <v>0.78</v>
      </c>
      <c r="F145" s="5">
        <v>2.2999999999999998</v>
      </c>
      <c r="G145" s="6">
        <v>305</v>
      </c>
      <c r="H145" s="30">
        <v>2.1</v>
      </c>
      <c r="I145" s="21">
        <f t="shared" si="6"/>
        <v>1069.9416000000001</v>
      </c>
      <c r="J145" s="7" t="s">
        <v>148</v>
      </c>
      <c r="K145" s="17">
        <f t="shared" si="7"/>
        <v>5</v>
      </c>
    </row>
    <row r="146" spans="1:11" ht="13.95" customHeight="1" x14ac:dyDescent="0.3">
      <c r="A146" s="3">
        <v>45802</v>
      </c>
      <c r="B146" s="3" t="s">
        <v>672</v>
      </c>
      <c r="C146" s="3" t="s">
        <v>118</v>
      </c>
      <c r="D146" s="3" t="s">
        <v>14</v>
      </c>
      <c r="E146" s="4">
        <v>0.74</v>
      </c>
      <c r="F146" s="5">
        <v>2.2000000000000002</v>
      </c>
      <c r="G146" s="6">
        <v>305</v>
      </c>
      <c r="H146" s="30">
        <v>2.1</v>
      </c>
      <c r="I146" s="21">
        <f t="shared" si="6"/>
        <v>970.93920000000014</v>
      </c>
      <c r="J146" s="7" t="s">
        <v>149</v>
      </c>
      <c r="K146" s="17">
        <f t="shared" si="7"/>
        <v>5</v>
      </c>
    </row>
    <row r="147" spans="1:11" ht="13.95" customHeight="1" x14ac:dyDescent="0.3">
      <c r="A147" s="3">
        <v>45803</v>
      </c>
      <c r="B147" s="3" t="s">
        <v>672</v>
      </c>
      <c r="C147" s="3" t="s">
        <v>120</v>
      </c>
      <c r="D147" s="3" t="s">
        <v>9</v>
      </c>
      <c r="E147" s="4">
        <v>0.45</v>
      </c>
      <c r="F147" s="5">
        <v>1.74</v>
      </c>
      <c r="G147" s="6">
        <v>305</v>
      </c>
      <c r="H147" s="30">
        <v>2.1</v>
      </c>
      <c r="I147" s="21">
        <f t="shared" si="6"/>
        <v>466.9812</v>
      </c>
      <c r="J147" s="7" t="s">
        <v>150</v>
      </c>
      <c r="K147" s="17">
        <f t="shared" si="7"/>
        <v>5</v>
      </c>
    </row>
    <row r="148" spans="1:11" ht="13.95" customHeight="1" x14ac:dyDescent="0.3">
      <c r="A148" s="3">
        <v>45804</v>
      </c>
      <c r="B148" s="3" t="s">
        <v>672</v>
      </c>
      <c r="C148" s="3" t="s">
        <v>106</v>
      </c>
      <c r="D148" s="3" t="s">
        <v>9</v>
      </c>
      <c r="E148" s="4">
        <v>0.5</v>
      </c>
      <c r="F148" s="5">
        <v>1.79</v>
      </c>
      <c r="G148" s="6">
        <v>305</v>
      </c>
      <c r="H148" s="30">
        <v>2.1</v>
      </c>
      <c r="I148" s="21">
        <f t="shared" si="6"/>
        <v>533.77800000000002</v>
      </c>
      <c r="J148" s="7" t="s">
        <v>151</v>
      </c>
      <c r="K148" s="17">
        <f t="shared" si="7"/>
        <v>5</v>
      </c>
    </row>
    <row r="149" spans="1:11" ht="13.95" customHeight="1" x14ac:dyDescent="0.3">
      <c r="A149" s="3">
        <v>45805</v>
      </c>
      <c r="B149" s="3" t="s">
        <v>672</v>
      </c>
      <c r="C149" s="3" t="s">
        <v>109</v>
      </c>
      <c r="D149" s="3" t="s">
        <v>9</v>
      </c>
      <c r="E149" s="4">
        <v>0.54</v>
      </c>
      <c r="F149" s="5">
        <v>1.81</v>
      </c>
      <c r="G149" s="6">
        <v>305</v>
      </c>
      <c r="H149" s="30">
        <v>2.1</v>
      </c>
      <c r="I149" s="21">
        <f t="shared" si="6"/>
        <v>582.92136000000005</v>
      </c>
      <c r="J149" s="7" t="s">
        <v>151</v>
      </c>
      <c r="K149" s="17">
        <f t="shared" si="7"/>
        <v>5</v>
      </c>
    </row>
    <row r="150" spans="1:11" ht="13.95" customHeight="1" x14ac:dyDescent="0.3">
      <c r="A150" s="3">
        <v>45806</v>
      </c>
      <c r="B150" s="3" t="s">
        <v>672</v>
      </c>
      <c r="C150" s="3" t="s">
        <v>112</v>
      </c>
      <c r="D150" s="3" t="s">
        <v>9</v>
      </c>
      <c r="E150" s="4">
        <v>0.56000000000000005</v>
      </c>
      <c r="F150" s="5">
        <v>1.84</v>
      </c>
      <c r="G150" s="6">
        <v>305</v>
      </c>
      <c r="H150" s="30">
        <v>2.1</v>
      </c>
      <c r="I150" s="21">
        <f t="shared" si="6"/>
        <v>614.53056000000015</v>
      </c>
      <c r="J150" s="7" t="s">
        <v>152</v>
      </c>
      <c r="K150" s="17">
        <f t="shared" si="7"/>
        <v>5</v>
      </c>
    </row>
    <row r="151" spans="1:11" ht="13.95" customHeight="1" x14ac:dyDescent="0.3">
      <c r="A151" s="3">
        <v>45807</v>
      </c>
      <c r="B151" s="3" t="s">
        <v>672</v>
      </c>
      <c r="C151" s="3" t="s">
        <v>114</v>
      </c>
      <c r="D151" s="3" t="s">
        <v>9</v>
      </c>
      <c r="E151" s="4">
        <v>0.6</v>
      </c>
      <c r="F151" s="5">
        <v>1.98</v>
      </c>
      <c r="G151" s="6">
        <v>305</v>
      </c>
      <c r="H151" s="30">
        <v>2.1</v>
      </c>
      <c r="I151" s="21">
        <f t="shared" si="6"/>
        <v>708.52319999999997</v>
      </c>
      <c r="J151" s="7" t="s">
        <v>67</v>
      </c>
      <c r="K151" s="17">
        <f t="shared" si="7"/>
        <v>5</v>
      </c>
    </row>
    <row r="152" spans="1:11" x14ac:dyDescent="0.3">
      <c r="A152" s="3">
        <v>45809</v>
      </c>
      <c r="B152" s="3" t="s">
        <v>672</v>
      </c>
      <c r="C152" s="3" t="s">
        <v>116</v>
      </c>
      <c r="D152" s="3" t="s">
        <v>14</v>
      </c>
      <c r="E152" s="4">
        <v>0.8</v>
      </c>
      <c r="F152" s="5">
        <v>2.2999999999999998</v>
      </c>
      <c r="G152" s="6">
        <v>305</v>
      </c>
      <c r="H152" s="30">
        <v>2.1</v>
      </c>
      <c r="I152" s="21">
        <f t="shared" si="6"/>
        <v>1097.376</v>
      </c>
      <c r="J152" s="7" t="s">
        <v>153</v>
      </c>
      <c r="K152" s="17">
        <f t="shared" si="7"/>
        <v>6</v>
      </c>
    </row>
    <row r="153" spans="1:11" x14ac:dyDescent="0.3">
      <c r="A153" s="3">
        <v>45810</v>
      </c>
      <c r="B153" s="3" t="s">
        <v>672</v>
      </c>
      <c r="C153" s="3" t="s">
        <v>118</v>
      </c>
      <c r="D153" s="3" t="s">
        <v>9</v>
      </c>
      <c r="E153" s="4">
        <v>0.6</v>
      </c>
      <c r="F153" s="5">
        <v>1.8</v>
      </c>
      <c r="G153" s="6">
        <v>305</v>
      </c>
      <c r="H153" s="30">
        <v>2.1</v>
      </c>
      <c r="I153" s="21">
        <f t="shared" si="6"/>
        <v>644.11200000000008</v>
      </c>
      <c r="J153" s="7" t="s">
        <v>154</v>
      </c>
      <c r="K153" s="17">
        <f t="shared" si="7"/>
        <v>6</v>
      </c>
    </row>
    <row r="154" spans="1:11" x14ac:dyDescent="0.3">
      <c r="A154" s="3">
        <v>45811</v>
      </c>
      <c r="B154" s="3" t="s">
        <v>672</v>
      </c>
      <c r="C154" s="3" t="s">
        <v>120</v>
      </c>
      <c r="D154" s="3" t="s">
        <v>9</v>
      </c>
      <c r="E154" s="4">
        <v>0.65</v>
      </c>
      <c r="F154" s="5">
        <v>1.85</v>
      </c>
      <c r="G154" s="6">
        <v>305</v>
      </c>
      <c r="H154" s="30">
        <v>2.1</v>
      </c>
      <c r="I154" s="21">
        <f t="shared" si="6"/>
        <v>717.17100000000005</v>
      </c>
      <c r="J154" s="7" t="s">
        <v>155</v>
      </c>
      <c r="K154" s="17">
        <f t="shared" si="7"/>
        <v>6</v>
      </c>
    </row>
    <row r="155" spans="1:11" x14ac:dyDescent="0.3">
      <c r="A155" s="3">
        <v>45812</v>
      </c>
      <c r="B155" s="3" t="s">
        <v>672</v>
      </c>
      <c r="C155" s="3" t="s">
        <v>106</v>
      </c>
      <c r="D155" s="3" t="s">
        <v>9</v>
      </c>
      <c r="E155" s="4">
        <v>0.68</v>
      </c>
      <c r="F155" s="5">
        <v>1.82</v>
      </c>
      <c r="G155" s="6">
        <v>305</v>
      </c>
      <c r="H155" s="30">
        <v>2.1</v>
      </c>
      <c r="I155" s="21">
        <f t="shared" si="6"/>
        <v>738.10464000000013</v>
      </c>
      <c r="J155" s="7" t="s">
        <v>156</v>
      </c>
      <c r="K155" s="17">
        <f t="shared" si="7"/>
        <v>6</v>
      </c>
    </row>
    <row r="156" spans="1:11" x14ac:dyDescent="0.3">
      <c r="A156" s="3">
        <v>45813</v>
      </c>
      <c r="B156" s="3" t="s">
        <v>672</v>
      </c>
      <c r="C156" s="3" t="s">
        <v>109</v>
      </c>
      <c r="D156" s="3" t="s">
        <v>9</v>
      </c>
      <c r="E156" s="4">
        <v>0.66</v>
      </c>
      <c r="F156" s="5">
        <v>1.8</v>
      </c>
      <c r="G156" s="6">
        <v>305</v>
      </c>
      <c r="H156" s="30">
        <v>2.1</v>
      </c>
      <c r="I156" s="21">
        <f t="shared" si="6"/>
        <v>708.52319999999997</v>
      </c>
      <c r="J156" s="7" t="s">
        <v>71</v>
      </c>
      <c r="K156" s="17">
        <f t="shared" si="7"/>
        <v>6</v>
      </c>
    </row>
    <row r="157" spans="1:11" x14ac:dyDescent="0.3">
      <c r="A157" s="3">
        <v>45814</v>
      </c>
      <c r="B157" s="3" t="s">
        <v>672</v>
      </c>
      <c r="C157" s="3" t="s">
        <v>112</v>
      </c>
      <c r="D157" s="3" t="s">
        <v>9</v>
      </c>
      <c r="E157" s="4">
        <v>0.7</v>
      </c>
      <c r="F157" s="5">
        <v>2.0499999999999998</v>
      </c>
      <c r="G157" s="6">
        <v>305</v>
      </c>
      <c r="H157" s="30">
        <v>2.1</v>
      </c>
      <c r="I157" s="21">
        <f t="shared" si="6"/>
        <v>855.83399999999983</v>
      </c>
      <c r="J157" s="7" t="s">
        <v>157</v>
      </c>
      <c r="K157" s="17">
        <f t="shared" si="7"/>
        <v>6</v>
      </c>
    </row>
    <row r="158" spans="1:11" x14ac:dyDescent="0.3">
      <c r="A158" s="3">
        <v>45815</v>
      </c>
      <c r="B158" s="3" t="s">
        <v>672</v>
      </c>
      <c r="C158" s="3" t="s">
        <v>114</v>
      </c>
      <c r="D158" s="3" t="s">
        <v>14</v>
      </c>
      <c r="E158" s="4">
        <v>0.85</v>
      </c>
      <c r="F158" s="5">
        <v>2.4</v>
      </c>
      <c r="G158" s="6">
        <v>305</v>
      </c>
      <c r="H158" s="30">
        <v>2.1</v>
      </c>
      <c r="I158" s="21">
        <f t="shared" si="6"/>
        <v>1216.6560000000002</v>
      </c>
      <c r="J158" s="7" t="s">
        <v>158</v>
      </c>
      <c r="K158" s="17">
        <f t="shared" si="7"/>
        <v>6</v>
      </c>
    </row>
    <row r="159" spans="1:11" x14ac:dyDescent="0.3">
      <c r="A159" s="3">
        <v>45816</v>
      </c>
      <c r="B159" s="3" t="s">
        <v>672</v>
      </c>
      <c r="C159" s="3" t="s">
        <v>116</v>
      </c>
      <c r="D159" s="3" t="s">
        <v>14</v>
      </c>
      <c r="E159" s="4">
        <v>0.82</v>
      </c>
      <c r="F159" s="5">
        <v>2.35</v>
      </c>
      <c r="G159" s="6">
        <v>305</v>
      </c>
      <c r="H159" s="30">
        <v>2.1</v>
      </c>
      <c r="I159" s="21">
        <f t="shared" si="6"/>
        <v>1149.2628000000002</v>
      </c>
      <c r="J159" s="7" t="s">
        <v>159</v>
      </c>
      <c r="K159" s="17">
        <f t="shared" si="7"/>
        <v>6</v>
      </c>
    </row>
    <row r="160" spans="1:11" x14ac:dyDescent="0.3">
      <c r="A160" s="3">
        <v>45817</v>
      </c>
      <c r="B160" s="3" t="s">
        <v>672</v>
      </c>
      <c r="C160" s="3" t="s">
        <v>118</v>
      </c>
      <c r="D160" s="3" t="s">
        <v>9</v>
      </c>
      <c r="E160" s="4">
        <v>0.57999999999999996</v>
      </c>
      <c r="F160" s="5">
        <v>1.78</v>
      </c>
      <c r="G160" s="6">
        <v>305</v>
      </c>
      <c r="H160" s="30">
        <v>2.1</v>
      </c>
      <c r="I160" s="21">
        <f t="shared" si="6"/>
        <v>615.72335999999996</v>
      </c>
      <c r="J160" s="7" t="s">
        <v>160</v>
      </c>
      <c r="K160" s="17">
        <f t="shared" si="7"/>
        <v>6</v>
      </c>
    </row>
    <row r="161" spans="1:11" x14ac:dyDescent="0.3">
      <c r="A161" s="3">
        <v>45818</v>
      </c>
      <c r="B161" s="3" t="s">
        <v>672</v>
      </c>
      <c r="C161" s="3" t="s">
        <v>120</v>
      </c>
      <c r="D161" s="3" t="s">
        <v>9</v>
      </c>
      <c r="E161" s="4">
        <v>0.62</v>
      </c>
      <c r="F161" s="5">
        <v>1.82</v>
      </c>
      <c r="G161" s="6">
        <v>305</v>
      </c>
      <c r="H161" s="30">
        <v>2.1</v>
      </c>
      <c r="I161" s="21">
        <f t="shared" si="6"/>
        <v>672.9777600000001</v>
      </c>
      <c r="J161" s="7" t="s">
        <v>65</v>
      </c>
      <c r="K161" s="17">
        <f t="shared" si="7"/>
        <v>6</v>
      </c>
    </row>
    <row r="162" spans="1:11" x14ac:dyDescent="0.3">
      <c r="A162" s="3">
        <v>45819</v>
      </c>
      <c r="B162" s="3" t="s">
        <v>672</v>
      </c>
      <c r="C162" s="3" t="s">
        <v>106</v>
      </c>
      <c r="D162" s="3" t="s">
        <v>9</v>
      </c>
      <c r="E162" s="4">
        <v>0.64</v>
      </c>
      <c r="F162" s="5">
        <v>1.84</v>
      </c>
      <c r="G162" s="6">
        <v>305</v>
      </c>
      <c r="H162" s="30">
        <v>2.1</v>
      </c>
      <c r="I162" s="21">
        <f t="shared" si="6"/>
        <v>702.32064000000003</v>
      </c>
      <c r="J162" s="7" t="s">
        <v>65</v>
      </c>
      <c r="K162" s="17">
        <f t="shared" si="7"/>
        <v>6</v>
      </c>
    </row>
    <row r="163" spans="1:11" x14ac:dyDescent="0.3">
      <c r="A163" s="3">
        <v>45820</v>
      </c>
      <c r="B163" s="3" t="s">
        <v>672</v>
      </c>
      <c r="C163" s="3" t="s">
        <v>109</v>
      </c>
      <c r="D163" s="3" t="s">
        <v>9</v>
      </c>
      <c r="E163" s="4">
        <v>0.65</v>
      </c>
      <c r="F163" s="5">
        <v>1.86</v>
      </c>
      <c r="G163" s="6">
        <v>305</v>
      </c>
      <c r="H163" s="30">
        <v>2.1</v>
      </c>
      <c r="I163" s="21">
        <f t="shared" si="6"/>
        <v>721.04759999999999</v>
      </c>
      <c r="J163" s="7" t="s">
        <v>65</v>
      </c>
      <c r="K163" s="17">
        <f t="shared" si="7"/>
        <v>6</v>
      </c>
    </row>
    <row r="164" spans="1:11" x14ac:dyDescent="0.3">
      <c r="A164" s="3">
        <v>45821</v>
      </c>
      <c r="B164" s="3" t="s">
        <v>672</v>
      </c>
      <c r="C164" s="3" t="s">
        <v>112</v>
      </c>
      <c r="D164" s="3" t="s">
        <v>9</v>
      </c>
      <c r="E164" s="4">
        <v>0.72</v>
      </c>
      <c r="F164" s="5">
        <v>2.1</v>
      </c>
      <c r="G164" s="6">
        <v>305</v>
      </c>
      <c r="H164" s="30">
        <v>2.1</v>
      </c>
      <c r="I164" s="21">
        <f t="shared" si="6"/>
        <v>901.75680000000011</v>
      </c>
      <c r="J164" s="7" t="s">
        <v>161</v>
      </c>
      <c r="K164" s="17">
        <f t="shared" si="7"/>
        <v>6</v>
      </c>
    </row>
    <row r="165" spans="1:11" x14ac:dyDescent="0.3">
      <c r="A165" s="3">
        <v>45822</v>
      </c>
      <c r="B165" s="3" t="s">
        <v>672</v>
      </c>
      <c r="C165" s="3" t="s">
        <v>114</v>
      </c>
      <c r="D165" s="3" t="s">
        <v>14</v>
      </c>
      <c r="E165" s="4">
        <v>0.88</v>
      </c>
      <c r="F165" s="5">
        <v>2.4500000000000002</v>
      </c>
      <c r="G165" s="6">
        <v>305</v>
      </c>
      <c r="H165" s="30">
        <v>2.1</v>
      </c>
      <c r="I165" s="21">
        <f t="shared" si="6"/>
        <v>1285.8384000000001</v>
      </c>
      <c r="J165" s="7" t="s">
        <v>162</v>
      </c>
      <c r="K165" s="17">
        <f t="shared" si="7"/>
        <v>6</v>
      </c>
    </row>
    <row r="166" spans="1:11" x14ac:dyDescent="0.3">
      <c r="A166" s="3">
        <v>45823</v>
      </c>
      <c r="B166" s="3" t="s">
        <v>672</v>
      </c>
      <c r="C166" s="3" t="s">
        <v>116</v>
      </c>
      <c r="D166" s="3" t="s">
        <v>14</v>
      </c>
      <c r="E166" s="4">
        <v>0.85</v>
      </c>
      <c r="F166" s="5">
        <v>2.38</v>
      </c>
      <c r="G166" s="6">
        <v>305</v>
      </c>
      <c r="H166" s="30">
        <v>2.1</v>
      </c>
      <c r="I166" s="21">
        <f t="shared" si="6"/>
        <v>1206.5172000000002</v>
      </c>
      <c r="J166" s="7" t="s">
        <v>69</v>
      </c>
      <c r="K166" s="17">
        <f t="shared" si="7"/>
        <v>6</v>
      </c>
    </row>
    <row r="167" spans="1:11" x14ac:dyDescent="0.3">
      <c r="A167" s="3">
        <v>45824</v>
      </c>
      <c r="B167" s="3" t="s">
        <v>672</v>
      </c>
      <c r="C167" s="3" t="s">
        <v>118</v>
      </c>
      <c r="D167" s="3" t="s">
        <v>9</v>
      </c>
      <c r="E167" s="4">
        <v>0.6</v>
      </c>
      <c r="F167" s="5">
        <v>1.8</v>
      </c>
      <c r="G167" s="6">
        <v>305</v>
      </c>
      <c r="H167" s="30">
        <v>2.1</v>
      </c>
      <c r="I167" s="21">
        <f t="shared" si="6"/>
        <v>644.11200000000008</v>
      </c>
      <c r="J167" s="7" t="s">
        <v>163</v>
      </c>
      <c r="K167" s="17">
        <f t="shared" si="7"/>
        <v>6</v>
      </c>
    </row>
    <row r="168" spans="1:11" x14ac:dyDescent="0.3">
      <c r="A168" s="3">
        <v>45825</v>
      </c>
      <c r="B168" s="3" t="s">
        <v>672</v>
      </c>
      <c r="C168" s="3" t="s">
        <v>120</v>
      </c>
      <c r="D168" s="3" t="s">
        <v>9</v>
      </c>
      <c r="E168" s="4">
        <v>0.63</v>
      </c>
      <c r="F168" s="5">
        <v>1.85</v>
      </c>
      <c r="G168" s="6">
        <v>305</v>
      </c>
      <c r="H168" s="30">
        <v>2.1</v>
      </c>
      <c r="I168" s="21">
        <f t="shared" si="6"/>
        <v>695.10420000000011</v>
      </c>
      <c r="J168" s="7" t="s">
        <v>143</v>
      </c>
      <c r="K168" s="17">
        <f t="shared" si="7"/>
        <v>6</v>
      </c>
    </row>
    <row r="169" spans="1:11" x14ac:dyDescent="0.3">
      <c r="A169" s="3">
        <v>45826</v>
      </c>
      <c r="B169" s="3" t="s">
        <v>672</v>
      </c>
      <c r="C169" s="3" t="s">
        <v>106</v>
      </c>
      <c r="D169" s="3" t="s">
        <v>9</v>
      </c>
      <c r="E169" s="4">
        <v>0.65</v>
      </c>
      <c r="F169" s="5">
        <v>1.88</v>
      </c>
      <c r="G169" s="6">
        <v>305</v>
      </c>
      <c r="H169" s="30">
        <v>2.1</v>
      </c>
      <c r="I169" s="21">
        <f t="shared" si="6"/>
        <v>728.80079999999987</v>
      </c>
      <c r="J169" s="7" t="s">
        <v>143</v>
      </c>
      <c r="K169" s="17">
        <f t="shared" si="7"/>
        <v>6</v>
      </c>
    </row>
    <row r="170" spans="1:11" x14ac:dyDescent="0.3">
      <c r="A170" s="3">
        <v>45827</v>
      </c>
      <c r="B170" s="3" t="s">
        <v>672</v>
      </c>
      <c r="C170" s="3" t="s">
        <v>109</v>
      </c>
      <c r="D170" s="3" t="s">
        <v>9</v>
      </c>
      <c r="E170" s="4">
        <v>0.64</v>
      </c>
      <c r="F170" s="5">
        <v>1.85</v>
      </c>
      <c r="G170" s="6">
        <v>305</v>
      </c>
      <c r="H170" s="30">
        <v>2.1</v>
      </c>
      <c r="I170" s="21">
        <f t="shared" si="6"/>
        <v>706.13760000000002</v>
      </c>
      <c r="J170" s="7" t="s">
        <v>143</v>
      </c>
      <c r="K170" s="17">
        <f t="shared" si="7"/>
        <v>6</v>
      </c>
    </row>
    <row r="171" spans="1:11" x14ac:dyDescent="0.3">
      <c r="A171" s="3">
        <v>45828</v>
      </c>
      <c r="B171" s="3" t="s">
        <v>672</v>
      </c>
      <c r="C171" s="3" t="s">
        <v>112</v>
      </c>
      <c r="D171" s="3" t="s">
        <v>9</v>
      </c>
      <c r="E171" s="4">
        <v>0.75</v>
      </c>
      <c r="F171" s="5">
        <v>2.15</v>
      </c>
      <c r="G171" s="6">
        <v>305</v>
      </c>
      <c r="H171" s="30">
        <v>2.1</v>
      </c>
      <c r="I171" s="21">
        <f t="shared" si="6"/>
        <v>961.69500000000005</v>
      </c>
      <c r="J171" s="7" t="s">
        <v>164</v>
      </c>
      <c r="K171" s="17">
        <f t="shared" si="7"/>
        <v>6</v>
      </c>
    </row>
    <row r="172" spans="1:11" x14ac:dyDescent="0.3">
      <c r="A172" s="3">
        <v>45829</v>
      </c>
      <c r="B172" s="3" t="s">
        <v>672</v>
      </c>
      <c r="C172" s="3" t="s">
        <v>114</v>
      </c>
      <c r="D172" s="3" t="s">
        <v>14</v>
      </c>
      <c r="E172" s="4">
        <v>0.92</v>
      </c>
      <c r="F172" s="5">
        <v>2.5</v>
      </c>
      <c r="G172" s="6">
        <v>305</v>
      </c>
      <c r="H172" s="30">
        <v>2.1</v>
      </c>
      <c r="I172" s="21">
        <f t="shared" si="6"/>
        <v>1371.7200000000003</v>
      </c>
      <c r="J172" s="7" t="s">
        <v>165</v>
      </c>
      <c r="K172" s="17">
        <f t="shared" si="7"/>
        <v>6</v>
      </c>
    </row>
    <row r="173" spans="1:11" x14ac:dyDescent="0.3">
      <c r="A173" s="3">
        <v>45830</v>
      </c>
      <c r="B173" s="3" t="s">
        <v>672</v>
      </c>
      <c r="C173" s="3" t="s">
        <v>116</v>
      </c>
      <c r="D173" s="3" t="s">
        <v>14</v>
      </c>
      <c r="E173" s="4">
        <v>0.88</v>
      </c>
      <c r="F173" s="5">
        <v>2.42</v>
      </c>
      <c r="G173" s="6">
        <v>305</v>
      </c>
      <c r="H173" s="30">
        <v>2.1</v>
      </c>
      <c r="I173" s="21">
        <f t="shared" si="6"/>
        <v>1270.0934399999999</v>
      </c>
      <c r="J173" s="7" t="s">
        <v>149</v>
      </c>
      <c r="K173" s="17">
        <f t="shared" si="7"/>
        <v>6</v>
      </c>
    </row>
    <row r="174" spans="1:11" x14ac:dyDescent="0.3">
      <c r="A174" s="3">
        <v>45831</v>
      </c>
      <c r="B174" s="3" t="s">
        <v>672</v>
      </c>
      <c r="C174" s="3" t="s">
        <v>118</v>
      </c>
      <c r="D174" s="3" t="s">
        <v>9</v>
      </c>
      <c r="E174" s="4">
        <v>0.62</v>
      </c>
      <c r="F174" s="5">
        <v>1.82</v>
      </c>
      <c r="G174" s="6">
        <v>305</v>
      </c>
      <c r="H174" s="30">
        <v>2.1</v>
      </c>
      <c r="I174" s="21">
        <f t="shared" si="6"/>
        <v>672.9777600000001</v>
      </c>
      <c r="J174" s="7" t="s">
        <v>166</v>
      </c>
      <c r="K174" s="17">
        <f t="shared" si="7"/>
        <v>6</v>
      </c>
    </row>
    <row r="175" spans="1:11" x14ac:dyDescent="0.3">
      <c r="A175" s="3">
        <v>45832</v>
      </c>
      <c r="B175" s="3" t="s">
        <v>672</v>
      </c>
      <c r="C175" s="3" t="s">
        <v>120</v>
      </c>
      <c r="D175" s="3" t="s">
        <v>9</v>
      </c>
      <c r="E175" s="4">
        <v>0.65</v>
      </c>
      <c r="F175" s="5">
        <v>1.84</v>
      </c>
      <c r="G175" s="6">
        <v>305</v>
      </c>
      <c r="H175" s="30">
        <v>2.1</v>
      </c>
      <c r="I175" s="21">
        <f t="shared" si="6"/>
        <v>713.2944</v>
      </c>
      <c r="J175" s="7" t="s">
        <v>167</v>
      </c>
      <c r="K175" s="17">
        <f t="shared" si="7"/>
        <v>6</v>
      </c>
    </row>
    <row r="176" spans="1:11" x14ac:dyDescent="0.3">
      <c r="A176" s="3">
        <v>45833</v>
      </c>
      <c r="B176" s="3" t="s">
        <v>672</v>
      </c>
      <c r="C176" s="3" t="s">
        <v>106</v>
      </c>
      <c r="D176" s="3" t="s">
        <v>9</v>
      </c>
      <c r="E176" s="4">
        <v>0.68</v>
      </c>
      <c r="F176" s="5">
        <v>1.88</v>
      </c>
      <c r="G176" s="6">
        <v>305</v>
      </c>
      <c r="H176" s="30">
        <v>2.1</v>
      </c>
      <c r="I176" s="21">
        <f t="shared" si="6"/>
        <v>762.43775999999991</v>
      </c>
      <c r="J176" s="7" t="s">
        <v>167</v>
      </c>
      <c r="K176" s="17">
        <f t="shared" si="7"/>
        <v>6</v>
      </c>
    </row>
    <row r="177" spans="1:11" x14ac:dyDescent="0.3">
      <c r="A177" s="3">
        <v>45834</v>
      </c>
      <c r="B177" s="3" t="s">
        <v>672</v>
      </c>
      <c r="C177" s="3" t="s">
        <v>109</v>
      </c>
      <c r="D177" s="3" t="s">
        <v>9</v>
      </c>
      <c r="E177" s="4">
        <v>0.7</v>
      </c>
      <c r="F177" s="5">
        <v>1.9</v>
      </c>
      <c r="G177" s="6">
        <v>305</v>
      </c>
      <c r="H177" s="30">
        <v>2.1</v>
      </c>
      <c r="I177" s="21">
        <f t="shared" si="6"/>
        <v>793.21199999999999</v>
      </c>
      <c r="J177" s="7" t="s">
        <v>168</v>
      </c>
      <c r="K177" s="17">
        <f t="shared" si="7"/>
        <v>6</v>
      </c>
    </row>
    <row r="178" spans="1:11" ht="27" x14ac:dyDescent="0.3">
      <c r="A178" s="3">
        <v>45835</v>
      </c>
      <c r="B178" s="3" t="s">
        <v>672</v>
      </c>
      <c r="C178" s="3" t="s">
        <v>112</v>
      </c>
      <c r="D178" s="3" t="s">
        <v>169</v>
      </c>
      <c r="E178" s="4">
        <v>0.95</v>
      </c>
      <c r="F178" s="5">
        <v>2.7</v>
      </c>
      <c r="G178" s="6">
        <v>305</v>
      </c>
      <c r="H178" s="30">
        <v>2.1</v>
      </c>
      <c r="I178" s="21">
        <f t="shared" si="6"/>
        <v>1529.7660000000001</v>
      </c>
      <c r="J178" s="7" t="s">
        <v>170</v>
      </c>
      <c r="K178" s="17">
        <f t="shared" si="7"/>
        <v>6</v>
      </c>
    </row>
    <row r="179" spans="1:11" x14ac:dyDescent="0.3">
      <c r="A179" s="3">
        <v>45836</v>
      </c>
      <c r="B179" s="3" t="s">
        <v>672</v>
      </c>
      <c r="C179" s="3" t="s">
        <v>114</v>
      </c>
      <c r="D179" s="3" t="s">
        <v>171</v>
      </c>
      <c r="E179" s="4">
        <v>0.9</v>
      </c>
      <c r="F179" s="5">
        <v>2.5499999999999998</v>
      </c>
      <c r="G179" s="6">
        <v>305</v>
      </c>
      <c r="H179" s="30">
        <v>2.1</v>
      </c>
      <c r="I179" s="21">
        <f t="shared" si="6"/>
        <v>1368.7380000000001</v>
      </c>
      <c r="J179" s="7" t="s">
        <v>172</v>
      </c>
      <c r="K179" s="17">
        <f t="shared" si="7"/>
        <v>6</v>
      </c>
    </row>
    <row r="180" spans="1:11" x14ac:dyDescent="0.3">
      <c r="A180" s="3">
        <v>45837</v>
      </c>
      <c r="B180" s="3" t="s">
        <v>672</v>
      </c>
      <c r="C180" s="3" t="s">
        <v>116</v>
      </c>
      <c r="D180" s="3" t="s">
        <v>171</v>
      </c>
      <c r="E180" s="4">
        <v>0.85</v>
      </c>
      <c r="F180" s="5">
        <v>2.4500000000000002</v>
      </c>
      <c r="G180" s="6">
        <v>305</v>
      </c>
      <c r="H180" s="30">
        <v>2.1</v>
      </c>
      <c r="I180" s="21">
        <f t="shared" si="6"/>
        <v>1242.0030000000002</v>
      </c>
      <c r="J180" s="7" t="s">
        <v>172</v>
      </c>
      <c r="K180" s="17">
        <f t="shared" si="7"/>
        <v>6</v>
      </c>
    </row>
    <row r="181" spans="1:11" x14ac:dyDescent="0.3">
      <c r="A181" s="3">
        <v>45838</v>
      </c>
      <c r="B181" s="3" t="s">
        <v>672</v>
      </c>
      <c r="C181" s="3" t="s">
        <v>118</v>
      </c>
      <c r="D181" s="3" t="s">
        <v>9</v>
      </c>
      <c r="E181" s="4">
        <v>0.65</v>
      </c>
      <c r="F181" s="5">
        <v>1.85</v>
      </c>
      <c r="G181" s="6">
        <v>305</v>
      </c>
      <c r="H181" s="30">
        <v>2.1</v>
      </c>
      <c r="I181" s="21">
        <f t="shared" si="6"/>
        <v>717.17100000000005</v>
      </c>
      <c r="J181" s="7" t="s">
        <v>173</v>
      </c>
      <c r="K181" s="17">
        <f t="shared" si="7"/>
        <v>6</v>
      </c>
    </row>
    <row r="182" spans="1:11" x14ac:dyDescent="0.3">
      <c r="A182" s="3">
        <v>45839</v>
      </c>
      <c r="B182" s="3" t="s">
        <v>672</v>
      </c>
      <c r="C182" s="3" t="s">
        <v>20</v>
      </c>
      <c r="D182" s="3" t="s">
        <v>174</v>
      </c>
      <c r="E182" s="4">
        <v>0.72</v>
      </c>
      <c r="F182" s="5">
        <v>2.12</v>
      </c>
      <c r="G182" s="6">
        <v>305</v>
      </c>
      <c r="H182" s="30">
        <v>2.1</v>
      </c>
      <c r="I182" s="21">
        <f t="shared" si="6"/>
        <v>910.34496000000001</v>
      </c>
      <c r="J182" s="7" t="s">
        <v>175</v>
      </c>
      <c r="K182" s="17">
        <f t="shared" si="7"/>
        <v>7</v>
      </c>
    </row>
    <row r="183" spans="1:11" x14ac:dyDescent="0.3">
      <c r="A183" s="3">
        <v>45840</v>
      </c>
      <c r="B183" s="3" t="s">
        <v>672</v>
      </c>
      <c r="C183" s="3" t="s">
        <v>5</v>
      </c>
      <c r="D183" s="3" t="s">
        <v>174</v>
      </c>
      <c r="E183" s="4">
        <v>0.74</v>
      </c>
      <c r="F183" s="5">
        <v>2.15</v>
      </c>
      <c r="G183" s="6">
        <v>305</v>
      </c>
      <c r="H183" s="30">
        <v>2.1</v>
      </c>
      <c r="I183" s="21">
        <f t="shared" si="6"/>
        <v>948.87240000000008</v>
      </c>
      <c r="J183" s="7" t="s">
        <v>176</v>
      </c>
      <c r="K183" s="17">
        <f t="shared" si="7"/>
        <v>7</v>
      </c>
    </row>
    <row r="184" spans="1:11" x14ac:dyDescent="0.3">
      <c r="A184" s="3">
        <v>45841</v>
      </c>
      <c r="B184" s="3" t="s">
        <v>672</v>
      </c>
      <c r="C184" s="3" t="s">
        <v>8</v>
      </c>
      <c r="D184" s="3" t="s">
        <v>174</v>
      </c>
      <c r="E184" s="4">
        <v>0.75</v>
      </c>
      <c r="F184" s="5">
        <v>2.1800000000000002</v>
      </c>
      <c r="G184" s="6">
        <v>305</v>
      </c>
      <c r="H184" s="30">
        <v>2.1</v>
      </c>
      <c r="I184" s="21">
        <f t="shared" si="6"/>
        <v>975.11400000000015</v>
      </c>
      <c r="J184" s="7" t="s">
        <v>177</v>
      </c>
      <c r="K184" s="17">
        <f t="shared" si="7"/>
        <v>7</v>
      </c>
    </row>
    <row r="185" spans="1:11" x14ac:dyDescent="0.3">
      <c r="A185" s="3">
        <v>45842</v>
      </c>
      <c r="B185" s="3" t="s">
        <v>672</v>
      </c>
      <c r="C185" s="3" t="s">
        <v>11</v>
      </c>
      <c r="D185" s="3" t="s">
        <v>174</v>
      </c>
      <c r="E185" s="4">
        <v>0.82</v>
      </c>
      <c r="F185" s="5">
        <v>2.35</v>
      </c>
      <c r="G185" s="6">
        <v>305</v>
      </c>
      <c r="H185" s="30">
        <v>2.1</v>
      </c>
      <c r="I185" s="21">
        <f t="shared" si="6"/>
        <v>1149.2628000000002</v>
      </c>
      <c r="J185" s="7" t="s">
        <v>178</v>
      </c>
      <c r="K185" s="17">
        <f t="shared" si="7"/>
        <v>7</v>
      </c>
    </row>
    <row r="186" spans="1:11" x14ac:dyDescent="0.3">
      <c r="A186" s="3">
        <v>45843</v>
      </c>
      <c r="B186" s="3" t="s">
        <v>672</v>
      </c>
      <c r="C186" s="3" t="s">
        <v>13</v>
      </c>
      <c r="D186" s="3" t="s">
        <v>179</v>
      </c>
      <c r="E186" s="4">
        <v>0.9</v>
      </c>
      <c r="F186" s="5">
        <v>2.48</v>
      </c>
      <c r="G186" s="6">
        <v>305</v>
      </c>
      <c r="H186" s="30">
        <v>2.1</v>
      </c>
      <c r="I186" s="21">
        <f t="shared" si="6"/>
        <v>1331.1648</v>
      </c>
      <c r="J186" s="7" t="s">
        <v>180</v>
      </c>
      <c r="K186" s="17">
        <f t="shared" si="7"/>
        <v>7</v>
      </c>
    </row>
    <row r="187" spans="1:11" x14ac:dyDescent="0.3">
      <c r="A187" s="3">
        <v>45844</v>
      </c>
      <c r="B187" s="3" t="s">
        <v>672</v>
      </c>
      <c r="C187" s="3" t="s">
        <v>16</v>
      </c>
      <c r="D187" s="3" t="s">
        <v>179</v>
      </c>
      <c r="E187" s="4">
        <v>0.88</v>
      </c>
      <c r="F187" s="5">
        <v>2.42</v>
      </c>
      <c r="G187" s="6">
        <v>305</v>
      </c>
      <c r="H187" s="30">
        <v>2.1</v>
      </c>
      <c r="I187" s="21">
        <f t="shared" si="6"/>
        <v>1270.0934399999999</v>
      </c>
      <c r="J187" s="7" t="s">
        <v>181</v>
      </c>
      <c r="K187" s="17">
        <f t="shared" si="7"/>
        <v>7</v>
      </c>
    </row>
    <row r="188" spans="1:11" x14ac:dyDescent="0.3">
      <c r="A188" s="3">
        <v>45845</v>
      </c>
      <c r="B188" s="3" t="s">
        <v>672</v>
      </c>
      <c r="C188" s="3" t="s">
        <v>18</v>
      </c>
      <c r="D188" s="3" t="s">
        <v>174</v>
      </c>
      <c r="E188" s="4">
        <v>0.7</v>
      </c>
      <c r="F188" s="5">
        <v>2.08</v>
      </c>
      <c r="G188" s="6">
        <v>305</v>
      </c>
      <c r="H188" s="30">
        <v>2.1</v>
      </c>
      <c r="I188" s="21">
        <f t="shared" si="6"/>
        <v>868.35839999999996</v>
      </c>
      <c r="J188" s="7" t="s">
        <v>182</v>
      </c>
      <c r="K188" s="17">
        <f t="shared" si="7"/>
        <v>7</v>
      </c>
    </row>
    <row r="189" spans="1:11" x14ac:dyDescent="0.3">
      <c r="A189" s="3">
        <v>45846</v>
      </c>
      <c r="B189" s="3" t="s">
        <v>672</v>
      </c>
      <c r="C189" s="3" t="s">
        <v>20</v>
      </c>
      <c r="D189" s="3" t="s">
        <v>174</v>
      </c>
      <c r="E189" s="4">
        <v>0.72</v>
      </c>
      <c r="F189" s="5">
        <v>2.1</v>
      </c>
      <c r="G189" s="6">
        <v>305</v>
      </c>
      <c r="H189" s="30">
        <v>2.1</v>
      </c>
      <c r="I189" s="21">
        <f t="shared" si="6"/>
        <v>901.75680000000011</v>
      </c>
      <c r="J189" s="7" t="s">
        <v>183</v>
      </c>
      <c r="K189" s="17">
        <f t="shared" si="7"/>
        <v>7</v>
      </c>
    </row>
    <row r="190" spans="1:11" x14ac:dyDescent="0.3">
      <c r="A190" s="3">
        <v>45847</v>
      </c>
      <c r="B190" s="3" t="s">
        <v>672</v>
      </c>
      <c r="C190" s="3" t="s">
        <v>5</v>
      </c>
      <c r="D190" s="3" t="s">
        <v>174</v>
      </c>
      <c r="E190" s="4">
        <v>0.75</v>
      </c>
      <c r="F190" s="5">
        <v>2.14</v>
      </c>
      <c r="G190" s="6">
        <v>305</v>
      </c>
      <c r="H190" s="30">
        <v>2.1</v>
      </c>
      <c r="I190" s="21">
        <f t="shared" si="6"/>
        <v>957.22200000000009</v>
      </c>
      <c r="J190" s="7" t="s">
        <v>184</v>
      </c>
      <c r="K190" s="17">
        <f t="shared" si="7"/>
        <v>7</v>
      </c>
    </row>
    <row r="191" spans="1:11" x14ac:dyDescent="0.3">
      <c r="A191" s="3">
        <v>45848</v>
      </c>
      <c r="B191" s="3" t="s">
        <v>672</v>
      </c>
      <c r="C191" s="3" t="s">
        <v>8</v>
      </c>
      <c r="D191" s="3" t="s">
        <v>174</v>
      </c>
      <c r="E191" s="4">
        <v>0.78</v>
      </c>
      <c r="F191" s="5">
        <v>2.2000000000000002</v>
      </c>
      <c r="G191" s="6">
        <v>305</v>
      </c>
      <c r="H191" s="30">
        <v>2.1</v>
      </c>
      <c r="I191" s="21">
        <f t="shared" si="6"/>
        <v>1023.4224000000002</v>
      </c>
      <c r="J191" s="7" t="s">
        <v>185</v>
      </c>
      <c r="K191" s="17">
        <f t="shared" si="7"/>
        <v>7</v>
      </c>
    </row>
    <row r="192" spans="1:11" x14ac:dyDescent="0.3">
      <c r="A192" s="3">
        <v>45849</v>
      </c>
      <c r="B192" s="3" t="s">
        <v>672</v>
      </c>
      <c r="C192" s="3" t="s">
        <v>11</v>
      </c>
      <c r="D192" s="3" t="s">
        <v>174</v>
      </c>
      <c r="E192" s="4">
        <v>0.85</v>
      </c>
      <c r="F192" s="5">
        <v>2.4</v>
      </c>
      <c r="G192" s="6">
        <v>305</v>
      </c>
      <c r="H192" s="30">
        <v>2.1</v>
      </c>
      <c r="I192" s="21">
        <f t="shared" si="6"/>
        <v>1216.6560000000002</v>
      </c>
      <c r="J192" s="7" t="s">
        <v>186</v>
      </c>
      <c r="K192" s="17">
        <f t="shared" si="7"/>
        <v>7</v>
      </c>
    </row>
    <row r="193" spans="1:11" x14ac:dyDescent="0.3">
      <c r="A193" s="3">
        <v>45850</v>
      </c>
      <c r="B193" s="3" t="s">
        <v>672</v>
      </c>
      <c r="C193" s="3" t="s">
        <v>13</v>
      </c>
      <c r="D193" s="3" t="s">
        <v>179</v>
      </c>
      <c r="E193" s="4">
        <v>0.94</v>
      </c>
      <c r="F193" s="5">
        <v>2.5499999999999998</v>
      </c>
      <c r="G193" s="6">
        <v>305</v>
      </c>
      <c r="H193" s="30">
        <v>2.1</v>
      </c>
      <c r="I193" s="21">
        <f t="shared" si="6"/>
        <v>1429.5708</v>
      </c>
      <c r="J193" s="7" t="s">
        <v>187</v>
      </c>
      <c r="K193" s="17">
        <f t="shared" si="7"/>
        <v>7</v>
      </c>
    </row>
    <row r="194" spans="1:11" x14ac:dyDescent="0.3">
      <c r="A194" s="3">
        <v>45851</v>
      </c>
      <c r="B194" s="3" t="s">
        <v>672</v>
      </c>
      <c r="C194" s="3" t="s">
        <v>16</v>
      </c>
      <c r="D194" s="3" t="s">
        <v>179</v>
      </c>
      <c r="E194" s="4">
        <v>0.92</v>
      </c>
      <c r="F194" s="5">
        <v>2.4500000000000002</v>
      </c>
      <c r="G194" s="6">
        <v>305</v>
      </c>
      <c r="H194" s="30">
        <v>2.1</v>
      </c>
      <c r="I194" s="21">
        <f t="shared" si="6"/>
        <v>1344.2856000000002</v>
      </c>
      <c r="J194" s="7" t="s">
        <v>69</v>
      </c>
      <c r="K194" s="17">
        <f t="shared" si="7"/>
        <v>7</v>
      </c>
    </row>
    <row r="195" spans="1:11" x14ac:dyDescent="0.3">
      <c r="A195" s="3">
        <v>45852</v>
      </c>
      <c r="B195" s="3" t="s">
        <v>672</v>
      </c>
      <c r="C195" s="3" t="s">
        <v>18</v>
      </c>
      <c r="D195" s="3" t="s">
        <v>174</v>
      </c>
      <c r="E195" s="4">
        <v>0.76</v>
      </c>
      <c r="F195" s="5">
        <v>2.15</v>
      </c>
      <c r="G195" s="6">
        <v>305</v>
      </c>
      <c r="H195" s="30">
        <v>2.1</v>
      </c>
      <c r="I195" s="21">
        <f t="shared" ref="I195:I258" si="8">(284*E195)*F195*H195</f>
        <v>974.51760000000002</v>
      </c>
      <c r="J195" s="7" t="s">
        <v>188</v>
      </c>
      <c r="K195" s="17">
        <f t="shared" ref="K195:K258" si="9">MONTH(A195)</f>
        <v>7</v>
      </c>
    </row>
    <row r="196" spans="1:11" x14ac:dyDescent="0.3">
      <c r="A196" s="3">
        <v>45853</v>
      </c>
      <c r="B196" s="3" t="s">
        <v>672</v>
      </c>
      <c r="C196" s="3" t="s">
        <v>20</v>
      </c>
      <c r="D196" s="3" t="s">
        <v>174</v>
      </c>
      <c r="E196" s="4">
        <v>0.78</v>
      </c>
      <c r="F196" s="5">
        <v>2.1800000000000002</v>
      </c>
      <c r="G196" s="6">
        <v>305</v>
      </c>
      <c r="H196" s="30">
        <v>2.1</v>
      </c>
      <c r="I196" s="21">
        <f t="shared" si="8"/>
        <v>1014.1185600000001</v>
      </c>
      <c r="J196" s="7" t="s">
        <v>52</v>
      </c>
      <c r="K196" s="17">
        <f t="shared" si="9"/>
        <v>7</v>
      </c>
    </row>
    <row r="197" spans="1:11" x14ac:dyDescent="0.3">
      <c r="A197" s="3">
        <v>45854</v>
      </c>
      <c r="B197" s="3" t="s">
        <v>672</v>
      </c>
      <c r="C197" s="3" t="s">
        <v>5</v>
      </c>
      <c r="D197" s="3" t="s">
        <v>174</v>
      </c>
      <c r="E197" s="4">
        <v>0.8</v>
      </c>
      <c r="F197" s="5">
        <v>2.2200000000000002</v>
      </c>
      <c r="G197" s="6">
        <v>305</v>
      </c>
      <c r="H197" s="30">
        <v>2.1</v>
      </c>
      <c r="I197" s="21">
        <f t="shared" si="8"/>
        <v>1059.2064000000003</v>
      </c>
      <c r="J197" s="7" t="s">
        <v>52</v>
      </c>
      <c r="K197" s="17">
        <f t="shared" si="9"/>
        <v>7</v>
      </c>
    </row>
    <row r="198" spans="1:11" x14ac:dyDescent="0.3">
      <c r="A198" s="3">
        <v>45855</v>
      </c>
      <c r="B198" s="3" t="s">
        <v>672</v>
      </c>
      <c r="C198" s="3" t="s">
        <v>8</v>
      </c>
      <c r="D198" s="3" t="s">
        <v>174</v>
      </c>
      <c r="E198" s="4">
        <v>0.82</v>
      </c>
      <c r="F198" s="5">
        <v>2.25</v>
      </c>
      <c r="G198" s="6">
        <v>305</v>
      </c>
      <c r="H198" s="30">
        <v>2.1</v>
      </c>
      <c r="I198" s="21">
        <f t="shared" si="8"/>
        <v>1100.3580000000002</v>
      </c>
      <c r="J198" s="7" t="s">
        <v>82</v>
      </c>
      <c r="K198" s="17">
        <f t="shared" si="9"/>
        <v>7</v>
      </c>
    </row>
    <row r="199" spans="1:11" x14ac:dyDescent="0.3">
      <c r="A199" s="3">
        <v>45856</v>
      </c>
      <c r="B199" s="3" t="s">
        <v>672</v>
      </c>
      <c r="C199" s="3" t="s">
        <v>11</v>
      </c>
      <c r="D199" s="3" t="s">
        <v>174</v>
      </c>
      <c r="E199" s="4">
        <v>0.88</v>
      </c>
      <c r="F199" s="5">
        <v>2.42</v>
      </c>
      <c r="G199" s="6">
        <v>305</v>
      </c>
      <c r="H199" s="30">
        <v>2.1</v>
      </c>
      <c r="I199" s="21">
        <f t="shared" si="8"/>
        <v>1270.0934399999999</v>
      </c>
      <c r="J199" s="7" t="s">
        <v>189</v>
      </c>
      <c r="K199" s="17">
        <f t="shared" si="9"/>
        <v>7</v>
      </c>
    </row>
    <row r="200" spans="1:11" x14ac:dyDescent="0.3">
      <c r="A200" s="3">
        <v>45857</v>
      </c>
      <c r="B200" s="3" t="s">
        <v>672</v>
      </c>
      <c r="C200" s="3" t="s">
        <v>13</v>
      </c>
      <c r="D200" s="3" t="s">
        <v>179</v>
      </c>
      <c r="E200" s="4">
        <v>0.95</v>
      </c>
      <c r="F200" s="5">
        <v>2.58</v>
      </c>
      <c r="G200" s="6">
        <v>305</v>
      </c>
      <c r="H200" s="30">
        <v>2.1</v>
      </c>
      <c r="I200" s="21">
        <f t="shared" si="8"/>
        <v>1461.7764000000002</v>
      </c>
      <c r="J200" s="7" t="s">
        <v>190</v>
      </c>
      <c r="K200" s="17">
        <f t="shared" si="9"/>
        <v>7</v>
      </c>
    </row>
    <row r="201" spans="1:11" x14ac:dyDescent="0.3">
      <c r="A201" s="3">
        <v>45858</v>
      </c>
      <c r="B201" s="3" t="s">
        <v>672</v>
      </c>
      <c r="C201" s="3" t="s">
        <v>16</v>
      </c>
      <c r="D201" s="3" t="s">
        <v>179</v>
      </c>
      <c r="E201" s="4">
        <v>0.93</v>
      </c>
      <c r="F201" s="5">
        <v>2.5</v>
      </c>
      <c r="G201" s="6">
        <v>305</v>
      </c>
      <c r="H201" s="30">
        <v>2.1</v>
      </c>
      <c r="I201" s="21">
        <f t="shared" si="8"/>
        <v>1386.6299999999999</v>
      </c>
      <c r="J201" s="7" t="s">
        <v>191</v>
      </c>
      <c r="K201" s="17">
        <f t="shared" si="9"/>
        <v>7</v>
      </c>
    </row>
    <row r="202" spans="1:11" x14ac:dyDescent="0.3">
      <c r="A202" s="3">
        <v>45859</v>
      </c>
      <c r="B202" s="3" t="s">
        <v>672</v>
      </c>
      <c r="C202" s="3" t="s">
        <v>18</v>
      </c>
      <c r="D202" s="3" t="s">
        <v>174</v>
      </c>
      <c r="E202" s="4">
        <v>0.8</v>
      </c>
      <c r="F202" s="5">
        <v>2.2000000000000002</v>
      </c>
      <c r="G202" s="6">
        <v>305</v>
      </c>
      <c r="H202" s="30">
        <v>2.1</v>
      </c>
      <c r="I202" s="21">
        <f t="shared" si="8"/>
        <v>1049.6640000000002</v>
      </c>
      <c r="J202" s="7" t="s">
        <v>192</v>
      </c>
      <c r="K202" s="17">
        <f t="shared" si="9"/>
        <v>7</v>
      </c>
    </row>
    <row r="203" spans="1:11" x14ac:dyDescent="0.3">
      <c r="A203" s="3">
        <v>45860</v>
      </c>
      <c r="B203" s="3" t="s">
        <v>672</v>
      </c>
      <c r="C203" s="3" t="s">
        <v>20</v>
      </c>
      <c r="D203" s="3" t="s">
        <v>174</v>
      </c>
      <c r="E203" s="4">
        <v>0.82</v>
      </c>
      <c r="F203" s="5">
        <v>2.2200000000000002</v>
      </c>
      <c r="G203" s="6">
        <v>305</v>
      </c>
      <c r="H203" s="30">
        <v>2.1</v>
      </c>
      <c r="I203" s="21">
        <f t="shared" si="8"/>
        <v>1085.6865600000001</v>
      </c>
      <c r="J203" s="7" t="s">
        <v>193</v>
      </c>
      <c r="K203" s="17">
        <f t="shared" si="9"/>
        <v>7</v>
      </c>
    </row>
    <row r="204" spans="1:11" x14ac:dyDescent="0.3">
      <c r="A204" s="3">
        <v>45861</v>
      </c>
      <c r="B204" s="3" t="s">
        <v>672</v>
      </c>
      <c r="C204" s="3" t="s">
        <v>5</v>
      </c>
      <c r="D204" s="3" t="s">
        <v>174</v>
      </c>
      <c r="E204" s="4">
        <v>0.84</v>
      </c>
      <c r="F204" s="5">
        <v>2.25</v>
      </c>
      <c r="G204" s="6">
        <v>305</v>
      </c>
      <c r="H204" s="30">
        <v>2.1</v>
      </c>
      <c r="I204" s="21">
        <f t="shared" si="8"/>
        <v>1127.1960000000001</v>
      </c>
      <c r="J204" s="7" t="s">
        <v>194</v>
      </c>
      <c r="K204" s="17">
        <f t="shared" si="9"/>
        <v>7</v>
      </c>
    </row>
    <row r="205" spans="1:11" x14ac:dyDescent="0.3">
      <c r="A205" s="3">
        <v>45862</v>
      </c>
      <c r="B205" s="3" t="s">
        <v>672</v>
      </c>
      <c r="C205" s="3" t="s">
        <v>8</v>
      </c>
      <c r="D205" s="3" t="s">
        <v>174</v>
      </c>
      <c r="E205" s="4">
        <v>0.86</v>
      </c>
      <c r="F205" s="5">
        <v>2.2999999999999998</v>
      </c>
      <c r="G205" s="6">
        <v>305</v>
      </c>
      <c r="H205" s="30">
        <v>2.1</v>
      </c>
      <c r="I205" s="21">
        <f t="shared" si="8"/>
        <v>1179.6792</v>
      </c>
      <c r="J205" s="7" t="s">
        <v>195</v>
      </c>
      <c r="K205" s="17">
        <f t="shared" si="9"/>
        <v>7</v>
      </c>
    </row>
    <row r="206" spans="1:11" x14ac:dyDescent="0.3">
      <c r="A206" s="3">
        <v>45863</v>
      </c>
      <c r="B206" s="3" t="s">
        <v>672</v>
      </c>
      <c r="C206" s="3" t="s">
        <v>11</v>
      </c>
      <c r="D206" s="3" t="s">
        <v>6</v>
      </c>
      <c r="E206" s="4">
        <v>0.98</v>
      </c>
      <c r="F206" s="5">
        <v>2.72</v>
      </c>
      <c r="G206" s="6">
        <v>305</v>
      </c>
      <c r="H206" s="30">
        <v>2.1</v>
      </c>
      <c r="I206" s="21">
        <f t="shared" si="8"/>
        <v>1589.7638400000001</v>
      </c>
      <c r="J206" s="7" t="s">
        <v>196</v>
      </c>
      <c r="K206" s="17">
        <f t="shared" si="9"/>
        <v>7</v>
      </c>
    </row>
    <row r="207" spans="1:11" x14ac:dyDescent="0.3">
      <c r="A207" s="3">
        <v>45864</v>
      </c>
      <c r="B207" s="3" t="s">
        <v>672</v>
      </c>
      <c r="C207" s="3" t="s">
        <v>13</v>
      </c>
      <c r="D207" s="3" t="s">
        <v>179</v>
      </c>
      <c r="E207" s="4">
        <v>0.96</v>
      </c>
      <c r="F207" s="5">
        <v>2.6</v>
      </c>
      <c r="G207" s="6">
        <v>305</v>
      </c>
      <c r="H207" s="30">
        <v>2.1</v>
      </c>
      <c r="I207" s="21">
        <f t="shared" si="8"/>
        <v>1488.6144000000002</v>
      </c>
      <c r="J207" s="7" t="s">
        <v>197</v>
      </c>
      <c r="K207" s="17">
        <f t="shared" si="9"/>
        <v>7</v>
      </c>
    </row>
    <row r="208" spans="1:11" x14ac:dyDescent="0.3">
      <c r="A208" s="3">
        <v>45865</v>
      </c>
      <c r="B208" s="3" t="s">
        <v>672</v>
      </c>
      <c r="C208" s="3" t="s">
        <v>16</v>
      </c>
      <c r="D208" s="3" t="s">
        <v>179</v>
      </c>
      <c r="E208" s="4">
        <v>0.94</v>
      </c>
      <c r="F208" s="5">
        <v>2.52</v>
      </c>
      <c r="G208" s="6">
        <v>305</v>
      </c>
      <c r="H208" s="30">
        <v>2.1</v>
      </c>
      <c r="I208" s="21">
        <f t="shared" si="8"/>
        <v>1412.7523200000001</v>
      </c>
      <c r="J208" s="7" t="s">
        <v>197</v>
      </c>
      <c r="K208" s="17">
        <f t="shared" si="9"/>
        <v>7</v>
      </c>
    </row>
    <row r="209" spans="1:11" x14ac:dyDescent="0.3">
      <c r="A209" s="3">
        <v>45866</v>
      </c>
      <c r="B209" s="3" t="s">
        <v>672</v>
      </c>
      <c r="C209" s="3" t="s">
        <v>18</v>
      </c>
      <c r="D209" s="3" t="s">
        <v>174</v>
      </c>
      <c r="E209" s="4">
        <v>0.82</v>
      </c>
      <c r="F209" s="5">
        <v>2.2400000000000002</v>
      </c>
      <c r="G209" s="6">
        <v>305</v>
      </c>
      <c r="H209" s="30">
        <v>2.1</v>
      </c>
      <c r="I209" s="21">
        <f t="shared" si="8"/>
        <v>1095.4675200000001</v>
      </c>
      <c r="J209" s="7" t="s">
        <v>198</v>
      </c>
      <c r="K209" s="17">
        <f t="shared" si="9"/>
        <v>7</v>
      </c>
    </row>
    <row r="210" spans="1:11" x14ac:dyDescent="0.3">
      <c r="A210" s="3">
        <v>45867</v>
      </c>
      <c r="B210" s="3" t="s">
        <v>672</v>
      </c>
      <c r="C210" s="3" t="s">
        <v>20</v>
      </c>
      <c r="D210" s="3" t="s">
        <v>174</v>
      </c>
      <c r="E210" s="4">
        <v>0.84</v>
      </c>
      <c r="F210" s="5">
        <v>2.2799999999999998</v>
      </c>
      <c r="G210" s="6">
        <v>305</v>
      </c>
      <c r="H210" s="30">
        <v>2.1</v>
      </c>
      <c r="I210" s="21">
        <f t="shared" si="8"/>
        <v>1142.2252799999999</v>
      </c>
      <c r="J210" s="7" t="s">
        <v>99</v>
      </c>
      <c r="K210" s="17">
        <f t="shared" si="9"/>
        <v>7</v>
      </c>
    </row>
    <row r="211" spans="1:11" x14ac:dyDescent="0.3">
      <c r="A211" s="3">
        <v>45868</v>
      </c>
      <c r="B211" s="3" t="s">
        <v>672</v>
      </c>
      <c r="C211" s="3" t="s">
        <v>5</v>
      </c>
      <c r="D211" s="3" t="s">
        <v>174</v>
      </c>
      <c r="E211" s="4">
        <v>0.86</v>
      </c>
      <c r="F211" s="5">
        <v>2.3199999999999998</v>
      </c>
      <c r="G211" s="6">
        <v>305</v>
      </c>
      <c r="H211" s="30">
        <v>2.1</v>
      </c>
      <c r="I211" s="21">
        <f t="shared" si="8"/>
        <v>1189.9372800000001</v>
      </c>
      <c r="J211" s="7" t="s">
        <v>99</v>
      </c>
      <c r="K211" s="17">
        <f t="shared" si="9"/>
        <v>7</v>
      </c>
    </row>
    <row r="212" spans="1:11" x14ac:dyDescent="0.3">
      <c r="A212" s="3">
        <v>45869</v>
      </c>
      <c r="B212" s="3" t="s">
        <v>672</v>
      </c>
      <c r="C212" s="3" t="s">
        <v>8</v>
      </c>
      <c r="D212" s="3" t="s">
        <v>174</v>
      </c>
      <c r="E212" s="4">
        <v>0.88</v>
      </c>
      <c r="F212" s="5">
        <v>2.35</v>
      </c>
      <c r="G212" s="6">
        <v>305</v>
      </c>
      <c r="H212" s="30">
        <v>2.1</v>
      </c>
      <c r="I212" s="21">
        <f t="shared" si="8"/>
        <v>1233.3552</v>
      </c>
      <c r="J212" s="7" t="s">
        <v>199</v>
      </c>
      <c r="K212" s="17">
        <f t="shared" si="9"/>
        <v>7</v>
      </c>
    </row>
    <row r="213" spans="1:11" x14ac:dyDescent="0.3">
      <c r="A213" s="3">
        <v>45870</v>
      </c>
      <c r="B213" s="3" t="s">
        <v>672</v>
      </c>
      <c r="C213" s="3" t="s">
        <v>11</v>
      </c>
      <c r="D213" s="3" t="s">
        <v>174</v>
      </c>
      <c r="E213" s="4">
        <v>0.88</v>
      </c>
      <c r="F213" s="5">
        <v>2.4500000000000002</v>
      </c>
      <c r="G213" s="6">
        <v>305</v>
      </c>
      <c r="H213" s="30">
        <v>2.1</v>
      </c>
      <c r="I213" s="21">
        <f t="shared" si="8"/>
        <v>1285.8384000000001</v>
      </c>
      <c r="J213" s="7" t="s">
        <v>200</v>
      </c>
      <c r="K213" s="17">
        <f t="shared" si="9"/>
        <v>8</v>
      </c>
    </row>
    <row r="214" spans="1:11" x14ac:dyDescent="0.3">
      <c r="A214" s="3">
        <v>45871</v>
      </c>
      <c r="B214" s="3" t="s">
        <v>672</v>
      </c>
      <c r="C214" s="3" t="s">
        <v>13</v>
      </c>
      <c r="D214" s="3" t="s">
        <v>179</v>
      </c>
      <c r="E214" s="4">
        <v>0.96</v>
      </c>
      <c r="F214" s="5">
        <v>2.6</v>
      </c>
      <c r="G214" s="6">
        <v>305</v>
      </c>
      <c r="H214" s="30">
        <v>2.1</v>
      </c>
      <c r="I214" s="21">
        <f t="shared" si="8"/>
        <v>1488.6144000000002</v>
      </c>
      <c r="J214" s="7" t="s">
        <v>201</v>
      </c>
      <c r="K214" s="17">
        <f t="shared" si="9"/>
        <v>8</v>
      </c>
    </row>
    <row r="215" spans="1:11" x14ac:dyDescent="0.3">
      <c r="A215" s="3">
        <v>45872</v>
      </c>
      <c r="B215" s="3" t="s">
        <v>672</v>
      </c>
      <c r="C215" s="3" t="s">
        <v>16</v>
      </c>
      <c r="D215" s="3" t="s">
        <v>179</v>
      </c>
      <c r="E215" s="4">
        <v>0.94</v>
      </c>
      <c r="F215" s="5">
        <v>2.52</v>
      </c>
      <c r="G215" s="6">
        <v>305</v>
      </c>
      <c r="H215" s="30">
        <v>2.1</v>
      </c>
      <c r="I215" s="21">
        <f t="shared" si="8"/>
        <v>1412.7523200000001</v>
      </c>
      <c r="J215" s="7" t="s">
        <v>202</v>
      </c>
      <c r="K215" s="17">
        <f t="shared" si="9"/>
        <v>8</v>
      </c>
    </row>
    <row r="216" spans="1:11" x14ac:dyDescent="0.3">
      <c r="A216" s="3">
        <v>45873</v>
      </c>
      <c r="B216" s="3" t="s">
        <v>672</v>
      </c>
      <c r="C216" s="3" t="s">
        <v>18</v>
      </c>
      <c r="D216" s="3" t="s">
        <v>174</v>
      </c>
      <c r="E216" s="4">
        <v>0.85</v>
      </c>
      <c r="F216" s="5">
        <v>2.2999999999999998</v>
      </c>
      <c r="G216" s="6">
        <v>305</v>
      </c>
      <c r="H216" s="30">
        <v>2.1</v>
      </c>
      <c r="I216" s="21">
        <f t="shared" si="8"/>
        <v>1165.9619999999998</v>
      </c>
      <c r="J216" s="7" t="s">
        <v>203</v>
      </c>
      <c r="K216" s="17">
        <f t="shared" si="9"/>
        <v>8</v>
      </c>
    </row>
    <row r="217" spans="1:11" x14ac:dyDescent="0.3">
      <c r="A217" s="3">
        <v>45874</v>
      </c>
      <c r="B217" s="3" t="s">
        <v>672</v>
      </c>
      <c r="C217" s="3" t="s">
        <v>20</v>
      </c>
      <c r="D217" s="3" t="s">
        <v>174</v>
      </c>
      <c r="E217" s="4">
        <v>0.85</v>
      </c>
      <c r="F217" s="5">
        <v>2.3199999999999998</v>
      </c>
      <c r="G217" s="6">
        <v>305</v>
      </c>
      <c r="H217" s="30">
        <v>2.1</v>
      </c>
      <c r="I217" s="21">
        <f t="shared" si="8"/>
        <v>1176.1008000000002</v>
      </c>
      <c r="J217" s="7" t="s">
        <v>204</v>
      </c>
      <c r="K217" s="17">
        <f t="shared" si="9"/>
        <v>8</v>
      </c>
    </row>
    <row r="218" spans="1:11" x14ac:dyDescent="0.3">
      <c r="A218" s="3">
        <v>45875</v>
      </c>
      <c r="B218" s="3" t="s">
        <v>672</v>
      </c>
      <c r="C218" s="3" t="s">
        <v>5</v>
      </c>
      <c r="D218" s="3" t="s">
        <v>174</v>
      </c>
      <c r="E218" s="4">
        <v>0.87</v>
      </c>
      <c r="F218" s="5">
        <v>2.35</v>
      </c>
      <c r="G218" s="6">
        <v>305</v>
      </c>
      <c r="H218" s="30">
        <v>2.1</v>
      </c>
      <c r="I218" s="21">
        <f t="shared" si="8"/>
        <v>1219.3398000000002</v>
      </c>
      <c r="J218" s="7" t="s">
        <v>51</v>
      </c>
      <c r="K218" s="17">
        <f t="shared" si="9"/>
        <v>8</v>
      </c>
    </row>
    <row r="219" spans="1:11" x14ac:dyDescent="0.3">
      <c r="A219" s="3">
        <v>45876</v>
      </c>
      <c r="B219" s="3" t="s">
        <v>672</v>
      </c>
      <c r="C219" s="3" t="s">
        <v>8</v>
      </c>
      <c r="D219" s="3" t="s">
        <v>174</v>
      </c>
      <c r="E219" s="4">
        <v>0.88</v>
      </c>
      <c r="F219" s="5">
        <v>2.38</v>
      </c>
      <c r="G219" s="6">
        <v>305</v>
      </c>
      <c r="H219" s="30">
        <v>2.1</v>
      </c>
      <c r="I219" s="21">
        <f t="shared" si="8"/>
        <v>1249.10016</v>
      </c>
      <c r="J219" s="7" t="s">
        <v>205</v>
      </c>
      <c r="K219" s="17">
        <f t="shared" si="9"/>
        <v>8</v>
      </c>
    </row>
    <row r="220" spans="1:11" x14ac:dyDescent="0.3">
      <c r="A220" s="3">
        <v>45877</v>
      </c>
      <c r="B220" s="3" t="s">
        <v>672</v>
      </c>
      <c r="C220" s="3" t="s">
        <v>11</v>
      </c>
      <c r="D220" s="3" t="s">
        <v>174</v>
      </c>
      <c r="E220" s="4">
        <v>0.92</v>
      </c>
      <c r="F220" s="5">
        <v>2.5</v>
      </c>
      <c r="G220" s="6">
        <v>305</v>
      </c>
      <c r="H220" s="30">
        <v>2.1</v>
      </c>
      <c r="I220" s="21">
        <f t="shared" si="8"/>
        <v>1371.7200000000003</v>
      </c>
      <c r="J220" s="7" t="s">
        <v>206</v>
      </c>
      <c r="K220" s="17">
        <f t="shared" si="9"/>
        <v>8</v>
      </c>
    </row>
    <row r="221" spans="1:11" x14ac:dyDescent="0.3">
      <c r="A221" s="3">
        <v>45878</v>
      </c>
      <c r="B221" s="3" t="s">
        <v>672</v>
      </c>
      <c r="C221" s="3" t="s">
        <v>13</v>
      </c>
      <c r="D221" s="3" t="s">
        <v>179</v>
      </c>
      <c r="E221" s="4">
        <v>0.98</v>
      </c>
      <c r="F221" s="5">
        <v>2.65</v>
      </c>
      <c r="G221" s="6">
        <v>305</v>
      </c>
      <c r="H221" s="30">
        <v>2.1</v>
      </c>
      <c r="I221" s="21">
        <f t="shared" si="8"/>
        <v>1548.8508000000002</v>
      </c>
      <c r="J221" s="7" t="s">
        <v>207</v>
      </c>
      <c r="K221" s="17">
        <f t="shared" si="9"/>
        <v>8</v>
      </c>
    </row>
    <row r="222" spans="1:11" x14ac:dyDescent="0.3">
      <c r="A222" s="3">
        <v>45879</v>
      </c>
      <c r="B222" s="3" t="s">
        <v>672</v>
      </c>
      <c r="C222" s="3" t="s">
        <v>16</v>
      </c>
      <c r="D222" s="3" t="s">
        <v>179</v>
      </c>
      <c r="E222" s="4">
        <v>0.97</v>
      </c>
      <c r="F222" s="5">
        <v>2.58</v>
      </c>
      <c r="G222" s="6">
        <v>305</v>
      </c>
      <c r="H222" s="30">
        <v>2.1</v>
      </c>
      <c r="I222" s="21">
        <f t="shared" si="8"/>
        <v>1492.5506400000002</v>
      </c>
      <c r="J222" s="7" t="s">
        <v>208</v>
      </c>
      <c r="K222" s="17">
        <f t="shared" si="9"/>
        <v>8</v>
      </c>
    </row>
    <row r="223" spans="1:11" x14ac:dyDescent="0.3">
      <c r="A223" s="3">
        <v>45880</v>
      </c>
      <c r="B223" s="3" t="s">
        <v>672</v>
      </c>
      <c r="C223" s="3" t="s">
        <v>18</v>
      </c>
      <c r="D223" s="3" t="s">
        <v>174</v>
      </c>
      <c r="E223" s="4">
        <v>0.88</v>
      </c>
      <c r="F223" s="5">
        <v>2.35</v>
      </c>
      <c r="G223" s="6">
        <v>305</v>
      </c>
      <c r="H223" s="30">
        <v>2.1</v>
      </c>
      <c r="I223" s="21">
        <f t="shared" si="8"/>
        <v>1233.3552</v>
      </c>
      <c r="J223" s="7" t="s">
        <v>209</v>
      </c>
      <c r="K223" s="17">
        <f t="shared" si="9"/>
        <v>8</v>
      </c>
    </row>
    <row r="224" spans="1:11" x14ac:dyDescent="0.3">
      <c r="A224" s="3">
        <v>45881</v>
      </c>
      <c r="B224" s="3" t="s">
        <v>672</v>
      </c>
      <c r="C224" s="3" t="s">
        <v>20</v>
      </c>
      <c r="D224" s="3" t="s">
        <v>174</v>
      </c>
      <c r="E224" s="4">
        <v>0.89</v>
      </c>
      <c r="F224" s="5">
        <v>2.38</v>
      </c>
      <c r="G224" s="6">
        <v>305</v>
      </c>
      <c r="H224" s="30">
        <v>2.1</v>
      </c>
      <c r="I224" s="21">
        <f t="shared" si="8"/>
        <v>1263.2944799999998</v>
      </c>
      <c r="J224" s="7" t="s">
        <v>210</v>
      </c>
      <c r="K224" s="17">
        <f t="shared" si="9"/>
        <v>8</v>
      </c>
    </row>
    <row r="225" spans="1:11" x14ac:dyDescent="0.3">
      <c r="A225" s="3">
        <v>45882</v>
      </c>
      <c r="B225" s="3" t="s">
        <v>672</v>
      </c>
      <c r="C225" s="3" t="s">
        <v>5</v>
      </c>
      <c r="D225" s="3" t="s">
        <v>6</v>
      </c>
      <c r="E225" s="4">
        <v>0.99</v>
      </c>
      <c r="F225" s="5">
        <v>2.75</v>
      </c>
      <c r="G225" s="6">
        <v>305</v>
      </c>
      <c r="H225" s="30">
        <v>2.1</v>
      </c>
      <c r="I225" s="21">
        <f t="shared" si="8"/>
        <v>1623.6990000000003</v>
      </c>
      <c r="J225" s="7" t="s">
        <v>211</v>
      </c>
      <c r="K225" s="17">
        <f t="shared" si="9"/>
        <v>8</v>
      </c>
    </row>
    <row r="226" spans="1:11" x14ac:dyDescent="0.3">
      <c r="A226" s="3">
        <v>45883</v>
      </c>
      <c r="B226" s="3" t="s">
        <v>672</v>
      </c>
      <c r="C226" s="3" t="s">
        <v>8</v>
      </c>
      <c r="D226" s="3" t="s">
        <v>174</v>
      </c>
      <c r="E226" s="4">
        <v>0.95</v>
      </c>
      <c r="F226" s="5">
        <v>2.5499999999999998</v>
      </c>
      <c r="G226" s="6">
        <v>305</v>
      </c>
      <c r="H226" s="30">
        <v>2.1</v>
      </c>
      <c r="I226" s="21">
        <f t="shared" si="8"/>
        <v>1444.779</v>
      </c>
      <c r="J226" s="7" t="s">
        <v>212</v>
      </c>
      <c r="K226" s="17">
        <f t="shared" si="9"/>
        <v>8</v>
      </c>
    </row>
    <row r="227" spans="1:11" x14ac:dyDescent="0.3">
      <c r="A227" s="3">
        <v>45884</v>
      </c>
      <c r="B227" s="3" t="s">
        <v>672</v>
      </c>
      <c r="C227" s="3" t="s">
        <v>11</v>
      </c>
      <c r="D227" s="3" t="s">
        <v>174</v>
      </c>
      <c r="E227" s="4">
        <v>0.96</v>
      </c>
      <c r="F227" s="5">
        <v>2.58</v>
      </c>
      <c r="G227" s="6">
        <v>305</v>
      </c>
      <c r="H227" s="30">
        <v>2.1</v>
      </c>
      <c r="I227" s="21">
        <f t="shared" si="8"/>
        <v>1477.1635200000001</v>
      </c>
      <c r="J227" s="7" t="s">
        <v>197</v>
      </c>
      <c r="K227" s="17">
        <f t="shared" si="9"/>
        <v>8</v>
      </c>
    </row>
    <row r="228" spans="1:11" x14ac:dyDescent="0.3">
      <c r="A228" s="3">
        <v>45885</v>
      </c>
      <c r="B228" s="3" t="s">
        <v>672</v>
      </c>
      <c r="C228" s="3" t="s">
        <v>13</v>
      </c>
      <c r="D228" s="3" t="s">
        <v>179</v>
      </c>
      <c r="E228" s="4">
        <v>0.98</v>
      </c>
      <c r="F228" s="5">
        <v>2.62</v>
      </c>
      <c r="G228" s="6">
        <v>305</v>
      </c>
      <c r="H228" s="30">
        <v>2.1</v>
      </c>
      <c r="I228" s="21">
        <f t="shared" si="8"/>
        <v>1531.31664</v>
      </c>
      <c r="J228" s="7" t="s">
        <v>213</v>
      </c>
      <c r="K228" s="17">
        <f t="shared" si="9"/>
        <v>8</v>
      </c>
    </row>
    <row r="229" spans="1:11" x14ac:dyDescent="0.3">
      <c r="A229" s="3">
        <v>45886</v>
      </c>
      <c r="B229" s="3" t="s">
        <v>672</v>
      </c>
      <c r="C229" s="3" t="s">
        <v>16</v>
      </c>
      <c r="D229" s="3" t="s">
        <v>179</v>
      </c>
      <c r="E229" s="4">
        <v>0.95</v>
      </c>
      <c r="F229" s="5">
        <v>2.5</v>
      </c>
      <c r="G229" s="6">
        <v>305</v>
      </c>
      <c r="H229" s="30">
        <v>2.1</v>
      </c>
      <c r="I229" s="21">
        <f t="shared" si="8"/>
        <v>1416.45</v>
      </c>
      <c r="J229" s="7" t="s">
        <v>214</v>
      </c>
      <c r="K229" s="17">
        <f t="shared" si="9"/>
        <v>8</v>
      </c>
    </row>
    <row r="230" spans="1:11" x14ac:dyDescent="0.3">
      <c r="A230" s="3">
        <v>45887</v>
      </c>
      <c r="B230" s="3" t="s">
        <v>672</v>
      </c>
      <c r="C230" s="3" t="s">
        <v>18</v>
      </c>
      <c r="D230" s="3" t="s">
        <v>174</v>
      </c>
      <c r="E230" s="4">
        <v>0.84</v>
      </c>
      <c r="F230" s="5">
        <v>2.2799999999999998</v>
      </c>
      <c r="G230" s="6">
        <v>305</v>
      </c>
      <c r="H230" s="30">
        <v>2.1</v>
      </c>
      <c r="I230" s="21">
        <f t="shared" si="8"/>
        <v>1142.2252799999999</v>
      </c>
      <c r="J230" s="7" t="s">
        <v>215</v>
      </c>
      <c r="K230" s="17">
        <f t="shared" si="9"/>
        <v>8</v>
      </c>
    </row>
    <row r="231" spans="1:11" x14ac:dyDescent="0.3">
      <c r="A231" s="3">
        <v>45888</v>
      </c>
      <c r="B231" s="3" t="s">
        <v>672</v>
      </c>
      <c r="C231" s="3" t="s">
        <v>20</v>
      </c>
      <c r="D231" s="3" t="s">
        <v>174</v>
      </c>
      <c r="E231" s="4">
        <v>0.82</v>
      </c>
      <c r="F231" s="5">
        <v>2.25</v>
      </c>
      <c r="G231" s="6">
        <v>305</v>
      </c>
      <c r="H231" s="30">
        <v>2.1</v>
      </c>
      <c r="I231" s="21">
        <f t="shared" si="8"/>
        <v>1100.3580000000002</v>
      </c>
      <c r="J231" s="7" t="s">
        <v>216</v>
      </c>
      <c r="K231" s="17">
        <f t="shared" si="9"/>
        <v>8</v>
      </c>
    </row>
    <row r="232" spans="1:11" x14ac:dyDescent="0.3">
      <c r="A232" s="3">
        <v>45889</v>
      </c>
      <c r="B232" s="3" t="s">
        <v>672</v>
      </c>
      <c r="C232" s="3" t="s">
        <v>5</v>
      </c>
      <c r="D232" s="3" t="s">
        <v>174</v>
      </c>
      <c r="E232" s="4">
        <v>0.83</v>
      </c>
      <c r="F232" s="5">
        <v>2.2799999999999998</v>
      </c>
      <c r="G232" s="6">
        <v>305</v>
      </c>
      <c r="H232" s="30">
        <v>2.1</v>
      </c>
      <c r="I232" s="21">
        <f t="shared" si="8"/>
        <v>1128.62736</v>
      </c>
      <c r="J232" s="7" t="s">
        <v>129</v>
      </c>
      <c r="K232" s="17">
        <f t="shared" si="9"/>
        <v>8</v>
      </c>
    </row>
    <row r="233" spans="1:11" x14ac:dyDescent="0.3">
      <c r="A233" s="3">
        <v>45890</v>
      </c>
      <c r="B233" s="3" t="s">
        <v>672</v>
      </c>
      <c r="C233" s="3" t="s">
        <v>8</v>
      </c>
      <c r="D233" s="3" t="s">
        <v>174</v>
      </c>
      <c r="E233" s="4">
        <v>0.85</v>
      </c>
      <c r="F233" s="5">
        <v>2.3199999999999998</v>
      </c>
      <c r="G233" s="6">
        <v>305</v>
      </c>
      <c r="H233" s="30">
        <v>2.1</v>
      </c>
      <c r="I233" s="21">
        <f t="shared" si="8"/>
        <v>1176.1008000000002</v>
      </c>
      <c r="J233" s="7" t="s">
        <v>72</v>
      </c>
      <c r="K233" s="17">
        <f t="shared" si="9"/>
        <v>8</v>
      </c>
    </row>
    <row r="234" spans="1:11" x14ac:dyDescent="0.3">
      <c r="A234" s="3">
        <v>45891</v>
      </c>
      <c r="B234" s="3" t="s">
        <v>672</v>
      </c>
      <c r="C234" s="3" t="s">
        <v>11</v>
      </c>
      <c r="D234" s="3" t="s">
        <v>174</v>
      </c>
      <c r="E234" s="4">
        <v>0.88</v>
      </c>
      <c r="F234" s="5">
        <v>2.4500000000000002</v>
      </c>
      <c r="G234" s="6">
        <v>305</v>
      </c>
      <c r="H234" s="30">
        <v>2.1</v>
      </c>
      <c r="I234" s="21">
        <f t="shared" si="8"/>
        <v>1285.8384000000001</v>
      </c>
      <c r="J234" s="7" t="s">
        <v>217</v>
      </c>
      <c r="K234" s="17">
        <f t="shared" si="9"/>
        <v>8</v>
      </c>
    </row>
    <row r="235" spans="1:11" x14ac:dyDescent="0.3">
      <c r="A235" s="3">
        <v>45892</v>
      </c>
      <c r="B235" s="3" t="s">
        <v>672</v>
      </c>
      <c r="C235" s="3" t="s">
        <v>13</v>
      </c>
      <c r="D235" s="3" t="s">
        <v>179</v>
      </c>
      <c r="E235" s="4">
        <v>0.92</v>
      </c>
      <c r="F235" s="5">
        <v>2.5499999999999998</v>
      </c>
      <c r="G235" s="6">
        <v>305</v>
      </c>
      <c r="H235" s="30">
        <v>2.1</v>
      </c>
      <c r="I235" s="21">
        <f t="shared" si="8"/>
        <v>1399.1544000000001</v>
      </c>
      <c r="J235" s="7" t="s">
        <v>218</v>
      </c>
      <c r="K235" s="17">
        <f t="shared" si="9"/>
        <v>8</v>
      </c>
    </row>
    <row r="236" spans="1:11" x14ac:dyDescent="0.3">
      <c r="A236" s="3">
        <v>45893</v>
      </c>
      <c r="B236" s="3" t="s">
        <v>672</v>
      </c>
      <c r="C236" s="3" t="s">
        <v>16</v>
      </c>
      <c r="D236" s="3" t="s">
        <v>179</v>
      </c>
      <c r="E236" s="4">
        <v>0.89</v>
      </c>
      <c r="F236" s="5">
        <v>2.4500000000000002</v>
      </c>
      <c r="G236" s="6">
        <v>305</v>
      </c>
      <c r="H236" s="30">
        <v>2.1</v>
      </c>
      <c r="I236" s="21">
        <f t="shared" si="8"/>
        <v>1300.4502000000002</v>
      </c>
      <c r="J236" s="7" t="s">
        <v>69</v>
      </c>
      <c r="K236" s="17">
        <f t="shared" si="9"/>
        <v>8</v>
      </c>
    </row>
    <row r="237" spans="1:11" x14ac:dyDescent="0.3">
      <c r="A237" s="3">
        <v>45894</v>
      </c>
      <c r="B237" s="3" t="s">
        <v>672</v>
      </c>
      <c r="C237" s="3" t="s">
        <v>18</v>
      </c>
      <c r="D237" s="3" t="s">
        <v>174</v>
      </c>
      <c r="E237" s="4">
        <v>0.78</v>
      </c>
      <c r="F237" s="5">
        <v>2.15</v>
      </c>
      <c r="G237" s="6">
        <v>305</v>
      </c>
      <c r="H237" s="30">
        <v>2.1</v>
      </c>
      <c r="I237" s="21">
        <f t="shared" si="8"/>
        <v>1000.1628000000001</v>
      </c>
      <c r="J237" s="7" t="s">
        <v>219</v>
      </c>
      <c r="K237" s="17">
        <f t="shared" si="9"/>
        <v>8</v>
      </c>
    </row>
    <row r="238" spans="1:11" x14ac:dyDescent="0.3">
      <c r="A238" s="3">
        <v>45895</v>
      </c>
      <c r="B238" s="3" t="s">
        <v>672</v>
      </c>
      <c r="C238" s="3" t="s">
        <v>20</v>
      </c>
      <c r="D238" s="3" t="s">
        <v>174</v>
      </c>
      <c r="E238" s="4">
        <v>0.75</v>
      </c>
      <c r="F238" s="5">
        <v>2.1</v>
      </c>
      <c r="G238" s="6">
        <v>305</v>
      </c>
      <c r="H238" s="30">
        <v>2.1</v>
      </c>
      <c r="I238" s="21">
        <f t="shared" si="8"/>
        <v>939.33</v>
      </c>
      <c r="J238" s="7" t="s">
        <v>220</v>
      </c>
      <c r="K238" s="17">
        <f t="shared" si="9"/>
        <v>8</v>
      </c>
    </row>
    <row r="239" spans="1:11" x14ac:dyDescent="0.3">
      <c r="A239" s="3">
        <v>45896</v>
      </c>
      <c r="B239" s="3" t="s">
        <v>672</v>
      </c>
      <c r="C239" s="3" t="s">
        <v>5</v>
      </c>
      <c r="D239" s="3" t="s">
        <v>174</v>
      </c>
      <c r="E239" s="4">
        <v>0.72</v>
      </c>
      <c r="F239" s="5">
        <v>2.0499999999999998</v>
      </c>
      <c r="G239" s="6">
        <v>305</v>
      </c>
      <c r="H239" s="30">
        <v>2.1</v>
      </c>
      <c r="I239" s="21">
        <f t="shared" si="8"/>
        <v>880.28639999999996</v>
      </c>
      <c r="J239" s="7" t="s">
        <v>221</v>
      </c>
      <c r="K239" s="17">
        <f t="shared" si="9"/>
        <v>8</v>
      </c>
    </row>
    <row r="240" spans="1:11" x14ac:dyDescent="0.3">
      <c r="A240" s="3">
        <v>45897</v>
      </c>
      <c r="B240" s="3" t="s">
        <v>672</v>
      </c>
      <c r="C240" s="3" t="s">
        <v>8</v>
      </c>
      <c r="D240" s="3" t="s">
        <v>174</v>
      </c>
      <c r="E240" s="4">
        <v>0.7</v>
      </c>
      <c r="F240" s="5">
        <v>2.02</v>
      </c>
      <c r="G240" s="6">
        <v>305</v>
      </c>
      <c r="H240" s="30">
        <v>2.1</v>
      </c>
      <c r="I240" s="21">
        <f t="shared" si="8"/>
        <v>843.30959999999993</v>
      </c>
      <c r="J240" s="7" t="s">
        <v>221</v>
      </c>
      <c r="K240" s="17">
        <f t="shared" si="9"/>
        <v>8</v>
      </c>
    </row>
    <row r="241" spans="1:11" x14ac:dyDescent="0.3">
      <c r="A241" s="3">
        <v>45898</v>
      </c>
      <c r="B241" s="3" t="s">
        <v>672</v>
      </c>
      <c r="C241" s="3" t="s">
        <v>11</v>
      </c>
      <c r="D241" s="3" t="s">
        <v>174</v>
      </c>
      <c r="E241" s="4">
        <v>0.74</v>
      </c>
      <c r="F241" s="5">
        <v>2.12</v>
      </c>
      <c r="G241" s="6">
        <v>305</v>
      </c>
      <c r="H241" s="30">
        <v>2.1</v>
      </c>
      <c r="I241" s="21">
        <f t="shared" si="8"/>
        <v>935.63232000000005</v>
      </c>
      <c r="J241" s="7" t="s">
        <v>222</v>
      </c>
      <c r="K241" s="17">
        <f t="shared" si="9"/>
        <v>8</v>
      </c>
    </row>
    <row r="242" spans="1:11" x14ac:dyDescent="0.3">
      <c r="A242" s="3">
        <v>45899</v>
      </c>
      <c r="B242" s="3" t="s">
        <v>672</v>
      </c>
      <c r="C242" s="3" t="s">
        <v>13</v>
      </c>
      <c r="D242" s="3" t="s">
        <v>179</v>
      </c>
      <c r="E242" s="4">
        <v>0.8</v>
      </c>
      <c r="F242" s="5">
        <v>2.25</v>
      </c>
      <c r="G242" s="6">
        <v>305</v>
      </c>
      <c r="H242" s="30">
        <v>2.1</v>
      </c>
      <c r="I242" s="21">
        <f t="shared" si="8"/>
        <v>1073.5200000000002</v>
      </c>
      <c r="J242" s="7" t="s">
        <v>223</v>
      </c>
      <c r="K242" s="17">
        <f t="shared" si="9"/>
        <v>8</v>
      </c>
    </row>
    <row r="243" spans="1:11" x14ac:dyDescent="0.3">
      <c r="A243" s="3">
        <v>45900</v>
      </c>
      <c r="B243" s="3" t="s">
        <v>672</v>
      </c>
      <c r="C243" s="3" t="s">
        <v>16</v>
      </c>
      <c r="D243" s="3" t="s">
        <v>179</v>
      </c>
      <c r="E243" s="4">
        <v>0.72</v>
      </c>
      <c r="F243" s="5">
        <v>2.1</v>
      </c>
      <c r="G243" s="6">
        <v>305</v>
      </c>
      <c r="H243" s="30">
        <v>2.1</v>
      </c>
      <c r="I243" s="21">
        <f t="shared" si="8"/>
        <v>901.75680000000011</v>
      </c>
      <c r="J243" s="7" t="s">
        <v>224</v>
      </c>
      <c r="K243" s="17">
        <f t="shared" si="9"/>
        <v>8</v>
      </c>
    </row>
    <row r="244" spans="1:11" x14ac:dyDescent="0.3">
      <c r="A244" s="3">
        <v>45901</v>
      </c>
      <c r="B244" s="3" t="s">
        <v>672</v>
      </c>
      <c r="C244" s="3" t="s">
        <v>18</v>
      </c>
      <c r="D244" s="3" t="s">
        <v>174</v>
      </c>
      <c r="E244" s="4">
        <v>0.55000000000000004</v>
      </c>
      <c r="F244" s="5">
        <v>1.82</v>
      </c>
      <c r="G244" s="6">
        <v>305</v>
      </c>
      <c r="H244" s="30">
        <v>2.1</v>
      </c>
      <c r="I244" s="21">
        <f t="shared" si="8"/>
        <v>596.99640000000011</v>
      </c>
      <c r="J244" s="7" t="s">
        <v>225</v>
      </c>
      <c r="K244" s="17">
        <f t="shared" si="9"/>
        <v>9</v>
      </c>
    </row>
    <row r="245" spans="1:11" x14ac:dyDescent="0.3">
      <c r="A245" s="3">
        <v>45902</v>
      </c>
      <c r="B245" s="3" t="s">
        <v>672</v>
      </c>
      <c r="C245" s="3" t="s">
        <v>20</v>
      </c>
      <c r="D245" s="3" t="s">
        <v>174</v>
      </c>
      <c r="E245" s="4">
        <v>0.62</v>
      </c>
      <c r="F245" s="5">
        <v>1.78</v>
      </c>
      <c r="G245" s="6">
        <v>305</v>
      </c>
      <c r="H245" s="30">
        <v>2.1</v>
      </c>
      <c r="I245" s="21">
        <f t="shared" si="8"/>
        <v>658.18704000000014</v>
      </c>
      <c r="J245" s="7" t="s">
        <v>226</v>
      </c>
      <c r="K245" s="17">
        <f t="shared" si="9"/>
        <v>9</v>
      </c>
    </row>
    <row r="246" spans="1:11" x14ac:dyDescent="0.3">
      <c r="A246" s="3">
        <v>45903</v>
      </c>
      <c r="B246" s="3" t="s">
        <v>672</v>
      </c>
      <c r="C246" s="3" t="s">
        <v>5</v>
      </c>
      <c r="D246" s="3" t="s">
        <v>174</v>
      </c>
      <c r="E246" s="4">
        <v>0.65</v>
      </c>
      <c r="F246" s="5">
        <v>1.8</v>
      </c>
      <c r="G246" s="6">
        <v>305</v>
      </c>
      <c r="H246" s="30">
        <v>2.1</v>
      </c>
      <c r="I246" s="21">
        <f t="shared" si="8"/>
        <v>697.78800000000001</v>
      </c>
      <c r="J246" s="7" t="s">
        <v>227</v>
      </c>
      <c r="K246" s="17">
        <f t="shared" si="9"/>
        <v>9</v>
      </c>
    </row>
    <row r="247" spans="1:11" x14ac:dyDescent="0.3">
      <c r="A247" s="3">
        <v>45904</v>
      </c>
      <c r="B247" s="3" t="s">
        <v>672</v>
      </c>
      <c r="C247" s="3" t="s">
        <v>8</v>
      </c>
      <c r="D247" s="3" t="s">
        <v>6</v>
      </c>
      <c r="E247" s="4">
        <v>0.85</v>
      </c>
      <c r="F247" s="5">
        <v>2.4500000000000002</v>
      </c>
      <c r="G247" s="6">
        <v>305</v>
      </c>
      <c r="H247" s="30">
        <v>2.1</v>
      </c>
      <c r="I247" s="21">
        <f t="shared" si="8"/>
        <v>1242.0030000000002</v>
      </c>
      <c r="J247" s="7" t="s">
        <v>228</v>
      </c>
      <c r="K247" s="17">
        <f t="shared" si="9"/>
        <v>9</v>
      </c>
    </row>
    <row r="248" spans="1:11" x14ac:dyDescent="0.3">
      <c r="A248" s="3">
        <v>45905</v>
      </c>
      <c r="B248" s="3" t="s">
        <v>672</v>
      </c>
      <c r="C248" s="3" t="s">
        <v>11</v>
      </c>
      <c r="D248" s="3" t="s">
        <v>229</v>
      </c>
      <c r="E248" s="4">
        <v>0.78</v>
      </c>
      <c r="F248" s="5">
        <v>2.25</v>
      </c>
      <c r="G248" s="6">
        <v>305</v>
      </c>
      <c r="H248" s="30">
        <v>2.1</v>
      </c>
      <c r="I248" s="21">
        <f t="shared" si="8"/>
        <v>1046.682</v>
      </c>
      <c r="J248" s="7" t="s">
        <v>230</v>
      </c>
      <c r="K248" s="17">
        <f t="shared" si="9"/>
        <v>9</v>
      </c>
    </row>
    <row r="249" spans="1:11" x14ac:dyDescent="0.3">
      <c r="A249" s="3">
        <v>45906</v>
      </c>
      <c r="B249" s="3" t="s">
        <v>672</v>
      </c>
      <c r="C249" s="3" t="s">
        <v>13</v>
      </c>
      <c r="D249" s="3" t="s">
        <v>179</v>
      </c>
      <c r="E249" s="4">
        <v>0.82</v>
      </c>
      <c r="F249" s="5">
        <v>2.2999999999999998</v>
      </c>
      <c r="G249" s="6">
        <v>305</v>
      </c>
      <c r="H249" s="30">
        <v>2.1</v>
      </c>
      <c r="I249" s="21">
        <f t="shared" si="8"/>
        <v>1124.8103999999998</v>
      </c>
      <c r="J249" s="7" t="s">
        <v>231</v>
      </c>
      <c r="K249" s="17">
        <f t="shared" si="9"/>
        <v>9</v>
      </c>
    </row>
    <row r="250" spans="1:11" x14ac:dyDescent="0.3">
      <c r="A250" s="3">
        <v>45907</v>
      </c>
      <c r="B250" s="3" t="s">
        <v>672</v>
      </c>
      <c r="C250" s="3" t="s">
        <v>16</v>
      </c>
      <c r="D250" s="3" t="s">
        <v>179</v>
      </c>
      <c r="E250" s="4">
        <v>0.75</v>
      </c>
      <c r="F250" s="5">
        <v>2.1800000000000002</v>
      </c>
      <c r="G250" s="6">
        <v>305</v>
      </c>
      <c r="H250" s="30">
        <v>2.1</v>
      </c>
      <c r="I250" s="21">
        <f t="shared" si="8"/>
        <v>975.11400000000015</v>
      </c>
      <c r="J250" s="7" t="s">
        <v>69</v>
      </c>
      <c r="K250" s="17">
        <f t="shared" si="9"/>
        <v>9</v>
      </c>
    </row>
    <row r="251" spans="1:11" x14ac:dyDescent="0.3">
      <c r="A251" s="3">
        <v>45908</v>
      </c>
      <c r="B251" s="3" t="s">
        <v>672</v>
      </c>
      <c r="C251" s="3" t="s">
        <v>18</v>
      </c>
      <c r="D251" s="3" t="s">
        <v>174</v>
      </c>
      <c r="E251" s="4">
        <v>0.57999999999999996</v>
      </c>
      <c r="F251" s="5">
        <v>1.75</v>
      </c>
      <c r="G251" s="6">
        <v>305</v>
      </c>
      <c r="H251" s="30">
        <v>2.1</v>
      </c>
      <c r="I251" s="21">
        <f t="shared" si="8"/>
        <v>605.346</v>
      </c>
      <c r="J251" s="7" t="s">
        <v>232</v>
      </c>
      <c r="K251" s="17">
        <f t="shared" si="9"/>
        <v>9</v>
      </c>
    </row>
    <row r="252" spans="1:11" x14ac:dyDescent="0.3">
      <c r="A252" s="3">
        <v>45909</v>
      </c>
      <c r="B252" s="3" t="s">
        <v>672</v>
      </c>
      <c r="C252" s="3" t="s">
        <v>20</v>
      </c>
      <c r="D252" s="3" t="s">
        <v>174</v>
      </c>
      <c r="E252" s="4">
        <v>0.64</v>
      </c>
      <c r="F252" s="5">
        <v>1.72</v>
      </c>
      <c r="G252" s="6">
        <v>305</v>
      </c>
      <c r="H252" s="30">
        <v>2.1</v>
      </c>
      <c r="I252" s="21">
        <f t="shared" si="8"/>
        <v>656.51711999999998</v>
      </c>
      <c r="J252" s="7" t="s">
        <v>233</v>
      </c>
      <c r="K252" s="17">
        <f t="shared" si="9"/>
        <v>9</v>
      </c>
    </row>
    <row r="253" spans="1:11" x14ac:dyDescent="0.3">
      <c r="A253" s="3">
        <v>45910</v>
      </c>
      <c r="B253" s="3" t="s">
        <v>672</v>
      </c>
      <c r="C253" s="3" t="s">
        <v>5</v>
      </c>
      <c r="D253" s="3" t="s">
        <v>174</v>
      </c>
      <c r="E253" s="4">
        <v>0.68</v>
      </c>
      <c r="F253" s="5">
        <v>1.76</v>
      </c>
      <c r="G253" s="6">
        <v>305</v>
      </c>
      <c r="H253" s="30">
        <v>2.1</v>
      </c>
      <c r="I253" s="21">
        <f t="shared" si="8"/>
        <v>713.77152000000012</v>
      </c>
      <c r="J253" s="7" t="s">
        <v>234</v>
      </c>
      <c r="K253" s="17">
        <f t="shared" si="9"/>
        <v>9</v>
      </c>
    </row>
    <row r="254" spans="1:11" x14ac:dyDescent="0.3">
      <c r="A254" s="3">
        <v>45911</v>
      </c>
      <c r="B254" s="3" t="s">
        <v>672</v>
      </c>
      <c r="C254" s="3" t="s">
        <v>8</v>
      </c>
      <c r="D254" s="3" t="s">
        <v>174</v>
      </c>
      <c r="E254" s="4">
        <v>0.66</v>
      </c>
      <c r="F254" s="5">
        <v>1.74</v>
      </c>
      <c r="G254" s="6">
        <v>305</v>
      </c>
      <c r="H254" s="30">
        <v>2.1</v>
      </c>
      <c r="I254" s="21">
        <f t="shared" si="8"/>
        <v>684.90575999999999</v>
      </c>
      <c r="J254" s="7" t="s">
        <v>235</v>
      </c>
      <c r="K254" s="17">
        <f t="shared" si="9"/>
        <v>9</v>
      </c>
    </row>
    <row r="255" spans="1:11" x14ac:dyDescent="0.3">
      <c r="A255" s="3">
        <v>45912</v>
      </c>
      <c r="B255" s="3" t="s">
        <v>672</v>
      </c>
      <c r="C255" s="3" t="s">
        <v>11</v>
      </c>
      <c r="D255" s="3" t="s">
        <v>174</v>
      </c>
      <c r="E255" s="4">
        <v>0.62</v>
      </c>
      <c r="F255" s="5">
        <v>1.88</v>
      </c>
      <c r="G255" s="6">
        <v>305</v>
      </c>
      <c r="H255" s="30">
        <v>2.1</v>
      </c>
      <c r="I255" s="21">
        <f t="shared" si="8"/>
        <v>695.16384000000005</v>
      </c>
      <c r="J255" s="7" t="s">
        <v>236</v>
      </c>
      <c r="K255" s="17">
        <f t="shared" si="9"/>
        <v>9</v>
      </c>
    </row>
    <row r="256" spans="1:11" x14ac:dyDescent="0.3">
      <c r="A256" s="3">
        <v>45913</v>
      </c>
      <c r="B256" s="3" t="s">
        <v>672</v>
      </c>
      <c r="C256" s="3" t="s">
        <v>13</v>
      </c>
      <c r="D256" s="3" t="s">
        <v>179</v>
      </c>
      <c r="E256" s="4">
        <v>0.75</v>
      </c>
      <c r="F256" s="5">
        <v>2.2200000000000002</v>
      </c>
      <c r="G256" s="6">
        <v>305</v>
      </c>
      <c r="H256" s="30">
        <v>2.1</v>
      </c>
      <c r="I256" s="21">
        <f t="shared" si="8"/>
        <v>993.00600000000009</v>
      </c>
      <c r="J256" s="7" t="s">
        <v>237</v>
      </c>
      <c r="K256" s="17">
        <f t="shared" si="9"/>
        <v>9</v>
      </c>
    </row>
    <row r="257" spans="1:11" x14ac:dyDescent="0.3">
      <c r="A257" s="3">
        <v>45914</v>
      </c>
      <c r="B257" s="3" t="s">
        <v>672</v>
      </c>
      <c r="C257" s="3" t="s">
        <v>16</v>
      </c>
      <c r="D257" s="3" t="s">
        <v>179</v>
      </c>
      <c r="E257" s="4">
        <v>0.7</v>
      </c>
      <c r="F257" s="5">
        <v>2.15</v>
      </c>
      <c r="G257" s="6">
        <v>305</v>
      </c>
      <c r="H257" s="30">
        <v>2.1</v>
      </c>
      <c r="I257" s="21">
        <f t="shared" si="8"/>
        <v>897.58199999999999</v>
      </c>
      <c r="J257" s="7" t="s">
        <v>238</v>
      </c>
      <c r="K257" s="17">
        <f t="shared" si="9"/>
        <v>9</v>
      </c>
    </row>
    <row r="258" spans="1:11" x14ac:dyDescent="0.3">
      <c r="A258" s="3">
        <v>45915</v>
      </c>
      <c r="B258" s="3" t="s">
        <v>672</v>
      </c>
      <c r="C258" s="3" t="s">
        <v>18</v>
      </c>
      <c r="D258" s="3" t="s">
        <v>174</v>
      </c>
      <c r="E258" s="4">
        <v>0.55000000000000004</v>
      </c>
      <c r="F258" s="5">
        <v>1.72</v>
      </c>
      <c r="G258" s="6">
        <v>305</v>
      </c>
      <c r="H258" s="30">
        <v>2.1</v>
      </c>
      <c r="I258" s="21">
        <f t="shared" si="8"/>
        <v>564.19440000000009</v>
      </c>
      <c r="J258" s="7" t="s">
        <v>160</v>
      </c>
      <c r="K258" s="17">
        <f t="shared" si="9"/>
        <v>9</v>
      </c>
    </row>
    <row r="259" spans="1:11" x14ac:dyDescent="0.3">
      <c r="A259" s="3">
        <v>45916</v>
      </c>
      <c r="B259" s="3" t="s">
        <v>672</v>
      </c>
      <c r="C259" s="3" t="s">
        <v>20</v>
      </c>
      <c r="D259" s="3" t="s">
        <v>174</v>
      </c>
      <c r="E259" s="4">
        <v>0.57999999999999996</v>
      </c>
      <c r="F259" s="5">
        <v>1.75</v>
      </c>
      <c r="G259" s="6">
        <v>305</v>
      </c>
      <c r="H259" s="30">
        <v>2.1</v>
      </c>
      <c r="I259" s="21">
        <f t="shared" ref="I259:I322" si="10">(284*E259)*F259*H259</f>
        <v>605.346</v>
      </c>
      <c r="J259" s="7" t="s">
        <v>239</v>
      </c>
      <c r="K259" s="17">
        <f t="shared" ref="K259:K322" si="11">MONTH(A259)</f>
        <v>9</v>
      </c>
    </row>
    <row r="260" spans="1:11" x14ac:dyDescent="0.3">
      <c r="A260" s="3">
        <v>45917</v>
      </c>
      <c r="B260" s="3" t="s">
        <v>672</v>
      </c>
      <c r="C260" s="3" t="s">
        <v>5</v>
      </c>
      <c r="D260" s="3" t="s">
        <v>174</v>
      </c>
      <c r="E260" s="4">
        <v>0.62</v>
      </c>
      <c r="F260" s="5">
        <v>1.78</v>
      </c>
      <c r="G260" s="6">
        <v>305</v>
      </c>
      <c r="H260" s="30">
        <v>2.1</v>
      </c>
      <c r="I260" s="21">
        <f t="shared" si="10"/>
        <v>658.18704000000014</v>
      </c>
      <c r="J260" s="7" t="s">
        <v>143</v>
      </c>
      <c r="K260" s="17">
        <f t="shared" si="11"/>
        <v>9</v>
      </c>
    </row>
    <row r="261" spans="1:11" x14ac:dyDescent="0.3">
      <c r="A261" s="3">
        <v>45918</v>
      </c>
      <c r="B261" s="3" t="s">
        <v>672</v>
      </c>
      <c r="C261" s="3" t="s">
        <v>8</v>
      </c>
      <c r="D261" s="3" t="s">
        <v>174</v>
      </c>
      <c r="E261" s="4">
        <v>0.6</v>
      </c>
      <c r="F261" s="5">
        <v>1.74</v>
      </c>
      <c r="G261" s="6">
        <v>305</v>
      </c>
      <c r="H261" s="30">
        <v>2.1</v>
      </c>
      <c r="I261" s="21">
        <f t="shared" si="10"/>
        <v>622.64160000000004</v>
      </c>
      <c r="J261" s="7" t="s">
        <v>143</v>
      </c>
      <c r="K261" s="17">
        <f t="shared" si="11"/>
        <v>9</v>
      </c>
    </row>
    <row r="262" spans="1:11" x14ac:dyDescent="0.3">
      <c r="A262" s="3">
        <v>45919</v>
      </c>
      <c r="B262" s="3" t="s">
        <v>672</v>
      </c>
      <c r="C262" s="3" t="s">
        <v>11</v>
      </c>
      <c r="D262" s="3" t="s">
        <v>174</v>
      </c>
      <c r="E262" s="4">
        <v>0.65</v>
      </c>
      <c r="F262" s="5">
        <v>1.92</v>
      </c>
      <c r="G262" s="6">
        <v>305</v>
      </c>
      <c r="H262" s="30">
        <v>2.1</v>
      </c>
      <c r="I262" s="21">
        <f t="shared" si="10"/>
        <v>744.30719999999997</v>
      </c>
      <c r="J262" s="7" t="s">
        <v>240</v>
      </c>
      <c r="K262" s="17">
        <f t="shared" si="11"/>
        <v>9</v>
      </c>
    </row>
    <row r="263" spans="1:11" x14ac:dyDescent="0.3">
      <c r="A263" s="3">
        <v>45920</v>
      </c>
      <c r="B263" s="3" t="s">
        <v>672</v>
      </c>
      <c r="C263" s="3" t="s">
        <v>13</v>
      </c>
      <c r="D263" s="3" t="s">
        <v>179</v>
      </c>
      <c r="E263" s="4">
        <v>0.78</v>
      </c>
      <c r="F263" s="5">
        <v>2.25</v>
      </c>
      <c r="G263" s="6">
        <v>305</v>
      </c>
      <c r="H263" s="30">
        <v>2.1</v>
      </c>
      <c r="I263" s="21">
        <f t="shared" si="10"/>
        <v>1046.682</v>
      </c>
      <c r="J263" s="7" t="s">
        <v>241</v>
      </c>
      <c r="K263" s="17">
        <f t="shared" si="11"/>
        <v>9</v>
      </c>
    </row>
    <row r="264" spans="1:11" x14ac:dyDescent="0.3">
      <c r="A264" s="3">
        <v>45921</v>
      </c>
      <c r="B264" s="3" t="s">
        <v>672</v>
      </c>
      <c r="C264" s="3" t="s">
        <v>16</v>
      </c>
      <c r="D264" s="3" t="s">
        <v>179</v>
      </c>
      <c r="E264" s="4">
        <v>0.72</v>
      </c>
      <c r="F264" s="5">
        <v>2.1800000000000002</v>
      </c>
      <c r="G264" s="6">
        <v>305</v>
      </c>
      <c r="H264" s="30">
        <v>2.1</v>
      </c>
      <c r="I264" s="21">
        <f t="shared" si="10"/>
        <v>936.10944000000006</v>
      </c>
      <c r="J264" s="7" t="s">
        <v>69</v>
      </c>
      <c r="K264" s="17">
        <f t="shared" si="11"/>
        <v>9</v>
      </c>
    </row>
    <row r="265" spans="1:11" x14ac:dyDescent="0.3">
      <c r="A265" s="3">
        <v>45922</v>
      </c>
      <c r="B265" s="3" t="s">
        <v>672</v>
      </c>
      <c r="C265" s="3" t="s">
        <v>18</v>
      </c>
      <c r="D265" s="3" t="s">
        <v>174</v>
      </c>
      <c r="E265" s="4">
        <v>0.52</v>
      </c>
      <c r="F265" s="5">
        <v>1.7</v>
      </c>
      <c r="G265" s="6">
        <v>305</v>
      </c>
      <c r="H265" s="30">
        <v>2.1</v>
      </c>
      <c r="I265" s="21">
        <f t="shared" si="10"/>
        <v>527.21760000000006</v>
      </c>
      <c r="J265" s="7" t="s">
        <v>242</v>
      </c>
      <c r="K265" s="17">
        <f t="shared" si="11"/>
        <v>9</v>
      </c>
    </row>
    <row r="266" spans="1:11" x14ac:dyDescent="0.3">
      <c r="A266" s="3">
        <v>45923</v>
      </c>
      <c r="B266" s="3" t="s">
        <v>672</v>
      </c>
      <c r="C266" s="3" t="s">
        <v>20</v>
      </c>
      <c r="D266" s="3" t="s">
        <v>174</v>
      </c>
      <c r="E266" s="4">
        <v>0.56000000000000005</v>
      </c>
      <c r="F266" s="5">
        <v>1.74</v>
      </c>
      <c r="G266" s="6">
        <v>305</v>
      </c>
      <c r="H266" s="30">
        <v>2.1</v>
      </c>
      <c r="I266" s="21">
        <f t="shared" si="10"/>
        <v>581.13216000000011</v>
      </c>
      <c r="J266" s="7" t="s">
        <v>65</v>
      </c>
      <c r="K266" s="17">
        <f t="shared" si="11"/>
        <v>9</v>
      </c>
    </row>
    <row r="267" spans="1:11" x14ac:dyDescent="0.3">
      <c r="A267" s="3">
        <v>45924</v>
      </c>
      <c r="B267" s="3" t="s">
        <v>672</v>
      </c>
      <c r="C267" s="3" t="s">
        <v>5</v>
      </c>
      <c r="D267" s="3" t="s">
        <v>174</v>
      </c>
      <c r="E267" s="4">
        <v>0.6</v>
      </c>
      <c r="F267" s="5">
        <v>1.78</v>
      </c>
      <c r="G267" s="6">
        <v>305</v>
      </c>
      <c r="H267" s="30">
        <v>2.1</v>
      </c>
      <c r="I267" s="21">
        <f t="shared" si="10"/>
        <v>636.9552000000001</v>
      </c>
      <c r="J267" s="7" t="s">
        <v>65</v>
      </c>
      <c r="K267" s="17">
        <f t="shared" si="11"/>
        <v>9</v>
      </c>
    </row>
    <row r="268" spans="1:11" x14ac:dyDescent="0.3">
      <c r="A268" s="3">
        <v>45925</v>
      </c>
      <c r="B268" s="3" t="s">
        <v>672</v>
      </c>
      <c r="C268" s="3" t="s">
        <v>8</v>
      </c>
      <c r="D268" s="3" t="s">
        <v>174</v>
      </c>
      <c r="E268" s="4">
        <v>0.57999999999999996</v>
      </c>
      <c r="F268" s="5">
        <v>1.75</v>
      </c>
      <c r="G268" s="6">
        <v>305</v>
      </c>
      <c r="H268" s="30">
        <v>2.1</v>
      </c>
      <c r="I268" s="21">
        <f t="shared" si="10"/>
        <v>605.346</v>
      </c>
      <c r="J268" s="7" t="s">
        <v>243</v>
      </c>
      <c r="K268" s="17">
        <f t="shared" si="11"/>
        <v>9</v>
      </c>
    </row>
    <row r="269" spans="1:11" x14ac:dyDescent="0.3">
      <c r="A269" s="3">
        <v>45926</v>
      </c>
      <c r="B269" s="3" t="s">
        <v>672</v>
      </c>
      <c r="C269" s="3" t="s">
        <v>11</v>
      </c>
      <c r="D269" s="3" t="s">
        <v>174</v>
      </c>
      <c r="E269" s="4">
        <v>0.64</v>
      </c>
      <c r="F269" s="5">
        <v>1.954</v>
      </c>
      <c r="G269" s="6">
        <v>305</v>
      </c>
      <c r="H269" s="30">
        <v>2.1</v>
      </c>
      <c r="I269" s="21">
        <f t="shared" si="10"/>
        <v>745.83398399999987</v>
      </c>
      <c r="J269" s="7" t="s">
        <v>131</v>
      </c>
      <c r="K269" s="17">
        <f t="shared" si="11"/>
        <v>9</v>
      </c>
    </row>
    <row r="270" spans="1:11" x14ac:dyDescent="0.3">
      <c r="A270" s="3">
        <v>45927</v>
      </c>
      <c r="B270" s="3" t="s">
        <v>672</v>
      </c>
      <c r="C270" s="3" t="s">
        <v>13</v>
      </c>
      <c r="D270" s="3" t="s">
        <v>179</v>
      </c>
      <c r="E270" s="4">
        <v>0.76</v>
      </c>
      <c r="F270" s="5">
        <v>2.2799999999999998</v>
      </c>
      <c r="G270" s="6">
        <v>305</v>
      </c>
      <c r="H270" s="30">
        <v>2.1</v>
      </c>
      <c r="I270" s="21">
        <f t="shared" si="10"/>
        <v>1033.44192</v>
      </c>
      <c r="J270" s="7" t="s">
        <v>244</v>
      </c>
      <c r="K270" s="17">
        <f t="shared" si="11"/>
        <v>9</v>
      </c>
    </row>
    <row r="271" spans="1:11" x14ac:dyDescent="0.3">
      <c r="A271" s="3">
        <v>45928</v>
      </c>
      <c r="B271" s="3" t="s">
        <v>672</v>
      </c>
      <c r="C271" s="3" t="s">
        <v>16</v>
      </c>
      <c r="D271" s="3" t="s">
        <v>179</v>
      </c>
      <c r="E271" s="4">
        <v>0.7</v>
      </c>
      <c r="F271" s="5">
        <v>2.15</v>
      </c>
      <c r="G271" s="6">
        <v>305</v>
      </c>
      <c r="H271" s="30">
        <v>2.1</v>
      </c>
      <c r="I271" s="21">
        <f t="shared" si="10"/>
        <v>897.58199999999999</v>
      </c>
      <c r="J271" s="7" t="s">
        <v>69</v>
      </c>
      <c r="K271" s="17">
        <f t="shared" si="11"/>
        <v>9</v>
      </c>
    </row>
    <row r="272" spans="1:11" x14ac:dyDescent="0.3">
      <c r="A272" s="3">
        <v>45929</v>
      </c>
      <c r="B272" s="3" t="s">
        <v>672</v>
      </c>
      <c r="C272" s="3" t="s">
        <v>18</v>
      </c>
      <c r="D272" s="3" t="s">
        <v>174</v>
      </c>
      <c r="E272" s="4">
        <v>0.5</v>
      </c>
      <c r="F272" s="5">
        <v>1.72</v>
      </c>
      <c r="G272" s="6">
        <v>305</v>
      </c>
      <c r="H272" s="30">
        <v>2.1</v>
      </c>
      <c r="I272" s="21">
        <f t="shared" si="10"/>
        <v>512.904</v>
      </c>
      <c r="J272" s="7" t="s">
        <v>245</v>
      </c>
      <c r="K272" s="17">
        <f t="shared" si="11"/>
        <v>9</v>
      </c>
    </row>
    <row r="273" spans="1:11" x14ac:dyDescent="0.3">
      <c r="A273" s="3">
        <v>45930</v>
      </c>
      <c r="B273" s="3" t="s">
        <v>672</v>
      </c>
      <c r="C273" s="3" t="s">
        <v>20</v>
      </c>
      <c r="D273" s="3" t="s">
        <v>174</v>
      </c>
      <c r="E273" s="4">
        <v>0.55000000000000004</v>
      </c>
      <c r="F273" s="5">
        <v>1.76</v>
      </c>
      <c r="G273" s="6">
        <v>305</v>
      </c>
      <c r="H273" s="30">
        <v>2.1</v>
      </c>
      <c r="I273" s="21">
        <f t="shared" si="10"/>
        <v>577.31520000000012</v>
      </c>
      <c r="J273" s="7" t="s">
        <v>246</v>
      </c>
      <c r="K273" s="17">
        <f t="shared" si="11"/>
        <v>9</v>
      </c>
    </row>
    <row r="274" spans="1:11" x14ac:dyDescent="0.3">
      <c r="A274" s="3">
        <v>45931</v>
      </c>
      <c r="B274" s="3" t="s">
        <v>672</v>
      </c>
      <c r="C274" s="3" t="s">
        <v>5</v>
      </c>
      <c r="D274" s="3" t="s">
        <v>174</v>
      </c>
      <c r="E274" s="4">
        <v>0.72</v>
      </c>
      <c r="F274" s="5">
        <v>1.78</v>
      </c>
      <c r="G274" s="6">
        <v>305</v>
      </c>
      <c r="H274" s="30">
        <v>2.1</v>
      </c>
      <c r="I274" s="21">
        <f t="shared" si="10"/>
        <v>764.34624000000008</v>
      </c>
      <c r="J274" s="7" t="s">
        <v>247</v>
      </c>
      <c r="K274" s="17">
        <f t="shared" si="11"/>
        <v>10</v>
      </c>
    </row>
    <row r="275" spans="1:11" x14ac:dyDescent="0.3">
      <c r="A275" s="3">
        <v>45932</v>
      </c>
      <c r="B275" s="3" t="s">
        <v>672</v>
      </c>
      <c r="C275" s="3" t="s">
        <v>8</v>
      </c>
      <c r="D275" s="3" t="s">
        <v>174</v>
      </c>
      <c r="E275" s="4">
        <v>0.75</v>
      </c>
      <c r="F275" s="5">
        <v>1.75</v>
      </c>
      <c r="G275" s="6">
        <v>305</v>
      </c>
      <c r="H275" s="30">
        <v>2.1</v>
      </c>
      <c r="I275" s="21">
        <f t="shared" si="10"/>
        <v>782.77499999999998</v>
      </c>
      <c r="J275" s="7" t="s">
        <v>248</v>
      </c>
      <c r="K275" s="17">
        <f t="shared" si="11"/>
        <v>10</v>
      </c>
    </row>
    <row r="276" spans="1:11" x14ac:dyDescent="0.3">
      <c r="A276" s="3">
        <v>45933</v>
      </c>
      <c r="B276" s="3" t="s">
        <v>672</v>
      </c>
      <c r="C276" s="3" t="s">
        <v>11</v>
      </c>
      <c r="D276" s="3" t="s">
        <v>174</v>
      </c>
      <c r="E276" s="4">
        <v>0.7</v>
      </c>
      <c r="F276" s="5">
        <v>1.92</v>
      </c>
      <c r="G276" s="6">
        <v>305</v>
      </c>
      <c r="H276" s="30">
        <v>2.1</v>
      </c>
      <c r="I276" s="21">
        <f t="shared" si="10"/>
        <v>801.5616</v>
      </c>
      <c r="J276" s="7" t="s">
        <v>249</v>
      </c>
      <c r="K276" s="17">
        <f t="shared" si="11"/>
        <v>10</v>
      </c>
    </row>
    <row r="277" spans="1:11" x14ac:dyDescent="0.3">
      <c r="A277" s="3">
        <v>45934</v>
      </c>
      <c r="B277" s="3" t="s">
        <v>672</v>
      </c>
      <c r="C277" s="3" t="s">
        <v>13</v>
      </c>
      <c r="D277" s="3" t="s">
        <v>179</v>
      </c>
      <c r="E277" s="4">
        <v>0.82</v>
      </c>
      <c r="F277" s="5">
        <v>2.25</v>
      </c>
      <c r="G277" s="6">
        <v>305</v>
      </c>
      <c r="H277" s="30">
        <v>2.1</v>
      </c>
      <c r="I277" s="21">
        <f t="shared" si="10"/>
        <v>1100.3580000000002</v>
      </c>
      <c r="J277" s="7" t="s">
        <v>250</v>
      </c>
      <c r="K277" s="17">
        <f t="shared" si="11"/>
        <v>10</v>
      </c>
    </row>
    <row r="278" spans="1:11" x14ac:dyDescent="0.3">
      <c r="A278" s="3">
        <v>45935</v>
      </c>
      <c r="B278" s="3" t="s">
        <v>672</v>
      </c>
      <c r="C278" s="3" t="s">
        <v>16</v>
      </c>
      <c r="D278" s="3" t="s">
        <v>179</v>
      </c>
      <c r="E278" s="4">
        <v>0.78</v>
      </c>
      <c r="F278" s="5">
        <v>2.1800000000000002</v>
      </c>
      <c r="G278" s="6">
        <v>305</v>
      </c>
      <c r="H278" s="30">
        <v>2.1</v>
      </c>
      <c r="I278" s="21">
        <f t="shared" si="10"/>
        <v>1014.1185600000001</v>
      </c>
      <c r="J278" s="7" t="s">
        <v>238</v>
      </c>
      <c r="K278" s="17">
        <f t="shared" si="11"/>
        <v>10</v>
      </c>
    </row>
    <row r="279" spans="1:11" x14ac:dyDescent="0.3">
      <c r="A279" s="3">
        <v>45936</v>
      </c>
      <c r="B279" s="3" t="s">
        <v>672</v>
      </c>
      <c r="C279" s="3" t="s">
        <v>18</v>
      </c>
      <c r="D279" s="3" t="s">
        <v>174</v>
      </c>
      <c r="E279" s="4">
        <v>0.65</v>
      </c>
      <c r="F279" s="5">
        <v>1.74</v>
      </c>
      <c r="G279" s="6">
        <v>305</v>
      </c>
      <c r="H279" s="30">
        <v>2.1</v>
      </c>
      <c r="I279" s="21">
        <f t="shared" si="10"/>
        <v>674.52840000000003</v>
      </c>
      <c r="J279" s="7" t="s">
        <v>251</v>
      </c>
      <c r="K279" s="17">
        <f t="shared" si="11"/>
        <v>10</v>
      </c>
    </row>
    <row r="280" spans="1:11" x14ac:dyDescent="0.3">
      <c r="A280" s="3">
        <v>45937</v>
      </c>
      <c r="B280" s="3" t="s">
        <v>672</v>
      </c>
      <c r="C280" s="3" t="s">
        <v>20</v>
      </c>
      <c r="D280" s="3" t="s">
        <v>174</v>
      </c>
      <c r="E280" s="4">
        <v>0.7</v>
      </c>
      <c r="F280" s="5">
        <v>1.78</v>
      </c>
      <c r="G280" s="6">
        <v>305</v>
      </c>
      <c r="H280" s="30">
        <v>2.1</v>
      </c>
      <c r="I280" s="21">
        <f t="shared" si="10"/>
        <v>743.11439999999993</v>
      </c>
      <c r="J280" s="7" t="s">
        <v>51</v>
      </c>
      <c r="K280" s="17">
        <f t="shared" si="11"/>
        <v>10</v>
      </c>
    </row>
    <row r="281" spans="1:11" x14ac:dyDescent="0.3">
      <c r="A281" s="3">
        <v>45938</v>
      </c>
      <c r="B281" s="3" t="s">
        <v>672</v>
      </c>
      <c r="C281" s="3" t="s">
        <v>5</v>
      </c>
      <c r="D281" s="3" t="s">
        <v>174</v>
      </c>
      <c r="E281" s="4">
        <v>0.74</v>
      </c>
      <c r="F281" s="5">
        <v>1.8</v>
      </c>
      <c r="G281" s="6">
        <v>305</v>
      </c>
      <c r="H281" s="30">
        <v>2.1</v>
      </c>
      <c r="I281" s="21">
        <f t="shared" si="10"/>
        <v>794.40480000000002</v>
      </c>
      <c r="J281" s="7" t="s">
        <v>50</v>
      </c>
      <c r="K281" s="17">
        <f t="shared" si="11"/>
        <v>10</v>
      </c>
    </row>
    <row r="282" spans="1:11" x14ac:dyDescent="0.3">
      <c r="A282" s="3">
        <v>45939</v>
      </c>
      <c r="B282" s="3" t="s">
        <v>672</v>
      </c>
      <c r="C282" s="3" t="s">
        <v>8</v>
      </c>
      <c r="D282" s="3" t="s">
        <v>174</v>
      </c>
      <c r="E282" s="4">
        <v>0.72</v>
      </c>
      <c r="F282" s="5">
        <v>1.76</v>
      </c>
      <c r="G282" s="6">
        <v>305</v>
      </c>
      <c r="H282" s="30">
        <v>2.1</v>
      </c>
      <c r="I282" s="21">
        <f t="shared" si="10"/>
        <v>755.75807999999995</v>
      </c>
      <c r="J282" s="7" t="s">
        <v>71</v>
      </c>
      <c r="K282" s="17">
        <f t="shared" si="11"/>
        <v>10</v>
      </c>
    </row>
    <row r="283" spans="1:11" x14ac:dyDescent="0.3">
      <c r="A283" s="3">
        <v>45940</v>
      </c>
      <c r="B283" s="3" t="s">
        <v>672</v>
      </c>
      <c r="C283" s="3" t="s">
        <v>11</v>
      </c>
      <c r="D283" s="3" t="s">
        <v>174</v>
      </c>
      <c r="E283" s="4">
        <v>0.68</v>
      </c>
      <c r="F283" s="5">
        <v>1.95</v>
      </c>
      <c r="G283" s="6">
        <v>305</v>
      </c>
      <c r="H283" s="30">
        <v>2.1</v>
      </c>
      <c r="I283" s="21">
        <f t="shared" si="10"/>
        <v>790.82640000000004</v>
      </c>
      <c r="J283" s="7" t="s">
        <v>252</v>
      </c>
      <c r="K283" s="17">
        <f t="shared" si="11"/>
        <v>10</v>
      </c>
    </row>
    <row r="284" spans="1:11" x14ac:dyDescent="0.3">
      <c r="A284" s="3">
        <v>45941</v>
      </c>
      <c r="B284" s="3" t="s">
        <v>672</v>
      </c>
      <c r="C284" s="3" t="s">
        <v>13</v>
      </c>
      <c r="D284" s="3" t="s">
        <v>179</v>
      </c>
      <c r="E284" s="4">
        <v>0.85</v>
      </c>
      <c r="F284" s="5">
        <v>2.3199999999999998</v>
      </c>
      <c r="G284" s="6">
        <v>305</v>
      </c>
      <c r="H284" s="30">
        <v>2.1</v>
      </c>
      <c r="I284" s="21">
        <f t="shared" si="10"/>
        <v>1176.1008000000002</v>
      </c>
      <c r="J284" s="7" t="s">
        <v>253</v>
      </c>
      <c r="K284" s="17">
        <f t="shared" si="11"/>
        <v>10</v>
      </c>
    </row>
    <row r="285" spans="1:11" x14ac:dyDescent="0.3">
      <c r="A285" s="3">
        <v>45942</v>
      </c>
      <c r="B285" s="3" t="s">
        <v>672</v>
      </c>
      <c r="C285" s="3" t="s">
        <v>16</v>
      </c>
      <c r="D285" s="3" t="s">
        <v>179</v>
      </c>
      <c r="E285" s="4">
        <v>0.8</v>
      </c>
      <c r="F285" s="5">
        <v>2.2000000000000002</v>
      </c>
      <c r="G285" s="6">
        <v>305</v>
      </c>
      <c r="H285" s="30">
        <v>2.1</v>
      </c>
      <c r="I285" s="21">
        <f t="shared" si="10"/>
        <v>1049.6640000000002</v>
      </c>
      <c r="J285" s="7" t="s">
        <v>69</v>
      </c>
      <c r="K285" s="17">
        <f t="shared" si="11"/>
        <v>10</v>
      </c>
    </row>
    <row r="286" spans="1:11" x14ac:dyDescent="0.3">
      <c r="A286" s="3">
        <v>45943</v>
      </c>
      <c r="B286" s="3" t="s">
        <v>672</v>
      </c>
      <c r="C286" s="3" t="s">
        <v>18</v>
      </c>
      <c r="D286" s="3" t="s">
        <v>174</v>
      </c>
      <c r="E286" s="4">
        <v>0.62</v>
      </c>
      <c r="F286" s="5">
        <v>1.72</v>
      </c>
      <c r="G286" s="6">
        <v>305</v>
      </c>
      <c r="H286" s="30">
        <v>2.1</v>
      </c>
      <c r="I286" s="21">
        <f t="shared" si="10"/>
        <v>636.00095999999996</v>
      </c>
      <c r="J286" s="7" t="s">
        <v>65</v>
      </c>
      <c r="K286" s="17">
        <f t="shared" si="11"/>
        <v>10</v>
      </c>
    </row>
    <row r="287" spans="1:11" x14ac:dyDescent="0.3">
      <c r="A287" s="3">
        <v>45944</v>
      </c>
      <c r="B287" s="3" t="s">
        <v>672</v>
      </c>
      <c r="C287" s="3" t="s">
        <v>20</v>
      </c>
      <c r="D287" s="3" t="s">
        <v>174</v>
      </c>
      <c r="E287" s="4">
        <v>0.68</v>
      </c>
      <c r="F287" s="5">
        <v>1.75</v>
      </c>
      <c r="G287" s="6">
        <v>305</v>
      </c>
      <c r="H287" s="30">
        <v>2.1</v>
      </c>
      <c r="I287" s="21">
        <f t="shared" si="10"/>
        <v>709.71600000000012</v>
      </c>
      <c r="J287" s="7" t="s">
        <v>65</v>
      </c>
      <c r="K287" s="17">
        <f t="shared" si="11"/>
        <v>10</v>
      </c>
    </row>
    <row r="288" spans="1:11" x14ac:dyDescent="0.3">
      <c r="A288" s="3">
        <v>45945</v>
      </c>
      <c r="B288" s="3" t="s">
        <v>672</v>
      </c>
      <c r="C288" s="3" t="s">
        <v>5</v>
      </c>
      <c r="D288" s="3" t="s">
        <v>6</v>
      </c>
      <c r="E288" s="4">
        <v>0.88</v>
      </c>
      <c r="F288" s="5">
        <v>2.4</v>
      </c>
      <c r="G288" s="6">
        <v>305</v>
      </c>
      <c r="H288" s="30">
        <v>2.1</v>
      </c>
      <c r="I288" s="21">
        <f t="shared" si="10"/>
        <v>1259.5968</v>
      </c>
      <c r="J288" s="7" t="s">
        <v>254</v>
      </c>
      <c r="K288" s="17">
        <f t="shared" si="11"/>
        <v>10</v>
      </c>
    </row>
    <row r="289" spans="1:11" x14ac:dyDescent="0.3">
      <c r="A289" s="3">
        <v>45946</v>
      </c>
      <c r="B289" s="3" t="s">
        <v>672</v>
      </c>
      <c r="C289" s="3" t="s">
        <v>8</v>
      </c>
      <c r="D289" s="3" t="s">
        <v>174</v>
      </c>
      <c r="E289" s="4">
        <v>0.75</v>
      </c>
      <c r="F289" s="5">
        <v>1.85</v>
      </c>
      <c r="G289" s="6">
        <v>305</v>
      </c>
      <c r="H289" s="30">
        <v>2.1</v>
      </c>
      <c r="I289" s="21">
        <f t="shared" si="10"/>
        <v>827.50500000000011</v>
      </c>
      <c r="J289" s="7" t="s">
        <v>255</v>
      </c>
      <c r="K289" s="17">
        <f t="shared" si="11"/>
        <v>10</v>
      </c>
    </row>
    <row r="290" spans="1:11" x14ac:dyDescent="0.3">
      <c r="A290" s="3">
        <v>45947</v>
      </c>
      <c r="B290" s="3" t="s">
        <v>672</v>
      </c>
      <c r="C290" s="3" t="s">
        <v>11</v>
      </c>
      <c r="D290" s="3" t="s">
        <v>174</v>
      </c>
      <c r="E290" s="4">
        <v>0.72</v>
      </c>
      <c r="F290" s="5">
        <v>1.98</v>
      </c>
      <c r="G290" s="6">
        <v>305</v>
      </c>
      <c r="H290" s="30">
        <v>2.1</v>
      </c>
      <c r="I290" s="21">
        <f t="shared" si="10"/>
        <v>850.2278399999999</v>
      </c>
      <c r="J290" s="7" t="s">
        <v>147</v>
      </c>
      <c r="K290" s="17">
        <f t="shared" si="11"/>
        <v>10</v>
      </c>
    </row>
    <row r="291" spans="1:11" x14ac:dyDescent="0.3">
      <c r="A291" s="3">
        <v>45948</v>
      </c>
      <c r="B291" s="3" t="s">
        <v>672</v>
      </c>
      <c r="C291" s="3" t="s">
        <v>13</v>
      </c>
      <c r="D291" s="3" t="s">
        <v>179</v>
      </c>
      <c r="E291" s="4">
        <v>0.88</v>
      </c>
      <c r="F291" s="5">
        <v>2.35</v>
      </c>
      <c r="G291" s="6">
        <v>305</v>
      </c>
      <c r="H291" s="30">
        <v>2.1</v>
      </c>
      <c r="I291" s="21">
        <f t="shared" si="10"/>
        <v>1233.3552</v>
      </c>
      <c r="J291" s="7" t="s">
        <v>256</v>
      </c>
      <c r="K291" s="17">
        <f t="shared" si="11"/>
        <v>10</v>
      </c>
    </row>
    <row r="292" spans="1:11" x14ac:dyDescent="0.3">
      <c r="A292" s="3">
        <v>45949</v>
      </c>
      <c r="B292" s="3" t="s">
        <v>672</v>
      </c>
      <c r="C292" s="3" t="s">
        <v>16</v>
      </c>
      <c r="D292" s="3" t="s">
        <v>179</v>
      </c>
      <c r="E292" s="4">
        <v>0.84</v>
      </c>
      <c r="F292" s="5">
        <v>2.25</v>
      </c>
      <c r="G292" s="6">
        <v>305</v>
      </c>
      <c r="H292" s="30">
        <v>2.1</v>
      </c>
      <c r="I292" s="21">
        <f t="shared" si="10"/>
        <v>1127.1960000000001</v>
      </c>
      <c r="J292" s="7" t="s">
        <v>69</v>
      </c>
      <c r="K292" s="17">
        <f t="shared" si="11"/>
        <v>10</v>
      </c>
    </row>
    <row r="293" spans="1:11" x14ac:dyDescent="0.3">
      <c r="A293" s="3">
        <v>45950</v>
      </c>
      <c r="B293" s="3" t="s">
        <v>672</v>
      </c>
      <c r="C293" s="3" t="s">
        <v>18</v>
      </c>
      <c r="D293" s="3" t="s">
        <v>174</v>
      </c>
      <c r="E293" s="4">
        <v>0.6</v>
      </c>
      <c r="F293" s="5">
        <v>1.7</v>
      </c>
      <c r="G293" s="6">
        <v>305</v>
      </c>
      <c r="H293" s="30">
        <v>2.1</v>
      </c>
      <c r="I293" s="21">
        <f t="shared" si="10"/>
        <v>608.32800000000009</v>
      </c>
      <c r="J293" s="7" t="s">
        <v>257</v>
      </c>
      <c r="K293" s="17">
        <f t="shared" si="11"/>
        <v>10</v>
      </c>
    </row>
    <row r="294" spans="1:11" x14ac:dyDescent="0.3">
      <c r="A294" s="3">
        <v>45951</v>
      </c>
      <c r="B294" s="3" t="s">
        <v>672</v>
      </c>
      <c r="C294" s="3" t="s">
        <v>20</v>
      </c>
      <c r="D294" s="3" t="s">
        <v>174</v>
      </c>
      <c r="E294" s="4">
        <v>0.64</v>
      </c>
      <c r="F294" s="5">
        <v>1.76</v>
      </c>
      <c r="G294" s="6">
        <v>305</v>
      </c>
      <c r="H294" s="30">
        <v>2.1</v>
      </c>
      <c r="I294" s="21">
        <f t="shared" si="10"/>
        <v>671.78496000000007</v>
      </c>
      <c r="J294" s="7" t="s">
        <v>258</v>
      </c>
      <c r="K294" s="17">
        <f t="shared" si="11"/>
        <v>10</v>
      </c>
    </row>
    <row r="295" spans="1:11" x14ac:dyDescent="0.3">
      <c r="A295" s="3">
        <v>45952</v>
      </c>
      <c r="B295" s="3" t="s">
        <v>672</v>
      </c>
      <c r="C295" s="3" t="s">
        <v>5</v>
      </c>
      <c r="D295" s="3" t="s">
        <v>174</v>
      </c>
      <c r="E295" s="4">
        <v>0.68</v>
      </c>
      <c r="F295" s="5">
        <v>1.82</v>
      </c>
      <c r="G295" s="6">
        <v>305</v>
      </c>
      <c r="H295" s="30">
        <v>2.1</v>
      </c>
      <c r="I295" s="21">
        <f t="shared" si="10"/>
        <v>738.10464000000013</v>
      </c>
      <c r="J295" s="7" t="s">
        <v>52</v>
      </c>
      <c r="K295" s="17">
        <f t="shared" si="11"/>
        <v>10</v>
      </c>
    </row>
    <row r="296" spans="1:11" x14ac:dyDescent="0.3">
      <c r="A296" s="3">
        <v>45953</v>
      </c>
      <c r="B296" s="3" t="s">
        <v>672</v>
      </c>
      <c r="C296" s="3" t="s">
        <v>8</v>
      </c>
      <c r="D296" s="3" t="s">
        <v>174</v>
      </c>
      <c r="E296" s="4">
        <v>0.66</v>
      </c>
      <c r="F296" s="5">
        <v>1.78</v>
      </c>
      <c r="G296" s="6">
        <v>305</v>
      </c>
      <c r="H296" s="30">
        <v>2.1</v>
      </c>
      <c r="I296" s="21">
        <f t="shared" si="10"/>
        <v>700.65071999999998</v>
      </c>
      <c r="J296" s="7" t="s">
        <v>52</v>
      </c>
      <c r="K296" s="17">
        <f t="shared" si="11"/>
        <v>10</v>
      </c>
    </row>
    <row r="297" spans="1:11" x14ac:dyDescent="0.3">
      <c r="A297" s="3">
        <v>45954</v>
      </c>
      <c r="B297" s="3" t="s">
        <v>672</v>
      </c>
      <c r="C297" s="3" t="s">
        <v>11</v>
      </c>
      <c r="D297" s="3" t="s">
        <v>174</v>
      </c>
      <c r="E297" s="4">
        <v>0.7</v>
      </c>
      <c r="F297" s="5">
        <v>1.96</v>
      </c>
      <c r="G297" s="6">
        <v>305</v>
      </c>
      <c r="H297" s="30">
        <v>2.1</v>
      </c>
      <c r="I297" s="21">
        <f t="shared" si="10"/>
        <v>818.26080000000002</v>
      </c>
      <c r="J297" s="7" t="s">
        <v>259</v>
      </c>
      <c r="K297" s="17">
        <f t="shared" si="11"/>
        <v>10</v>
      </c>
    </row>
    <row r="298" spans="1:11" x14ac:dyDescent="0.3">
      <c r="A298" s="3">
        <v>45955</v>
      </c>
      <c r="B298" s="3" t="s">
        <v>672</v>
      </c>
      <c r="C298" s="3" t="s">
        <v>13</v>
      </c>
      <c r="D298" s="3" t="s">
        <v>179</v>
      </c>
      <c r="E298" s="4">
        <v>0.84</v>
      </c>
      <c r="F298" s="5">
        <v>2.2999999999999998</v>
      </c>
      <c r="G298" s="6">
        <v>305</v>
      </c>
      <c r="H298" s="30">
        <v>2.1</v>
      </c>
      <c r="I298" s="21">
        <f t="shared" si="10"/>
        <v>1152.2447999999999</v>
      </c>
      <c r="J298" s="7" t="s">
        <v>237</v>
      </c>
      <c r="K298" s="17">
        <f t="shared" si="11"/>
        <v>10</v>
      </c>
    </row>
    <row r="299" spans="1:11" x14ac:dyDescent="0.3">
      <c r="A299" s="3">
        <v>45956</v>
      </c>
      <c r="B299" s="3" t="s">
        <v>672</v>
      </c>
      <c r="C299" s="3" t="s">
        <v>16</v>
      </c>
      <c r="D299" s="3" t="s">
        <v>179</v>
      </c>
      <c r="E299" s="4">
        <v>0.78</v>
      </c>
      <c r="F299" s="5">
        <v>2.2000000000000002</v>
      </c>
      <c r="G299" s="6">
        <v>305</v>
      </c>
      <c r="H299" s="30">
        <v>2.1</v>
      </c>
      <c r="I299" s="21">
        <f t="shared" si="10"/>
        <v>1023.4224000000002</v>
      </c>
      <c r="J299" s="7" t="s">
        <v>260</v>
      </c>
      <c r="K299" s="17">
        <f t="shared" si="11"/>
        <v>10</v>
      </c>
    </row>
    <row r="300" spans="1:11" x14ac:dyDescent="0.3">
      <c r="A300" s="3">
        <v>45957</v>
      </c>
      <c r="B300" s="3" t="s">
        <v>672</v>
      </c>
      <c r="C300" s="3" t="s">
        <v>18</v>
      </c>
      <c r="D300" s="3" t="s">
        <v>174</v>
      </c>
      <c r="E300" s="4">
        <v>0.57999999999999996</v>
      </c>
      <c r="F300" s="5">
        <v>1.74</v>
      </c>
      <c r="G300" s="6">
        <v>305</v>
      </c>
      <c r="H300" s="30">
        <v>2.1</v>
      </c>
      <c r="I300" s="21">
        <f t="shared" si="10"/>
        <v>601.88688000000002</v>
      </c>
      <c r="J300" s="7" t="s">
        <v>245</v>
      </c>
      <c r="K300" s="17">
        <f t="shared" si="11"/>
        <v>10</v>
      </c>
    </row>
    <row r="301" spans="1:11" x14ac:dyDescent="0.3">
      <c r="A301" s="3">
        <v>45958</v>
      </c>
      <c r="B301" s="3" t="s">
        <v>672</v>
      </c>
      <c r="C301" s="3" t="s">
        <v>20</v>
      </c>
      <c r="D301" s="3" t="s">
        <v>174</v>
      </c>
      <c r="E301" s="4">
        <v>0.62</v>
      </c>
      <c r="F301" s="5">
        <v>1.76</v>
      </c>
      <c r="G301" s="6">
        <v>305</v>
      </c>
      <c r="H301" s="30">
        <v>2.1</v>
      </c>
      <c r="I301" s="21">
        <f t="shared" si="10"/>
        <v>650.79168000000004</v>
      </c>
      <c r="J301" s="7" t="s">
        <v>261</v>
      </c>
      <c r="K301" s="17">
        <f t="shared" si="11"/>
        <v>10</v>
      </c>
    </row>
    <row r="302" spans="1:11" x14ac:dyDescent="0.3">
      <c r="A302" s="3">
        <v>45959</v>
      </c>
      <c r="B302" s="3" t="s">
        <v>672</v>
      </c>
      <c r="C302" s="3" t="s">
        <v>5</v>
      </c>
      <c r="D302" s="3" t="s">
        <v>174</v>
      </c>
      <c r="E302" s="4">
        <v>0.65</v>
      </c>
      <c r="F302" s="5">
        <v>1.8</v>
      </c>
      <c r="G302" s="6">
        <v>305</v>
      </c>
      <c r="H302" s="30">
        <v>2.1</v>
      </c>
      <c r="I302" s="21">
        <f t="shared" si="10"/>
        <v>697.78800000000001</v>
      </c>
      <c r="J302" s="7" t="s">
        <v>65</v>
      </c>
      <c r="K302" s="17">
        <f t="shared" si="11"/>
        <v>10</v>
      </c>
    </row>
    <row r="303" spans="1:11" x14ac:dyDescent="0.3">
      <c r="A303" s="3">
        <v>45960</v>
      </c>
      <c r="B303" s="3" t="s">
        <v>672</v>
      </c>
      <c r="C303" s="3" t="s">
        <v>8</v>
      </c>
      <c r="D303" s="3" t="s">
        <v>174</v>
      </c>
      <c r="E303" s="4">
        <v>0.63</v>
      </c>
      <c r="F303" s="5">
        <v>1.78</v>
      </c>
      <c r="G303" s="6">
        <v>305</v>
      </c>
      <c r="H303" s="30">
        <v>2.1</v>
      </c>
      <c r="I303" s="21">
        <f t="shared" si="10"/>
        <v>668.80295999999998</v>
      </c>
      <c r="J303" s="7" t="s">
        <v>65</v>
      </c>
      <c r="K303" s="17">
        <f t="shared" si="11"/>
        <v>10</v>
      </c>
    </row>
    <row r="304" spans="1:11" x14ac:dyDescent="0.3">
      <c r="A304" s="3">
        <v>45961</v>
      </c>
      <c r="B304" s="3" t="s">
        <v>672</v>
      </c>
      <c r="C304" s="3" t="s">
        <v>11</v>
      </c>
      <c r="D304" s="3" t="s">
        <v>174</v>
      </c>
      <c r="E304" s="4">
        <v>0.68</v>
      </c>
      <c r="F304" s="5">
        <v>1.98</v>
      </c>
      <c r="G304" s="6">
        <v>305</v>
      </c>
      <c r="H304" s="30">
        <v>2.1</v>
      </c>
      <c r="I304" s="21">
        <f t="shared" si="10"/>
        <v>802.99296000000004</v>
      </c>
      <c r="J304" s="7" t="s">
        <v>262</v>
      </c>
      <c r="K304" s="17">
        <f t="shared" si="11"/>
        <v>10</v>
      </c>
    </row>
    <row r="305" spans="1:11" x14ac:dyDescent="0.3">
      <c r="A305" s="3">
        <v>45962</v>
      </c>
      <c r="B305" s="3" t="s">
        <v>672</v>
      </c>
      <c r="C305" s="3" t="s">
        <v>13</v>
      </c>
      <c r="D305" s="3" t="s">
        <v>179</v>
      </c>
      <c r="E305" s="4">
        <v>0.7</v>
      </c>
      <c r="F305" s="5">
        <v>2.2000000000000002</v>
      </c>
      <c r="G305" s="6">
        <v>305</v>
      </c>
      <c r="H305" s="30">
        <v>2.1</v>
      </c>
      <c r="I305" s="21">
        <f t="shared" si="10"/>
        <v>918.45600000000002</v>
      </c>
      <c r="J305" s="7" t="s">
        <v>263</v>
      </c>
      <c r="K305" s="17">
        <f t="shared" si="11"/>
        <v>11</v>
      </c>
    </row>
    <row r="306" spans="1:11" x14ac:dyDescent="0.3">
      <c r="A306" s="3">
        <v>45963</v>
      </c>
      <c r="B306" s="3" t="s">
        <v>672</v>
      </c>
      <c r="C306" s="3" t="s">
        <v>16</v>
      </c>
      <c r="D306" s="3" t="s">
        <v>179</v>
      </c>
      <c r="E306" s="4">
        <v>0.65</v>
      </c>
      <c r="F306" s="5">
        <v>2.15</v>
      </c>
      <c r="G306" s="6">
        <v>305</v>
      </c>
      <c r="H306" s="30">
        <v>2.1</v>
      </c>
      <c r="I306" s="21">
        <f t="shared" si="10"/>
        <v>833.46900000000005</v>
      </c>
      <c r="J306" s="7" t="s">
        <v>264</v>
      </c>
      <c r="K306" s="17">
        <f t="shared" si="11"/>
        <v>11</v>
      </c>
    </row>
    <row r="307" spans="1:11" x14ac:dyDescent="0.3">
      <c r="A307" s="3">
        <v>45964</v>
      </c>
      <c r="B307" s="3" t="s">
        <v>672</v>
      </c>
      <c r="C307" s="3" t="s">
        <v>18</v>
      </c>
      <c r="D307" s="3" t="s">
        <v>174</v>
      </c>
      <c r="E307" s="4">
        <v>0.45</v>
      </c>
      <c r="F307" s="5">
        <v>1.72</v>
      </c>
      <c r="G307" s="6">
        <v>305</v>
      </c>
      <c r="H307" s="30">
        <v>2.1</v>
      </c>
      <c r="I307" s="21">
        <f t="shared" si="10"/>
        <v>461.61360000000002</v>
      </c>
      <c r="J307" s="7" t="s">
        <v>265</v>
      </c>
      <c r="K307" s="17">
        <f t="shared" si="11"/>
        <v>11</v>
      </c>
    </row>
    <row r="308" spans="1:11" x14ac:dyDescent="0.3">
      <c r="A308" s="3">
        <v>45965</v>
      </c>
      <c r="B308" s="3" t="s">
        <v>672</v>
      </c>
      <c r="C308" s="3" t="s">
        <v>20</v>
      </c>
      <c r="D308" s="3" t="s">
        <v>174</v>
      </c>
      <c r="E308" s="4">
        <v>0.48</v>
      </c>
      <c r="F308" s="5">
        <v>1.75</v>
      </c>
      <c r="G308" s="6">
        <v>305</v>
      </c>
      <c r="H308" s="30">
        <v>2.1</v>
      </c>
      <c r="I308" s="21">
        <f t="shared" si="10"/>
        <v>500.976</v>
      </c>
      <c r="J308" s="7" t="s">
        <v>266</v>
      </c>
      <c r="K308" s="17">
        <f t="shared" si="11"/>
        <v>11</v>
      </c>
    </row>
    <row r="309" spans="1:11" x14ac:dyDescent="0.3">
      <c r="A309" s="3">
        <v>45966</v>
      </c>
      <c r="B309" s="3" t="s">
        <v>672</v>
      </c>
      <c r="C309" s="3" t="s">
        <v>5</v>
      </c>
      <c r="D309" s="3" t="s">
        <v>174</v>
      </c>
      <c r="E309" s="4">
        <v>0.52</v>
      </c>
      <c r="F309" s="5">
        <v>1.78</v>
      </c>
      <c r="G309" s="6">
        <v>305</v>
      </c>
      <c r="H309" s="30">
        <v>2.1</v>
      </c>
      <c r="I309" s="21">
        <f t="shared" si="10"/>
        <v>552.02784000000008</v>
      </c>
      <c r="J309" s="7" t="s">
        <v>267</v>
      </c>
      <c r="K309" s="17">
        <f t="shared" si="11"/>
        <v>11</v>
      </c>
    </row>
    <row r="310" spans="1:11" x14ac:dyDescent="0.3">
      <c r="A310" s="3">
        <v>45967</v>
      </c>
      <c r="B310" s="3" t="s">
        <v>672</v>
      </c>
      <c r="C310" s="3" t="s">
        <v>8</v>
      </c>
      <c r="D310" s="3" t="s">
        <v>174</v>
      </c>
      <c r="E310" s="4">
        <v>0.5</v>
      </c>
      <c r="F310" s="5">
        <v>1.74</v>
      </c>
      <c r="G310" s="6">
        <v>305</v>
      </c>
      <c r="H310" s="30">
        <v>2.1</v>
      </c>
      <c r="I310" s="21">
        <f t="shared" si="10"/>
        <v>518.86800000000005</v>
      </c>
      <c r="J310" s="7" t="s">
        <v>88</v>
      </c>
      <c r="K310" s="17">
        <f t="shared" si="11"/>
        <v>11</v>
      </c>
    </row>
    <row r="311" spans="1:11" x14ac:dyDescent="0.3">
      <c r="A311" s="3">
        <v>45968</v>
      </c>
      <c r="B311" s="3" t="s">
        <v>672</v>
      </c>
      <c r="C311" s="3" t="s">
        <v>11</v>
      </c>
      <c r="D311" s="3" t="s">
        <v>174</v>
      </c>
      <c r="E311" s="4">
        <v>0.55000000000000004</v>
      </c>
      <c r="F311" s="5">
        <v>1.92</v>
      </c>
      <c r="G311" s="6">
        <v>305</v>
      </c>
      <c r="H311" s="30">
        <v>2.1</v>
      </c>
      <c r="I311" s="21">
        <f t="shared" si="10"/>
        <v>629.79840000000002</v>
      </c>
      <c r="J311" s="7" t="s">
        <v>268</v>
      </c>
      <c r="K311" s="17">
        <f t="shared" si="11"/>
        <v>11</v>
      </c>
    </row>
    <row r="312" spans="1:11" x14ac:dyDescent="0.3">
      <c r="A312" s="3">
        <v>45969</v>
      </c>
      <c r="B312" s="3" t="s">
        <v>672</v>
      </c>
      <c r="C312" s="3" t="s">
        <v>13</v>
      </c>
      <c r="D312" s="3" t="s">
        <v>179</v>
      </c>
      <c r="E312" s="4">
        <v>0.68</v>
      </c>
      <c r="F312" s="5">
        <v>2.25</v>
      </c>
      <c r="G312" s="6">
        <v>305</v>
      </c>
      <c r="H312" s="30">
        <v>2.1</v>
      </c>
      <c r="I312" s="21">
        <f t="shared" si="10"/>
        <v>912.49199999999996</v>
      </c>
      <c r="J312" s="7" t="s">
        <v>269</v>
      </c>
      <c r="K312" s="17">
        <f t="shared" si="11"/>
        <v>11</v>
      </c>
    </row>
    <row r="313" spans="1:11" x14ac:dyDescent="0.3">
      <c r="A313" s="3">
        <v>45970</v>
      </c>
      <c r="B313" s="3" t="s">
        <v>672</v>
      </c>
      <c r="C313" s="3" t="s">
        <v>16</v>
      </c>
      <c r="D313" s="3" t="s">
        <v>179</v>
      </c>
      <c r="E313" s="4">
        <v>0.62</v>
      </c>
      <c r="F313" s="5">
        <v>2.1800000000000002</v>
      </c>
      <c r="G313" s="6">
        <v>305</v>
      </c>
      <c r="H313" s="30">
        <v>2.1</v>
      </c>
      <c r="I313" s="21">
        <f t="shared" si="10"/>
        <v>806.09424000000013</v>
      </c>
      <c r="J313" s="7" t="s">
        <v>69</v>
      </c>
      <c r="K313" s="17">
        <f t="shared" si="11"/>
        <v>11</v>
      </c>
    </row>
    <row r="314" spans="1:11" x14ac:dyDescent="0.3">
      <c r="A314" s="3">
        <v>45971</v>
      </c>
      <c r="B314" s="3" t="s">
        <v>672</v>
      </c>
      <c r="C314" s="3" t="s">
        <v>18</v>
      </c>
      <c r="D314" s="3" t="s">
        <v>174</v>
      </c>
      <c r="E314" s="4">
        <v>0.42</v>
      </c>
      <c r="F314" s="5">
        <v>1.71</v>
      </c>
      <c r="G314" s="6">
        <v>305</v>
      </c>
      <c r="H314" s="30">
        <v>2.1</v>
      </c>
      <c r="I314" s="21">
        <f t="shared" si="10"/>
        <v>428.33447999999999</v>
      </c>
      <c r="J314" s="7" t="s">
        <v>270</v>
      </c>
      <c r="K314" s="17">
        <f t="shared" si="11"/>
        <v>11</v>
      </c>
    </row>
    <row r="315" spans="1:11" x14ac:dyDescent="0.3">
      <c r="A315" s="3">
        <v>45972</v>
      </c>
      <c r="B315" s="3" t="s">
        <v>672</v>
      </c>
      <c r="C315" s="3" t="s">
        <v>20</v>
      </c>
      <c r="D315" s="3" t="s">
        <v>174</v>
      </c>
      <c r="E315" s="4">
        <v>0.45</v>
      </c>
      <c r="F315" s="5">
        <v>1.74</v>
      </c>
      <c r="G315" s="6">
        <v>305</v>
      </c>
      <c r="H315" s="30">
        <v>2.1</v>
      </c>
      <c r="I315" s="21">
        <f t="shared" si="10"/>
        <v>466.9812</v>
      </c>
      <c r="J315" s="7" t="s">
        <v>65</v>
      </c>
      <c r="K315" s="17">
        <f t="shared" si="11"/>
        <v>11</v>
      </c>
    </row>
    <row r="316" spans="1:11" x14ac:dyDescent="0.3">
      <c r="A316" s="3">
        <v>45973</v>
      </c>
      <c r="B316" s="3" t="s">
        <v>672</v>
      </c>
      <c r="C316" s="3" t="s">
        <v>5</v>
      </c>
      <c r="D316" s="3" t="s">
        <v>174</v>
      </c>
      <c r="E316" s="4">
        <v>0.48</v>
      </c>
      <c r="F316" s="5">
        <v>1.76</v>
      </c>
      <c r="G316" s="6">
        <v>305</v>
      </c>
      <c r="H316" s="30">
        <v>2.1</v>
      </c>
      <c r="I316" s="21">
        <f t="shared" si="10"/>
        <v>503.83871999999997</v>
      </c>
      <c r="J316" s="7" t="s">
        <v>65</v>
      </c>
      <c r="K316" s="17">
        <f t="shared" si="11"/>
        <v>11</v>
      </c>
    </row>
    <row r="317" spans="1:11" x14ac:dyDescent="0.3">
      <c r="A317" s="3">
        <v>45974</v>
      </c>
      <c r="B317" s="3" t="s">
        <v>672</v>
      </c>
      <c r="C317" s="3" t="s">
        <v>8</v>
      </c>
      <c r="D317" s="3" t="s">
        <v>174</v>
      </c>
      <c r="E317" s="4">
        <v>0.46</v>
      </c>
      <c r="F317" s="5">
        <v>1.72</v>
      </c>
      <c r="G317" s="6">
        <v>305</v>
      </c>
      <c r="H317" s="30">
        <v>2.1</v>
      </c>
      <c r="I317" s="21">
        <f t="shared" si="10"/>
        <v>471.87168000000003</v>
      </c>
      <c r="J317" s="7" t="s">
        <v>65</v>
      </c>
      <c r="K317" s="17">
        <f t="shared" si="11"/>
        <v>11</v>
      </c>
    </row>
    <row r="318" spans="1:11" x14ac:dyDescent="0.3">
      <c r="A318" s="3">
        <v>45975</v>
      </c>
      <c r="B318" s="3" t="s">
        <v>672</v>
      </c>
      <c r="C318" s="3" t="s">
        <v>11</v>
      </c>
      <c r="D318" s="3" t="s">
        <v>174</v>
      </c>
      <c r="E318" s="4">
        <v>0.52</v>
      </c>
      <c r="F318" s="5">
        <v>1.88</v>
      </c>
      <c r="G318" s="6">
        <v>305</v>
      </c>
      <c r="H318" s="30">
        <v>2.1</v>
      </c>
      <c r="I318" s="21">
        <f t="shared" si="10"/>
        <v>583.04064000000005</v>
      </c>
      <c r="J318" s="7" t="s">
        <v>70</v>
      </c>
      <c r="K318" s="17">
        <f t="shared" si="11"/>
        <v>11</v>
      </c>
    </row>
    <row r="319" spans="1:11" x14ac:dyDescent="0.3">
      <c r="A319" s="3">
        <v>45976</v>
      </c>
      <c r="B319" s="3" t="s">
        <v>672</v>
      </c>
      <c r="C319" s="3" t="s">
        <v>13</v>
      </c>
      <c r="D319" s="3" t="s">
        <v>179</v>
      </c>
      <c r="E319" s="4">
        <v>0.65</v>
      </c>
      <c r="F319" s="5">
        <v>2.2200000000000002</v>
      </c>
      <c r="G319" s="6">
        <v>305</v>
      </c>
      <c r="H319" s="30">
        <v>2.1</v>
      </c>
      <c r="I319" s="21">
        <f t="shared" si="10"/>
        <v>860.60520000000008</v>
      </c>
      <c r="J319" s="7" t="s">
        <v>97</v>
      </c>
      <c r="K319" s="17">
        <f t="shared" si="11"/>
        <v>11</v>
      </c>
    </row>
    <row r="320" spans="1:11" x14ac:dyDescent="0.3">
      <c r="A320" s="3">
        <v>45977</v>
      </c>
      <c r="B320" s="3" t="s">
        <v>672</v>
      </c>
      <c r="C320" s="3" t="s">
        <v>16</v>
      </c>
      <c r="D320" s="3" t="s">
        <v>179</v>
      </c>
      <c r="E320" s="4">
        <v>0.6</v>
      </c>
      <c r="F320" s="5">
        <v>2.15</v>
      </c>
      <c r="G320" s="6">
        <v>305</v>
      </c>
      <c r="H320" s="30">
        <v>2.1</v>
      </c>
      <c r="I320" s="21">
        <f t="shared" si="10"/>
        <v>769.35600000000011</v>
      </c>
      <c r="J320" s="7" t="s">
        <v>69</v>
      </c>
      <c r="K320" s="17">
        <f t="shared" si="11"/>
        <v>11</v>
      </c>
    </row>
    <row r="321" spans="1:11" x14ac:dyDescent="0.3">
      <c r="A321" s="3">
        <v>45978</v>
      </c>
      <c r="B321" s="3" t="s">
        <v>672</v>
      </c>
      <c r="C321" s="3" t="s">
        <v>18</v>
      </c>
      <c r="D321" s="3" t="s">
        <v>174</v>
      </c>
      <c r="E321" s="4">
        <v>0.4</v>
      </c>
      <c r="F321" s="5">
        <v>1.68</v>
      </c>
      <c r="G321" s="6">
        <v>305</v>
      </c>
      <c r="H321" s="30">
        <v>2.1</v>
      </c>
      <c r="I321" s="21">
        <f t="shared" si="10"/>
        <v>400.78080000000006</v>
      </c>
      <c r="J321" s="7" t="s">
        <v>271</v>
      </c>
      <c r="K321" s="17">
        <f t="shared" si="11"/>
        <v>11</v>
      </c>
    </row>
    <row r="322" spans="1:11" x14ac:dyDescent="0.3">
      <c r="A322" s="3">
        <v>45979</v>
      </c>
      <c r="B322" s="3" t="s">
        <v>672</v>
      </c>
      <c r="C322" s="3" t="s">
        <v>20</v>
      </c>
      <c r="D322" s="3" t="s">
        <v>174</v>
      </c>
      <c r="E322" s="4">
        <v>0.44</v>
      </c>
      <c r="F322" s="5">
        <v>1.72</v>
      </c>
      <c r="G322" s="6">
        <v>305</v>
      </c>
      <c r="H322" s="30">
        <v>2.1</v>
      </c>
      <c r="I322" s="21">
        <f t="shared" si="10"/>
        <v>451.35552000000001</v>
      </c>
      <c r="J322" s="7" t="s">
        <v>272</v>
      </c>
      <c r="K322" s="17">
        <f t="shared" si="11"/>
        <v>11</v>
      </c>
    </row>
    <row r="323" spans="1:11" x14ac:dyDescent="0.3">
      <c r="A323" s="3">
        <v>45980</v>
      </c>
      <c r="B323" s="3" t="s">
        <v>672</v>
      </c>
      <c r="C323" s="3" t="s">
        <v>5</v>
      </c>
      <c r="D323" s="3" t="s">
        <v>174</v>
      </c>
      <c r="E323" s="4">
        <v>0.46</v>
      </c>
      <c r="F323" s="5">
        <v>1.75</v>
      </c>
      <c r="G323" s="6">
        <v>305</v>
      </c>
      <c r="H323" s="30">
        <v>2.1</v>
      </c>
      <c r="I323" s="21">
        <f t="shared" ref="I323:I365" si="12">(284*E323)*F323*H323</f>
        <v>480.10200000000009</v>
      </c>
      <c r="J323" s="7" t="s">
        <v>52</v>
      </c>
      <c r="K323" s="17">
        <f t="shared" ref="K323:K365" si="13">MONTH(A323)</f>
        <v>11</v>
      </c>
    </row>
    <row r="324" spans="1:11" x14ac:dyDescent="0.3">
      <c r="A324" s="3">
        <v>45981</v>
      </c>
      <c r="B324" s="3" t="s">
        <v>672</v>
      </c>
      <c r="C324" s="3" t="s">
        <v>8</v>
      </c>
      <c r="D324" s="3" t="s">
        <v>174</v>
      </c>
      <c r="E324" s="4">
        <v>0.48</v>
      </c>
      <c r="F324" s="5">
        <v>1.78</v>
      </c>
      <c r="G324" s="6">
        <v>305</v>
      </c>
      <c r="H324" s="30">
        <v>2.1</v>
      </c>
      <c r="I324" s="21">
        <f t="shared" si="12"/>
        <v>509.56416000000002</v>
      </c>
      <c r="J324" s="7" t="s">
        <v>273</v>
      </c>
      <c r="K324" s="17">
        <f t="shared" si="13"/>
        <v>11</v>
      </c>
    </row>
    <row r="325" spans="1:11" x14ac:dyDescent="0.3">
      <c r="A325" s="3">
        <v>45982</v>
      </c>
      <c r="B325" s="3" t="s">
        <v>672</v>
      </c>
      <c r="C325" s="3" t="s">
        <v>11</v>
      </c>
      <c r="D325" s="3" t="s">
        <v>174</v>
      </c>
      <c r="E325" s="4">
        <v>0.54</v>
      </c>
      <c r="F325" s="5">
        <v>1.95</v>
      </c>
      <c r="G325" s="6">
        <v>305</v>
      </c>
      <c r="H325" s="30">
        <v>2.1</v>
      </c>
      <c r="I325" s="21">
        <f t="shared" si="12"/>
        <v>628.00920000000008</v>
      </c>
      <c r="J325" s="7" t="s">
        <v>82</v>
      </c>
      <c r="K325" s="17">
        <f t="shared" si="13"/>
        <v>11</v>
      </c>
    </row>
    <row r="326" spans="1:11" x14ac:dyDescent="0.3">
      <c r="A326" s="3">
        <v>45983</v>
      </c>
      <c r="B326" s="3" t="s">
        <v>672</v>
      </c>
      <c r="C326" s="3" t="s">
        <v>13</v>
      </c>
      <c r="D326" s="3" t="s">
        <v>179</v>
      </c>
      <c r="E326" s="4">
        <v>0.72</v>
      </c>
      <c r="F326" s="5">
        <v>2.2799999999999998</v>
      </c>
      <c r="G326" s="6">
        <v>305</v>
      </c>
      <c r="H326" s="30">
        <v>2.1</v>
      </c>
      <c r="I326" s="21">
        <f t="shared" si="12"/>
        <v>979.05023999999992</v>
      </c>
      <c r="J326" s="7" t="s">
        <v>274</v>
      </c>
      <c r="K326" s="17">
        <f t="shared" si="13"/>
        <v>11</v>
      </c>
    </row>
    <row r="327" spans="1:11" x14ac:dyDescent="0.3">
      <c r="A327" s="3">
        <v>45984</v>
      </c>
      <c r="B327" s="3" t="s">
        <v>672</v>
      </c>
      <c r="C327" s="3" t="s">
        <v>16</v>
      </c>
      <c r="D327" s="3" t="s">
        <v>179</v>
      </c>
      <c r="E327" s="4">
        <v>0.68</v>
      </c>
      <c r="F327" s="5">
        <v>2.1800000000000002</v>
      </c>
      <c r="G327" s="6">
        <v>305</v>
      </c>
      <c r="H327" s="30">
        <v>2.1</v>
      </c>
      <c r="I327" s="21">
        <f t="shared" si="12"/>
        <v>884.10336000000018</v>
      </c>
      <c r="J327" s="7" t="s">
        <v>69</v>
      </c>
      <c r="K327" s="17">
        <f t="shared" si="13"/>
        <v>11</v>
      </c>
    </row>
    <row r="328" spans="1:11" x14ac:dyDescent="0.3">
      <c r="A328" s="3">
        <v>45985</v>
      </c>
      <c r="B328" s="3" t="s">
        <v>672</v>
      </c>
      <c r="C328" s="3" t="s">
        <v>18</v>
      </c>
      <c r="D328" s="3" t="s">
        <v>174</v>
      </c>
      <c r="E328" s="4">
        <v>0.42</v>
      </c>
      <c r="F328" s="5">
        <v>1.7</v>
      </c>
      <c r="G328" s="6">
        <v>305</v>
      </c>
      <c r="H328" s="30">
        <v>2.1</v>
      </c>
      <c r="I328" s="21">
        <f t="shared" si="12"/>
        <v>425.82960000000003</v>
      </c>
      <c r="J328" s="7" t="s">
        <v>275</v>
      </c>
      <c r="K328" s="17">
        <f t="shared" si="13"/>
        <v>11</v>
      </c>
    </row>
    <row r="329" spans="1:11" x14ac:dyDescent="0.3">
      <c r="A329" s="3">
        <v>45986</v>
      </c>
      <c r="B329" s="3" t="s">
        <v>672</v>
      </c>
      <c r="C329" s="3" t="s">
        <v>20</v>
      </c>
      <c r="D329" s="3" t="s">
        <v>174</v>
      </c>
      <c r="E329" s="4">
        <v>0.45</v>
      </c>
      <c r="F329" s="5">
        <v>1.74</v>
      </c>
      <c r="G329" s="6">
        <v>305</v>
      </c>
      <c r="H329" s="30">
        <v>2.1</v>
      </c>
      <c r="I329" s="21">
        <f t="shared" si="12"/>
        <v>466.9812</v>
      </c>
      <c r="J329" s="7" t="s">
        <v>65</v>
      </c>
      <c r="K329" s="17">
        <f t="shared" si="13"/>
        <v>11</v>
      </c>
    </row>
    <row r="330" spans="1:11" x14ac:dyDescent="0.3">
      <c r="A330" s="3">
        <v>45987</v>
      </c>
      <c r="B330" s="3" t="s">
        <v>672</v>
      </c>
      <c r="C330" s="3" t="s">
        <v>5</v>
      </c>
      <c r="D330" s="3" t="s">
        <v>174</v>
      </c>
      <c r="E330" s="4">
        <v>0.48</v>
      </c>
      <c r="F330" s="5">
        <v>1.78</v>
      </c>
      <c r="G330" s="6">
        <v>305</v>
      </c>
      <c r="H330" s="30">
        <v>2.1</v>
      </c>
      <c r="I330" s="21">
        <f t="shared" si="12"/>
        <v>509.56416000000002</v>
      </c>
      <c r="J330" s="7" t="s">
        <v>65</v>
      </c>
      <c r="K330" s="17">
        <f t="shared" si="13"/>
        <v>11</v>
      </c>
    </row>
    <row r="331" spans="1:11" x14ac:dyDescent="0.3">
      <c r="A331" s="3">
        <v>45988</v>
      </c>
      <c r="B331" s="3" t="s">
        <v>672</v>
      </c>
      <c r="C331" s="3" t="s">
        <v>8</v>
      </c>
      <c r="D331" s="3" t="s">
        <v>174</v>
      </c>
      <c r="E331" s="4">
        <v>0.5</v>
      </c>
      <c r="F331" s="5">
        <v>1.8</v>
      </c>
      <c r="G331" s="6">
        <v>305</v>
      </c>
      <c r="H331" s="30">
        <v>2.1</v>
      </c>
      <c r="I331" s="21">
        <f t="shared" si="12"/>
        <v>536.76</v>
      </c>
      <c r="J331" s="7" t="s">
        <v>276</v>
      </c>
      <c r="K331" s="17">
        <f t="shared" si="13"/>
        <v>11</v>
      </c>
    </row>
    <row r="332" spans="1:11" x14ac:dyDescent="0.3">
      <c r="A332" s="3">
        <v>45989</v>
      </c>
      <c r="B332" s="3" t="s">
        <v>672</v>
      </c>
      <c r="C332" s="3" t="s">
        <v>11</v>
      </c>
      <c r="D332" s="3" t="s">
        <v>174</v>
      </c>
      <c r="E332" s="4">
        <v>0.55000000000000004</v>
      </c>
      <c r="F332" s="5">
        <v>1.9</v>
      </c>
      <c r="G332" s="6">
        <v>305</v>
      </c>
      <c r="H332" s="30">
        <v>2.1</v>
      </c>
      <c r="I332" s="21">
        <f t="shared" si="12"/>
        <v>623.23800000000006</v>
      </c>
      <c r="J332" s="7" t="s">
        <v>67</v>
      </c>
      <c r="K332" s="17">
        <f t="shared" si="13"/>
        <v>11</v>
      </c>
    </row>
    <row r="333" spans="1:11" x14ac:dyDescent="0.3">
      <c r="A333" s="3">
        <v>45990</v>
      </c>
      <c r="B333" s="3" t="s">
        <v>672</v>
      </c>
      <c r="C333" s="3" t="s">
        <v>13</v>
      </c>
      <c r="D333" s="3" t="s">
        <v>179</v>
      </c>
      <c r="E333" s="4">
        <v>0.74</v>
      </c>
      <c r="F333" s="5">
        <v>2.2999999999999998</v>
      </c>
      <c r="G333" s="6">
        <v>305</v>
      </c>
      <c r="H333" s="30">
        <v>2.1</v>
      </c>
      <c r="I333" s="21">
        <f t="shared" si="12"/>
        <v>1015.0727999999999</v>
      </c>
      <c r="J333" s="7" t="s">
        <v>277</v>
      </c>
      <c r="K333" s="17">
        <f t="shared" si="13"/>
        <v>11</v>
      </c>
    </row>
    <row r="334" spans="1:11" x14ac:dyDescent="0.3">
      <c r="A334" s="3">
        <v>45991</v>
      </c>
      <c r="B334" s="3" t="s">
        <v>672</v>
      </c>
      <c r="C334" s="3" t="s">
        <v>16</v>
      </c>
      <c r="D334" s="3" t="s">
        <v>179</v>
      </c>
      <c r="E334" s="4">
        <v>0.68</v>
      </c>
      <c r="F334" s="5">
        <v>2.2000000000000002</v>
      </c>
      <c r="G334" s="6">
        <v>305</v>
      </c>
      <c r="H334" s="30">
        <v>2.1</v>
      </c>
      <c r="I334" s="21">
        <f t="shared" si="12"/>
        <v>892.21440000000007</v>
      </c>
      <c r="J334" s="7" t="s">
        <v>69</v>
      </c>
      <c r="K334" s="17">
        <f t="shared" si="13"/>
        <v>11</v>
      </c>
    </row>
    <row r="335" spans="1:11" x14ac:dyDescent="0.3">
      <c r="A335" s="3">
        <v>45992</v>
      </c>
      <c r="B335" s="3" t="s">
        <v>672</v>
      </c>
      <c r="C335" s="3" t="s">
        <v>18</v>
      </c>
      <c r="D335" s="3" t="s">
        <v>174</v>
      </c>
      <c r="E335" s="4">
        <v>0.45</v>
      </c>
      <c r="F335" s="5">
        <v>1.7</v>
      </c>
      <c r="G335" s="6">
        <v>305</v>
      </c>
      <c r="H335" s="30">
        <v>2.1</v>
      </c>
      <c r="I335" s="21">
        <f t="shared" si="12"/>
        <v>456.24599999999998</v>
      </c>
      <c r="J335" s="7" t="s">
        <v>278</v>
      </c>
      <c r="K335" s="17">
        <f t="shared" si="13"/>
        <v>12</v>
      </c>
    </row>
    <row r="336" spans="1:11" x14ac:dyDescent="0.3">
      <c r="A336" s="3">
        <v>45993</v>
      </c>
      <c r="B336" s="3" t="s">
        <v>672</v>
      </c>
      <c r="C336" s="3" t="s">
        <v>20</v>
      </c>
      <c r="D336" s="3" t="s">
        <v>174</v>
      </c>
      <c r="E336" s="4">
        <v>0.48</v>
      </c>
      <c r="F336" s="5">
        <v>1.72</v>
      </c>
      <c r="G336" s="6">
        <v>305</v>
      </c>
      <c r="H336" s="30">
        <v>2.1</v>
      </c>
      <c r="I336" s="21">
        <f t="shared" si="12"/>
        <v>492.38783999999998</v>
      </c>
      <c r="J336" s="7" t="s">
        <v>279</v>
      </c>
      <c r="K336" s="17">
        <f t="shared" si="13"/>
        <v>12</v>
      </c>
    </row>
    <row r="337" spans="1:11" x14ac:dyDescent="0.3">
      <c r="A337" s="3">
        <v>45994</v>
      </c>
      <c r="B337" s="3" t="s">
        <v>672</v>
      </c>
      <c r="C337" s="3" t="s">
        <v>5</v>
      </c>
      <c r="D337" s="3" t="s">
        <v>174</v>
      </c>
      <c r="E337" s="4">
        <v>0.5</v>
      </c>
      <c r="F337" s="5">
        <v>1.75</v>
      </c>
      <c r="G337" s="6">
        <v>305</v>
      </c>
      <c r="H337" s="30">
        <v>2.1</v>
      </c>
      <c r="I337" s="21">
        <f t="shared" si="12"/>
        <v>521.85</v>
      </c>
      <c r="J337" s="7" t="s">
        <v>280</v>
      </c>
      <c r="K337" s="17">
        <f t="shared" si="13"/>
        <v>12</v>
      </c>
    </row>
    <row r="338" spans="1:11" x14ac:dyDescent="0.3">
      <c r="A338" s="3">
        <v>45995</v>
      </c>
      <c r="B338" s="3" t="s">
        <v>672</v>
      </c>
      <c r="C338" s="3" t="s">
        <v>8</v>
      </c>
      <c r="D338" s="3" t="s">
        <v>174</v>
      </c>
      <c r="E338" s="4">
        <v>0.52</v>
      </c>
      <c r="F338" s="5">
        <v>1.74</v>
      </c>
      <c r="G338" s="6">
        <v>305</v>
      </c>
      <c r="H338" s="30">
        <v>2.1</v>
      </c>
      <c r="I338" s="21">
        <f t="shared" si="12"/>
        <v>539.62272000000007</v>
      </c>
      <c r="J338" s="7" t="s">
        <v>281</v>
      </c>
      <c r="K338" s="17">
        <f t="shared" si="13"/>
        <v>12</v>
      </c>
    </row>
    <row r="339" spans="1:11" x14ac:dyDescent="0.3">
      <c r="A339" s="3">
        <v>45996</v>
      </c>
      <c r="B339" s="3" t="s">
        <v>672</v>
      </c>
      <c r="C339" s="3" t="s">
        <v>11</v>
      </c>
      <c r="D339" s="3" t="s">
        <v>174</v>
      </c>
      <c r="E339" s="4">
        <v>0.57999999999999996</v>
      </c>
      <c r="F339" s="5">
        <v>1.95</v>
      </c>
      <c r="G339" s="6">
        <v>305</v>
      </c>
      <c r="H339" s="30">
        <v>2.1</v>
      </c>
      <c r="I339" s="21">
        <f t="shared" si="12"/>
        <v>674.52840000000003</v>
      </c>
      <c r="J339" s="7" t="s">
        <v>282</v>
      </c>
      <c r="K339" s="17">
        <f t="shared" si="13"/>
        <v>12</v>
      </c>
    </row>
    <row r="340" spans="1:11" x14ac:dyDescent="0.3">
      <c r="A340" s="3">
        <v>45997</v>
      </c>
      <c r="B340" s="3" t="s">
        <v>672</v>
      </c>
      <c r="C340" s="3" t="s">
        <v>13</v>
      </c>
      <c r="D340" s="3" t="s">
        <v>179</v>
      </c>
      <c r="E340" s="4">
        <v>0.7</v>
      </c>
      <c r="F340" s="5">
        <v>2.25</v>
      </c>
      <c r="G340" s="6">
        <v>305</v>
      </c>
      <c r="H340" s="30">
        <v>2.1</v>
      </c>
      <c r="I340" s="21">
        <f t="shared" si="12"/>
        <v>939.32999999999993</v>
      </c>
      <c r="J340" s="7" t="s">
        <v>283</v>
      </c>
      <c r="K340" s="17">
        <f t="shared" si="13"/>
        <v>12</v>
      </c>
    </row>
    <row r="341" spans="1:11" x14ac:dyDescent="0.3">
      <c r="A341" s="3">
        <v>45998</v>
      </c>
      <c r="B341" s="3" t="s">
        <v>672</v>
      </c>
      <c r="C341" s="3" t="s">
        <v>16</v>
      </c>
      <c r="D341" s="3" t="s">
        <v>179</v>
      </c>
      <c r="E341" s="4">
        <v>0.65</v>
      </c>
      <c r="F341" s="5">
        <v>2.1800000000000002</v>
      </c>
      <c r="G341" s="6">
        <v>305</v>
      </c>
      <c r="H341" s="30">
        <v>2.1</v>
      </c>
      <c r="I341" s="21">
        <f t="shared" si="12"/>
        <v>845.09879999999998</v>
      </c>
      <c r="J341" s="7" t="s">
        <v>284</v>
      </c>
      <c r="K341" s="17">
        <f t="shared" si="13"/>
        <v>12</v>
      </c>
    </row>
    <row r="342" spans="1:11" x14ac:dyDescent="0.3">
      <c r="A342" s="3">
        <v>45999</v>
      </c>
      <c r="B342" s="3" t="s">
        <v>672</v>
      </c>
      <c r="C342" s="3" t="s">
        <v>18</v>
      </c>
      <c r="D342" s="3" t="s">
        <v>174</v>
      </c>
      <c r="E342" s="4">
        <v>0.42</v>
      </c>
      <c r="F342" s="5">
        <v>1.68</v>
      </c>
      <c r="G342" s="6">
        <v>305</v>
      </c>
      <c r="H342" s="30">
        <v>2.1</v>
      </c>
      <c r="I342" s="21">
        <f t="shared" si="12"/>
        <v>420.81984</v>
      </c>
      <c r="J342" s="7" t="s">
        <v>285</v>
      </c>
      <c r="K342" s="17">
        <f t="shared" si="13"/>
        <v>12</v>
      </c>
    </row>
    <row r="343" spans="1:11" x14ac:dyDescent="0.3">
      <c r="A343" s="3">
        <v>46000</v>
      </c>
      <c r="B343" s="3" t="s">
        <v>672</v>
      </c>
      <c r="C343" s="3" t="s">
        <v>20</v>
      </c>
      <c r="D343" s="3" t="s">
        <v>174</v>
      </c>
      <c r="E343" s="4">
        <v>0.45</v>
      </c>
      <c r="F343" s="5">
        <v>1.72</v>
      </c>
      <c r="G343" s="6">
        <v>305</v>
      </c>
      <c r="H343" s="30">
        <v>2.1</v>
      </c>
      <c r="I343" s="21">
        <f t="shared" si="12"/>
        <v>461.61360000000002</v>
      </c>
      <c r="J343" s="7" t="s">
        <v>286</v>
      </c>
      <c r="K343" s="17">
        <f t="shared" si="13"/>
        <v>12</v>
      </c>
    </row>
    <row r="344" spans="1:11" x14ac:dyDescent="0.3">
      <c r="A344" s="3">
        <v>46001</v>
      </c>
      <c r="B344" s="3" t="s">
        <v>672</v>
      </c>
      <c r="C344" s="3" t="s">
        <v>5</v>
      </c>
      <c r="D344" s="3" t="s">
        <v>174</v>
      </c>
      <c r="E344" s="4">
        <v>0.48</v>
      </c>
      <c r="F344" s="5">
        <v>1.74</v>
      </c>
      <c r="G344" s="6">
        <v>305</v>
      </c>
      <c r="H344" s="30">
        <v>2.1</v>
      </c>
      <c r="I344" s="21">
        <f t="shared" si="12"/>
        <v>498.11328000000003</v>
      </c>
      <c r="J344" s="7" t="s">
        <v>286</v>
      </c>
      <c r="K344" s="17">
        <f t="shared" si="13"/>
        <v>12</v>
      </c>
    </row>
    <row r="345" spans="1:11" x14ac:dyDescent="0.3">
      <c r="A345" s="3">
        <v>46002</v>
      </c>
      <c r="B345" s="3" t="s">
        <v>672</v>
      </c>
      <c r="C345" s="3" t="s">
        <v>8</v>
      </c>
      <c r="D345" s="3" t="s">
        <v>174</v>
      </c>
      <c r="E345" s="4">
        <v>0.5</v>
      </c>
      <c r="F345" s="5">
        <v>1.78</v>
      </c>
      <c r="G345" s="6">
        <v>305</v>
      </c>
      <c r="H345" s="30">
        <v>2.1</v>
      </c>
      <c r="I345" s="21">
        <f t="shared" si="12"/>
        <v>530.79600000000005</v>
      </c>
      <c r="J345" s="7" t="s">
        <v>287</v>
      </c>
      <c r="K345" s="17">
        <f t="shared" si="13"/>
        <v>12</v>
      </c>
    </row>
    <row r="346" spans="1:11" x14ac:dyDescent="0.3">
      <c r="A346" s="3">
        <v>46003</v>
      </c>
      <c r="B346" s="3" t="s">
        <v>672</v>
      </c>
      <c r="C346" s="3" t="s">
        <v>11</v>
      </c>
      <c r="D346" s="3" t="s">
        <v>174</v>
      </c>
      <c r="E346" s="4">
        <v>0.55000000000000004</v>
      </c>
      <c r="F346" s="5">
        <v>1.98</v>
      </c>
      <c r="G346" s="6">
        <v>305</v>
      </c>
      <c r="H346" s="30">
        <v>2.1</v>
      </c>
      <c r="I346" s="21">
        <f t="shared" si="12"/>
        <v>649.4796</v>
      </c>
      <c r="J346" s="7" t="s">
        <v>288</v>
      </c>
      <c r="K346" s="17">
        <f t="shared" si="13"/>
        <v>12</v>
      </c>
    </row>
    <row r="347" spans="1:11" x14ac:dyDescent="0.3">
      <c r="A347" s="3">
        <v>46004</v>
      </c>
      <c r="B347" s="3" t="s">
        <v>672</v>
      </c>
      <c r="C347" s="3" t="s">
        <v>13</v>
      </c>
      <c r="D347" s="3" t="s">
        <v>179</v>
      </c>
      <c r="E347" s="4">
        <v>0.75</v>
      </c>
      <c r="F347" s="5">
        <v>2.2999999999999998</v>
      </c>
      <c r="G347" s="6">
        <v>305</v>
      </c>
      <c r="H347" s="30">
        <v>2.1</v>
      </c>
      <c r="I347" s="21">
        <f t="shared" si="12"/>
        <v>1028.79</v>
      </c>
      <c r="J347" s="7" t="s">
        <v>289</v>
      </c>
      <c r="K347" s="17">
        <f t="shared" si="13"/>
        <v>12</v>
      </c>
    </row>
    <row r="348" spans="1:11" x14ac:dyDescent="0.3">
      <c r="A348" s="3">
        <v>46005</v>
      </c>
      <c r="B348" s="3" t="s">
        <v>672</v>
      </c>
      <c r="C348" s="3" t="s">
        <v>16</v>
      </c>
      <c r="D348" s="3" t="s">
        <v>179</v>
      </c>
      <c r="E348" s="4">
        <v>0.7</v>
      </c>
      <c r="F348" s="5">
        <v>2.2200000000000002</v>
      </c>
      <c r="G348" s="6">
        <v>305</v>
      </c>
      <c r="H348" s="30">
        <v>2.1</v>
      </c>
      <c r="I348" s="21">
        <f t="shared" si="12"/>
        <v>926.80560000000003</v>
      </c>
      <c r="J348" s="7" t="s">
        <v>69</v>
      </c>
      <c r="K348" s="17">
        <f t="shared" si="13"/>
        <v>12</v>
      </c>
    </row>
    <row r="349" spans="1:11" x14ac:dyDescent="0.3">
      <c r="A349" s="3">
        <v>46006</v>
      </c>
      <c r="B349" s="3" t="s">
        <v>672</v>
      </c>
      <c r="C349" s="3" t="s">
        <v>120</v>
      </c>
      <c r="D349" s="3" t="s">
        <v>174</v>
      </c>
      <c r="E349" s="4">
        <v>0.42</v>
      </c>
      <c r="F349" s="5">
        <v>1.68</v>
      </c>
      <c r="G349" s="6">
        <v>305</v>
      </c>
      <c r="H349" s="30">
        <v>2.1</v>
      </c>
      <c r="I349" s="21">
        <f t="shared" si="12"/>
        <v>420.81984</v>
      </c>
      <c r="J349" s="7" t="s">
        <v>290</v>
      </c>
      <c r="K349" s="17">
        <f t="shared" si="13"/>
        <v>12</v>
      </c>
    </row>
    <row r="350" spans="1:11" x14ac:dyDescent="0.3">
      <c r="A350" s="3">
        <v>46007</v>
      </c>
      <c r="B350" s="3" t="s">
        <v>672</v>
      </c>
      <c r="C350" s="3" t="s">
        <v>106</v>
      </c>
      <c r="D350" s="3" t="s">
        <v>174</v>
      </c>
      <c r="E350" s="4">
        <v>0.45</v>
      </c>
      <c r="F350" s="5">
        <v>1.7</v>
      </c>
      <c r="G350" s="6">
        <v>305</v>
      </c>
      <c r="H350" s="30">
        <v>2.1</v>
      </c>
      <c r="I350" s="21">
        <f t="shared" si="12"/>
        <v>456.24599999999998</v>
      </c>
      <c r="J350" s="7" t="s">
        <v>291</v>
      </c>
      <c r="K350" s="17">
        <f t="shared" si="13"/>
        <v>12</v>
      </c>
    </row>
    <row r="351" spans="1:11" x14ac:dyDescent="0.3">
      <c r="A351" s="3">
        <v>46008</v>
      </c>
      <c r="B351" s="3" t="s">
        <v>672</v>
      </c>
      <c r="C351" s="3" t="s">
        <v>109</v>
      </c>
      <c r="D351" s="3" t="s">
        <v>174</v>
      </c>
      <c r="E351" s="4">
        <v>0.46</v>
      </c>
      <c r="F351" s="5">
        <v>1.72</v>
      </c>
      <c r="G351" s="6">
        <v>305</v>
      </c>
      <c r="H351" s="30">
        <v>2.1</v>
      </c>
      <c r="I351" s="21">
        <f t="shared" si="12"/>
        <v>471.87168000000003</v>
      </c>
      <c r="J351" s="7" t="s">
        <v>292</v>
      </c>
      <c r="K351" s="17">
        <f t="shared" si="13"/>
        <v>12</v>
      </c>
    </row>
    <row r="352" spans="1:11" x14ac:dyDescent="0.3">
      <c r="A352" s="3">
        <v>46009</v>
      </c>
      <c r="B352" s="3" t="s">
        <v>672</v>
      </c>
      <c r="C352" s="3" t="s">
        <v>112</v>
      </c>
      <c r="D352" s="3" t="s">
        <v>174</v>
      </c>
      <c r="E352" s="4">
        <v>0.44</v>
      </c>
      <c r="F352" s="5">
        <v>1.69</v>
      </c>
      <c r="G352" s="6">
        <v>305</v>
      </c>
      <c r="H352" s="30">
        <v>2.1</v>
      </c>
      <c r="I352" s="21">
        <f t="shared" si="12"/>
        <v>443.48303999999996</v>
      </c>
      <c r="J352" s="7" t="s">
        <v>293</v>
      </c>
      <c r="K352" s="17">
        <f t="shared" si="13"/>
        <v>12</v>
      </c>
    </row>
    <row r="353" spans="1:11" x14ac:dyDescent="0.3">
      <c r="A353" s="3">
        <v>46010</v>
      </c>
      <c r="B353" s="3" t="s">
        <v>672</v>
      </c>
      <c r="C353" s="3" t="s">
        <v>114</v>
      </c>
      <c r="D353" s="3" t="s">
        <v>174</v>
      </c>
      <c r="E353" s="4">
        <v>0.52</v>
      </c>
      <c r="F353" s="5">
        <v>1.65</v>
      </c>
      <c r="G353" s="6">
        <v>305</v>
      </c>
      <c r="H353" s="30">
        <v>2.1</v>
      </c>
      <c r="I353" s="21">
        <f t="shared" si="12"/>
        <v>511.71120000000002</v>
      </c>
      <c r="J353" s="7" t="s">
        <v>294</v>
      </c>
      <c r="K353" s="17">
        <f t="shared" si="13"/>
        <v>12</v>
      </c>
    </row>
    <row r="354" spans="1:11" x14ac:dyDescent="0.3">
      <c r="A354" s="3">
        <v>46011</v>
      </c>
      <c r="B354" s="3" t="s">
        <v>672</v>
      </c>
      <c r="C354" s="3" t="s">
        <v>13</v>
      </c>
      <c r="D354" s="3" t="s">
        <v>179</v>
      </c>
      <c r="E354" s="4">
        <v>0.68</v>
      </c>
      <c r="F354" s="5">
        <v>2.2000000000000002</v>
      </c>
      <c r="G354" s="6">
        <v>305</v>
      </c>
      <c r="H354" s="30">
        <v>2.1</v>
      </c>
      <c r="I354" s="21">
        <f t="shared" si="12"/>
        <v>892.21440000000007</v>
      </c>
      <c r="J354" s="7" t="s">
        <v>295</v>
      </c>
      <c r="K354" s="17">
        <f t="shared" si="13"/>
        <v>12</v>
      </c>
    </row>
    <row r="355" spans="1:11" x14ac:dyDescent="0.3">
      <c r="A355" s="3">
        <v>46012</v>
      </c>
      <c r="B355" s="3" t="s">
        <v>672</v>
      </c>
      <c r="C355" s="3" t="s">
        <v>16</v>
      </c>
      <c r="D355" s="3" t="s">
        <v>179</v>
      </c>
      <c r="E355" s="4">
        <v>0.65</v>
      </c>
      <c r="F355" s="5">
        <v>2.15</v>
      </c>
      <c r="G355" s="6">
        <v>305</v>
      </c>
      <c r="H355" s="30">
        <v>2.1</v>
      </c>
      <c r="I355" s="21">
        <f t="shared" si="12"/>
        <v>833.46900000000005</v>
      </c>
      <c r="J355" s="7" t="s">
        <v>296</v>
      </c>
      <c r="K355" s="17">
        <f t="shared" si="13"/>
        <v>12</v>
      </c>
    </row>
    <row r="356" spans="1:11" x14ac:dyDescent="0.3">
      <c r="A356" s="3">
        <v>46013</v>
      </c>
      <c r="B356" s="3" t="s">
        <v>672</v>
      </c>
      <c r="C356" s="3" t="s">
        <v>18</v>
      </c>
      <c r="D356" s="3" t="s">
        <v>174</v>
      </c>
      <c r="E356" s="4">
        <v>0.5</v>
      </c>
      <c r="F356" s="5">
        <v>1.85</v>
      </c>
      <c r="G356" s="6">
        <v>305</v>
      </c>
      <c r="H356" s="30">
        <v>2.1</v>
      </c>
      <c r="I356" s="21">
        <f t="shared" si="12"/>
        <v>551.66999999999996</v>
      </c>
      <c r="J356" s="7" t="s">
        <v>297</v>
      </c>
      <c r="K356" s="17">
        <f t="shared" si="13"/>
        <v>12</v>
      </c>
    </row>
    <row r="357" spans="1:11" x14ac:dyDescent="0.3">
      <c r="A357" s="3">
        <v>46014</v>
      </c>
      <c r="B357" s="3" t="s">
        <v>672</v>
      </c>
      <c r="C357" s="3" t="s">
        <v>20</v>
      </c>
      <c r="D357" s="3" t="s">
        <v>174</v>
      </c>
      <c r="E357" s="4">
        <v>0.55000000000000004</v>
      </c>
      <c r="F357" s="5">
        <v>1.9</v>
      </c>
      <c r="G357" s="6">
        <v>305</v>
      </c>
      <c r="H357" s="30">
        <v>2.1</v>
      </c>
      <c r="I357" s="21">
        <f t="shared" si="12"/>
        <v>623.23800000000006</v>
      </c>
      <c r="J357" s="7" t="s">
        <v>298</v>
      </c>
      <c r="K357" s="17">
        <f t="shared" si="13"/>
        <v>12</v>
      </c>
    </row>
    <row r="358" spans="1:11" x14ac:dyDescent="0.3">
      <c r="A358" s="3">
        <v>46015</v>
      </c>
      <c r="B358" s="3" t="s">
        <v>672</v>
      </c>
      <c r="C358" s="3" t="s">
        <v>5</v>
      </c>
      <c r="D358" s="3" t="s">
        <v>299</v>
      </c>
      <c r="E358" s="4">
        <v>0.75</v>
      </c>
      <c r="F358" s="5">
        <v>2.4</v>
      </c>
      <c r="G358" s="6">
        <v>305</v>
      </c>
      <c r="H358" s="30">
        <v>2.1</v>
      </c>
      <c r="I358" s="21">
        <f t="shared" si="12"/>
        <v>1073.52</v>
      </c>
      <c r="J358" s="7" t="s">
        <v>300</v>
      </c>
      <c r="K358" s="17">
        <f t="shared" si="13"/>
        <v>12</v>
      </c>
    </row>
    <row r="359" spans="1:11" x14ac:dyDescent="0.3">
      <c r="A359" s="3">
        <v>46016</v>
      </c>
      <c r="B359" s="3" t="s">
        <v>672</v>
      </c>
      <c r="C359" s="3" t="s">
        <v>8</v>
      </c>
      <c r="D359" s="3" t="s">
        <v>301</v>
      </c>
      <c r="E359" s="4">
        <v>0.8</v>
      </c>
      <c r="F359" s="5">
        <v>2.5499999999999998</v>
      </c>
      <c r="G359" s="6">
        <v>305</v>
      </c>
      <c r="H359" s="30">
        <v>2.1</v>
      </c>
      <c r="I359" s="21">
        <f t="shared" si="12"/>
        <v>1216.6560000000002</v>
      </c>
      <c r="J359" s="7" t="s">
        <v>302</v>
      </c>
      <c r="K359" s="17">
        <f t="shared" si="13"/>
        <v>12</v>
      </c>
    </row>
    <row r="360" spans="1:11" x14ac:dyDescent="0.3">
      <c r="A360" s="3">
        <v>46017</v>
      </c>
      <c r="B360" s="3" t="s">
        <v>672</v>
      </c>
      <c r="C360" s="3" t="s">
        <v>11</v>
      </c>
      <c r="D360" s="3" t="s">
        <v>174</v>
      </c>
      <c r="E360" s="4">
        <v>0.7</v>
      </c>
      <c r="F360" s="5">
        <v>2.1</v>
      </c>
      <c r="G360" s="6">
        <v>305</v>
      </c>
      <c r="H360" s="30">
        <v>2.1</v>
      </c>
      <c r="I360" s="21">
        <f t="shared" si="12"/>
        <v>876.70799999999997</v>
      </c>
      <c r="J360" s="7" t="s">
        <v>303</v>
      </c>
      <c r="K360" s="17">
        <f t="shared" si="13"/>
        <v>12</v>
      </c>
    </row>
    <row r="361" spans="1:11" x14ac:dyDescent="0.3">
      <c r="A361" s="3">
        <v>46018</v>
      </c>
      <c r="B361" s="3" t="s">
        <v>672</v>
      </c>
      <c r="C361" s="3" t="s">
        <v>13</v>
      </c>
      <c r="D361" s="3" t="s">
        <v>179</v>
      </c>
      <c r="E361" s="4">
        <v>0.85</v>
      </c>
      <c r="F361" s="5">
        <v>2.4500000000000002</v>
      </c>
      <c r="G361" s="6">
        <v>305</v>
      </c>
      <c r="H361" s="30">
        <v>2.1</v>
      </c>
      <c r="I361" s="21">
        <f t="shared" si="12"/>
        <v>1242.0030000000002</v>
      </c>
      <c r="J361" s="7" t="s">
        <v>304</v>
      </c>
      <c r="K361" s="17">
        <f t="shared" si="13"/>
        <v>12</v>
      </c>
    </row>
    <row r="362" spans="1:11" x14ac:dyDescent="0.3">
      <c r="A362" s="3">
        <v>46019</v>
      </c>
      <c r="B362" s="3" t="s">
        <v>672</v>
      </c>
      <c r="C362" s="3" t="s">
        <v>16</v>
      </c>
      <c r="D362" s="3" t="s">
        <v>179</v>
      </c>
      <c r="E362" s="4">
        <v>0.82</v>
      </c>
      <c r="F362" s="5">
        <v>2.38</v>
      </c>
      <c r="G362" s="6">
        <v>305</v>
      </c>
      <c r="H362" s="30">
        <v>2.1</v>
      </c>
      <c r="I362" s="21">
        <f t="shared" si="12"/>
        <v>1163.9342399999998</v>
      </c>
      <c r="J362" s="7" t="s">
        <v>69</v>
      </c>
      <c r="K362" s="17">
        <f t="shared" si="13"/>
        <v>12</v>
      </c>
    </row>
    <row r="363" spans="1:11" x14ac:dyDescent="0.3">
      <c r="A363" s="3">
        <v>46020</v>
      </c>
      <c r="B363" s="3" t="s">
        <v>672</v>
      </c>
      <c r="C363" s="3" t="s">
        <v>18</v>
      </c>
      <c r="D363" s="3" t="s">
        <v>174</v>
      </c>
      <c r="E363" s="4">
        <v>0.75</v>
      </c>
      <c r="F363" s="5">
        <v>2.2000000000000002</v>
      </c>
      <c r="G363" s="6">
        <v>305</v>
      </c>
      <c r="H363" s="30">
        <v>2.1</v>
      </c>
      <c r="I363" s="21">
        <f t="shared" si="12"/>
        <v>984.06000000000006</v>
      </c>
      <c r="J363" s="7" t="s">
        <v>305</v>
      </c>
      <c r="K363" s="17">
        <f t="shared" si="13"/>
        <v>12</v>
      </c>
    </row>
    <row r="364" spans="1:11" x14ac:dyDescent="0.3">
      <c r="A364" s="3">
        <v>46021</v>
      </c>
      <c r="B364" s="3" t="s">
        <v>672</v>
      </c>
      <c r="C364" s="3" t="s">
        <v>20</v>
      </c>
      <c r="D364" s="3" t="s">
        <v>174</v>
      </c>
      <c r="E364" s="4">
        <v>0.8</v>
      </c>
      <c r="F364" s="5">
        <v>2.2999999999999998</v>
      </c>
      <c r="G364" s="6">
        <v>305</v>
      </c>
      <c r="H364" s="30">
        <v>2.1</v>
      </c>
      <c r="I364" s="21">
        <f t="shared" si="12"/>
        <v>1097.376</v>
      </c>
      <c r="J364" s="7" t="s">
        <v>306</v>
      </c>
      <c r="K364" s="17">
        <f t="shared" si="13"/>
        <v>12</v>
      </c>
    </row>
    <row r="365" spans="1:11" x14ac:dyDescent="0.3">
      <c r="A365" s="3">
        <v>46022</v>
      </c>
      <c r="B365" s="3" t="s">
        <v>672</v>
      </c>
      <c r="C365" s="3" t="s">
        <v>5</v>
      </c>
      <c r="D365" s="3" t="s">
        <v>307</v>
      </c>
      <c r="E365" s="4">
        <v>0.98</v>
      </c>
      <c r="F365" s="5">
        <v>2.85</v>
      </c>
      <c r="G365" s="6">
        <v>305</v>
      </c>
      <c r="H365" s="30">
        <v>2.1</v>
      </c>
      <c r="I365" s="21">
        <f t="shared" si="12"/>
        <v>1665.7452000000001</v>
      </c>
      <c r="J365" s="7" t="s">
        <v>308</v>
      </c>
      <c r="K365" s="17">
        <f t="shared" si="13"/>
        <v>12</v>
      </c>
    </row>
  </sheetData>
  <mergeCells count="1">
    <mergeCell ref="L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7F563-FEBA-47CF-A73E-C584B7E29D80}">
  <dimension ref="A1:Q367"/>
  <sheetViews>
    <sheetView topLeftCell="I1" workbookViewId="0">
      <selection activeCell="O18" sqref="O18"/>
    </sheetView>
  </sheetViews>
  <sheetFormatPr baseColWidth="10" defaultRowHeight="14.4" x14ac:dyDescent="0.3"/>
  <cols>
    <col min="1" max="1" width="18" customWidth="1"/>
    <col min="2" max="2" width="21.21875" customWidth="1"/>
    <col min="4" max="4" width="17.5546875" customWidth="1"/>
    <col min="7" max="7" width="11.21875" customWidth="1"/>
    <col min="10" max="10" width="37.44140625" customWidth="1"/>
    <col min="16" max="16" width="27.33203125" customWidth="1"/>
  </cols>
  <sheetData>
    <row r="1" spans="1:17" ht="35.4" customHeight="1" thickBot="1" x14ac:dyDescent="0.35">
      <c r="A1" s="1" t="s">
        <v>333</v>
      </c>
      <c r="B1" s="1" t="s">
        <v>670</v>
      </c>
      <c r="C1" s="1" t="s">
        <v>0</v>
      </c>
      <c r="D1" s="1" t="s">
        <v>1</v>
      </c>
      <c r="E1" s="1" t="s">
        <v>2</v>
      </c>
      <c r="F1" s="2" t="s">
        <v>3</v>
      </c>
      <c r="G1" s="23" t="s">
        <v>359</v>
      </c>
      <c r="H1" s="23" t="s">
        <v>360</v>
      </c>
      <c r="I1" s="23" t="s">
        <v>361</v>
      </c>
      <c r="J1" s="29" t="s">
        <v>4</v>
      </c>
      <c r="K1">
        <f>RSQ(I:I,E:E)</f>
        <v>0.40662961583270263</v>
      </c>
      <c r="L1" s="61" t="s">
        <v>309</v>
      </c>
      <c r="M1" s="61"/>
      <c r="N1" s="61"/>
      <c r="Q1" s="46">
        <f>I2*0.054</f>
        <v>97.034976</v>
      </c>
    </row>
    <row r="2" spans="1:17" ht="13.95" customHeight="1" thickTop="1" thickBot="1" x14ac:dyDescent="0.35">
      <c r="A2" s="3">
        <v>46023</v>
      </c>
      <c r="B2" s="19" t="s">
        <v>523</v>
      </c>
      <c r="C2" s="19" t="s">
        <v>8</v>
      </c>
      <c r="D2" s="19" t="s">
        <v>344</v>
      </c>
      <c r="E2" s="4">
        <v>0.95</v>
      </c>
      <c r="F2" s="5">
        <v>3.2</v>
      </c>
      <c r="G2" s="6">
        <v>257</v>
      </c>
      <c r="H2" s="30">
        <v>2.2999999999999998</v>
      </c>
      <c r="I2" s="21">
        <f>(G2*E2)*H2*F2</f>
        <v>1796.944</v>
      </c>
      <c r="J2" s="7" t="s">
        <v>345</v>
      </c>
      <c r="K2" s="17">
        <f t="shared" ref="K2:K16" si="0">MONTH(A2)</f>
        <v>1</v>
      </c>
      <c r="L2" s="13" t="s">
        <v>313</v>
      </c>
      <c r="M2" s="14">
        <f t="shared" ref="M2:M13" si="1">SUMIFS(I:I,K:K,O2)</f>
        <v>27506.188289999998</v>
      </c>
      <c r="N2" s="15">
        <f>M2*0.054</f>
        <v>1485.3341676599998</v>
      </c>
      <c r="O2">
        <v>1</v>
      </c>
      <c r="P2" t="s">
        <v>313</v>
      </c>
      <c r="Q2" s="46">
        <f>I3*0.054</f>
        <v>38.383078499999996</v>
      </c>
    </row>
    <row r="3" spans="1:17" ht="13.95" customHeight="1" thickTop="1" thickBot="1" x14ac:dyDescent="0.35">
      <c r="A3" s="3">
        <v>46024</v>
      </c>
      <c r="B3" s="19" t="s">
        <v>523</v>
      </c>
      <c r="C3" s="19" t="s">
        <v>11</v>
      </c>
      <c r="D3" s="19" t="s">
        <v>9</v>
      </c>
      <c r="E3" s="4">
        <v>0.65</v>
      </c>
      <c r="F3" s="5">
        <v>1.85</v>
      </c>
      <c r="G3" s="6">
        <v>257</v>
      </c>
      <c r="H3" s="30">
        <v>2.2999999999999998</v>
      </c>
      <c r="I3" s="21">
        <f>(G3*E3)*H3*F3</f>
        <v>710.79774999999995</v>
      </c>
      <c r="J3" s="7" t="s">
        <v>346</v>
      </c>
      <c r="K3" s="17">
        <f t="shared" si="0"/>
        <v>1</v>
      </c>
      <c r="L3" s="13" t="s">
        <v>314</v>
      </c>
      <c r="M3" s="14">
        <f t="shared" si="1"/>
        <v>25682.171910000001</v>
      </c>
      <c r="N3" s="15">
        <f t="shared" ref="N3:N13" si="2">M3*0.054</f>
        <v>1386.83728314</v>
      </c>
      <c r="O3">
        <v>2</v>
      </c>
      <c r="P3" t="s">
        <v>314</v>
      </c>
      <c r="Q3" s="46">
        <f t="shared" ref="Q2:Q65" si="3">I4*0.054</f>
        <v>31.600206000000004</v>
      </c>
    </row>
    <row r="4" spans="1:17" ht="13.95" customHeight="1" thickTop="1" thickBot="1" x14ac:dyDescent="0.35">
      <c r="A4" s="3">
        <v>46025</v>
      </c>
      <c r="B4" s="19" t="s">
        <v>523</v>
      </c>
      <c r="C4" s="19" t="s">
        <v>13</v>
      </c>
      <c r="D4" s="19" t="s">
        <v>14</v>
      </c>
      <c r="E4" s="4">
        <v>0.55000000000000004</v>
      </c>
      <c r="F4" s="5">
        <v>1.8</v>
      </c>
      <c r="G4" s="6">
        <v>257</v>
      </c>
      <c r="H4" s="30">
        <v>2.2999999999999998</v>
      </c>
      <c r="I4" s="21">
        <f t="shared" ref="I4:I67" si="4">(G4*E4)*H4*F4</f>
        <v>585.18900000000008</v>
      </c>
      <c r="J4" s="7" t="s">
        <v>347</v>
      </c>
      <c r="K4" s="17">
        <f t="shared" si="0"/>
        <v>1</v>
      </c>
      <c r="L4" s="13" t="s">
        <v>315</v>
      </c>
      <c r="M4" s="14">
        <f t="shared" si="1"/>
        <v>26374.586449999992</v>
      </c>
      <c r="N4" s="15">
        <f t="shared" si="2"/>
        <v>1424.2276682999996</v>
      </c>
      <c r="O4">
        <v>3</v>
      </c>
      <c r="P4" t="s">
        <v>315</v>
      </c>
      <c r="Q4" s="46">
        <f t="shared" si="3"/>
        <v>41.176025999999993</v>
      </c>
    </row>
    <row r="5" spans="1:17" ht="13.95" customHeight="1" thickTop="1" thickBot="1" x14ac:dyDescent="0.35">
      <c r="A5" s="3">
        <v>46026</v>
      </c>
      <c r="B5" s="19" t="s">
        <v>523</v>
      </c>
      <c r="C5" s="19" t="s">
        <v>16</v>
      </c>
      <c r="D5" s="19" t="s">
        <v>14</v>
      </c>
      <c r="E5" s="4">
        <v>0.6</v>
      </c>
      <c r="F5" s="5">
        <v>2.15</v>
      </c>
      <c r="G5" s="6">
        <v>257</v>
      </c>
      <c r="H5" s="30">
        <v>2.2999999999999998</v>
      </c>
      <c r="I5" s="21">
        <f t="shared" si="4"/>
        <v>762.51899999999989</v>
      </c>
      <c r="J5" s="7" t="s">
        <v>340</v>
      </c>
      <c r="K5" s="17">
        <f t="shared" si="0"/>
        <v>1</v>
      </c>
      <c r="L5" s="13" t="s">
        <v>316</v>
      </c>
      <c r="M5" s="14">
        <f t="shared" si="1"/>
        <v>27995.146209999992</v>
      </c>
      <c r="N5" s="15">
        <f t="shared" si="2"/>
        <v>1511.7378953399996</v>
      </c>
      <c r="O5">
        <v>4</v>
      </c>
      <c r="P5" t="s">
        <v>316</v>
      </c>
      <c r="Q5" s="46">
        <f t="shared" si="3"/>
        <v>59.848875</v>
      </c>
    </row>
    <row r="6" spans="1:17" ht="13.95" customHeight="1" thickTop="1" thickBot="1" x14ac:dyDescent="0.35">
      <c r="A6" s="3">
        <v>46027</v>
      </c>
      <c r="B6" s="19" t="s">
        <v>523</v>
      </c>
      <c r="C6" s="19" t="s">
        <v>18</v>
      </c>
      <c r="D6" s="19" t="s">
        <v>9</v>
      </c>
      <c r="E6" s="4">
        <v>0.75</v>
      </c>
      <c r="F6" s="5">
        <v>2.5</v>
      </c>
      <c r="G6" s="6">
        <v>257</v>
      </c>
      <c r="H6" s="30">
        <v>2.2999999999999998</v>
      </c>
      <c r="I6" s="21">
        <f t="shared" si="4"/>
        <v>1108.3125</v>
      </c>
      <c r="J6" s="7" t="s">
        <v>290</v>
      </c>
      <c r="K6" s="17">
        <f t="shared" si="0"/>
        <v>1</v>
      </c>
      <c r="L6" s="13" t="s">
        <v>317</v>
      </c>
      <c r="M6" s="14">
        <f t="shared" si="1"/>
        <v>29990.167820000006</v>
      </c>
      <c r="N6" s="15">
        <f t="shared" si="2"/>
        <v>1619.4690622800003</v>
      </c>
      <c r="O6">
        <v>5</v>
      </c>
      <c r="P6" t="s">
        <v>317</v>
      </c>
      <c r="Q6" s="46">
        <f t="shared" si="3"/>
        <v>42.51664079999999</v>
      </c>
    </row>
    <row r="7" spans="1:17" ht="13.95" customHeight="1" thickTop="1" thickBot="1" x14ac:dyDescent="0.35">
      <c r="A7" s="3">
        <v>46028</v>
      </c>
      <c r="B7" s="19" t="s">
        <v>523</v>
      </c>
      <c r="C7" s="19" t="s">
        <v>20</v>
      </c>
      <c r="D7" s="19" t="s">
        <v>9</v>
      </c>
      <c r="E7" s="4">
        <v>0.72</v>
      </c>
      <c r="F7" s="5">
        <v>1.85</v>
      </c>
      <c r="G7" s="6">
        <v>257</v>
      </c>
      <c r="H7" s="30">
        <v>2.2999999999999998</v>
      </c>
      <c r="I7" s="21">
        <f t="shared" si="4"/>
        <v>787.34519999999986</v>
      </c>
      <c r="J7" s="7" t="s">
        <v>348</v>
      </c>
      <c r="K7" s="17">
        <f t="shared" si="0"/>
        <v>1</v>
      </c>
      <c r="L7" s="13" t="s">
        <v>318</v>
      </c>
      <c r="M7" s="14">
        <f t="shared" si="1"/>
        <v>28934.581439999998</v>
      </c>
      <c r="N7" s="15">
        <f t="shared" si="2"/>
        <v>1562.4673977599998</v>
      </c>
      <c r="O7">
        <v>6</v>
      </c>
      <c r="P7" t="s">
        <v>318</v>
      </c>
      <c r="Q7" s="46">
        <f t="shared" si="3"/>
        <v>48.006777599999992</v>
      </c>
    </row>
    <row r="8" spans="1:17" ht="13.95" customHeight="1" thickTop="1" thickBot="1" x14ac:dyDescent="0.35">
      <c r="A8" s="3">
        <v>46029</v>
      </c>
      <c r="B8" s="19" t="s">
        <v>523</v>
      </c>
      <c r="C8" s="19" t="s">
        <v>5</v>
      </c>
      <c r="D8" s="19" t="s">
        <v>9</v>
      </c>
      <c r="E8" s="4">
        <v>0.8</v>
      </c>
      <c r="F8" s="5">
        <v>1.88</v>
      </c>
      <c r="G8" s="6">
        <v>257</v>
      </c>
      <c r="H8" s="30">
        <v>2.2999999999999998</v>
      </c>
      <c r="I8" s="21">
        <f t="shared" si="4"/>
        <v>889.01439999999991</v>
      </c>
      <c r="J8" s="7" t="s">
        <v>336</v>
      </c>
      <c r="K8" s="17">
        <f t="shared" si="0"/>
        <v>1</v>
      </c>
      <c r="L8" s="13" t="s">
        <v>319</v>
      </c>
      <c r="M8" s="14">
        <f t="shared" si="1"/>
        <v>30409.375940000005</v>
      </c>
      <c r="N8" s="15">
        <f t="shared" si="2"/>
        <v>1642.1063007600003</v>
      </c>
      <c r="O8">
        <v>7</v>
      </c>
      <c r="P8" t="s">
        <v>319</v>
      </c>
      <c r="Q8" s="46">
        <f t="shared" si="3"/>
        <v>46.059694200000003</v>
      </c>
    </row>
    <row r="9" spans="1:17" ht="13.95" customHeight="1" thickTop="1" thickBot="1" x14ac:dyDescent="0.35">
      <c r="A9" s="3">
        <v>46030</v>
      </c>
      <c r="B9" s="19" t="s">
        <v>523</v>
      </c>
      <c r="C9" s="19" t="s">
        <v>8</v>
      </c>
      <c r="D9" s="19" t="s">
        <v>9</v>
      </c>
      <c r="E9" s="4">
        <v>0.78</v>
      </c>
      <c r="F9" s="5">
        <v>1.85</v>
      </c>
      <c r="G9" s="6">
        <v>257</v>
      </c>
      <c r="H9" s="30">
        <v>2.2999999999999998</v>
      </c>
      <c r="I9" s="21">
        <f t="shared" si="4"/>
        <v>852.95730000000003</v>
      </c>
      <c r="J9" s="7" t="s">
        <v>142</v>
      </c>
      <c r="K9" s="17">
        <f t="shared" si="0"/>
        <v>1</v>
      </c>
      <c r="L9" s="13" t="s">
        <v>320</v>
      </c>
      <c r="M9" s="14">
        <f t="shared" si="1"/>
        <v>32168.962419999993</v>
      </c>
      <c r="N9" s="15">
        <f t="shared" si="2"/>
        <v>1737.1239706799995</v>
      </c>
      <c r="O9">
        <v>8</v>
      </c>
      <c r="P9" t="s">
        <v>320</v>
      </c>
      <c r="Q9" s="46">
        <f t="shared" si="3"/>
        <v>43.569980999999999</v>
      </c>
    </row>
    <row r="10" spans="1:17" ht="13.95" customHeight="1" thickTop="1" thickBot="1" x14ac:dyDescent="0.35">
      <c r="A10" s="3">
        <v>46031</v>
      </c>
      <c r="B10" s="19" t="s">
        <v>523</v>
      </c>
      <c r="C10" s="19" t="s">
        <v>11</v>
      </c>
      <c r="D10" s="19" t="s">
        <v>9</v>
      </c>
      <c r="E10" s="4">
        <v>0.75</v>
      </c>
      <c r="F10" s="5">
        <v>1.82</v>
      </c>
      <c r="G10" s="6">
        <v>257</v>
      </c>
      <c r="H10" s="30">
        <v>2.2999999999999998</v>
      </c>
      <c r="I10" s="21">
        <f t="shared" si="4"/>
        <v>806.85149999999999</v>
      </c>
      <c r="J10" s="7" t="s">
        <v>341</v>
      </c>
      <c r="K10" s="17">
        <f t="shared" si="0"/>
        <v>1</v>
      </c>
      <c r="L10" s="13" t="s">
        <v>321</v>
      </c>
      <c r="M10" s="14">
        <f t="shared" si="1"/>
        <v>27453.81683</v>
      </c>
      <c r="N10" s="15">
        <f t="shared" si="2"/>
        <v>1482.50610882</v>
      </c>
      <c r="O10">
        <v>9</v>
      </c>
      <c r="P10" t="s">
        <v>321</v>
      </c>
      <c r="Q10" s="46">
        <f t="shared" si="3"/>
        <v>39.069345600000005</v>
      </c>
    </row>
    <row r="11" spans="1:17" ht="13.95" customHeight="1" thickTop="1" thickBot="1" x14ac:dyDescent="0.35">
      <c r="A11" s="3">
        <v>46032</v>
      </c>
      <c r="B11" s="19" t="s">
        <v>523</v>
      </c>
      <c r="C11" s="19" t="s">
        <v>13</v>
      </c>
      <c r="D11" s="19" t="s">
        <v>14</v>
      </c>
      <c r="E11" s="4">
        <v>0.68</v>
      </c>
      <c r="F11" s="5">
        <v>1.8</v>
      </c>
      <c r="G11" s="6">
        <v>257</v>
      </c>
      <c r="H11" s="30">
        <v>2.2999999999999998</v>
      </c>
      <c r="I11" s="21">
        <f t="shared" si="4"/>
        <v>723.5064000000001</v>
      </c>
      <c r="J11" s="7" t="s">
        <v>349</v>
      </c>
      <c r="K11" s="17">
        <f t="shared" si="0"/>
        <v>1</v>
      </c>
      <c r="L11" s="13" t="s">
        <v>322</v>
      </c>
      <c r="M11" s="14">
        <f t="shared" si="1"/>
        <v>29443.045659999996</v>
      </c>
      <c r="N11" s="15">
        <f t="shared" si="2"/>
        <v>1589.9244656399999</v>
      </c>
      <c r="O11">
        <v>10</v>
      </c>
      <c r="P11" t="s">
        <v>322</v>
      </c>
      <c r="Q11" s="46">
        <f t="shared" si="3"/>
        <v>43.538061599999999</v>
      </c>
    </row>
    <row r="12" spans="1:17" ht="13.95" customHeight="1" thickTop="1" thickBot="1" x14ac:dyDescent="0.35">
      <c r="A12" s="3">
        <v>46033</v>
      </c>
      <c r="B12" s="19" t="s">
        <v>523</v>
      </c>
      <c r="C12" s="19" t="s">
        <v>16</v>
      </c>
      <c r="D12" s="19" t="s">
        <v>14</v>
      </c>
      <c r="E12" s="4">
        <v>0.62</v>
      </c>
      <c r="F12" s="5">
        <v>2.2000000000000002</v>
      </c>
      <c r="G12" s="6">
        <v>257</v>
      </c>
      <c r="H12" s="30">
        <v>2.2999999999999998</v>
      </c>
      <c r="I12" s="21">
        <f t="shared" si="4"/>
        <v>806.2604</v>
      </c>
      <c r="J12" s="7" t="s">
        <v>238</v>
      </c>
      <c r="K12" s="17">
        <f t="shared" si="0"/>
        <v>1</v>
      </c>
      <c r="L12" s="13" t="s">
        <v>323</v>
      </c>
      <c r="M12" s="14">
        <f t="shared" si="1"/>
        <v>29329.022470000004</v>
      </c>
      <c r="N12" s="15">
        <f t="shared" si="2"/>
        <v>1583.7672133800002</v>
      </c>
      <c r="O12">
        <v>11</v>
      </c>
      <c r="P12" t="s">
        <v>323</v>
      </c>
      <c r="Q12" s="46">
        <f t="shared" si="3"/>
        <v>63.487686599999996</v>
      </c>
    </row>
    <row r="13" spans="1:17" ht="13.95" customHeight="1" thickTop="1" thickBot="1" x14ac:dyDescent="0.35">
      <c r="A13" s="3">
        <v>46034</v>
      </c>
      <c r="B13" s="19" t="s">
        <v>523</v>
      </c>
      <c r="C13" s="19" t="s">
        <v>18</v>
      </c>
      <c r="D13" s="19" t="s">
        <v>9</v>
      </c>
      <c r="E13" s="4">
        <v>0.78</v>
      </c>
      <c r="F13" s="5">
        <v>2.5499999999999998</v>
      </c>
      <c r="G13" s="6">
        <v>257</v>
      </c>
      <c r="H13" s="30">
        <v>2.2999999999999998</v>
      </c>
      <c r="I13" s="21">
        <f t="shared" si="4"/>
        <v>1175.6978999999999</v>
      </c>
      <c r="J13" s="7" t="s">
        <v>257</v>
      </c>
      <c r="K13" s="17">
        <f t="shared" si="0"/>
        <v>1</v>
      </c>
      <c r="L13" s="13" t="s">
        <v>324</v>
      </c>
      <c r="M13" s="14">
        <f t="shared" si="1"/>
        <v>32018.704799999996</v>
      </c>
      <c r="N13" s="15">
        <f t="shared" si="2"/>
        <v>1729.0100591999997</v>
      </c>
      <c r="O13">
        <v>12</v>
      </c>
      <c r="P13" t="s">
        <v>324</v>
      </c>
      <c r="Q13" s="46">
        <f t="shared" si="3"/>
        <v>44.2881675</v>
      </c>
    </row>
    <row r="14" spans="1:17" ht="13.95" customHeight="1" thickTop="1" thickBot="1" x14ac:dyDescent="0.4">
      <c r="A14" s="3">
        <v>46035</v>
      </c>
      <c r="B14" s="19" t="s">
        <v>523</v>
      </c>
      <c r="C14" s="19" t="s">
        <v>20</v>
      </c>
      <c r="D14" s="19" t="s">
        <v>9</v>
      </c>
      <c r="E14" s="4">
        <v>0.75</v>
      </c>
      <c r="F14" s="5">
        <v>1.85</v>
      </c>
      <c r="G14" s="6">
        <v>257</v>
      </c>
      <c r="H14" s="30">
        <v>2.2999999999999998</v>
      </c>
      <c r="I14" s="21">
        <f t="shared" si="4"/>
        <v>820.15125</v>
      </c>
      <c r="J14" s="7" t="s">
        <v>337</v>
      </c>
      <c r="K14" s="17">
        <f t="shared" si="0"/>
        <v>1</v>
      </c>
      <c r="L14" s="10" t="s">
        <v>325</v>
      </c>
      <c r="M14" s="16">
        <f>SUM(M2:M13)</f>
        <v>347305.77023999998</v>
      </c>
      <c r="N14" s="16">
        <f>SUM(N2:N13)</f>
        <v>18754.511592959996</v>
      </c>
      <c r="Q14" s="46">
        <f t="shared" si="3"/>
        <v>36.388115999999997</v>
      </c>
    </row>
    <row r="15" spans="1:17" ht="13.95" customHeight="1" thickTop="1" x14ac:dyDescent="0.3">
      <c r="A15" s="3">
        <v>46036</v>
      </c>
      <c r="B15" s="19" t="s">
        <v>523</v>
      </c>
      <c r="C15" s="19" t="s">
        <v>5</v>
      </c>
      <c r="D15" s="19" t="s">
        <v>350</v>
      </c>
      <c r="E15" s="4">
        <v>0.6</v>
      </c>
      <c r="F15" s="5">
        <v>1.9</v>
      </c>
      <c r="G15" s="6">
        <v>257</v>
      </c>
      <c r="H15" s="30">
        <v>2.2999999999999998</v>
      </c>
      <c r="I15" s="21">
        <f t="shared" si="4"/>
        <v>673.85399999999993</v>
      </c>
      <c r="J15" s="7" t="s">
        <v>351</v>
      </c>
      <c r="K15" s="17">
        <f t="shared" si="0"/>
        <v>1</v>
      </c>
      <c r="Q15" s="46">
        <f t="shared" si="3"/>
        <v>46.308665520000005</v>
      </c>
    </row>
    <row r="16" spans="1:17" ht="13.95" customHeight="1" x14ac:dyDescent="0.3">
      <c r="A16" s="3">
        <v>46037</v>
      </c>
      <c r="B16" s="19" t="s">
        <v>523</v>
      </c>
      <c r="C16" s="19" t="s">
        <v>8</v>
      </c>
      <c r="D16" s="19" t="s">
        <v>9</v>
      </c>
      <c r="E16" s="4">
        <v>0.78</v>
      </c>
      <c r="F16" s="5">
        <v>1.86</v>
      </c>
      <c r="G16" s="6">
        <v>257</v>
      </c>
      <c r="H16" s="30">
        <v>2.2999999999999998</v>
      </c>
      <c r="I16" s="21">
        <f t="shared" si="4"/>
        <v>857.56788000000006</v>
      </c>
      <c r="J16" s="7" t="s">
        <v>338</v>
      </c>
      <c r="K16" s="17">
        <f t="shared" si="0"/>
        <v>1</v>
      </c>
      <c r="Q16" s="46">
        <f t="shared" si="3"/>
        <v>44.150914079999993</v>
      </c>
    </row>
    <row r="17" spans="1:17" ht="13.95" customHeight="1" x14ac:dyDescent="0.3">
      <c r="A17" s="3">
        <v>46038</v>
      </c>
      <c r="B17" s="19" t="s">
        <v>523</v>
      </c>
      <c r="C17" s="19" t="s">
        <v>11</v>
      </c>
      <c r="D17" s="19" t="s">
        <v>9</v>
      </c>
      <c r="E17" s="4">
        <v>0.76</v>
      </c>
      <c r="F17" s="5">
        <v>1.82</v>
      </c>
      <c r="G17" s="6">
        <v>257</v>
      </c>
      <c r="H17" s="30">
        <v>2.2999999999999998</v>
      </c>
      <c r="I17" s="21">
        <f t="shared" si="4"/>
        <v>817.60951999999986</v>
      </c>
      <c r="J17" s="7" t="s">
        <v>352</v>
      </c>
      <c r="K17" s="17">
        <f t="shared" ref="K17:K80" si="5">MONTH(A17)</f>
        <v>1</v>
      </c>
      <c r="Q17" s="46">
        <f t="shared" si="3"/>
        <v>40.218443999999991</v>
      </c>
    </row>
    <row r="18" spans="1:17" ht="13.95" customHeight="1" x14ac:dyDescent="0.3">
      <c r="A18" s="3">
        <v>46039</v>
      </c>
      <c r="B18" s="19" t="s">
        <v>523</v>
      </c>
      <c r="C18" s="19" t="s">
        <v>13</v>
      </c>
      <c r="D18" s="19" t="s">
        <v>14</v>
      </c>
      <c r="E18" s="4">
        <v>0.7</v>
      </c>
      <c r="F18" s="5">
        <v>1.8</v>
      </c>
      <c r="G18" s="6">
        <v>257</v>
      </c>
      <c r="H18" s="30">
        <v>2.2999999999999998</v>
      </c>
      <c r="I18" s="21">
        <f t="shared" si="4"/>
        <v>744.78599999999983</v>
      </c>
      <c r="J18" s="7" t="s">
        <v>353</v>
      </c>
      <c r="K18" s="17">
        <f t="shared" si="5"/>
        <v>1</v>
      </c>
      <c r="L18">
        <f t="shared" ref="L18:L19" si="6">I3*0.054</f>
        <v>38.383078499999996</v>
      </c>
      <c r="Q18" s="46">
        <f t="shared" si="3"/>
        <v>46.682122499999998</v>
      </c>
    </row>
    <row r="19" spans="1:17" ht="13.95" customHeight="1" x14ac:dyDescent="0.3">
      <c r="A19" s="3">
        <v>46040</v>
      </c>
      <c r="B19" s="19" t="s">
        <v>523</v>
      </c>
      <c r="C19" s="19" t="s">
        <v>16</v>
      </c>
      <c r="D19" s="19" t="s">
        <v>14</v>
      </c>
      <c r="E19" s="4">
        <v>0.65</v>
      </c>
      <c r="F19" s="5">
        <v>2.25</v>
      </c>
      <c r="G19" s="6">
        <v>257</v>
      </c>
      <c r="H19" s="30">
        <v>2.2999999999999998</v>
      </c>
      <c r="I19" s="21">
        <f t="shared" si="4"/>
        <v>864.48374999999999</v>
      </c>
      <c r="J19" s="7" t="s">
        <v>69</v>
      </c>
      <c r="K19" s="17">
        <f t="shared" si="5"/>
        <v>1</v>
      </c>
      <c r="L19">
        <f t="shared" si="6"/>
        <v>31.600206000000004</v>
      </c>
      <c r="Q19" s="46">
        <f t="shared" si="3"/>
        <v>65.11557599999999</v>
      </c>
    </row>
    <row r="20" spans="1:17" ht="13.95" customHeight="1" x14ac:dyDescent="0.3">
      <c r="A20" s="3">
        <v>46041</v>
      </c>
      <c r="B20" s="19" t="s">
        <v>523</v>
      </c>
      <c r="C20" s="19" t="s">
        <v>18</v>
      </c>
      <c r="D20" s="19" t="s">
        <v>9</v>
      </c>
      <c r="E20" s="4">
        <v>0.8</v>
      </c>
      <c r="F20" s="5">
        <v>2.5499999999999998</v>
      </c>
      <c r="G20" s="6">
        <v>257</v>
      </c>
      <c r="H20" s="30">
        <v>2.2999999999999998</v>
      </c>
      <c r="I20" s="21">
        <f t="shared" si="4"/>
        <v>1205.8439999999998</v>
      </c>
      <c r="J20" s="7" t="s">
        <v>65</v>
      </c>
      <c r="K20" s="17">
        <f t="shared" si="5"/>
        <v>1</v>
      </c>
      <c r="Q20" s="46">
        <f t="shared" si="3"/>
        <v>46.059694200000003</v>
      </c>
    </row>
    <row r="21" spans="1:17" ht="13.95" customHeight="1" x14ac:dyDescent="0.3">
      <c r="A21" s="3">
        <v>46042</v>
      </c>
      <c r="B21" s="19" t="s">
        <v>523</v>
      </c>
      <c r="C21" s="19" t="s">
        <v>20</v>
      </c>
      <c r="D21" s="19" t="s">
        <v>9</v>
      </c>
      <c r="E21" s="4">
        <v>0.78</v>
      </c>
      <c r="F21" s="5">
        <v>1.85</v>
      </c>
      <c r="G21" s="6">
        <v>257</v>
      </c>
      <c r="H21" s="30">
        <v>2.2999999999999998</v>
      </c>
      <c r="I21" s="21">
        <f t="shared" si="4"/>
        <v>852.95730000000003</v>
      </c>
      <c r="J21" s="7" t="s">
        <v>65</v>
      </c>
      <c r="K21" s="17">
        <f t="shared" si="5"/>
        <v>1</v>
      </c>
      <c r="Q21" s="46">
        <f t="shared" si="3"/>
        <v>51.00720119999999</v>
      </c>
    </row>
    <row r="22" spans="1:17" ht="13.95" customHeight="1" x14ac:dyDescent="0.3">
      <c r="A22" s="3">
        <v>46043</v>
      </c>
      <c r="B22" s="19" t="s">
        <v>523</v>
      </c>
      <c r="C22" s="19" t="s">
        <v>5</v>
      </c>
      <c r="D22" s="19" t="s">
        <v>9</v>
      </c>
      <c r="E22" s="4">
        <v>0.85</v>
      </c>
      <c r="F22" s="5">
        <v>1.88</v>
      </c>
      <c r="G22" s="6">
        <v>257</v>
      </c>
      <c r="H22" s="30">
        <v>2.2999999999999998</v>
      </c>
      <c r="I22" s="21">
        <f t="shared" si="4"/>
        <v>944.5777999999998</v>
      </c>
      <c r="J22" s="7" t="s">
        <v>354</v>
      </c>
      <c r="K22" s="17">
        <f t="shared" si="5"/>
        <v>1</v>
      </c>
      <c r="Q22" s="46">
        <f t="shared" si="3"/>
        <v>48.68346888</v>
      </c>
    </row>
    <row r="23" spans="1:17" ht="13.95" customHeight="1" x14ac:dyDescent="0.3">
      <c r="A23" s="3">
        <v>46044</v>
      </c>
      <c r="B23" s="19" t="s">
        <v>523</v>
      </c>
      <c r="C23" s="19" t="s">
        <v>8</v>
      </c>
      <c r="D23" s="19" t="s">
        <v>9</v>
      </c>
      <c r="E23" s="4">
        <v>0.82</v>
      </c>
      <c r="F23" s="5">
        <v>1.86</v>
      </c>
      <c r="G23" s="6">
        <v>257</v>
      </c>
      <c r="H23" s="30">
        <v>2.2999999999999998</v>
      </c>
      <c r="I23" s="21">
        <f t="shared" si="4"/>
        <v>901.54571999999996</v>
      </c>
      <c r="J23" s="7" t="s">
        <v>143</v>
      </c>
      <c r="K23" s="17">
        <f t="shared" si="5"/>
        <v>1</v>
      </c>
      <c r="Q23" s="46">
        <f t="shared" si="3"/>
        <v>45.312780240000002</v>
      </c>
    </row>
    <row r="24" spans="1:17" ht="13.95" customHeight="1" x14ac:dyDescent="0.3">
      <c r="A24" s="3">
        <v>46045</v>
      </c>
      <c r="B24" s="19" t="s">
        <v>523</v>
      </c>
      <c r="C24" s="19" t="s">
        <v>11</v>
      </c>
      <c r="D24" s="19" t="s">
        <v>9</v>
      </c>
      <c r="E24" s="4">
        <v>0.78</v>
      </c>
      <c r="F24" s="5">
        <v>1.82</v>
      </c>
      <c r="G24" s="6">
        <v>257</v>
      </c>
      <c r="H24" s="30">
        <v>2.2999999999999998</v>
      </c>
      <c r="I24" s="21">
        <f t="shared" si="4"/>
        <v>839.12556000000006</v>
      </c>
      <c r="J24" s="7" t="s">
        <v>67</v>
      </c>
      <c r="K24" s="17">
        <f t="shared" si="5"/>
        <v>1</v>
      </c>
      <c r="Q24" s="46">
        <f t="shared" si="3"/>
        <v>40.218443999999991</v>
      </c>
    </row>
    <row r="25" spans="1:17" ht="13.95" customHeight="1" x14ac:dyDescent="0.3">
      <c r="A25" s="3">
        <v>46046</v>
      </c>
      <c r="B25" s="19" t="s">
        <v>523</v>
      </c>
      <c r="C25" s="19" t="s">
        <v>13</v>
      </c>
      <c r="D25" s="19" t="s">
        <v>14</v>
      </c>
      <c r="E25" s="4">
        <v>0.7</v>
      </c>
      <c r="F25" s="5">
        <v>1.8</v>
      </c>
      <c r="G25" s="6">
        <v>257</v>
      </c>
      <c r="H25" s="30">
        <v>2.2999999999999998</v>
      </c>
      <c r="I25" s="21">
        <f t="shared" si="4"/>
        <v>744.78599999999983</v>
      </c>
      <c r="J25" s="7" t="s">
        <v>355</v>
      </c>
      <c r="K25" s="17">
        <f t="shared" si="5"/>
        <v>1</v>
      </c>
      <c r="Q25" s="46">
        <f t="shared" si="3"/>
        <v>44.527562999999994</v>
      </c>
    </row>
    <row r="26" spans="1:17" ht="13.95" customHeight="1" x14ac:dyDescent="0.3">
      <c r="A26" s="3">
        <v>46047</v>
      </c>
      <c r="B26" s="19" t="s">
        <v>523</v>
      </c>
      <c r="C26" s="19" t="s">
        <v>16</v>
      </c>
      <c r="D26" s="19" t="s">
        <v>14</v>
      </c>
      <c r="E26" s="4">
        <v>0.62</v>
      </c>
      <c r="F26" s="5">
        <v>2.25</v>
      </c>
      <c r="G26" s="6">
        <v>257</v>
      </c>
      <c r="H26" s="30">
        <v>2.2999999999999998</v>
      </c>
      <c r="I26" s="21">
        <f t="shared" si="4"/>
        <v>824.58449999999993</v>
      </c>
      <c r="J26" s="7" t="s">
        <v>69</v>
      </c>
      <c r="K26" s="17">
        <f t="shared" si="5"/>
        <v>1</v>
      </c>
      <c r="Q26" s="46">
        <f t="shared" si="3"/>
        <v>67.528682639999985</v>
      </c>
    </row>
    <row r="27" spans="1:17" ht="13.95" customHeight="1" x14ac:dyDescent="0.3">
      <c r="A27" s="3">
        <v>46048</v>
      </c>
      <c r="B27" s="19" t="s">
        <v>523</v>
      </c>
      <c r="C27" s="19" t="s">
        <v>18</v>
      </c>
      <c r="D27" s="19" t="s">
        <v>9</v>
      </c>
      <c r="E27" s="4">
        <v>0.82</v>
      </c>
      <c r="F27" s="5">
        <v>2.58</v>
      </c>
      <c r="G27" s="6">
        <v>257</v>
      </c>
      <c r="H27" s="30">
        <v>2.2999999999999998</v>
      </c>
      <c r="I27" s="21">
        <f t="shared" si="4"/>
        <v>1250.5311599999998</v>
      </c>
      <c r="J27" s="7" t="s">
        <v>356</v>
      </c>
      <c r="K27" s="17">
        <f t="shared" si="5"/>
        <v>1</v>
      </c>
      <c r="Q27" s="46">
        <f t="shared" si="3"/>
        <v>46.059694200000003</v>
      </c>
    </row>
    <row r="28" spans="1:17" ht="13.95" customHeight="1" x14ac:dyDescent="0.3">
      <c r="A28" s="3">
        <v>46049</v>
      </c>
      <c r="B28" s="19" t="s">
        <v>523</v>
      </c>
      <c r="C28" s="19" t="s">
        <v>20</v>
      </c>
      <c r="D28" s="19" t="s">
        <v>9</v>
      </c>
      <c r="E28" s="4">
        <v>0.78</v>
      </c>
      <c r="F28" s="5">
        <v>1.85</v>
      </c>
      <c r="G28" s="6">
        <v>257</v>
      </c>
      <c r="H28" s="30">
        <v>2.2999999999999998</v>
      </c>
      <c r="I28" s="21">
        <f t="shared" si="4"/>
        <v>852.95730000000003</v>
      </c>
      <c r="J28" s="7" t="s">
        <v>286</v>
      </c>
      <c r="K28" s="17">
        <f t="shared" si="5"/>
        <v>1</v>
      </c>
      <c r="Q28" s="46">
        <f t="shared" si="3"/>
        <v>47.496067200000006</v>
      </c>
    </row>
    <row r="29" spans="1:17" ht="13.95" customHeight="1" x14ac:dyDescent="0.3">
      <c r="A29" s="3">
        <v>46050</v>
      </c>
      <c r="B29" s="19" t="s">
        <v>523</v>
      </c>
      <c r="C29" s="19" t="s">
        <v>5</v>
      </c>
      <c r="D29" s="19" t="s">
        <v>9</v>
      </c>
      <c r="E29" s="4">
        <v>0.8</v>
      </c>
      <c r="F29" s="5">
        <v>1.86</v>
      </c>
      <c r="G29" s="6">
        <v>257</v>
      </c>
      <c r="H29" s="30">
        <v>2.2999999999999998</v>
      </c>
      <c r="I29" s="21">
        <f t="shared" si="4"/>
        <v>879.55680000000007</v>
      </c>
      <c r="J29" s="7" t="s">
        <v>286</v>
      </c>
      <c r="K29" s="17">
        <f t="shared" si="5"/>
        <v>1</v>
      </c>
      <c r="Q29" s="46">
        <f t="shared" si="3"/>
        <v>46.059694200000003</v>
      </c>
    </row>
    <row r="30" spans="1:17" ht="13.95" customHeight="1" x14ac:dyDescent="0.3">
      <c r="A30" s="3">
        <v>46051</v>
      </c>
      <c r="B30" s="19" t="s">
        <v>523</v>
      </c>
      <c r="C30" s="19" t="s">
        <v>8</v>
      </c>
      <c r="D30" s="19" t="s">
        <v>9</v>
      </c>
      <c r="E30" s="4">
        <v>0.78</v>
      </c>
      <c r="F30" s="5">
        <v>1.85</v>
      </c>
      <c r="G30" s="6">
        <v>257</v>
      </c>
      <c r="H30" s="30">
        <v>2.2999999999999998</v>
      </c>
      <c r="I30" s="21">
        <f t="shared" si="4"/>
        <v>852.95730000000003</v>
      </c>
      <c r="J30" s="7" t="s">
        <v>152</v>
      </c>
      <c r="K30" s="17">
        <f t="shared" si="5"/>
        <v>1</v>
      </c>
      <c r="Q30" s="46">
        <f t="shared" si="3"/>
        <v>43.569980999999999</v>
      </c>
    </row>
    <row r="31" spans="1:17" ht="13.95" customHeight="1" x14ac:dyDescent="0.3">
      <c r="A31" s="3">
        <v>46052</v>
      </c>
      <c r="B31" s="19" t="s">
        <v>523</v>
      </c>
      <c r="C31" s="19" t="s">
        <v>11</v>
      </c>
      <c r="D31" s="19" t="s">
        <v>9</v>
      </c>
      <c r="E31" s="4">
        <v>0.75</v>
      </c>
      <c r="F31" s="5">
        <v>1.82</v>
      </c>
      <c r="G31" s="6">
        <v>257</v>
      </c>
      <c r="H31" s="30">
        <v>2.2999999999999998</v>
      </c>
      <c r="I31" s="21">
        <f t="shared" si="4"/>
        <v>806.85149999999999</v>
      </c>
      <c r="J31" s="7" t="s">
        <v>357</v>
      </c>
      <c r="K31" s="17">
        <f t="shared" si="5"/>
        <v>1</v>
      </c>
      <c r="Q31" s="46">
        <f t="shared" si="3"/>
        <v>41.367542399999998</v>
      </c>
    </row>
    <row r="32" spans="1:17" ht="13.95" customHeight="1" x14ac:dyDescent="0.3">
      <c r="A32" s="3">
        <v>46053</v>
      </c>
      <c r="B32" s="19" t="s">
        <v>523</v>
      </c>
      <c r="C32" s="19" t="s">
        <v>13</v>
      </c>
      <c r="D32" s="19" t="s">
        <v>14</v>
      </c>
      <c r="E32" s="4">
        <v>0.72</v>
      </c>
      <c r="F32" s="5">
        <v>1.8</v>
      </c>
      <c r="G32" s="6">
        <v>257</v>
      </c>
      <c r="H32" s="30">
        <v>2.2999999999999998</v>
      </c>
      <c r="I32" s="21">
        <f t="shared" si="4"/>
        <v>766.0655999999999</v>
      </c>
      <c r="J32" s="7" t="s">
        <v>358</v>
      </c>
      <c r="K32" s="17">
        <f t="shared" si="5"/>
        <v>1</v>
      </c>
      <c r="Q32" s="46">
        <f t="shared" si="3"/>
        <v>46.682122499999998</v>
      </c>
    </row>
    <row r="33" spans="1:17" ht="13.95" customHeight="1" x14ac:dyDescent="0.3">
      <c r="A33" s="3">
        <v>46054</v>
      </c>
      <c r="B33" s="19" t="s">
        <v>523</v>
      </c>
      <c r="C33" s="19" t="s">
        <v>16</v>
      </c>
      <c r="D33" s="19" t="s">
        <v>14</v>
      </c>
      <c r="E33" s="4">
        <v>0.65</v>
      </c>
      <c r="F33" s="5">
        <v>2.25</v>
      </c>
      <c r="G33" s="6">
        <v>257</v>
      </c>
      <c r="H33" s="30">
        <v>2.2999999999999998</v>
      </c>
      <c r="I33" s="21">
        <f t="shared" si="4"/>
        <v>864.48374999999999</v>
      </c>
      <c r="J33" s="7" t="s">
        <v>238</v>
      </c>
      <c r="K33" s="17">
        <f t="shared" si="5"/>
        <v>2</v>
      </c>
      <c r="Q33" s="46">
        <f t="shared" si="3"/>
        <v>63.487686599999996</v>
      </c>
    </row>
    <row r="34" spans="1:17" ht="13.95" customHeight="1" x14ac:dyDescent="0.3">
      <c r="A34" s="3">
        <v>46055</v>
      </c>
      <c r="B34" s="19" t="s">
        <v>523</v>
      </c>
      <c r="C34" s="19" t="s">
        <v>18</v>
      </c>
      <c r="D34" s="19" t="s">
        <v>9</v>
      </c>
      <c r="E34" s="4">
        <v>0.78</v>
      </c>
      <c r="F34" s="5">
        <v>2.5499999999999998</v>
      </c>
      <c r="G34" s="6">
        <v>257</v>
      </c>
      <c r="H34" s="30">
        <v>2.2999999999999998</v>
      </c>
      <c r="I34" s="21">
        <f t="shared" si="4"/>
        <v>1175.6978999999999</v>
      </c>
      <c r="J34" s="7" t="s">
        <v>362</v>
      </c>
      <c r="K34" s="17">
        <f t="shared" si="5"/>
        <v>2</v>
      </c>
      <c r="Q34" s="46">
        <f t="shared" si="3"/>
        <v>44.2881675</v>
      </c>
    </row>
    <row r="35" spans="1:17" ht="13.95" customHeight="1" x14ac:dyDescent="0.3">
      <c r="A35" s="3">
        <v>46056</v>
      </c>
      <c r="B35" s="19" t="s">
        <v>523</v>
      </c>
      <c r="C35" s="19" t="s">
        <v>20</v>
      </c>
      <c r="D35" s="19" t="s">
        <v>9</v>
      </c>
      <c r="E35" s="4">
        <v>0.75</v>
      </c>
      <c r="F35" s="5">
        <v>1.85</v>
      </c>
      <c r="G35" s="6">
        <v>257</v>
      </c>
      <c r="H35" s="30">
        <v>2.2999999999999998</v>
      </c>
      <c r="I35" s="21">
        <f t="shared" si="4"/>
        <v>820.15125</v>
      </c>
      <c r="J35" s="7" t="s">
        <v>363</v>
      </c>
      <c r="K35" s="17">
        <f t="shared" si="5"/>
        <v>2</v>
      </c>
      <c r="Q35" s="46">
        <f t="shared" si="3"/>
        <v>51.00720119999999</v>
      </c>
    </row>
    <row r="36" spans="1:17" ht="13.95" customHeight="1" x14ac:dyDescent="0.3">
      <c r="A36" s="3">
        <v>46057</v>
      </c>
      <c r="B36" s="19" t="s">
        <v>523</v>
      </c>
      <c r="C36" s="19" t="s">
        <v>5</v>
      </c>
      <c r="D36" s="19" t="s">
        <v>9</v>
      </c>
      <c r="E36" s="4">
        <v>0.85</v>
      </c>
      <c r="F36" s="5">
        <v>1.88</v>
      </c>
      <c r="G36" s="6">
        <v>257</v>
      </c>
      <c r="H36" s="30">
        <v>2.2999999999999998</v>
      </c>
      <c r="I36" s="21">
        <f t="shared" si="4"/>
        <v>944.5777999999998</v>
      </c>
      <c r="J36" s="7" t="s">
        <v>364</v>
      </c>
      <c r="K36" s="17">
        <f t="shared" si="5"/>
        <v>2</v>
      </c>
      <c r="Q36" s="46">
        <f t="shared" si="3"/>
        <v>48.68346888</v>
      </c>
    </row>
    <row r="37" spans="1:17" ht="13.95" customHeight="1" x14ac:dyDescent="0.3">
      <c r="A37" s="3">
        <v>46058</v>
      </c>
      <c r="B37" s="19" t="s">
        <v>523</v>
      </c>
      <c r="C37" s="19" t="s">
        <v>8</v>
      </c>
      <c r="D37" s="19" t="s">
        <v>9</v>
      </c>
      <c r="E37" s="4">
        <v>0.82</v>
      </c>
      <c r="F37" s="5">
        <v>1.86</v>
      </c>
      <c r="G37" s="6">
        <v>257</v>
      </c>
      <c r="H37" s="30">
        <v>2.2999999999999998</v>
      </c>
      <c r="I37" s="21">
        <f t="shared" si="4"/>
        <v>901.54571999999996</v>
      </c>
      <c r="J37" s="7" t="s">
        <v>52</v>
      </c>
      <c r="K37" s="17">
        <f t="shared" si="5"/>
        <v>2</v>
      </c>
      <c r="Q37" s="46">
        <f t="shared" si="3"/>
        <v>45.312780240000002</v>
      </c>
    </row>
    <row r="38" spans="1:17" ht="13.95" customHeight="1" x14ac:dyDescent="0.3">
      <c r="A38" s="3">
        <v>46059</v>
      </c>
      <c r="B38" s="19" t="s">
        <v>523</v>
      </c>
      <c r="C38" s="19" t="s">
        <v>11</v>
      </c>
      <c r="D38" s="19" t="s">
        <v>9</v>
      </c>
      <c r="E38" s="4">
        <v>0.78</v>
      </c>
      <c r="F38" s="5">
        <v>1.82</v>
      </c>
      <c r="G38" s="6">
        <v>257</v>
      </c>
      <c r="H38" s="30">
        <v>2.2999999999999998</v>
      </c>
      <c r="I38" s="21">
        <f t="shared" si="4"/>
        <v>839.12556000000006</v>
      </c>
      <c r="J38" s="7" t="s">
        <v>53</v>
      </c>
      <c r="K38" s="17">
        <f t="shared" si="5"/>
        <v>2</v>
      </c>
      <c r="Q38" s="46">
        <f t="shared" si="3"/>
        <v>40.218443999999991</v>
      </c>
    </row>
    <row r="39" spans="1:17" ht="13.95" customHeight="1" x14ac:dyDescent="0.3">
      <c r="A39" s="3">
        <v>46060</v>
      </c>
      <c r="B39" s="19" t="s">
        <v>523</v>
      </c>
      <c r="C39" s="19" t="s">
        <v>13</v>
      </c>
      <c r="D39" s="19" t="s">
        <v>14</v>
      </c>
      <c r="E39" s="4">
        <v>0.7</v>
      </c>
      <c r="F39" s="5">
        <v>1.8</v>
      </c>
      <c r="G39" s="6">
        <v>257</v>
      </c>
      <c r="H39" s="30">
        <v>2.2999999999999998</v>
      </c>
      <c r="I39" s="21">
        <f t="shared" si="4"/>
        <v>744.78599999999983</v>
      </c>
      <c r="J39" s="7" t="s">
        <v>365</v>
      </c>
      <c r="K39" s="17">
        <f t="shared" si="5"/>
        <v>2</v>
      </c>
      <c r="Q39" s="46">
        <f t="shared" si="3"/>
        <v>48.836682000000003</v>
      </c>
    </row>
    <row r="40" spans="1:17" ht="13.95" customHeight="1" x14ac:dyDescent="0.3">
      <c r="A40" s="3">
        <v>46061</v>
      </c>
      <c r="B40" s="19" t="s">
        <v>523</v>
      </c>
      <c r="C40" s="19" t="s">
        <v>16</v>
      </c>
      <c r="D40" s="19" t="s">
        <v>14</v>
      </c>
      <c r="E40" s="4">
        <v>0.68</v>
      </c>
      <c r="F40" s="5">
        <v>2.25</v>
      </c>
      <c r="G40" s="6">
        <v>257</v>
      </c>
      <c r="H40" s="30">
        <v>2.2999999999999998</v>
      </c>
      <c r="I40" s="21">
        <f t="shared" si="4"/>
        <v>904.38300000000004</v>
      </c>
      <c r="J40" s="7" t="s">
        <v>69</v>
      </c>
      <c r="K40" s="17">
        <f t="shared" si="5"/>
        <v>2</v>
      </c>
      <c r="Q40" s="46">
        <f t="shared" si="3"/>
        <v>65.881641600000009</v>
      </c>
    </row>
    <row r="41" spans="1:17" ht="13.95" customHeight="1" x14ac:dyDescent="0.3">
      <c r="A41" s="3">
        <v>46062</v>
      </c>
      <c r="B41" s="19" t="s">
        <v>523</v>
      </c>
      <c r="C41" s="19" t="s">
        <v>18</v>
      </c>
      <c r="D41" s="19" t="s">
        <v>9</v>
      </c>
      <c r="E41" s="4">
        <v>0.8</v>
      </c>
      <c r="F41" s="5">
        <v>2.58</v>
      </c>
      <c r="G41" s="6">
        <v>257</v>
      </c>
      <c r="H41" s="30">
        <v>2.2999999999999998</v>
      </c>
      <c r="I41" s="21">
        <f t="shared" si="4"/>
        <v>1220.0304000000001</v>
      </c>
      <c r="J41" s="7" t="s">
        <v>150</v>
      </c>
      <c r="K41" s="17">
        <f t="shared" si="5"/>
        <v>2</v>
      </c>
      <c r="Q41" s="46">
        <f t="shared" si="3"/>
        <v>43.697658600000004</v>
      </c>
    </row>
    <row r="42" spans="1:17" ht="13.95" customHeight="1" x14ac:dyDescent="0.3">
      <c r="A42" s="3">
        <v>46063</v>
      </c>
      <c r="B42" s="19" t="s">
        <v>523</v>
      </c>
      <c r="C42" s="19" t="s">
        <v>20</v>
      </c>
      <c r="D42" s="19" t="s">
        <v>9</v>
      </c>
      <c r="E42" s="4">
        <v>0.74</v>
      </c>
      <c r="F42" s="5">
        <v>1.85</v>
      </c>
      <c r="G42" s="6">
        <v>257</v>
      </c>
      <c r="H42" s="30">
        <v>2.2999999999999998</v>
      </c>
      <c r="I42" s="21">
        <f t="shared" si="4"/>
        <v>809.21590000000003</v>
      </c>
      <c r="J42" s="7" t="s">
        <v>286</v>
      </c>
      <c r="K42" s="17">
        <f t="shared" si="5"/>
        <v>2</v>
      </c>
      <c r="Q42" s="46">
        <f t="shared" si="3"/>
        <v>46.308665520000005</v>
      </c>
    </row>
    <row r="43" spans="1:17" ht="13.95" customHeight="1" x14ac:dyDescent="0.3">
      <c r="A43" s="3">
        <v>46064</v>
      </c>
      <c r="B43" s="19" t="s">
        <v>523</v>
      </c>
      <c r="C43" s="19" t="s">
        <v>5</v>
      </c>
      <c r="D43" s="19" t="s">
        <v>9</v>
      </c>
      <c r="E43" s="4">
        <v>0.78</v>
      </c>
      <c r="F43" s="5">
        <v>1.86</v>
      </c>
      <c r="G43" s="6">
        <v>257</v>
      </c>
      <c r="H43" s="30">
        <v>2.2999999999999998</v>
      </c>
      <c r="I43" s="21">
        <f t="shared" si="4"/>
        <v>857.56788000000006</v>
      </c>
      <c r="J43" s="7" t="s">
        <v>286</v>
      </c>
      <c r="K43" s="17">
        <f t="shared" si="5"/>
        <v>2</v>
      </c>
      <c r="Q43" s="46">
        <f t="shared" si="3"/>
        <v>44.636088959999995</v>
      </c>
    </row>
    <row r="44" spans="1:17" ht="13.95" customHeight="1" x14ac:dyDescent="0.3">
      <c r="A44" s="3">
        <v>46065</v>
      </c>
      <c r="B44" s="19" t="s">
        <v>523</v>
      </c>
      <c r="C44" s="19" t="s">
        <v>8</v>
      </c>
      <c r="D44" s="19" t="s">
        <v>9</v>
      </c>
      <c r="E44" s="4">
        <v>0.76</v>
      </c>
      <c r="F44" s="5">
        <v>1.84</v>
      </c>
      <c r="G44" s="6">
        <v>257</v>
      </c>
      <c r="H44" s="30">
        <v>2.2999999999999998</v>
      </c>
      <c r="I44" s="21">
        <f t="shared" si="4"/>
        <v>826.5942399999999</v>
      </c>
      <c r="J44" s="7" t="s">
        <v>366</v>
      </c>
      <c r="K44" s="17">
        <f t="shared" si="5"/>
        <v>2</v>
      </c>
      <c r="Q44" s="46">
        <f t="shared" si="3"/>
        <v>41.827181759999995</v>
      </c>
    </row>
    <row r="45" spans="1:17" ht="13.95" customHeight="1" x14ac:dyDescent="0.3">
      <c r="A45" s="3">
        <v>46066</v>
      </c>
      <c r="B45" s="19" t="s">
        <v>523</v>
      </c>
      <c r="C45" s="19" t="s">
        <v>11</v>
      </c>
      <c r="D45" s="19" t="s">
        <v>9</v>
      </c>
      <c r="E45" s="4">
        <v>0.72</v>
      </c>
      <c r="F45" s="5">
        <v>1.82</v>
      </c>
      <c r="G45" s="6">
        <v>257</v>
      </c>
      <c r="H45" s="30">
        <v>2.2999999999999998</v>
      </c>
      <c r="I45" s="21">
        <f t="shared" si="4"/>
        <v>774.57743999999991</v>
      </c>
      <c r="J45" s="7" t="s">
        <v>367</v>
      </c>
      <c r="K45" s="17">
        <f t="shared" si="5"/>
        <v>2</v>
      </c>
      <c r="Q45" s="46">
        <f t="shared" si="3"/>
        <v>65.11557599999999</v>
      </c>
    </row>
    <row r="46" spans="1:17" ht="13.95" customHeight="1" x14ac:dyDescent="0.3">
      <c r="A46" s="3">
        <v>46067</v>
      </c>
      <c r="B46" s="19" t="s">
        <v>523</v>
      </c>
      <c r="C46" s="19" t="s">
        <v>13</v>
      </c>
      <c r="D46" s="19" t="s">
        <v>60</v>
      </c>
      <c r="E46" s="4">
        <v>0.85</v>
      </c>
      <c r="F46" s="5">
        <v>2.4</v>
      </c>
      <c r="G46" s="6">
        <v>257</v>
      </c>
      <c r="H46" s="30">
        <v>2.2999999999999998</v>
      </c>
      <c r="I46" s="21">
        <f t="shared" si="4"/>
        <v>1205.8439999999998</v>
      </c>
      <c r="J46" s="7" t="s">
        <v>368</v>
      </c>
      <c r="K46" s="17">
        <f t="shared" si="5"/>
        <v>2</v>
      </c>
      <c r="Q46" s="46">
        <f t="shared" si="3"/>
        <v>55.060964999999996</v>
      </c>
    </row>
    <row r="47" spans="1:17" ht="13.95" customHeight="1" x14ac:dyDescent="0.3">
      <c r="A47" s="3">
        <v>46068</v>
      </c>
      <c r="B47" s="19" t="s">
        <v>523</v>
      </c>
      <c r="C47" s="19" t="s">
        <v>16</v>
      </c>
      <c r="D47" s="19" t="s">
        <v>14</v>
      </c>
      <c r="E47" s="4">
        <v>0.75</v>
      </c>
      <c r="F47" s="5">
        <v>2.2999999999999998</v>
      </c>
      <c r="G47" s="6">
        <v>257</v>
      </c>
      <c r="H47" s="30">
        <v>2.2999999999999998</v>
      </c>
      <c r="I47" s="21">
        <f t="shared" si="4"/>
        <v>1019.6474999999999</v>
      </c>
      <c r="J47" s="7" t="s">
        <v>369</v>
      </c>
      <c r="K47" s="17">
        <f t="shared" si="5"/>
        <v>2</v>
      </c>
      <c r="Q47" s="46">
        <f t="shared" si="3"/>
        <v>68.052160799999996</v>
      </c>
    </row>
    <row r="48" spans="1:17" ht="13.95" customHeight="1" x14ac:dyDescent="0.3">
      <c r="A48" s="3">
        <v>46069</v>
      </c>
      <c r="B48" s="19" t="s">
        <v>523</v>
      </c>
      <c r="C48" s="19" t="s">
        <v>18</v>
      </c>
      <c r="D48" s="19" t="s">
        <v>9</v>
      </c>
      <c r="E48" s="4">
        <v>0.82</v>
      </c>
      <c r="F48" s="5">
        <v>2.6</v>
      </c>
      <c r="G48" s="6">
        <v>257</v>
      </c>
      <c r="H48" s="30">
        <v>2.2999999999999998</v>
      </c>
      <c r="I48" s="21">
        <f t="shared" si="4"/>
        <v>1260.2251999999999</v>
      </c>
      <c r="J48" s="7" t="s">
        <v>70</v>
      </c>
      <c r="K48" s="17">
        <f t="shared" si="5"/>
        <v>2</v>
      </c>
      <c r="Q48" s="46">
        <f t="shared" si="3"/>
        <v>44.2881675</v>
      </c>
    </row>
    <row r="49" spans="1:17" ht="13.95" customHeight="1" x14ac:dyDescent="0.3">
      <c r="A49" s="3">
        <v>46070</v>
      </c>
      <c r="B49" s="19" t="s">
        <v>523</v>
      </c>
      <c r="C49" s="19" t="s">
        <v>20</v>
      </c>
      <c r="D49" s="19" t="s">
        <v>9</v>
      </c>
      <c r="E49" s="4">
        <v>0.75</v>
      </c>
      <c r="F49" s="5">
        <v>1.85</v>
      </c>
      <c r="G49" s="6">
        <v>257</v>
      </c>
      <c r="H49" s="30">
        <v>2.2999999999999998</v>
      </c>
      <c r="I49" s="21">
        <f t="shared" si="4"/>
        <v>820.15125</v>
      </c>
      <c r="J49" s="7" t="s">
        <v>370</v>
      </c>
      <c r="K49" s="17">
        <f t="shared" si="5"/>
        <v>2</v>
      </c>
      <c r="Q49" s="46">
        <f t="shared" si="3"/>
        <v>53.369236799999996</v>
      </c>
    </row>
    <row r="50" spans="1:17" ht="13.95" customHeight="1" x14ac:dyDescent="0.3">
      <c r="A50" s="3">
        <v>46071</v>
      </c>
      <c r="B50" s="19" t="s">
        <v>523</v>
      </c>
      <c r="C50" s="19" t="s">
        <v>5</v>
      </c>
      <c r="D50" s="19" t="s">
        <v>371</v>
      </c>
      <c r="E50" s="4">
        <v>0.88</v>
      </c>
      <c r="F50" s="5">
        <v>1.9</v>
      </c>
      <c r="G50" s="6">
        <v>257</v>
      </c>
      <c r="H50" s="30">
        <v>2.2999999999999998</v>
      </c>
      <c r="I50" s="21">
        <f t="shared" si="4"/>
        <v>988.31919999999991</v>
      </c>
      <c r="J50" s="7" t="s">
        <v>372</v>
      </c>
      <c r="K50" s="17">
        <f t="shared" si="5"/>
        <v>2</v>
      </c>
      <c r="Q50" s="46">
        <f t="shared" si="3"/>
        <v>51.00720119999999</v>
      </c>
    </row>
    <row r="51" spans="1:17" ht="13.95" customHeight="1" x14ac:dyDescent="0.3">
      <c r="A51" s="3">
        <v>46072</v>
      </c>
      <c r="B51" s="19" t="s">
        <v>523</v>
      </c>
      <c r="C51" s="19" t="s">
        <v>8</v>
      </c>
      <c r="D51" s="19" t="s">
        <v>76</v>
      </c>
      <c r="E51" s="4">
        <v>0.85</v>
      </c>
      <c r="F51" s="5">
        <v>1.88</v>
      </c>
      <c r="G51" s="6">
        <v>257</v>
      </c>
      <c r="H51" s="30">
        <v>2.2999999999999998</v>
      </c>
      <c r="I51" s="21">
        <f t="shared" si="4"/>
        <v>944.5777999999998</v>
      </c>
      <c r="J51" s="7" t="s">
        <v>373</v>
      </c>
      <c r="K51" s="17">
        <f t="shared" si="5"/>
        <v>2</v>
      </c>
      <c r="Q51" s="46">
        <f t="shared" si="3"/>
        <v>47.240712000000002</v>
      </c>
    </row>
    <row r="52" spans="1:17" ht="13.95" customHeight="1" x14ac:dyDescent="0.3">
      <c r="A52" s="3">
        <v>46073</v>
      </c>
      <c r="B52" s="19" t="s">
        <v>523</v>
      </c>
      <c r="C52" s="19" t="s">
        <v>11</v>
      </c>
      <c r="D52" s="19" t="s">
        <v>76</v>
      </c>
      <c r="E52" s="4">
        <v>0.8</v>
      </c>
      <c r="F52" s="5">
        <v>1.85</v>
      </c>
      <c r="G52" s="6">
        <v>257</v>
      </c>
      <c r="H52" s="30">
        <v>2.2999999999999998</v>
      </c>
      <c r="I52" s="21">
        <f t="shared" si="4"/>
        <v>874.82800000000009</v>
      </c>
      <c r="J52" s="7" t="s">
        <v>374</v>
      </c>
      <c r="K52" s="17">
        <f t="shared" si="5"/>
        <v>2</v>
      </c>
      <c r="Q52" s="46">
        <f t="shared" si="3"/>
        <v>41.367542399999998</v>
      </c>
    </row>
    <row r="53" spans="1:17" ht="13.95" customHeight="1" x14ac:dyDescent="0.3">
      <c r="A53" s="3">
        <v>46074</v>
      </c>
      <c r="B53" s="19" t="s">
        <v>523</v>
      </c>
      <c r="C53" s="19" t="s">
        <v>13</v>
      </c>
      <c r="D53" s="19" t="s">
        <v>375</v>
      </c>
      <c r="E53" s="4">
        <v>0.72</v>
      </c>
      <c r="F53" s="5">
        <v>1.8</v>
      </c>
      <c r="G53" s="6">
        <v>257</v>
      </c>
      <c r="H53" s="30">
        <v>2.2999999999999998</v>
      </c>
      <c r="I53" s="21">
        <f t="shared" si="4"/>
        <v>766.0655999999999</v>
      </c>
      <c r="J53" s="7" t="s">
        <v>376</v>
      </c>
      <c r="K53" s="17">
        <f t="shared" si="5"/>
        <v>2</v>
      </c>
      <c r="Q53" s="46">
        <f t="shared" si="3"/>
        <v>43.091189999999997</v>
      </c>
    </row>
    <row r="54" spans="1:17" ht="13.95" customHeight="1" x14ac:dyDescent="0.3">
      <c r="A54" s="3">
        <v>46075</v>
      </c>
      <c r="B54" s="19" t="s">
        <v>523</v>
      </c>
      <c r="C54" s="19" t="s">
        <v>16</v>
      </c>
      <c r="D54" s="19" t="s">
        <v>375</v>
      </c>
      <c r="E54" s="4">
        <v>0.6</v>
      </c>
      <c r="F54" s="5">
        <v>2.25</v>
      </c>
      <c r="G54" s="6">
        <v>257</v>
      </c>
      <c r="H54" s="30">
        <v>2.2999999999999998</v>
      </c>
      <c r="I54" s="21">
        <f t="shared" si="4"/>
        <v>797.9849999999999</v>
      </c>
      <c r="J54" s="7" t="s">
        <v>377</v>
      </c>
      <c r="K54" s="17">
        <f t="shared" si="5"/>
        <v>2</v>
      </c>
      <c r="Q54" s="46">
        <f t="shared" si="3"/>
        <v>61.859797199999981</v>
      </c>
    </row>
    <row r="55" spans="1:17" ht="13.95" customHeight="1" x14ac:dyDescent="0.3">
      <c r="A55" s="3">
        <v>46076</v>
      </c>
      <c r="B55" s="19" t="s">
        <v>523</v>
      </c>
      <c r="C55" s="19" t="s">
        <v>18</v>
      </c>
      <c r="D55" s="19" t="s">
        <v>76</v>
      </c>
      <c r="E55" s="4">
        <v>0.76</v>
      </c>
      <c r="F55" s="5">
        <v>2.5499999999999998</v>
      </c>
      <c r="G55" s="6">
        <v>257</v>
      </c>
      <c r="H55" s="30">
        <v>2.2999999999999998</v>
      </c>
      <c r="I55" s="21">
        <f t="shared" si="4"/>
        <v>1145.5517999999997</v>
      </c>
      <c r="J55" s="7" t="s">
        <v>378</v>
      </c>
      <c r="K55" s="17">
        <f t="shared" si="5"/>
        <v>2</v>
      </c>
      <c r="Q55" s="46">
        <f t="shared" si="3"/>
        <v>46.059694200000003</v>
      </c>
    </row>
    <row r="56" spans="1:17" ht="13.95" customHeight="1" x14ac:dyDescent="0.3">
      <c r="A56" s="3">
        <v>46077</v>
      </c>
      <c r="B56" s="19" t="s">
        <v>523</v>
      </c>
      <c r="C56" s="19" t="s">
        <v>20</v>
      </c>
      <c r="D56" s="19" t="s">
        <v>76</v>
      </c>
      <c r="E56" s="4">
        <v>0.78</v>
      </c>
      <c r="F56" s="5">
        <v>1.85</v>
      </c>
      <c r="G56" s="6">
        <v>257</v>
      </c>
      <c r="H56" s="30">
        <v>2.2999999999999998</v>
      </c>
      <c r="I56" s="21">
        <f t="shared" si="4"/>
        <v>852.95730000000003</v>
      </c>
      <c r="J56" s="7" t="s">
        <v>379</v>
      </c>
      <c r="K56" s="17">
        <f t="shared" si="5"/>
        <v>2</v>
      </c>
      <c r="Q56" s="46">
        <f t="shared" si="3"/>
        <v>48.68346888</v>
      </c>
    </row>
    <row r="57" spans="1:17" ht="13.95" customHeight="1" x14ac:dyDescent="0.3">
      <c r="A57" s="3">
        <v>46078</v>
      </c>
      <c r="B57" s="19" t="s">
        <v>523</v>
      </c>
      <c r="C57" s="19" t="s">
        <v>5</v>
      </c>
      <c r="D57" s="19" t="s">
        <v>76</v>
      </c>
      <c r="E57" s="4">
        <v>0.82</v>
      </c>
      <c r="F57" s="5">
        <v>1.86</v>
      </c>
      <c r="G57" s="6">
        <v>257</v>
      </c>
      <c r="H57" s="30">
        <v>2.2999999999999998</v>
      </c>
      <c r="I57" s="21">
        <f t="shared" si="4"/>
        <v>901.54571999999996</v>
      </c>
      <c r="J57" s="7" t="s">
        <v>380</v>
      </c>
      <c r="K57" s="17">
        <f t="shared" si="5"/>
        <v>2</v>
      </c>
      <c r="Q57" s="46">
        <f t="shared" si="3"/>
        <v>46.985356799999998</v>
      </c>
    </row>
    <row r="58" spans="1:17" ht="13.95" customHeight="1" x14ac:dyDescent="0.3">
      <c r="A58" s="3">
        <v>46079</v>
      </c>
      <c r="B58" s="19" t="s">
        <v>523</v>
      </c>
      <c r="C58" s="19" t="s">
        <v>8</v>
      </c>
      <c r="D58" s="19" t="s">
        <v>76</v>
      </c>
      <c r="E58" s="4">
        <v>0.8</v>
      </c>
      <c r="F58" s="5">
        <v>1.84</v>
      </c>
      <c r="G58" s="6">
        <v>257</v>
      </c>
      <c r="H58" s="30">
        <v>2.2999999999999998</v>
      </c>
      <c r="I58" s="21">
        <f t="shared" si="4"/>
        <v>870.0992</v>
      </c>
      <c r="J58" s="7" t="s">
        <v>380</v>
      </c>
      <c r="K58" s="17">
        <f t="shared" si="5"/>
        <v>2</v>
      </c>
      <c r="Q58" s="46">
        <f t="shared" si="3"/>
        <v>43.569980999999999</v>
      </c>
    </row>
    <row r="59" spans="1:17" ht="13.95" customHeight="1" x14ac:dyDescent="0.3">
      <c r="A59" s="3">
        <v>46080</v>
      </c>
      <c r="B59" s="19" t="s">
        <v>523</v>
      </c>
      <c r="C59" s="19" t="s">
        <v>11</v>
      </c>
      <c r="D59" s="19" t="s">
        <v>76</v>
      </c>
      <c r="E59" s="4">
        <v>0.75</v>
      </c>
      <c r="F59" s="5">
        <v>1.82</v>
      </c>
      <c r="G59" s="6">
        <v>257</v>
      </c>
      <c r="H59" s="30">
        <v>2.2999999999999998</v>
      </c>
      <c r="I59" s="21">
        <f t="shared" si="4"/>
        <v>806.85149999999999</v>
      </c>
      <c r="J59" s="7" t="s">
        <v>381</v>
      </c>
      <c r="K59" s="17">
        <f t="shared" si="5"/>
        <v>2</v>
      </c>
      <c r="Q59" s="46">
        <f t="shared" si="3"/>
        <v>40.218443999999991</v>
      </c>
    </row>
    <row r="60" spans="1:17" ht="13.95" customHeight="1" x14ac:dyDescent="0.3">
      <c r="A60" s="3">
        <v>46081</v>
      </c>
      <c r="B60" s="19" t="s">
        <v>523</v>
      </c>
      <c r="C60" s="19" t="s">
        <v>13</v>
      </c>
      <c r="D60" s="19" t="s">
        <v>375</v>
      </c>
      <c r="E60" s="4">
        <v>0.7</v>
      </c>
      <c r="F60" s="5">
        <v>1.8</v>
      </c>
      <c r="G60" s="6">
        <v>257</v>
      </c>
      <c r="H60" s="30">
        <v>2.2999999999999998</v>
      </c>
      <c r="I60" s="21">
        <f t="shared" si="4"/>
        <v>744.78599999999983</v>
      </c>
      <c r="J60" s="7" t="s">
        <v>382</v>
      </c>
      <c r="K60" s="17">
        <f t="shared" si="5"/>
        <v>2</v>
      </c>
      <c r="Q60" s="46">
        <f t="shared" si="3"/>
        <v>45.96393599999999</v>
      </c>
    </row>
    <row r="61" spans="1:17" ht="13.95" customHeight="1" x14ac:dyDescent="0.3">
      <c r="A61" s="3">
        <v>45717</v>
      </c>
      <c r="B61" s="19" t="s">
        <v>523</v>
      </c>
      <c r="C61" s="19" t="s">
        <v>16</v>
      </c>
      <c r="D61" s="19" t="s">
        <v>375</v>
      </c>
      <c r="E61" s="4">
        <v>0.6</v>
      </c>
      <c r="F61" s="5">
        <v>2.4</v>
      </c>
      <c r="G61" s="6">
        <v>257</v>
      </c>
      <c r="H61" s="30">
        <v>2.2999999999999998</v>
      </c>
      <c r="I61" s="21">
        <f t="shared" si="4"/>
        <v>851.18399999999986</v>
      </c>
      <c r="J61" s="7" t="s">
        <v>384</v>
      </c>
      <c r="K61" s="17">
        <f t="shared" si="5"/>
        <v>3</v>
      </c>
      <c r="Q61" s="46">
        <f t="shared" si="3"/>
        <v>43.569980999999999</v>
      </c>
    </row>
    <row r="62" spans="1:17" ht="13.95" customHeight="1" x14ac:dyDescent="0.3">
      <c r="A62" s="3">
        <v>45718</v>
      </c>
      <c r="B62" s="19" t="s">
        <v>523</v>
      </c>
      <c r="C62" s="19" t="s">
        <v>18</v>
      </c>
      <c r="D62" s="19" t="s">
        <v>76</v>
      </c>
      <c r="E62" s="4">
        <v>0.65</v>
      </c>
      <c r="F62" s="5">
        <v>2.1</v>
      </c>
      <c r="G62" s="6">
        <v>257</v>
      </c>
      <c r="H62" s="30">
        <v>2.2999999999999998</v>
      </c>
      <c r="I62" s="21">
        <f t="shared" si="4"/>
        <v>806.85149999999999</v>
      </c>
      <c r="J62" s="7" t="s">
        <v>385</v>
      </c>
      <c r="K62" s="17">
        <f t="shared" si="5"/>
        <v>3</v>
      </c>
      <c r="Q62" s="46">
        <f t="shared" si="3"/>
        <v>40.218443999999991</v>
      </c>
    </row>
    <row r="63" spans="1:17" ht="13.95" customHeight="1" x14ac:dyDescent="0.3">
      <c r="A63" s="3">
        <v>45719</v>
      </c>
      <c r="B63" s="19" t="s">
        <v>523</v>
      </c>
      <c r="C63" s="19" t="s">
        <v>20</v>
      </c>
      <c r="D63" s="19" t="s">
        <v>76</v>
      </c>
      <c r="E63" s="4">
        <v>0.7</v>
      </c>
      <c r="F63" s="5">
        <v>1.8</v>
      </c>
      <c r="G63" s="6">
        <v>257</v>
      </c>
      <c r="H63" s="30">
        <v>2.2999999999999998</v>
      </c>
      <c r="I63" s="21">
        <f t="shared" si="4"/>
        <v>744.78599999999983</v>
      </c>
      <c r="J63" s="7" t="s">
        <v>379</v>
      </c>
      <c r="K63" s="17">
        <f t="shared" si="5"/>
        <v>3</v>
      </c>
      <c r="Q63" s="46">
        <f t="shared" si="3"/>
        <v>44.2881675</v>
      </c>
    </row>
    <row r="64" spans="1:17" ht="13.95" customHeight="1" x14ac:dyDescent="0.3">
      <c r="A64" s="3">
        <v>45720</v>
      </c>
      <c r="B64" s="19" t="s">
        <v>523</v>
      </c>
      <c r="C64" s="19" t="s">
        <v>5</v>
      </c>
      <c r="D64" s="19" t="s">
        <v>76</v>
      </c>
      <c r="E64" s="4">
        <v>0.75</v>
      </c>
      <c r="F64" s="5">
        <v>1.85</v>
      </c>
      <c r="G64" s="6">
        <v>257</v>
      </c>
      <c r="H64" s="30">
        <v>2.2999999999999998</v>
      </c>
      <c r="I64" s="21">
        <f t="shared" si="4"/>
        <v>820.15125</v>
      </c>
      <c r="J64" s="7" t="s">
        <v>380</v>
      </c>
      <c r="K64" s="17">
        <f t="shared" si="5"/>
        <v>3</v>
      </c>
      <c r="Q64" s="46">
        <f t="shared" si="3"/>
        <v>41.367542399999998</v>
      </c>
    </row>
    <row r="65" spans="1:17" ht="13.95" customHeight="1" x14ac:dyDescent="0.3">
      <c r="A65" s="3">
        <v>45721</v>
      </c>
      <c r="B65" s="19" t="s">
        <v>523</v>
      </c>
      <c r="C65" s="19" t="s">
        <v>8</v>
      </c>
      <c r="D65" s="19" t="s">
        <v>76</v>
      </c>
      <c r="E65" s="4">
        <v>0.72</v>
      </c>
      <c r="F65" s="5">
        <v>1.8</v>
      </c>
      <c r="G65" s="6">
        <v>257</v>
      </c>
      <c r="H65" s="30">
        <v>2.2999999999999998</v>
      </c>
      <c r="I65" s="21">
        <f t="shared" si="4"/>
        <v>766.0655999999999</v>
      </c>
      <c r="J65" s="7" t="s">
        <v>142</v>
      </c>
      <c r="K65" s="17">
        <f t="shared" si="5"/>
        <v>3</v>
      </c>
      <c r="Q65" s="46">
        <f t="shared" si="3"/>
        <v>39.101264999999991</v>
      </c>
    </row>
    <row r="66" spans="1:17" ht="13.95" customHeight="1" x14ac:dyDescent="0.3">
      <c r="A66" s="3">
        <v>45722</v>
      </c>
      <c r="B66" s="19" t="s">
        <v>523</v>
      </c>
      <c r="C66" s="19" t="s">
        <v>11</v>
      </c>
      <c r="D66" s="19" t="s">
        <v>76</v>
      </c>
      <c r="E66" s="4">
        <v>0.7</v>
      </c>
      <c r="F66" s="5">
        <v>1.75</v>
      </c>
      <c r="G66" s="6">
        <v>257</v>
      </c>
      <c r="H66" s="30">
        <v>2.2999999999999998</v>
      </c>
      <c r="I66" s="21">
        <f t="shared" si="4"/>
        <v>724.09749999999985</v>
      </c>
      <c r="J66" s="7" t="s">
        <v>386</v>
      </c>
      <c r="K66" s="17">
        <f t="shared" si="5"/>
        <v>3</v>
      </c>
      <c r="Q66" s="46">
        <f t="shared" ref="Q66:Q129" si="7">I67*0.054</f>
        <v>40.457839499999999</v>
      </c>
    </row>
    <row r="67" spans="1:17" ht="13.95" customHeight="1" x14ac:dyDescent="0.3">
      <c r="A67" s="3">
        <v>45723</v>
      </c>
      <c r="B67" s="19" t="s">
        <v>523</v>
      </c>
      <c r="C67" s="19" t="s">
        <v>13</v>
      </c>
      <c r="D67" s="19" t="s">
        <v>375</v>
      </c>
      <c r="E67" s="4">
        <v>0.65</v>
      </c>
      <c r="F67" s="5">
        <v>1.95</v>
      </c>
      <c r="G67" s="6">
        <v>257</v>
      </c>
      <c r="H67" s="30">
        <v>2.2999999999999998</v>
      </c>
      <c r="I67" s="21">
        <f t="shared" si="4"/>
        <v>749.21924999999999</v>
      </c>
      <c r="J67" s="7" t="s">
        <v>387</v>
      </c>
      <c r="K67" s="17">
        <f t="shared" si="5"/>
        <v>3</v>
      </c>
      <c r="Q67" s="46">
        <f t="shared" si="7"/>
        <v>46.666162800000002</v>
      </c>
    </row>
    <row r="68" spans="1:17" ht="13.95" customHeight="1" x14ac:dyDescent="0.3">
      <c r="A68" s="3">
        <v>45724</v>
      </c>
      <c r="B68" s="19" t="s">
        <v>523</v>
      </c>
      <c r="C68" s="19" t="s">
        <v>16</v>
      </c>
      <c r="D68" s="19" t="s">
        <v>375</v>
      </c>
      <c r="E68" s="4">
        <v>0.68</v>
      </c>
      <c r="F68" s="5">
        <v>2.15</v>
      </c>
      <c r="G68" s="6">
        <v>257</v>
      </c>
      <c r="H68" s="30">
        <v>2.2999999999999998</v>
      </c>
      <c r="I68" s="21">
        <f t="shared" ref="I68:I131" si="8">(G68*E68)*H68*F68</f>
        <v>864.18820000000005</v>
      </c>
      <c r="J68" s="7" t="s">
        <v>388</v>
      </c>
      <c r="K68" s="17">
        <f t="shared" si="5"/>
        <v>3</v>
      </c>
      <c r="Q68" s="46">
        <f t="shared" si="7"/>
        <v>41.559058799999995</v>
      </c>
    </row>
    <row r="69" spans="1:17" ht="13.95" customHeight="1" x14ac:dyDescent="0.3">
      <c r="A69" s="3">
        <v>45725</v>
      </c>
      <c r="B69" s="19" t="s">
        <v>523</v>
      </c>
      <c r="C69" s="19" t="s">
        <v>18</v>
      </c>
      <c r="D69" s="19" t="s">
        <v>76</v>
      </c>
      <c r="E69" s="4">
        <v>0.62</v>
      </c>
      <c r="F69" s="5">
        <v>2.1</v>
      </c>
      <c r="G69" s="6">
        <v>257</v>
      </c>
      <c r="H69" s="30">
        <v>2.2999999999999998</v>
      </c>
      <c r="I69" s="21">
        <f t="shared" si="8"/>
        <v>769.61219999999992</v>
      </c>
      <c r="J69" s="7" t="s">
        <v>389</v>
      </c>
      <c r="K69" s="17">
        <f t="shared" si="5"/>
        <v>3</v>
      </c>
      <c r="Q69" s="46">
        <f t="shared" si="7"/>
        <v>42.51664079999999</v>
      </c>
    </row>
    <row r="70" spans="1:17" ht="13.95" customHeight="1" x14ac:dyDescent="0.3">
      <c r="A70" s="3">
        <v>45726</v>
      </c>
      <c r="B70" s="19" t="s">
        <v>523</v>
      </c>
      <c r="C70" s="19" t="s">
        <v>20</v>
      </c>
      <c r="D70" s="19" t="s">
        <v>76</v>
      </c>
      <c r="E70" s="4">
        <v>0.72</v>
      </c>
      <c r="F70" s="5">
        <v>1.85</v>
      </c>
      <c r="G70" s="6">
        <v>257</v>
      </c>
      <c r="H70" s="30">
        <v>2.2999999999999998</v>
      </c>
      <c r="I70" s="21">
        <f t="shared" si="8"/>
        <v>787.34519999999986</v>
      </c>
      <c r="J70" s="7" t="s">
        <v>286</v>
      </c>
      <c r="K70" s="17">
        <f t="shared" si="5"/>
        <v>3</v>
      </c>
      <c r="Q70" s="46">
        <f t="shared" si="7"/>
        <v>45.485144999999996</v>
      </c>
    </row>
    <row r="71" spans="1:17" ht="13.95" customHeight="1" x14ac:dyDescent="0.3">
      <c r="A71" s="3">
        <v>45727</v>
      </c>
      <c r="B71" s="19" t="s">
        <v>523</v>
      </c>
      <c r="C71" s="19" t="s">
        <v>5</v>
      </c>
      <c r="D71" s="19" t="s">
        <v>76</v>
      </c>
      <c r="E71" s="4">
        <v>0.75</v>
      </c>
      <c r="F71" s="5">
        <v>1.9</v>
      </c>
      <c r="G71" s="6">
        <v>257</v>
      </c>
      <c r="H71" s="30">
        <v>2.2999999999999998</v>
      </c>
      <c r="I71" s="21">
        <f t="shared" si="8"/>
        <v>842.3175</v>
      </c>
      <c r="J71" s="7" t="s">
        <v>286</v>
      </c>
      <c r="K71" s="17">
        <f t="shared" si="5"/>
        <v>3</v>
      </c>
      <c r="Q71" s="46">
        <f t="shared" si="7"/>
        <v>43.697658600000004</v>
      </c>
    </row>
    <row r="72" spans="1:17" ht="13.95" customHeight="1" x14ac:dyDescent="0.3">
      <c r="A72" s="3">
        <v>45728</v>
      </c>
      <c r="B72" s="19" t="s">
        <v>523</v>
      </c>
      <c r="C72" s="19" t="s">
        <v>8</v>
      </c>
      <c r="D72" s="19" t="s">
        <v>76</v>
      </c>
      <c r="E72" s="4">
        <v>0.74</v>
      </c>
      <c r="F72" s="5">
        <v>1.85</v>
      </c>
      <c r="G72" s="6">
        <v>257</v>
      </c>
      <c r="H72" s="30">
        <v>2.2999999999999998</v>
      </c>
      <c r="I72" s="21">
        <f t="shared" si="8"/>
        <v>809.21590000000003</v>
      </c>
      <c r="J72" s="7" t="s">
        <v>286</v>
      </c>
      <c r="K72" s="17">
        <f t="shared" si="5"/>
        <v>3</v>
      </c>
      <c r="Q72" s="46">
        <f t="shared" si="7"/>
        <v>40.218443999999991</v>
      </c>
    </row>
    <row r="73" spans="1:17" ht="13.95" customHeight="1" x14ac:dyDescent="0.3">
      <c r="A73" s="3">
        <v>45729</v>
      </c>
      <c r="B73" s="19" t="s">
        <v>523</v>
      </c>
      <c r="C73" s="19" t="s">
        <v>11</v>
      </c>
      <c r="D73" s="19" t="s">
        <v>76</v>
      </c>
      <c r="E73" s="4">
        <v>0.7</v>
      </c>
      <c r="F73" s="5">
        <v>1.8</v>
      </c>
      <c r="G73" s="6">
        <v>257</v>
      </c>
      <c r="H73" s="30">
        <v>2.2999999999999998</v>
      </c>
      <c r="I73" s="21">
        <f t="shared" si="8"/>
        <v>744.78599999999983</v>
      </c>
      <c r="J73" s="7" t="s">
        <v>67</v>
      </c>
      <c r="K73" s="17">
        <f t="shared" si="5"/>
        <v>3</v>
      </c>
      <c r="Q73" s="46">
        <f t="shared" si="7"/>
        <v>42.532600499999994</v>
      </c>
    </row>
    <row r="74" spans="1:17" ht="13.95" customHeight="1" x14ac:dyDescent="0.3">
      <c r="A74" s="3">
        <v>45730</v>
      </c>
      <c r="B74" s="19" t="s">
        <v>523</v>
      </c>
      <c r="C74" s="19" t="s">
        <v>13</v>
      </c>
      <c r="D74" s="19" t="s">
        <v>375</v>
      </c>
      <c r="E74" s="4">
        <v>0.65</v>
      </c>
      <c r="F74" s="5">
        <v>2.0499999999999998</v>
      </c>
      <c r="G74" s="6">
        <v>257</v>
      </c>
      <c r="H74" s="30">
        <v>2.2999999999999998</v>
      </c>
      <c r="I74" s="21">
        <f t="shared" si="8"/>
        <v>787.64074999999991</v>
      </c>
      <c r="J74" s="7" t="s">
        <v>390</v>
      </c>
      <c r="K74" s="17">
        <f t="shared" si="5"/>
        <v>3</v>
      </c>
      <c r="Q74" s="46">
        <f t="shared" si="7"/>
        <v>51.390233999999985</v>
      </c>
    </row>
    <row r="75" spans="1:17" ht="13.95" customHeight="1" x14ac:dyDescent="0.3">
      <c r="A75" s="3">
        <v>45731</v>
      </c>
      <c r="B75" s="19" t="s">
        <v>523</v>
      </c>
      <c r="C75" s="19" t="s">
        <v>16</v>
      </c>
      <c r="D75" s="19" t="s">
        <v>375</v>
      </c>
      <c r="E75" s="4">
        <v>0.7</v>
      </c>
      <c r="F75" s="5">
        <v>2.2999999999999998</v>
      </c>
      <c r="G75" s="6">
        <v>257</v>
      </c>
      <c r="H75" s="30">
        <v>2.2999999999999998</v>
      </c>
      <c r="I75" s="21">
        <f t="shared" si="8"/>
        <v>951.67099999999971</v>
      </c>
      <c r="J75" s="7" t="s">
        <v>390</v>
      </c>
      <c r="K75" s="17">
        <f t="shared" si="5"/>
        <v>3</v>
      </c>
      <c r="Q75" s="46">
        <f t="shared" si="7"/>
        <v>47.75142240000001</v>
      </c>
    </row>
    <row r="76" spans="1:17" ht="13.95" customHeight="1" x14ac:dyDescent="0.3">
      <c r="A76" s="3">
        <v>45732</v>
      </c>
      <c r="B76" s="19" t="s">
        <v>523</v>
      </c>
      <c r="C76" s="19" t="s">
        <v>18</v>
      </c>
      <c r="D76" s="19" t="s">
        <v>76</v>
      </c>
      <c r="E76" s="4">
        <v>0.68</v>
      </c>
      <c r="F76" s="5">
        <v>2.2000000000000002</v>
      </c>
      <c r="G76" s="6">
        <v>257</v>
      </c>
      <c r="H76" s="30">
        <v>2.2999999999999998</v>
      </c>
      <c r="I76" s="21">
        <f t="shared" si="8"/>
        <v>884.28560000000016</v>
      </c>
      <c r="J76" s="7" t="s">
        <v>391</v>
      </c>
      <c r="K76" s="17">
        <f t="shared" si="5"/>
        <v>3</v>
      </c>
      <c r="Q76" s="46">
        <f t="shared" si="7"/>
        <v>44.2881675</v>
      </c>
    </row>
    <row r="77" spans="1:17" ht="13.95" customHeight="1" x14ac:dyDescent="0.3">
      <c r="A77" s="3">
        <v>45733</v>
      </c>
      <c r="B77" s="19" t="s">
        <v>523</v>
      </c>
      <c r="C77" s="19" t="s">
        <v>20</v>
      </c>
      <c r="D77" s="19" t="s">
        <v>76</v>
      </c>
      <c r="E77" s="4">
        <v>0.75</v>
      </c>
      <c r="F77" s="5">
        <v>1.85</v>
      </c>
      <c r="G77" s="6">
        <v>257</v>
      </c>
      <c r="H77" s="30">
        <v>2.2999999999999998</v>
      </c>
      <c r="I77" s="21">
        <f t="shared" si="8"/>
        <v>820.15125</v>
      </c>
      <c r="J77" s="7" t="s">
        <v>392</v>
      </c>
      <c r="K77" s="17">
        <f t="shared" si="5"/>
        <v>3</v>
      </c>
      <c r="Q77" s="46">
        <f t="shared" si="7"/>
        <v>47.304550799999994</v>
      </c>
    </row>
    <row r="78" spans="1:17" ht="13.95" customHeight="1" x14ac:dyDescent="0.3">
      <c r="A78" s="3">
        <v>45734</v>
      </c>
      <c r="B78" s="19" t="s">
        <v>523</v>
      </c>
      <c r="C78" s="19" t="s">
        <v>5</v>
      </c>
      <c r="D78" s="19" t="s">
        <v>76</v>
      </c>
      <c r="E78" s="4">
        <v>0.78</v>
      </c>
      <c r="F78" s="5">
        <v>1.9</v>
      </c>
      <c r="G78" s="6">
        <v>257</v>
      </c>
      <c r="H78" s="30">
        <v>2.2999999999999998</v>
      </c>
      <c r="I78" s="21">
        <f t="shared" si="8"/>
        <v>876.01019999999994</v>
      </c>
      <c r="J78" s="7" t="s">
        <v>393</v>
      </c>
      <c r="K78" s="17">
        <f t="shared" si="5"/>
        <v>3</v>
      </c>
      <c r="Q78" s="46">
        <f t="shared" si="7"/>
        <v>44.878676399999989</v>
      </c>
    </row>
    <row r="79" spans="1:17" ht="13.95" customHeight="1" x14ac:dyDescent="0.3">
      <c r="A79" s="3">
        <v>45735</v>
      </c>
      <c r="B79" s="19" t="s">
        <v>523</v>
      </c>
      <c r="C79" s="19" t="s">
        <v>8</v>
      </c>
      <c r="D79" s="19" t="s">
        <v>76</v>
      </c>
      <c r="E79" s="4">
        <v>0.76</v>
      </c>
      <c r="F79" s="5">
        <v>1.85</v>
      </c>
      <c r="G79" s="6">
        <v>257</v>
      </c>
      <c r="H79" s="30">
        <v>2.2999999999999998</v>
      </c>
      <c r="I79" s="21">
        <f t="shared" si="8"/>
        <v>831.08659999999986</v>
      </c>
      <c r="J79" s="7" t="s">
        <v>195</v>
      </c>
      <c r="K79" s="17">
        <f t="shared" si="5"/>
        <v>3</v>
      </c>
      <c r="Q79" s="46">
        <f t="shared" si="7"/>
        <v>36.866906999999998</v>
      </c>
    </row>
    <row r="80" spans="1:17" ht="13.95" customHeight="1" x14ac:dyDescent="0.3">
      <c r="A80" s="3">
        <v>45736</v>
      </c>
      <c r="B80" s="19" t="s">
        <v>523</v>
      </c>
      <c r="C80" s="19" t="s">
        <v>11</v>
      </c>
      <c r="D80" s="19" t="s">
        <v>383</v>
      </c>
      <c r="E80" s="4">
        <v>0.55000000000000004</v>
      </c>
      <c r="F80" s="5">
        <v>2.1</v>
      </c>
      <c r="G80" s="6">
        <v>257</v>
      </c>
      <c r="H80" s="30">
        <v>2.2999999999999998</v>
      </c>
      <c r="I80" s="21">
        <f t="shared" si="8"/>
        <v>682.72050000000002</v>
      </c>
      <c r="J80" s="7" t="s">
        <v>394</v>
      </c>
      <c r="K80" s="17">
        <f t="shared" si="5"/>
        <v>3</v>
      </c>
      <c r="Q80" s="46">
        <f t="shared" si="7"/>
        <v>34.313354999999994</v>
      </c>
    </row>
    <row r="81" spans="1:17" ht="13.95" customHeight="1" x14ac:dyDescent="0.3">
      <c r="A81" s="3">
        <v>45737</v>
      </c>
      <c r="B81" s="19" t="s">
        <v>523</v>
      </c>
      <c r="C81" s="19" t="s">
        <v>13</v>
      </c>
      <c r="D81" s="19" t="s">
        <v>395</v>
      </c>
      <c r="E81" s="4">
        <v>0.5</v>
      </c>
      <c r="F81" s="5">
        <v>2.15</v>
      </c>
      <c r="G81" s="6">
        <v>257</v>
      </c>
      <c r="H81" s="30">
        <v>2.2999999999999998</v>
      </c>
      <c r="I81" s="21">
        <f t="shared" si="8"/>
        <v>635.43249999999989</v>
      </c>
      <c r="J81" s="7" t="s">
        <v>396</v>
      </c>
      <c r="K81" s="17">
        <f t="shared" ref="K81:K144" si="9">MONTH(A81)</f>
        <v>3</v>
      </c>
      <c r="Q81" s="46">
        <f t="shared" si="7"/>
        <v>48.756883500000001</v>
      </c>
    </row>
    <row r="82" spans="1:17" ht="13.95" customHeight="1" x14ac:dyDescent="0.3">
      <c r="A82" s="3">
        <v>45738</v>
      </c>
      <c r="B82" s="19" t="s">
        <v>523</v>
      </c>
      <c r="C82" s="19" t="s">
        <v>16</v>
      </c>
      <c r="D82" s="19" t="s">
        <v>395</v>
      </c>
      <c r="E82" s="4">
        <v>0.65</v>
      </c>
      <c r="F82" s="5">
        <v>2.35</v>
      </c>
      <c r="G82" s="6">
        <v>257</v>
      </c>
      <c r="H82" s="30">
        <v>2.2999999999999998</v>
      </c>
      <c r="I82" s="21">
        <f t="shared" si="8"/>
        <v>902.90525000000002</v>
      </c>
      <c r="J82" s="7" t="s">
        <v>397</v>
      </c>
      <c r="K82" s="17">
        <f t="shared" si="9"/>
        <v>3</v>
      </c>
      <c r="Q82" s="46">
        <f t="shared" si="7"/>
        <v>45.517064399999995</v>
      </c>
    </row>
    <row r="83" spans="1:17" ht="13.95" customHeight="1" x14ac:dyDescent="0.3">
      <c r="A83" s="3">
        <v>45739</v>
      </c>
      <c r="B83" s="19" t="s">
        <v>523</v>
      </c>
      <c r="C83" s="19" t="s">
        <v>18</v>
      </c>
      <c r="D83" s="19" t="s">
        <v>9</v>
      </c>
      <c r="E83" s="4">
        <v>0.62</v>
      </c>
      <c r="F83" s="5">
        <v>2.2999999999999998</v>
      </c>
      <c r="G83" s="6">
        <v>257</v>
      </c>
      <c r="H83" s="30">
        <v>2.2999999999999998</v>
      </c>
      <c r="I83" s="21">
        <f t="shared" si="8"/>
        <v>842.90859999999986</v>
      </c>
      <c r="J83" s="7" t="s">
        <v>398</v>
      </c>
      <c r="K83" s="17">
        <f t="shared" si="9"/>
        <v>3</v>
      </c>
      <c r="Q83" s="46">
        <f t="shared" si="7"/>
        <v>44.2881675</v>
      </c>
    </row>
    <row r="84" spans="1:17" ht="13.95" customHeight="1" x14ac:dyDescent="0.3">
      <c r="A84" s="3">
        <v>45740</v>
      </c>
      <c r="B84" s="19" t="s">
        <v>523</v>
      </c>
      <c r="C84" s="19" t="s">
        <v>20</v>
      </c>
      <c r="D84" s="19" t="s">
        <v>9</v>
      </c>
      <c r="E84" s="4">
        <v>0.75</v>
      </c>
      <c r="F84" s="5">
        <v>1.85</v>
      </c>
      <c r="G84" s="6">
        <v>257</v>
      </c>
      <c r="H84" s="30">
        <v>2.2999999999999998</v>
      </c>
      <c r="I84" s="21">
        <f t="shared" si="8"/>
        <v>820.15125</v>
      </c>
      <c r="J84" s="7" t="s">
        <v>399</v>
      </c>
      <c r="K84" s="17">
        <f t="shared" si="9"/>
        <v>3</v>
      </c>
      <c r="Q84" s="46">
        <f t="shared" si="7"/>
        <v>56.178144000000003</v>
      </c>
    </row>
    <row r="85" spans="1:17" ht="13.95" customHeight="1" x14ac:dyDescent="0.3">
      <c r="A85" s="3">
        <v>45741</v>
      </c>
      <c r="B85" s="19" t="s">
        <v>523</v>
      </c>
      <c r="C85" s="19" t="s">
        <v>5</v>
      </c>
      <c r="D85" s="19" t="s">
        <v>9</v>
      </c>
      <c r="E85" s="4">
        <v>0.8</v>
      </c>
      <c r="F85" s="5">
        <v>2.2000000000000002</v>
      </c>
      <c r="G85" s="6">
        <v>257</v>
      </c>
      <c r="H85" s="30">
        <v>2.2999999999999998</v>
      </c>
      <c r="I85" s="21">
        <f t="shared" si="8"/>
        <v>1040.336</v>
      </c>
      <c r="J85" s="7" t="s">
        <v>399</v>
      </c>
      <c r="K85" s="17">
        <f t="shared" si="9"/>
        <v>3</v>
      </c>
      <c r="Q85" s="46">
        <f t="shared" si="7"/>
        <v>48.5494074</v>
      </c>
    </row>
    <row r="86" spans="1:17" ht="13.95" customHeight="1" x14ac:dyDescent="0.3">
      <c r="A86" s="3">
        <v>45742</v>
      </c>
      <c r="B86" s="19" t="s">
        <v>523</v>
      </c>
      <c r="C86" s="19" t="s">
        <v>8</v>
      </c>
      <c r="D86" s="19" t="s">
        <v>9</v>
      </c>
      <c r="E86" s="4">
        <v>0.78</v>
      </c>
      <c r="F86" s="5">
        <v>1.95</v>
      </c>
      <c r="G86" s="6">
        <v>257</v>
      </c>
      <c r="H86" s="30">
        <v>2.2999999999999998</v>
      </c>
      <c r="I86" s="21">
        <f t="shared" si="8"/>
        <v>899.06309999999996</v>
      </c>
      <c r="J86" s="7" t="s">
        <v>143</v>
      </c>
      <c r="K86" s="17">
        <f t="shared" si="9"/>
        <v>3</v>
      </c>
      <c r="Q86" s="46">
        <f t="shared" si="7"/>
        <v>58.093307999999993</v>
      </c>
    </row>
    <row r="87" spans="1:17" ht="13.95" customHeight="1" x14ac:dyDescent="0.3">
      <c r="A87" s="3">
        <v>45743</v>
      </c>
      <c r="B87" s="19" t="s">
        <v>523</v>
      </c>
      <c r="C87" s="19" t="s">
        <v>11</v>
      </c>
      <c r="D87" s="19" t="s">
        <v>9</v>
      </c>
      <c r="E87" s="4">
        <v>0.7</v>
      </c>
      <c r="F87" s="5">
        <v>2.6</v>
      </c>
      <c r="G87" s="6">
        <v>257</v>
      </c>
      <c r="H87" s="30">
        <v>2.2999999999999998</v>
      </c>
      <c r="I87" s="21">
        <f t="shared" si="8"/>
        <v>1075.8019999999999</v>
      </c>
      <c r="J87" s="7" t="s">
        <v>400</v>
      </c>
      <c r="K87" s="17">
        <f t="shared" si="9"/>
        <v>3</v>
      </c>
      <c r="Q87" s="46">
        <f t="shared" si="7"/>
        <v>36.388115999999997</v>
      </c>
    </row>
    <row r="88" spans="1:17" ht="13.95" customHeight="1" x14ac:dyDescent="0.3">
      <c r="A88" s="3">
        <v>45744</v>
      </c>
      <c r="B88" s="19" t="s">
        <v>523</v>
      </c>
      <c r="C88" s="19" t="s">
        <v>13</v>
      </c>
      <c r="D88" s="19" t="s">
        <v>14</v>
      </c>
      <c r="E88" s="4">
        <v>0.6</v>
      </c>
      <c r="F88" s="5">
        <v>1.9</v>
      </c>
      <c r="G88" s="6">
        <v>257</v>
      </c>
      <c r="H88" s="30">
        <v>2.2999999999999998</v>
      </c>
      <c r="I88" s="21">
        <f t="shared" si="8"/>
        <v>673.85399999999993</v>
      </c>
      <c r="J88" s="7" t="s">
        <v>401</v>
      </c>
      <c r="K88" s="17">
        <f t="shared" si="9"/>
        <v>3</v>
      </c>
      <c r="Q88" s="46">
        <f t="shared" si="7"/>
        <v>32.4779895</v>
      </c>
    </row>
    <row r="89" spans="1:17" ht="13.95" customHeight="1" x14ac:dyDescent="0.3">
      <c r="A89" s="3">
        <v>45745</v>
      </c>
      <c r="B89" s="19" t="s">
        <v>523</v>
      </c>
      <c r="C89" s="19" t="s">
        <v>16</v>
      </c>
      <c r="D89" s="19" t="s">
        <v>14</v>
      </c>
      <c r="E89" s="4">
        <v>0.55000000000000004</v>
      </c>
      <c r="F89" s="5">
        <v>1.85</v>
      </c>
      <c r="G89" s="6">
        <v>257</v>
      </c>
      <c r="H89" s="30">
        <v>2.2999999999999998</v>
      </c>
      <c r="I89" s="21">
        <f t="shared" si="8"/>
        <v>601.44425000000001</v>
      </c>
      <c r="J89" s="7" t="s">
        <v>238</v>
      </c>
      <c r="K89" s="17">
        <f t="shared" si="9"/>
        <v>3</v>
      </c>
      <c r="Q89" s="46">
        <f t="shared" si="7"/>
        <v>74.212604999999996</v>
      </c>
    </row>
    <row r="90" spans="1:17" ht="13.95" customHeight="1" x14ac:dyDescent="0.3">
      <c r="A90" s="3">
        <v>45746</v>
      </c>
      <c r="B90" s="19" t="s">
        <v>523</v>
      </c>
      <c r="C90" s="19" t="s">
        <v>18</v>
      </c>
      <c r="D90" s="19" t="s">
        <v>9</v>
      </c>
      <c r="E90" s="4">
        <v>0.75</v>
      </c>
      <c r="F90" s="5">
        <v>3.1</v>
      </c>
      <c r="G90" s="6">
        <v>257</v>
      </c>
      <c r="H90" s="30">
        <v>2.2999999999999998</v>
      </c>
      <c r="I90" s="21">
        <f t="shared" si="8"/>
        <v>1374.3074999999999</v>
      </c>
      <c r="J90" s="7" t="s">
        <v>151</v>
      </c>
      <c r="K90" s="17">
        <f t="shared" si="9"/>
        <v>3</v>
      </c>
      <c r="Q90" s="46">
        <f t="shared" si="7"/>
        <v>75.329784000000004</v>
      </c>
    </row>
    <row r="91" spans="1:17" ht="13.95" customHeight="1" x14ac:dyDescent="0.3">
      <c r="A91" s="3">
        <v>45747</v>
      </c>
      <c r="B91" s="19" t="s">
        <v>523</v>
      </c>
      <c r="C91" s="19" t="s">
        <v>20</v>
      </c>
      <c r="D91" s="19" t="s">
        <v>9</v>
      </c>
      <c r="E91" s="4">
        <v>0.8</v>
      </c>
      <c r="F91" s="5">
        <v>2.95</v>
      </c>
      <c r="G91" s="6">
        <v>257</v>
      </c>
      <c r="H91" s="30">
        <v>2.2999999999999998</v>
      </c>
      <c r="I91" s="21">
        <f t="shared" si="8"/>
        <v>1394.9960000000001</v>
      </c>
      <c r="J91" s="7" t="s">
        <v>402</v>
      </c>
      <c r="K91" s="17">
        <f t="shared" si="9"/>
        <v>3</v>
      </c>
      <c r="Q91" s="46">
        <f t="shared" si="7"/>
        <v>49.206947039999989</v>
      </c>
    </row>
    <row r="92" spans="1:17" ht="13.95" customHeight="1" x14ac:dyDescent="0.3">
      <c r="A92" s="3">
        <v>45748</v>
      </c>
      <c r="B92" s="19" t="s">
        <v>523</v>
      </c>
      <c r="C92" s="19" t="s">
        <v>5</v>
      </c>
      <c r="D92" s="19" t="s">
        <v>9</v>
      </c>
      <c r="E92" s="4">
        <v>0.82</v>
      </c>
      <c r="F92" s="5">
        <v>1.88</v>
      </c>
      <c r="G92" s="6">
        <v>257</v>
      </c>
      <c r="H92" s="30">
        <v>2.2999999999999998</v>
      </c>
      <c r="I92" s="21">
        <f t="shared" si="8"/>
        <v>911.23975999999982</v>
      </c>
      <c r="J92" s="7" t="s">
        <v>403</v>
      </c>
      <c r="K92" s="17">
        <f t="shared" si="9"/>
        <v>4</v>
      </c>
      <c r="Q92" s="46">
        <f t="shared" si="7"/>
        <v>47.240712000000002</v>
      </c>
    </row>
    <row r="93" spans="1:17" ht="13.95" customHeight="1" x14ac:dyDescent="0.3">
      <c r="A93" s="3">
        <v>45749</v>
      </c>
      <c r="B93" s="19" t="s">
        <v>523</v>
      </c>
      <c r="C93" s="19" t="s">
        <v>8</v>
      </c>
      <c r="D93" s="19" t="s">
        <v>9</v>
      </c>
      <c r="E93" s="4">
        <v>0.8</v>
      </c>
      <c r="F93" s="5">
        <v>1.85</v>
      </c>
      <c r="G93" s="6">
        <v>257</v>
      </c>
      <c r="H93" s="30">
        <v>2.2999999999999998</v>
      </c>
      <c r="I93" s="21">
        <f t="shared" si="8"/>
        <v>874.82800000000009</v>
      </c>
      <c r="J93" s="7" t="s">
        <v>399</v>
      </c>
      <c r="K93" s="17">
        <f t="shared" si="9"/>
        <v>4</v>
      </c>
      <c r="Q93" s="46">
        <f t="shared" si="7"/>
        <v>43.569980999999999</v>
      </c>
    </row>
    <row r="94" spans="1:17" ht="13.95" customHeight="1" x14ac:dyDescent="0.3">
      <c r="A94" s="3">
        <v>45750</v>
      </c>
      <c r="B94" s="19" t="s">
        <v>523</v>
      </c>
      <c r="C94" s="19" t="s">
        <v>11</v>
      </c>
      <c r="D94" s="19" t="s">
        <v>9</v>
      </c>
      <c r="E94" s="4">
        <v>0.75</v>
      </c>
      <c r="F94" s="5">
        <v>1.82</v>
      </c>
      <c r="G94" s="6">
        <v>257</v>
      </c>
      <c r="H94" s="30">
        <v>2.2999999999999998</v>
      </c>
      <c r="I94" s="21">
        <f t="shared" si="8"/>
        <v>806.85149999999999</v>
      </c>
      <c r="J94" s="7" t="s">
        <v>53</v>
      </c>
      <c r="K94" s="17">
        <f t="shared" si="9"/>
        <v>4</v>
      </c>
      <c r="Q94" s="46">
        <f t="shared" si="7"/>
        <v>41.335622999999998</v>
      </c>
    </row>
    <row r="95" spans="1:17" ht="13.95" customHeight="1" x14ac:dyDescent="0.3">
      <c r="A95" s="3">
        <v>45751</v>
      </c>
      <c r="B95" s="19" t="s">
        <v>523</v>
      </c>
      <c r="C95" s="19" t="s">
        <v>13</v>
      </c>
      <c r="D95" s="19" t="s">
        <v>14</v>
      </c>
      <c r="E95" s="4">
        <v>0.7</v>
      </c>
      <c r="F95" s="5">
        <v>1.85</v>
      </c>
      <c r="G95" s="6">
        <v>257</v>
      </c>
      <c r="H95" s="30">
        <v>2.2999999999999998</v>
      </c>
      <c r="I95" s="21">
        <f t="shared" si="8"/>
        <v>765.47449999999992</v>
      </c>
      <c r="J95" s="7" t="s">
        <v>404</v>
      </c>
      <c r="K95" s="17">
        <f t="shared" si="9"/>
        <v>4</v>
      </c>
      <c r="Q95" s="46">
        <f t="shared" si="7"/>
        <v>46.682122499999998</v>
      </c>
    </row>
    <row r="96" spans="1:17" ht="13.95" customHeight="1" x14ac:dyDescent="0.3">
      <c r="A96" s="3">
        <v>45752</v>
      </c>
      <c r="B96" s="19" t="s">
        <v>523</v>
      </c>
      <c r="C96" s="19" t="s">
        <v>16</v>
      </c>
      <c r="D96" s="19" t="s">
        <v>14</v>
      </c>
      <c r="E96" s="4">
        <v>0.65</v>
      </c>
      <c r="F96" s="5">
        <v>2.25</v>
      </c>
      <c r="G96" s="6">
        <v>257</v>
      </c>
      <c r="H96" s="30">
        <v>2.2999999999999998</v>
      </c>
      <c r="I96" s="21">
        <f t="shared" si="8"/>
        <v>864.48374999999999</v>
      </c>
      <c r="J96" s="7" t="s">
        <v>405</v>
      </c>
      <c r="K96" s="17">
        <f t="shared" si="9"/>
        <v>4</v>
      </c>
      <c r="Q96" s="46">
        <f t="shared" si="7"/>
        <v>71.898448500000001</v>
      </c>
    </row>
    <row r="97" spans="1:17" ht="13.95" customHeight="1" x14ac:dyDescent="0.3">
      <c r="A97" s="3">
        <v>45753</v>
      </c>
      <c r="B97" s="19" t="s">
        <v>523</v>
      </c>
      <c r="C97" s="19" t="s">
        <v>18</v>
      </c>
      <c r="D97" s="19" t="s">
        <v>9</v>
      </c>
      <c r="E97" s="4">
        <v>0.85</v>
      </c>
      <c r="F97" s="5">
        <v>2.65</v>
      </c>
      <c r="G97" s="6">
        <v>257</v>
      </c>
      <c r="H97" s="30">
        <v>2.2999999999999998</v>
      </c>
      <c r="I97" s="21">
        <f t="shared" si="8"/>
        <v>1331.4527499999999</v>
      </c>
      <c r="J97" s="7" t="s">
        <v>406</v>
      </c>
      <c r="K97" s="17">
        <f t="shared" si="9"/>
        <v>4</v>
      </c>
      <c r="Q97" s="46">
        <f t="shared" si="7"/>
        <v>46.059694200000003</v>
      </c>
    </row>
    <row r="98" spans="1:17" ht="13.95" customHeight="1" x14ac:dyDescent="0.3">
      <c r="A98" s="3">
        <v>45754</v>
      </c>
      <c r="B98" s="19" t="s">
        <v>523</v>
      </c>
      <c r="C98" s="19" t="s">
        <v>20</v>
      </c>
      <c r="D98" s="19" t="s">
        <v>9</v>
      </c>
      <c r="E98" s="4">
        <v>0.78</v>
      </c>
      <c r="F98" s="5">
        <v>1.85</v>
      </c>
      <c r="G98" s="6">
        <v>257</v>
      </c>
      <c r="H98" s="30">
        <v>2.2999999999999998</v>
      </c>
      <c r="I98" s="21">
        <f t="shared" si="8"/>
        <v>852.95730000000003</v>
      </c>
      <c r="J98" s="7" t="s">
        <v>286</v>
      </c>
      <c r="K98" s="17">
        <f t="shared" si="9"/>
        <v>4</v>
      </c>
      <c r="Q98" s="46">
        <f t="shared" si="7"/>
        <v>53.369236799999996</v>
      </c>
    </row>
    <row r="99" spans="1:17" ht="13.95" customHeight="1" x14ac:dyDescent="0.3">
      <c r="A99" s="3">
        <v>45755</v>
      </c>
      <c r="B99" s="19" t="s">
        <v>523</v>
      </c>
      <c r="C99" s="19" t="s">
        <v>5</v>
      </c>
      <c r="D99" s="19" t="s">
        <v>9</v>
      </c>
      <c r="E99" s="4">
        <v>0.88</v>
      </c>
      <c r="F99" s="5">
        <v>1.9</v>
      </c>
      <c r="G99" s="6">
        <v>257</v>
      </c>
      <c r="H99" s="30">
        <v>2.2999999999999998</v>
      </c>
      <c r="I99" s="21">
        <f t="shared" si="8"/>
        <v>988.31919999999991</v>
      </c>
      <c r="J99" s="7" t="s">
        <v>143</v>
      </c>
      <c r="K99" s="17">
        <f t="shared" si="9"/>
        <v>4</v>
      </c>
      <c r="Q99" s="46">
        <f t="shared" si="7"/>
        <v>40.218443999999998</v>
      </c>
    </row>
    <row r="100" spans="1:17" ht="13.95" customHeight="1" x14ac:dyDescent="0.3">
      <c r="A100" s="3">
        <v>45756</v>
      </c>
      <c r="B100" s="19" t="s">
        <v>523</v>
      </c>
      <c r="C100" s="19" t="s">
        <v>8</v>
      </c>
      <c r="D100" s="19" t="s">
        <v>122</v>
      </c>
      <c r="E100" s="4">
        <v>0.6</v>
      </c>
      <c r="F100" s="5">
        <v>2.1</v>
      </c>
      <c r="G100" s="6">
        <v>257</v>
      </c>
      <c r="H100" s="30">
        <v>2.2999999999999998</v>
      </c>
      <c r="I100" s="21">
        <f t="shared" si="8"/>
        <v>744.78599999999994</v>
      </c>
      <c r="J100" s="7" t="s">
        <v>407</v>
      </c>
      <c r="K100" s="17">
        <f t="shared" si="9"/>
        <v>4</v>
      </c>
      <c r="Q100" s="46">
        <f t="shared" si="7"/>
        <v>41.827181759999995</v>
      </c>
    </row>
    <row r="101" spans="1:17" ht="13.95" customHeight="1" x14ac:dyDescent="0.3">
      <c r="A101" s="3">
        <v>45757</v>
      </c>
      <c r="B101" s="19" t="s">
        <v>523</v>
      </c>
      <c r="C101" s="19" t="s">
        <v>11</v>
      </c>
      <c r="D101" s="19" t="s">
        <v>136</v>
      </c>
      <c r="E101" s="4">
        <v>0.72</v>
      </c>
      <c r="F101" s="5">
        <v>1.82</v>
      </c>
      <c r="G101" s="6">
        <v>257</v>
      </c>
      <c r="H101" s="30">
        <v>2.2999999999999998</v>
      </c>
      <c r="I101" s="21">
        <f t="shared" si="8"/>
        <v>774.57743999999991</v>
      </c>
      <c r="J101" s="7" t="s">
        <v>230</v>
      </c>
      <c r="K101" s="17">
        <f t="shared" si="9"/>
        <v>4</v>
      </c>
      <c r="Q101" s="46">
        <f t="shared" si="7"/>
        <v>42.516640799999998</v>
      </c>
    </row>
    <row r="102" spans="1:17" ht="13.95" customHeight="1" x14ac:dyDescent="0.3">
      <c r="A102" s="3">
        <v>45758</v>
      </c>
      <c r="B102" s="19" t="s">
        <v>523</v>
      </c>
      <c r="C102" s="19" t="s">
        <v>13</v>
      </c>
      <c r="D102" s="19" t="s">
        <v>14</v>
      </c>
      <c r="E102" s="4">
        <v>0.74</v>
      </c>
      <c r="F102" s="5">
        <v>1.8</v>
      </c>
      <c r="G102" s="6">
        <v>257</v>
      </c>
      <c r="H102" s="30">
        <v>2.2999999999999998</v>
      </c>
      <c r="I102" s="21">
        <f t="shared" si="8"/>
        <v>787.34519999999998</v>
      </c>
      <c r="J102" s="7" t="s">
        <v>408</v>
      </c>
      <c r="K102" s="17">
        <f t="shared" si="9"/>
        <v>4</v>
      </c>
      <c r="Q102" s="46">
        <f t="shared" si="7"/>
        <v>49.921941600000004</v>
      </c>
    </row>
    <row r="103" spans="1:17" ht="13.95" customHeight="1" x14ac:dyDescent="0.3">
      <c r="A103" s="3">
        <v>45759</v>
      </c>
      <c r="B103" s="19" t="s">
        <v>523</v>
      </c>
      <c r="C103" s="19" t="s">
        <v>16</v>
      </c>
      <c r="D103" s="19" t="s">
        <v>14</v>
      </c>
      <c r="E103" s="4">
        <v>0.68</v>
      </c>
      <c r="F103" s="5">
        <v>2.2999999999999998</v>
      </c>
      <c r="G103" s="6">
        <v>257</v>
      </c>
      <c r="H103" s="30">
        <v>2.2999999999999998</v>
      </c>
      <c r="I103" s="21">
        <f t="shared" si="8"/>
        <v>924.48040000000003</v>
      </c>
      <c r="J103" s="7" t="s">
        <v>238</v>
      </c>
      <c r="K103" s="17">
        <f t="shared" si="9"/>
        <v>4</v>
      </c>
      <c r="Q103" s="46">
        <f t="shared" si="7"/>
        <v>70.146073439999995</v>
      </c>
    </row>
    <row r="104" spans="1:17" ht="13.95" customHeight="1" x14ac:dyDescent="0.3">
      <c r="A104" s="3">
        <v>45760</v>
      </c>
      <c r="B104" s="19" t="s">
        <v>523</v>
      </c>
      <c r="C104" s="19" t="s">
        <v>18</v>
      </c>
      <c r="D104" s="19" t="s">
        <v>9</v>
      </c>
      <c r="E104" s="4">
        <v>0.82</v>
      </c>
      <c r="F104" s="5">
        <v>2.68</v>
      </c>
      <c r="G104" s="6">
        <v>257</v>
      </c>
      <c r="H104" s="30">
        <v>2.2999999999999998</v>
      </c>
      <c r="I104" s="21">
        <f t="shared" si="8"/>
        <v>1299.00136</v>
      </c>
      <c r="J104" s="7" t="s">
        <v>286</v>
      </c>
      <c r="K104" s="17">
        <f t="shared" si="9"/>
        <v>4</v>
      </c>
      <c r="Q104" s="46">
        <f t="shared" si="7"/>
        <v>47.240712000000002</v>
      </c>
    </row>
    <row r="105" spans="1:17" ht="13.95" customHeight="1" x14ac:dyDescent="0.3">
      <c r="A105" s="3">
        <v>45761</v>
      </c>
      <c r="B105" s="19" t="s">
        <v>523</v>
      </c>
      <c r="C105" s="19" t="s">
        <v>20</v>
      </c>
      <c r="D105" s="19" t="s">
        <v>9</v>
      </c>
      <c r="E105" s="4">
        <v>0.8</v>
      </c>
      <c r="F105" s="5">
        <v>1.85</v>
      </c>
      <c r="G105" s="6">
        <v>257</v>
      </c>
      <c r="H105" s="30">
        <v>2.2999999999999998</v>
      </c>
      <c r="I105" s="21">
        <f t="shared" si="8"/>
        <v>874.82800000000009</v>
      </c>
      <c r="J105" s="7" t="s">
        <v>286</v>
      </c>
      <c r="K105" s="17">
        <f t="shared" si="9"/>
        <v>4</v>
      </c>
      <c r="Q105" s="46">
        <f t="shared" si="7"/>
        <v>51.00720119999999</v>
      </c>
    </row>
    <row r="106" spans="1:17" ht="13.95" customHeight="1" x14ac:dyDescent="0.3">
      <c r="A106" s="3">
        <v>45762</v>
      </c>
      <c r="B106" s="19" t="s">
        <v>523</v>
      </c>
      <c r="C106" s="19" t="s">
        <v>5</v>
      </c>
      <c r="D106" s="19" t="s">
        <v>9</v>
      </c>
      <c r="E106" s="4">
        <v>0.85</v>
      </c>
      <c r="F106" s="5">
        <v>1.88</v>
      </c>
      <c r="G106" s="6">
        <v>257</v>
      </c>
      <c r="H106" s="30">
        <v>2.2999999999999998</v>
      </c>
      <c r="I106" s="21">
        <f t="shared" si="8"/>
        <v>944.5777999999998</v>
      </c>
      <c r="J106" s="7" t="s">
        <v>409</v>
      </c>
      <c r="K106" s="17">
        <f t="shared" si="9"/>
        <v>4</v>
      </c>
      <c r="Q106" s="46">
        <f t="shared" si="7"/>
        <v>48.421729799999994</v>
      </c>
    </row>
    <row r="107" spans="1:17" ht="13.95" customHeight="1" x14ac:dyDescent="0.3">
      <c r="A107" s="3">
        <v>45763</v>
      </c>
      <c r="B107" s="19" t="s">
        <v>523</v>
      </c>
      <c r="C107" s="19" t="s">
        <v>8</v>
      </c>
      <c r="D107" s="19" t="s">
        <v>9</v>
      </c>
      <c r="E107" s="4">
        <v>0.82</v>
      </c>
      <c r="F107" s="5">
        <v>1.85</v>
      </c>
      <c r="G107" s="6">
        <v>257</v>
      </c>
      <c r="H107" s="30">
        <v>2.2999999999999998</v>
      </c>
      <c r="I107" s="21">
        <f t="shared" si="8"/>
        <v>896.69869999999992</v>
      </c>
      <c r="J107" s="7" t="s">
        <v>409</v>
      </c>
      <c r="K107" s="17">
        <f t="shared" si="9"/>
        <v>4</v>
      </c>
      <c r="Q107" s="46">
        <f t="shared" si="7"/>
        <v>45.312780240000002</v>
      </c>
    </row>
    <row r="108" spans="1:17" ht="13.95" customHeight="1" x14ac:dyDescent="0.3">
      <c r="A108" s="3">
        <v>45764</v>
      </c>
      <c r="B108" s="19" t="s">
        <v>523</v>
      </c>
      <c r="C108" s="19" t="s">
        <v>11</v>
      </c>
      <c r="D108" s="19" t="s">
        <v>9</v>
      </c>
      <c r="E108" s="4">
        <v>0.78</v>
      </c>
      <c r="F108" s="5">
        <v>1.82</v>
      </c>
      <c r="G108" s="6">
        <v>257</v>
      </c>
      <c r="H108" s="30">
        <v>2.2999999999999998</v>
      </c>
      <c r="I108" s="21">
        <f t="shared" si="8"/>
        <v>839.12556000000006</v>
      </c>
      <c r="J108" s="7" t="s">
        <v>410</v>
      </c>
      <c r="K108" s="17">
        <f t="shared" si="9"/>
        <v>4</v>
      </c>
      <c r="Q108" s="46">
        <f t="shared" si="7"/>
        <v>41.335622999999998</v>
      </c>
    </row>
    <row r="109" spans="1:17" ht="13.95" customHeight="1" x14ac:dyDescent="0.3">
      <c r="A109" s="3">
        <v>45765</v>
      </c>
      <c r="B109" s="19" t="s">
        <v>523</v>
      </c>
      <c r="C109" s="19" t="s">
        <v>13</v>
      </c>
      <c r="D109" s="19" t="s">
        <v>14</v>
      </c>
      <c r="E109" s="4">
        <v>0.7</v>
      </c>
      <c r="F109" s="5">
        <v>1.85</v>
      </c>
      <c r="G109" s="6">
        <v>257</v>
      </c>
      <c r="H109" s="30">
        <v>2.2999999999999998</v>
      </c>
      <c r="I109" s="21">
        <f t="shared" si="8"/>
        <v>765.47449999999992</v>
      </c>
      <c r="J109" s="7" t="s">
        <v>411</v>
      </c>
      <c r="K109" s="17">
        <f t="shared" si="9"/>
        <v>4</v>
      </c>
      <c r="Q109" s="46">
        <f t="shared" si="7"/>
        <v>57.454920000000001</v>
      </c>
    </row>
    <row r="110" spans="1:17" ht="13.95" customHeight="1" x14ac:dyDescent="0.3">
      <c r="A110" s="3">
        <v>45766</v>
      </c>
      <c r="B110" s="19" t="s">
        <v>523</v>
      </c>
      <c r="C110" s="19" t="s">
        <v>16</v>
      </c>
      <c r="D110" s="19" t="s">
        <v>14</v>
      </c>
      <c r="E110" s="4">
        <v>0.75</v>
      </c>
      <c r="F110" s="5">
        <v>2.4</v>
      </c>
      <c r="G110" s="6">
        <v>257</v>
      </c>
      <c r="H110" s="30">
        <v>2.2999999999999998</v>
      </c>
      <c r="I110" s="21">
        <f t="shared" si="8"/>
        <v>1063.98</v>
      </c>
      <c r="J110" s="7" t="s">
        <v>412</v>
      </c>
      <c r="K110" s="17">
        <f t="shared" si="9"/>
        <v>4</v>
      </c>
      <c r="Q110" s="46">
        <f t="shared" si="7"/>
        <v>81.873261000000014</v>
      </c>
    </row>
    <row r="111" spans="1:17" ht="13.95" customHeight="1" x14ac:dyDescent="0.3">
      <c r="A111" s="3">
        <v>45767</v>
      </c>
      <c r="B111" s="19" t="s">
        <v>523</v>
      </c>
      <c r="C111" s="19" t="s">
        <v>18</v>
      </c>
      <c r="D111" s="19" t="s">
        <v>9</v>
      </c>
      <c r="E111" s="4">
        <v>0.9</v>
      </c>
      <c r="F111" s="5">
        <v>2.85</v>
      </c>
      <c r="G111" s="6">
        <v>257</v>
      </c>
      <c r="H111" s="30">
        <v>2.2999999999999998</v>
      </c>
      <c r="I111" s="21">
        <f t="shared" si="8"/>
        <v>1516.1715000000002</v>
      </c>
      <c r="J111" s="7" t="s">
        <v>413</v>
      </c>
      <c r="K111" s="17">
        <f t="shared" si="9"/>
        <v>4</v>
      </c>
      <c r="Q111" s="46">
        <f t="shared" si="7"/>
        <v>44.2881675</v>
      </c>
    </row>
    <row r="112" spans="1:17" ht="13.95" customHeight="1" x14ac:dyDescent="0.3">
      <c r="A112" s="3">
        <v>45768</v>
      </c>
      <c r="B112" s="19" t="s">
        <v>523</v>
      </c>
      <c r="C112" s="19" t="s">
        <v>20</v>
      </c>
      <c r="D112" s="19" t="s">
        <v>9</v>
      </c>
      <c r="E112" s="4">
        <v>0.75</v>
      </c>
      <c r="F112" s="5">
        <v>1.85</v>
      </c>
      <c r="G112" s="6">
        <v>257</v>
      </c>
      <c r="H112" s="30">
        <v>2.2999999999999998</v>
      </c>
      <c r="I112" s="21">
        <f t="shared" si="8"/>
        <v>820.15125</v>
      </c>
      <c r="J112" s="7" t="s">
        <v>286</v>
      </c>
      <c r="K112" s="17">
        <f t="shared" si="9"/>
        <v>4</v>
      </c>
      <c r="Q112" s="46">
        <f t="shared" si="7"/>
        <v>51.54983099999999</v>
      </c>
    </row>
    <row r="113" spans="1:17" ht="13.95" customHeight="1" x14ac:dyDescent="0.3">
      <c r="A113" s="3">
        <v>45769</v>
      </c>
      <c r="B113" s="19" t="s">
        <v>523</v>
      </c>
      <c r="C113" s="19" t="s">
        <v>5</v>
      </c>
      <c r="D113" s="19" t="s">
        <v>9</v>
      </c>
      <c r="E113" s="4">
        <v>0.85</v>
      </c>
      <c r="F113" s="5">
        <v>1.9</v>
      </c>
      <c r="G113" s="6">
        <v>257</v>
      </c>
      <c r="H113" s="30">
        <v>2.2999999999999998</v>
      </c>
      <c r="I113" s="21">
        <f t="shared" si="8"/>
        <v>954.62649999999985</v>
      </c>
      <c r="J113" s="7" t="s">
        <v>286</v>
      </c>
      <c r="K113" s="17">
        <f t="shared" si="9"/>
        <v>4</v>
      </c>
      <c r="Q113" s="46">
        <f t="shared" si="7"/>
        <v>48.68346888</v>
      </c>
    </row>
    <row r="114" spans="1:17" ht="13.95" customHeight="1" x14ac:dyDescent="0.3">
      <c r="A114" s="3">
        <v>45770</v>
      </c>
      <c r="B114" s="19" t="s">
        <v>523</v>
      </c>
      <c r="C114" s="19" t="s">
        <v>8</v>
      </c>
      <c r="D114" s="19" t="s">
        <v>9</v>
      </c>
      <c r="E114" s="4">
        <v>0.82</v>
      </c>
      <c r="F114" s="5">
        <v>1.86</v>
      </c>
      <c r="G114" s="6">
        <v>257</v>
      </c>
      <c r="H114" s="30">
        <v>2.2999999999999998</v>
      </c>
      <c r="I114" s="21">
        <f t="shared" si="8"/>
        <v>901.54571999999996</v>
      </c>
      <c r="J114" s="7" t="s">
        <v>414</v>
      </c>
      <c r="K114" s="17">
        <f t="shared" si="9"/>
        <v>4</v>
      </c>
      <c r="Q114" s="46">
        <f t="shared" si="7"/>
        <v>45.312780240000002</v>
      </c>
    </row>
    <row r="115" spans="1:17" ht="13.95" customHeight="1" x14ac:dyDescent="0.3">
      <c r="A115" s="3">
        <v>45771</v>
      </c>
      <c r="B115" s="19" t="s">
        <v>523</v>
      </c>
      <c r="C115" s="19" t="s">
        <v>11</v>
      </c>
      <c r="D115" s="19" t="s">
        <v>9</v>
      </c>
      <c r="E115" s="4">
        <v>0.78</v>
      </c>
      <c r="F115" s="5">
        <v>1.82</v>
      </c>
      <c r="G115" s="6">
        <v>257</v>
      </c>
      <c r="H115" s="30">
        <v>2.2999999999999998</v>
      </c>
      <c r="I115" s="21">
        <f t="shared" si="8"/>
        <v>839.12556000000006</v>
      </c>
      <c r="J115" s="7" t="s">
        <v>415</v>
      </c>
      <c r="K115" s="17">
        <f t="shared" si="9"/>
        <v>4</v>
      </c>
      <c r="Q115" s="46">
        <f t="shared" si="7"/>
        <v>41.367542399999998</v>
      </c>
    </row>
    <row r="116" spans="1:17" ht="13.95" customHeight="1" x14ac:dyDescent="0.3">
      <c r="A116" s="3">
        <v>45772</v>
      </c>
      <c r="B116" s="19" t="s">
        <v>523</v>
      </c>
      <c r="C116" s="19" t="s">
        <v>13</v>
      </c>
      <c r="D116" s="19" t="s">
        <v>14</v>
      </c>
      <c r="E116" s="4">
        <v>0.72</v>
      </c>
      <c r="F116" s="5">
        <v>1.8</v>
      </c>
      <c r="G116" s="6">
        <v>257</v>
      </c>
      <c r="H116" s="30">
        <v>2.2999999999999998</v>
      </c>
      <c r="I116" s="21">
        <f t="shared" si="8"/>
        <v>766.0655999999999</v>
      </c>
      <c r="J116" s="7" t="s">
        <v>416</v>
      </c>
      <c r="K116" s="17">
        <f t="shared" si="9"/>
        <v>4</v>
      </c>
      <c r="Q116" s="46">
        <f t="shared" si="7"/>
        <v>51.007201200000004</v>
      </c>
    </row>
    <row r="117" spans="1:17" ht="13.95" customHeight="1" x14ac:dyDescent="0.3">
      <c r="A117" s="3">
        <v>45773</v>
      </c>
      <c r="B117" s="19" t="s">
        <v>523</v>
      </c>
      <c r="C117" s="19" t="s">
        <v>16</v>
      </c>
      <c r="D117" s="19" t="s">
        <v>14</v>
      </c>
      <c r="E117" s="4">
        <v>0.68</v>
      </c>
      <c r="F117" s="5">
        <v>2.35</v>
      </c>
      <c r="G117" s="6">
        <v>257</v>
      </c>
      <c r="H117" s="30">
        <v>2.2999999999999998</v>
      </c>
      <c r="I117" s="21">
        <f t="shared" si="8"/>
        <v>944.57780000000014</v>
      </c>
      <c r="J117" s="7" t="s">
        <v>69</v>
      </c>
      <c r="K117" s="17">
        <f t="shared" si="9"/>
        <v>4</v>
      </c>
      <c r="Q117" s="46">
        <f t="shared" si="7"/>
        <v>65.977399800000001</v>
      </c>
    </row>
    <row r="118" spans="1:17" ht="13.95" customHeight="1" x14ac:dyDescent="0.3">
      <c r="A118" s="3">
        <v>45774</v>
      </c>
      <c r="B118" s="19" t="s">
        <v>523</v>
      </c>
      <c r="C118" s="19" t="s">
        <v>18</v>
      </c>
      <c r="D118" s="19" t="s">
        <v>9</v>
      </c>
      <c r="E118" s="4">
        <v>0.78</v>
      </c>
      <c r="F118" s="5">
        <v>2.65</v>
      </c>
      <c r="G118" s="6">
        <v>257</v>
      </c>
      <c r="H118" s="30">
        <v>2.2999999999999998</v>
      </c>
      <c r="I118" s="21">
        <f t="shared" si="8"/>
        <v>1221.8036999999999</v>
      </c>
      <c r="J118" s="7" t="s">
        <v>65</v>
      </c>
      <c r="K118" s="17">
        <f t="shared" si="9"/>
        <v>4</v>
      </c>
      <c r="Q118" s="46">
        <f t="shared" si="7"/>
        <v>47.240712000000002</v>
      </c>
    </row>
    <row r="119" spans="1:17" ht="13.95" customHeight="1" x14ac:dyDescent="0.3">
      <c r="A119" s="3">
        <v>45775</v>
      </c>
      <c r="B119" s="19" t="s">
        <v>523</v>
      </c>
      <c r="C119" s="19" t="s">
        <v>20</v>
      </c>
      <c r="D119" s="19" t="s">
        <v>9</v>
      </c>
      <c r="E119" s="4">
        <v>0.8</v>
      </c>
      <c r="F119" s="5">
        <v>1.85</v>
      </c>
      <c r="G119" s="6">
        <v>257</v>
      </c>
      <c r="H119" s="30">
        <v>2.2999999999999998</v>
      </c>
      <c r="I119" s="21">
        <f t="shared" si="8"/>
        <v>874.82800000000009</v>
      </c>
      <c r="J119" s="7" t="s">
        <v>65</v>
      </c>
      <c r="K119" s="17">
        <f t="shared" si="9"/>
        <v>4</v>
      </c>
      <c r="Q119" s="46">
        <f t="shared" si="7"/>
        <v>49.206947039999989</v>
      </c>
    </row>
    <row r="120" spans="1:17" ht="13.95" customHeight="1" x14ac:dyDescent="0.3">
      <c r="A120" s="3">
        <v>45776</v>
      </c>
      <c r="B120" s="19" t="s">
        <v>523</v>
      </c>
      <c r="C120" s="19" t="s">
        <v>5</v>
      </c>
      <c r="D120" s="19" t="s">
        <v>9</v>
      </c>
      <c r="E120" s="4">
        <v>0.82</v>
      </c>
      <c r="F120" s="5">
        <v>1.88</v>
      </c>
      <c r="G120" s="6">
        <v>257</v>
      </c>
      <c r="H120" s="30">
        <v>2.2999999999999998</v>
      </c>
      <c r="I120" s="21">
        <f t="shared" si="8"/>
        <v>911.23975999999982</v>
      </c>
      <c r="J120" s="7" t="s">
        <v>286</v>
      </c>
      <c r="K120" s="17">
        <f t="shared" si="9"/>
        <v>4</v>
      </c>
      <c r="Q120" s="46">
        <f t="shared" si="7"/>
        <v>50.464571399999997</v>
      </c>
    </row>
    <row r="121" spans="1:17" ht="13.95" customHeight="1" x14ac:dyDescent="0.3">
      <c r="A121" s="3">
        <v>45777</v>
      </c>
      <c r="B121" s="19" t="s">
        <v>523</v>
      </c>
      <c r="C121" s="19" t="s">
        <v>8</v>
      </c>
      <c r="D121" s="19" t="s">
        <v>9</v>
      </c>
      <c r="E121" s="4">
        <v>0.85</v>
      </c>
      <c r="F121" s="5">
        <v>1.86</v>
      </c>
      <c r="G121" s="6">
        <v>257</v>
      </c>
      <c r="H121" s="30">
        <v>2.2999999999999998</v>
      </c>
      <c r="I121" s="21">
        <f t="shared" si="8"/>
        <v>934.52909999999997</v>
      </c>
      <c r="J121" s="7" t="s">
        <v>133</v>
      </c>
      <c r="K121" s="17">
        <f t="shared" si="9"/>
        <v>4</v>
      </c>
      <c r="Q121" s="46">
        <f t="shared" si="7"/>
        <v>57.454920000000001</v>
      </c>
    </row>
    <row r="122" spans="1:17" ht="13.95" customHeight="1" x14ac:dyDescent="0.3">
      <c r="A122" s="3">
        <v>45778</v>
      </c>
      <c r="B122" s="19" t="s">
        <v>523</v>
      </c>
      <c r="C122" s="19" t="s">
        <v>11</v>
      </c>
      <c r="D122" s="19" t="s">
        <v>134</v>
      </c>
      <c r="E122" s="4">
        <v>0.75</v>
      </c>
      <c r="F122" s="5">
        <v>2.4</v>
      </c>
      <c r="G122" s="6">
        <v>257</v>
      </c>
      <c r="H122" s="30">
        <v>2.2999999999999998</v>
      </c>
      <c r="I122" s="21">
        <f t="shared" si="8"/>
        <v>1063.98</v>
      </c>
      <c r="J122" s="7" t="s">
        <v>417</v>
      </c>
      <c r="K122" s="17">
        <f t="shared" si="9"/>
        <v>5</v>
      </c>
      <c r="Q122" s="46">
        <f t="shared" si="7"/>
        <v>46.921517999999992</v>
      </c>
    </row>
    <row r="123" spans="1:17" ht="13.95" customHeight="1" x14ac:dyDescent="0.3">
      <c r="A123" s="3">
        <v>45779</v>
      </c>
      <c r="B123" s="19" t="s">
        <v>523</v>
      </c>
      <c r="C123" s="19" t="s">
        <v>13</v>
      </c>
      <c r="D123" s="19" t="s">
        <v>14</v>
      </c>
      <c r="E123" s="4">
        <v>0.7</v>
      </c>
      <c r="F123" s="5">
        <v>2.1</v>
      </c>
      <c r="G123" s="6">
        <v>257</v>
      </c>
      <c r="H123" s="30">
        <v>2.2999999999999998</v>
      </c>
      <c r="I123" s="21">
        <f t="shared" si="8"/>
        <v>868.91699999999992</v>
      </c>
      <c r="J123" s="7" t="s">
        <v>418</v>
      </c>
      <c r="K123" s="17">
        <f t="shared" si="9"/>
        <v>5</v>
      </c>
      <c r="Q123" s="46">
        <f t="shared" si="7"/>
        <v>54.007624799999995</v>
      </c>
    </row>
    <row r="124" spans="1:17" ht="13.95" customHeight="1" x14ac:dyDescent="0.3">
      <c r="A124" s="3">
        <v>45780</v>
      </c>
      <c r="B124" s="19" t="s">
        <v>523</v>
      </c>
      <c r="C124" s="19" t="s">
        <v>16</v>
      </c>
      <c r="D124" s="19" t="s">
        <v>14</v>
      </c>
      <c r="E124" s="4">
        <v>0.72</v>
      </c>
      <c r="F124" s="5">
        <v>2.35</v>
      </c>
      <c r="G124" s="6">
        <v>257</v>
      </c>
      <c r="H124" s="30">
        <v>2.2999999999999998</v>
      </c>
      <c r="I124" s="21">
        <f t="shared" si="8"/>
        <v>1000.1411999999999</v>
      </c>
      <c r="J124" s="7" t="s">
        <v>238</v>
      </c>
      <c r="K124" s="17">
        <f t="shared" si="9"/>
        <v>5</v>
      </c>
      <c r="Q124" s="46">
        <f t="shared" si="7"/>
        <v>73.255022999999994</v>
      </c>
    </row>
    <row r="125" spans="1:17" ht="13.95" customHeight="1" x14ac:dyDescent="0.3">
      <c r="A125" s="3">
        <v>45781</v>
      </c>
      <c r="B125" s="19" t="s">
        <v>523</v>
      </c>
      <c r="C125" s="19" t="s">
        <v>18</v>
      </c>
      <c r="D125" s="19" t="s">
        <v>9</v>
      </c>
      <c r="E125" s="4">
        <v>0.85</v>
      </c>
      <c r="F125" s="5">
        <v>2.7</v>
      </c>
      <c r="G125" s="6">
        <v>257</v>
      </c>
      <c r="H125" s="30">
        <v>2.2999999999999998</v>
      </c>
      <c r="I125" s="21">
        <f t="shared" si="8"/>
        <v>1356.5744999999999</v>
      </c>
      <c r="J125" s="7" t="s">
        <v>342</v>
      </c>
      <c r="K125" s="17">
        <f t="shared" si="9"/>
        <v>5</v>
      </c>
      <c r="Q125" s="46">
        <f t="shared" si="7"/>
        <v>49.206947039999989</v>
      </c>
    </row>
    <row r="126" spans="1:17" ht="13.95" customHeight="1" x14ac:dyDescent="0.3">
      <c r="A126" s="3">
        <v>45782</v>
      </c>
      <c r="B126" s="19" t="s">
        <v>523</v>
      </c>
      <c r="C126" s="19" t="s">
        <v>20</v>
      </c>
      <c r="D126" s="19" t="s">
        <v>9</v>
      </c>
      <c r="E126" s="4">
        <v>0.82</v>
      </c>
      <c r="F126" s="5">
        <v>1.88</v>
      </c>
      <c r="G126" s="6">
        <v>257</v>
      </c>
      <c r="H126" s="30">
        <v>2.2999999999999998</v>
      </c>
      <c r="I126" s="21">
        <f t="shared" si="8"/>
        <v>911.23975999999982</v>
      </c>
      <c r="J126" s="7" t="s">
        <v>343</v>
      </c>
      <c r="K126" s="17">
        <f t="shared" si="9"/>
        <v>5</v>
      </c>
      <c r="Q126" s="46">
        <f t="shared" si="7"/>
        <v>53.369236799999996</v>
      </c>
    </row>
    <row r="127" spans="1:17" ht="13.95" customHeight="1" x14ac:dyDescent="0.3">
      <c r="A127" s="3">
        <v>45783</v>
      </c>
      <c r="B127" s="19" t="s">
        <v>523</v>
      </c>
      <c r="C127" s="19" t="s">
        <v>5</v>
      </c>
      <c r="D127" s="19" t="s">
        <v>9</v>
      </c>
      <c r="E127" s="4">
        <v>0.88</v>
      </c>
      <c r="F127" s="5">
        <v>1.9</v>
      </c>
      <c r="G127" s="6">
        <v>257</v>
      </c>
      <c r="H127" s="30">
        <v>2.2999999999999998</v>
      </c>
      <c r="I127" s="21">
        <f t="shared" si="8"/>
        <v>988.31919999999991</v>
      </c>
      <c r="J127" s="7" t="s">
        <v>141</v>
      </c>
      <c r="K127" s="17">
        <f t="shared" si="9"/>
        <v>5</v>
      </c>
      <c r="Q127" s="46">
        <f t="shared" si="7"/>
        <v>51.00720119999999</v>
      </c>
    </row>
    <row r="128" spans="1:17" ht="13.95" customHeight="1" x14ac:dyDescent="0.3">
      <c r="A128" s="3">
        <v>45784</v>
      </c>
      <c r="B128" s="19" t="s">
        <v>523</v>
      </c>
      <c r="C128" s="19" t="s">
        <v>8</v>
      </c>
      <c r="D128" s="19" t="s">
        <v>9</v>
      </c>
      <c r="E128" s="4">
        <v>0.85</v>
      </c>
      <c r="F128" s="5">
        <v>1.88</v>
      </c>
      <c r="G128" s="6">
        <v>257</v>
      </c>
      <c r="H128" s="30">
        <v>2.2999999999999998</v>
      </c>
      <c r="I128" s="21">
        <f t="shared" si="8"/>
        <v>944.5777999999998</v>
      </c>
      <c r="J128" s="7" t="s">
        <v>142</v>
      </c>
      <c r="K128" s="17">
        <f t="shared" si="9"/>
        <v>5</v>
      </c>
      <c r="Q128" s="46">
        <f t="shared" si="7"/>
        <v>47.240712000000002</v>
      </c>
    </row>
    <row r="129" spans="1:17" ht="13.95" customHeight="1" x14ac:dyDescent="0.3">
      <c r="A129" s="3">
        <v>45785</v>
      </c>
      <c r="B129" s="19" t="s">
        <v>523</v>
      </c>
      <c r="C129" s="19" t="s">
        <v>11</v>
      </c>
      <c r="D129" s="19" t="s">
        <v>9</v>
      </c>
      <c r="E129" s="4">
        <v>0.8</v>
      </c>
      <c r="F129" s="5">
        <v>1.85</v>
      </c>
      <c r="G129" s="6">
        <v>257</v>
      </c>
      <c r="H129" s="30">
        <v>2.2999999999999998</v>
      </c>
      <c r="I129" s="21">
        <f t="shared" si="8"/>
        <v>874.82800000000009</v>
      </c>
      <c r="J129" s="7" t="s">
        <v>53</v>
      </c>
      <c r="K129" s="17">
        <f t="shared" si="9"/>
        <v>5</v>
      </c>
      <c r="Q129" s="46">
        <f t="shared" si="7"/>
        <v>44.2881675</v>
      </c>
    </row>
    <row r="130" spans="1:17" ht="13.95" customHeight="1" x14ac:dyDescent="0.3">
      <c r="A130" s="3">
        <v>45786</v>
      </c>
      <c r="B130" s="19" t="s">
        <v>523</v>
      </c>
      <c r="C130" s="19" t="s">
        <v>13</v>
      </c>
      <c r="D130" s="19" t="s">
        <v>14</v>
      </c>
      <c r="E130" s="4">
        <v>0.75</v>
      </c>
      <c r="F130" s="5">
        <v>1.85</v>
      </c>
      <c r="G130" s="6">
        <v>257</v>
      </c>
      <c r="H130" s="30">
        <v>2.2999999999999998</v>
      </c>
      <c r="I130" s="21">
        <f t="shared" si="8"/>
        <v>820.15125</v>
      </c>
      <c r="J130" s="7" t="s">
        <v>419</v>
      </c>
      <c r="K130" s="17">
        <f t="shared" si="9"/>
        <v>5</v>
      </c>
      <c r="Q130" s="46">
        <f t="shared" ref="Q130:Q193" si="10">I131*0.054</f>
        <v>51.390233999999985</v>
      </c>
    </row>
    <row r="131" spans="1:17" ht="13.95" customHeight="1" x14ac:dyDescent="0.3">
      <c r="A131" s="3">
        <v>45787</v>
      </c>
      <c r="B131" s="19" t="s">
        <v>523</v>
      </c>
      <c r="C131" s="19" t="s">
        <v>16</v>
      </c>
      <c r="D131" s="19" t="s">
        <v>14</v>
      </c>
      <c r="E131" s="4">
        <v>0.7</v>
      </c>
      <c r="F131" s="5">
        <v>2.2999999999999998</v>
      </c>
      <c r="G131" s="6">
        <v>257</v>
      </c>
      <c r="H131" s="30">
        <v>2.2999999999999998</v>
      </c>
      <c r="I131" s="21">
        <f t="shared" si="8"/>
        <v>951.67099999999971</v>
      </c>
      <c r="J131" s="7" t="s">
        <v>69</v>
      </c>
      <c r="K131" s="17">
        <f t="shared" si="9"/>
        <v>5</v>
      </c>
      <c r="Q131" s="46">
        <f t="shared" si="10"/>
        <v>69.360856199999986</v>
      </c>
    </row>
    <row r="132" spans="1:17" ht="13.95" customHeight="1" x14ac:dyDescent="0.3">
      <c r="A132" s="3">
        <v>45788</v>
      </c>
      <c r="B132" s="19" t="s">
        <v>523</v>
      </c>
      <c r="C132" s="19" t="s">
        <v>18</v>
      </c>
      <c r="D132" s="19" t="s">
        <v>9</v>
      </c>
      <c r="E132" s="4">
        <v>0.82</v>
      </c>
      <c r="F132" s="5">
        <v>2.65</v>
      </c>
      <c r="G132" s="6">
        <v>257</v>
      </c>
      <c r="H132" s="30">
        <v>2.2999999999999998</v>
      </c>
      <c r="I132" s="21">
        <f t="shared" ref="I132:I195" si="11">(G132*E132)*H132*F132</f>
        <v>1284.4602999999997</v>
      </c>
      <c r="J132" s="7" t="s">
        <v>362</v>
      </c>
      <c r="K132" s="17">
        <f t="shared" si="9"/>
        <v>5</v>
      </c>
      <c r="Q132" s="46">
        <f t="shared" si="10"/>
        <v>43.569980999999999</v>
      </c>
    </row>
    <row r="133" spans="1:17" ht="13.95" customHeight="1" x14ac:dyDescent="0.3">
      <c r="A133" s="3">
        <v>45789</v>
      </c>
      <c r="B133" s="19" t="s">
        <v>523</v>
      </c>
      <c r="C133" s="19" t="s">
        <v>20</v>
      </c>
      <c r="D133" s="19" t="s">
        <v>9</v>
      </c>
      <c r="E133" s="4">
        <v>0.65</v>
      </c>
      <c r="F133" s="5">
        <v>2.1</v>
      </c>
      <c r="G133" s="6">
        <v>257</v>
      </c>
      <c r="H133" s="30">
        <v>2.2999999999999998</v>
      </c>
      <c r="I133" s="21">
        <f t="shared" si="11"/>
        <v>806.85149999999999</v>
      </c>
      <c r="J133" s="7" t="s">
        <v>286</v>
      </c>
      <c r="K133" s="17">
        <f t="shared" si="9"/>
        <v>5</v>
      </c>
      <c r="Q133" s="46">
        <f t="shared" si="10"/>
        <v>50.407116479999992</v>
      </c>
    </row>
    <row r="134" spans="1:17" ht="13.95" customHeight="1" x14ac:dyDescent="0.3">
      <c r="A134" s="3">
        <v>45790</v>
      </c>
      <c r="B134" s="19" t="s">
        <v>523</v>
      </c>
      <c r="C134" s="19" t="s">
        <v>5</v>
      </c>
      <c r="D134" s="19" t="s">
        <v>9</v>
      </c>
      <c r="E134" s="4">
        <v>0.84</v>
      </c>
      <c r="F134" s="5">
        <v>1.88</v>
      </c>
      <c r="G134" s="6">
        <v>257</v>
      </c>
      <c r="H134" s="30">
        <v>2.2999999999999998</v>
      </c>
      <c r="I134" s="21">
        <f t="shared" si="11"/>
        <v>933.46511999999984</v>
      </c>
      <c r="J134" s="7" t="s">
        <v>143</v>
      </c>
      <c r="K134" s="17">
        <f t="shared" si="9"/>
        <v>5</v>
      </c>
      <c r="Q134" s="46">
        <f t="shared" si="10"/>
        <v>48.68346888</v>
      </c>
    </row>
    <row r="135" spans="1:17" ht="13.95" customHeight="1" x14ac:dyDescent="0.3">
      <c r="A135" s="3">
        <v>45791</v>
      </c>
      <c r="B135" s="19" t="s">
        <v>523</v>
      </c>
      <c r="C135" s="19" t="s">
        <v>8</v>
      </c>
      <c r="D135" s="19" t="s">
        <v>9</v>
      </c>
      <c r="E135" s="4">
        <v>0.82</v>
      </c>
      <c r="F135" s="5">
        <v>1.86</v>
      </c>
      <c r="G135" s="6">
        <v>257</v>
      </c>
      <c r="H135" s="30">
        <v>2.2999999999999998</v>
      </c>
      <c r="I135" s="21">
        <f t="shared" si="11"/>
        <v>901.54571999999996</v>
      </c>
      <c r="J135" s="7" t="s">
        <v>286</v>
      </c>
      <c r="K135" s="17">
        <f t="shared" si="9"/>
        <v>5</v>
      </c>
      <c r="Q135" s="46">
        <f t="shared" si="10"/>
        <v>47.240712000000002</v>
      </c>
    </row>
    <row r="136" spans="1:17" ht="13.95" customHeight="1" x14ac:dyDescent="0.3">
      <c r="A136" s="3">
        <v>45792</v>
      </c>
      <c r="B136" s="19" t="s">
        <v>523</v>
      </c>
      <c r="C136" s="19" t="s">
        <v>11</v>
      </c>
      <c r="D136" s="19" t="s">
        <v>9</v>
      </c>
      <c r="E136" s="4">
        <v>0.8</v>
      </c>
      <c r="F136" s="5">
        <v>1.85</v>
      </c>
      <c r="G136" s="6">
        <v>257</v>
      </c>
      <c r="H136" s="30">
        <v>2.2999999999999998</v>
      </c>
      <c r="I136" s="21">
        <f t="shared" si="11"/>
        <v>874.82800000000009</v>
      </c>
      <c r="J136" s="7" t="s">
        <v>420</v>
      </c>
      <c r="K136" s="17">
        <f t="shared" si="9"/>
        <v>5</v>
      </c>
      <c r="Q136" s="46">
        <f t="shared" si="10"/>
        <v>43.569980999999999</v>
      </c>
    </row>
    <row r="137" spans="1:17" ht="13.95" customHeight="1" x14ac:dyDescent="0.3">
      <c r="A137" s="3">
        <v>45793</v>
      </c>
      <c r="B137" s="19" t="s">
        <v>523</v>
      </c>
      <c r="C137" s="19" t="s">
        <v>13</v>
      </c>
      <c r="D137" s="19" t="s">
        <v>14</v>
      </c>
      <c r="E137" s="4">
        <v>0.75</v>
      </c>
      <c r="F137" s="5">
        <v>1.82</v>
      </c>
      <c r="G137" s="6">
        <v>257</v>
      </c>
      <c r="H137" s="30">
        <v>2.2999999999999998</v>
      </c>
      <c r="I137" s="21">
        <f t="shared" si="11"/>
        <v>806.85149999999999</v>
      </c>
      <c r="J137" s="7" t="s">
        <v>421</v>
      </c>
      <c r="K137" s="17">
        <f t="shared" si="9"/>
        <v>5</v>
      </c>
      <c r="Q137" s="46">
        <f t="shared" si="10"/>
        <v>51.007201200000004</v>
      </c>
    </row>
    <row r="138" spans="1:17" ht="13.95" customHeight="1" x14ac:dyDescent="0.3">
      <c r="A138" s="3">
        <v>45794</v>
      </c>
      <c r="B138" s="19" t="s">
        <v>523</v>
      </c>
      <c r="C138" s="19" t="s">
        <v>16</v>
      </c>
      <c r="D138" s="19" t="s">
        <v>14</v>
      </c>
      <c r="E138" s="4">
        <v>0.68</v>
      </c>
      <c r="F138" s="5">
        <v>2.35</v>
      </c>
      <c r="G138" s="6">
        <v>257</v>
      </c>
      <c r="H138" s="30">
        <v>2.2999999999999998</v>
      </c>
      <c r="I138" s="21">
        <f t="shared" si="11"/>
        <v>944.57780000000014</v>
      </c>
      <c r="J138" s="7" t="s">
        <v>48</v>
      </c>
      <c r="K138" s="17">
        <f t="shared" si="9"/>
        <v>5</v>
      </c>
      <c r="Q138" s="46">
        <f t="shared" si="10"/>
        <v>65.977399800000001</v>
      </c>
    </row>
    <row r="139" spans="1:17" ht="13.95" customHeight="1" x14ac:dyDescent="0.3">
      <c r="A139" s="3">
        <v>45795</v>
      </c>
      <c r="B139" s="19" t="s">
        <v>523</v>
      </c>
      <c r="C139" s="19" t="s">
        <v>18</v>
      </c>
      <c r="D139" s="19" t="s">
        <v>9</v>
      </c>
      <c r="E139" s="4">
        <v>0.78</v>
      </c>
      <c r="F139" s="5">
        <v>2.65</v>
      </c>
      <c r="G139" s="6">
        <v>257</v>
      </c>
      <c r="H139" s="30">
        <v>2.2999999999999998</v>
      </c>
      <c r="I139" s="21">
        <f t="shared" si="11"/>
        <v>1221.8036999999999</v>
      </c>
      <c r="J139" s="7" t="s">
        <v>286</v>
      </c>
      <c r="K139" s="17">
        <f t="shared" si="9"/>
        <v>5</v>
      </c>
      <c r="Q139" s="46">
        <f t="shared" si="10"/>
        <v>48.006777599999992</v>
      </c>
    </row>
    <row r="140" spans="1:17" ht="13.95" customHeight="1" x14ac:dyDescent="0.3">
      <c r="A140" s="3">
        <v>45796</v>
      </c>
      <c r="B140" s="19" t="s">
        <v>523</v>
      </c>
      <c r="C140" s="19" t="s">
        <v>20</v>
      </c>
      <c r="D140" s="19" t="s">
        <v>9</v>
      </c>
      <c r="E140" s="4">
        <v>0.8</v>
      </c>
      <c r="F140" s="5">
        <v>1.88</v>
      </c>
      <c r="G140" s="6">
        <v>257</v>
      </c>
      <c r="H140" s="30">
        <v>2.2999999999999998</v>
      </c>
      <c r="I140" s="21">
        <f t="shared" si="11"/>
        <v>889.01439999999991</v>
      </c>
      <c r="J140" s="7" t="s">
        <v>286</v>
      </c>
      <c r="K140" s="17">
        <f t="shared" si="9"/>
        <v>5</v>
      </c>
      <c r="Q140" s="46">
        <f t="shared" si="10"/>
        <v>52.156299599999997</v>
      </c>
    </row>
    <row r="141" spans="1:17" ht="13.95" customHeight="1" x14ac:dyDescent="0.3">
      <c r="A141" s="3">
        <v>45797</v>
      </c>
      <c r="B141" s="19" t="s">
        <v>523</v>
      </c>
      <c r="C141" s="19" t="s">
        <v>5</v>
      </c>
      <c r="D141" s="19" t="s">
        <v>9</v>
      </c>
      <c r="E141" s="4">
        <v>0.86</v>
      </c>
      <c r="F141" s="5">
        <v>1.9</v>
      </c>
      <c r="G141" s="6">
        <v>257</v>
      </c>
      <c r="H141" s="30">
        <v>2.2999999999999998</v>
      </c>
      <c r="I141" s="21">
        <f t="shared" si="11"/>
        <v>965.85739999999998</v>
      </c>
      <c r="J141" s="7" t="s">
        <v>143</v>
      </c>
      <c r="K141" s="17">
        <f t="shared" si="9"/>
        <v>5</v>
      </c>
      <c r="Q141" s="46">
        <f t="shared" si="10"/>
        <v>50.407116479999992</v>
      </c>
    </row>
    <row r="142" spans="1:17" ht="13.95" customHeight="1" x14ac:dyDescent="0.3">
      <c r="A142" s="3">
        <v>45798</v>
      </c>
      <c r="B142" s="19" t="s">
        <v>523</v>
      </c>
      <c r="C142" s="19" t="s">
        <v>8</v>
      </c>
      <c r="D142" s="19" t="s">
        <v>9</v>
      </c>
      <c r="E142" s="4">
        <v>0.84</v>
      </c>
      <c r="F142" s="5">
        <v>1.88</v>
      </c>
      <c r="G142" s="6">
        <v>257</v>
      </c>
      <c r="H142" s="30">
        <v>2.2999999999999998</v>
      </c>
      <c r="I142" s="21">
        <f t="shared" si="11"/>
        <v>933.46511999999984</v>
      </c>
      <c r="J142" s="7" t="s">
        <v>286</v>
      </c>
      <c r="K142" s="17">
        <f t="shared" si="9"/>
        <v>5</v>
      </c>
      <c r="Q142" s="46">
        <f t="shared" si="10"/>
        <v>47.240712000000002</v>
      </c>
    </row>
    <row r="143" spans="1:17" ht="13.95" customHeight="1" x14ac:dyDescent="0.3">
      <c r="A143" s="3">
        <v>45799</v>
      </c>
      <c r="B143" s="19" t="s">
        <v>523</v>
      </c>
      <c r="C143" s="19" t="s">
        <v>11</v>
      </c>
      <c r="D143" s="19" t="s">
        <v>9</v>
      </c>
      <c r="E143" s="4">
        <v>0.8</v>
      </c>
      <c r="F143" s="5">
        <v>1.85</v>
      </c>
      <c r="G143" s="6">
        <v>257</v>
      </c>
      <c r="H143" s="30">
        <v>2.2999999999999998</v>
      </c>
      <c r="I143" s="21">
        <f t="shared" si="11"/>
        <v>874.82800000000009</v>
      </c>
      <c r="J143" s="7" t="s">
        <v>422</v>
      </c>
      <c r="K143" s="17">
        <f t="shared" si="9"/>
        <v>5</v>
      </c>
      <c r="Q143" s="46">
        <f t="shared" si="10"/>
        <v>41.827181759999995</v>
      </c>
    </row>
    <row r="144" spans="1:17" ht="13.95" customHeight="1" x14ac:dyDescent="0.3">
      <c r="A144" s="3">
        <v>45800</v>
      </c>
      <c r="B144" s="19" t="s">
        <v>523</v>
      </c>
      <c r="C144" s="19" t="s">
        <v>13</v>
      </c>
      <c r="D144" s="19" t="s">
        <v>14</v>
      </c>
      <c r="E144" s="4">
        <v>0.72</v>
      </c>
      <c r="F144" s="5">
        <v>1.82</v>
      </c>
      <c r="G144" s="6">
        <v>257</v>
      </c>
      <c r="H144" s="30">
        <v>2.2999999999999998</v>
      </c>
      <c r="I144" s="21">
        <f t="shared" si="11"/>
        <v>774.57743999999991</v>
      </c>
      <c r="J144" s="7" t="s">
        <v>423</v>
      </c>
      <c r="K144" s="17">
        <f t="shared" si="9"/>
        <v>5</v>
      </c>
      <c r="Q144" s="46">
        <f t="shared" si="10"/>
        <v>58.651897499999997</v>
      </c>
    </row>
    <row r="145" spans="1:17" ht="13.95" customHeight="1" x14ac:dyDescent="0.3">
      <c r="A145" s="3">
        <v>45801</v>
      </c>
      <c r="B145" s="19" t="s">
        <v>523</v>
      </c>
      <c r="C145" s="19" t="s">
        <v>16</v>
      </c>
      <c r="D145" s="19" t="s">
        <v>14</v>
      </c>
      <c r="E145" s="4">
        <v>0.75</v>
      </c>
      <c r="F145" s="5">
        <v>2.4500000000000002</v>
      </c>
      <c r="G145" s="6">
        <v>257</v>
      </c>
      <c r="H145" s="30">
        <v>2.2999999999999998</v>
      </c>
      <c r="I145" s="21">
        <f t="shared" si="11"/>
        <v>1086.14625</v>
      </c>
      <c r="J145" s="7" t="s">
        <v>69</v>
      </c>
      <c r="K145" s="17">
        <f t="shared" ref="K145:K208" si="12">MONTH(A145)</f>
        <v>5</v>
      </c>
      <c r="Q145" s="46">
        <f t="shared" si="10"/>
        <v>78.64940159999999</v>
      </c>
    </row>
    <row r="146" spans="1:17" ht="13.95" customHeight="1" x14ac:dyDescent="0.3">
      <c r="A146" s="3">
        <v>45802</v>
      </c>
      <c r="B146" s="19" t="s">
        <v>523</v>
      </c>
      <c r="C146" s="19" t="s">
        <v>18</v>
      </c>
      <c r="D146" s="19" t="s">
        <v>9</v>
      </c>
      <c r="E146" s="4">
        <v>0.88</v>
      </c>
      <c r="F146" s="5">
        <v>2.8</v>
      </c>
      <c r="G146" s="6">
        <v>257</v>
      </c>
      <c r="H146" s="30">
        <v>2.2999999999999998</v>
      </c>
      <c r="I146" s="21">
        <f t="shared" si="11"/>
        <v>1456.4703999999999</v>
      </c>
      <c r="J146" s="7" t="s">
        <v>151</v>
      </c>
      <c r="K146" s="17">
        <f t="shared" si="12"/>
        <v>5</v>
      </c>
      <c r="Q146" s="46">
        <f t="shared" si="10"/>
        <v>47.240712000000002</v>
      </c>
    </row>
    <row r="147" spans="1:17" ht="13.95" customHeight="1" x14ac:dyDescent="0.3">
      <c r="A147" s="3">
        <v>45803</v>
      </c>
      <c r="B147" s="19" t="s">
        <v>523</v>
      </c>
      <c r="C147" s="19" t="s">
        <v>20</v>
      </c>
      <c r="D147" s="19" t="s">
        <v>9</v>
      </c>
      <c r="E147" s="4">
        <v>0.8</v>
      </c>
      <c r="F147" s="5">
        <v>1.85</v>
      </c>
      <c r="G147" s="6">
        <v>257</v>
      </c>
      <c r="H147" s="30">
        <v>2.2999999999999998</v>
      </c>
      <c r="I147" s="21">
        <f t="shared" si="11"/>
        <v>874.82800000000009</v>
      </c>
      <c r="J147" s="7" t="s">
        <v>286</v>
      </c>
      <c r="K147" s="17">
        <f t="shared" si="12"/>
        <v>5</v>
      </c>
      <c r="Q147" s="46">
        <f t="shared" si="10"/>
        <v>49.206947039999989</v>
      </c>
    </row>
    <row r="148" spans="1:17" ht="13.95" customHeight="1" x14ac:dyDescent="0.3">
      <c r="A148" s="3">
        <v>45804</v>
      </c>
      <c r="B148" s="19" t="s">
        <v>523</v>
      </c>
      <c r="C148" s="19" t="s">
        <v>5</v>
      </c>
      <c r="D148" s="19" t="s">
        <v>9</v>
      </c>
      <c r="E148" s="4">
        <v>0.82</v>
      </c>
      <c r="F148" s="5">
        <v>1.88</v>
      </c>
      <c r="G148" s="6">
        <v>257</v>
      </c>
      <c r="H148" s="30">
        <v>2.2999999999999998</v>
      </c>
      <c r="I148" s="21">
        <f t="shared" si="11"/>
        <v>911.23975999999982</v>
      </c>
      <c r="J148" s="7" t="s">
        <v>286</v>
      </c>
      <c r="K148" s="17">
        <f t="shared" si="12"/>
        <v>5</v>
      </c>
      <c r="Q148" s="46">
        <f t="shared" si="10"/>
        <v>47.496067200000006</v>
      </c>
    </row>
    <row r="149" spans="1:17" ht="13.95" customHeight="1" x14ac:dyDescent="0.3">
      <c r="A149" s="3">
        <v>45805</v>
      </c>
      <c r="B149" s="19" t="s">
        <v>523</v>
      </c>
      <c r="C149" s="19" t="s">
        <v>8</v>
      </c>
      <c r="D149" s="19" t="s">
        <v>9</v>
      </c>
      <c r="E149" s="4">
        <v>0.8</v>
      </c>
      <c r="F149" s="5">
        <v>1.86</v>
      </c>
      <c r="G149" s="6">
        <v>257</v>
      </c>
      <c r="H149" s="30">
        <v>2.2999999999999998</v>
      </c>
      <c r="I149" s="21">
        <f t="shared" si="11"/>
        <v>879.55680000000007</v>
      </c>
      <c r="J149" s="7" t="s">
        <v>286</v>
      </c>
      <c r="K149" s="17">
        <f t="shared" si="12"/>
        <v>5</v>
      </c>
      <c r="Q149" s="46">
        <f t="shared" si="10"/>
        <v>46.059694200000003</v>
      </c>
    </row>
    <row r="150" spans="1:17" ht="13.95" customHeight="1" x14ac:dyDescent="0.3">
      <c r="A150" s="3">
        <v>45806</v>
      </c>
      <c r="B150" s="19" t="s">
        <v>523</v>
      </c>
      <c r="C150" s="19" t="s">
        <v>11</v>
      </c>
      <c r="D150" s="19" t="s">
        <v>9</v>
      </c>
      <c r="E150" s="4">
        <v>0.78</v>
      </c>
      <c r="F150" s="5">
        <v>1.85</v>
      </c>
      <c r="G150" s="6">
        <v>257</v>
      </c>
      <c r="H150" s="30">
        <v>2.2999999999999998</v>
      </c>
      <c r="I150" s="21">
        <f t="shared" si="11"/>
        <v>852.95730000000003</v>
      </c>
      <c r="J150" s="7" t="s">
        <v>424</v>
      </c>
      <c r="K150" s="17">
        <f t="shared" si="12"/>
        <v>5</v>
      </c>
      <c r="Q150" s="46">
        <f t="shared" si="10"/>
        <v>43.569980999999999</v>
      </c>
    </row>
    <row r="151" spans="1:17" ht="13.95" customHeight="1" x14ac:dyDescent="0.3">
      <c r="A151" s="3">
        <v>45807</v>
      </c>
      <c r="B151" s="19" t="s">
        <v>523</v>
      </c>
      <c r="C151" s="19" t="s">
        <v>13</v>
      </c>
      <c r="D151" s="19" t="s">
        <v>14</v>
      </c>
      <c r="E151" s="4">
        <v>0.75</v>
      </c>
      <c r="F151" s="5">
        <v>1.82</v>
      </c>
      <c r="G151" s="6">
        <v>257</v>
      </c>
      <c r="H151" s="30">
        <v>2.2999999999999998</v>
      </c>
      <c r="I151" s="21">
        <f t="shared" si="11"/>
        <v>806.85149999999999</v>
      </c>
      <c r="J151" s="7" t="s">
        <v>425</v>
      </c>
      <c r="K151" s="17">
        <f t="shared" si="12"/>
        <v>5</v>
      </c>
      <c r="Q151" s="46">
        <f t="shared" si="10"/>
        <v>60.997973400000006</v>
      </c>
    </row>
    <row r="152" spans="1:17" ht="13.95" customHeight="1" x14ac:dyDescent="0.3">
      <c r="A152" s="3">
        <v>45808</v>
      </c>
      <c r="B152" s="19" t="s">
        <v>523</v>
      </c>
      <c r="C152" s="19" t="s">
        <v>16</v>
      </c>
      <c r="D152" s="19" t="s">
        <v>14</v>
      </c>
      <c r="E152" s="4">
        <v>0.78</v>
      </c>
      <c r="F152" s="5">
        <v>2.4500000000000002</v>
      </c>
      <c r="G152" s="6">
        <v>257</v>
      </c>
      <c r="H152" s="30">
        <v>2.2999999999999998</v>
      </c>
      <c r="I152" s="21">
        <f t="shared" si="11"/>
        <v>1129.5921000000001</v>
      </c>
      <c r="J152" s="7" t="s">
        <v>426</v>
      </c>
      <c r="K152" s="17">
        <f t="shared" si="12"/>
        <v>5</v>
      </c>
      <c r="Q152" s="46">
        <f t="shared" si="10"/>
        <v>73.255022999999994</v>
      </c>
    </row>
    <row r="153" spans="1:17" ht="13.95" customHeight="1" x14ac:dyDescent="0.3">
      <c r="A153" s="3">
        <v>45809</v>
      </c>
      <c r="B153" s="19" t="s">
        <v>523</v>
      </c>
      <c r="C153" s="19" t="s">
        <v>18</v>
      </c>
      <c r="D153" s="19" t="s">
        <v>9</v>
      </c>
      <c r="E153" s="4">
        <v>0.85</v>
      </c>
      <c r="F153" s="5">
        <v>2.7</v>
      </c>
      <c r="G153" s="6">
        <v>257</v>
      </c>
      <c r="H153" s="30">
        <v>2.2999999999999998</v>
      </c>
      <c r="I153" s="21">
        <f t="shared" si="11"/>
        <v>1356.5744999999999</v>
      </c>
      <c r="J153" s="7" t="s">
        <v>427</v>
      </c>
      <c r="K153" s="17">
        <f t="shared" si="12"/>
        <v>6</v>
      </c>
      <c r="Q153" s="46">
        <f t="shared" si="10"/>
        <v>48.006777599999992</v>
      </c>
    </row>
    <row r="154" spans="1:17" ht="13.95" customHeight="1" x14ac:dyDescent="0.3">
      <c r="A154" s="3">
        <v>45810</v>
      </c>
      <c r="B154" s="19" t="s">
        <v>523</v>
      </c>
      <c r="C154" s="19" t="s">
        <v>20</v>
      </c>
      <c r="D154" s="19" t="s">
        <v>9</v>
      </c>
      <c r="E154" s="4">
        <v>0.8</v>
      </c>
      <c r="F154" s="5">
        <v>1.88</v>
      </c>
      <c r="G154" s="6">
        <v>257</v>
      </c>
      <c r="H154" s="30">
        <v>2.2999999999999998</v>
      </c>
      <c r="I154" s="21">
        <f t="shared" si="11"/>
        <v>889.01439999999991</v>
      </c>
      <c r="J154" s="7" t="s">
        <v>428</v>
      </c>
      <c r="K154" s="17">
        <f t="shared" si="12"/>
        <v>6</v>
      </c>
      <c r="Q154" s="46">
        <f t="shared" si="10"/>
        <v>53.369236799999996</v>
      </c>
    </row>
    <row r="155" spans="1:17" ht="13.95" customHeight="1" x14ac:dyDescent="0.3">
      <c r="A155" s="3">
        <v>45811</v>
      </c>
      <c r="B155" s="19" t="s">
        <v>523</v>
      </c>
      <c r="C155" s="19" t="s">
        <v>5</v>
      </c>
      <c r="D155" s="19" t="s">
        <v>9</v>
      </c>
      <c r="E155" s="4">
        <v>0.88</v>
      </c>
      <c r="F155" s="5">
        <v>1.9</v>
      </c>
      <c r="G155" s="6">
        <v>257</v>
      </c>
      <c r="H155" s="30">
        <v>2.2999999999999998</v>
      </c>
      <c r="I155" s="21">
        <f t="shared" si="11"/>
        <v>988.31919999999991</v>
      </c>
      <c r="J155" s="7" t="s">
        <v>429</v>
      </c>
      <c r="K155" s="17">
        <f t="shared" si="12"/>
        <v>6</v>
      </c>
      <c r="Q155" s="46">
        <f t="shared" si="10"/>
        <v>51.00720119999999</v>
      </c>
    </row>
    <row r="156" spans="1:17" ht="13.95" customHeight="1" x14ac:dyDescent="0.3">
      <c r="A156" s="3">
        <v>45812</v>
      </c>
      <c r="B156" s="19" t="s">
        <v>523</v>
      </c>
      <c r="C156" s="19" t="s">
        <v>8</v>
      </c>
      <c r="D156" s="19" t="s">
        <v>9</v>
      </c>
      <c r="E156" s="4">
        <v>0.85</v>
      </c>
      <c r="F156" s="5">
        <v>1.88</v>
      </c>
      <c r="G156" s="6">
        <v>257</v>
      </c>
      <c r="H156" s="30">
        <v>2.2999999999999998</v>
      </c>
      <c r="I156" s="21">
        <f t="shared" si="11"/>
        <v>944.5777999999998</v>
      </c>
      <c r="J156" s="7" t="s">
        <v>430</v>
      </c>
      <c r="K156" s="17">
        <f t="shared" si="12"/>
        <v>6</v>
      </c>
      <c r="Q156" s="46">
        <f t="shared" si="10"/>
        <v>48.421729799999994</v>
      </c>
    </row>
    <row r="157" spans="1:17" ht="13.95" customHeight="1" x14ac:dyDescent="0.3">
      <c r="A157" s="3">
        <v>45813</v>
      </c>
      <c r="B157" s="19" t="s">
        <v>523</v>
      </c>
      <c r="C157" s="19" t="s">
        <v>11</v>
      </c>
      <c r="D157" s="19" t="s">
        <v>9</v>
      </c>
      <c r="E157" s="4">
        <v>0.82</v>
      </c>
      <c r="F157" s="5">
        <v>1.85</v>
      </c>
      <c r="G157" s="6">
        <v>257</v>
      </c>
      <c r="H157" s="30">
        <v>2.2999999999999998</v>
      </c>
      <c r="I157" s="21">
        <f t="shared" si="11"/>
        <v>896.69869999999992</v>
      </c>
      <c r="J157" s="7" t="s">
        <v>431</v>
      </c>
      <c r="K157" s="17">
        <f t="shared" si="12"/>
        <v>6</v>
      </c>
      <c r="Q157" s="46">
        <f t="shared" si="10"/>
        <v>44.2881675</v>
      </c>
    </row>
    <row r="158" spans="1:17" ht="13.95" customHeight="1" x14ac:dyDescent="0.3">
      <c r="A158" s="3">
        <v>45814</v>
      </c>
      <c r="B158" s="19" t="s">
        <v>523</v>
      </c>
      <c r="C158" s="19" t="s">
        <v>13</v>
      </c>
      <c r="D158" s="19" t="s">
        <v>14</v>
      </c>
      <c r="E158" s="4">
        <v>0.75</v>
      </c>
      <c r="F158" s="5">
        <v>1.85</v>
      </c>
      <c r="G158" s="6">
        <v>257</v>
      </c>
      <c r="H158" s="30">
        <v>2.2999999999999998</v>
      </c>
      <c r="I158" s="21">
        <f t="shared" si="11"/>
        <v>820.15125</v>
      </c>
      <c r="J158" s="7" t="s">
        <v>432</v>
      </c>
      <c r="K158" s="17">
        <f t="shared" si="12"/>
        <v>6</v>
      </c>
      <c r="Q158" s="46">
        <f t="shared" si="10"/>
        <v>62.242829999999998</v>
      </c>
    </row>
    <row r="159" spans="1:17" ht="13.95" customHeight="1" x14ac:dyDescent="0.3">
      <c r="A159" s="3">
        <v>45815</v>
      </c>
      <c r="B159" s="19" t="s">
        <v>523</v>
      </c>
      <c r="C159" s="19" t="s">
        <v>16</v>
      </c>
      <c r="D159" s="19" t="s">
        <v>14</v>
      </c>
      <c r="E159" s="4">
        <v>0.78</v>
      </c>
      <c r="F159" s="5">
        <v>2.5</v>
      </c>
      <c r="G159" s="6">
        <v>257</v>
      </c>
      <c r="H159" s="30">
        <v>2.2999999999999998</v>
      </c>
      <c r="I159" s="21">
        <f t="shared" si="11"/>
        <v>1152.645</v>
      </c>
      <c r="J159" s="7" t="s">
        <v>433</v>
      </c>
      <c r="K159" s="17">
        <f t="shared" si="12"/>
        <v>6</v>
      </c>
      <c r="Q159" s="46">
        <f t="shared" si="10"/>
        <v>69.360856199999986</v>
      </c>
    </row>
    <row r="160" spans="1:17" ht="13.95" customHeight="1" x14ac:dyDescent="0.3">
      <c r="A160" s="3">
        <v>45816</v>
      </c>
      <c r="B160" s="19" t="s">
        <v>523</v>
      </c>
      <c r="C160" s="19" t="s">
        <v>18</v>
      </c>
      <c r="D160" s="19" t="s">
        <v>9</v>
      </c>
      <c r="E160" s="4">
        <v>0.82</v>
      </c>
      <c r="F160" s="5">
        <v>2.65</v>
      </c>
      <c r="G160" s="6">
        <v>257</v>
      </c>
      <c r="H160" s="30">
        <v>2.2999999999999998</v>
      </c>
      <c r="I160" s="21">
        <f t="shared" si="11"/>
        <v>1284.4602999999997</v>
      </c>
      <c r="J160" s="7" t="s">
        <v>65</v>
      </c>
      <c r="K160" s="17">
        <f t="shared" si="12"/>
        <v>6</v>
      </c>
      <c r="Q160" s="46">
        <f t="shared" si="10"/>
        <v>48.006777599999992</v>
      </c>
    </row>
    <row r="161" spans="1:17" ht="13.95" customHeight="1" x14ac:dyDescent="0.3">
      <c r="A161" s="3">
        <v>45817</v>
      </c>
      <c r="B161" s="19" t="s">
        <v>523</v>
      </c>
      <c r="C161" s="19" t="s">
        <v>20</v>
      </c>
      <c r="D161" s="19" t="s">
        <v>9</v>
      </c>
      <c r="E161" s="4">
        <v>0.8</v>
      </c>
      <c r="F161" s="5">
        <v>1.88</v>
      </c>
      <c r="G161" s="6">
        <v>257</v>
      </c>
      <c r="H161" s="30">
        <v>2.2999999999999998</v>
      </c>
      <c r="I161" s="21">
        <f t="shared" si="11"/>
        <v>889.01439999999991</v>
      </c>
      <c r="J161" s="7" t="s">
        <v>286</v>
      </c>
      <c r="K161" s="17">
        <f t="shared" si="12"/>
        <v>6</v>
      </c>
      <c r="Q161" s="46">
        <f t="shared" si="10"/>
        <v>50.407116479999992</v>
      </c>
    </row>
    <row r="162" spans="1:17" ht="13.95" customHeight="1" x14ac:dyDescent="0.3">
      <c r="A162" s="3">
        <v>45818</v>
      </c>
      <c r="B162" s="19" t="s">
        <v>523</v>
      </c>
      <c r="C162" s="19" t="s">
        <v>5</v>
      </c>
      <c r="D162" s="19" t="s">
        <v>9</v>
      </c>
      <c r="E162" s="4">
        <v>0.84</v>
      </c>
      <c r="F162" s="5">
        <v>1.88</v>
      </c>
      <c r="G162" s="6">
        <v>257</v>
      </c>
      <c r="H162" s="30">
        <v>2.2999999999999998</v>
      </c>
      <c r="I162" s="21">
        <f t="shared" si="11"/>
        <v>933.46511999999984</v>
      </c>
      <c r="J162" s="7" t="s">
        <v>143</v>
      </c>
      <c r="K162" s="17">
        <f t="shared" si="12"/>
        <v>6</v>
      </c>
      <c r="Q162" s="46">
        <f t="shared" si="10"/>
        <v>48.68346888</v>
      </c>
    </row>
    <row r="163" spans="1:17" ht="13.95" customHeight="1" x14ac:dyDescent="0.3">
      <c r="A163" s="3">
        <v>45819</v>
      </c>
      <c r="B163" s="19" t="s">
        <v>523</v>
      </c>
      <c r="C163" s="19" t="s">
        <v>8</v>
      </c>
      <c r="D163" s="19" t="s">
        <v>9</v>
      </c>
      <c r="E163" s="4">
        <v>0.82</v>
      </c>
      <c r="F163" s="5">
        <v>1.86</v>
      </c>
      <c r="G163" s="6">
        <v>257</v>
      </c>
      <c r="H163" s="30">
        <v>2.2999999999999998</v>
      </c>
      <c r="I163" s="21">
        <f t="shared" si="11"/>
        <v>901.54571999999996</v>
      </c>
      <c r="J163" s="7" t="s">
        <v>65</v>
      </c>
      <c r="K163" s="17">
        <f t="shared" si="12"/>
        <v>6</v>
      </c>
      <c r="Q163" s="46">
        <f t="shared" si="10"/>
        <v>47.240712000000002</v>
      </c>
    </row>
    <row r="164" spans="1:17" ht="13.95" customHeight="1" x14ac:dyDescent="0.3">
      <c r="A164" s="3">
        <v>45820</v>
      </c>
      <c r="B164" s="19" t="s">
        <v>523</v>
      </c>
      <c r="C164" s="19" t="s">
        <v>11</v>
      </c>
      <c r="D164" s="19" t="s">
        <v>9</v>
      </c>
      <c r="E164" s="4">
        <v>0.8</v>
      </c>
      <c r="F164" s="5">
        <v>1.85</v>
      </c>
      <c r="G164" s="6">
        <v>257</v>
      </c>
      <c r="H164" s="30">
        <v>2.2999999999999998</v>
      </c>
      <c r="I164" s="21">
        <f t="shared" si="11"/>
        <v>874.82800000000009</v>
      </c>
      <c r="J164" s="7" t="s">
        <v>82</v>
      </c>
      <c r="K164" s="17">
        <f t="shared" si="12"/>
        <v>6</v>
      </c>
      <c r="Q164" s="46">
        <f t="shared" si="10"/>
        <v>44.2881675</v>
      </c>
    </row>
    <row r="165" spans="1:17" ht="13.95" customHeight="1" x14ac:dyDescent="0.3">
      <c r="A165" s="3">
        <v>45821</v>
      </c>
      <c r="B165" s="19" t="s">
        <v>523</v>
      </c>
      <c r="C165" s="19" t="s">
        <v>13</v>
      </c>
      <c r="D165" s="19" t="s">
        <v>14</v>
      </c>
      <c r="E165" s="4">
        <v>0.75</v>
      </c>
      <c r="F165" s="5">
        <v>1.85</v>
      </c>
      <c r="G165" s="6">
        <v>257</v>
      </c>
      <c r="H165" s="30">
        <v>2.2999999999999998</v>
      </c>
      <c r="I165" s="21">
        <f t="shared" si="11"/>
        <v>820.15125</v>
      </c>
      <c r="J165" s="7" t="s">
        <v>434</v>
      </c>
      <c r="K165" s="17">
        <f t="shared" si="12"/>
        <v>6</v>
      </c>
      <c r="Q165" s="46">
        <f t="shared" si="10"/>
        <v>65.11557599999999</v>
      </c>
    </row>
    <row r="166" spans="1:17" ht="13.95" customHeight="1" x14ac:dyDescent="0.3">
      <c r="A166" s="3">
        <v>45822</v>
      </c>
      <c r="B166" s="19" t="s">
        <v>523</v>
      </c>
      <c r="C166" s="19" t="s">
        <v>16</v>
      </c>
      <c r="D166" s="19" t="s">
        <v>14</v>
      </c>
      <c r="E166" s="4">
        <v>0.8</v>
      </c>
      <c r="F166" s="5">
        <v>2.5499999999999998</v>
      </c>
      <c r="G166" s="6">
        <v>257</v>
      </c>
      <c r="H166" s="30">
        <v>2.2999999999999998</v>
      </c>
      <c r="I166" s="21">
        <f t="shared" si="11"/>
        <v>1205.8439999999998</v>
      </c>
      <c r="J166" s="7" t="s">
        <v>69</v>
      </c>
      <c r="K166" s="17">
        <f t="shared" si="12"/>
        <v>6</v>
      </c>
      <c r="Q166" s="46">
        <f t="shared" si="10"/>
        <v>73.255022999999994</v>
      </c>
    </row>
    <row r="167" spans="1:17" ht="13.95" customHeight="1" x14ac:dyDescent="0.3">
      <c r="A167" s="3">
        <v>45823</v>
      </c>
      <c r="B167" s="19" t="s">
        <v>523</v>
      </c>
      <c r="C167" s="19" t="s">
        <v>18</v>
      </c>
      <c r="D167" s="19" t="s">
        <v>9</v>
      </c>
      <c r="E167" s="4">
        <v>0.85</v>
      </c>
      <c r="F167" s="5">
        <v>2.7</v>
      </c>
      <c r="G167" s="6">
        <v>257</v>
      </c>
      <c r="H167" s="30">
        <v>2.2999999999999998</v>
      </c>
      <c r="I167" s="21">
        <f t="shared" si="11"/>
        <v>1356.5744999999999</v>
      </c>
      <c r="J167" s="7" t="s">
        <v>286</v>
      </c>
      <c r="K167" s="17">
        <f t="shared" si="12"/>
        <v>6</v>
      </c>
      <c r="Q167" s="46">
        <f t="shared" si="10"/>
        <v>46.059694200000003</v>
      </c>
    </row>
    <row r="168" spans="1:17" ht="13.95" customHeight="1" x14ac:dyDescent="0.3">
      <c r="A168" s="3">
        <v>45824</v>
      </c>
      <c r="B168" s="19" t="s">
        <v>523</v>
      </c>
      <c r="C168" s="19" t="s">
        <v>20</v>
      </c>
      <c r="D168" s="19" t="s">
        <v>9</v>
      </c>
      <c r="E168" s="4">
        <v>0.78</v>
      </c>
      <c r="F168" s="5">
        <v>1.85</v>
      </c>
      <c r="G168" s="6">
        <v>257</v>
      </c>
      <c r="H168" s="30">
        <v>2.2999999999999998</v>
      </c>
      <c r="I168" s="21">
        <f t="shared" si="11"/>
        <v>852.95730000000003</v>
      </c>
      <c r="J168" s="7" t="s">
        <v>286</v>
      </c>
      <c r="K168" s="17">
        <f t="shared" si="12"/>
        <v>6</v>
      </c>
      <c r="Q168" s="46">
        <f t="shared" si="10"/>
        <v>48.006777599999992</v>
      </c>
    </row>
    <row r="169" spans="1:17" ht="13.95" customHeight="1" x14ac:dyDescent="0.3">
      <c r="A169" s="3">
        <v>45825</v>
      </c>
      <c r="B169" s="19" t="s">
        <v>523</v>
      </c>
      <c r="C169" s="19" t="s">
        <v>5</v>
      </c>
      <c r="D169" s="19" t="s">
        <v>9</v>
      </c>
      <c r="E169" s="4">
        <v>0.8</v>
      </c>
      <c r="F169" s="5">
        <v>1.88</v>
      </c>
      <c r="G169" s="6">
        <v>257</v>
      </c>
      <c r="H169" s="30">
        <v>2.2999999999999998</v>
      </c>
      <c r="I169" s="21">
        <f t="shared" si="11"/>
        <v>889.01439999999991</v>
      </c>
      <c r="J169" s="7" t="s">
        <v>143</v>
      </c>
      <c r="K169" s="17">
        <f t="shared" si="12"/>
        <v>6</v>
      </c>
      <c r="Q169" s="46">
        <f t="shared" si="10"/>
        <v>46.308665520000005</v>
      </c>
    </row>
    <row r="170" spans="1:17" ht="13.95" customHeight="1" x14ac:dyDescent="0.3">
      <c r="A170" s="3">
        <v>45826</v>
      </c>
      <c r="B170" s="19" t="s">
        <v>523</v>
      </c>
      <c r="C170" s="19" t="s">
        <v>8</v>
      </c>
      <c r="D170" s="19" t="s">
        <v>9</v>
      </c>
      <c r="E170" s="4">
        <v>0.78</v>
      </c>
      <c r="F170" s="5">
        <v>1.86</v>
      </c>
      <c r="G170" s="6">
        <v>257</v>
      </c>
      <c r="H170" s="30">
        <v>2.2999999999999998</v>
      </c>
      <c r="I170" s="21">
        <f t="shared" si="11"/>
        <v>857.56788000000006</v>
      </c>
      <c r="J170" s="7" t="s">
        <v>435</v>
      </c>
      <c r="K170" s="17">
        <f t="shared" si="12"/>
        <v>6</v>
      </c>
      <c r="Q170" s="46">
        <f t="shared" si="10"/>
        <v>43.569980999999999</v>
      </c>
    </row>
    <row r="171" spans="1:17" ht="13.95" customHeight="1" x14ac:dyDescent="0.3">
      <c r="A171" s="3">
        <v>45827</v>
      </c>
      <c r="B171" s="19" t="s">
        <v>523</v>
      </c>
      <c r="C171" s="19" t="s">
        <v>11</v>
      </c>
      <c r="D171" s="19" t="s">
        <v>9</v>
      </c>
      <c r="E171" s="4">
        <v>0.75</v>
      </c>
      <c r="F171" s="5">
        <v>1.82</v>
      </c>
      <c r="G171" s="6">
        <v>257</v>
      </c>
      <c r="H171" s="30">
        <v>2.2999999999999998</v>
      </c>
      <c r="I171" s="21">
        <f t="shared" si="11"/>
        <v>806.85149999999999</v>
      </c>
      <c r="J171" s="7" t="s">
        <v>436</v>
      </c>
      <c r="K171" s="17">
        <f t="shared" si="12"/>
        <v>6</v>
      </c>
      <c r="Q171" s="46">
        <f t="shared" si="10"/>
        <v>42.51664079999999</v>
      </c>
    </row>
    <row r="172" spans="1:17" ht="13.95" customHeight="1" x14ac:dyDescent="0.3">
      <c r="A172" s="3">
        <v>45828</v>
      </c>
      <c r="B172" s="19" t="s">
        <v>523</v>
      </c>
      <c r="C172" s="19" t="s">
        <v>13</v>
      </c>
      <c r="D172" s="19" t="s">
        <v>14</v>
      </c>
      <c r="E172" s="4">
        <v>0.72</v>
      </c>
      <c r="F172" s="5">
        <v>1.85</v>
      </c>
      <c r="G172" s="6">
        <v>257</v>
      </c>
      <c r="H172" s="30">
        <v>2.2999999999999998</v>
      </c>
      <c r="I172" s="21">
        <f t="shared" si="11"/>
        <v>787.34519999999986</v>
      </c>
      <c r="J172" s="7" t="s">
        <v>437</v>
      </c>
      <c r="K172" s="17">
        <f t="shared" si="12"/>
        <v>6</v>
      </c>
      <c r="Q172" s="46">
        <f t="shared" si="10"/>
        <v>68.052160799999996</v>
      </c>
    </row>
    <row r="173" spans="1:17" ht="13.95" customHeight="1" x14ac:dyDescent="0.3">
      <c r="A173" s="3">
        <v>45829</v>
      </c>
      <c r="B173" s="19" t="s">
        <v>523</v>
      </c>
      <c r="C173" s="19" t="s">
        <v>16</v>
      </c>
      <c r="D173" s="19" t="s">
        <v>14</v>
      </c>
      <c r="E173" s="4">
        <v>0.82</v>
      </c>
      <c r="F173" s="5">
        <v>2.6</v>
      </c>
      <c r="G173" s="6">
        <v>257</v>
      </c>
      <c r="H173" s="30">
        <v>2.2999999999999998</v>
      </c>
      <c r="I173" s="21">
        <f t="shared" si="11"/>
        <v>1260.2251999999999</v>
      </c>
      <c r="J173" s="7" t="s">
        <v>69</v>
      </c>
      <c r="K173" s="17">
        <f t="shared" si="12"/>
        <v>6</v>
      </c>
      <c r="Q173" s="46">
        <f t="shared" si="10"/>
        <v>77.244947999999994</v>
      </c>
    </row>
    <row r="174" spans="1:17" ht="13.95" customHeight="1" x14ac:dyDescent="0.3">
      <c r="A174" s="3">
        <v>45830</v>
      </c>
      <c r="B174" s="19" t="s">
        <v>523</v>
      </c>
      <c r="C174" s="19" t="s">
        <v>18</v>
      </c>
      <c r="D174" s="19" t="s">
        <v>9</v>
      </c>
      <c r="E174" s="4">
        <v>0.88</v>
      </c>
      <c r="F174" s="5">
        <v>2.75</v>
      </c>
      <c r="G174" s="6">
        <v>257</v>
      </c>
      <c r="H174" s="30">
        <v>2.2999999999999998</v>
      </c>
      <c r="I174" s="21">
        <f t="shared" si="11"/>
        <v>1430.462</v>
      </c>
      <c r="J174" s="7" t="s">
        <v>286</v>
      </c>
      <c r="K174" s="17">
        <f t="shared" si="12"/>
        <v>6</v>
      </c>
      <c r="Q174" s="46">
        <f t="shared" si="10"/>
        <v>44.2881675</v>
      </c>
    </row>
    <row r="175" spans="1:17" ht="13.95" customHeight="1" x14ac:dyDescent="0.3">
      <c r="A175" s="3">
        <v>45831</v>
      </c>
      <c r="B175" s="19" t="s">
        <v>523</v>
      </c>
      <c r="C175" s="19" t="s">
        <v>20</v>
      </c>
      <c r="D175" s="19" t="s">
        <v>9</v>
      </c>
      <c r="E175" s="4">
        <v>0.75</v>
      </c>
      <c r="F175" s="5">
        <v>1.85</v>
      </c>
      <c r="G175" s="6">
        <v>257</v>
      </c>
      <c r="H175" s="30">
        <v>2.2999999999999998</v>
      </c>
      <c r="I175" s="21">
        <f t="shared" si="11"/>
        <v>820.15125</v>
      </c>
      <c r="J175" s="7" t="s">
        <v>286</v>
      </c>
      <c r="K175" s="17">
        <f t="shared" si="12"/>
        <v>6</v>
      </c>
      <c r="Q175" s="46">
        <f t="shared" si="10"/>
        <v>46.308665520000005</v>
      </c>
    </row>
    <row r="176" spans="1:17" ht="13.95" customHeight="1" x14ac:dyDescent="0.3">
      <c r="A176" s="3">
        <v>45832</v>
      </c>
      <c r="B176" s="19" t="s">
        <v>523</v>
      </c>
      <c r="C176" s="19" t="s">
        <v>5</v>
      </c>
      <c r="D176" s="19" t="s">
        <v>9</v>
      </c>
      <c r="E176" s="4">
        <v>0.78</v>
      </c>
      <c r="F176" s="5">
        <v>1.86</v>
      </c>
      <c r="G176" s="6">
        <v>257</v>
      </c>
      <c r="H176" s="30">
        <v>2.2999999999999998</v>
      </c>
      <c r="I176" s="21">
        <f t="shared" si="11"/>
        <v>857.56788000000006</v>
      </c>
      <c r="J176" s="7" t="s">
        <v>65</v>
      </c>
      <c r="K176" s="17">
        <f t="shared" si="12"/>
        <v>6</v>
      </c>
      <c r="Q176" s="46">
        <f t="shared" si="10"/>
        <v>44.2881675</v>
      </c>
    </row>
    <row r="177" spans="1:17" ht="13.95" customHeight="1" x14ac:dyDescent="0.3">
      <c r="A177" s="3">
        <v>45833</v>
      </c>
      <c r="B177" s="19" t="s">
        <v>523</v>
      </c>
      <c r="C177" s="19" t="s">
        <v>8</v>
      </c>
      <c r="D177" s="19" t="s">
        <v>9</v>
      </c>
      <c r="E177" s="4">
        <v>0.75</v>
      </c>
      <c r="F177" s="5">
        <v>1.85</v>
      </c>
      <c r="G177" s="6">
        <v>257</v>
      </c>
      <c r="H177" s="30">
        <v>2.2999999999999998</v>
      </c>
      <c r="I177" s="21">
        <f t="shared" si="11"/>
        <v>820.15125</v>
      </c>
      <c r="J177" s="7" t="s">
        <v>152</v>
      </c>
      <c r="K177" s="17">
        <f t="shared" si="12"/>
        <v>6</v>
      </c>
      <c r="Q177" s="46">
        <f t="shared" si="10"/>
        <v>41.827181759999995</v>
      </c>
    </row>
    <row r="178" spans="1:17" ht="13.95" customHeight="1" x14ac:dyDescent="0.3">
      <c r="A178" s="3">
        <v>45834</v>
      </c>
      <c r="B178" s="19" t="s">
        <v>523</v>
      </c>
      <c r="C178" s="19" t="s">
        <v>11</v>
      </c>
      <c r="D178" s="19" t="s">
        <v>9</v>
      </c>
      <c r="E178" s="4">
        <v>0.72</v>
      </c>
      <c r="F178" s="5">
        <v>1.82</v>
      </c>
      <c r="G178" s="6">
        <v>257</v>
      </c>
      <c r="H178" s="30">
        <v>2.2999999999999998</v>
      </c>
      <c r="I178" s="21">
        <f t="shared" si="11"/>
        <v>774.57743999999991</v>
      </c>
      <c r="J178" s="7" t="s">
        <v>438</v>
      </c>
      <c r="K178" s="17">
        <f t="shared" si="12"/>
        <v>6</v>
      </c>
      <c r="Q178" s="46">
        <f t="shared" si="10"/>
        <v>40.218443999999998</v>
      </c>
    </row>
    <row r="179" spans="1:17" ht="13.95" customHeight="1" x14ac:dyDescent="0.3">
      <c r="A179" s="3">
        <v>45835</v>
      </c>
      <c r="B179" s="19" t="s">
        <v>523</v>
      </c>
      <c r="C179" s="19" t="s">
        <v>13</v>
      </c>
      <c r="D179" s="19" t="s">
        <v>14</v>
      </c>
      <c r="E179" s="4">
        <v>0.6</v>
      </c>
      <c r="F179" s="5">
        <v>2.1</v>
      </c>
      <c r="G179" s="6">
        <v>257</v>
      </c>
      <c r="H179" s="30">
        <v>2.2999999999999998</v>
      </c>
      <c r="I179" s="21">
        <f t="shared" si="11"/>
        <v>744.78599999999994</v>
      </c>
      <c r="J179" s="7" t="s">
        <v>439</v>
      </c>
      <c r="K179" s="17">
        <f t="shared" si="12"/>
        <v>6</v>
      </c>
      <c r="Q179" s="46">
        <f t="shared" si="10"/>
        <v>45.644742000000001</v>
      </c>
    </row>
    <row r="180" spans="1:17" ht="13.95" customHeight="1" x14ac:dyDescent="0.3">
      <c r="A180" s="3">
        <v>45836</v>
      </c>
      <c r="B180" s="19" t="s">
        <v>523</v>
      </c>
      <c r="C180" s="19" t="s">
        <v>16</v>
      </c>
      <c r="D180" s="19" t="s">
        <v>14</v>
      </c>
      <c r="E180" s="4">
        <v>0.65</v>
      </c>
      <c r="F180" s="5">
        <v>2.2000000000000002</v>
      </c>
      <c r="G180" s="6">
        <v>257</v>
      </c>
      <c r="H180" s="30">
        <v>2.2999999999999998</v>
      </c>
      <c r="I180" s="21">
        <f t="shared" si="11"/>
        <v>845.27300000000002</v>
      </c>
      <c r="J180" s="7" t="s">
        <v>69</v>
      </c>
      <c r="K180" s="17">
        <f t="shared" si="12"/>
        <v>6</v>
      </c>
      <c r="Q180" s="46">
        <f t="shared" si="10"/>
        <v>59.848875</v>
      </c>
    </row>
    <row r="181" spans="1:17" ht="13.95" customHeight="1" x14ac:dyDescent="0.3">
      <c r="A181" s="3">
        <v>45837</v>
      </c>
      <c r="B181" s="19" t="s">
        <v>523</v>
      </c>
      <c r="C181" s="19" t="s">
        <v>18</v>
      </c>
      <c r="D181" s="19" t="s">
        <v>9</v>
      </c>
      <c r="E181" s="4">
        <v>0.75</v>
      </c>
      <c r="F181" s="5">
        <v>2.5</v>
      </c>
      <c r="G181" s="6">
        <v>257</v>
      </c>
      <c r="H181" s="30">
        <v>2.2999999999999998</v>
      </c>
      <c r="I181" s="21">
        <f t="shared" si="11"/>
        <v>1108.3125</v>
      </c>
      <c r="J181" s="7" t="s">
        <v>286</v>
      </c>
      <c r="K181" s="17">
        <f t="shared" si="12"/>
        <v>6</v>
      </c>
      <c r="Q181" s="46">
        <f t="shared" si="10"/>
        <v>41.335622999999998</v>
      </c>
    </row>
    <row r="182" spans="1:17" ht="13.95" customHeight="1" x14ac:dyDescent="0.3">
      <c r="A182" s="3">
        <v>45838</v>
      </c>
      <c r="B182" s="19" t="s">
        <v>523</v>
      </c>
      <c r="C182" s="19" t="s">
        <v>20</v>
      </c>
      <c r="D182" s="19" t="s">
        <v>9</v>
      </c>
      <c r="E182" s="4">
        <v>0.7</v>
      </c>
      <c r="F182" s="5">
        <v>1.85</v>
      </c>
      <c r="G182" s="6">
        <v>257</v>
      </c>
      <c r="H182" s="30">
        <v>2.2999999999999998</v>
      </c>
      <c r="I182" s="21">
        <f t="shared" si="11"/>
        <v>765.47449999999992</v>
      </c>
      <c r="J182" s="7" t="s">
        <v>440</v>
      </c>
      <c r="K182" s="17">
        <f t="shared" si="12"/>
        <v>6</v>
      </c>
      <c r="Q182" s="46">
        <f t="shared" si="10"/>
        <v>44.2881675</v>
      </c>
    </row>
    <row r="183" spans="1:17" ht="13.95" customHeight="1" x14ac:dyDescent="0.3">
      <c r="A183" s="3">
        <v>45839</v>
      </c>
      <c r="B183" s="19" t="s">
        <v>523</v>
      </c>
      <c r="C183" s="19" t="s">
        <v>5</v>
      </c>
      <c r="D183" s="19" t="s">
        <v>9</v>
      </c>
      <c r="E183" s="4">
        <v>0.75</v>
      </c>
      <c r="F183" s="5">
        <v>1.85</v>
      </c>
      <c r="G183" s="6">
        <v>257</v>
      </c>
      <c r="H183" s="30">
        <v>2.2999999999999998</v>
      </c>
      <c r="I183" s="21">
        <f t="shared" si="11"/>
        <v>820.15125</v>
      </c>
      <c r="J183" s="7" t="s">
        <v>441</v>
      </c>
      <c r="K183" s="17">
        <f t="shared" si="12"/>
        <v>7</v>
      </c>
      <c r="Q183" s="46">
        <f t="shared" si="10"/>
        <v>41.827181759999995</v>
      </c>
    </row>
    <row r="184" spans="1:17" ht="13.95" customHeight="1" x14ac:dyDescent="0.3">
      <c r="A184" s="3">
        <v>45840</v>
      </c>
      <c r="B184" s="19" t="s">
        <v>523</v>
      </c>
      <c r="C184" s="19" t="s">
        <v>8</v>
      </c>
      <c r="D184" s="19" t="s">
        <v>9</v>
      </c>
      <c r="E184" s="4">
        <v>0.72</v>
      </c>
      <c r="F184" s="5">
        <v>1.82</v>
      </c>
      <c r="G184" s="6">
        <v>257</v>
      </c>
      <c r="H184" s="30">
        <v>2.2999999999999998</v>
      </c>
      <c r="I184" s="21">
        <f t="shared" si="11"/>
        <v>774.57743999999991</v>
      </c>
      <c r="J184" s="7" t="s">
        <v>442</v>
      </c>
      <c r="K184" s="17">
        <f t="shared" si="12"/>
        <v>7</v>
      </c>
      <c r="Q184" s="46">
        <f t="shared" si="10"/>
        <v>40.218443999999991</v>
      </c>
    </row>
    <row r="185" spans="1:17" ht="13.95" customHeight="1" x14ac:dyDescent="0.3">
      <c r="A185" s="3">
        <v>45841</v>
      </c>
      <c r="B185" s="19" t="s">
        <v>523</v>
      </c>
      <c r="C185" s="19" t="s">
        <v>11</v>
      </c>
      <c r="D185" s="19" t="s">
        <v>9</v>
      </c>
      <c r="E185" s="4">
        <v>0.7</v>
      </c>
      <c r="F185" s="5">
        <v>1.8</v>
      </c>
      <c r="G185" s="6">
        <v>257</v>
      </c>
      <c r="H185" s="30">
        <v>2.2999999999999998</v>
      </c>
      <c r="I185" s="21">
        <f t="shared" si="11"/>
        <v>744.78599999999983</v>
      </c>
      <c r="J185" s="7" t="s">
        <v>443</v>
      </c>
      <c r="K185" s="17">
        <f t="shared" si="12"/>
        <v>7</v>
      </c>
      <c r="Q185" s="46">
        <f t="shared" si="10"/>
        <v>44.2881675</v>
      </c>
    </row>
    <row r="186" spans="1:17" ht="13.95" customHeight="1" x14ac:dyDescent="0.3">
      <c r="A186" s="3">
        <v>45842</v>
      </c>
      <c r="B186" s="19" t="s">
        <v>523</v>
      </c>
      <c r="C186" s="19" t="s">
        <v>13</v>
      </c>
      <c r="D186" s="19" t="s">
        <v>14</v>
      </c>
      <c r="E186" s="4">
        <v>0.75</v>
      </c>
      <c r="F186" s="5">
        <v>1.85</v>
      </c>
      <c r="G186" s="6">
        <v>257</v>
      </c>
      <c r="H186" s="30">
        <v>2.2999999999999998</v>
      </c>
      <c r="I186" s="21">
        <f t="shared" si="11"/>
        <v>820.15125</v>
      </c>
      <c r="J186" s="7" t="s">
        <v>444</v>
      </c>
      <c r="K186" s="17">
        <f t="shared" si="12"/>
        <v>7</v>
      </c>
      <c r="Q186" s="46">
        <f t="shared" si="10"/>
        <v>68.052160799999996</v>
      </c>
    </row>
    <row r="187" spans="1:17" ht="13.95" customHeight="1" x14ac:dyDescent="0.3">
      <c r="A187" s="3">
        <v>45843</v>
      </c>
      <c r="B187" s="19" t="s">
        <v>523</v>
      </c>
      <c r="C187" s="19" t="s">
        <v>16</v>
      </c>
      <c r="D187" s="19" t="s">
        <v>14</v>
      </c>
      <c r="E187" s="4">
        <v>0.82</v>
      </c>
      <c r="F187" s="5">
        <v>2.6</v>
      </c>
      <c r="G187" s="6">
        <v>257</v>
      </c>
      <c r="H187" s="30">
        <v>2.2999999999999998</v>
      </c>
      <c r="I187" s="21">
        <f t="shared" si="11"/>
        <v>1260.2251999999999</v>
      </c>
      <c r="J187" s="7" t="s">
        <v>445</v>
      </c>
      <c r="K187" s="17">
        <f t="shared" si="12"/>
        <v>7</v>
      </c>
      <c r="Q187" s="46">
        <f t="shared" si="10"/>
        <v>77.244947999999994</v>
      </c>
    </row>
    <row r="188" spans="1:17" ht="13.95" customHeight="1" x14ac:dyDescent="0.3">
      <c r="A188" s="3">
        <v>45844</v>
      </c>
      <c r="B188" s="19" t="s">
        <v>523</v>
      </c>
      <c r="C188" s="19" t="s">
        <v>18</v>
      </c>
      <c r="D188" s="19" t="s">
        <v>9</v>
      </c>
      <c r="E188" s="4">
        <v>0.88</v>
      </c>
      <c r="F188" s="5">
        <v>2.75</v>
      </c>
      <c r="G188" s="6">
        <v>257</v>
      </c>
      <c r="H188" s="30">
        <v>2.2999999999999998</v>
      </c>
      <c r="I188" s="21">
        <f t="shared" si="11"/>
        <v>1430.462</v>
      </c>
      <c r="J188" s="7" t="s">
        <v>200</v>
      </c>
      <c r="K188" s="17">
        <f t="shared" si="12"/>
        <v>7</v>
      </c>
      <c r="Q188" s="46">
        <f t="shared" si="10"/>
        <v>43.569980999999999</v>
      </c>
    </row>
    <row r="189" spans="1:17" ht="13.95" customHeight="1" x14ac:dyDescent="0.3">
      <c r="A189" s="3">
        <v>45845</v>
      </c>
      <c r="B189" s="19" t="s">
        <v>523</v>
      </c>
      <c r="C189" s="19" t="s">
        <v>20</v>
      </c>
      <c r="D189" s="19" t="s">
        <v>9</v>
      </c>
      <c r="E189" s="4">
        <v>0.75</v>
      </c>
      <c r="F189" s="5">
        <v>1.82</v>
      </c>
      <c r="G189" s="6">
        <v>257</v>
      </c>
      <c r="H189" s="30">
        <v>2.2999999999999998</v>
      </c>
      <c r="I189" s="21">
        <f t="shared" si="11"/>
        <v>806.85149999999999</v>
      </c>
      <c r="J189" s="7" t="s">
        <v>446</v>
      </c>
      <c r="K189" s="17">
        <f t="shared" si="12"/>
        <v>7</v>
      </c>
      <c r="Q189" s="46">
        <f t="shared" si="10"/>
        <v>46.059694200000003</v>
      </c>
    </row>
    <row r="190" spans="1:17" ht="13.95" customHeight="1" x14ac:dyDescent="0.3">
      <c r="A190" s="3">
        <v>45846</v>
      </c>
      <c r="B190" s="19" t="s">
        <v>523</v>
      </c>
      <c r="C190" s="19" t="s">
        <v>5</v>
      </c>
      <c r="D190" s="19" t="s">
        <v>9</v>
      </c>
      <c r="E190" s="4">
        <v>0.78</v>
      </c>
      <c r="F190" s="5">
        <v>1.85</v>
      </c>
      <c r="G190" s="6">
        <v>257</v>
      </c>
      <c r="H190" s="30">
        <v>2.2999999999999998</v>
      </c>
      <c r="I190" s="21">
        <f t="shared" si="11"/>
        <v>852.95730000000003</v>
      </c>
      <c r="J190" s="7" t="s">
        <v>446</v>
      </c>
      <c r="K190" s="17">
        <f t="shared" si="12"/>
        <v>7</v>
      </c>
      <c r="Q190" s="46">
        <f t="shared" si="10"/>
        <v>43.569980999999999</v>
      </c>
    </row>
    <row r="191" spans="1:17" ht="13.95" customHeight="1" x14ac:dyDescent="0.3">
      <c r="A191" s="3">
        <v>45847</v>
      </c>
      <c r="B191" s="19" t="s">
        <v>523</v>
      </c>
      <c r="C191" s="19" t="s">
        <v>8</v>
      </c>
      <c r="D191" s="19" t="s">
        <v>9</v>
      </c>
      <c r="E191" s="4">
        <v>0.75</v>
      </c>
      <c r="F191" s="5">
        <v>1.82</v>
      </c>
      <c r="G191" s="6">
        <v>257</v>
      </c>
      <c r="H191" s="30">
        <v>2.2999999999999998</v>
      </c>
      <c r="I191" s="21">
        <f t="shared" si="11"/>
        <v>806.85149999999999</v>
      </c>
      <c r="J191" s="7" t="s">
        <v>142</v>
      </c>
      <c r="K191" s="17">
        <f t="shared" si="12"/>
        <v>7</v>
      </c>
      <c r="Q191" s="46">
        <f t="shared" si="10"/>
        <v>41.367542399999998</v>
      </c>
    </row>
    <row r="192" spans="1:17" ht="13.95" customHeight="1" x14ac:dyDescent="0.3">
      <c r="A192" s="3">
        <v>45848</v>
      </c>
      <c r="B192" s="19" t="s">
        <v>523</v>
      </c>
      <c r="C192" s="19" t="s">
        <v>11</v>
      </c>
      <c r="D192" s="19" t="s">
        <v>9</v>
      </c>
      <c r="E192" s="4">
        <v>0.72</v>
      </c>
      <c r="F192" s="5">
        <v>1.8</v>
      </c>
      <c r="G192" s="6">
        <v>257</v>
      </c>
      <c r="H192" s="30">
        <v>2.2999999999999998</v>
      </c>
      <c r="I192" s="21">
        <f t="shared" si="11"/>
        <v>766.0655999999999</v>
      </c>
      <c r="J192" s="7" t="s">
        <v>447</v>
      </c>
      <c r="K192" s="17">
        <f t="shared" si="12"/>
        <v>7</v>
      </c>
      <c r="Q192" s="46">
        <f t="shared" si="10"/>
        <v>46.059694200000003</v>
      </c>
    </row>
    <row r="193" spans="1:17" ht="13.95" customHeight="1" x14ac:dyDescent="0.3">
      <c r="A193" s="3">
        <v>45849</v>
      </c>
      <c r="B193" s="19" t="s">
        <v>523</v>
      </c>
      <c r="C193" s="19" t="s">
        <v>13</v>
      </c>
      <c r="D193" s="19" t="s">
        <v>14</v>
      </c>
      <c r="E193" s="4">
        <v>0.78</v>
      </c>
      <c r="F193" s="5">
        <v>1.85</v>
      </c>
      <c r="G193" s="6">
        <v>257</v>
      </c>
      <c r="H193" s="30">
        <v>2.2999999999999998</v>
      </c>
      <c r="I193" s="21">
        <f t="shared" si="11"/>
        <v>852.95730000000003</v>
      </c>
      <c r="J193" s="7" t="s">
        <v>448</v>
      </c>
      <c r="K193" s="17">
        <f t="shared" si="12"/>
        <v>7</v>
      </c>
      <c r="Q193" s="46">
        <f t="shared" si="10"/>
        <v>71.898448500000001</v>
      </c>
    </row>
    <row r="194" spans="1:17" ht="13.95" customHeight="1" x14ac:dyDescent="0.3">
      <c r="A194" s="3">
        <v>45850</v>
      </c>
      <c r="B194" s="19" t="s">
        <v>523</v>
      </c>
      <c r="C194" s="19" t="s">
        <v>16</v>
      </c>
      <c r="D194" s="19" t="s">
        <v>14</v>
      </c>
      <c r="E194" s="4">
        <v>0.85</v>
      </c>
      <c r="F194" s="5">
        <v>2.65</v>
      </c>
      <c r="G194" s="6">
        <v>257</v>
      </c>
      <c r="H194" s="30">
        <v>2.2999999999999998</v>
      </c>
      <c r="I194" s="21">
        <f t="shared" si="11"/>
        <v>1331.4527499999999</v>
      </c>
      <c r="J194" s="7" t="s">
        <v>69</v>
      </c>
      <c r="K194" s="17">
        <f t="shared" si="12"/>
        <v>7</v>
      </c>
      <c r="Q194" s="46">
        <f t="shared" ref="Q194:Q257" si="13">I195*0.054</f>
        <v>80.436887999999996</v>
      </c>
    </row>
    <row r="195" spans="1:17" ht="13.95" customHeight="1" x14ac:dyDescent="0.3">
      <c r="A195" s="3">
        <v>45851</v>
      </c>
      <c r="B195" s="19" t="s">
        <v>523</v>
      </c>
      <c r="C195" s="19" t="s">
        <v>18</v>
      </c>
      <c r="D195" s="19" t="s">
        <v>9</v>
      </c>
      <c r="E195" s="4">
        <v>0.9</v>
      </c>
      <c r="F195" s="5">
        <v>2.8</v>
      </c>
      <c r="G195" s="6">
        <v>257</v>
      </c>
      <c r="H195" s="30">
        <v>2.2999999999999998</v>
      </c>
      <c r="I195" s="21">
        <f t="shared" si="11"/>
        <v>1489.5719999999999</v>
      </c>
      <c r="J195" s="7" t="s">
        <v>449</v>
      </c>
      <c r="K195" s="17">
        <f t="shared" si="12"/>
        <v>7</v>
      </c>
      <c r="Q195" s="46">
        <f t="shared" si="13"/>
        <v>45.312780240000002</v>
      </c>
    </row>
    <row r="196" spans="1:17" ht="13.95" customHeight="1" x14ac:dyDescent="0.3">
      <c r="A196" s="3">
        <v>45852</v>
      </c>
      <c r="B196" s="19" t="s">
        <v>523</v>
      </c>
      <c r="C196" s="19" t="s">
        <v>20</v>
      </c>
      <c r="D196" s="19" t="s">
        <v>9</v>
      </c>
      <c r="E196" s="4">
        <v>0.78</v>
      </c>
      <c r="F196" s="5">
        <v>1.82</v>
      </c>
      <c r="G196" s="6">
        <v>257</v>
      </c>
      <c r="H196" s="30">
        <v>2.2999999999999998</v>
      </c>
      <c r="I196" s="21">
        <f t="shared" ref="I196:I259" si="14">(G196*E196)*H196*F196</f>
        <v>839.12556000000006</v>
      </c>
      <c r="J196" s="7" t="s">
        <v>450</v>
      </c>
      <c r="K196" s="17">
        <f t="shared" si="12"/>
        <v>7</v>
      </c>
      <c r="Q196" s="46">
        <f t="shared" si="13"/>
        <v>44.2881675</v>
      </c>
    </row>
    <row r="197" spans="1:17" ht="13.95" customHeight="1" x14ac:dyDescent="0.3">
      <c r="A197" s="3">
        <v>45853</v>
      </c>
      <c r="B197" s="19" t="s">
        <v>523</v>
      </c>
      <c r="C197" s="19" t="s">
        <v>5</v>
      </c>
      <c r="D197" s="19" t="s">
        <v>9</v>
      </c>
      <c r="E197" s="4">
        <v>0.75</v>
      </c>
      <c r="F197" s="5">
        <v>1.85</v>
      </c>
      <c r="G197" s="6">
        <v>257</v>
      </c>
      <c r="H197" s="30">
        <v>2.2999999999999998</v>
      </c>
      <c r="I197" s="21">
        <f t="shared" si="14"/>
        <v>820.15125</v>
      </c>
      <c r="J197" s="7" t="s">
        <v>451</v>
      </c>
      <c r="K197" s="17">
        <f t="shared" si="12"/>
        <v>7</v>
      </c>
      <c r="Q197" s="46">
        <f t="shared" si="13"/>
        <v>41.827181759999995</v>
      </c>
    </row>
    <row r="198" spans="1:17" ht="13.95" customHeight="1" x14ac:dyDescent="0.3">
      <c r="A198" s="3">
        <v>45854</v>
      </c>
      <c r="B198" s="19" t="s">
        <v>523</v>
      </c>
      <c r="C198" s="19" t="s">
        <v>8</v>
      </c>
      <c r="D198" s="19" t="s">
        <v>9</v>
      </c>
      <c r="E198" s="4">
        <v>0.72</v>
      </c>
      <c r="F198" s="5">
        <v>1.82</v>
      </c>
      <c r="G198" s="6">
        <v>257</v>
      </c>
      <c r="H198" s="30">
        <v>2.2999999999999998</v>
      </c>
      <c r="I198" s="21">
        <f t="shared" si="14"/>
        <v>774.57743999999991</v>
      </c>
      <c r="J198" s="7" t="s">
        <v>451</v>
      </c>
      <c r="K198" s="17">
        <f t="shared" si="12"/>
        <v>7</v>
      </c>
      <c r="Q198" s="46">
        <f t="shared" si="13"/>
        <v>40.218443999999991</v>
      </c>
    </row>
    <row r="199" spans="1:17" ht="13.95" customHeight="1" x14ac:dyDescent="0.3">
      <c r="A199" s="3">
        <v>45855</v>
      </c>
      <c r="B199" s="19" t="s">
        <v>523</v>
      </c>
      <c r="C199" s="19" t="s">
        <v>11</v>
      </c>
      <c r="D199" s="19" t="s">
        <v>9</v>
      </c>
      <c r="E199" s="4">
        <v>0.7</v>
      </c>
      <c r="F199" s="5">
        <v>1.8</v>
      </c>
      <c r="G199" s="6">
        <v>257</v>
      </c>
      <c r="H199" s="30">
        <v>2.2999999999999998</v>
      </c>
      <c r="I199" s="21">
        <f t="shared" si="14"/>
        <v>744.78599999999983</v>
      </c>
      <c r="J199" s="7" t="s">
        <v>67</v>
      </c>
      <c r="K199" s="17">
        <f t="shared" si="12"/>
        <v>7</v>
      </c>
      <c r="Q199" s="46">
        <f t="shared" si="13"/>
        <v>47.240712000000002</v>
      </c>
    </row>
    <row r="200" spans="1:17" ht="13.95" customHeight="1" x14ac:dyDescent="0.3">
      <c r="A200" s="3">
        <v>45856</v>
      </c>
      <c r="B200" s="19" t="s">
        <v>523</v>
      </c>
      <c r="C200" s="19" t="s">
        <v>13</v>
      </c>
      <c r="D200" s="19" t="s">
        <v>14</v>
      </c>
      <c r="E200" s="4">
        <v>0.8</v>
      </c>
      <c r="F200" s="5">
        <v>1.85</v>
      </c>
      <c r="G200" s="6">
        <v>257</v>
      </c>
      <c r="H200" s="30">
        <v>2.2999999999999998</v>
      </c>
      <c r="I200" s="21">
        <f t="shared" si="14"/>
        <v>874.82800000000009</v>
      </c>
      <c r="J200" s="7" t="s">
        <v>452</v>
      </c>
      <c r="K200" s="17">
        <f t="shared" si="12"/>
        <v>7</v>
      </c>
      <c r="Q200" s="46">
        <f t="shared" si="13"/>
        <v>75.840494399999997</v>
      </c>
    </row>
    <row r="201" spans="1:17" ht="13.95" customHeight="1" x14ac:dyDescent="0.3">
      <c r="A201" s="3">
        <v>45857</v>
      </c>
      <c r="B201" s="19" t="s">
        <v>523</v>
      </c>
      <c r="C201" s="19" t="s">
        <v>16</v>
      </c>
      <c r="D201" s="19" t="s">
        <v>14</v>
      </c>
      <c r="E201" s="4">
        <v>0.88</v>
      </c>
      <c r="F201" s="5">
        <v>2.7</v>
      </c>
      <c r="G201" s="6">
        <v>257</v>
      </c>
      <c r="H201" s="30">
        <v>2.2999999999999998</v>
      </c>
      <c r="I201" s="21">
        <f t="shared" si="14"/>
        <v>1404.4536000000001</v>
      </c>
      <c r="J201" s="7" t="s">
        <v>48</v>
      </c>
      <c r="K201" s="17">
        <f t="shared" si="12"/>
        <v>7</v>
      </c>
      <c r="Q201" s="46">
        <f t="shared" si="13"/>
        <v>83.692666799999984</v>
      </c>
    </row>
    <row r="202" spans="1:17" ht="13.95" customHeight="1" x14ac:dyDescent="0.3">
      <c r="A202" s="3">
        <v>45858</v>
      </c>
      <c r="B202" s="19" t="s">
        <v>523</v>
      </c>
      <c r="C202" s="19" t="s">
        <v>18</v>
      </c>
      <c r="D202" s="19" t="s">
        <v>9</v>
      </c>
      <c r="E202" s="4">
        <v>0.92</v>
      </c>
      <c r="F202" s="5">
        <v>2.85</v>
      </c>
      <c r="G202" s="6">
        <v>257</v>
      </c>
      <c r="H202" s="30">
        <v>2.2999999999999998</v>
      </c>
      <c r="I202" s="21">
        <f t="shared" si="14"/>
        <v>1549.8641999999998</v>
      </c>
      <c r="J202" s="7" t="s">
        <v>453</v>
      </c>
      <c r="K202" s="17">
        <f t="shared" si="12"/>
        <v>7</v>
      </c>
      <c r="Q202" s="46">
        <f t="shared" si="13"/>
        <v>46.474646400000005</v>
      </c>
    </row>
    <row r="203" spans="1:17" ht="13.95" customHeight="1" x14ac:dyDescent="0.3">
      <c r="A203" s="3">
        <v>45859</v>
      </c>
      <c r="B203" s="19" t="s">
        <v>523</v>
      </c>
      <c r="C203" s="19" t="s">
        <v>20</v>
      </c>
      <c r="D203" s="19" t="s">
        <v>9</v>
      </c>
      <c r="E203" s="4">
        <v>0.8</v>
      </c>
      <c r="F203" s="5">
        <v>1.82</v>
      </c>
      <c r="G203" s="6">
        <v>257</v>
      </c>
      <c r="H203" s="30">
        <v>2.2999999999999998</v>
      </c>
      <c r="I203" s="21">
        <f t="shared" si="14"/>
        <v>860.64160000000004</v>
      </c>
      <c r="J203" s="7" t="s">
        <v>453</v>
      </c>
      <c r="K203" s="17">
        <f t="shared" si="12"/>
        <v>7</v>
      </c>
      <c r="Q203" s="46">
        <f t="shared" si="13"/>
        <v>46.059694200000003</v>
      </c>
    </row>
    <row r="204" spans="1:17" ht="13.95" customHeight="1" x14ac:dyDescent="0.3">
      <c r="A204" s="3">
        <v>45860</v>
      </c>
      <c r="B204" s="19" t="s">
        <v>523</v>
      </c>
      <c r="C204" s="19" t="s">
        <v>5</v>
      </c>
      <c r="D204" s="19" t="s">
        <v>9</v>
      </c>
      <c r="E204" s="4">
        <v>0.78</v>
      </c>
      <c r="F204" s="5">
        <v>1.85</v>
      </c>
      <c r="G204" s="6">
        <v>257</v>
      </c>
      <c r="H204" s="30">
        <v>2.2999999999999998</v>
      </c>
      <c r="I204" s="21">
        <f t="shared" si="14"/>
        <v>852.95730000000003</v>
      </c>
      <c r="J204" s="7" t="s">
        <v>454</v>
      </c>
      <c r="K204" s="17">
        <f t="shared" si="12"/>
        <v>7</v>
      </c>
      <c r="Q204" s="46">
        <f t="shared" si="13"/>
        <v>43.569980999999999</v>
      </c>
    </row>
    <row r="205" spans="1:17" ht="13.95" customHeight="1" x14ac:dyDescent="0.3">
      <c r="A205" s="3">
        <v>45861</v>
      </c>
      <c r="B205" s="19" t="s">
        <v>523</v>
      </c>
      <c r="C205" s="19" t="s">
        <v>8</v>
      </c>
      <c r="D205" s="19" t="s">
        <v>9</v>
      </c>
      <c r="E205" s="4">
        <v>0.75</v>
      </c>
      <c r="F205" s="5">
        <v>1.82</v>
      </c>
      <c r="G205" s="6">
        <v>257</v>
      </c>
      <c r="H205" s="30">
        <v>2.2999999999999998</v>
      </c>
      <c r="I205" s="21">
        <f t="shared" si="14"/>
        <v>806.85149999999999</v>
      </c>
      <c r="J205" s="7" t="s">
        <v>455</v>
      </c>
      <c r="K205" s="17">
        <f t="shared" si="12"/>
        <v>7</v>
      </c>
      <c r="Q205" s="46">
        <f t="shared" si="13"/>
        <v>41.367542399999998</v>
      </c>
    </row>
    <row r="206" spans="1:17" ht="13.95" customHeight="1" x14ac:dyDescent="0.3">
      <c r="A206" s="3">
        <v>45862</v>
      </c>
      <c r="B206" s="19" t="s">
        <v>523</v>
      </c>
      <c r="C206" s="19" t="s">
        <v>11</v>
      </c>
      <c r="D206" s="19" t="s">
        <v>9</v>
      </c>
      <c r="E206" s="4">
        <v>0.72</v>
      </c>
      <c r="F206" s="5">
        <v>1.8</v>
      </c>
      <c r="G206" s="6">
        <v>257</v>
      </c>
      <c r="H206" s="30">
        <v>2.2999999999999998</v>
      </c>
      <c r="I206" s="21">
        <f t="shared" si="14"/>
        <v>766.0655999999999</v>
      </c>
      <c r="J206" s="7" t="s">
        <v>456</v>
      </c>
      <c r="K206" s="17">
        <f t="shared" si="12"/>
        <v>7</v>
      </c>
      <c r="Q206" s="46">
        <f t="shared" si="13"/>
        <v>59.689277999999995</v>
      </c>
    </row>
    <row r="207" spans="1:17" ht="13.95" customHeight="1" x14ac:dyDescent="0.3">
      <c r="A207" s="3">
        <v>45863</v>
      </c>
      <c r="B207" s="19" t="s">
        <v>523</v>
      </c>
      <c r="C207" s="19" t="s">
        <v>13</v>
      </c>
      <c r="D207" s="19" t="s">
        <v>457</v>
      </c>
      <c r="E207" s="4">
        <v>0.85</v>
      </c>
      <c r="F207" s="5">
        <v>2.2000000000000002</v>
      </c>
      <c r="G207" s="6">
        <v>257</v>
      </c>
      <c r="H207" s="30">
        <v>2.2999999999999998</v>
      </c>
      <c r="I207" s="21">
        <f t="shared" si="14"/>
        <v>1105.357</v>
      </c>
      <c r="J207" s="7" t="s">
        <v>458</v>
      </c>
      <c r="K207" s="17">
        <f t="shared" si="12"/>
        <v>7</v>
      </c>
      <c r="Q207" s="46">
        <f t="shared" si="13"/>
        <v>79.000515000000007</v>
      </c>
    </row>
    <row r="208" spans="1:17" ht="13.95" customHeight="1" x14ac:dyDescent="0.3">
      <c r="A208" s="3">
        <v>45864</v>
      </c>
      <c r="B208" s="19" t="s">
        <v>523</v>
      </c>
      <c r="C208" s="19" t="s">
        <v>16</v>
      </c>
      <c r="D208" s="19" t="s">
        <v>14</v>
      </c>
      <c r="E208" s="4">
        <v>0.9</v>
      </c>
      <c r="F208" s="5">
        <v>2.75</v>
      </c>
      <c r="G208" s="6">
        <v>257</v>
      </c>
      <c r="H208" s="30">
        <v>2.2999999999999998</v>
      </c>
      <c r="I208" s="21">
        <f t="shared" si="14"/>
        <v>1462.9725000000001</v>
      </c>
      <c r="J208" s="7" t="s">
        <v>459</v>
      </c>
      <c r="K208" s="17">
        <f t="shared" si="12"/>
        <v>7</v>
      </c>
      <c r="Q208" s="46">
        <f t="shared" si="13"/>
        <v>85.512072599999982</v>
      </c>
    </row>
    <row r="209" spans="1:17" ht="13.95" customHeight="1" x14ac:dyDescent="0.3">
      <c r="A209" s="3">
        <v>45865</v>
      </c>
      <c r="B209" s="19" t="s">
        <v>523</v>
      </c>
      <c r="C209" s="19" t="s">
        <v>18</v>
      </c>
      <c r="D209" s="19" t="s">
        <v>9</v>
      </c>
      <c r="E209" s="4">
        <v>0.94</v>
      </c>
      <c r="F209" s="5">
        <v>2.85</v>
      </c>
      <c r="G209" s="6">
        <v>257</v>
      </c>
      <c r="H209" s="30">
        <v>2.2999999999999998</v>
      </c>
      <c r="I209" s="21">
        <f t="shared" si="14"/>
        <v>1583.5568999999998</v>
      </c>
      <c r="J209" s="7" t="s">
        <v>460</v>
      </c>
      <c r="K209" s="17">
        <f t="shared" ref="K209:K272" si="15">MONTH(A209)</f>
        <v>7</v>
      </c>
      <c r="Q209" s="46">
        <f t="shared" si="13"/>
        <v>48.421729799999994</v>
      </c>
    </row>
    <row r="210" spans="1:17" ht="13.95" customHeight="1" x14ac:dyDescent="0.3">
      <c r="A210" s="3">
        <v>45866</v>
      </c>
      <c r="B210" s="19" t="s">
        <v>523</v>
      </c>
      <c r="C210" s="19" t="s">
        <v>20</v>
      </c>
      <c r="D210" s="19" t="s">
        <v>9</v>
      </c>
      <c r="E210" s="4">
        <v>0.82</v>
      </c>
      <c r="F210" s="5">
        <v>1.85</v>
      </c>
      <c r="G210" s="6">
        <v>257</v>
      </c>
      <c r="H210" s="30">
        <v>2.2999999999999998</v>
      </c>
      <c r="I210" s="21">
        <f t="shared" si="14"/>
        <v>896.69869999999992</v>
      </c>
      <c r="J210" s="7" t="s">
        <v>461</v>
      </c>
      <c r="K210" s="17">
        <f t="shared" si="15"/>
        <v>7</v>
      </c>
      <c r="Q210" s="46">
        <f t="shared" si="13"/>
        <v>43.569980999999999</v>
      </c>
    </row>
    <row r="211" spans="1:17" ht="13.95" customHeight="1" x14ac:dyDescent="0.3">
      <c r="A211" s="3">
        <v>45867</v>
      </c>
      <c r="B211" s="19" t="s">
        <v>523</v>
      </c>
      <c r="C211" s="19" t="s">
        <v>5</v>
      </c>
      <c r="D211" s="19" t="s">
        <v>9</v>
      </c>
      <c r="E211" s="4">
        <v>0.75</v>
      </c>
      <c r="F211" s="5">
        <v>1.82</v>
      </c>
      <c r="G211" s="6">
        <v>257</v>
      </c>
      <c r="H211" s="30">
        <v>2.2999999999999998</v>
      </c>
      <c r="I211" s="21">
        <f t="shared" si="14"/>
        <v>806.85149999999999</v>
      </c>
      <c r="J211" s="7" t="s">
        <v>461</v>
      </c>
      <c r="K211" s="17">
        <f t="shared" si="15"/>
        <v>7</v>
      </c>
      <c r="Q211" s="46">
        <f t="shared" si="13"/>
        <v>41.367542399999998</v>
      </c>
    </row>
    <row r="212" spans="1:17" ht="13.95" customHeight="1" x14ac:dyDescent="0.3">
      <c r="A212" s="3">
        <v>45868</v>
      </c>
      <c r="B212" s="19" t="s">
        <v>523</v>
      </c>
      <c r="C212" s="19" t="s">
        <v>8</v>
      </c>
      <c r="D212" s="19" t="s">
        <v>9</v>
      </c>
      <c r="E212" s="4">
        <v>0.72</v>
      </c>
      <c r="F212" s="5">
        <v>1.8</v>
      </c>
      <c r="G212" s="6">
        <v>257</v>
      </c>
      <c r="H212" s="30">
        <v>2.2999999999999998</v>
      </c>
      <c r="I212" s="21">
        <f t="shared" si="14"/>
        <v>766.0655999999999</v>
      </c>
      <c r="J212" s="7" t="s">
        <v>462</v>
      </c>
      <c r="K212" s="17">
        <f t="shared" si="15"/>
        <v>7</v>
      </c>
      <c r="Q212" s="46">
        <f t="shared" si="13"/>
        <v>39.771572399999989</v>
      </c>
    </row>
    <row r="213" spans="1:17" ht="13.95" customHeight="1" x14ac:dyDescent="0.3">
      <c r="A213" s="3">
        <v>45869</v>
      </c>
      <c r="B213" s="19" t="s">
        <v>523</v>
      </c>
      <c r="C213" s="19" t="s">
        <v>11</v>
      </c>
      <c r="D213" s="19" t="s">
        <v>9</v>
      </c>
      <c r="E213" s="4">
        <v>0.7</v>
      </c>
      <c r="F213" s="5">
        <v>1.78</v>
      </c>
      <c r="G213" s="6">
        <v>257</v>
      </c>
      <c r="H213" s="30">
        <v>2.2999999999999998</v>
      </c>
      <c r="I213" s="21">
        <f t="shared" si="14"/>
        <v>736.51059999999984</v>
      </c>
      <c r="J213" s="7" t="s">
        <v>463</v>
      </c>
      <c r="K213" s="17">
        <f t="shared" si="15"/>
        <v>7</v>
      </c>
      <c r="Q213" s="46">
        <f t="shared" si="13"/>
        <v>47.240712000000002</v>
      </c>
    </row>
    <row r="214" spans="1:17" ht="13.95" customHeight="1" x14ac:dyDescent="0.3">
      <c r="A214" s="3">
        <v>45870</v>
      </c>
      <c r="B214" s="19" t="s">
        <v>523</v>
      </c>
      <c r="C214" s="19" t="s">
        <v>13</v>
      </c>
      <c r="D214" s="19" t="s">
        <v>14</v>
      </c>
      <c r="E214" s="4">
        <v>0.8</v>
      </c>
      <c r="F214" s="5">
        <v>1.85</v>
      </c>
      <c r="G214" s="6">
        <v>257</v>
      </c>
      <c r="H214" s="30">
        <v>2.2999999999999998</v>
      </c>
      <c r="I214" s="21">
        <f t="shared" si="14"/>
        <v>874.82800000000009</v>
      </c>
      <c r="J214" s="7" t="s">
        <v>464</v>
      </c>
      <c r="K214" s="17">
        <f t="shared" si="15"/>
        <v>8</v>
      </c>
      <c r="Q214" s="46">
        <f t="shared" si="13"/>
        <v>79.000515000000007</v>
      </c>
    </row>
    <row r="215" spans="1:17" ht="13.95" customHeight="1" x14ac:dyDescent="0.3">
      <c r="A215" s="3">
        <v>45871</v>
      </c>
      <c r="B215" s="19" t="s">
        <v>523</v>
      </c>
      <c r="C215" s="19" t="s">
        <v>16</v>
      </c>
      <c r="D215" s="19" t="s">
        <v>14</v>
      </c>
      <c r="E215" s="4">
        <v>0.9</v>
      </c>
      <c r="F215" s="5">
        <v>2.75</v>
      </c>
      <c r="G215" s="6">
        <v>257</v>
      </c>
      <c r="H215" s="30">
        <v>2.2999999999999998</v>
      </c>
      <c r="I215" s="21">
        <f t="shared" si="14"/>
        <v>1462.9725000000001</v>
      </c>
      <c r="J215" s="7" t="s">
        <v>465</v>
      </c>
      <c r="K215" s="17">
        <f t="shared" si="15"/>
        <v>8</v>
      </c>
      <c r="Q215" s="46">
        <f t="shared" si="13"/>
        <v>83.692666799999984</v>
      </c>
    </row>
    <row r="216" spans="1:17" ht="13.95" customHeight="1" x14ac:dyDescent="0.3">
      <c r="A216" s="3">
        <v>45872</v>
      </c>
      <c r="B216" s="19" t="s">
        <v>523</v>
      </c>
      <c r="C216" s="19" t="s">
        <v>18</v>
      </c>
      <c r="D216" s="19" t="s">
        <v>9</v>
      </c>
      <c r="E216" s="4">
        <v>0.92</v>
      </c>
      <c r="F216" s="5">
        <v>2.85</v>
      </c>
      <c r="G216" s="6">
        <v>257</v>
      </c>
      <c r="H216" s="30">
        <v>2.2999999999999998</v>
      </c>
      <c r="I216" s="21">
        <f t="shared" si="14"/>
        <v>1549.8641999999998</v>
      </c>
      <c r="J216" s="7" t="s">
        <v>466</v>
      </c>
      <c r="K216" s="17">
        <f t="shared" si="15"/>
        <v>8</v>
      </c>
      <c r="Q216" s="46">
        <f t="shared" si="13"/>
        <v>47.636512559999993</v>
      </c>
    </row>
    <row r="217" spans="1:17" ht="13.95" customHeight="1" x14ac:dyDescent="0.3">
      <c r="A217" s="3">
        <v>45873</v>
      </c>
      <c r="B217" s="19" t="s">
        <v>523</v>
      </c>
      <c r="C217" s="19" t="s">
        <v>20</v>
      </c>
      <c r="D217" s="19" t="s">
        <v>9</v>
      </c>
      <c r="E217" s="4">
        <v>0.82</v>
      </c>
      <c r="F217" s="5">
        <v>1.82</v>
      </c>
      <c r="G217" s="6">
        <v>257</v>
      </c>
      <c r="H217" s="30">
        <v>2.2999999999999998</v>
      </c>
      <c r="I217" s="21">
        <f t="shared" si="14"/>
        <v>882.1576399999999</v>
      </c>
      <c r="J217" s="7" t="s">
        <v>466</v>
      </c>
      <c r="K217" s="17">
        <f t="shared" si="15"/>
        <v>8</v>
      </c>
      <c r="Q217" s="46">
        <f t="shared" si="13"/>
        <v>45.963935999999997</v>
      </c>
    </row>
    <row r="218" spans="1:17" ht="13.95" customHeight="1" x14ac:dyDescent="0.3">
      <c r="A218" s="3">
        <v>45874</v>
      </c>
      <c r="B218" s="19" t="s">
        <v>523</v>
      </c>
      <c r="C218" s="19" t="s">
        <v>5</v>
      </c>
      <c r="D218" s="19" t="s">
        <v>9</v>
      </c>
      <c r="E218" s="4">
        <v>0.8</v>
      </c>
      <c r="F218" s="5">
        <v>1.8</v>
      </c>
      <c r="G218" s="6">
        <v>257</v>
      </c>
      <c r="H218" s="30">
        <v>2.2999999999999998</v>
      </c>
      <c r="I218" s="21">
        <f t="shared" si="14"/>
        <v>851.18399999999997</v>
      </c>
      <c r="J218" s="7" t="s">
        <v>467</v>
      </c>
      <c r="K218" s="17">
        <f t="shared" si="15"/>
        <v>8</v>
      </c>
      <c r="Q218" s="46">
        <f t="shared" si="13"/>
        <v>44.316894959999999</v>
      </c>
    </row>
    <row r="219" spans="1:17" ht="13.95" customHeight="1" x14ac:dyDescent="0.3">
      <c r="A219" s="3">
        <v>45875</v>
      </c>
      <c r="B219" s="19" t="s">
        <v>523</v>
      </c>
      <c r="C219" s="19" t="s">
        <v>8</v>
      </c>
      <c r="D219" s="19" t="s">
        <v>9</v>
      </c>
      <c r="E219" s="4">
        <v>0.78</v>
      </c>
      <c r="F219" s="5">
        <v>1.78</v>
      </c>
      <c r="G219" s="6">
        <v>257</v>
      </c>
      <c r="H219" s="30">
        <v>2.2999999999999998</v>
      </c>
      <c r="I219" s="21">
        <f t="shared" si="14"/>
        <v>820.68323999999996</v>
      </c>
      <c r="J219" s="7" t="s">
        <v>468</v>
      </c>
      <c r="K219" s="17">
        <f t="shared" si="15"/>
        <v>8</v>
      </c>
      <c r="Q219" s="46">
        <f t="shared" si="13"/>
        <v>41.894212500000002</v>
      </c>
    </row>
    <row r="220" spans="1:17" ht="13.95" customHeight="1" x14ac:dyDescent="0.3">
      <c r="A220" s="3">
        <v>45876</v>
      </c>
      <c r="B220" s="19" t="s">
        <v>523</v>
      </c>
      <c r="C220" s="19" t="s">
        <v>11</v>
      </c>
      <c r="D220" s="19" t="s">
        <v>9</v>
      </c>
      <c r="E220" s="4">
        <v>0.75</v>
      </c>
      <c r="F220" s="5">
        <v>1.75</v>
      </c>
      <c r="G220" s="6">
        <v>257</v>
      </c>
      <c r="H220" s="30">
        <v>2.2999999999999998</v>
      </c>
      <c r="I220" s="21">
        <f t="shared" si="14"/>
        <v>775.81875000000002</v>
      </c>
      <c r="J220" s="7" t="s">
        <v>469</v>
      </c>
      <c r="K220" s="17">
        <f t="shared" si="15"/>
        <v>8</v>
      </c>
      <c r="Q220" s="46">
        <f t="shared" si="13"/>
        <v>48.421729799999994</v>
      </c>
    </row>
    <row r="221" spans="1:17" ht="13.95" customHeight="1" x14ac:dyDescent="0.3">
      <c r="A221" s="3">
        <v>45877</v>
      </c>
      <c r="B221" s="19" t="s">
        <v>523</v>
      </c>
      <c r="C221" s="19" t="s">
        <v>13</v>
      </c>
      <c r="D221" s="19" t="s">
        <v>14</v>
      </c>
      <c r="E221" s="4">
        <v>0.82</v>
      </c>
      <c r="F221" s="5">
        <v>1.85</v>
      </c>
      <c r="G221" s="6">
        <v>257</v>
      </c>
      <c r="H221" s="30">
        <v>2.2999999999999998</v>
      </c>
      <c r="I221" s="21">
        <f t="shared" si="14"/>
        <v>896.69869999999992</v>
      </c>
      <c r="J221" s="7" t="s">
        <v>470</v>
      </c>
      <c r="K221" s="17">
        <f t="shared" si="15"/>
        <v>8</v>
      </c>
      <c r="Q221" s="46">
        <f t="shared" si="13"/>
        <v>84.01186079999998</v>
      </c>
    </row>
    <row r="222" spans="1:17" ht="13.95" customHeight="1" x14ac:dyDescent="0.3">
      <c r="A222" s="3">
        <v>45878</v>
      </c>
      <c r="B222" s="19" t="s">
        <v>523</v>
      </c>
      <c r="C222" s="19" t="s">
        <v>16</v>
      </c>
      <c r="D222" s="19" t="s">
        <v>14</v>
      </c>
      <c r="E222" s="4">
        <v>0.94</v>
      </c>
      <c r="F222" s="5">
        <v>2.8</v>
      </c>
      <c r="G222" s="6">
        <v>257</v>
      </c>
      <c r="H222" s="30">
        <v>2.2999999999999998</v>
      </c>
      <c r="I222" s="21">
        <f t="shared" si="14"/>
        <v>1555.7751999999996</v>
      </c>
      <c r="J222" s="7" t="s">
        <v>69</v>
      </c>
      <c r="K222" s="17">
        <f t="shared" si="15"/>
        <v>8</v>
      </c>
      <c r="Q222" s="46">
        <f t="shared" si="13"/>
        <v>87.937946999999994</v>
      </c>
    </row>
    <row r="223" spans="1:17" ht="13.95" customHeight="1" x14ac:dyDescent="0.3">
      <c r="A223" s="3">
        <v>45879</v>
      </c>
      <c r="B223" s="19" t="s">
        <v>523</v>
      </c>
      <c r="C223" s="19" t="s">
        <v>18</v>
      </c>
      <c r="D223" s="19" t="s">
        <v>9</v>
      </c>
      <c r="E223" s="4">
        <v>0.95</v>
      </c>
      <c r="F223" s="5">
        <v>2.9</v>
      </c>
      <c r="G223" s="6">
        <v>257</v>
      </c>
      <c r="H223" s="30">
        <v>2.2999999999999998</v>
      </c>
      <c r="I223" s="21">
        <f t="shared" si="14"/>
        <v>1628.4804999999999</v>
      </c>
      <c r="J223" s="7" t="s">
        <v>471</v>
      </c>
      <c r="K223" s="17">
        <f t="shared" si="15"/>
        <v>8</v>
      </c>
      <c r="Q223" s="46">
        <f t="shared" si="13"/>
        <v>49.379311799999996</v>
      </c>
    </row>
    <row r="224" spans="1:17" ht="13.95" customHeight="1" x14ac:dyDescent="0.3">
      <c r="A224" s="3">
        <v>45880</v>
      </c>
      <c r="B224" s="19" t="s">
        <v>523</v>
      </c>
      <c r="C224" s="19" t="s">
        <v>20</v>
      </c>
      <c r="D224" s="19" t="s">
        <v>9</v>
      </c>
      <c r="E224" s="4">
        <v>0.85</v>
      </c>
      <c r="F224" s="5">
        <v>1.82</v>
      </c>
      <c r="G224" s="6">
        <v>257</v>
      </c>
      <c r="H224" s="30">
        <v>2.2999999999999998</v>
      </c>
      <c r="I224" s="21">
        <f t="shared" si="14"/>
        <v>914.43169999999998</v>
      </c>
      <c r="J224" s="7" t="s">
        <v>471</v>
      </c>
      <c r="K224" s="17">
        <f t="shared" si="15"/>
        <v>8</v>
      </c>
      <c r="Q224" s="46">
        <f t="shared" si="13"/>
        <v>47.113034399999997</v>
      </c>
    </row>
    <row r="225" spans="1:17" ht="13.95" customHeight="1" x14ac:dyDescent="0.3">
      <c r="A225" s="3">
        <v>45881</v>
      </c>
      <c r="B225" s="19" t="s">
        <v>523</v>
      </c>
      <c r="C225" s="19" t="s">
        <v>5</v>
      </c>
      <c r="D225" s="19" t="s">
        <v>9</v>
      </c>
      <c r="E225" s="4">
        <v>0.82</v>
      </c>
      <c r="F225" s="5">
        <v>1.8</v>
      </c>
      <c r="G225" s="6">
        <v>257</v>
      </c>
      <c r="H225" s="30">
        <v>2.2999999999999998</v>
      </c>
      <c r="I225" s="21">
        <f t="shared" si="14"/>
        <v>872.46359999999993</v>
      </c>
      <c r="J225" s="7" t="s">
        <v>195</v>
      </c>
      <c r="K225" s="17">
        <f t="shared" si="15"/>
        <v>8</v>
      </c>
      <c r="Q225" s="46">
        <f t="shared" si="13"/>
        <v>70.222679999999997</v>
      </c>
    </row>
    <row r="226" spans="1:17" ht="13.95" customHeight="1" x14ac:dyDescent="0.3">
      <c r="A226" s="3">
        <v>45882</v>
      </c>
      <c r="B226" s="19" t="s">
        <v>523</v>
      </c>
      <c r="C226" s="19" t="s">
        <v>8</v>
      </c>
      <c r="D226" s="19" t="s">
        <v>472</v>
      </c>
      <c r="E226" s="4">
        <v>0.88</v>
      </c>
      <c r="F226" s="5">
        <v>2.5</v>
      </c>
      <c r="G226" s="6">
        <v>257</v>
      </c>
      <c r="H226" s="30">
        <v>2.2999999999999998</v>
      </c>
      <c r="I226" s="21">
        <f t="shared" si="14"/>
        <v>1300.42</v>
      </c>
      <c r="J226" s="7" t="s">
        <v>473</v>
      </c>
      <c r="K226" s="17">
        <f t="shared" si="15"/>
        <v>8</v>
      </c>
      <c r="Q226" s="46">
        <f t="shared" si="13"/>
        <v>46.474646400000005</v>
      </c>
    </row>
    <row r="227" spans="1:17" ht="13.95" customHeight="1" x14ac:dyDescent="0.3">
      <c r="A227" s="3">
        <v>45883</v>
      </c>
      <c r="B227" s="19" t="s">
        <v>523</v>
      </c>
      <c r="C227" s="19" t="s">
        <v>11</v>
      </c>
      <c r="D227" s="19" t="s">
        <v>9</v>
      </c>
      <c r="E227" s="4">
        <v>0.8</v>
      </c>
      <c r="F227" s="5">
        <v>1.82</v>
      </c>
      <c r="G227" s="6">
        <v>257</v>
      </c>
      <c r="H227" s="30">
        <v>2.2999999999999998</v>
      </c>
      <c r="I227" s="21">
        <f t="shared" si="14"/>
        <v>860.64160000000004</v>
      </c>
      <c r="J227" s="7" t="s">
        <v>474</v>
      </c>
      <c r="K227" s="17">
        <f t="shared" si="15"/>
        <v>8</v>
      </c>
      <c r="Q227" s="46">
        <f t="shared" si="13"/>
        <v>51.54983099999999</v>
      </c>
    </row>
    <row r="228" spans="1:17" ht="13.95" customHeight="1" x14ac:dyDescent="0.3">
      <c r="A228" s="3">
        <v>45884</v>
      </c>
      <c r="B228" s="19" t="s">
        <v>523</v>
      </c>
      <c r="C228" s="19" t="s">
        <v>13</v>
      </c>
      <c r="D228" s="19" t="s">
        <v>14</v>
      </c>
      <c r="E228" s="4">
        <v>0.85</v>
      </c>
      <c r="F228" s="5">
        <v>1.9</v>
      </c>
      <c r="G228" s="6">
        <v>257</v>
      </c>
      <c r="H228" s="30">
        <v>2.2999999999999998</v>
      </c>
      <c r="I228" s="21">
        <f t="shared" si="14"/>
        <v>954.62649999999985</v>
      </c>
      <c r="J228" s="7" t="s">
        <v>475</v>
      </c>
      <c r="K228" s="17">
        <f t="shared" si="15"/>
        <v>8</v>
      </c>
      <c r="Q228" s="46">
        <f t="shared" si="13"/>
        <v>80.756081999999978</v>
      </c>
    </row>
    <row r="229" spans="1:17" ht="13.95" customHeight="1" x14ac:dyDescent="0.3">
      <c r="A229" s="3">
        <v>45885</v>
      </c>
      <c r="B229" s="19" t="s">
        <v>523</v>
      </c>
      <c r="C229" s="19" t="s">
        <v>16</v>
      </c>
      <c r="D229" s="19" t="s">
        <v>14</v>
      </c>
      <c r="E229" s="4">
        <v>0.92</v>
      </c>
      <c r="F229" s="5">
        <v>2.75</v>
      </c>
      <c r="G229" s="6">
        <v>257</v>
      </c>
      <c r="H229" s="30">
        <v>2.2999999999999998</v>
      </c>
      <c r="I229" s="21">
        <f t="shared" si="14"/>
        <v>1495.4829999999997</v>
      </c>
      <c r="J229" s="7" t="s">
        <v>238</v>
      </c>
      <c r="K229" s="17">
        <f t="shared" si="15"/>
        <v>8</v>
      </c>
      <c r="Q229" s="46">
        <f t="shared" si="13"/>
        <v>81.873261000000014</v>
      </c>
    </row>
    <row r="230" spans="1:17" ht="13.95" customHeight="1" x14ac:dyDescent="0.3">
      <c r="A230" s="3">
        <v>45886</v>
      </c>
      <c r="B230" s="19" t="s">
        <v>523</v>
      </c>
      <c r="C230" s="19" t="s">
        <v>18</v>
      </c>
      <c r="D230" s="19" t="s">
        <v>9</v>
      </c>
      <c r="E230" s="4">
        <v>0.9</v>
      </c>
      <c r="F230" s="5">
        <v>2.85</v>
      </c>
      <c r="G230" s="6">
        <v>257</v>
      </c>
      <c r="H230" s="30">
        <v>2.2999999999999998</v>
      </c>
      <c r="I230" s="21">
        <f t="shared" si="14"/>
        <v>1516.1715000000002</v>
      </c>
      <c r="J230" s="7" t="s">
        <v>476</v>
      </c>
      <c r="K230" s="17">
        <f t="shared" si="15"/>
        <v>8</v>
      </c>
      <c r="Q230" s="46">
        <f t="shared" si="13"/>
        <v>44.316894959999999</v>
      </c>
    </row>
    <row r="231" spans="1:17" ht="13.95" customHeight="1" x14ac:dyDescent="0.3">
      <c r="A231" s="3">
        <v>45887</v>
      </c>
      <c r="B231" s="19" t="s">
        <v>523</v>
      </c>
      <c r="C231" s="19" t="s">
        <v>20</v>
      </c>
      <c r="D231" s="19" t="s">
        <v>9</v>
      </c>
      <c r="E231" s="4">
        <v>0.78</v>
      </c>
      <c r="F231" s="5">
        <v>1.78</v>
      </c>
      <c r="G231" s="6">
        <v>257</v>
      </c>
      <c r="H231" s="30">
        <v>2.2999999999999998</v>
      </c>
      <c r="I231" s="21">
        <f t="shared" si="14"/>
        <v>820.68323999999996</v>
      </c>
      <c r="J231" s="7" t="s">
        <v>476</v>
      </c>
      <c r="K231" s="17">
        <f t="shared" si="15"/>
        <v>8</v>
      </c>
      <c r="Q231" s="46">
        <f t="shared" si="13"/>
        <v>41.894212500000002</v>
      </c>
    </row>
    <row r="232" spans="1:17" ht="13.95" customHeight="1" x14ac:dyDescent="0.3">
      <c r="A232" s="3">
        <v>45888</v>
      </c>
      <c r="B232" s="19" t="s">
        <v>523</v>
      </c>
      <c r="C232" s="19" t="s">
        <v>5</v>
      </c>
      <c r="D232" s="19" t="s">
        <v>9</v>
      </c>
      <c r="E232" s="4">
        <v>0.75</v>
      </c>
      <c r="F232" s="5">
        <v>1.75</v>
      </c>
      <c r="G232" s="6">
        <v>257</v>
      </c>
      <c r="H232" s="30">
        <v>2.2999999999999998</v>
      </c>
      <c r="I232" s="21">
        <f t="shared" si="14"/>
        <v>775.81875000000002</v>
      </c>
      <c r="J232" s="7" t="s">
        <v>477</v>
      </c>
      <c r="K232" s="17">
        <f t="shared" si="15"/>
        <v>8</v>
      </c>
      <c r="Q232" s="46">
        <f t="shared" si="13"/>
        <v>40.218443999999991</v>
      </c>
    </row>
    <row r="233" spans="1:17" ht="13.95" customHeight="1" x14ac:dyDescent="0.3">
      <c r="A233" s="3">
        <v>45889</v>
      </c>
      <c r="B233" s="19" t="s">
        <v>523</v>
      </c>
      <c r="C233" s="19" t="s">
        <v>8</v>
      </c>
      <c r="D233" s="19" t="s">
        <v>9</v>
      </c>
      <c r="E233" s="4">
        <v>0.72</v>
      </c>
      <c r="F233" s="5">
        <v>1.75</v>
      </c>
      <c r="G233" s="6">
        <v>257</v>
      </c>
      <c r="H233" s="30">
        <v>2.2999999999999998</v>
      </c>
      <c r="I233" s="21">
        <f t="shared" si="14"/>
        <v>744.78599999999983</v>
      </c>
      <c r="J233" s="7" t="s">
        <v>72</v>
      </c>
      <c r="K233" s="17">
        <f t="shared" si="15"/>
        <v>8</v>
      </c>
      <c r="Q233" s="46">
        <f t="shared" si="13"/>
        <v>38.430957599999992</v>
      </c>
    </row>
    <row r="234" spans="1:17" ht="13.95" customHeight="1" x14ac:dyDescent="0.3">
      <c r="A234" s="3">
        <v>45890</v>
      </c>
      <c r="B234" s="19" t="s">
        <v>523</v>
      </c>
      <c r="C234" s="19" t="s">
        <v>11</v>
      </c>
      <c r="D234" s="19" t="s">
        <v>9</v>
      </c>
      <c r="E234" s="4">
        <v>0.7</v>
      </c>
      <c r="F234" s="5">
        <v>1.72</v>
      </c>
      <c r="G234" s="6">
        <v>257</v>
      </c>
      <c r="H234" s="30">
        <v>2.2999999999999998</v>
      </c>
      <c r="I234" s="21">
        <f t="shared" si="14"/>
        <v>711.68439999999987</v>
      </c>
      <c r="J234" s="7" t="s">
        <v>97</v>
      </c>
      <c r="K234" s="17">
        <f t="shared" si="15"/>
        <v>8</v>
      </c>
      <c r="Q234" s="46">
        <f t="shared" si="13"/>
        <v>44.2881675</v>
      </c>
    </row>
    <row r="235" spans="1:17" ht="13.95" customHeight="1" x14ac:dyDescent="0.3">
      <c r="A235" s="3">
        <v>45891</v>
      </c>
      <c r="B235" s="19" t="s">
        <v>523</v>
      </c>
      <c r="C235" s="19" t="s">
        <v>13</v>
      </c>
      <c r="D235" s="19" t="s">
        <v>14</v>
      </c>
      <c r="E235" s="4">
        <v>0.75</v>
      </c>
      <c r="F235" s="5">
        <v>1.85</v>
      </c>
      <c r="G235" s="6">
        <v>257</v>
      </c>
      <c r="H235" s="30">
        <v>2.2999999999999998</v>
      </c>
      <c r="I235" s="21">
        <f t="shared" si="14"/>
        <v>820.15125</v>
      </c>
      <c r="J235" s="7" t="s">
        <v>475</v>
      </c>
      <c r="K235" s="17">
        <f t="shared" si="15"/>
        <v>8</v>
      </c>
      <c r="Q235" s="46">
        <f t="shared" si="13"/>
        <v>73.255022999999994</v>
      </c>
    </row>
    <row r="236" spans="1:17" ht="13.95" customHeight="1" x14ac:dyDescent="0.3">
      <c r="A236" s="3">
        <v>45892</v>
      </c>
      <c r="B236" s="19" t="s">
        <v>523</v>
      </c>
      <c r="C236" s="19" t="s">
        <v>16</v>
      </c>
      <c r="D236" s="19" t="s">
        <v>14</v>
      </c>
      <c r="E236" s="4">
        <v>0.85</v>
      </c>
      <c r="F236" s="5">
        <v>2.7</v>
      </c>
      <c r="G236" s="6">
        <v>257</v>
      </c>
      <c r="H236" s="30">
        <v>2.2999999999999998</v>
      </c>
      <c r="I236" s="21">
        <f t="shared" si="14"/>
        <v>1356.5744999999999</v>
      </c>
      <c r="J236" s="7" t="s">
        <v>69</v>
      </c>
      <c r="K236" s="17">
        <f t="shared" si="15"/>
        <v>8</v>
      </c>
      <c r="Q236" s="46">
        <f t="shared" si="13"/>
        <v>78.64940159999999</v>
      </c>
    </row>
    <row r="237" spans="1:17" ht="13.95" customHeight="1" x14ac:dyDescent="0.3">
      <c r="A237" s="3">
        <v>45893</v>
      </c>
      <c r="B237" s="19" t="s">
        <v>523</v>
      </c>
      <c r="C237" s="19" t="s">
        <v>18</v>
      </c>
      <c r="D237" s="19" t="s">
        <v>9</v>
      </c>
      <c r="E237" s="4">
        <v>0.88</v>
      </c>
      <c r="F237" s="5">
        <v>2.8</v>
      </c>
      <c r="G237" s="6">
        <v>257</v>
      </c>
      <c r="H237" s="30">
        <v>2.2999999999999998</v>
      </c>
      <c r="I237" s="21">
        <f t="shared" si="14"/>
        <v>1456.4703999999999</v>
      </c>
      <c r="J237" s="7" t="s">
        <v>478</v>
      </c>
      <c r="K237" s="17">
        <f t="shared" si="15"/>
        <v>8</v>
      </c>
      <c r="Q237" s="46">
        <f t="shared" si="13"/>
        <v>41.827181759999995</v>
      </c>
    </row>
    <row r="238" spans="1:17" ht="13.95" customHeight="1" x14ac:dyDescent="0.3">
      <c r="A238" s="3">
        <v>45894</v>
      </c>
      <c r="B238" s="19" t="s">
        <v>523</v>
      </c>
      <c r="C238" s="19" t="s">
        <v>20</v>
      </c>
      <c r="D238" s="19" t="s">
        <v>9</v>
      </c>
      <c r="E238" s="4">
        <v>0.72</v>
      </c>
      <c r="F238" s="5">
        <v>1.82</v>
      </c>
      <c r="G238" s="6">
        <v>257</v>
      </c>
      <c r="H238" s="30">
        <v>2.2999999999999998</v>
      </c>
      <c r="I238" s="21">
        <f t="shared" si="14"/>
        <v>774.57743999999991</v>
      </c>
      <c r="J238" s="7" t="s">
        <v>461</v>
      </c>
      <c r="K238" s="17">
        <f t="shared" si="15"/>
        <v>8</v>
      </c>
      <c r="Q238" s="46">
        <f t="shared" si="13"/>
        <v>44.2881675</v>
      </c>
    </row>
    <row r="239" spans="1:17" ht="13.95" customHeight="1" x14ac:dyDescent="0.3">
      <c r="A239" s="3">
        <v>45895</v>
      </c>
      <c r="B239" s="19" t="s">
        <v>523</v>
      </c>
      <c r="C239" s="19" t="s">
        <v>5</v>
      </c>
      <c r="D239" s="19" t="s">
        <v>9</v>
      </c>
      <c r="E239" s="4">
        <v>0.75</v>
      </c>
      <c r="F239" s="5">
        <v>1.85</v>
      </c>
      <c r="G239" s="6">
        <v>257</v>
      </c>
      <c r="H239" s="30">
        <v>2.2999999999999998</v>
      </c>
      <c r="I239" s="21">
        <f t="shared" si="14"/>
        <v>820.15125</v>
      </c>
      <c r="J239" s="7" t="s">
        <v>461</v>
      </c>
      <c r="K239" s="17">
        <f t="shared" si="15"/>
        <v>8</v>
      </c>
      <c r="Q239" s="46">
        <f t="shared" si="13"/>
        <v>45.312780240000002</v>
      </c>
    </row>
    <row r="240" spans="1:17" ht="13.95" customHeight="1" x14ac:dyDescent="0.3">
      <c r="A240" s="3">
        <v>45896</v>
      </c>
      <c r="B240" s="19" t="s">
        <v>523</v>
      </c>
      <c r="C240" s="19" t="s">
        <v>8</v>
      </c>
      <c r="D240" s="19" t="s">
        <v>9</v>
      </c>
      <c r="E240" s="4">
        <v>0.78</v>
      </c>
      <c r="F240" s="5">
        <v>1.82</v>
      </c>
      <c r="G240" s="6">
        <v>257</v>
      </c>
      <c r="H240" s="30">
        <v>2.2999999999999998</v>
      </c>
      <c r="I240" s="21">
        <f t="shared" si="14"/>
        <v>839.12556000000006</v>
      </c>
      <c r="J240" s="7" t="s">
        <v>479</v>
      </c>
      <c r="K240" s="17">
        <f t="shared" si="15"/>
        <v>8</v>
      </c>
      <c r="Q240" s="46">
        <f t="shared" si="13"/>
        <v>42.516640799999998</v>
      </c>
    </row>
    <row r="241" spans="1:17" ht="13.95" customHeight="1" x14ac:dyDescent="0.3">
      <c r="A241" s="3">
        <v>45897</v>
      </c>
      <c r="B241" s="19" t="s">
        <v>523</v>
      </c>
      <c r="C241" s="19" t="s">
        <v>11</v>
      </c>
      <c r="D241" s="19" t="s">
        <v>9</v>
      </c>
      <c r="E241" s="4">
        <v>0.74</v>
      </c>
      <c r="F241" s="5">
        <v>1.8</v>
      </c>
      <c r="G241" s="6">
        <v>257</v>
      </c>
      <c r="H241" s="30">
        <v>2.2999999999999998</v>
      </c>
      <c r="I241" s="21">
        <f t="shared" si="14"/>
        <v>787.34519999999998</v>
      </c>
      <c r="J241" s="7" t="s">
        <v>480</v>
      </c>
      <c r="K241" s="17">
        <f t="shared" si="15"/>
        <v>8</v>
      </c>
      <c r="Q241" s="46">
        <f t="shared" si="13"/>
        <v>40.6653156</v>
      </c>
    </row>
    <row r="242" spans="1:17" ht="13.95" customHeight="1" x14ac:dyDescent="0.3">
      <c r="A242" s="3">
        <v>45898</v>
      </c>
      <c r="B242" s="19" t="s">
        <v>523</v>
      </c>
      <c r="C242" s="19" t="s">
        <v>13</v>
      </c>
      <c r="D242" s="19" t="s">
        <v>14</v>
      </c>
      <c r="E242" s="4">
        <v>0.7</v>
      </c>
      <c r="F242" s="5">
        <v>1.82</v>
      </c>
      <c r="G242" s="6">
        <v>257</v>
      </c>
      <c r="H242" s="30">
        <v>2.2999999999999998</v>
      </c>
      <c r="I242" s="21">
        <f t="shared" si="14"/>
        <v>753.06139999999994</v>
      </c>
      <c r="J242" s="7" t="s">
        <v>481</v>
      </c>
      <c r="K242" s="17">
        <f t="shared" si="15"/>
        <v>8</v>
      </c>
      <c r="Q242" s="46">
        <f t="shared" si="13"/>
        <v>56.305821599999994</v>
      </c>
    </row>
    <row r="243" spans="1:17" ht="13.95" customHeight="1" x14ac:dyDescent="0.3">
      <c r="A243" s="3">
        <v>45899</v>
      </c>
      <c r="B243" s="19" t="s">
        <v>523</v>
      </c>
      <c r="C243" s="19" t="s">
        <v>16</v>
      </c>
      <c r="D243" s="19" t="s">
        <v>14</v>
      </c>
      <c r="E243" s="4">
        <v>0.72</v>
      </c>
      <c r="F243" s="5">
        <v>2.4500000000000002</v>
      </c>
      <c r="G243" s="6">
        <v>257</v>
      </c>
      <c r="H243" s="30">
        <v>2.2999999999999998</v>
      </c>
      <c r="I243" s="21">
        <f t="shared" si="14"/>
        <v>1042.7003999999999</v>
      </c>
      <c r="J243" s="7" t="s">
        <v>482</v>
      </c>
      <c r="K243" s="17">
        <f t="shared" si="15"/>
        <v>8</v>
      </c>
      <c r="Q243" s="46">
        <f t="shared" si="13"/>
        <v>67.669127999999986</v>
      </c>
    </row>
    <row r="244" spans="1:17" ht="13.95" customHeight="1" x14ac:dyDescent="0.3">
      <c r="A244" s="3">
        <v>45900</v>
      </c>
      <c r="B244" s="19" t="s">
        <v>523</v>
      </c>
      <c r="C244" s="19" t="s">
        <v>18</v>
      </c>
      <c r="D244" s="19" t="s">
        <v>9</v>
      </c>
      <c r="E244" s="4">
        <v>0.8</v>
      </c>
      <c r="F244" s="5">
        <v>2.65</v>
      </c>
      <c r="G244" s="6">
        <v>257</v>
      </c>
      <c r="H244" s="30">
        <v>2.2999999999999998</v>
      </c>
      <c r="I244" s="21">
        <f t="shared" si="14"/>
        <v>1253.1319999999998</v>
      </c>
      <c r="J244" s="7" t="s">
        <v>220</v>
      </c>
      <c r="K244" s="17">
        <f t="shared" si="15"/>
        <v>8</v>
      </c>
      <c r="Q244" s="46">
        <f t="shared" si="13"/>
        <v>46.806608159999996</v>
      </c>
    </row>
    <row r="245" spans="1:17" ht="13.95" customHeight="1" x14ac:dyDescent="0.3">
      <c r="A245" s="3">
        <v>45901</v>
      </c>
      <c r="B245" s="19" t="s">
        <v>523</v>
      </c>
      <c r="C245" s="19" t="s">
        <v>20</v>
      </c>
      <c r="D245" s="19" t="s">
        <v>9</v>
      </c>
      <c r="E245" s="4">
        <v>0.78</v>
      </c>
      <c r="F245" s="5">
        <v>1.88</v>
      </c>
      <c r="G245" s="6">
        <v>257</v>
      </c>
      <c r="H245" s="30">
        <v>2.2999999999999998</v>
      </c>
      <c r="I245" s="21">
        <f t="shared" si="14"/>
        <v>866.78903999999989</v>
      </c>
      <c r="J245" s="7" t="s">
        <v>483</v>
      </c>
      <c r="K245" s="17">
        <f t="shared" si="15"/>
        <v>9</v>
      </c>
      <c r="Q245" s="46">
        <f t="shared" si="13"/>
        <v>51.54983099999999</v>
      </c>
    </row>
    <row r="246" spans="1:17" ht="13.95" customHeight="1" x14ac:dyDescent="0.3">
      <c r="A246" s="3">
        <v>45902</v>
      </c>
      <c r="B246" s="19" t="s">
        <v>523</v>
      </c>
      <c r="C246" s="19" t="s">
        <v>5</v>
      </c>
      <c r="D246" s="19" t="s">
        <v>9</v>
      </c>
      <c r="E246" s="4">
        <v>0.85</v>
      </c>
      <c r="F246" s="5">
        <v>1.9</v>
      </c>
      <c r="G246" s="6">
        <v>257</v>
      </c>
      <c r="H246" s="30">
        <v>2.2999999999999998</v>
      </c>
      <c r="I246" s="21">
        <f t="shared" si="14"/>
        <v>954.62649999999985</v>
      </c>
      <c r="J246" s="7" t="s">
        <v>428</v>
      </c>
      <c r="K246" s="17">
        <f t="shared" si="15"/>
        <v>9</v>
      </c>
      <c r="Q246" s="46">
        <f t="shared" si="13"/>
        <v>48.68346888</v>
      </c>
    </row>
    <row r="247" spans="1:17" ht="13.95" customHeight="1" x14ac:dyDescent="0.3">
      <c r="A247" s="3">
        <v>45903</v>
      </c>
      <c r="B247" s="19" t="s">
        <v>523</v>
      </c>
      <c r="C247" s="19" t="s">
        <v>8</v>
      </c>
      <c r="D247" s="19" t="s">
        <v>9</v>
      </c>
      <c r="E247" s="4">
        <v>0.82</v>
      </c>
      <c r="F247" s="5">
        <v>1.86</v>
      </c>
      <c r="G247" s="6">
        <v>257</v>
      </c>
      <c r="H247" s="30">
        <v>2.2999999999999998</v>
      </c>
      <c r="I247" s="21">
        <f t="shared" si="14"/>
        <v>901.54571999999996</v>
      </c>
      <c r="J247" s="7" t="s">
        <v>65</v>
      </c>
      <c r="K247" s="17">
        <f t="shared" si="15"/>
        <v>9</v>
      </c>
      <c r="Q247" s="46">
        <f t="shared" si="13"/>
        <v>45.312780240000002</v>
      </c>
    </row>
    <row r="248" spans="1:17" ht="13.95" customHeight="1" x14ac:dyDescent="0.3">
      <c r="A248" s="3">
        <v>45904</v>
      </c>
      <c r="B248" s="19" t="s">
        <v>523</v>
      </c>
      <c r="C248" s="19" t="s">
        <v>11</v>
      </c>
      <c r="D248" s="19" t="s">
        <v>9</v>
      </c>
      <c r="E248" s="4">
        <v>0.78</v>
      </c>
      <c r="F248" s="5">
        <v>1.82</v>
      </c>
      <c r="G248" s="6">
        <v>257</v>
      </c>
      <c r="H248" s="30">
        <v>2.2999999999999998</v>
      </c>
      <c r="I248" s="21">
        <f t="shared" si="14"/>
        <v>839.12556000000006</v>
      </c>
      <c r="J248" s="7" t="s">
        <v>67</v>
      </c>
      <c r="K248" s="17">
        <f t="shared" si="15"/>
        <v>9</v>
      </c>
      <c r="Q248" s="46">
        <f t="shared" si="13"/>
        <v>41.335622999999998</v>
      </c>
    </row>
    <row r="249" spans="1:17" ht="13.95" customHeight="1" x14ac:dyDescent="0.3">
      <c r="A249" s="3">
        <v>45905</v>
      </c>
      <c r="B249" s="19" t="s">
        <v>523</v>
      </c>
      <c r="C249" s="19" t="s">
        <v>13</v>
      </c>
      <c r="D249" s="19" t="s">
        <v>14</v>
      </c>
      <c r="E249" s="4">
        <v>0.7</v>
      </c>
      <c r="F249" s="5">
        <v>1.85</v>
      </c>
      <c r="G249" s="6">
        <v>257</v>
      </c>
      <c r="H249" s="30">
        <v>2.2999999999999998</v>
      </c>
      <c r="I249" s="21">
        <f t="shared" si="14"/>
        <v>765.47449999999992</v>
      </c>
      <c r="J249" s="7" t="s">
        <v>484</v>
      </c>
      <c r="K249" s="17">
        <f t="shared" si="15"/>
        <v>9</v>
      </c>
      <c r="Q249" s="46">
        <f t="shared" si="13"/>
        <v>47.719502999999989</v>
      </c>
    </row>
    <row r="250" spans="1:17" ht="13.95" customHeight="1" x14ac:dyDescent="0.3">
      <c r="A250" s="3">
        <v>45906</v>
      </c>
      <c r="B250" s="19" t="s">
        <v>523</v>
      </c>
      <c r="C250" s="19" t="s">
        <v>16</v>
      </c>
      <c r="D250" s="19" t="s">
        <v>14</v>
      </c>
      <c r="E250" s="4">
        <v>0.65</v>
      </c>
      <c r="F250" s="5">
        <v>2.2999999999999998</v>
      </c>
      <c r="G250" s="6">
        <v>257</v>
      </c>
      <c r="H250" s="30">
        <v>2.2999999999999998</v>
      </c>
      <c r="I250" s="21">
        <f t="shared" si="14"/>
        <v>883.69449999999983</v>
      </c>
      <c r="J250" s="7" t="s">
        <v>238</v>
      </c>
      <c r="K250" s="17">
        <f t="shared" si="15"/>
        <v>9</v>
      </c>
      <c r="Q250" s="46">
        <f t="shared" si="13"/>
        <v>67.669127999999986</v>
      </c>
    </row>
    <row r="251" spans="1:17" ht="13.95" customHeight="1" x14ac:dyDescent="0.3">
      <c r="A251" s="3">
        <v>45907</v>
      </c>
      <c r="B251" s="19" t="s">
        <v>523</v>
      </c>
      <c r="C251" s="19" t="s">
        <v>18</v>
      </c>
      <c r="D251" s="19" t="s">
        <v>9</v>
      </c>
      <c r="E251" s="4">
        <v>0.8</v>
      </c>
      <c r="F251" s="5">
        <v>2.65</v>
      </c>
      <c r="G251" s="6">
        <v>257</v>
      </c>
      <c r="H251" s="30">
        <v>2.2999999999999998</v>
      </c>
      <c r="I251" s="21">
        <f t="shared" si="14"/>
        <v>1253.1319999999998</v>
      </c>
      <c r="J251" s="7" t="s">
        <v>286</v>
      </c>
      <c r="K251" s="17">
        <f t="shared" si="15"/>
        <v>9</v>
      </c>
      <c r="Q251" s="46">
        <f t="shared" si="13"/>
        <v>49.206947039999989</v>
      </c>
    </row>
    <row r="252" spans="1:17" ht="13.95" customHeight="1" x14ac:dyDescent="0.3">
      <c r="A252" s="3">
        <v>45908</v>
      </c>
      <c r="B252" s="19" t="s">
        <v>523</v>
      </c>
      <c r="C252" s="19" t="s">
        <v>20</v>
      </c>
      <c r="D252" s="19" t="s">
        <v>9</v>
      </c>
      <c r="E252" s="4">
        <v>0.82</v>
      </c>
      <c r="F252" s="5">
        <v>1.88</v>
      </c>
      <c r="G252" s="6">
        <v>257</v>
      </c>
      <c r="H252" s="30">
        <v>2.2999999999999998</v>
      </c>
      <c r="I252" s="21">
        <f t="shared" si="14"/>
        <v>911.23975999999982</v>
      </c>
      <c r="J252" s="7" t="s">
        <v>143</v>
      </c>
      <c r="K252" s="17">
        <f t="shared" si="15"/>
        <v>9</v>
      </c>
      <c r="Q252" s="46">
        <f t="shared" si="13"/>
        <v>53.369236799999996</v>
      </c>
    </row>
    <row r="253" spans="1:17" ht="13.95" customHeight="1" x14ac:dyDescent="0.3">
      <c r="A253" s="3">
        <v>45909</v>
      </c>
      <c r="B253" s="19" t="s">
        <v>523</v>
      </c>
      <c r="C253" s="19" t="s">
        <v>5</v>
      </c>
      <c r="D253" s="19" t="s">
        <v>9</v>
      </c>
      <c r="E253" s="4">
        <v>0.88</v>
      </c>
      <c r="F253" s="5">
        <v>1.9</v>
      </c>
      <c r="G253" s="6">
        <v>257</v>
      </c>
      <c r="H253" s="30">
        <v>2.2999999999999998</v>
      </c>
      <c r="I253" s="21">
        <f t="shared" si="14"/>
        <v>988.31919999999991</v>
      </c>
      <c r="J253" s="7" t="s">
        <v>143</v>
      </c>
      <c r="K253" s="17">
        <f t="shared" si="15"/>
        <v>9</v>
      </c>
      <c r="Q253" s="46">
        <f t="shared" si="13"/>
        <v>50.464571399999997</v>
      </c>
    </row>
    <row r="254" spans="1:17" ht="13.95" customHeight="1" x14ac:dyDescent="0.3">
      <c r="A254" s="3">
        <v>45910</v>
      </c>
      <c r="B254" s="19" t="s">
        <v>523</v>
      </c>
      <c r="C254" s="19" t="s">
        <v>8</v>
      </c>
      <c r="D254" s="19" t="s">
        <v>9</v>
      </c>
      <c r="E254" s="4">
        <v>0.85</v>
      </c>
      <c r="F254" s="5">
        <v>1.86</v>
      </c>
      <c r="G254" s="6">
        <v>257</v>
      </c>
      <c r="H254" s="30">
        <v>2.2999999999999998</v>
      </c>
      <c r="I254" s="21">
        <f t="shared" si="14"/>
        <v>934.52909999999997</v>
      </c>
      <c r="J254" s="7" t="s">
        <v>65</v>
      </c>
      <c r="K254" s="17">
        <f t="shared" si="15"/>
        <v>9</v>
      </c>
      <c r="Q254" s="46">
        <f t="shared" si="13"/>
        <v>46.474646400000005</v>
      </c>
    </row>
    <row r="255" spans="1:17" ht="13.95" customHeight="1" x14ac:dyDescent="0.3">
      <c r="A255" s="3">
        <v>45911</v>
      </c>
      <c r="B255" s="19" t="s">
        <v>523</v>
      </c>
      <c r="C255" s="19" t="s">
        <v>11</v>
      </c>
      <c r="D255" s="19" t="s">
        <v>9</v>
      </c>
      <c r="E255" s="4">
        <v>0.8</v>
      </c>
      <c r="F255" s="5">
        <v>1.82</v>
      </c>
      <c r="G255" s="6">
        <v>257</v>
      </c>
      <c r="H255" s="30">
        <v>2.2999999999999998</v>
      </c>
      <c r="I255" s="21">
        <f t="shared" si="14"/>
        <v>860.64160000000004</v>
      </c>
      <c r="J255" s="7" t="s">
        <v>485</v>
      </c>
      <c r="K255" s="17">
        <f t="shared" si="15"/>
        <v>9</v>
      </c>
      <c r="Q255" s="46">
        <f t="shared" si="13"/>
        <v>41.367542399999998</v>
      </c>
    </row>
    <row r="256" spans="1:17" ht="13.95" customHeight="1" x14ac:dyDescent="0.3">
      <c r="A256" s="3">
        <v>45912</v>
      </c>
      <c r="B256" s="19" t="s">
        <v>523</v>
      </c>
      <c r="C256" s="19" t="s">
        <v>13</v>
      </c>
      <c r="D256" s="19" t="s">
        <v>14</v>
      </c>
      <c r="E256" s="4">
        <v>0.72</v>
      </c>
      <c r="F256" s="5">
        <v>1.8</v>
      </c>
      <c r="G256" s="6">
        <v>257</v>
      </c>
      <c r="H256" s="30">
        <v>2.2999999999999998</v>
      </c>
      <c r="I256" s="21">
        <f t="shared" si="14"/>
        <v>766.0655999999999</v>
      </c>
      <c r="J256" s="7" t="s">
        <v>486</v>
      </c>
      <c r="K256" s="17">
        <f t="shared" si="15"/>
        <v>9</v>
      </c>
      <c r="Q256" s="46">
        <f t="shared" si="13"/>
        <v>44.527562999999994</v>
      </c>
    </row>
    <row r="257" spans="1:17" ht="13.95" customHeight="1" x14ac:dyDescent="0.3">
      <c r="A257" s="3">
        <v>45913</v>
      </c>
      <c r="B257" s="19" t="s">
        <v>523</v>
      </c>
      <c r="C257" s="19" t="s">
        <v>16</v>
      </c>
      <c r="D257" s="19" t="s">
        <v>14</v>
      </c>
      <c r="E257" s="4">
        <v>0.62</v>
      </c>
      <c r="F257" s="5">
        <v>2.25</v>
      </c>
      <c r="G257" s="6">
        <v>257</v>
      </c>
      <c r="H257" s="30">
        <v>2.2999999999999998</v>
      </c>
      <c r="I257" s="21">
        <f t="shared" si="14"/>
        <v>824.58449999999993</v>
      </c>
      <c r="J257" s="7" t="s">
        <v>69</v>
      </c>
      <c r="K257" s="17">
        <f t="shared" si="15"/>
        <v>9</v>
      </c>
      <c r="Q257" s="46">
        <f t="shared" si="13"/>
        <v>64.732543199999995</v>
      </c>
    </row>
    <row r="258" spans="1:17" ht="13.95" customHeight="1" x14ac:dyDescent="0.3">
      <c r="A258" s="3">
        <v>45914</v>
      </c>
      <c r="B258" s="19" t="s">
        <v>523</v>
      </c>
      <c r="C258" s="19" t="s">
        <v>18</v>
      </c>
      <c r="D258" s="19" t="s">
        <v>9</v>
      </c>
      <c r="E258" s="4">
        <v>0.78</v>
      </c>
      <c r="F258" s="5">
        <v>2.6</v>
      </c>
      <c r="G258" s="6">
        <v>257</v>
      </c>
      <c r="H258" s="30">
        <v>2.2999999999999998</v>
      </c>
      <c r="I258" s="21">
        <f t="shared" si="14"/>
        <v>1198.7508</v>
      </c>
      <c r="J258" s="7" t="s">
        <v>56</v>
      </c>
      <c r="K258" s="17">
        <f t="shared" si="15"/>
        <v>9</v>
      </c>
      <c r="Q258" s="46">
        <f t="shared" ref="Q258:Q321" si="16">I259*0.054</f>
        <v>50.407116479999992</v>
      </c>
    </row>
    <row r="259" spans="1:17" ht="13.95" customHeight="1" x14ac:dyDescent="0.3">
      <c r="A259" s="3">
        <v>45915</v>
      </c>
      <c r="B259" s="19" t="s">
        <v>523</v>
      </c>
      <c r="C259" s="19" t="s">
        <v>20</v>
      </c>
      <c r="D259" s="19" t="s">
        <v>9</v>
      </c>
      <c r="E259" s="4">
        <v>0.84</v>
      </c>
      <c r="F259" s="5">
        <v>1.88</v>
      </c>
      <c r="G259" s="6">
        <v>257</v>
      </c>
      <c r="H259" s="30">
        <v>2.2999999999999998</v>
      </c>
      <c r="I259" s="21">
        <f t="shared" si="14"/>
        <v>933.46511999999984</v>
      </c>
      <c r="J259" s="7" t="s">
        <v>286</v>
      </c>
      <c r="K259" s="17">
        <f t="shared" si="15"/>
        <v>9</v>
      </c>
      <c r="Q259" s="46">
        <f t="shared" si="16"/>
        <v>52.156299599999997</v>
      </c>
    </row>
    <row r="260" spans="1:17" ht="13.95" customHeight="1" x14ac:dyDescent="0.3">
      <c r="A260" s="3">
        <v>45916</v>
      </c>
      <c r="B260" s="19" t="s">
        <v>523</v>
      </c>
      <c r="C260" s="19" t="s">
        <v>5</v>
      </c>
      <c r="D260" s="19" t="s">
        <v>9</v>
      </c>
      <c r="E260" s="4">
        <v>0.86</v>
      </c>
      <c r="F260" s="5">
        <v>1.9</v>
      </c>
      <c r="G260" s="6">
        <v>257</v>
      </c>
      <c r="H260" s="30">
        <v>2.2999999999999998</v>
      </c>
      <c r="I260" s="21">
        <f t="shared" ref="I260:I323" si="17">(G260*E260)*H260*F260</f>
        <v>965.85739999999998</v>
      </c>
      <c r="J260" s="7" t="s">
        <v>286</v>
      </c>
      <c r="K260" s="17">
        <f t="shared" si="15"/>
        <v>9</v>
      </c>
      <c r="Q260" s="46">
        <f t="shared" si="16"/>
        <v>48.421729799999994</v>
      </c>
    </row>
    <row r="261" spans="1:17" ht="13.95" customHeight="1" x14ac:dyDescent="0.3">
      <c r="A261" s="3">
        <v>45917</v>
      </c>
      <c r="B261" s="19" t="s">
        <v>523</v>
      </c>
      <c r="C261" s="19" t="s">
        <v>8</v>
      </c>
      <c r="D261" s="19" t="s">
        <v>9</v>
      </c>
      <c r="E261" s="4">
        <v>0.82</v>
      </c>
      <c r="F261" s="5">
        <v>1.85</v>
      </c>
      <c r="G261" s="6">
        <v>257</v>
      </c>
      <c r="H261" s="30">
        <v>2.2999999999999998</v>
      </c>
      <c r="I261" s="21">
        <f t="shared" si="17"/>
        <v>896.69869999999992</v>
      </c>
      <c r="J261" s="7" t="s">
        <v>143</v>
      </c>
      <c r="K261" s="17">
        <f t="shared" si="15"/>
        <v>9</v>
      </c>
      <c r="Q261" s="46">
        <f t="shared" si="16"/>
        <v>45.312780240000002</v>
      </c>
    </row>
    <row r="262" spans="1:17" ht="13.95" customHeight="1" x14ac:dyDescent="0.3">
      <c r="A262" s="3">
        <v>45918</v>
      </c>
      <c r="B262" s="19" t="s">
        <v>523</v>
      </c>
      <c r="C262" s="19" t="s">
        <v>11</v>
      </c>
      <c r="D262" s="19" t="s">
        <v>9</v>
      </c>
      <c r="E262" s="4">
        <v>0.78</v>
      </c>
      <c r="F262" s="5">
        <v>1.82</v>
      </c>
      <c r="G262" s="6">
        <v>257</v>
      </c>
      <c r="H262" s="30">
        <v>2.2999999999999998</v>
      </c>
      <c r="I262" s="21">
        <f t="shared" si="17"/>
        <v>839.12556000000006</v>
      </c>
      <c r="J262" s="7" t="s">
        <v>82</v>
      </c>
      <c r="K262" s="17">
        <f t="shared" si="15"/>
        <v>9</v>
      </c>
      <c r="Q262" s="46">
        <f t="shared" si="16"/>
        <v>40.218443999999991</v>
      </c>
    </row>
    <row r="263" spans="1:17" ht="13.95" customHeight="1" x14ac:dyDescent="0.3">
      <c r="A263" s="3">
        <v>45919</v>
      </c>
      <c r="B263" s="19" t="s">
        <v>523</v>
      </c>
      <c r="C263" s="19" t="s">
        <v>13</v>
      </c>
      <c r="D263" s="19" t="s">
        <v>14</v>
      </c>
      <c r="E263" s="4">
        <v>0.7</v>
      </c>
      <c r="F263" s="5">
        <v>1.8</v>
      </c>
      <c r="G263" s="6">
        <v>257</v>
      </c>
      <c r="H263" s="30">
        <v>2.2999999999999998</v>
      </c>
      <c r="I263" s="21">
        <f t="shared" si="17"/>
        <v>744.78599999999983</v>
      </c>
      <c r="J263" s="7" t="s">
        <v>487</v>
      </c>
      <c r="K263" s="17">
        <f t="shared" si="15"/>
        <v>9</v>
      </c>
      <c r="Q263" s="46">
        <f t="shared" si="16"/>
        <v>42.133607999999995</v>
      </c>
    </row>
    <row r="264" spans="1:17" ht="13.95" customHeight="1" x14ac:dyDescent="0.3">
      <c r="A264" s="3">
        <v>45920</v>
      </c>
      <c r="B264" s="19" t="s">
        <v>523</v>
      </c>
      <c r="C264" s="19" t="s">
        <v>16</v>
      </c>
      <c r="D264" s="19" t="s">
        <v>14</v>
      </c>
      <c r="E264" s="4">
        <v>0.6</v>
      </c>
      <c r="F264" s="5">
        <v>2.2000000000000002</v>
      </c>
      <c r="G264" s="6">
        <v>257</v>
      </c>
      <c r="H264" s="30">
        <v>2.2999999999999998</v>
      </c>
      <c r="I264" s="21">
        <f t="shared" si="17"/>
        <v>780.25199999999995</v>
      </c>
      <c r="J264" s="7" t="s">
        <v>69</v>
      </c>
      <c r="K264" s="17">
        <f t="shared" si="15"/>
        <v>9</v>
      </c>
      <c r="Q264" s="46">
        <f t="shared" si="16"/>
        <v>63.439807500000001</v>
      </c>
    </row>
    <row r="265" spans="1:17" ht="13.95" customHeight="1" x14ac:dyDescent="0.3">
      <c r="A265" s="3">
        <v>45921</v>
      </c>
      <c r="B265" s="19" t="s">
        <v>523</v>
      </c>
      <c r="C265" s="19" t="s">
        <v>18</v>
      </c>
      <c r="D265" s="19" t="s">
        <v>9</v>
      </c>
      <c r="E265" s="4">
        <v>0.75</v>
      </c>
      <c r="F265" s="5">
        <v>2.65</v>
      </c>
      <c r="G265" s="6">
        <v>257</v>
      </c>
      <c r="H265" s="30">
        <v>2.2999999999999998</v>
      </c>
      <c r="I265" s="21">
        <f t="shared" si="17"/>
        <v>1174.81125</v>
      </c>
      <c r="J265" s="7" t="s">
        <v>286</v>
      </c>
      <c r="K265" s="17">
        <f t="shared" si="15"/>
        <v>9</v>
      </c>
      <c r="Q265" s="46">
        <f t="shared" si="16"/>
        <v>47.240712000000002</v>
      </c>
    </row>
    <row r="266" spans="1:17" ht="13.95" customHeight="1" x14ac:dyDescent="0.3">
      <c r="A266" s="3">
        <v>45922</v>
      </c>
      <c r="B266" s="19" t="s">
        <v>523</v>
      </c>
      <c r="C266" s="19" t="s">
        <v>20</v>
      </c>
      <c r="D266" s="19" t="s">
        <v>9</v>
      </c>
      <c r="E266" s="4">
        <v>0.8</v>
      </c>
      <c r="F266" s="5">
        <v>1.85</v>
      </c>
      <c r="G266" s="6">
        <v>257</v>
      </c>
      <c r="H266" s="30">
        <v>2.2999999999999998</v>
      </c>
      <c r="I266" s="21">
        <f t="shared" si="17"/>
        <v>874.82800000000009</v>
      </c>
      <c r="J266" s="7" t="s">
        <v>286</v>
      </c>
      <c r="K266" s="17">
        <f t="shared" si="15"/>
        <v>9</v>
      </c>
      <c r="Q266" s="46">
        <f t="shared" si="16"/>
        <v>50.407116479999992</v>
      </c>
    </row>
    <row r="267" spans="1:17" ht="13.95" customHeight="1" x14ac:dyDescent="0.3">
      <c r="A267" s="3">
        <v>45923</v>
      </c>
      <c r="B267" s="19" t="s">
        <v>523</v>
      </c>
      <c r="C267" s="19" t="s">
        <v>5</v>
      </c>
      <c r="D267" s="19" t="s">
        <v>9</v>
      </c>
      <c r="E267" s="4">
        <v>0.84</v>
      </c>
      <c r="F267" s="5">
        <v>1.88</v>
      </c>
      <c r="G267" s="6">
        <v>257</v>
      </c>
      <c r="H267" s="30">
        <v>2.2999999999999998</v>
      </c>
      <c r="I267" s="21">
        <f t="shared" si="17"/>
        <v>933.46511999999984</v>
      </c>
      <c r="J267" s="7" t="s">
        <v>143</v>
      </c>
      <c r="K267" s="17">
        <f t="shared" si="15"/>
        <v>9</v>
      </c>
      <c r="Q267" s="46">
        <f t="shared" si="16"/>
        <v>48.421729799999994</v>
      </c>
    </row>
    <row r="268" spans="1:17" ht="13.95" customHeight="1" x14ac:dyDescent="0.3">
      <c r="A268" s="3">
        <v>45924</v>
      </c>
      <c r="B268" s="19" t="s">
        <v>523</v>
      </c>
      <c r="C268" s="19" t="s">
        <v>8</v>
      </c>
      <c r="D268" s="19" t="s">
        <v>9</v>
      </c>
      <c r="E268" s="4">
        <v>0.82</v>
      </c>
      <c r="F268" s="5">
        <v>1.85</v>
      </c>
      <c r="G268" s="6">
        <v>257</v>
      </c>
      <c r="H268" s="30">
        <v>2.2999999999999998</v>
      </c>
      <c r="I268" s="21">
        <f t="shared" si="17"/>
        <v>896.69869999999992</v>
      </c>
      <c r="J268" s="7" t="s">
        <v>65</v>
      </c>
      <c r="K268" s="17">
        <f t="shared" si="15"/>
        <v>9</v>
      </c>
      <c r="Q268" s="46">
        <f t="shared" si="16"/>
        <v>45.312780240000002</v>
      </c>
    </row>
    <row r="269" spans="1:17" ht="13.95" customHeight="1" x14ac:dyDescent="0.3">
      <c r="A269" s="3">
        <v>45925</v>
      </c>
      <c r="B269" s="19" t="s">
        <v>523</v>
      </c>
      <c r="C269" s="19" t="s">
        <v>11</v>
      </c>
      <c r="D269" s="19" t="s">
        <v>9</v>
      </c>
      <c r="E269" s="4">
        <v>0.78</v>
      </c>
      <c r="F269" s="5">
        <v>1.82</v>
      </c>
      <c r="G269" s="6">
        <v>257</v>
      </c>
      <c r="H269" s="30">
        <v>2.2999999999999998</v>
      </c>
      <c r="I269" s="21">
        <f t="shared" si="17"/>
        <v>839.12556000000006</v>
      </c>
      <c r="J269" s="7" t="s">
        <v>488</v>
      </c>
      <c r="K269" s="17">
        <f t="shared" si="15"/>
        <v>9</v>
      </c>
      <c r="Q269" s="46">
        <f t="shared" si="16"/>
        <v>41.367542399999998</v>
      </c>
    </row>
    <row r="270" spans="1:17" ht="13.95" customHeight="1" x14ac:dyDescent="0.3">
      <c r="A270" s="3">
        <v>45926</v>
      </c>
      <c r="B270" s="19" t="s">
        <v>523</v>
      </c>
      <c r="C270" s="19" t="s">
        <v>13</v>
      </c>
      <c r="D270" s="19" t="s">
        <v>14</v>
      </c>
      <c r="E270" s="4">
        <v>0.72</v>
      </c>
      <c r="F270" s="5">
        <v>1.8</v>
      </c>
      <c r="G270" s="6">
        <v>257</v>
      </c>
      <c r="H270" s="30">
        <v>2.2999999999999998</v>
      </c>
      <c r="I270" s="21">
        <f t="shared" si="17"/>
        <v>766.0655999999999</v>
      </c>
      <c r="J270" s="7" t="s">
        <v>489</v>
      </c>
      <c r="K270" s="17">
        <f t="shared" si="15"/>
        <v>9</v>
      </c>
      <c r="Q270" s="46">
        <f t="shared" si="16"/>
        <v>46.682122499999998</v>
      </c>
    </row>
    <row r="271" spans="1:17" ht="13.95" customHeight="1" x14ac:dyDescent="0.3">
      <c r="A271" s="3">
        <v>45927</v>
      </c>
      <c r="B271" s="19" t="s">
        <v>523</v>
      </c>
      <c r="C271" s="19" t="s">
        <v>16</v>
      </c>
      <c r="D271" s="19" t="s">
        <v>14</v>
      </c>
      <c r="E271" s="4">
        <v>0.65</v>
      </c>
      <c r="F271" s="5">
        <v>2.25</v>
      </c>
      <c r="G271" s="6">
        <v>257</v>
      </c>
      <c r="H271" s="30">
        <v>2.2999999999999998</v>
      </c>
      <c r="I271" s="21">
        <f t="shared" si="17"/>
        <v>864.48374999999999</v>
      </c>
      <c r="J271" s="7" t="s">
        <v>490</v>
      </c>
      <c r="K271" s="17">
        <f t="shared" si="15"/>
        <v>9</v>
      </c>
      <c r="Q271" s="46">
        <f t="shared" si="16"/>
        <v>70.669551599999991</v>
      </c>
    </row>
    <row r="272" spans="1:17" ht="13.95" customHeight="1" x14ac:dyDescent="0.3">
      <c r="A272" s="3">
        <v>45928</v>
      </c>
      <c r="B272" s="19" t="s">
        <v>523</v>
      </c>
      <c r="C272" s="19" t="s">
        <v>18</v>
      </c>
      <c r="D272" s="19" t="s">
        <v>9</v>
      </c>
      <c r="E272" s="4">
        <v>0.82</v>
      </c>
      <c r="F272" s="5">
        <v>2.7</v>
      </c>
      <c r="G272" s="6">
        <v>257</v>
      </c>
      <c r="H272" s="30">
        <v>2.2999999999999998</v>
      </c>
      <c r="I272" s="21">
        <f t="shared" si="17"/>
        <v>1308.6953999999998</v>
      </c>
      <c r="J272" s="7" t="s">
        <v>65</v>
      </c>
      <c r="K272" s="17">
        <f t="shared" si="15"/>
        <v>9</v>
      </c>
      <c r="Q272" s="46">
        <f t="shared" si="16"/>
        <v>44.2881675</v>
      </c>
    </row>
    <row r="273" spans="1:17" ht="13.95" customHeight="1" x14ac:dyDescent="0.3">
      <c r="A273" s="3">
        <v>45929</v>
      </c>
      <c r="B273" s="19" t="s">
        <v>523</v>
      </c>
      <c r="C273" s="19" t="s">
        <v>20</v>
      </c>
      <c r="D273" s="19" t="s">
        <v>9</v>
      </c>
      <c r="E273" s="4">
        <v>0.75</v>
      </c>
      <c r="F273" s="5">
        <v>1.85</v>
      </c>
      <c r="G273" s="6">
        <v>257</v>
      </c>
      <c r="H273" s="30">
        <v>2.2999999999999998</v>
      </c>
      <c r="I273" s="21">
        <f t="shared" si="17"/>
        <v>820.15125</v>
      </c>
      <c r="J273" s="7" t="s">
        <v>65</v>
      </c>
      <c r="K273" s="17">
        <f t="shared" ref="K273:K336" si="18">MONTH(A273)</f>
        <v>9</v>
      </c>
      <c r="Q273" s="46">
        <f t="shared" si="16"/>
        <v>46.806608159999996</v>
      </c>
    </row>
    <row r="274" spans="1:17" ht="13.95" customHeight="1" x14ac:dyDescent="0.3">
      <c r="A274" s="3">
        <v>45930</v>
      </c>
      <c r="B274" s="19" t="s">
        <v>523</v>
      </c>
      <c r="C274" s="19" t="s">
        <v>5</v>
      </c>
      <c r="D274" s="19" t="s">
        <v>9</v>
      </c>
      <c r="E274" s="4">
        <v>0.78</v>
      </c>
      <c r="F274" s="5">
        <v>1.88</v>
      </c>
      <c r="G274" s="6">
        <v>257</v>
      </c>
      <c r="H274" s="30">
        <v>2.2999999999999998</v>
      </c>
      <c r="I274" s="21">
        <f t="shared" si="17"/>
        <v>866.78903999999989</v>
      </c>
      <c r="J274" s="7" t="s">
        <v>491</v>
      </c>
      <c r="K274" s="17">
        <f t="shared" si="18"/>
        <v>9</v>
      </c>
      <c r="Q274" s="46">
        <f t="shared" si="16"/>
        <v>53.369236799999996</v>
      </c>
    </row>
    <row r="275" spans="1:17" ht="13.95" customHeight="1" x14ac:dyDescent="0.3">
      <c r="A275" s="3">
        <v>45931</v>
      </c>
      <c r="B275" s="19" t="s">
        <v>523</v>
      </c>
      <c r="C275" s="19" t="s">
        <v>8</v>
      </c>
      <c r="D275" s="19" t="s">
        <v>9</v>
      </c>
      <c r="E275" s="4">
        <v>0.88</v>
      </c>
      <c r="F275" s="5">
        <v>1.9</v>
      </c>
      <c r="G275" s="6">
        <v>257</v>
      </c>
      <c r="H275" s="30">
        <v>2.2999999999999998</v>
      </c>
      <c r="I275" s="21">
        <f t="shared" si="17"/>
        <v>988.31919999999991</v>
      </c>
      <c r="J275" s="7" t="s">
        <v>492</v>
      </c>
      <c r="K275" s="17">
        <f t="shared" si="18"/>
        <v>10</v>
      </c>
      <c r="Q275" s="46">
        <f t="shared" si="16"/>
        <v>51.00720119999999</v>
      </c>
    </row>
    <row r="276" spans="1:17" ht="13.95" customHeight="1" x14ac:dyDescent="0.3">
      <c r="A276" s="3">
        <v>45932</v>
      </c>
      <c r="B276" s="19" t="s">
        <v>523</v>
      </c>
      <c r="C276" s="19" t="s">
        <v>11</v>
      </c>
      <c r="D276" s="19" t="s">
        <v>9</v>
      </c>
      <c r="E276" s="4">
        <v>0.85</v>
      </c>
      <c r="F276" s="5">
        <v>1.88</v>
      </c>
      <c r="G276" s="6">
        <v>257</v>
      </c>
      <c r="H276" s="30">
        <v>2.2999999999999998</v>
      </c>
      <c r="I276" s="21">
        <f t="shared" si="17"/>
        <v>944.5777999999998</v>
      </c>
      <c r="J276" s="7" t="s">
        <v>485</v>
      </c>
      <c r="K276" s="17">
        <f t="shared" si="18"/>
        <v>10</v>
      </c>
      <c r="Q276" s="46">
        <f t="shared" si="16"/>
        <v>44.2881675</v>
      </c>
    </row>
    <row r="277" spans="1:17" ht="13.95" customHeight="1" x14ac:dyDescent="0.3">
      <c r="A277" s="3">
        <v>45933</v>
      </c>
      <c r="B277" s="19" t="s">
        <v>523</v>
      </c>
      <c r="C277" s="19" t="s">
        <v>13</v>
      </c>
      <c r="D277" s="19" t="s">
        <v>14</v>
      </c>
      <c r="E277" s="4">
        <v>0.75</v>
      </c>
      <c r="F277" s="5">
        <v>1.85</v>
      </c>
      <c r="G277" s="6">
        <v>257</v>
      </c>
      <c r="H277" s="30">
        <v>2.2999999999999998</v>
      </c>
      <c r="I277" s="21">
        <f t="shared" si="17"/>
        <v>820.15125</v>
      </c>
      <c r="J277" s="7" t="s">
        <v>390</v>
      </c>
      <c r="K277" s="17">
        <f t="shared" si="18"/>
        <v>10</v>
      </c>
      <c r="Q277" s="46">
        <f t="shared" si="16"/>
        <v>46.682122499999998</v>
      </c>
    </row>
    <row r="278" spans="1:17" ht="13.95" customHeight="1" x14ac:dyDescent="0.3">
      <c r="A278" s="3">
        <v>45934</v>
      </c>
      <c r="B278" s="19" t="s">
        <v>523</v>
      </c>
      <c r="C278" s="19" t="s">
        <v>16</v>
      </c>
      <c r="D278" s="19" t="s">
        <v>14</v>
      </c>
      <c r="E278" s="4">
        <v>0.65</v>
      </c>
      <c r="F278" s="5">
        <v>2.25</v>
      </c>
      <c r="G278" s="6">
        <v>257</v>
      </c>
      <c r="H278" s="30">
        <v>2.2999999999999998</v>
      </c>
      <c r="I278" s="21">
        <f t="shared" si="17"/>
        <v>864.48374999999999</v>
      </c>
      <c r="J278" s="7" t="s">
        <v>238</v>
      </c>
      <c r="K278" s="17">
        <f t="shared" si="18"/>
        <v>10</v>
      </c>
      <c r="Q278" s="46">
        <f t="shared" si="16"/>
        <v>69.360856199999986</v>
      </c>
    </row>
    <row r="279" spans="1:17" ht="13.95" customHeight="1" x14ac:dyDescent="0.3">
      <c r="A279" s="3">
        <v>45935</v>
      </c>
      <c r="B279" s="19" t="s">
        <v>523</v>
      </c>
      <c r="C279" s="19" t="s">
        <v>18</v>
      </c>
      <c r="D279" s="19" t="s">
        <v>9</v>
      </c>
      <c r="E279" s="4">
        <v>0.82</v>
      </c>
      <c r="F279" s="5">
        <v>2.65</v>
      </c>
      <c r="G279" s="6">
        <v>257</v>
      </c>
      <c r="H279" s="30">
        <v>2.2999999999999998</v>
      </c>
      <c r="I279" s="21">
        <f t="shared" si="17"/>
        <v>1284.4602999999997</v>
      </c>
      <c r="J279" s="7" t="s">
        <v>428</v>
      </c>
      <c r="K279" s="17">
        <f t="shared" si="18"/>
        <v>10</v>
      </c>
      <c r="Q279" s="46">
        <f t="shared" si="16"/>
        <v>50.407116479999992</v>
      </c>
    </row>
    <row r="280" spans="1:17" ht="13.95" customHeight="1" x14ac:dyDescent="0.3">
      <c r="A280" s="3">
        <v>45936</v>
      </c>
      <c r="B280" s="19" t="s">
        <v>523</v>
      </c>
      <c r="C280" s="19" t="s">
        <v>20</v>
      </c>
      <c r="D280" s="19" t="s">
        <v>9</v>
      </c>
      <c r="E280" s="4">
        <v>0.84</v>
      </c>
      <c r="F280" s="5">
        <v>1.88</v>
      </c>
      <c r="G280" s="6">
        <v>257</v>
      </c>
      <c r="H280" s="30">
        <v>2.2999999999999998</v>
      </c>
      <c r="I280" s="21">
        <f t="shared" si="17"/>
        <v>933.46511999999984</v>
      </c>
      <c r="J280" s="7" t="s">
        <v>65</v>
      </c>
      <c r="K280" s="17">
        <f t="shared" si="18"/>
        <v>10</v>
      </c>
      <c r="Q280" s="46">
        <f t="shared" si="16"/>
        <v>57.263403599999982</v>
      </c>
    </row>
    <row r="281" spans="1:17" ht="13.95" customHeight="1" x14ac:dyDescent="0.3">
      <c r="A281" s="3">
        <v>45937</v>
      </c>
      <c r="B281" s="19" t="s">
        <v>523</v>
      </c>
      <c r="C281" s="19" t="s">
        <v>5</v>
      </c>
      <c r="D281" s="19" t="s">
        <v>9</v>
      </c>
      <c r="E281" s="4">
        <v>0.92</v>
      </c>
      <c r="F281" s="5">
        <v>1.95</v>
      </c>
      <c r="G281" s="6">
        <v>257</v>
      </c>
      <c r="H281" s="30">
        <v>2.2999999999999998</v>
      </c>
      <c r="I281" s="21">
        <f t="shared" si="17"/>
        <v>1060.4333999999997</v>
      </c>
      <c r="J281" s="7" t="s">
        <v>493</v>
      </c>
      <c r="K281" s="17">
        <f t="shared" si="18"/>
        <v>10</v>
      </c>
      <c r="Q281" s="46">
        <f t="shared" si="16"/>
        <v>54.582173999999995</v>
      </c>
    </row>
    <row r="282" spans="1:17" ht="13.95" customHeight="1" x14ac:dyDescent="0.3">
      <c r="A282" s="3">
        <v>45938</v>
      </c>
      <c r="B282" s="19" t="s">
        <v>523</v>
      </c>
      <c r="C282" s="19" t="s">
        <v>8</v>
      </c>
      <c r="D282" s="19" t="s">
        <v>9</v>
      </c>
      <c r="E282" s="4">
        <v>0.9</v>
      </c>
      <c r="F282" s="5">
        <v>1.9</v>
      </c>
      <c r="G282" s="6">
        <v>257</v>
      </c>
      <c r="H282" s="30">
        <v>2.2999999999999998</v>
      </c>
      <c r="I282" s="21">
        <f t="shared" si="17"/>
        <v>1010.7809999999999</v>
      </c>
      <c r="J282" s="7" t="s">
        <v>286</v>
      </c>
      <c r="K282" s="17">
        <f t="shared" si="18"/>
        <v>10</v>
      </c>
      <c r="Q282" s="46">
        <f t="shared" si="16"/>
        <v>51.607285919999995</v>
      </c>
    </row>
    <row r="283" spans="1:17" ht="13.95" customHeight="1" x14ac:dyDescent="0.3">
      <c r="A283" s="3">
        <v>45939</v>
      </c>
      <c r="B283" s="19" t="s">
        <v>523</v>
      </c>
      <c r="C283" s="19" t="s">
        <v>11</v>
      </c>
      <c r="D283" s="19" t="s">
        <v>9</v>
      </c>
      <c r="E283" s="4">
        <v>0.86</v>
      </c>
      <c r="F283" s="5">
        <v>1.88</v>
      </c>
      <c r="G283" s="6">
        <v>257</v>
      </c>
      <c r="H283" s="30">
        <v>2.2999999999999998</v>
      </c>
      <c r="I283" s="21">
        <f t="shared" si="17"/>
        <v>955.69047999999998</v>
      </c>
      <c r="J283" s="7" t="s">
        <v>67</v>
      </c>
      <c r="K283" s="17">
        <f t="shared" si="18"/>
        <v>10</v>
      </c>
      <c r="Q283" s="46">
        <f t="shared" si="16"/>
        <v>46.059694200000003</v>
      </c>
    </row>
    <row r="284" spans="1:17" ht="13.95" customHeight="1" x14ac:dyDescent="0.3">
      <c r="A284" s="3">
        <v>45940</v>
      </c>
      <c r="B284" s="19" t="s">
        <v>523</v>
      </c>
      <c r="C284" s="19" t="s">
        <v>13</v>
      </c>
      <c r="D284" s="19" t="s">
        <v>14</v>
      </c>
      <c r="E284" s="4">
        <v>0.78</v>
      </c>
      <c r="F284" s="5">
        <v>1.85</v>
      </c>
      <c r="G284" s="6">
        <v>257</v>
      </c>
      <c r="H284" s="30">
        <v>2.2999999999999998</v>
      </c>
      <c r="I284" s="21">
        <f t="shared" si="17"/>
        <v>852.95730000000003</v>
      </c>
      <c r="J284" s="7" t="s">
        <v>494</v>
      </c>
      <c r="K284" s="17">
        <f t="shared" si="18"/>
        <v>10</v>
      </c>
      <c r="Q284" s="46">
        <f t="shared" si="16"/>
        <v>49.921941600000004</v>
      </c>
    </row>
    <row r="285" spans="1:17" ht="13.95" customHeight="1" x14ac:dyDescent="0.3">
      <c r="A285" s="3">
        <v>45941</v>
      </c>
      <c r="B285" s="19" t="s">
        <v>523</v>
      </c>
      <c r="C285" s="19" t="s">
        <v>16</v>
      </c>
      <c r="D285" s="19" t="s">
        <v>14</v>
      </c>
      <c r="E285" s="4">
        <v>0.68</v>
      </c>
      <c r="F285" s="5">
        <v>2.2999999999999998</v>
      </c>
      <c r="G285" s="6">
        <v>257</v>
      </c>
      <c r="H285" s="30">
        <v>2.2999999999999998</v>
      </c>
      <c r="I285" s="21">
        <f t="shared" si="17"/>
        <v>924.48040000000003</v>
      </c>
      <c r="J285" s="7" t="s">
        <v>69</v>
      </c>
      <c r="K285" s="17">
        <f t="shared" si="18"/>
        <v>10</v>
      </c>
      <c r="Q285" s="46">
        <f t="shared" si="16"/>
        <v>67.669127999999986</v>
      </c>
    </row>
    <row r="286" spans="1:17" ht="13.95" customHeight="1" x14ac:dyDescent="0.3">
      <c r="A286" s="3">
        <v>45942</v>
      </c>
      <c r="B286" s="19" t="s">
        <v>523</v>
      </c>
      <c r="C286" s="19" t="s">
        <v>18</v>
      </c>
      <c r="D286" s="19" t="s">
        <v>9</v>
      </c>
      <c r="E286" s="4">
        <v>0.8</v>
      </c>
      <c r="F286" s="5">
        <v>2.65</v>
      </c>
      <c r="G286" s="6">
        <v>257</v>
      </c>
      <c r="H286" s="30">
        <v>2.2999999999999998</v>
      </c>
      <c r="I286" s="21">
        <f t="shared" si="17"/>
        <v>1253.1319999999998</v>
      </c>
      <c r="J286" s="7" t="s">
        <v>362</v>
      </c>
      <c r="K286" s="17">
        <f t="shared" si="18"/>
        <v>10</v>
      </c>
      <c r="Q286" s="46">
        <f t="shared" si="16"/>
        <v>51.00720119999999</v>
      </c>
    </row>
    <row r="287" spans="1:17" ht="13.95" customHeight="1" x14ac:dyDescent="0.3">
      <c r="A287" s="3">
        <v>45943</v>
      </c>
      <c r="B287" s="19" t="s">
        <v>523</v>
      </c>
      <c r="C287" s="19" t="s">
        <v>20</v>
      </c>
      <c r="D287" s="19" t="s">
        <v>9</v>
      </c>
      <c r="E287" s="4">
        <v>0.85</v>
      </c>
      <c r="F287" s="5">
        <v>1.88</v>
      </c>
      <c r="G287" s="6">
        <v>257</v>
      </c>
      <c r="H287" s="30">
        <v>2.2999999999999998</v>
      </c>
      <c r="I287" s="21">
        <f t="shared" si="17"/>
        <v>944.5777999999998</v>
      </c>
      <c r="J287" s="7" t="s">
        <v>286</v>
      </c>
      <c r="K287" s="17">
        <f t="shared" si="18"/>
        <v>10</v>
      </c>
      <c r="Q287" s="46">
        <f t="shared" si="16"/>
        <v>53.369236799999996</v>
      </c>
    </row>
    <row r="288" spans="1:17" ht="13.95" customHeight="1" x14ac:dyDescent="0.3">
      <c r="A288" s="3">
        <v>45944</v>
      </c>
      <c r="B288" s="19" t="s">
        <v>523</v>
      </c>
      <c r="C288" s="19" t="s">
        <v>5</v>
      </c>
      <c r="D288" s="19" t="s">
        <v>9</v>
      </c>
      <c r="E288" s="4">
        <v>0.88</v>
      </c>
      <c r="F288" s="5">
        <v>1.9</v>
      </c>
      <c r="G288" s="6">
        <v>257</v>
      </c>
      <c r="H288" s="30">
        <v>2.2999999999999998</v>
      </c>
      <c r="I288" s="21">
        <f t="shared" si="17"/>
        <v>988.31919999999991</v>
      </c>
      <c r="J288" s="7" t="s">
        <v>143</v>
      </c>
      <c r="K288" s="17">
        <f t="shared" si="18"/>
        <v>10</v>
      </c>
      <c r="Q288" s="46">
        <f t="shared" si="16"/>
        <v>43.569980999999999</v>
      </c>
    </row>
    <row r="289" spans="1:17" ht="13.95" customHeight="1" x14ac:dyDescent="0.3">
      <c r="A289" s="3">
        <v>45945</v>
      </c>
      <c r="B289" s="19" t="s">
        <v>523</v>
      </c>
      <c r="C289" s="19" t="s">
        <v>8</v>
      </c>
      <c r="D289" s="19" t="s">
        <v>495</v>
      </c>
      <c r="E289" s="4">
        <v>0.65</v>
      </c>
      <c r="F289" s="5">
        <v>2.1</v>
      </c>
      <c r="G289" s="6">
        <v>257</v>
      </c>
      <c r="H289" s="30">
        <v>2.2999999999999998</v>
      </c>
      <c r="I289" s="21">
        <f t="shared" si="17"/>
        <v>806.85149999999999</v>
      </c>
      <c r="J289" s="7" t="s">
        <v>496</v>
      </c>
      <c r="K289" s="17">
        <f t="shared" si="18"/>
        <v>10</v>
      </c>
      <c r="Q289" s="46">
        <f t="shared" si="16"/>
        <v>46.059694200000003</v>
      </c>
    </row>
    <row r="290" spans="1:17" ht="13.95" customHeight="1" x14ac:dyDescent="0.3">
      <c r="A290" s="3">
        <v>45946</v>
      </c>
      <c r="B290" s="19" t="s">
        <v>523</v>
      </c>
      <c r="C290" s="19" t="s">
        <v>11</v>
      </c>
      <c r="D290" s="19" t="s">
        <v>9</v>
      </c>
      <c r="E290" s="4">
        <v>0.78</v>
      </c>
      <c r="F290" s="5">
        <v>1.85</v>
      </c>
      <c r="G290" s="6">
        <v>257</v>
      </c>
      <c r="H290" s="30">
        <v>2.2999999999999998</v>
      </c>
      <c r="I290" s="21">
        <f t="shared" si="17"/>
        <v>852.95730000000003</v>
      </c>
      <c r="J290" s="7" t="s">
        <v>474</v>
      </c>
      <c r="K290" s="17">
        <f t="shared" si="18"/>
        <v>10</v>
      </c>
      <c r="Q290" s="46">
        <f t="shared" si="16"/>
        <v>42.989047919999997</v>
      </c>
    </row>
    <row r="291" spans="1:17" ht="13.95" customHeight="1" x14ac:dyDescent="0.3">
      <c r="A291" s="3">
        <v>45947</v>
      </c>
      <c r="B291" s="19" t="s">
        <v>523</v>
      </c>
      <c r="C291" s="19" t="s">
        <v>13</v>
      </c>
      <c r="D291" s="19" t="s">
        <v>14</v>
      </c>
      <c r="E291" s="4">
        <v>0.74</v>
      </c>
      <c r="F291" s="5">
        <v>1.82</v>
      </c>
      <c r="G291" s="6">
        <v>257</v>
      </c>
      <c r="H291" s="30">
        <v>2.2999999999999998</v>
      </c>
      <c r="I291" s="21">
        <f t="shared" si="17"/>
        <v>796.09348</v>
      </c>
      <c r="J291" s="7" t="s">
        <v>54</v>
      </c>
      <c r="K291" s="17">
        <f t="shared" si="18"/>
        <v>10</v>
      </c>
      <c r="Q291" s="46">
        <f t="shared" si="16"/>
        <v>44.527562999999994</v>
      </c>
    </row>
    <row r="292" spans="1:17" ht="13.95" customHeight="1" x14ac:dyDescent="0.3">
      <c r="A292" s="3">
        <v>45948</v>
      </c>
      <c r="B292" s="19" t="s">
        <v>523</v>
      </c>
      <c r="C292" s="19" t="s">
        <v>16</v>
      </c>
      <c r="D292" s="19" t="s">
        <v>14</v>
      </c>
      <c r="E292" s="4">
        <v>0.62</v>
      </c>
      <c r="F292" s="5">
        <v>2.25</v>
      </c>
      <c r="G292" s="6">
        <v>257</v>
      </c>
      <c r="H292" s="30">
        <v>2.2999999999999998</v>
      </c>
      <c r="I292" s="21">
        <f t="shared" si="17"/>
        <v>824.58449999999993</v>
      </c>
      <c r="J292" s="7" t="s">
        <v>69</v>
      </c>
      <c r="K292" s="17">
        <f t="shared" si="18"/>
        <v>10</v>
      </c>
      <c r="Q292" s="46">
        <f t="shared" si="16"/>
        <v>65.977399800000001</v>
      </c>
    </row>
    <row r="293" spans="1:17" ht="13.95" customHeight="1" x14ac:dyDescent="0.3">
      <c r="A293" s="3">
        <v>45949</v>
      </c>
      <c r="B293" s="19" t="s">
        <v>523</v>
      </c>
      <c r="C293" s="19" t="s">
        <v>18</v>
      </c>
      <c r="D293" s="19" t="s">
        <v>9</v>
      </c>
      <c r="E293" s="4">
        <v>0.78</v>
      </c>
      <c r="F293" s="5">
        <v>2.65</v>
      </c>
      <c r="G293" s="6">
        <v>257</v>
      </c>
      <c r="H293" s="30">
        <v>2.2999999999999998</v>
      </c>
      <c r="I293" s="21">
        <f t="shared" si="17"/>
        <v>1221.8036999999999</v>
      </c>
      <c r="J293" s="7" t="s">
        <v>286</v>
      </c>
      <c r="K293" s="17">
        <f t="shared" si="18"/>
        <v>10</v>
      </c>
      <c r="Q293" s="46">
        <f t="shared" si="16"/>
        <v>49.206947039999989</v>
      </c>
    </row>
    <row r="294" spans="1:17" ht="13.95" customHeight="1" x14ac:dyDescent="0.3">
      <c r="A294" s="3">
        <v>45950</v>
      </c>
      <c r="B294" s="19" t="s">
        <v>523</v>
      </c>
      <c r="C294" s="19" t="s">
        <v>20</v>
      </c>
      <c r="D294" s="19" t="s">
        <v>9</v>
      </c>
      <c r="E294" s="4">
        <v>0.82</v>
      </c>
      <c r="F294" s="5">
        <v>1.88</v>
      </c>
      <c r="G294" s="6">
        <v>257</v>
      </c>
      <c r="H294" s="30">
        <v>2.2999999999999998</v>
      </c>
      <c r="I294" s="21">
        <f t="shared" si="17"/>
        <v>911.23975999999982</v>
      </c>
      <c r="J294" s="7" t="s">
        <v>286</v>
      </c>
      <c r="K294" s="17">
        <f t="shared" si="18"/>
        <v>10</v>
      </c>
      <c r="Q294" s="46">
        <f t="shared" si="16"/>
        <v>53.369236799999996</v>
      </c>
    </row>
    <row r="295" spans="1:17" ht="13.95" customHeight="1" x14ac:dyDescent="0.3">
      <c r="A295" s="3">
        <v>45951</v>
      </c>
      <c r="B295" s="19" t="s">
        <v>523</v>
      </c>
      <c r="C295" s="19" t="s">
        <v>5</v>
      </c>
      <c r="D295" s="19" t="s">
        <v>9</v>
      </c>
      <c r="E295" s="4">
        <v>0.88</v>
      </c>
      <c r="F295" s="5">
        <v>1.9</v>
      </c>
      <c r="G295" s="6">
        <v>257</v>
      </c>
      <c r="H295" s="30">
        <v>2.2999999999999998</v>
      </c>
      <c r="I295" s="21">
        <f t="shared" si="17"/>
        <v>988.31919999999991</v>
      </c>
      <c r="J295" s="7" t="s">
        <v>143</v>
      </c>
      <c r="K295" s="17">
        <f t="shared" si="18"/>
        <v>10</v>
      </c>
      <c r="Q295" s="46">
        <f t="shared" si="16"/>
        <v>51.00720119999999</v>
      </c>
    </row>
    <row r="296" spans="1:17" ht="13.95" customHeight="1" x14ac:dyDescent="0.3">
      <c r="A296" s="3">
        <v>45952</v>
      </c>
      <c r="B296" s="19" t="s">
        <v>523</v>
      </c>
      <c r="C296" s="19" t="s">
        <v>8</v>
      </c>
      <c r="D296" s="19" t="s">
        <v>9</v>
      </c>
      <c r="E296" s="4">
        <v>0.85</v>
      </c>
      <c r="F296" s="5">
        <v>1.88</v>
      </c>
      <c r="G296" s="6">
        <v>257</v>
      </c>
      <c r="H296" s="30">
        <v>2.2999999999999998</v>
      </c>
      <c r="I296" s="21">
        <f t="shared" si="17"/>
        <v>944.5777999999998</v>
      </c>
      <c r="J296" s="7" t="s">
        <v>286</v>
      </c>
      <c r="K296" s="17">
        <f t="shared" si="18"/>
        <v>10</v>
      </c>
      <c r="Q296" s="46">
        <f t="shared" si="16"/>
        <v>47.240712000000002</v>
      </c>
    </row>
    <row r="297" spans="1:17" ht="13.95" customHeight="1" x14ac:dyDescent="0.3">
      <c r="A297" s="3">
        <v>45953</v>
      </c>
      <c r="B297" s="19" t="s">
        <v>523</v>
      </c>
      <c r="C297" s="19" t="s">
        <v>11</v>
      </c>
      <c r="D297" s="19" t="s">
        <v>9</v>
      </c>
      <c r="E297" s="4">
        <v>0.8</v>
      </c>
      <c r="F297" s="5">
        <v>1.85</v>
      </c>
      <c r="G297" s="6">
        <v>257</v>
      </c>
      <c r="H297" s="30">
        <v>2.2999999999999998</v>
      </c>
      <c r="I297" s="21">
        <f t="shared" si="17"/>
        <v>874.82800000000009</v>
      </c>
      <c r="J297" s="7" t="s">
        <v>82</v>
      </c>
      <c r="K297" s="17">
        <f t="shared" si="18"/>
        <v>10</v>
      </c>
      <c r="Q297" s="46">
        <f t="shared" si="16"/>
        <v>43.569980999999999</v>
      </c>
    </row>
    <row r="298" spans="1:17" ht="13.95" customHeight="1" x14ac:dyDescent="0.3">
      <c r="A298" s="3">
        <v>45954</v>
      </c>
      <c r="B298" s="19" t="s">
        <v>523</v>
      </c>
      <c r="C298" s="19" t="s">
        <v>13</v>
      </c>
      <c r="D298" s="19" t="s">
        <v>14</v>
      </c>
      <c r="E298" s="4">
        <v>0.75</v>
      </c>
      <c r="F298" s="5">
        <v>1.82</v>
      </c>
      <c r="G298" s="6">
        <v>257</v>
      </c>
      <c r="H298" s="30">
        <v>2.2999999999999998</v>
      </c>
      <c r="I298" s="21">
        <f t="shared" si="17"/>
        <v>806.85149999999999</v>
      </c>
      <c r="J298" s="7" t="s">
        <v>497</v>
      </c>
      <c r="K298" s="17">
        <f t="shared" si="18"/>
        <v>10</v>
      </c>
      <c r="Q298" s="46">
        <f t="shared" si="16"/>
        <v>47.719502999999989</v>
      </c>
    </row>
    <row r="299" spans="1:17" ht="13.95" customHeight="1" x14ac:dyDescent="0.3">
      <c r="A299" s="3">
        <v>45955</v>
      </c>
      <c r="B299" s="19" t="s">
        <v>523</v>
      </c>
      <c r="C299" s="19" t="s">
        <v>16</v>
      </c>
      <c r="D299" s="19" t="s">
        <v>14</v>
      </c>
      <c r="E299" s="4">
        <v>0.65</v>
      </c>
      <c r="F299" s="5">
        <v>2.2999999999999998</v>
      </c>
      <c r="G299" s="6">
        <v>257</v>
      </c>
      <c r="H299" s="30">
        <v>2.2999999999999998</v>
      </c>
      <c r="I299" s="21">
        <f t="shared" si="17"/>
        <v>883.69449999999983</v>
      </c>
      <c r="J299" s="7" t="s">
        <v>69</v>
      </c>
      <c r="K299" s="17">
        <f t="shared" si="18"/>
        <v>10</v>
      </c>
      <c r="Q299" s="46">
        <f t="shared" si="16"/>
        <v>70.669551599999991</v>
      </c>
    </row>
    <row r="300" spans="1:17" ht="13.95" customHeight="1" x14ac:dyDescent="0.3">
      <c r="A300" s="3">
        <v>45956</v>
      </c>
      <c r="B300" s="19" t="s">
        <v>523</v>
      </c>
      <c r="C300" s="19" t="s">
        <v>18</v>
      </c>
      <c r="D300" s="19" t="s">
        <v>9</v>
      </c>
      <c r="E300" s="4">
        <v>0.82</v>
      </c>
      <c r="F300" s="5">
        <v>2.7</v>
      </c>
      <c r="G300" s="6">
        <v>257</v>
      </c>
      <c r="H300" s="30">
        <v>2.2999999999999998</v>
      </c>
      <c r="I300" s="21">
        <f t="shared" si="17"/>
        <v>1308.6953999999998</v>
      </c>
      <c r="J300" s="7" t="s">
        <v>151</v>
      </c>
      <c r="K300" s="17">
        <f t="shared" si="18"/>
        <v>10</v>
      </c>
      <c r="Q300" s="46">
        <f t="shared" si="16"/>
        <v>48.006777599999992</v>
      </c>
    </row>
    <row r="301" spans="1:17" ht="13.95" customHeight="1" x14ac:dyDescent="0.3">
      <c r="A301" s="3">
        <v>45957</v>
      </c>
      <c r="B301" s="19" t="s">
        <v>523</v>
      </c>
      <c r="C301" s="19" t="s">
        <v>20</v>
      </c>
      <c r="D301" s="19" t="s">
        <v>9</v>
      </c>
      <c r="E301" s="4">
        <v>0.8</v>
      </c>
      <c r="F301" s="5">
        <v>1.88</v>
      </c>
      <c r="G301" s="6">
        <v>257</v>
      </c>
      <c r="H301" s="30">
        <v>2.2999999999999998</v>
      </c>
      <c r="I301" s="21">
        <f t="shared" si="17"/>
        <v>889.01439999999991</v>
      </c>
      <c r="J301" s="7" t="s">
        <v>286</v>
      </c>
      <c r="K301" s="17">
        <f t="shared" si="18"/>
        <v>10</v>
      </c>
      <c r="Q301" s="46">
        <f t="shared" si="16"/>
        <v>50.943362399999991</v>
      </c>
    </row>
    <row r="302" spans="1:17" ht="13.95" customHeight="1" x14ac:dyDescent="0.3">
      <c r="A302" s="3">
        <v>45958</v>
      </c>
      <c r="B302" s="19" t="s">
        <v>523</v>
      </c>
      <c r="C302" s="19" t="s">
        <v>5</v>
      </c>
      <c r="D302" s="19" t="s">
        <v>9</v>
      </c>
      <c r="E302" s="4">
        <v>0.84</v>
      </c>
      <c r="F302" s="5">
        <v>1.9</v>
      </c>
      <c r="G302" s="6">
        <v>257</v>
      </c>
      <c r="H302" s="30">
        <v>2.2999999999999998</v>
      </c>
      <c r="I302" s="21">
        <f t="shared" si="17"/>
        <v>943.39559999999983</v>
      </c>
      <c r="J302" s="7" t="s">
        <v>286</v>
      </c>
      <c r="K302" s="17">
        <f t="shared" si="18"/>
        <v>10</v>
      </c>
      <c r="Q302" s="46">
        <f t="shared" si="16"/>
        <v>49.206947039999989</v>
      </c>
    </row>
    <row r="303" spans="1:17" ht="13.95" customHeight="1" x14ac:dyDescent="0.3">
      <c r="A303" s="3">
        <v>45959</v>
      </c>
      <c r="B303" s="19" t="s">
        <v>523</v>
      </c>
      <c r="C303" s="19" t="s">
        <v>8</v>
      </c>
      <c r="D303" s="19" t="s">
        <v>9</v>
      </c>
      <c r="E303" s="4">
        <v>0.82</v>
      </c>
      <c r="F303" s="5">
        <v>1.88</v>
      </c>
      <c r="G303" s="6">
        <v>257</v>
      </c>
      <c r="H303" s="30">
        <v>2.2999999999999998</v>
      </c>
      <c r="I303" s="21">
        <f t="shared" si="17"/>
        <v>911.23975999999982</v>
      </c>
      <c r="J303" s="7" t="s">
        <v>414</v>
      </c>
      <c r="K303" s="17">
        <f t="shared" si="18"/>
        <v>10</v>
      </c>
      <c r="Q303" s="46">
        <f t="shared" si="16"/>
        <v>46.059694200000003</v>
      </c>
    </row>
    <row r="304" spans="1:17" ht="13.95" customHeight="1" x14ac:dyDescent="0.3">
      <c r="A304" s="3">
        <v>45960</v>
      </c>
      <c r="B304" s="19" t="s">
        <v>523</v>
      </c>
      <c r="C304" s="19" t="s">
        <v>11</v>
      </c>
      <c r="D304" s="19" t="s">
        <v>9</v>
      </c>
      <c r="E304" s="4">
        <v>0.78</v>
      </c>
      <c r="F304" s="5">
        <v>1.85</v>
      </c>
      <c r="G304" s="6">
        <v>257</v>
      </c>
      <c r="H304" s="30">
        <v>2.2999999999999998</v>
      </c>
      <c r="I304" s="21">
        <f t="shared" si="17"/>
        <v>852.95730000000003</v>
      </c>
      <c r="J304" s="7" t="s">
        <v>67</v>
      </c>
      <c r="K304" s="17">
        <f t="shared" si="18"/>
        <v>10</v>
      </c>
      <c r="Q304" s="46">
        <f t="shared" si="16"/>
        <v>43.206099839999986</v>
      </c>
    </row>
    <row r="305" spans="1:17" ht="13.95" customHeight="1" x14ac:dyDescent="0.3">
      <c r="A305" s="3">
        <v>45961</v>
      </c>
      <c r="B305" s="19" t="s">
        <v>523</v>
      </c>
      <c r="C305" s="19" t="s">
        <v>13</v>
      </c>
      <c r="D305" s="19" t="s">
        <v>14</v>
      </c>
      <c r="E305" s="4">
        <v>0.72</v>
      </c>
      <c r="F305" s="5">
        <v>1.88</v>
      </c>
      <c r="G305" s="6">
        <v>257</v>
      </c>
      <c r="H305" s="30">
        <v>2.2999999999999998</v>
      </c>
      <c r="I305" s="21">
        <f t="shared" si="17"/>
        <v>800.11295999999982</v>
      </c>
      <c r="J305" s="7" t="s">
        <v>498</v>
      </c>
      <c r="K305" s="17">
        <f t="shared" si="18"/>
        <v>10</v>
      </c>
      <c r="Q305" s="46">
        <f t="shared" si="16"/>
        <v>46.682122499999998</v>
      </c>
    </row>
    <row r="306" spans="1:17" ht="13.95" customHeight="1" x14ac:dyDescent="0.3">
      <c r="A306" s="3">
        <v>45962</v>
      </c>
      <c r="B306" s="19" t="s">
        <v>523</v>
      </c>
      <c r="C306" s="19" t="s">
        <v>16</v>
      </c>
      <c r="D306" s="19" t="s">
        <v>14</v>
      </c>
      <c r="E306" s="4">
        <v>0.65</v>
      </c>
      <c r="F306" s="5">
        <v>2.25</v>
      </c>
      <c r="G306" s="6">
        <v>257</v>
      </c>
      <c r="H306" s="30">
        <v>2.2999999999999998</v>
      </c>
      <c r="I306" s="21">
        <f t="shared" si="17"/>
        <v>864.48374999999999</v>
      </c>
      <c r="J306" s="7" t="s">
        <v>499</v>
      </c>
      <c r="K306" s="17">
        <f t="shared" si="18"/>
        <v>11</v>
      </c>
      <c r="Q306" s="46">
        <f t="shared" si="16"/>
        <v>70.146073439999995</v>
      </c>
    </row>
    <row r="307" spans="1:17" ht="13.95" customHeight="1" x14ac:dyDescent="0.3">
      <c r="A307" s="3">
        <v>45963</v>
      </c>
      <c r="B307" s="19" t="s">
        <v>523</v>
      </c>
      <c r="C307" s="19" t="s">
        <v>18</v>
      </c>
      <c r="D307" s="19" t="s">
        <v>9</v>
      </c>
      <c r="E307" s="4">
        <v>0.82</v>
      </c>
      <c r="F307" s="5">
        <v>2.68</v>
      </c>
      <c r="G307" s="6">
        <v>257</v>
      </c>
      <c r="H307" s="30">
        <v>2.2999999999999998</v>
      </c>
      <c r="I307" s="21">
        <f t="shared" si="17"/>
        <v>1299.00136</v>
      </c>
      <c r="J307" s="7" t="s">
        <v>483</v>
      </c>
      <c r="K307" s="17">
        <f t="shared" si="18"/>
        <v>11</v>
      </c>
      <c r="Q307" s="46">
        <f t="shared" si="16"/>
        <v>50.407116479999992</v>
      </c>
    </row>
    <row r="308" spans="1:17" ht="13.95" customHeight="1" x14ac:dyDescent="0.3">
      <c r="A308" s="3">
        <v>45964</v>
      </c>
      <c r="B308" s="19" t="s">
        <v>523</v>
      </c>
      <c r="C308" s="19" t="s">
        <v>20</v>
      </c>
      <c r="D308" s="19" t="s">
        <v>9</v>
      </c>
      <c r="E308" s="4">
        <v>0.84</v>
      </c>
      <c r="F308" s="5">
        <v>1.88</v>
      </c>
      <c r="G308" s="6">
        <v>257</v>
      </c>
      <c r="H308" s="30">
        <v>2.2999999999999998</v>
      </c>
      <c r="I308" s="21">
        <f t="shared" si="17"/>
        <v>933.46511999999984</v>
      </c>
      <c r="J308" s="7" t="s">
        <v>500</v>
      </c>
      <c r="K308" s="17">
        <f t="shared" si="18"/>
        <v>11</v>
      </c>
      <c r="Q308" s="46">
        <f t="shared" si="16"/>
        <v>53.369236799999996</v>
      </c>
    </row>
    <row r="309" spans="1:17" ht="13.95" customHeight="1" x14ac:dyDescent="0.3">
      <c r="A309" s="3">
        <v>45965</v>
      </c>
      <c r="B309" s="19" t="s">
        <v>523</v>
      </c>
      <c r="C309" s="19" t="s">
        <v>5</v>
      </c>
      <c r="D309" s="19" t="s">
        <v>9</v>
      </c>
      <c r="E309" s="4">
        <v>0.88</v>
      </c>
      <c r="F309" s="5">
        <v>1.9</v>
      </c>
      <c r="G309" s="6">
        <v>257</v>
      </c>
      <c r="H309" s="30">
        <v>2.2999999999999998</v>
      </c>
      <c r="I309" s="21">
        <f t="shared" si="17"/>
        <v>988.31919999999991</v>
      </c>
      <c r="J309" s="7" t="s">
        <v>501</v>
      </c>
      <c r="K309" s="17">
        <f t="shared" si="18"/>
        <v>11</v>
      </c>
      <c r="Q309" s="46">
        <f t="shared" si="16"/>
        <v>51.607285919999995</v>
      </c>
    </row>
    <row r="310" spans="1:17" ht="13.95" customHeight="1" x14ac:dyDescent="0.3">
      <c r="A310" s="3">
        <v>45966</v>
      </c>
      <c r="B310" s="19" t="s">
        <v>523</v>
      </c>
      <c r="C310" s="19" t="s">
        <v>8</v>
      </c>
      <c r="D310" s="19" t="s">
        <v>9</v>
      </c>
      <c r="E310" s="4">
        <v>0.86</v>
      </c>
      <c r="F310" s="5">
        <v>1.88</v>
      </c>
      <c r="G310" s="6">
        <v>257</v>
      </c>
      <c r="H310" s="30">
        <v>2.2999999999999998</v>
      </c>
      <c r="I310" s="21">
        <f t="shared" si="17"/>
        <v>955.69047999999998</v>
      </c>
      <c r="J310" s="7" t="s">
        <v>286</v>
      </c>
      <c r="K310" s="17">
        <f t="shared" si="18"/>
        <v>11</v>
      </c>
      <c r="Q310" s="46">
        <f t="shared" si="16"/>
        <v>48.421729799999994</v>
      </c>
    </row>
    <row r="311" spans="1:17" ht="13.95" customHeight="1" x14ac:dyDescent="0.3">
      <c r="A311" s="3">
        <v>45967</v>
      </c>
      <c r="B311" s="19" t="s">
        <v>523</v>
      </c>
      <c r="C311" s="19" t="s">
        <v>11</v>
      </c>
      <c r="D311" s="19" t="s">
        <v>9</v>
      </c>
      <c r="E311" s="4">
        <v>0.82</v>
      </c>
      <c r="F311" s="5">
        <v>1.85</v>
      </c>
      <c r="G311" s="6">
        <v>257</v>
      </c>
      <c r="H311" s="30">
        <v>2.2999999999999998</v>
      </c>
      <c r="I311" s="21">
        <f t="shared" si="17"/>
        <v>896.69869999999992</v>
      </c>
      <c r="J311" s="7" t="s">
        <v>485</v>
      </c>
      <c r="K311" s="17">
        <f t="shared" si="18"/>
        <v>11</v>
      </c>
      <c r="Q311" s="46">
        <f t="shared" si="16"/>
        <v>43.569980999999999</v>
      </c>
    </row>
    <row r="312" spans="1:17" ht="13.95" customHeight="1" x14ac:dyDescent="0.3">
      <c r="A312" s="3">
        <v>45968</v>
      </c>
      <c r="B312" s="19" t="s">
        <v>523</v>
      </c>
      <c r="C312" s="19" t="s">
        <v>13</v>
      </c>
      <c r="D312" s="19" t="s">
        <v>14</v>
      </c>
      <c r="E312" s="4">
        <v>0.75</v>
      </c>
      <c r="F312" s="5">
        <v>1.82</v>
      </c>
      <c r="G312" s="6">
        <v>257</v>
      </c>
      <c r="H312" s="30">
        <v>2.2999999999999998</v>
      </c>
      <c r="I312" s="21">
        <f t="shared" si="17"/>
        <v>806.85149999999999</v>
      </c>
      <c r="J312" s="7" t="s">
        <v>502</v>
      </c>
      <c r="K312" s="17">
        <f t="shared" si="18"/>
        <v>11</v>
      </c>
      <c r="Q312" s="46">
        <f t="shared" si="16"/>
        <v>49.921941600000004</v>
      </c>
    </row>
    <row r="313" spans="1:17" ht="13.95" customHeight="1" x14ac:dyDescent="0.3">
      <c r="A313" s="3">
        <v>45969</v>
      </c>
      <c r="B313" s="19" t="s">
        <v>523</v>
      </c>
      <c r="C313" s="19" t="s">
        <v>16</v>
      </c>
      <c r="D313" s="19" t="s">
        <v>14</v>
      </c>
      <c r="E313" s="4">
        <v>0.68</v>
      </c>
      <c r="F313" s="5">
        <v>2.2999999999999998</v>
      </c>
      <c r="G313" s="6">
        <v>257</v>
      </c>
      <c r="H313" s="30">
        <v>2.2999999999999998</v>
      </c>
      <c r="I313" s="21">
        <f t="shared" si="17"/>
        <v>924.48040000000003</v>
      </c>
      <c r="J313" s="7" t="s">
        <v>69</v>
      </c>
      <c r="K313" s="17">
        <f t="shared" si="18"/>
        <v>11</v>
      </c>
      <c r="Q313" s="46">
        <f t="shared" si="16"/>
        <v>73.255022999999994</v>
      </c>
    </row>
    <row r="314" spans="1:17" ht="13.95" customHeight="1" x14ac:dyDescent="0.3">
      <c r="A314" s="3">
        <v>45970</v>
      </c>
      <c r="B314" s="19" t="s">
        <v>523</v>
      </c>
      <c r="C314" s="19" t="s">
        <v>18</v>
      </c>
      <c r="D314" s="19" t="s">
        <v>9</v>
      </c>
      <c r="E314" s="4">
        <v>0.85</v>
      </c>
      <c r="F314" s="5">
        <v>2.7</v>
      </c>
      <c r="G314" s="6">
        <v>257</v>
      </c>
      <c r="H314" s="30">
        <v>2.2999999999999998</v>
      </c>
      <c r="I314" s="21">
        <f t="shared" si="17"/>
        <v>1356.5744999999999</v>
      </c>
      <c r="J314" s="7" t="s">
        <v>56</v>
      </c>
      <c r="K314" s="17">
        <f t="shared" si="18"/>
        <v>11</v>
      </c>
      <c r="Q314" s="46">
        <f t="shared" si="16"/>
        <v>49.206947039999989</v>
      </c>
    </row>
    <row r="315" spans="1:17" ht="13.95" customHeight="1" x14ac:dyDescent="0.3">
      <c r="A315" s="3">
        <v>45971</v>
      </c>
      <c r="B315" s="19" t="s">
        <v>523</v>
      </c>
      <c r="C315" s="19" t="s">
        <v>20</v>
      </c>
      <c r="D315" s="19" t="s">
        <v>9</v>
      </c>
      <c r="E315" s="4">
        <v>0.82</v>
      </c>
      <c r="F315" s="5">
        <v>1.88</v>
      </c>
      <c r="G315" s="6">
        <v>257</v>
      </c>
      <c r="H315" s="30">
        <v>2.2999999999999998</v>
      </c>
      <c r="I315" s="21">
        <f t="shared" si="17"/>
        <v>911.23975999999982</v>
      </c>
      <c r="J315" s="7" t="s">
        <v>286</v>
      </c>
      <c r="K315" s="17">
        <f t="shared" si="18"/>
        <v>11</v>
      </c>
      <c r="Q315" s="46">
        <f t="shared" si="16"/>
        <v>56.018546999999998</v>
      </c>
    </row>
    <row r="316" spans="1:17" ht="13.95" customHeight="1" x14ac:dyDescent="0.3">
      <c r="A316" s="3">
        <v>45972</v>
      </c>
      <c r="B316" s="19" t="s">
        <v>523</v>
      </c>
      <c r="C316" s="19" t="s">
        <v>5</v>
      </c>
      <c r="D316" s="19" t="s">
        <v>9</v>
      </c>
      <c r="E316" s="4">
        <v>0.9</v>
      </c>
      <c r="F316" s="5">
        <v>1.95</v>
      </c>
      <c r="G316" s="6">
        <v>257</v>
      </c>
      <c r="H316" s="30">
        <v>2.2999999999999998</v>
      </c>
      <c r="I316" s="21">
        <f t="shared" si="17"/>
        <v>1037.3805</v>
      </c>
      <c r="J316" s="7" t="s">
        <v>286</v>
      </c>
      <c r="K316" s="17">
        <f t="shared" si="18"/>
        <v>11</v>
      </c>
      <c r="Q316" s="46">
        <f t="shared" si="16"/>
        <v>53.369236799999996</v>
      </c>
    </row>
    <row r="317" spans="1:17" ht="13.95" customHeight="1" x14ac:dyDescent="0.3">
      <c r="A317" s="3">
        <v>45973</v>
      </c>
      <c r="B317" s="19" t="s">
        <v>523</v>
      </c>
      <c r="C317" s="19" t="s">
        <v>8</v>
      </c>
      <c r="D317" s="19" t="s">
        <v>9</v>
      </c>
      <c r="E317" s="4">
        <v>0.88</v>
      </c>
      <c r="F317" s="5">
        <v>1.9</v>
      </c>
      <c r="G317" s="6">
        <v>257</v>
      </c>
      <c r="H317" s="30">
        <v>2.2999999999999998</v>
      </c>
      <c r="I317" s="21">
        <f t="shared" si="17"/>
        <v>988.31919999999991</v>
      </c>
      <c r="J317" s="7" t="s">
        <v>65</v>
      </c>
      <c r="K317" s="17">
        <f t="shared" si="18"/>
        <v>11</v>
      </c>
      <c r="Q317" s="46">
        <f t="shared" si="16"/>
        <v>49.602747600000001</v>
      </c>
    </row>
    <row r="318" spans="1:17" ht="13.95" customHeight="1" x14ac:dyDescent="0.3">
      <c r="A318" s="3">
        <v>45974</v>
      </c>
      <c r="B318" s="19" t="s">
        <v>523</v>
      </c>
      <c r="C318" s="19" t="s">
        <v>11</v>
      </c>
      <c r="D318" s="19" t="s">
        <v>9</v>
      </c>
      <c r="E318" s="4">
        <v>0.84</v>
      </c>
      <c r="F318" s="5">
        <v>1.85</v>
      </c>
      <c r="G318" s="6">
        <v>257</v>
      </c>
      <c r="H318" s="30">
        <v>2.2999999999999998</v>
      </c>
      <c r="I318" s="21">
        <f t="shared" si="17"/>
        <v>918.56939999999997</v>
      </c>
      <c r="J318" s="7" t="s">
        <v>82</v>
      </c>
      <c r="K318" s="17">
        <f t="shared" si="18"/>
        <v>11</v>
      </c>
      <c r="Q318" s="46">
        <f t="shared" si="16"/>
        <v>45.312780240000002</v>
      </c>
    </row>
    <row r="319" spans="1:17" ht="13.95" customHeight="1" x14ac:dyDescent="0.3">
      <c r="A319" s="3">
        <v>45975</v>
      </c>
      <c r="B319" s="19" t="s">
        <v>523</v>
      </c>
      <c r="C319" s="19" t="s">
        <v>13</v>
      </c>
      <c r="D319" s="19" t="s">
        <v>14</v>
      </c>
      <c r="E319" s="4">
        <v>0.78</v>
      </c>
      <c r="F319" s="5">
        <v>1.82</v>
      </c>
      <c r="G319" s="6">
        <v>257</v>
      </c>
      <c r="H319" s="30">
        <v>2.2999999999999998</v>
      </c>
      <c r="I319" s="21">
        <f t="shared" si="17"/>
        <v>839.12556000000006</v>
      </c>
      <c r="J319" s="7" t="s">
        <v>486</v>
      </c>
      <c r="K319" s="17">
        <f t="shared" si="18"/>
        <v>11</v>
      </c>
      <c r="Q319" s="46">
        <f t="shared" si="16"/>
        <v>47.719502999999989</v>
      </c>
    </row>
    <row r="320" spans="1:17" ht="13.95" customHeight="1" x14ac:dyDescent="0.3">
      <c r="A320" s="3">
        <v>45976</v>
      </c>
      <c r="B320" s="19" t="s">
        <v>523</v>
      </c>
      <c r="C320" s="19" t="s">
        <v>16</v>
      </c>
      <c r="D320" s="19" t="s">
        <v>14</v>
      </c>
      <c r="E320" s="4">
        <v>0.65</v>
      </c>
      <c r="F320" s="5">
        <v>2.2999999999999998</v>
      </c>
      <c r="G320" s="6">
        <v>257</v>
      </c>
      <c r="H320" s="30">
        <v>2.2999999999999998</v>
      </c>
      <c r="I320" s="21">
        <f t="shared" si="17"/>
        <v>883.69449999999983</v>
      </c>
      <c r="J320" s="7" t="s">
        <v>69</v>
      </c>
      <c r="K320" s="17">
        <f t="shared" si="18"/>
        <v>11</v>
      </c>
      <c r="Q320" s="46">
        <f t="shared" si="16"/>
        <v>67.669127999999986</v>
      </c>
    </row>
    <row r="321" spans="1:17" ht="13.95" customHeight="1" x14ac:dyDescent="0.3">
      <c r="A321" s="3">
        <v>45977</v>
      </c>
      <c r="B321" s="19" t="s">
        <v>523</v>
      </c>
      <c r="C321" s="19" t="s">
        <v>18</v>
      </c>
      <c r="D321" s="19" t="s">
        <v>9</v>
      </c>
      <c r="E321" s="4">
        <v>0.8</v>
      </c>
      <c r="F321" s="5">
        <v>2.65</v>
      </c>
      <c r="G321" s="6">
        <v>257</v>
      </c>
      <c r="H321" s="30">
        <v>2.2999999999999998</v>
      </c>
      <c r="I321" s="21">
        <f t="shared" si="17"/>
        <v>1253.1319999999998</v>
      </c>
      <c r="J321" s="7" t="s">
        <v>286</v>
      </c>
      <c r="K321" s="17">
        <f t="shared" si="18"/>
        <v>11</v>
      </c>
      <c r="Q321" s="46">
        <f t="shared" si="16"/>
        <v>50.407116479999992</v>
      </c>
    </row>
    <row r="322" spans="1:17" ht="13.95" customHeight="1" x14ac:dyDescent="0.3">
      <c r="A322" s="3">
        <v>45978</v>
      </c>
      <c r="B322" s="19" t="s">
        <v>523</v>
      </c>
      <c r="C322" s="19" t="s">
        <v>20</v>
      </c>
      <c r="D322" s="19" t="s">
        <v>9</v>
      </c>
      <c r="E322" s="4">
        <v>0.84</v>
      </c>
      <c r="F322" s="5">
        <v>1.88</v>
      </c>
      <c r="G322" s="6">
        <v>257</v>
      </c>
      <c r="H322" s="30">
        <v>2.2999999999999998</v>
      </c>
      <c r="I322" s="21">
        <f t="shared" si="17"/>
        <v>933.46511999999984</v>
      </c>
      <c r="J322" s="7" t="s">
        <v>143</v>
      </c>
      <c r="K322" s="17">
        <f t="shared" si="18"/>
        <v>11</v>
      </c>
      <c r="Q322" s="46">
        <f t="shared" ref="Q322:Q366" si="19">I323*0.054</f>
        <v>51.54983099999999</v>
      </c>
    </row>
    <row r="323" spans="1:17" ht="13.95" customHeight="1" x14ac:dyDescent="0.3">
      <c r="A323" s="3">
        <v>45979</v>
      </c>
      <c r="B323" s="19" t="s">
        <v>523</v>
      </c>
      <c r="C323" s="19" t="s">
        <v>5</v>
      </c>
      <c r="D323" s="19" t="s">
        <v>9</v>
      </c>
      <c r="E323" s="4">
        <v>0.85</v>
      </c>
      <c r="F323" s="5">
        <v>1.9</v>
      </c>
      <c r="G323" s="6">
        <v>257</v>
      </c>
      <c r="H323" s="30">
        <v>2.2999999999999998</v>
      </c>
      <c r="I323" s="21">
        <f t="shared" si="17"/>
        <v>954.62649999999985</v>
      </c>
      <c r="J323" s="7" t="s">
        <v>143</v>
      </c>
      <c r="K323" s="17">
        <f t="shared" si="18"/>
        <v>11</v>
      </c>
      <c r="Q323" s="46">
        <f t="shared" si="19"/>
        <v>49.206947039999989</v>
      </c>
    </row>
    <row r="324" spans="1:17" ht="13.95" customHeight="1" x14ac:dyDescent="0.3">
      <c r="A324" s="3">
        <v>45980</v>
      </c>
      <c r="B324" s="19" t="s">
        <v>523</v>
      </c>
      <c r="C324" s="19" t="s">
        <v>8</v>
      </c>
      <c r="D324" s="19" t="s">
        <v>9</v>
      </c>
      <c r="E324" s="4">
        <v>0.82</v>
      </c>
      <c r="F324" s="5">
        <v>1.88</v>
      </c>
      <c r="G324" s="6">
        <v>257</v>
      </c>
      <c r="H324" s="30">
        <v>2.2999999999999998</v>
      </c>
      <c r="I324" s="21">
        <f t="shared" ref="I324:I366" si="20">(G324*E324)*H324*F324</f>
        <v>911.23975999999982</v>
      </c>
      <c r="J324" s="7" t="s">
        <v>286</v>
      </c>
      <c r="K324" s="17">
        <f t="shared" si="18"/>
        <v>11</v>
      </c>
      <c r="Q324" s="46">
        <f t="shared" si="19"/>
        <v>47.240712000000002</v>
      </c>
    </row>
    <row r="325" spans="1:17" ht="13.95" customHeight="1" x14ac:dyDescent="0.3">
      <c r="A325" s="3">
        <v>45981</v>
      </c>
      <c r="B325" s="19" t="s">
        <v>523</v>
      </c>
      <c r="C325" s="19" t="s">
        <v>11</v>
      </c>
      <c r="D325" s="19" t="s">
        <v>9</v>
      </c>
      <c r="E325" s="4">
        <v>0.8</v>
      </c>
      <c r="F325" s="5">
        <v>1.85</v>
      </c>
      <c r="G325" s="6">
        <v>257</v>
      </c>
      <c r="H325" s="30">
        <v>2.2999999999999998</v>
      </c>
      <c r="I325" s="21">
        <f t="shared" si="20"/>
        <v>874.82800000000009</v>
      </c>
      <c r="J325" s="7" t="s">
        <v>70</v>
      </c>
      <c r="K325" s="17">
        <f t="shared" si="18"/>
        <v>11</v>
      </c>
      <c r="Q325" s="46">
        <f t="shared" si="19"/>
        <v>41.827181759999995</v>
      </c>
    </row>
    <row r="326" spans="1:17" ht="13.95" customHeight="1" x14ac:dyDescent="0.3">
      <c r="A326" s="3">
        <v>45982</v>
      </c>
      <c r="B326" s="19" t="s">
        <v>523</v>
      </c>
      <c r="C326" s="19" t="s">
        <v>13</v>
      </c>
      <c r="D326" s="19" t="s">
        <v>14</v>
      </c>
      <c r="E326" s="4">
        <v>0.72</v>
      </c>
      <c r="F326" s="5">
        <v>1.82</v>
      </c>
      <c r="G326" s="6">
        <v>257</v>
      </c>
      <c r="H326" s="30">
        <v>2.2999999999999998</v>
      </c>
      <c r="I326" s="21">
        <f t="shared" si="20"/>
        <v>774.57743999999991</v>
      </c>
      <c r="J326" s="7" t="s">
        <v>503</v>
      </c>
      <c r="K326" s="17">
        <f t="shared" si="18"/>
        <v>11</v>
      </c>
      <c r="Q326" s="46">
        <f t="shared" si="19"/>
        <v>48.756883500000001</v>
      </c>
    </row>
    <row r="327" spans="1:17" ht="13.95" customHeight="1" x14ac:dyDescent="0.3">
      <c r="A327" s="3">
        <v>45983</v>
      </c>
      <c r="B327" s="19" t="s">
        <v>523</v>
      </c>
      <c r="C327" s="19" t="s">
        <v>16</v>
      </c>
      <c r="D327" s="19" t="s">
        <v>14</v>
      </c>
      <c r="E327" s="4">
        <v>0.65</v>
      </c>
      <c r="F327" s="5">
        <v>2.35</v>
      </c>
      <c r="G327" s="6">
        <v>257</v>
      </c>
      <c r="H327" s="30">
        <v>2.2999999999999998</v>
      </c>
      <c r="I327" s="21">
        <f t="shared" si="20"/>
        <v>902.90525000000002</v>
      </c>
      <c r="J327" s="7" t="s">
        <v>69</v>
      </c>
      <c r="K327" s="17">
        <f t="shared" si="18"/>
        <v>11</v>
      </c>
      <c r="Q327" s="46">
        <f t="shared" si="19"/>
        <v>70.669551599999991</v>
      </c>
    </row>
    <row r="328" spans="1:17" ht="13.95" customHeight="1" x14ac:dyDescent="0.3">
      <c r="A328" s="3">
        <v>45984</v>
      </c>
      <c r="B328" s="19" t="s">
        <v>523</v>
      </c>
      <c r="C328" s="19" t="s">
        <v>18</v>
      </c>
      <c r="D328" s="19" t="s">
        <v>9</v>
      </c>
      <c r="E328" s="4">
        <v>0.82</v>
      </c>
      <c r="F328" s="5">
        <v>2.7</v>
      </c>
      <c r="G328" s="6">
        <v>257</v>
      </c>
      <c r="H328" s="30">
        <v>2.2999999999999998</v>
      </c>
      <c r="I328" s="21">
        <f t="shared" si="20"/>
        <v>1308.6953999999998</v>
      </c>
      <c r="J328" s="7" t="s">
        <v>151</v>
      </c>
      <c r="K328" s="17">
        <f t="shared" si="18"/>
        <v>11</v>
      </c>
      <c r="Q328" s="46">
        <f t="shared" si="19"/>
        <v>49.206947039999989</v>
      </c>
    </row>
    <row r="329" spans="1:17" ht="13.95" customHeight="1" x14ac:dyDescent="0.3">
      <c r="A329" s="3">
        <v>45985</v>
      </c>
      <c r="B329" s="19" t="s">
        <v>523</v>
      </c>
      <c r="C329" s="19" t="s">
        <v>20</v>
      </c>
      <c r="D329" s="19" t="s">
        <v>9</v>
      </c>
      <c r="E329" s="4">
        <v>0.82</v>
      </c>
      <c r="F329" s="5">
        <v>1.88</v>
      </c>
      <c r="G329" s="6">
        <v>257</v>
      </c>
      <c r="H329" s="30">
        <v>2.2999999999999998</v>
      </c>
      <c r="I329" s="21">
        <f t="shared" si="20"/>
        <v>911.23975999999982</v>
      </c>
      <c r="J329" s="7" t="s">
        <v>286</v>
      </c>
      <c r="K329" s="17">
        <f t="shared" si="18"/>
        <v>11</v>
      </c>
      <c r="Q329" s="46">
        <f t="shared" si="19"/>
        <v>51.54983099999999</v>
      </c>
    </row>
    <row r="330" spans="1:17" ht="13.95" customHeight="1" x14ac:dyDescent="0.3">
      <c r="A330" s="3">
        <v>45986</v>
      </c>
      <c r="B330" s="19" t="s">
        <v>523</v>
      </c>
      <c r="C330" s="19" t="s">
        <v>5</v>
      </c>
      <c r="D330" s="19" t="s">
        <v>9</v>
      </c>
      <c r="E330" s="4">
        <v>0.85</v>
      </c>
      <c r="F330" s="5">
        <v>1.9</v>
      </c>
      <c r="G330" s="6">
        <v>257</v>
      </c>
      <c r="H330" s="30">
        <v>2.2999999999999998</v>
      </c>
      <c r="I330" s="21">
        <f t="shared" si="20"/>
        <v>954.62649999999985</v>
      </c>
      <c r="J330" s="7" t="s">
        <v>286</v>
      </c>
      <c r="K330" s="17">
        <f t="shared" si="18"/>
        <v>11</v>
      </c>
      <c r="Q330" s="46">
        <f t="shared" si="19"/>
        <v>49.206947039999989</v>
      </c>
    </row>
    <row r="331" spans="1:17" ht="13.95" customHeight="1" x14ac:dyDescent="0.3">
      <c r="A331" s="3">
        <v>45987</v>
      </c>
      <c r="B331" s="19" t="s">
        <v>523</v>
      </c>
      <c r="C331" s="19" t="s">
        <v>8</v>
      </c>
      <c r="D331" s="19" t="s">
        <v>9</v>
      </c>
      <c r="E331" s="4">
        <v>0.82</v>
      </c>
      <c r="F331" s="5">
        <v>1.88</v>
      </c>
      <c r="G331" s="6">
        <v>257</v>
      </c>
      <c r="H331" s="30">
        <v>2.2999999999999998</v>
      </c>
      <c r="I331" s="21">
        <f t="shared" si="20"/>
        <v>911.23975999999982</v>
      </c>
      <c r="J331" s="7" t="s">
        <v>286</v>
      </c>
      <c r="K331" s="17">
        <f t="shared" si="18"/>
        <v>11</v>
      </c>
      <c r="Q331" s="46">
        <f t="shared" si="19"/>
        <v>46.059694200000003</v>
      </c>
    </row>
    <row r="332" spans="1:17" ht="13.95" customHeight="1" x14ac:dyDescent="0.3">
      <c r="A332" s="3">
        <v>45988</v>
      </c>
      <c r="B332" s="19" t="s">
        <v>523</v>
      </c>
      <c r="C332" s="19" t="s">
        <v>11</v>
      </c>
      <c r="D332" s="19" t="s">
        <v>9</v>
      </c>
      <c r="E332" s="4">
        <v>0.78</v>
      </c>
      <c r="F332" s="5">
        <v>1.85</v>
      </c>
      <c r="G332" s="6">
        <v>257</v>
      </c>
      <c r="H332" s="30">
        <v>2.2999999999999998</v>
      </c>
      <c r="I332" s="21">
        <f t="shared" si="20"/>
        <v>852.95730000000003</v>
      </c>
      <c r="J332" s="7" t="s">
        <v>67</v>
      </c>
      <c r="K332" s="17">
        <f t="shared" si="18"/>
        <v>11</v>
      </c>
      <c r="Q332" s="46">
        <f t="shared" si="19"/>
        <v>43.569980999999999</v>
      </c>
    </row>
    <row r="333" spans="1:17" ht="13.95" customHeight="1" x14ac:dyDescent="0.3">
      <c r="A333" s="3">
        <v>45989</v>
      </c>
      <c r="B333" s="19" t="s">
        <v>523</v>
      </c>
      <c r="C333" s="19" t="s">
        <v>13</v>
      </c>
      <c r="D333" s="19" t="s">
        <v>14</v>
      </c>
      <c r="E333" s="4">
        <v>0.75</v>
      </c>
      <c r="F333" s="5">
        <v>1.82</v>
      </c>
      <c r="G333" s="6">
        <v>257</v>
      </c>
      <c r="H333" s="30">
        <v>2.2999999999999998</v>
      </c>
      <c r="I333" s="21">
        <f t="shared" si="20"/>
        <v>806.85149999999999</v>
      </c>
      <c r="J333" s="7" t="s">
        <v>504</v>
      </c>
      <c r="K333" s="17">
        <f t="shared" si="18"/>
        <v>11</v>
      </c>
      <c r="Q333" s="46">
        <f t="shared" si="19"/>
        <v>53.624591999999986</v>
      </c>
    </row>
    <row r="334" spans="1:17" ht="13.95" customHeight="1" x14ac:dyDescent="0.3">
      <c r="A334" s="3">
        <v>45990</v>
      </c>
      <c r="B334" s="19" t="s">
        <v>523</v>
      </c>
      <c r="C334" s="19" t="s">
        <v>16</v>
      </c>
      <c r="D334" s="19" t="s">
        <v>14</v>
      </c>
      <c r="E334" s="4">
        <v>0.7</v>
      </c>
      <c r="F334" s="5">
        <v>2.4</v>
      </c>
      <c r="G334" s="6">
        <v>257</v>
      </c>
      <c r="H334" s="30">
        <v>2.2999999999999998</v>
      </c>
      <c r="I334" s="21">
        <f t="shared" si="20"/>
        <v>993.04799999999977</v>
      </c>
      <c r="J334" s="7" t="s">
        <v>69</v>
      </c>
      <c r="K334" s="17">
        <f t="shared" si="18"/>
        <v>11</v>
      </c>
      <c r="Q334" s="46">
        <f t="shared" si="19"/>
        <v>74.611597500000002</v>
      </c>
    </row>
    <row r="335" spans="1:17" ht="13.95" customHeight="1" x14ac:dyDescent="0.3">
      <c r="A335" s="3">
        <v>45991</v>
      </c>
      <c r="B335" s="19" t="s">
        <v>523</v>
      </c>
      <c r="C335" s="19" t="s">
        <v>18</v>
      </c>
      <c r="D335" s="19" t="s">
        <v>9</v>
      </c>
      <c r="E335" s="4">
        <v>0.85</v>
      </c>
      <c r="F335" s="5">
        <v>2.75</v>
      </c>
      <c r="G335" s="6">
        <v>257</v>
      </c>
      <c r="H335" s="30">
        <v>2.2999999999999998</v>
      </c>
      <c r="I335" s="21">
        <f t="shared" si="20"/>
        <v>1381.69625</v>
      </c>
      <c r="J335" s="7" t="s">
        <v>505</v>
      </c>
      <c r="K335" s="17">
        <f t="shared" si="18"/>
        <v>11</v>
      </c>
      <c r="Q335" s="46">
        <f t="shared" si="19"/>
        <v>51.00720119999999</v>
      </c>
    </row>
    <row r="336" spans="1:17" ht="13.95" customHeight="1" x14ac:dyDescent="0.3">
      <c r="A336" s="3">
        <v>45992</v>
      </c>
      <c r="B336" s="19" t="s">
        <v>523</v>
      </c>
      <c r="C336" s="19" t="s">
        <v>20</v>
      </c>
      <c r="D336" s="19" t="s">
        <v>9</v>
      </c>
      <c r="E336" s="4">
        <v>0.85</v>
      </c>
      <c r="F336" s="5">
        <v>1.88</v>
      </c>
      <c r="G336" s="6">
        <v>257</v>
      </c>
      <c r="H336" s="30">
        <v>2.2999999999999998</v>
      </c>
      <c r="I336" s="21">
        <f t="shared" si="20"/>
        <v>944.5777999999998</v>
      </c>
      <c r="J336" s="7" t="s">
        <v>506</v>
      </c>
      <c r="K336" s="17">
        <f t="shared" si="18"/>
        <v>12</v>
      </c>
      <c r="Q336" s="46">
        <f t="shared" si="19"/>
        <v>56.018546999999998</v>
      </c>
    </row>
    <row r="337" spans="1:17" ht="13.95" customHeight="1" x14ac:dyDescent="0.3">
      <c r="A337" s="3">
        <v>45993</v>
      </c>
      <c r="B337" s="19" t="s">
        <v>523</v>
      </c>
      <c r="C337" s="19" t="s">
        <v>5</v>
      </c>
      <c r="D337" s="19" t="s">
        <v>9</v>
      </c>
      <c r="E337" s="4">
        <v>0.9</v>
      </c>
      <c r="F337" s="5">
        <v>1.95</v>
      </c>
      <c r="G337" s="6">
        <v>257</v>
      </c>
      <c r="H337" s="30">
        <v>2.2999999999999998</v>
      </c>
      <c r="I337" s="21">
        <f t="shared" si="20"/>
        <v>1037.3805</v>
      </c>
      <c r="J337" s="7" t="s">
        <v>428</v>
      </c>
      <c r="K337" s="17">
        <f t="shared" ref="K337:K366" si="21">MONTH(A337)</f>
        <v>12</v>
      </c>
      <c r="Q337" s="46">
        <f t="shared" si="19"/>
        <v>53.369236799999996</v>
      </c>
    </row>
    <row r="338" spans="1:17" ht="13.95" customHeight="1" x14ac:dyDescent="0.3">
      <c r="A338" s="3">
        <v>45994</v>
      </c>
      <c r="B338" s="19" t="s">
        <v>523</v>
      </c>
      <c r="C338" s="19" t="s">
        <v>8</v>
      </c>
      <c r="D338" s="19" t="s">
        <v>9</v>
      </c>
      <c r="E338" s="4">
        <v>0.88</v>
      </c>
      <c r="F338" s="5">
        <v>1.9</v>
      </c>
      <c r="G338" s="6">
        <v>257</v>
      </c>
      <c r="H338" s="30">
        <v>2.2999999999999998</v>
      </c>
      <c r="I338" s="21">
        <f t="shared" si="20"/>
        <v>988.31919999999991</v>
      </c>
      <c r="J338" s="7" t="s">
        <v>286</v>
      </c>
      <c r="K338" s="17">
        <f t="shared" si="21"/>
        <v>12</v>
      </c>
      <c r="Q338" s="46">
        <f t="shared" si="19"/>
        <v>51.00720119999999</v>
      </c>
    </row>
    <row r="339" spans="1:17" ht="13.95" customHeight="1" x14ac:dyDescent="0.3">
      <c r="A339" s="3">
        <v>45995</v>
      </c>
      <c r="B339" s="19" t="s">
        <v>523</v>
      </c>
      <c r="C339" s="19" t="s">
        <v>11</v>
      </c>
      <c r="D339" s="19" t="s">
        <v>9</v>
      </c>
      <c r="E339" s="4">
        <v>0.85</v>
      </c>
      <c r="F339" s="5">
        <v>1.88</v>
      </c>
      <c r="G339" s="6">
        <v>257</v>
      </c>
      <c r="H339" s="30">
        <v>2.2999999999999998</v>
      </c>
      <c r="I339" s="21">
        <f t="shared" si="20"/>
        <v>944.5777999999998</v>
      </c>
      <c r="J339" s="7" t="s">
        <v>485</v>
      </c>
      <c r="K339" s="17">
        <f t="shared" si="21"/>
        <v>12</v>
      </c>
      <c r="Q339" s="46">
        <f t="shared" si="19"/>
        <v>46.059694200000003</v>
      </c>
    </row>
    <row r="340" spans="1:17" ht="13.95" customHeight="1" x14ac:dyDescent="0.3">
      <c r="A340" s="3">
        <v>45996</v>
      </c>
      <c r="B340" s="19" t="s">
        <v>523</v>
      </c>
      <c r="C340" s="19" t="s">
        <v>13</v>
      </c>
      <c r="D340" s="19" t="s">
        <v>14</v>
      </c>
      <c r="E340" s="4">
        <v>0.78</v>
      </c>
      <c r="F340" s="5">
        <v>1.85</v>
      </c>
      <c r="G340" s="6">
        <v>257</v>
      </c>
      <c r="H340" s="30">
        <v>2.2999999999999998</v>
      </c>
      <c r="I340" s="21">
        <f t="shared" si="20"/>
        <v>852.95730000000003</v>
      </c>
      <c r="J340" s="7" t="s">
        <v>503</v>
      </c>
      <c r="K340" s="17">
        <f t="shared" si="21"/>
        <v>12</v>
      </c>
      <c r="Q340" s="46">
        <f t="shared" si="19"/>
        <v>56.305821599999994</v>
      </c>
    </row>
    <row r="341" spans="1:17" ht="13.95" customHeight="1" x14ac:dyDescent="0.3">
      <c r="A341" s="3">
        <v>45997</v>
      </c>
      <c r="B341" s="19" t="s">
        <v>523</v>
      </c>
      <c r="C341" s="19" t="s">
        <v>16</v>
      </c>
      <c r="D341" s="19" t="s">
        <v>14</v>
      </c>
      <c r="E341" s="4">
        <v>0.72</v>
      </c>
      <c r="F341" s="5">
        <v>2.4500000000000002</v>
      </c>
      <c r="G341" s="6">
        <v>257</v>
      </c>
      <c r="H341" s="30">
        <v>2.2999999999999998</v>
      </c>
      <c r="I341" s="21">
        <f t="shared" si="20"/>
        <v>1042.7003999999999</v>
      </c>
      <c r="J341" s="7" t="s">
        <v>238</v>
      </c>
      <c r="K341" s="17">
        <f t="shared" si="21"/>
        <v>12</v>
      </c>
      <c r="Q341" s="46">
        <f t="shared" si="19"/>
        <v>78.64940159999999</v>
      </c>
    </row>
    <row r="342" spans="1:17" ht="13.95" customHeight="1" x14ac:dyDescent="0.3">
      <c r="A342" s="3">
        <v>45998</v>
      </c>
      <c r="B342" s="19" t="s">
        <v>523</v>
      </c>
      <c r="C342" s="19" t="s">
        <v>18</v>
      </c>
      <c r="D342" s="19" t="s">
        <v>9</v>
      </c>
      <c r="E342" s="4">
        <v>0.88</v>
      </c>
      <c r="F342" s="5">
        <v>2.8</v>
      </c>
      <c r="G342" s="6">
        <v>257</v>
      </c>
      <c r="H342" s="30">
        <v>2.2999999999999998</v>
      </c>
      <c r="I342" s="21">
        <f t="shared" si="20"/>
        <v>1456.4703999999999</v>
      </c>
      <c r="J342" s="7" t="s">
        <v>65</v>
      </c>
      <c r="K342" s="17">
        <f t="shared" si="21"/>
        <v>12</v>
      </c>
      <c r="Q342" s="46">
        <f t="shared" si="19"/>
        <v>52.156299599999997</v>
      </c>
    </row>
    <row r="343" spans="1:17" ht="13.95" customHeight="1" x14ac:dyDescent="0.3">
      <c r="A343" s="3">
        <v>45999</v>
      </c>
      <c r="B343" s="19" t="s">
        <v>523</v>
      </c>
      <c r="C343" s="19" t="s">
        <v>20</v>
      </c>
      <c r="D343" s="19" t="s">
        <v>9</v>
      </c>
      <c r="E343" s="4">
        <v>0.86</v>
      </c>
      <c r="F343" s="5">
        <v>1.9</v>
      </c>
      <c r="G343" s="6">
        <v>257</v>
      </c>
      <c r="H343" s="30">
        <v>2.2999999999999998</v>
      </c>
      <c r="I343" s="21">
        <f t="shared" si="20"/>
        <v>965.85739999999998</v>
      </c>
      <c r="J343" s="7" t="s">
        <v>65</v>
      </c>
      <c r="K343" s="17">
        <f t="shared" si="21"/>
        <v>12</v>
      </c>
      <c r="Q343" s="46">
        <f t="shared" si="19"/>
        <v>57.263403599999982</v>
      </c>
    </row>
    <row r="344" spans="1:17" ht="13.95" customHeight="1" x14ac:dyDescent="0.3">
      <c r="A344" s="3">
        <v>46000</v>
      </c>
      <c r="B344" s="19" t="s">
        <v>523</v>
      </c>
      <c r="C344" s="19" t="s">
        <v>5</v>
      </c>
      <c r="D344" s="19" t="s">
        <v>9</v>
      </c>
      <c r="E344" s="4">
        <v>0.92</v>
      </c>
      <c r="F344" s="5">
        <v>1.95</v>
      </c>
      <c r="G344" s="6">
        <v>257</v>
      </c>
      <c r="H344" s="30">
        <v>2.2999999999999998</v>
      </c>
      <c r="I344" s="21">
        <f t="shared" si="20"/>
        <v>1060.4333999999997</v>
      </c>
      <c r="J344" s="7" t="s">
        <v>507</v>
      </c>
      <c r="K344" s="17">
        <f t="shared" si="21"/>
        <v>12</v>
      </c>
      <c r="Q344" s="46">
        <f t="shared" si="19"/>
        <v>54.582173999999995</v>
      </c>
    </row>
    <row r="345" spans="1:17" ht="13.95" customHeight="1" x14ac:dyDescent="0.3">
      <c r="A345" s="3">
        <v>46001</v>
      </c>
      <c r="B345" s="19" t="s">
        <v>523</v>
      </c>
      <c r="C345" s="19" t="s">
        <v>8</v>
      </c>
      <c r="D345" s="19" t="s">
        <v>9</v>
      </c>
      <c r="E345" s="4">
        <v>0.9</v>
      </c>
      <c r="F345" s="5">
        <v>1.9</v>
      </c>
      <c r="G345" s="6">
        <v>257</v>
      </c>
      <c r="H345" s="30">
        <v>2.2999999999999998</v>
      </c>
      <c r="I345" s="21">
        <f t="shared" si="20"/>
        <v>1010.7809999999999</v>
      </c>
      <c r="J345" s="7" t="s">
        <v>286</v>
      </c>
      <c r="K345" s="17">
        <f t="shared" si="21"/>
        <v>12</v>
      </c>
      <c r="Q345" s="46">
        <f t="shared" si="19"/>
        <v>51.00720119999999</v>
      </c>
    </row>
    <row r="346" spans="1:17" ht="13.95" customHeight="1" x14ac:dyDescent="0.3">
      <c r="A346" s="3">
        <v>46002</v>
      </c>
      <c r="B346" s="19" t="s">
        <v>523</v>
      </c>
      <c r="C346" s="19" t="s">
        <v>11</v>
      </c>
      <c r="D346" s="19" t="s">
        <v>9</v>
      </c>
      <c r="E346" s="4">
        <v>0.85</v>
      </c>
      <c r="F346" s="5">
        <v>1.88</v>
      </c>
      <c r="G346" s="6">
        <v>257</v>
      </c>
      <c r="H346" s="30">
        <v>2.2999999999999998</v>
      </c>
      <c r="I346" s="21">
        <f t="shared" si="20"/>
        <v>944.5777999999998</v>
      </c>
      <c r="J346" s="7" t="s">
        <v>67</v>
      </c>
      <c r="K346" s="17">
        <f t="shared" si="21"/>
        <v>12</v>
      </c>
      <c r="Q346" s="46">
        <f t="shared" si="19"/>
        <v>47.240712000000002</v>
      </c>
    </row>
    <row r="347" spans="1:17" ht="13.95" customHeight="1" x14ac:dyDescent="0.3">
      <c r="A347" s="3">
        <v>46003</v>
      </c>
      <c r="B347" s="19" t="s">
        <v>523</v>
      </c>
      <c r="C347" s="19" t="s">
        <v>13</v>
      </c>
      <c r="D347" s="19" t="s">
        <v>14</v>
      </c>
      <c r="E347" s="4">
        <v>0.8</v>
      </c>
      <c r="F347" s="5">
        <v>1.85</v>
      </c>
      <c r="G347" s="6">
        <v>257</v>
      </c>
      <c r="H347" s="30">
        <v>2.2999999999999998</v>
      </c>
      <c r="I347" s="21">
        <f t="shared" si="20"/>
        <v>874.82800000000009</v>
      </c>
      <c r="J347" s="7" t="s">
        <v>508</v>
      </c>
      <c r="K347" s="17">
        <f t="shared" si="21"/>
        <v>12</v>
      </c>
      <c r="Q347" s="46">
        <f t="shared" si="19"/>
        <v>59.848875</v>
      </c>
    </row>
    <row r="348" spans="1:17" ht="13.95" customHeight="1" x14ac:dyDescent="0.3">
      <c r="A348" s="3">
        <v>46004</v>
      </c>
      <c r="B348" s="19" t="s">
        <v>523</v>
      </c>
      <c r="C348" s="19" t="s">
        <v>16</v>
      </c>
      <c r="D348" s="19" t="s">
        <v>14</v>
      </c>
      <c r="E348" s="4">
        <v>0.75</v>
      </c>
      <c r="F348" s="5">
        <v>2.5</v>
      </c>
      <c r="G348" s="6">
        <v>257</v>
      </c>
      <c r="H348" s="30">
        <v>2.2999999999999998</v>
      </c>
      <c r="I348" s="21">
        <f t="shared" si="20"/>
        <v>1108.3125</v>
      </c>
      <c r="J348" s="7" t="s">
        <v>69</v>
      </c>
      <c r="K348" s="17">
        <f t="shared" si="21"/>
        <v>12</v>
      </c>
      <c r="Q348" s="46">
        <f t="shared" si="19"/>
        <v>74.611597500000002</v>
      </c>
    </row>
    <row r="349" spans="1:17" ht="13.95" customHeight="1" x14ac:dyDescent="0.3">
      <c r="A349" s="3">
        <v>46005</v>
      </c>
      <c r="B349" s="19" t="s">
        <v>523</v>
      </c>
      <c r="C349" s="19" t="s">
        <v>18</v>
      </c>
      <c r="D349" s="19" t="s">
        <v>9</v>
      </c>
      <c r="E349" s="4">
        <v>0.85</v>
      </c>
      <c r="F349" s="5">
        <v>2.75</v>
      </c>
      <c r="G349" s="6">
        <v>257</v>
      </c>
      <c r="H349" s="30">
        <v>2.2999999999999998</v>
      </c>
      <c r="I349" s="21">
        <f t="shared" si="20"/>
        <v>1381.69625</v>
      </c>
      <c r="J349" s="7" t="s">
        <v>509</v>
      </c>
      <c r="K349" s="17">
        <f t="shared" si="21"/>
        <v>12</v>
      </c>
      <c r="Q349" s="46">
        <f t="shared" si="19"/>
        <v>49.206947039999989</v>
      </c>
    </row>
    <row r="350" spans="1:17" ht="13.95" customHeight="1" x14ac:dyDescent="0.3">
      <c r="A350" s="3">
        <v>46006</v>
      </c>
      <c r="B350" s="19" t="s">
        <v>523</v>
      </c>
      <c r="C350" s="19" t="s">
        <v>20</v>
      </c>
      <c r="D350" s="19" t="s">
        <v>9</v>
      </c>
      <c r="E350" s="4">
        <v>0.82</v>
      </c>
      <c r="F350" s="5">
        <v>1.88</v>
      </c>
      <c r="G350" s="6">
        <v>257</v>
      </c>
      <c r="H350" s="30">
        <v>2.2999999999999998</v>
      </c>
      <c r="I350" s="21">
        <f t="shared" si="20"/>
        <v>911.23975999999982</v>
      </c>
      <c r="J350" s="7" t="s">
        <v>510</v>
      </c>
      <c r="K350" s="17">
        <f t="shared" si="21"/>
        <v>12</v>
      </c>
      <c r="Q350" s="46">
        <f t="shared" si="19"/>
        <v>48.006777599999992</v>
      </c>
    </row>
    <row r="351" spans="1:17" ht="13.95" customHeight="1" x14ac:dyDescent="0.3">
      <c r="A351" s="3">
        <v>46007</v>
      </c>
      <c r="B351" s="19" t="s">
        <v>523</v>
      </c>
      <c r="C351" s="19" t="s">
        <v>5</v>
      </c>
      <c r="D351" s="19" t="s">
        <v>9</v>
      </c>
      <c r="E351" s="4">
        <v>0.8</v>
      </c>
      <c r="F351" s="5">
        <v>1.88</v>
      </c>
      <c r="G351" s="6">
        <v>257</v>
      </c>
      <c r="H351" s="30">
        <v>2.2999999999999998</v>
      </c>
      <c r="I351" s="21">
        <f t="shared" si="20"/>
        <v>889.01439999999991</v>
      </c>
      <c r="J351" s="7" t="s">
        <v>510</v>
      </c>
      <c r="K351" s="17">
        <f t="shared" si="21"/>
        <v>12</v>
      </c>
      <c r="Q351" s="46">
        <f t="shared" si="19"/>
        <v>44.2881675</v>
      </c>
    </row>
    <row r="352" spans="1:17" ht="13.95" customHeight="1" x14ac:dyDescent="0.3">
      <c r="A352" s="3">
        <v>46008</v>
      </c>
      <c r="B352" s="19" t="s">
        <v>523</v>
      </c>
      <c r="C352" s="19" t="s">
        <v>8</v>
      </c>
      <c r="D352" s="19" t="s">
        <v>9</v>
      </c>
      <c r="E352" s="4">
        <v>0.75</v>
      </c>
      <c r="F352" s="5">
        <v>1.85</v>
      </c>
      <c r="G352" s="6">
        <v>257</v>
      </c>
      <c r="H352" s="30">
        <v>2.2999999999999998</v>
      </c>
      <c r="I352" s="21">
        <f t="shared" si="20"/>
        <v>820.15125</v>
      </c>
      <c r="J352" s="7" t="s">
        <v>70</v>
      </c>
      <c r="K352" s="17">
        <f t="shared" si="21"/>
        <v>12</v>
      </c>
      <c r="Q352" s="46">
        <f t="shared" si="19"/>
        <v>41.827181759999995</v>
      </c>
    </row>
    <row r="353" spans="1:17" ht="13.95" customHeight="1" x14ac:dyDescent="0.3">
      <c r="A353" s="3">
        <v>46009</v>
      </c>
      <c r="B353" s="19" t="s">
        <v>523</v>
      </c>
      <c r="C353" s="19" t="s">
        <v>11</v>
      </c>
      <c r="D353" s="19" t="s">
        <v>9</v>
      </c>
      <c r="E353" s="4">
        <v>0.72</v>
      </c>
      <c r="F353" s="5">
        <v>1.82</v>
      </c>
      <c r="G353" s="6">
        <v>257</v>
      </c>
      <c r="H353" s="30">
        <v>2.2999999999999998</v>
      </c>
      <c r="I353" s="21">
        <f t="shared" si="20"/>
        <v>774.57743999999991</v>
      </c>
      <c r="J353" s="7" t="s">
        <v>295</v>
      </c>
      <c r="K353" s="17">
        <f t="shared" si="21"/>
        <v>12</v>
      </c>
      <c r="Q353" s="46">
        <f t="shared" si="19"/>
        <v>42.452801999999991</v>
      </c>
    </row>
    <row r="354" spans="1:17" ht="13.95" customHeight="1" x14ac:dyDescent="0.3">
      <c r="A354" s="3">
        <v>46010</v>
      </c>
      <c r="B354" s="19" t="s">
        <v>523</v>
      </c>
      <c r="C354" s="19" t="s">
        <v>13</v>
      </c>
      <c r="D354" s="19" t="s">
        <v>14</v>
      </c>
      <c r="E354" s="4">
        <v>0.7</v>
      </c>
      <c r="F354" s="5">
        <v>1.9</v>
      </c>
      <c r="G354" s="6">
        <v>257</v>
      </c>
      <c r="H354" s="30">
        <v>2.2999999999999998</v>
      </c>
      <c r="I354" s="21">
        <f t="shared" si="20"/>
        <v>786.16299999999978</v>
      </c>
      <c r="J354" s="7" t="s">
        <v>511</v>
      </c>
      <c r="K354" s="17">
        <f t="shared" si="21"/>
        <v>12</v>
      </c>
      <c r="Q354" s="46">
        <f t="shared" si="19"/>
        <v>53.177720400000005</v>
      </c>
    </row>
    <row r="355" spans="1:17" ht="13.95" customHeight="1" x14ac:dyDescent="0.3">
      <c r="A355" s="3">
        <v>46011</v>
      </c>
      <c r="B355" s="19" t="s">
        <v>523</v>
      </c>
      <c r="C355" s="19" t="s">
        <v>16</v>
      </c>
      <c r="D355" s="19" t="s">
        <v>14</v>
      </c>
      <c r="E355" s="4">
        <v>0.68</v>
      </c>
      <c r="F355" s="5">
        <v>2.4500000000000002</v>
      </c>
      <c r="G355" s="6">
        <v>257</v>
      </c>
      <c r="H355" s="30">
        <v>2.2999999999999998</v>
      </c>
      <c r="I355" s="21">
        <f t="shared" si="20"/>
        <v>984.77260000000012</v>
      </c>
      <c r="J355" s="7" t="s">
        <v>512</v>
      </c>
      <c r="K355" s="17">
        <f t="shared" si="21"/>
        <v>12</v>
      </c>
      <c r="Q355" s="46">
        <f t="shared" si="19"/>
        <v>68.467112999999998</v>
      </c>
    </row>
    <row r="356" spans="1:17" ht="13.95" customHeight="1" x14ac:dyDescent="0.3">
      <c r="A356" s="3">
        <v>46012</v>
      </c>
      <c r="B356" s="19" t="s">
        <v>523</v>
      </c>
      <c r="C356" s="19" t="s">
        <v>18</v>
      </c>
      <c r="D356" s="19" t="s">
        <v>9</v>
      </c>
      <c r="E356" s="4">
        <v>0.78</v>
      </c>
      <c r="F356" s="5">
        <v>2.75</v>
      </c>
      <c r="G356" s="6">
        <v>257</v>
      </c>
      <c r="H356" s="30">
        <v>2.2999999999999998</v>
      </c>
      <c r="I356" s="21">
        <f t="shared" si="20"/>
        <v>1267.9095</v>
      </c>
      <c r="J356" s="7" t="s">
        <v>513</v>
      </c>
      <c r="K356" s="17">
        <f t="shared" si="21"/>
        <v>12</v>
      </c>
      <c r="Q356" s="46">
        <f t="shared" si="19"/>
        <v>35.430534000000002</v>
      </c>
    </row>
    <row r="357" spans="1:17" ht="13.95" customHeight="1" x14ac:dyDescent="0.3">
      <c r="A357" s="3">
        <v>46013</v>
      </c>
      <c r="B357" s="19" t="s">
        <v>523</v>
      </c>
      <c r="C357" s="19" t="s">
        <v>20</v>
      </c>
      <c r="D357" s="19" t="s">
        <v>9</v>
      </c>
      <c r="E357" s="4">
        <v>0.6</v>
      </c>
      <c r="F357" s="5">
        <v>1.85</v>
      </c>
      <c r="G357" s="6">
        <v>257</v>
      </c>
      <c r="H357" s="30">
        <v>2.2999999999999998</v>
      </c>
      <c r="I357" s="21">
        <f t="shared" si="20"/>
        <v>656.12099999999998</v>
      </c>
      <c r="J357" s="7" t="s">
        <v>461</v>
      </c>
      <c r="K357" s="17">
        <f t="shared" si="21"/>
        <v>12</v>
      </c>
      <c r="Q357" s="46">
        <f t="shared" si="19"/>
        <v>36.611551799999994</v>
      </c>
    </row>
    <row r="358" spans="1:17" ht="13.95" customHeight="1" x14ac:dyDescent="0.3">
      <c r="A358" s="3">
        <v>46014</v>
      </c>
      <c r="B358" s="19" t="s">
        <v>523</v>
      </c>
      <c r="C358" s="19" t="s">
        <v>5</v>
      </c>
      <c r="D358" s="19" t="s">
        <v>9</v>
      </c>
      <c r="E358" s="4">
        <v>0.62</v>
      </c>
      <c r="F358" s="5">
        <v>1.85</v>
      </c>
      <c r="G358" s="6">
        <v>257</v>
      </c>
      <c r="H358" s="30">
        <v>2.2999999999999998</v>
      </c>
      <c r="I358" s="21">
        <f t="shared" si="20"/>
        <v>677.99169999999992</v>
      </c>
      <c r="J358" s="7" t="s">
        <v>514</v>
      </c>
      <c r="K358" s="17">
        <f t="shared" si="21"/>
        <v>12</v>
      </c>
      <c r="Q358" s="46">
        <f t="shared" si="19"/>
        <v>63.439807500000001</v>
      </c>
    </row>
    <row r="359" spans="1:17" ht="13.95" customHeight="1" x14ac:dyDescent="0.3">
      <c r="A359" s="3">
        <v>46015</v>
      </c>
      <c r="B359" s="19" t="s">
        <v>523</v>
      </c>
      <c r="C359" s="19" t="s">
        <v>8</v>
      </c>
      <c r="D359" s="19" t="s">
        <v>9</v>
      </c>
      <c r="E359" s="4">
        <v>0.75</v>
      </c>
      <c r="F359" s="5">
        <v>2.65</v>
      </c>
      <c r="G359" s="6">
        <v>257</v>
      </c>
      <c r="H359" s="30">
        <v>2.2999999999999998</v>
      </c>
      <c r="I359" s="21">
        <f t="shared" si="20"/>
        <v>1174.81125</v>
      </c>
      <c r="J359" s="7" t="s">
        <v>515</v>
      </c>
      <c r="K359" s="17">
        <f t="shared" si="21"/>
        <v>12</v>
      </c>
      <c r="Q359" s="46">
        <f t="shared" si="19"/>
        <v>56.976128999999986</v>
      </c>
    </row>
    <row r="360" spans="1:17" ht="13.95" customHeight="1" x14ac:dyDescent="0.3">
      <c r="A360" s="3">
        <v>46016</v>
      </c>
      <c r="B360" s="19" t="s">
        <v>523</v>
      </c>
      <c r="C360" s="19" t="s">
        <v>11</v>
      </c>
      <c r="D360" s="19" t="s">
        <v>516</v>
      </c>
      <c r="E360" s="4">
        <v>0.7</v>
      </c>
      <c r="F360" s="5">
        <v>2.5499999999999998</v>
      </c>
      <c r="G360" s="6">
        <v>257</v>
      </c>
      <c r="H360" s="30">
        <v>2.2999999999999998</v>
      </c>
      <c r="I360" s="21">
        <f t="shared" si="20"/>
        <v>1055.1134999999997</v>
      </c>
      <c r="J360" s="7" t="s">
        <v>517</v>
      </c>
      <c r="K360" s="17">
        <f t="shared" si="21"/>
        <v>12</v>
      </c>
      <c r="Q360" s="46">
        <f t="shared" si="19"/>
        <v>43.66573919999999</v>
      </c>
    </row>
    <row r="361" spans="1:17" ht="13.95" customHeight="1" x14ac:dyDescent="0.3">
      <c r="A361" s="3">
        <v>46017</v>
      </c>
      <c r="B361" s="19" t="s">
        <v>523</v>
      </c>
      <c r="C361" s="19" t="s">
        <v>13</v>
      </c>
      <c r="D361" s="19" t="s">
        <v>14</v>
      </c>
      <c r="E361" s="4">
        <v>0.72</v>
      </c>
      <c r="F361" s="5">
        <v>1.9</v>
      </c>
      <c r="G361" s="6">
        <v>257</v>
      </c>
      <c r="H361" s="30">
        <v>2.2999999999999998</v>
      </c>
      <c r="I361" s="21">
        <f t="shared" si="20"/>
        <v>808.62479999999982</v>
      </c>
      <c r="J361" s="7" t="s">
        <v>518</v>
      </c>
      <c r="K361" s="17">
        <f t="shared" si="21"/>
        <v>12</v>
      </c>
      <c r="Q361" s="46">
        <f t="shared" si="19"/>
        <v>66.392352000000002</v>
      </c>
    </row>
    <row r="362" spans="1:17" ht="13.95" customHeight="1" x14ac:dyDescent="0.3">
      <c r="A362" s="3">
        <v>46018</v>
      </c>
      <c r="B362" s="19" t="s">
        <v>523</v>
      </c>
      <c r="C362" s="19" t="s">
        <v>16</v>
      </c>
      <c r="D362" s="19" t="s">
        <v>14</v>
      </c>
      <c r="E362" s="4">
        <v>0.8</v>
      </c>
      <c r="F362" s="5">
        <v>2.6</v>
      </c>
      <c r="G362" s="6">
        <v>257</v>
      </c>
      <c r="H362" s="30">
        <v>2.2999999999999998</v>
      </c>
      <c r="I362" s="21">
        <f t="shared" si="20"/>
        <v>1229.4880000000001</v>
      </c>
      <c r="J362" s="7" t="s">
        <v>69</v>
      </c>
      <c r="K362" s="17">
        <f t="shared" si="21"/>
        <v>12</v>
      </c>
      <c r="Q362" s="46">
        <f t="shared" si="19"/>
        <v>86.629251599999989</v>
      </c>
    </row>
    <row r="363" spans="1:17" ht="13.95" customHeight="1" x14ac:dyDescent="0.3">
      <c r="A363" s="3">
        <v>46019</v>
      </c>
      <c r="B363" s="19" t="s">
        <v>523</v>
      </c>
      <c r="C363" s="19" t="s">
        <v>18</v>
      </c>
      <c r="D363" s="19" t="s">
        <v>9</v>
      </c>
      <c r="E363" s="4">
        <v>0.92</v>
      </c>
      <c r="F363" s="5">
        <v>2.95</v>
      </c>
      <c r="G363" s="6">
        <v>257</v>
      </c>
      <c r="H363" s="30">
        <v>2.2999999999999998</v>
      </c>
      <c r="I363" s="21">
        <f t="shared" si="20"/>
        <v>1604.2453999999998</v>
      </c>
      <c r="J363" s="7" t="s">
        <v>519</v>
      </c>
      <c r="K363" s="17">
        <f t="shared" si="21"/>
        <v>12</v>
      </c>
      <c r="Q363" s="46">
        <f t="shared" si="19"/>
        <v>46.682122499999998</v>
      </c>
    </row>
    <row r="364" spans="1:17" ht="13.95" customHeight="1" x14ac:dyDescent="0.3">
      <c r="A364" s="3">
        <v>46020</v>
      </c>
      <c r="B364" s="19" t="s">
        <v>523</v>
      </c>
      <c r="C364" s="19" t="s">
        <v>20</v>
      </c>
      <c r="D364" s="19" t="s">
        <v>9</v>
      </c>
      <c r="E364" s="4">
        <v>0.75</v>
      </c>
      <c r="F364" s="5">
        <v>1.95</v>
      </c>
      <c r="G364" s="6">
        <v>257</v>
      </c>
      <c r="H364" s="30">
        <v>2.2999999999999998</v>
      </c>
      <c r="I364" s="21">
        <f t="shared" si="20"/>
        <v>864.48374999999999</v>
      </c>
      <c r="J364" s="7" t="s">
        <v>519</v>
      </c>
      <c r="K364" s="17">
        <f t="shared" si="21"/>
        <v>12</v>
      </c>
      <c r="Q364" s="46">
        <f t="shared" si="19"/>
        <v>54.965206799999997</v>
      </c>
    </row>
    <row r="365" spans="1:17" ht="13.95" customHeight="1" x14ac:dyDescent="0.3">
      <c r="A365" s="3">
        <v>46021</v>
      </c>
      <c r="B365" s="19" t="s">
        <v>523</v>
      </c>
      <c r="C365" s="19" t="s">
        <v>5</v>
      </c>
      <c r="D365" s="19" t="s">
        <v>9</v>
      </c>
      <c r="E365" s="4">
        <v>0.82</v>
      </c>
      <c r="F365" s="5">
        <v>2.1</v>
      </c>
      <c r="G365" s="6">
        <v>257</v>
      </c>
      <c r="H365" s="30">
        <v>2.2999999999999998</v>
      </c>
      <c r="I365" s="21">
        <f t="shared" si="20"/>
        <v>1017.8742</v>
      </c>
      <c r="J365" s="7" t="s">
        <v>520</v>
      </c>
      <c r="K365" s="17">
        <f t="shared" si="21"/>
        <v>12</v>
      </c>
      <c r="Q365" s="46">
        <f t="shared" si="19"/>
        <v>101.66328899999998</v>
      </c>
    </row>
    <row r="366" spans="1:17" ht="13.95" customHeight="1" x14ac:dyDescent="0.3">
      <c r="A366" s="3">
        <v>46022</v>
      </c>
      <c r="B366" s="19" t="s">
        <v>523</v>
      </c>
      <c r="C366" s="19" t="s">
        <v>8</v>
      </c>
      <c r="D366" s="19" t="s">
        <v>521</v>
      </c>
      <c r="E366" s="4">
        <v>0.98</v>
      </c>
      <c r="F366" s="5">
        <v>3.25</v>
      </c>
      <c r="G366" s="6">
        <v>257</v>
      </c>
      <c r="H366" s="30">
        <v>2.2999999999999998</v>
      </c>
      <c r="I366" s="21">
        <f t="shared" si="20"/>
        <v>1882.6534999999997</v>
      </c>
      <c r="J366" s="7" t="s">
        <v>522</v>
      </c>
      <c r="K366" s="17">
        <f t="shared" si="21"/>
        <v>12</v>
      </c>
      <c r="Q366" s="46">
        <f t="shared" si="19"/>
        <v>0</v>
      </c>
    </row>
    <row r="367" spans="1:17" x14ac:dyDescent="0.3">
      <c r="K367" s="17"/>
    </row>
  </sheetData>
  <mergeCells count="1">
    <mergeCell ref="L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1161F-C89D-48C7-9A06-9A4AA9A05D8A}">
  <dimension ref="A1:AB367"/>
  <sheetViews>
    <sheetView topLeftCell="J1" workbookViewId="0">
      <selection activeCell="K1" sqref="K1:P1048576"/>
    </sheetView>
  </sheetViews>
  <sheetFormatPr baseColWidth="10" defaultRowHeight="14.4" x14ac:dyDescent="0.3"/>
  <cols>
    <col min="1" max="1" width="14.6640625" customWidth="1"/>
    <col min="2" max="2" width="20.109375" style="17" customWidth="1"/>
    <col min="4" max="4" width="19.44140625" customWidth="1"/>
    <col min="10" max="10" width="44" style="31" customWidth="1"/>
    <col min="16" max="16" width="27.33203125" customWidth="1"/>
  </cols>
  <sheetData>
    <row r="1" spans="1:28" ht="33" customHeight="1" thickBot="1" x14ac:dyDescent="0.35">
      <c r="A1" s="1" t="s">
        <v>333</v>
      </c>
      <c r="B1" s="24" t="s">
        <v>670</v>
      </c>
      <c r="C1" s="1" t="s">
        <v>0</v>
      </c>
      <c r="D1" s="1" t="s">
        <v>1</v>
      </c>
      <c r="E1" s="1" t="s">
        <v>2</v>
      </c>
      <c r="F1" s="2" t="s">
        <v>3</v>
      </c>
      <c r="G1" s="23" t="s">
        <v>359</v>
      </c>
      <c r="H1" s="23" t="s">
        <v>360</v>
      </c>
      <c r="I1" s="23" t="s">
        <v>361</v>
      </c>
      <c r="J1" s="29" t="s">
        <v>4</v>
      </c>
      <c r="L1" s="61" t="s">
        <v>309</v>
      </c>
      <c r="M1" s="61"/>
      <c r="N1" s="61"/>
      <c r="Q1" s="18" t="s">
        <v>328</v>
      </c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</row>
    <row r="2" spans="1:28" ht="12.6" customHeight="1" thickTop="1" thickBot="1" x14ac:dyDescent="0.35">
      <c r="A2" s="3">
        <v>45658</v>
      </c>
      <c r="B2" s="3" t="s">
        <v>671</v>
      </c>
      <c r="C2" s="3" t="s">
        <v>8</v>
      </c>
      <c r="D2" s="3" t="s">
        <v>532</v>
      </c>
      <c r="E2" s="4">
        <v>0.85</v>
      </c>
      <c r="F2" s="5">
        <v>2.85</v>
      </c>
      <c r="G2" s="6">
        <v>284</v>
      </c>
      <c r="H2" s="6">
        <v>2.2999999999999998</v>
      </c>
      <c r="I2" s="21">
        <f>(G2*E2)*H2*F2</f>
        <v>1582.3769999999997</v>
      </c>
      <c r="J2" s="7" t="s">
        <v>535</v>
      </c>
      <c r="K2" s="17">
        <f t="shared" ref="K2:K16" si="0">MONTH(A2)</f>
        <v>1</v>
      </c>
      <c r="L2" s="10"/>
      <c r="M2" s="11"/>
      <c r="N2" s="12"/>
      <c r="O2">
        <v>1</v>
      </c>
      <c r="P2" t="s">
        <v>313</v>
      </c>
    </row>
    <row r="3" spans="1:28" ht="13.95" customHeight="1" thickTop="1" thickBot="1" x14ac:dyDescent="0.35">
      <c r="A3" s="3">
        <v>45659</v>
      </c>
      <c r="B3" s="3" t="s">
        <v>671</v>
      </c>
      <c r="C3" s="3" t="s">
        <v>11</v>
      </c>
      <c r="D3" s="3" t="s">
        <v>136</v>
      </c>
      <c r="E3" s="4">
        <v>0.55000000000000004</v>
      </c>
      <c r="F3" s="5">
        <v>1.9</v>
      </c>
      <c r="G3" s="6">
        <v>284</v>
      </c>
      <c r="H3" s="6">
        <v>2.2999999999999998</v>
      </c>
      <c r="I3" s="21">
        <f t="shared" ref="I3:I39" si="1">(G3*E3)*H3*F3</f>
        <v>682.59399999999994</v>
      </c>
      <c r="J3" s="7" t="s">
        <v>536</v>
      </c>
      <c r="K3" s="17">
        <f t="shared" si="0"/>
        <v>1</v>
      </c>
      <c r="L3" s="13" t="s">
        <v>313</v>
      </c>
      <c r="M3" s="14">
        <f>SUMIFS(I:I,K:K,O2)</f>
        <v>29257.415879999997</v>
      </c>
      <c r="N3" s="15">
        <f>M3*0.054</f>
        <v>1579.9004575199999</v>
      </c>
      <c r="O3">
        <v>2</v>
      </c>
      <c r="P3" t="s">
        <v>314</v>
      </c>
      <c r="Q3" t="s">
        <v>329</v>
      </c>
    </row>
    <row r="4" spans="1:28" ht="13.95" customHeight="1" thickTop="1" thickBot="1" x14ac:dyDescent="0.35">
      <c r="A4" s="3">
        <v>45660</v>
      </c>
      <c r="B4" s="3" t="s">
        <v>671</v>
      </c>
      <c r="C4" s="3" t="s">
        <v>13</v>
      </c>
      <c r="D4" s="3" t="s">
        <v>14</v>
      </c>
      <c r="E4" s="4">
        <v>0.6</v>
      </c>
      <c r="F4" s="5">
        <v>2.4500000000000002</v>
      </c>
      <c r="G4" s="6">
        <v>284</v>
      </c>
      <c r="H4" s="6">
        <v>2.2999999999999998</v>
      </c>
      <c r="I4" s="21">
        <f t="shared" si="1"/>
        <v>960.20399999999995</v>
      </c>
      <c r="J4" s="7" t="s">
        <v>390</v>
      </c>
      <c r="K4" s="17">
        <f t="shared" si="0"/>
        <v>1</v>
      </c>
      <c r="L4" s="13" t="s">
        <v>314</v>
      </c>
      <c r="M4" s="14">
        <f t="shared" ref="M4:M14" si="2">SUMIFS(I:I,K:K,O3)</f>
        <v>26958.674439999999</v>
      </c>
      <c r="N4" s="15">
        <f t="shared" ref="N4:N14" si="3">M4*0.054</f>
        <v>1455.7684197599999</v>
      </c>
      <c r="O4">
        <v>3</v>
      </c>
      <c r="P4" t="s">
        <v>315</v>
      </c>
    </row>
    <row r="5" spans="1:28" ht="13.95" customHeight="1" thickTop="1" thickBot="1" x14ac:dyDescent="0.35">
      <c r="A5" s="3">
        <v>45661</v>
      </c>
      <c r="B5" s="3" t="s">
        <v>671</v>
      </c>
      <c r="C5" s="3" t="s">
        <v>16</v>
      </c>
      <c r="D5" s="3" t="s">
        <v>533</v>
      </c>
      <c r="E5" s="4">
        <v>0.57999999999999996</v>
      </c>
      <c r="F5" s="5">
        <v>2.6</v>
      </c>
      <c r="G5" s="6">
        <v>284</v>
      </c>
      <c r="H5" s="6">
        <v>2.2999999999999998</v>
      </c>
      <c r="I5" s="21">
        <f t="shared" si="1"/>
        <v>985.02560000000005</v>
      </c>
      <c r="J5" s="7" t="s">
        <v>238</v>
      </c>
      <c r="K5" s="17">
        <f t="shared" si="0"/>
        <v>1</v>
      </c>
      <c r="L5" s="13" t="s">
        <v>315</v>
      </c>
      <c r="M5" s="14">
        <f t="shared" si="2"/>
        <v>25327.11148</v>
      </c>
      <c r="N5" s="15">
        <f t="shared" si="3"/>
        <v>1367.6640199199999</v>
      </c>
      <c r="O5">
        <v>4</v>
      </c>
      <c r="P5" t="s">
        <v>316</v>
      </c>
      <c r="Q5" t="s">
        <v>326</v>
      </c>
    </row>
    <row r="6" spans="1:28" ht="13.95" customHeight="1" thickTop="1" thickBot="1" x14ac:dyDescent="0.35">
      <c r="A6" s="3">
        <v>45662</v>
      </c>
      <c r="B6" s="3" t="s">
        <v>671</v>
      </c>
      <c r="C6" s="3" t="s">
        <v>18</v>
      </c>
      <c r="D6" s="3" t="s">
        <v>534</v>
      </c>
      <c r="E6" s="4">
        <v>0.65</v>
      </c>
      <c r="F6" s="5">
        <v>1.75</v>
      </c>
      <c r="G6" s="6">
        <v>284</v>
      </c>
      <c r="H6" s="6">
        <v>2.2999999999999998</v>
      </c>
      <c r="I6" s="21">
        <f t="shared" si="1"/>
        <v>743.01499999999987</v>
      </c>
      <c r="J6" s="7" t="s">
        <v>526</v>
      </c>
      <c r="K6" s="17">
        <f t="shared" si="0"/>
        <v>1</v>
      </c>
      <c r="L6" s="13" t="s">
        <v>316</v>
      </c>
      <c r="M6" s="14">
        <f t="shared" si="2"/>
        <v>26570.542999999998</v>
      </c>
      <c r="N6" s="15">
        <f t="shared" si="3"/>
        <v>1434.8093219999998</v>
      </c>
      <c r="O6">
        <v>5</v>
      </c>
      <c r="P6" t="s">
        <v>317</v>
      </c>
    </row>
    <row r="7" spans="1:28" ht="13.95" customHeight="1" thickTop="1" thickBot="1" x14ac:dyDescent="0.35">
      <c r="A7" s="3">
        <v>45663</v>
      </c>
      <c r="B7" s="3" t="s">
        <v>671</v>
      </c>
      <c r="C7" s="3" t="s">
        <v>20</v>
      </c>
      <c r="D7" s="3" t="s">
        <v>9</v>
      </c>
      <c r="E7" s="4">
        <v>0.72</v>
      </c>
      <c r="F7" s="5">
        <v>1.78</v>
      </c>
      <c r="G7" s="6">
        <v>284</v>
      </c>
      <c r="H7" s="6">
        <v>2.2999999999999998</v>
      </c>
      <c r="I7" s="21">
        <f t="shared" si="1"/>
        <v>837.14111999999989</v>
      </c>
      <c r="J7" s="7" t="s">
        <v>537</v>
      </c>
      <c r="K7" s="17">
        <f t="shared" si="0"/>
        <v>1</v>
      </c>
      <c r="L7" s="13" t="s">
        <v>317</v>
      </c>
      <c r="M7" s="14">
        <f t="shared" si="2"/>
        <v>35286.321239999983</v>
      </c>
      <c r="N7" s="15">
        <f t="shared" si="3"/>
        <v>1905.461346959999</v>
      </c>
      <c r="O7">
        <v>6</v>
      </c>
      <c r="P7" t="s">
        <v>318</v>
      </c>
      <c r="Q7" t="s">
        <v>327</v>
      </c>
    </row>
    <row r="8" spans="1:28" ht="13.95" customHeight="1" thickTop="1" thickBot="1" x14ac:dyDescent="0.35">
      <c r="A8" s="3">
        <v>45664</v>
      </c>
      <c r="B8" s="3" t="s">
        <v>671</v>
      </c>
      <c r="C8" s="3" t="s">
        <v>5</v>
      </c>
      <c r="D8" s="3" t="s">
        <v>9</v>
      </c>
      <c r="E8" s="4">
        <v>0.75</v>
      </c>
      <c r="F8" s="5">
        <v>1.82</v>
      </c>
      <c r="G8" s="6">
        <v>284</v>
      </c>
      <c r="H8" s="6">
        <v>2.2999999999999998</v>
      </c>
      <c r="I8" s="21">
        <f t="shared" si="1"/>
        <v>891.61799999999994</v>
      </c>
      <c r="J8" s="7" t="s">
        <v>428</v>
      </c>
      <c r="K8" s="17">
        <f t="shared" si="0"/>
        <v>1</v>
      </c>
      <c r="L8" s="13" t="s">
        <v>318</v>
      </c>
      <c r="M8" s="14">
        <f t="shared" si="2"/>
        <v>32694.750239999998</v>
      </c>
      <c r="N8" s="15">
        <f t="shared" si="3"/>
        <v>1765.5165129599998</v>
      </c>
      <c r="O8">
        <v>7</v>
      </c>
      <c r="P8" t="s">
        <v>319</v>
      </c>
    </row>
    <row r="9" spans="1:28" ht="13.95" customHeight="1" thickTop="1" thickBot="1" x14ac:dyDescent="0.35">
      <c r="A9" s="3">
        <v>45665</v>
      </c>
      <c r="B9" s="3" t="s">
        <v>671</v>
      </c>
      <c r="C9" s="3" t="s">
        <v>8</v>
      </c>
      <c r="D9" s="3" t="s">
        <v>9</v>
      </c>
      <c r="E9" s="4">
        <v>0.74</v>
      </c>
      <c r="F9" s="5">
        <v>1.8</v>
      </c>
      <c r="G9" s="6">
        <v>284</v>
      </c>
      <c r="H9" s="6">
        <v>2.2999999999999998</v>
      </c>
      <c r="I9" s="21">
        <f t="shared" si="1"/>
        <v>870.06239999999991</v>
      </c>
      <c r="J9" s="7" t="s">
        <v>286</v>
      </c>
      <c r="K9" s="17">
        <f t="shared" si="0"/>
        <v>1</v>
      </c>
      <c r="L9" s="13" t="s">
        <v>319</v>
      </c>
      <c r="M9" s="14">
        <f t="shared" si="2"/>
        <v>41023.05023999999</v>
      </c>
      <c r="N9" s="15">
        <f t="shared" si="3"/>
        <v>2215.2447129599996</v>
      </c>
      <c r="O9">
        <v>8</v>
      </c>
      <c r="P9" t="s">
        <v>320</v>
      </c>
      <c r="Q9" t="s">
        <v>330</v>
      </c>
    </row>
    <row r="10" spans="1:28" ht="13.95" customHeight="1" thickTop="1" thickBot="1" x14ac:dyDescent="0.35">
      <c r="A10" s="3">
        <v>45666</v>
      </c>
      <c r="B10" s="3" t="s">
        <v>671</v>
      </c>
      <c r="C10" s="3" t="s">
        <v>11</v>
      </c>
      <c r="D10" s="3" t="s">
        <v>9</v>
      </c>
      <c r="E10" s="4">
        <v>0.7</v>
      </c>
      <c r="F10" s="5">
        <v>1.95</v>
      </c>
      <c r="G10" s="6">
        <v>284</v>
      </c>
      <c r="H10" s="6">
        <v>2.2999999999999998</v>
      </c>
      <c r="I10" s="21">
        <f t="shared" si="1"/>
        <v>891.61799999999994</v>
      </c>
      <c r="J10" s="7" t="s">
        <v>485</v>
      </c>
      <c r="K10" s="17">
        <f t="shared" si="0"/>
        <v>1</v>
      </c>
      <c r="L10" s="13" t="s">
        <v>320</v>
      </c>
      <c r="M10" s="14">
        <f t="shared" si="2"/>
        <v>39741.471839999998</v>
      </c>
      <c r="N10" s="15">
        <f t="shared" si="3"/>
        <v>2146.0394793599999</v>
      </c>
      <c r="O10">
        <v>9</v>
      </c>
      <c r="P10" t="s">
        <v>321</v>
      </c>
    </row>
    <row r="11" spans="1:28" ht="13.95" customHeight="1" thickTop="1" thickBot="1" x14ac:dyDescent="0.35">
      <c r="A11" s="3">
        <v>45667</v>
      </c>
      <c r="B11" s="3" t="s">
        <v>671</v>
      </c>
      <c r="C11" s="3" t="s">
        <v>13</v>
      </c>
      <c r="D11" s="3" t="s">
        <v>14</v>
      </c>
      <c r="E11" s="4">
        <v>0.65</v>
      </c>
      <c r="F11" s="5">
        <v>2.4</v>
      </c>
      <c r="G11" s="6">
        <v>284</v>
      </c>
      <c r="H11" s="6">
        <v>2.2999999999999998</v>
      </c>
      <c r="I11" s="21">
        <f t="shared" si="1"/>
        <v>1018.9919999999997</v>
      </c>
      <c r="J11" s="7" t="s">
        <v>538</v>
      </c>
      <c r="K11" s="17">
        <f t="shared" si="0"/>
        <v>1</v>
      </c>
      <c r="L11" s="13" t="s">
        <v>321</v>
      </c>
      <c r="M11" s="14">
        <f t="shared" si="2"/>
        <v>22379.546479999997</v>
      </c>
      <c r="N11" s="15">
        <f t="shared" si="3"/>
        <v>1208.4955099199999</v>
      </c>
      <c r="O11">
        <v>10</v>
      </c>
      <c r="P11" t="s">
        <v>322</v>
      </c>
      <c r="Q11" t="s">
        <v>331</v>
      </c>
    </row>
    <row r="12" spans="1:28" ht="13.95" customHeight="1" thickTop="1" thickBot="1" x14ac:dyDescent="0.35">
      <c r="A12" s="3">
        <v>45668</v>
      </c>
      <c r="B12" s="3" t="s">
        <v>671</v>
      </c>
      <c r="C12" s="3" t="s">
        <v>16</v>
      </c>
      <c r="D12" s="3" t="s">
        <v>533</v>
      </c>
      <c r="E12" s="4">
        <v>0.62</v>
      </c>
      <c r="F12" s="5">
        <v>2.5499999999999998</v>
      </c>
      <c r="G12" s="6">
        <v>284</v>
      </c>
      <c r="H12" s="6">
        <v>2.2999999999999998</v>
      </c>
      <c r="I12" s="21">
        <f t="shared" si="1"/>
        <v>1032.7091999999998</v>
      </c>
      <c r="J12" s="7" t="s">
        <v>525</v>
      </c>
      <c r="K12" s="17">
        <f t="shared" si="0"/>
        <v>1</v>
      </c>
      <c r="L12" s="13" t="s">
        <v>322</v>
      </c>
      <c r="M12" s="14">
        <f t="shared" si="2"/>
        <v>33044.930759999996</v>
      </c>
      <c r="N12" s="15">
        <f t="shared" si="3"/>
        <v>1784.4262610399996</v>
      </c>
      <c r="O12">
        <v>11</v>
      </c>
      <c r="P12" t="s">
        <v>323</v>
      </c>
    </row>
    <row r="13" spans="1:28" ht="13.95" customHeight="1" thickTop="1" thickBot="1" x14ac:dyDescent="0.35">
      <c r="A13" s="3">
        <v>45669</v>
      </c>
      <c r="B13" s="3" t="s">
        <v>671</v>
      </c>
      <c r="C13" s="3" t="s">
        <v>18</v>
      </c>
      <c r="D13" s="3" t="s">
        <v>9</v>
      </c>
      <c r="E13" s="4">
        <v>0.68</v>
      </c>
      <c r="F13" s="5">
        <v>1.75</v>
      </c>
      <c r="G13" s="6">
        <v>284</v>
      </c>
      <c r="H13" s="6">
        <v>2.2999999999999998</v>
      </c>
      <c r="I13" s="21">
        <f t="shared" si="1"/>
        <v>777.30799999999999</v>
      </c>
      <c r="J13" s="7" t="s">
        <v>65</v>
      </c>
      <c r="K13" s="17">
        <f t="shared" si="0"/>
        <v>1</v>
      </c>
      <c r="L13" s="13" t="s">
        <v>323</v>
      </c>
      <c r="M13" s="14">
        <f t="shared" si="2"/>
        <v>29756.395359999999</v>
      </c>
      <c r="N13" s="15">
        <f t="shared" si="3"/>
        <v>1606.8453494399998</v>
      </c>
      <c r="O13">
        <v>12</v>
      </c>
      <c r="P13" t="s">
        <v>324</v>
      </c>
      <c r="Q13" t="s">
        <v>332</v>
      </c>
    </row>
    <row r="14" spans="1:28" ht="13.95" customHeight="1" thickTop="1" thickBot="1" x14ac:dyDescent="0.35">
      <c r="A14" s="3">
        <v>45670</v>
      </c>
      <c r="B14" s="3" t="s">
        <v>671</v>
      </c>
      <c r="C14" s="3" t="s">
        <v>20</v>
      </c>
      <c r="D14" s="3" t="s">
        <v>9</v>
      </c>
      <c r="E14" s="4">
        <v>0.7</v>
      </c>
      <c r="F14" s="5">
        <v>1.78</v>
      </c>
      <c r="G14" s="6">
        <v>284</v>
      </c>
      <c r="H14" s="6">
        <v>2.2999999999999998</v>
      </c>
      <c r="I14" s="21">
        <f t="shared" si="1"/>
        <v>813.88719999999989</v>
      </c>
      <c r="J14" s="7" t="s">
        <v>286</v>
      </c>
      <c r="K14" s="17">
        <f t="shared" si="0"/>
        <v>1</v>
      </c>
      <c r="L14" s="13" t="s">
        <v>324</v>
      </c>
      <c r="M14" s="14">
        <f t="shared" si="2"/>
        <v>31992.886839999996</v>
      </c>
      <c r="N14" s="15">
        <f t="shared" si="3"/>
        <v>1727.6158893599998</v>
      </c>
    </row>
    <row r="15" spans="1:28" ht="13.95" customHeight="1" thickTop="1" thickBot="1" x14ac:dyDescent="0.4">
      <c r="A15" s="3">
        <v>45671</v>
      </c>
      <c r="B15" s="3" t="s">
        <v>671</v>
      </c>
      <c r="C15" s="3" t="s">
        <v>5</v>
      </c>
      <c r="D15" s="3" t="s">
        <v>350</v>
      </c>
      <c r="E15" s="4">
        <v>0.5</v>
      </c>
      <c r="F15" s="5">
        <v>2.2999999999999998</v>
      </c>
      <c r="G15" s="6">
        <v>284</v>
      </c>
      <c r="H15" s="6">
        <v>2.2999999999999998</v>
      </c>
      <c r="I15" s="21">
        <f t="shared" si="1"/>
        <v>751.17999999999984</v>
      </c>
      <c r="J15" s="7" t="s">
        <v>539</v>
      </c>
      <c r="K15" s="17">
        <f t="shared" si="0"/>
        <v>1</v>
      </c>
      <c r="L15" s="10" t="s">
        <v>325</v>
      </c>
      <c r="M15" s="16">
        <f>SUM(M3:M14)</f>
        <v>374033.09779999999</v>
      </c>
      <c r="N15" s="16">
        <f>SUM(N3:N14)</f>
        <v>20197.787281199995</v>
      </c>
    </row>
    <row r="16" spans="1:28" ht="13.95" customHeight="1" thickTop="1" x14ac:dyDescent="0.3">
      <c r="A16" s="3">
        <v>45672</v>
      </c>
      <c r="B16" s="3" t="s">
        <v>671</v>
      </c>
      <c r="C16" s="3" t="s">
        <v>8</v>
      </c>
      <c r="D16" s="3" t="s">
        <v>9</v>
      </c>
      <c r="E16" s="4">
        <v>0.65</v>
      </c>
      <c r="F16" s="5">
        <v>1.75</v>
      </c>
      <c r="G16" s="6">
        <v>284</v>
      </c>
      <c r="H16" s="6">
        <v>2.2999999999999998</v>
      </c>
      <c r="I16" s="21">
        <f t="shared" si="1"/>
        <v>743.01499999999987</v>
      </c>
      <c r="J16" s="7" t="s">
        <v>163</v>
      </c>
      <c r="K16" s="17">
        <f t="shared" si="0"/>
        <v>1</v>
      </c>
    </row>
    <row r="17" spans="1:11" ht="13.95" customHeight="1" x14ac:dyDescent="0.3">
      <c r="A17" s="3">
        <v>45673</v>
      </c>
      <c r="B17" s="3" t="s">
        <v>671</v>
      </c>
      <c r="C17" s="3" t="s">
        <v>11</v>
      </c>
      <c r="D17" s="3" t="s">
        <v>9</v>
      </c>
      <c r="E17" s="4">
        <v>0.68</v>
      </c>
      <c r="F17" s="5">
        <v>1.9</v>
      </c>
      <c r="G17" s="6">
        <v>284</v>
      </c>
      <c r="H17" s="6">
        <v>2.2999999999999998</v>
      </c>
      <c r="I17" s="21">
        <f t="shared" si="1"/>
        <v>843.93439999999998</v>
      </c>
      <c r="J17" s="7" t="s">
        <v>540</v>
      </c>
      <c r="K17" s="17">
        <f t="shared" ref="K17:K80" si="4">MONTH(A17)</f>
        <v>1</v>
      </c>
    </row>
    <row r="18" spans="1:11" ht="13.95" customHeight="1" x14ac:dyDescent="0.3">
      <c r="A18" s="3">
        <v>45674</v>
      </c>
      <c r="B18" s="3" t="s">
        <v>671</v>
      </c>
      <c r="C18" s="3" t="s">
        <v>13</v>
      </c>
      <c r="D18" s="3" t="s">
        <v>14</v>
      </c>
      <c r="E18" s="4">
        <v>0.72</v>
      </c>
      <c r="F18" s="5">
        <v>2.4500000000000002</v>
      </c>
      <c r="G18" s="6">
        <v>284</v>
      </c>
      <c r="H18" s="6">
        <v>2.2999999999999998</v>
      </c>
      <c r="I18" s="21">
        <f t="shared" si="1"/>
        <v>1152.2447999999999</v>
      </c>
      <c r="J18" s="7" t="s">
        <v>541</v>
      </c>
      <c r="K18" s="17">
        <f t="shared" si="4"/>
        <v>1</v>
      </c>
    </row>
    <row r="19" spans="1:11" ht="13.95" customHeight="1" x14ac:dyDescent="0.3">
      <c r="A19" s="3">
        <v>45675</v>
      </c>
      <c r="B19" s="3" t="s">
        <v>671</v>
      </c>
      <c r="C19" s="3" t="s">
        <v>16</v>
      </c>
      <c r="D19" s="3" t="s">
        <v>533</v>
      </c>
      <c r="E19" s="4">
        <v>0.7</v>
      </c>
      <c r="F19" s="5">
        <v>2.5499999999999998</v>
      </c>
      <c r="G19" s="6">
        <v>284</v>
      </c>
      <c r="H19" s="6">
        <v>2.2999999999999998</v>
      </c>
      <c r="I19" s="21">
        <f t="shared" si="1"/>
        <v>1165.9619999999998</v>
      </c>
      <c r="J19" s="7" t="s">
        <v>69</v>
      </c>
      <c r="K19" s="17">
        <f t="shared" si="4"/>
        <v>1</v>
      </c>
    </row>
    <row r="20" spans="1:11" ht="13.95" customHeight="1" x14ac:dyDescent="0.3">
      <c r="A20" s="3">
        <v>45676</v>
      </c>
      <c r="B20" s="3" t="s">
        <v>671</v>
      </c>
      <c r="C20" s="3" t="s">
        <v>18</v>
      </c>
      <c r="D20" s="3" t="s">
        <v>9</v>
      </c>
      <c r="E20" s="4">
        <v>0.75</v>
      </c>
      <c r="F20" s="5">
        <v>1.75</v>
      </c>
      <c r="G20" s="6">
        <v>284</v>
      </c>
      <c r="H20" s="6">
        <v>2.2999999999999998</v>
      </c>
      <c r="I20" s="21">
        <f t="shared" si="1"/>
        <v>857.32499999999993</v>
      </c>
      <c r="J20" s="7" t="s">
        <v>65</v>
      </c>
      <c r="K20" s="17">
        <f t="shared" si="4"/>
        <v>1</v>
      </c>
    </row>
    <row r="21" spans="1:11" ht="13.95" customHeight="1" x14ac:dyDescent="0.3">
      <c r="A21" s="3">
        <v>45677</v>
      </c>
      <c r="B21" s="3" t="s">
        <v>671</v>
      </c>
      <c r="C21" s="3" t="s">
        <v>20</v>
      </c>
      <c r="D21" s="3" t="s">
        <v>9</v>
      </c>
      <c r="E21" s="4">
        <v>0.78</v>
      </c>
      <c r="F21" s="5">
        <v>1.8</v>
      </c>
      <c r="G21" s="6">
        <v>284</v>
      </c>
      <c r="H21" s="6">
        <v>2.2999999999999998</v>
      </c>
      <c r="I21" s="21">
        <f t="shared" si="1"/>
        <v>917.09280000000001</v>
      </c>
      <c r="J21" s="7" t="s">
        <v>428</v>
      </c>
      <c r="K21" s="17">
        <f t="shared" si="4"/>
        <v>1</v>
      </c>
    </row>
    <row r="22" spans="1:11" ht="13.95" customHeight="1" x14ac:dyDescent="0.3">
      <c r="A22" s="3">
        <v>45678</v>
      </c>
      <c r="B22" s="3" t="s">
        <v>671</v>
      </c>
      <c r="C22" s="3" t="s">
        <v>5</v>
      </c>
      <c r="D22" s="3" t="s">
        <v>9</v>
      </c>
      <c r="E22" s="4">
        <v>0.8</v>
      </c>
      <c r="F22" s="5">
        <v>1.82</v>
      </c>
      <c r="G22" s="6">
        <v>284</v>
      </c>
      <c r="H22" s="6">
        <v>2.2999999999999998</v>
      </c>
      <c r="I22" s="21">
        <f t="shared" si="1"/>
        <v>951.05919999999992</v>
      </c>
      <c r="J22" s="7" t="s">
        <v>428</v>
      </c>
      <c r="K22" s="17">
        <f t="shared" si="4"/>
        <v>1</v>
      </c>
    </row>
    <row r="23" spans="1:11" ht="13.95" customHeight="1" x14ac:dyDescent="0.3">
      <c r="A23" s="3">
        <v>45679</v>
      </c>
      <c r="B23" s="3" t="s">
        <v>671</v>
      </c>
      <c r="C23" s="3" t="s">
        <v>8</v>
      </c>
      <c r="D23" s="3" t="s">
        <v>9</v>
      </c>
      <c r="E23" s="4">
        <v>0.78</v>
      </c>
      <c r="F23" s="5">
        <v>1.78</v>
      </c>
      <c r="G23" s="6">
        <v>284</v>
      </c>
      <c r="H23" s="6">
        <v>2.2999999999999998</v>
      </c>
      <c r="I23" s="21">
        <f t="shared" si="1"/>
        <v>906.90287999999998</v>
      </c>
      <c r="J23" s="7" t="s">
        <v>286</v>
      </c>
      <c r="K23" s="17">
        <f t="shared" si="4"/>
        <v>1</v>
      </c>
    </row>
    <row r="24" spans="1:11" ht="13.95" customHeight="1" x14ac:dyDescent="0.3">
      <c r="A24" s="3">
        <v>45680</v>
      </c>
      <c r="B24" s="3" t="s">
        <v>671</v>
      </c>
      <c r="C24" s="3" t="s">
        <v>11</v>
      </c>
      <c r="D24" s="3" t="s">
        <v>9</v>
      </c>
      <c r="E24" s="4">
        <v>0.75</v>
      </c>
      <c r="F24" s="5">
        <v>1.95</v>
      </c>
      <c r="G24" s="6">
        <v>284</v>
      </c>
      <c r="H24" s="6">
        <v>2.2999999999999998</v>
      </c>
      <c r="I24" s="21">
        <f t="shared" si="1"/>
        <v>955.30499999999995</v>
      </c>
      <c r="J24" s="7" t="s">
        <v>67</v>
      </c>
      <c r="K24" s="17">
        <f t="shared" si="4"/>
        <v>1</v>
      </c>
    </row>
    <row r="25" spans="1:11" ht="13.95" customHeight="1" x14ac:dyDescent="0.3">
      <c r="A25" s="3">
        <v>45681</v>
      </c>
      <c r="B25" s="3" t="s">
        <v>671</v>
      </c>
      <c r="C25" s="3" t="s">
        <v>13</v>
      </c>
      <c r="D25" s="3" t="s">
        <v>14</v>
      </c>
      <c r="E25" s="4">
        <v>0.7</v>
      </c>
      <c r="F25" s="5">
        <v>2.4</v>
      </c>
      <c r="G25" s="6">
        <v>284</v>
      </c>
      <c r="H25" s="6">
        <v>2.2999999999999998</v>
      </c>
      <c r="I25" s="21">
        <f t="shared" si="1"/>
        <v>1097.3759999999997</v>
      </c>
      <c r="J25" s="7" t="s">
        <v>542</v>
      </c>
      <c r="K25" s="17">
        <f t="shared" si="4"/>
        <v>1</v>
      </c>
    </row>
    <row r="26" spans="1:11" ht="13.95" customHeight="1" x14ac:dyDescent="0.3">
      <c r="A26" s="3">
        <v>45682</v>
      </c>
      <c r="B26" s="3" t="s">
        <v>671</v>
      </c>
      <c r="C26" s="3" t="s">
        <v>16</v>
      </c>
      <c r="D26" s="3" t="s">
        <v>533</v>
      </c>
      <c r="E26" s="4">
        <v>0.68</v>
      </c>
      <c r="F26" s="5">
        <v>2.5499999999999998</v>
      </c>
      <c r="G26" s="6">
        <v>284</v>
      </c>
      <c r="H26" s="6">
        <v>2.2999999999999998</v>
      </c>
      <c r="I26" s="21">
        <f t="shared" si="1"/>
        <v>1132.6487999999999</v>
      </c>
      <c r="J26" s="7" t="s">
        <v>69</v>
      </c>
      <c r="K26" s="17">
        <f t="shared" si="4"/>
        <v>1</v>
      </c>
    </row>
    <row r="27" spans="1:11" ht="13.95" customHeight="1" x14ac:dyDescent="0.3">
      <c r="A27" s="3">
        <v>45683</v>
      </c>
      <c r="B27" s="3" t="s">
        <v>671</v>
      </c>
      <c r="C27" s="3" t="s">
        <v>18</v>
      </c>
      <c r="D27" s="3" t="s">
        <v>9</v>
      </c>
      <c r="E27" s="4">
        <v>0.72</v>
      </c>
      <c r="F27" s="5">
        <v>1.75</v>
      </c>
      <c r="G27" s="6">
        <v>284</v>
      </c>
      <c r="H27" s="6">
        <v>2.2999999999999998</v>
      </c>
      <c r="I27" s="21">
        <f t="shared" si="1"/>
        <v>823.03199999999981</v>
      </c>
      <c r="J27" s="7" t="s">
        <v>286</v>
      </c>
      <c r="K27" s="17">
        <f t="shared" si="4"/>
        <v>1</v>
      </c>
    </row>
    <row r="28" spans="1:11" ht="13.95" customHeight="1" x14ac:dyDescent="0.3">
      <c r="A28" s="3">
        <v>45684</v>
      </c>
      <c r="B28" s="3" t="s">
        <v>671</v>
      </c>
      <c r="C28" s="3" t="s">
        <v>20</v>
      </c>
      <c r="D28" s="3" t="s">
        <v>9</v>
      </c>
      <c r="E28" s="4">
        <v>0.75</v>
      </c>
      <c r="F28" s="5">
        <v>1.78</v>
      </c>
      <c r="G28" s="6">
        <v>284</v>
      </c>
      <c r="H28" s="6">
        <v>2.2999999999999998</v>
      </c>
      <c r="I28" s="21">
        <f t="shared" si="1"/>
        <v>872.02199999999993</v>
      </c>
      <c r="J28" s="7" t="s">
        <v>286</v>
      </c>
      <c r="K28" s="17">
        <f t="shared" si="4"/>
        <v>1</v>
      </c>
    </row>
    <row r="29" spans="1:11" ht="13.95" customHeight="1" x14ac:dyDescent="0.3">
      <c r="A29" s="3">
        <v>45685</v>
      </c>
      <c r="B29" s="3" t="s">
        <v>671</v>
      </c>
      <c r="C29" s="3" t="s">
        <v>5</v>
      </c>
      <c r="D29" s="3" t="s">
        <v>9</v>
      </c>
      <c r="E29" s="4">
        <v>0.78</v>
      </c>
      <c r="F29" s="5">
        <v>1.82</v>
      </c>
      <c r="G29" s="6">
        <v>284</v>
      </c>
      <c r="H29" s="6">
        <v>2.2999999999999998</v>
      </c>
      <c r="I29" s="21">
        <f t="shared" si="1"/>
        <v>927.28272000000004</v>
      </c>
      <c r="J29" s="7" t="s">
        <v>143</v>
      </c>
      <c r="K29" s="17">
        <f t="shared" si="4"/>
        <v>1</v>
      </c>
    </row>
    <row r="30" spans="1:11" ht="13.95" customHeight="1" x14ac:dyDescent="0.3">
      <c r="A30" s="3">
        <v>45686</v>
      </c>
      <c r="B30" s="3" t="s">
        <v>671</v>
      </c>
      <c r="C30" s="3" t="s">
        <v>8</v>
      </c>
      <c r="D30" s="3" t="s">
        <v>9</v>
      </c>
      <c r="E30" s="4">
        <v>0.76</v>
      </c>
      <c r="F30" s="5">
        <v>1.78</v>
      </c>
      <c r="G30" s="6">
        <v>284</v>
      </c>
      <c r="H30" s="6">
        <v>2.2999999999999998</v>
      </c>
      <c r="I30" s="21">
        <f t="shared" si="1"/>
        <v>883.64895999999999</v>
      </c>
      <c r="J30" s="7" t="s">
        <v>286</v>
      </c>
      <c r="K30" s="17">
        <f t="shared" si="4"/>
        <v>1</v>
      </c>
    </row>
    <row r="31" spans="1:11" ht="13.95" customHeight="1" x14ac:dyDescent="0.3">
      <c r="A31" s="3">
        <v>45687</v>
      </c>
      <c r="B31" s="3" t="s">
        <v>671</v>
      </c>
      <c r="C31" s="3" t="s">
        <v>11</v>
      </c>
      <c r="D31" s="3" t="s">
        <v>9</v>
      </c>
      <c r="E31" s="4">
        <v>0.74</v>
      </c>
      <c r="F31" s="5">
        <v>1.95</v>
      </c>
      <c r="G31" s="6">
        <v>284</v>
      </c>
      <c r="H31" s="6">
        <v>2.2999999999999998</v>
      </c>
      <c r="I31" s="21">
        <f t="shared" si="1"/>
        <v>942.56759999999986</v>
      </c>
      <c r="J31" s="7" t="s">
        <v>70</v>
      </c>
      <c r="K31" s="17">
        <f t="shared" si="4"/>
        <v>1</v>
      </c>
    </row>
    <row r="32" spans="1:11" ht="13.95" customHeight="1" x14ac:dyDescent="0.3">
      <c r="A32" s="3">
        <v>45688</v>
      </c>
      <c r="B32" s="3" t="s">
        <v>671</v>
      </c>
      <c r="C32" s="3" t="s">
        <v>13</v>
      </c>
      <c r="D32" s="3" t="s">
        <v>14</v>
      </c>
      <c r="E32" s="4">
        <v>0.78</v>
      </c>
      <c r="F32" s="5">
        <v>2.4500000000000002</v>
      </c>
      <c r="G32" s="6">
        <v>284</v>
      </c>
      <c r="H32" s="6">
        <v>2.2999999999999998</v>
      </c>
      <c r="I32" s="21">
        <f t="shared" si="1"/>
        <v>1248.2652</v>
      </c>
      <c r="J32" s="7" t="s">
        <v>543</v>
      </c>
      <c r="K32" s="17">
        <f t="shared" si="4"/>
        <v>1</v>
      </c>
    </row>
    <row r="33" spans="1:11" ht="13.95" customHeight="1" x14ac:dyDescent="0.3">
      <c r="A33" s="3">
        <v>45717</v>
      </c>
      <c r="B33" s="3" t="s">
        <v>671</v>
      </c>
      <c r="C33" s="3" t="s">
        <v>16</v>
      </c>
      <c r="D33" s="3" t="s">
        <v>14</v>
      </c>
      <c r="E33" s="4">
        <v>0.7</v>
      </c>
      <c r="F33" s="5">
        <v>2.5499999999999998</v>
      </c>
      <c r="G33" s="6">
        <v>284</v>
      </c>
      <c r="H33" s="6">
        <v>2.2999999999999998</v>
      </c>
      <c r="I33" s="21">
        <f t="shared" si="1"/>
        <v>1165.9619999999998</v>
      </c>
      <c r="J33" s="7" t="s">
        <v>238</v>
      </c>
      <c r="K33" s="17">
        <f t="shared" si="4"/>
        <v>3</v>
      </c>
    </row>
    <row r="34" spans="1:11" ht="13.95" customHeight="1" x14ac:dyDescent="0.3">
      <c r="A34" s="3">
        <v>45718</v>
      </c>
      <c r="B34" s="3" t="s">
        <v>671</v>
      </c>
      <c r="C34" s="3" t="s">
        <v>18</v>
      </c>
      <c r="D34" s="3" t="s">
        <v>9</v>
      </c>
      <c r="E34" s="4">
        <v>0.72</v>
      </c>
      <c r="F34" s="5">
        <v>1.75</v>
      </c>
      <c r="G34" s="6">
        <v>284</v>
      </c>
      <c r="H34" s="6">
        <v>2.2999999999999998</v>
      </c>
      <c r="I34" s="21">
        <f t="shared" si="1"/>
        <v>823.03199999999981</v>
      </c>
      <c r="J34" s="7" t="s">
        <v>544</v>
      </c>
      <c r="K34" s="17">
        <f t="shared" si="4"/>
        <v>3</v>
      </c>
    </row>
    <row r="35" spans="1:11" ht="13.95" customHeight="1" x14ac:dyDescent="0.3">
      <c r="A35" s="3">
        <v>45719</v>
      </c>
      <c r="B35" s="3" t="s">
        <v>671</v>
      </c>
      <c r="C35" s="3" t="s">
        <v>20</v>
      </c>
      <c r="D35" s="3" t="s">
        <v>9</v>
      </c>
      <c r="E35" s="4">
        <v>0.75</v>
      </c>
      <c r="F35" s="5">
        <v>1.8</v>
      </c>
      <c r="G35" s="6">
        <v>284</v>
      </c>
      <c r="H35" s="6">
        <v>2.2999999999999998</v>
      </c>
      <c r="I35" s="21">
        <f t="shared" si="1"/>
        <v>881.81999999999994</v>
      </c>
      <c r="J35" s="7" t="s">
        <v>428</v>
      </c>
      <c r="K35" s="17">
        <f t="shared" si="4"/>
        <v>3</v>
      </c>
    </row>
    <row r="36" spans="1:11" ht="13.95" customHeight="1" x14ac:dyDescent="0.3">
      <c r="A36" s="3">
        <v>45720</v>
      </c>
      <c r="B36" s="3" t="s">
        <v>671</v>
      </c>
      <c r="C36" s="3" t="s">
        <v>5</v>
      </c>
      <c r="D36" s="3" t="s">
        <v>9</v>
      </c>
      <c r="E36" s="4">
        <v>0.78</v>
      </c>
      <c r="F36" s="5">
        <v>1.82</v>
      </c>
      <c r="G36" s="6">
        <v>284</v>
      </c>
      <c r="H36" s="6">
        <v>2.2999999999999998</v>
      </c>
      <c r="I36" s="21">
        <f t="shared" si="1"/>
        <v>927.28272000000004</v>
      </c>
      <c r="J36" s="7" t="s">
        <v>545</v>
      </c>
      <c r="K36" s="17">
        <f t="shared" si="4"/>
        <v>3</v>
      </c>
    </row>
    <row r="37" spans="1:11" ht="13.95" customHeight="1" x14ac:dyDescent="0.3">
      <c r="A37" s="3">
        <v>45721</v>
      </c>
      <c r="B37" s="3" t="s">
        <v>671</v>
      </c>
      <c r="C37" s="3" t="s">
        <v>8</v>
      </c>
      <c r="D37" s="3" t="s">
        <v>9</v>
      </c>
      <c r="E37" s="4">
        <v>0.74</v>
      </c>
      <c r="F37" s="5">
        <v>1.78</v>
      </c>
      <c r="G37" s="6">
        <v>284</v>
      </c>
      <c r="H37" s="6">
        <v>2.2999999999999998</v>
      </c>
      <c r="I37" s="21">
        <f t="shared" si="1"/>
        <v>860.39503999999988</v>
      </c>
      <c r="J37" s="7" t="s">
        <v>286</v>
      </c>
      <c r="K37" s="17">
        <f t="shared" si="4"/>
        <v>3</v>
      </c>
    </row>
    <row r="38" spans="1:11" ht="13.95" customHeight="1" x14ac:dyDescent="0.3">
      <c r="A38" s="3">
        <v>45722</v>
      </c>
      <c r="B38" s="3" t="s">
        <v>671</v>
      </c>
      <c r="C38" s="3" t="s">
        <v>11</v>
      </c>
      <c r="D38" s="3" t="s">
        <v>9</v>
      </c>
      <c r="E38" s="4">
        <v>0.7</v>
      </c>
      <c r="F38" s="5">
        <v>2.0499999999999998</v>
      </c>
      <c r="G38" s="6">
        <v>284</v>
      </c>
      <c r="H38" s="6">
        <v>2.2999999999999998</v>
      </c>
      <c r="I38" s="21">
        <f t="shared" si="1"/>
        <v>937.34199999999987</v>
      </c>
      <c r="J38" s="7" t="s">
        <v>485</v>
      </c>
      <c r="K38" s="17">
        <f t="shared" si="4"/>
        <v>3</v>
      </c>
    </row>
    <row r="39" spans="1:11" ht="13.95" customHeight="1" x14ac:dyDescent="0.3">
      <c r="A39" s="3">
        <v>45723</v>
      </c>
      <c r="B39" s="3" t="s">
        <v>671</v>
      </c>
      <c r="C39" s="3" t="s">
        <v>13</v>
      </c>
      <c r="D39" s="3" t="s">
        <v>14</v>
      </c>
      <c r="E39" s="4">
        <v>0.72</v>
      </c>
      <c r="F39" s="5">
        <v>2.5</v>
      </c>
      <c r="G39" s="6">
        <v>284</v>
      </c>
      <c r="H39" s="6">
        <v>2.2999999999999998</v>
      </c>
      <c r="I39" s="21">
        <f t="shared" si="1"/>
        <v>1175.7599999999998</v>
      </c>
      <c r="J39" s="7" t="s">
        <v>546</v>
      </c>
      <c r="K39" s="17">
        <f t="shared" si="4"/>
        <v>3</v>
      </c>
    </row>
    <row r="40" spans="1:11" ht="13.95" customHeight="1" x14ac:dyDescent="0.3">
      <c r="A40" s="3">
        <v>45724</v>
      </c>
      <c r="B40" s="3" t="s">
        <v>671</v>
      </c>
      <c r="C40" s="3" t="s">
        <v>16</v>
      </c>
      <c r="D40" s="3" t="s">
        <v>14</v>
      </c>
      <c r="E40" s="4">
        <v>0.7</v>
      </c>
      <c r="F40" s="5">
        <v>2.5499999999999998</v>
      </c>
      <c r="G40" s="6">
        <v>284</v>
      </c>
      <c r="H40" s="6">
        <v>2.2999999999999998</v>
      </c>
      <c r="I40" s="21">
        <f t="shared" ref="I40:I91" si="5">(G40*E40)*H40*F40</f>
        <v>1165.9619999999998</v>
      </c>
      <c r="J40" s="7" t="s">
        <v>69</v>
      </c>
      <c r="K40" s="17">
        <f t="shared" si="4"/>
        <v>3</v>
      </c>
    </row>
    <row r="41" spans="1:11" ht="13.95" customHeight="1" x14ac:dyDescent="0.3">
      <c r="A41" s="3">
        <v>45725</v>
      </c>
      <c r="B41" s="3" t="s">
        <v>671</v>
      </c>
      <c r="C41" s="3" t="s">
        <v>18</v>
      </c>
      <c r="D41" s="3" t="s">
        <v>9</v>
      </c>
      <c r="E41" s="4">
        <v>0.75</v>
      </c>
      <c r="F41" s="5">
        <v>1.75</v>
      </c>
      <c r="G41" s="6">
        <v>284</v>
      </c>
      <c r="H41" s="6">
        <v>2.2999999999999998</v>
      </c>
      <c r="I41" s="21">
        <f t="shared" si="5"/>
        <v>857.32499999999993</v>
      </c>
      <c r="J41" s="7" t="s">
        <v>65</v>
      </c>
      <c r="K41" s="17">
        <f t="shared" si="4"/>
        <v>3</v>
      </c>
    </row>
    <row r="42" spans="1:11" ht="13.95" customHeight="1" x14ac:dyDescent="0.3">
      <c r="A42" s="3">
        <v>45726</v>
      </c>
      <c r="B42" s="3" t="s">
        <v>671</v>
      </c>
      <c r="C42" s="3" t="s">
        <v>20</v>
      </c>
      <c r="D42" s="3" t="s">
        <v>9</v>
      </c>
      <c r="E42" s="4">
        <v>0.78</v>
      </c>
      <c r="F42" s="5">
        <v>1.8</v>
      </c>
      <c r="G42" s="6">
        <v>284</v>
      </c>
      <c r="H42" s="6">
        <v>2.2999999999999998</v>
      </c>
      <c r="I42" s="21">
        <f t="shared" si="5"/>
        <v>917.09280000000001</v>
      </c>
      <c r="J42" s="7" t="s">
        <v>286</v>
      </c>
      <c r="K42" s="17">
        <f t="shared" si="4"/>
        <v>3</v>
      </c>
    </row>
    <row r="43" spans="1:11" ht="13.95" customHeight="1" x14ac:dyDescent="0.3">
      <c r="A43" s="3">
        <v>45727</v>
      </c>
      <c r="B43" s="3" t="s">
        <v>671</v>
      </c>
      <c r="C43" s="3" t="s">
        <v>5</v>
      </c>
      <c r="D43" s="3" t="s">
        <v>9</v>
      </c>
      <c r="E43" s="4">
        <v>0.8</v>
      </c>
      <c r="F43" s="5">
        <v>1.82</v>
      </c>
      <c r="G43" s="6">
        <v>284</v>
      </c>
      <c r="H43" s="6">
        <v>2.2999999999999998</v>
      </c>
      <c r="I43" s="21">
        <f t="shared" si="5"/>
        <v>951.05919999999992</v>
      </c>
      <c r="J43" s="7" t="s">
        <v>428</v>
      </c>
      <c r="K43" s="17">
        <f t="shared" si="4"/>
        <v>3</v>
      </c>
    </row>
    <row r="44" spans="1:11" ht="13.95" customHeight="1" x14ac:dyDescent="0.3">
      <c r="A44" s="3">
        <v>45728</v>
      </c>
      <c r="B44" s="3" t="s">
        <v>671</v>
      </c>
      <c r="C44" s="3" t="s">
        <v>8</v>
      </c>
      <c r="D44" s="3" t="s">
        <v>9</v>
      </c>
      <c r="E44" s="4">
        <v>0.75</v>
      </c>
      <c r="F44" s="5">
        <v>1.78</v>
      </c>
      <c r="G44" s="6">
        <v>284</v>
      </c>
      <c r="H44" s="6">
        <v>2.2999999999999998</v>
      </c>
      <c r="I44" s="21">
        <f t="shared" si="5"/>
        <v>872.02199999999993</v>
      </c>
      <c r="J44" s="7" t="s">
        <v>286</v>
      </c>
      <c r="K44" s="17">
        <f t="shared" si="4"/>
        <v>3</v>
      </c>
    </row>
    <row r="45" spans="1:11" ht="13.95" customHeight="1" x14ac:dyDescent="0.3">
      <c r="A45" s="3">
        <v>45729</v>
      </c>
      <c r="B45" s="3" t="s">
        <v>671</v>
      </c>
      <c r="C45" s="3" t="s">
        <v>11</v>
      </c>
      <c r="D45" s="3" t="s">
        <v>9</v>
      </c>
      <c r="E45" s="4">
        <v>0.7</v>
      </c>
      <c r="F45" s="5">
        <v>2.0499999999999998</v>
      </c>
      <c r="G45" s="6">
        <v>284</v>
      </c>
      <c r="H45" s="6">
        <v>2.2999999999999998</v>
      </c>
      <c r="I45" s="21">
        <f t="shared" si="5"/>
        <v>937.34199999999987</v>
      </c>
      <c r="J45" s="7" t="s">
        <v>97</v>
      </c>
      <c r="K45" s="17">
        <f t="shared" si="4"/>
        <v>3</v>
      </c>
    </row>
    <row r="46" spans="1:11" ht="13.95" customHeight="1" x14ac:dyDescent="0.3">
      <c r="A46" s="3">
        <v>45730</v>
      </c>
      <c r="B46" s="3" t="s">
        <v>671</v>
      </c>
      <c r="C46" s="3" t="s">
        <v>13</v>
      </c>
      <c r="D46" s="3" t="s">
        <v>14</v>
      </c>
      <c r="E46" s="4">
        <v>0.75</v>
      </c>
      <c r="F46" s="5">
        <v>2.5</v>
      </c>
      <c r="G46" s="6">
        <v>284</v>
      </c>
      <c r="H46" s="6">
        <v>2.2999999999999998</v>
      </c>
      <c r="I46" s="21">
        <f t="shared" si="5"/>
        <v>1224.75</v>
      </c>
      <c r="J46" s="7" t="s">
        <v>542</v>
      </c>
      <c r="K46" s="17">
        <f t="shared" si="4"/>
        <v>3</v>
      </c>
    </row>
    <row r="47" spans="1:11" ht="13.95" customHeight="1" x14ac:dyDescent="0.3">
      <c r="A47" s="3">
        <v>45731</v>
      </c>
      <c r="B47" s="3" t="s">
        <v>671</v>
      </c>
      <c r="C47" s="3" t="s">
        <v>16</v>
      </c>
      <c r="D47" s="3" t="s">
        <v>14</v>
      </c>
      <c r="E47" s="4">
        <v>0.72</v>
      </c>
      <c r="F47" s="5">
        <v>2.5499999999999998</v>
      </c>
      <c r="G47" s="6">
        <v>284</v>
      </c>
      <c r="H47" s="6">
        <v>2.2999999999999998</v>
      </c>
      <c r="I47" s="21">
        <f t="shared" si="5"/>
        <v>1199.2751999999998</v>
      </c>
      <c r="J47" s="7" t="s">
        <v>69</v>
      </c>
      <c r="K47" s="17">
        <f t="shared" si="4"/>
        <v>3</v>
      </c>
    </row>
    <row r="48" spans="1:11" ht="13.95" customHeight="1" x14ac:dyDescent="0.3">
      <c r="A48" s="3">
        <v>45732</v>
      </c>
      <c r="B48" s="3" t="s">
        <v>671</v>
      </c>
      <c r="C48" s="3" t="s">
        <v>18</v>
      </c>
      <c r="D48" s="3" t="s">
        <v>9</v>
      </c>
      <c r="E48" s="4">
        <v>0.65</v>
      </c>
      <c r="F48" s="5">
        <v>1.75</v>
      </c>
      <c r="G48" s="6">
        <v>284</v>
      </c>
      <c r="H48" s="6">
        <v>2.2999999999999998</v>
      </c>
      <c r="I48" s="21">
        <f t="shared" si="5"/>
        <v>743.01499999999987</v>
      </c>
      <c r="J48" s="7" t="s">
        <v>286</v>
      </c>
      <c r="K48" s="17">
        <f t="shared" si="4"/>
        <v>3</v>
      </c>
    </row>
    <row r="49" spans="1:11" ht="13.95" customHeight="1" x14ac:dyDescent="0.3">
      <c r="A49" s="3">
        <v>45733</v>
      </c>
      <c r="B49" s="3" t="s">
        <v>671</v>
      </c>
      <c r="C49" s="3" t="s">
        <v>20</v>
      </c>
      <c r="D49" s="3" t="s">
        <v>9</v>
      </c>
      <c r="E49" s="4">
        <v>0.68</v>
      </c>
      <c r="F49" s="5">
        <v>1.78</v>
      </c>
      <c r="G49" s="6">
        <v>284</v>
      </c>
      <c r="H49" s="6">
        <v>2.2999999999999998</v>
      </c>
      <c r="I49" s="21">
        <f t="shared" si="5"/>
        <v>790.63328000000001</v>
      </c>
      <c r="J49" s="7" t="s">
        <v>286</v>
      </c>
      <c r="K49" s="17">
        <f t="shared" si="4"/>
        <v>3</v>
      </c>
    </row>
    <row r="50" spans="1:11" ht="13.95" customHeight="1" x14ac:dyDescent="0.3">
      <c r="A50" s="3">
        <v>45734</v>
      </c>
      <c r="B50" s="3" t="s">
        <v>671</v>
      </c>
      <c r="C50" s="3" t="s">
        <v>5</v>
      </c>
      <c r="D50" s="3" t="s">
        <v>9</v>
      </c>
      <c r="E50" s="4">
        <v>0.7</v>
      </c>
      <c r="F50" s="5">
        <v>1.8</v>
      </c>
      <c r="G50" s="6">
        <v>284</v>
      </c>
      <c r="H50" s="6">
        <v>2.2999999999999998</v>
      </c>
      <c r="I50" s="21">
        <f t="shared" si="5"/>
        <v>823.03199999999993</v>
      </c>
      <c r="J50" s="7" t="s">
        <v>547</v>
      </c>
      <c r="K50" s="17">
        <f t="shared" si="4"/>
        <v>3</v>
      </c>
    </row>
    <row r="51" spans="1:11" ht="13.95" customHeight="1" x14ac:dyDescent="0.3">
      <c r="A51" s="3">
        <v>45735</v>
      </c>
      <c r="B51" s="3" t="s">
        <v>671</v>
      </c>
      <c r="C51" s="3" t="s">
        <v>8</v>
      </c>
      <c r="D51" s="3" t="s">
        <v>9</v>
      </c>
      <c r="E51" s="4">
        <v>0.65</v>
      </c>
      <c r="F51" s="5">
        <v>1.75</v>
      </c>
      <c r="G51" s="6">
        <v>284</v>
      </c>
      <c r="H51" s="6">
        <v>2.2999999999999998</v>
      </c>
      <c r="I51" s="21">
        <f t="shared" si="5"/>
        <v>743.01499999999987</v>
      </c>
      <c r="J51" s="7" t="s">
        <v>548</v>
      </c>
      <c r="K51" s="17">
        <f t="shared" si="4"/>
        <v>3</v>
      </c>
    </row>
    <row r="52" spans="1:11" ht="13.95" customHeight="1" x14ac:dyDescent="0.3">
      <c r="A52" s="3">
        <v>45736</v>
      </c>
      <c r="B52" s="3" t="s">
        <v>671</v>
      </c>
      <c r="C52" s="3" t="s">
        <v>11</v>
      </c>
      <c r="D52" s="3" t="s">
        <v>94</v>
      </c>
      <c r="E52" s="4">
        <v>0.6</v>
      </c>
      <c r="F52" s="5">
        <v>2.2999999999999998</v>
      </c>
      <c r="G52" s="6">
        <v>284</v>
      </c>
      <c r="H52" s="6">
        <v>2.2999999999999998</v>
      </c>
      <c r="I52" s="21">
        <f t="shared" si="5"/>
        <v>901.41599999999983</v>
      </c>
      <c r="J52" s="7" t="s">
        <v>549</v>
      </c>
      <c r="K52" s="17">
        <f t="shared" si="4"/>
        <v>3</v>
      </c>
    </row>
    <row r="53" spans="1:11" ht="13.95" customHeight="1" x14ac:dyDescent="0.3">
      <c r="A53" s="3">
        <v>45737</v>
      </c>
      <c r="B53" s="3" t="s">
        <v>671</v>
      </c>
      <c r="C53" s="3" t="s">
        <v>13</v>
      </c>
      <c r="D53" s="3" t="s">
        <v>14</v>
      </c>
      <c r="E53" s="4">
        <v>0.55000000000000004</v>
      </c>
      <c r="F53" s="5">
        <v>1.9</v>
      </c>
      <c r="G53" s="6">
        <v>284</v>
      </c>
      <c r="H53" s="6">
        <v>2.2999999999999998</v>
      </c>
      <c r="I53" s="21">
        <f t="shared" si="5"/>
        <v>682.59399999999994</v>
      </c>
      <c r="J53" s="7" t="s">
        <v>550</v>
      </c>
      <c r="K53" s="17">
        <f t="shared" si="4"/>
        <v>3</v>
      </c>
    </row>
    <row r="54" spans="1:11" ht="13.95" customHeight="1" x14ac:dyDescent="0.3">
      <c r="A54" s="3">
        <v>45738</v>
      </c>
      <c r="B54" s="3" t="s">
        <v>671</v>
      </c>
      <c r="C54" s="3" t="s">
        <v>16</v>
      </c>
      <c r="D54" s="3" t="s">
        <v>14</v>
      </c>
      <c r="E54" s="4">
        <v>0.5</v>
      </c>
      <c r="F54" s="5">
        <v>1.95</v>
      </c>
      <c r="G54" s="6">
        <v>284</v>
      </c>
      <c r="H54" s="6">
        <v>2.2999999999999998</v>
      </c>
      <c r="I54" s="21">
        <f t="shared" si="5"/>
        <v>636.86999999999989</v>
      </c>
      <c r="J54" s="7" t="s">
        <v>551</v>
      </c>
      <c r="K54" s="17">
        <f t="shared" si="4"/>
        <v>3</v>
      </c>
    </row>
    <row r="55" spans="1:11" ht="13.95" customHeight="1" x14ac:dyDescent="0.3">
      <c r="A55" s="3">
        <v>45739</v>
      </c>
      <c r="B55" s="3" t="s">
        <v>671</v>
      </c>
      <c r="C55" s="3" t="s">
        <v>18</v>
      </c>
      <c r="D55" s="3" t="s">
        <v>9</v>
      </c>
      <c r="E55" s="4">
        <v>0.45</v>
      </c>
      <c r="F55" s="5">
        <v>1.6</v>
      </c>
      <c r="G55" s="6">
        <v>284</v>
      </c>
      <c r="H55" s="6">
        <v>2.2999999999999998</v>
      </c>
      <c r="I55" s="21">
        <f t="shared" si="5"/>
        <v>470.30400000000003</v>
      </c>
      <c r="J55" s="7" t="s">
        <v>552</v>
      </c>
      <c r="K55" s="17">
        <f t="shared" si="4"/>
        <v>3</v>
      </c>
    </row>
    <row r="56" spans="1:11" ht="13.95" customHeight="1" x14ac:dyDescent="0.3">
      <c r="A56" s="3">
        <v>45740</v>
      </c>
      <c r="B56" s="3" t="s">
        <v>671</v>
      </c>
      <c r="C56" s="3" t="s">
        <v>20</v>
      </c>
      <c r="D56" s="3" t="s">
        <v>9</v>
      </c>
      <c r="E56" s="4">
        <v>0.48</v>
      </c>
      <c r="F56" s="5">
        <v>1.62</v>
      </c>
      <c r="G56" s="6">
        <v>284</v>
      </c>
      <c r="H56" s="6">
        <v>2.2999999999999998</v>
      </c>
      <c r="I56" s="21">
        <f t="shared" si="5"/>
        <v>507.92831999999993</v>
      </c>
      <c r="J56" s="7" t="s">
        <v>553</v>
      </c>
      <c r="K56" s="17">
        <f t="shared" si="4"/>
        <v>3</v>
      </c>
    </row>
    <row r="57" spans="1:11" ht="13.95" customHeight="1" x14ac:dyDescent="0.3">
      <c r="A57" s="3">
        <v>45741</v>
      </c>
      <c r="B57" s="3" t="s">
        <v>671</v>
      </c>
      <c r="C57" s="3" t="s">
        <v>5</v>
      </c>
      <c r="D57" s="3" t="s">
        <v>9</v>
      </c>
      <c r="E57" s="4">
        <v>0.5</v>
      </c>
      <c r="F57" s="5">
        <v>1.65</v>
      </c>
      <c r="G57" s="6">
        <v>284</v>
      </c>
      <c r="H57" s="6">
        <v>2.2999999999999998</v>
      </c>
      <c r="I57" s="21">
        <f t="shared" si="5"/>
        <v>538.88999999999987</v>
      </c>
      <c r="J57" s="7" t="s">
        <v>553</v>
      </c>
      <c r="K57" s="17">
        <f t="shared" si="4"/>
        <v>3</v>
      </c>
    </row>
    <row r="58" spans="1:11" ht="13.95" customHeight="1" x14ac:dyDescent="0.3">
      <c r="A58" s="3">
        <v>45742</v>
      </c>
      <c r="B58" s="3" t="s">
        <v>671</v>
      </c>
      <c r="C58" s="3" t="s">
        <v>8</v>
      </c>
      <c r="D58" s="3" t="s">
        <v>9</v>
      </c>
      <c r="E58" s="4">
        <v>0.48</v>
      </c>
      <c r="F58" s="5">
        <v>1.6</v>
      </c>
      <c r="G58" s="6">
        <v>284</v>
      </c>
      <c r="H58" s="6">
        <v>2.2999999999999998</v>
      </c>
      <c r="I58" s="21">
        <f t="shared" si="5"/>
        <v>501.65759999999995</v>
      </c>
      <c r="J58" s="7" t="s">
        <v>553</v>
      </c>
      <c r="K58" s="17">
        <f t="shared" si="4"/>
        <v>3</v>
      </c>
    </row>
    <row r="59" spans="1:11" ht="13.95" customHeight="1" x14ac:dyDescent="0.3">
      <c r="A59" s="3">
        <v>45743</v>
      </c>
      <c r="B59" s="3" t="s">
        <v>671</v>
      </c>
      <c r="C59" s="3" t="s">
        <v>11</v>
      </c>
      <c r="D59" s="3" t="s">
        <v>9</v>
      </c>
      <c r="E59" s="4">
        <v>0.52</v>
      </c>
      <c r="F59" s="5">
        <v>1.85</v>
      </c>
      <c r="G59" s="6">
        <v>284</v>
      </c>
      <c r="H59" s="6">
        <v>2.2999999999999998</v>
      </c>
      <c r="I59" s="21">
        <f t="shared" si="5"/>
        <v>628.37840000000006</v>
      </c>
      <c r="J59" s="7" t="s">
        <v>82</v>
      </c>
      <c r="K59" s="17">
        <f t="shared" si="4"/>
        <v>3</v>
      </c>
    </row>
    <row r="60" spans="1:11" ht="13.95" customHeight="1" x14ac:dyDescent="0.3">
      <c r="A60" s="3">
        <v>45744</v>
      </c>
      <c r="B60" s="3" t="s">
        <v>671</v>
      </c>
      <c r="C60" s="3" t="s">
        <v>13</v>
      </c>
      <c r="D60" s="3" t="s">
        <v>14</v>
      </c>
      <c r="E60" s="4">
        <v>0.55000000000000004</v>
      </c>
      <c r="F60" s="5">
        <v>2.1</v>
      </c>
      <c r="G60" s="6">
        <v>284</v>
      </c>
      <c r="H60" s="6">
        <v>2.2999999999999998</v>
      </c>
      <c r="I60" s="21">
        <f t="shared" si="5"/>
        <v>754.44600000000003</v>
      </c>
      <c r="J60" s="7" t="s">
        <v>554</v>
      </c>
      <c r="K60" s="17">
        <f t="shared" si="4"/>
        <v>3</v>
      </c>
    </row>
    <row r="61" spans="1:11" ht="13.95" customHeight="1" x14ac:dyDescent="0.3">
      <c r="A61" s="3">
        <v>45745</v>
      </c>
      <c r="B61" s="3" t="s">
        <v>671</v>
      </c>
      <c r="C61" s="3" t="s">
        <v>16</v>
      </c>
      <c r="D61" s="3" t="s">
        <v>14</v>
      </c>
      <c r="E61" s="4">
        <v>0.52</v>
      </c>
      <c r="F61" s="5">
        <v>2.15</v>
      </c>
      <c r="G61" s="6">
        <v>284</v>
      </c>
      <c r="H61" s="6">
        <v>2.2999999999999998</v>
      </c>
      <c r="I61" s="21">
        <f t="shared" si="5"/>
        <v>730.27759999999989</v>
      </c>
      <c r="J61" s="7" t="s">
        <v>554</v>
      </c>
      <c r="K61" s="17">
        <f t="shared" si="4"/>
        <v>3</v>
      </c>
    </row>
    <row r="62" spans="1:11" ht="13.95" customHeight="1" x14ac:dyDescent="0.3">
      <c r="A62" s="3">
        <v>45746</v>
      </c>
      <c r="B62" s="3" t="s">
        <v>671</v>
      </c>
      <c r="C62" s="3" t="s">
        <v>18</v>
      </c>
      <c r="D62" s="3" t="s">
        <v>9</v>
      </c>
      <c r="E62" s="4">
        <v>0.45</v>
      </c>
      <c r="F62" s="5">
        <v>1.6</v>
      </c>
      <c r="G62" s="6">
        <v>284</v>
      </c>
      <c r="H62" s="6">
        <v>2.2999999999999998</v>
      </c>
      <c r="I62" s="21">
        <f t="shared" si="5"/>
        <v>470.30400000000003</v>
      </c>
      <c r="J62" s="7" t="s">
        <v>555</v>
      </c>
      <c r="K62" s="17">
        <f t="shared" si="4"/>
        <v>3</v>
      </c>
    </row>
    <row r="63" spans="1:11" ht="13.95" customHeight="1" x14ac:dyDescent="0.3">
      <c r="A63" s="3">
        <v>45747</v>
      </c>
      <c r="B63" s="3" t="s">
        <v>671</v>
      </c>
      <c r="C63" s="3" t="s">
        <v>20</v>
      </c>
      <c r="D63" s="3" t="s">
        <v>9</v>
      </c>
      <c r="E63" s="4">
        <v>0.48</v>
      </c>
      <c r="F63" s="5">
        <v>1.62</v>
      </c>
      <c r="G63" s="6">
        <v>284</v>
      </c>
      <c r="H63" s="6">
        <v>2.2999999999999998</v>
      </c>
      <c r="I63" s="21">
        <f t="shared" si="5"/>
        <v>507.92831999999993</v>
      </c>
      <c r="J63" s="7" t="s">
        <v>555</v>
      </c>
      <c r="K63" s="17">
        <f t="shared" si="4"/>
        <v>3</v>
      </c>
    </row>
    <row r="64" spans="1:11" ht="13.95" customHeight="1" x14ac:dyDescent="0.3">
      <c r="A64" s="3">
        <v>45689</v>
      </c>
      <c r="B64" s="3" t="s">
        <v>671</v>
      </c>
      <c r="C64" s="3" t="s">
        <v>16</v>
      </c>
      <c r="D64" s="3" t="s">
        <v>14</v>
      </c>
      <c r="E64" s="4">
        <v>0.68</v>
      </c>
      <c r="F64" s="5">
        <v>2.5499999999999998</v>
      </c>
      <c r="G64" s="6">
        <v>284</v>
      </c>
      <c r="H64" s="6">
        <v>2.2999999999999998</v>
      </c>
      <c r="I64" s="21">
        <f t="shared" si="5"/>
        <v>1132.6487999999999</v>
      </c>
      <c r="J64" s="7" t="s">
        <v>238</v>
      </c>
      <c r="K64" s="17">
        <f t="shared" si="4"/>
        <v>2</v>
      </c>
    </row>
    <row r="65" spans="1:11" ht="13.95" customHeight="1" x14ac:dyDescent="0.3">
      <c r="A65" s="3">
        <v>45690</v>
      </c>
      <c r="B65" s="3" t="s">
        <v>671</v>
      </c>
      <c r="C65" s="3" t="s">
        <v>18</v>
      </c>
      <c r="D65" s="3" t="s">
        <v>9</v>
      </c>
      <c r="E65" s="4">
        <v>0.72</v>
      </c>
      <c r="F65" s="5">
        <v>1.75</v>
      </c>
      <c r="G65" s="6">
        <v>284</v>
      </c>
      <c r="H65" s="6">
        <v>2.2999999999999998</v>
      </c>
      <c r="I65" s="21">
        <f t="shared" si="5"/>
        <v>823.03199999999981</v>
      </c>
      <c r="J65" s="7" t="s">
        <v>526</v>
      </c>
      <c r="K65" s="17">
        <f t="shared" si="4"/>
        <v>2</v>
      </c>
    </row>
    <row r="66" spans="1:11" ht="13.95" customHeight="1" x14ac:dyDescent="0.3">
      <c r="A66" s="3">
        <v>45691</v>
      </c>
      <c r="B66" s="3" t="s">
        <v>671</v>
      </c>
      <c r="C66" s="3" t="s">
        <v>20</v>
      </c>
      <c r="D66" s="3" t="s">
        <v>9</v>
      </c>
      <c r="E66" s="4">
        <v>0.78</v>
      </c>
      <c r="F66" s="5">
        <v>1.8</v>
      </c>
      <c r="G66" s="6">
        <v>284</v>
      </c>
      <c r="H66" s="6">
        <v>2.2999999999999998</v>
      </c>
      <c r="I66" s="21">
        <f t="shared" si="5"/>
        <v>917.09280000000001</v>
      </c>
      <c r="J66" s="7" t="s">
        <v>428</v>
      </c>
      <c r="K66" s="17">
        <f t="shared" si="4"/>
        <v>2</v>
      </c>
    </row>
    <row r="67" spans="1:11" ht="13.95" customHeight="1" x14ac:dyDescent="0.3">
      <c r="A67" s="3">
        <v>45692</v>
      </c>
      <c r="B67" s="3" t="s">
        <v>671</v>
      </c>
      <c r="C67" s="3" t="s">
        <v>5</v>
      </c>
      <c r="D67" s="3" t="s">
        <v>9</v>
      </c>
      <c r="E67" s="4">
        <v>0.82</v>
      </c>
      <c r="F67" s="5">
        <v>1.85</v>
      </c>
      <c r="G67" s="6">
        <v>284</v>
      </c>
      <c r="H67" s="6">
        <v>2.2999999999999998</v>
      </c>
      <c r="I67" s="21">
        <f t="shared" si="5"/>
        <v>990.9043999999999</v>
      </c>
      <c r="J67" s="7" t="s">
        <v>545</v>
      </c>
      <c r="K67" s="17">
        <f t="shared" si="4"/>
        <v>2</v>
      </c>
    </row>
    <row r="68" spans="1:11" ht="13.95" customHeight="1" x14ac:dyDescent="0.3">
      <c r="A68" s="3">
        <v>45693</v>
      </c>
      <c r="B68" s="3" t="s">
        <v>671</v>
      </c>
      <c r="C68" s="3" t="s">
        <v>8</v>
      </c>
      <c r="D68" s="3" t="s">
        <v>9</v>
      </c>
      <c r="E68" s="4">
        <v>0.75</v>
      </c>
      <c r="F68" s="5">
        <v>1.8</v>
      </c>
      <c r="G68" s="6">
        <v>284</v>
      </c>
      <c r="H68" s="6">
        <v>2.2999999999999998</v>
      </c>
      <c r="I68" s="21">
        <f t="shared" si="5"/>
        <v>881.81999999999994</v>
      </c>
      <c r="J68" s="7" t="s">
        <v>286</v>
      </c>
      <c r="K68" s="17">
        <f t="shared" si="4"/>
        <v>2</v>
      </c>
    </row>
    <row r="69" spans="1:11" ht="13.95" customHeight="1" x14ac:dyDescent="0.3">
      <c r="A69" s="3">
        <v>45694</v>
      </c>
      <c r="B69" s="3" t="s">
        <v>671</v>
      </c>
      <c r="C69" s="3" t="s">
        <v>11</v>
      </c>
      <c r="D69" s="3" t="s">
        <v>9</v>
      </c>
      <c r="E69" s="4">
        <v>0.72</v>
      </c>
      <c r="F69" s="5">
        <v>2.0499999999999998</v>
      </c>
      <c r="G69" s="6">
        <v>284</v>
      </c>
      <c r="H69" s="6">
        <v>2.2999999999999998</v>
      </c>
      <c r="I69" s="21">
        <f t="shared" si="5"/>
        <v>964.12319999999977</v>
      </c>
      <c r="J69" s="7" t="s">
        <v>485</v>
      </c>
      <c r="K69" s="17">
        <f t="shared" si="4"/>
        <v>2</v>
      </c>
    </row>
    <row r="70" spans="1:11" ht="13.95" customHeight="1" x14ac:dyDescent="0.3">
      <c r="A70" s="3">
        <v>45695</v>
      </c>
      <c r="B70" s="3" t="s">
        <v>671</v>
      </c>
      <c r="C70" s="3" t="s">
        <v>13</v>
      </c>
      <c r="D70" s="3" t="s">
        <v>14</v>
      </c>
      <c r="E70" s="4">
        <v>0.65</v>
      </c>
      <c r="F70" s="5">
        <v>2.4500000000000002</v>
      </c>
      <c r="G70" s="6">
        <v>284</v>
      </c>
      <c r="H70" s="6">
        <v>2.2999999999999998</v>
      </c>
      <c r="I70" s="21">
        <f t="shared" si="5"/>
        <v>1040.221</v>
      </c>
      <c r="J70" s="7" t="s">
        <v>390</v>
      </c>
      <c r="K70" s="17">
        <f t="shared" si="4"/>
        <v>2</v>
      </c>
    </row>
    <row r="71" spans="1:11" ht="13.95" customHeight="1" x14ac:dyDescent="0.3">
      <c r="A71" s="3">
        <v>45696</v>
      </c>
      <c r="B71" s="3" t="s">
        <v>671</v>
      </c>
      <c r="C71" s="3" t="s">
        <v>16</v>
      </c>
      <c r="D71" s="3" t="s">
        <v>14</v>
      </c>
      <c r="E71" s="4">
        <v>0.62</v>
      </c>
      <c r="F71" s="5">
        <v>2.5499999999999998</v>
      </c>
      <c r="G71" s="6">
        <v>284</v>
      </c>
      <c r="H71" s="6">
        <v>2.2999999999999998</v>
      </c>
      <c r="I71" s="21">
        <f t="shared" si="5"/>
        <v>1032.7091999999998</v>
      </c>
      <c r="J71" s="7" t="s">
        <v>69</v>
      </c>
      <c r="K71" s="17">
        <f t="shared" si="4"/>
        <v>2</v>
      </c>
    </row>
    <row r="72" spans="1:11" ht="13.95" customHeight="1" x14ac:dyDescent="0.3">
      <c r="A72" s="3">
        <v>45697</v>
      </c>
      <c r="B72" s="3" t="s">
        <v>671</v>
      </c>
      <c r="C72" s="3" t="s">
        <v>18</v>
      </c>
      <c r="D72" s="3" t="s">
        <v>9</v>
      </c>
      <c r="E72" s="4">
        <v>0.7</v>
      </c>
      <c r="F72" s="5">
        <v>1.75</v>
      </c>
      <c r="G72" s="6">
        <v>284</v>
      </c>
      <c r="H72" s="6">
        <v>2.2999999999999998</v>
      </c>
      <c r="I72" s="21">
        <f t="shared" si="5"/>
        <v>800.17</v>
      </c>
      <c r="J72" s="7" t="s">
        <v>65</v>
      </c>
      <c r="K72" s="17">
        <f t="shared" si="4"/>
        <v>2</v>
      </c>
    </row>
    <row r="73" spans="1:11" ht="13.95" customHeight="1" x14ac:dyDescent="0.3">
      <c r="A73" s="3">
        <v>45698</v>
      </c>
      <c r="B73" s="3" t="s">
        <v>671</v>
      </c>
      <c r="C73" s="3" t="s">
        <v>20</v>
      </c>
      <c r="D73" s="3" t="s">
        <v>9</v>
      </c>
      <c r="E73" s="4">
        <v>0.75</v>
      </c>
      <c r="F73" s="5">
        <v>1.8</v>
      </c>
      <c r="G73" s="6">
        <v>284</v>
      </c>
      <c r="H73" s="6">
        <v>2.2999999999999998</v>
      </c>
      <c r="I73" s="21">
        <f t="shared" si="5"/>
        <v>881.81999999999994</v>
      </c>
      <c r="J73" s="7" t="s">
        <v>286</v>
      </c>
      <c r="K73" s="17">
        <f t="shared" si="4"/>
        <v>2</v>
      </c>
    </row>
    <row r="74" spans="1:11" ht="13.95" customHeight="1" x14ac:dyDescent="0.3">
      <c r="A74" s="3">
        <v>45699</v>
      </c>
      <c r="B74" s="3" t="s">
        <v>671</v>
      </c>
      <c r="C74" s="3" t="s">
        <v>5</v>
      </c>
      <c r="D74" s="3" t="s">
        <v>9</v>
      </c>
      <c r="E74" s="4">
        <v>0.76</v>
      </c>
      <c r="F74" s="5">
        <v>1.82</v>
      </c>
      <c r="G74" s="6">
        <v>284</v>
      </c>
      <c r="H74" s="6">
        <v>2.2999999999999998</v>
      </c>
      <c r="I74" s="21">
        <f t="shared" si="5"/>
        <v>903.50623999999993</v>
      </c>
      <c r="J74" s="7" t="s">
        <v>428</v>
      </c>
      <c r="K74" s="17">
        <f t="shared" si="4"/>
        <v>2</v>
      </c>
    </row>
    <row r="75" spans="1:11" ht="13.95" customHeight="1" x14ac:dyDescent="0.3">
      <c r="A75" s="3">
        <v>45700</v>
      </c>
      <c r="B75" s="3" t="s">
        <v>671</v>
      </c>
      <c r="C75" s="3" t="s">
        <v>8</v>
      </c>
      <c r="D75" s="3" t="s">
        <v>9</v>
      </c>
      <c r="E75" s="4">
        <v>0.74</v>
      </c>
      <c r="F75" s="5">
        <v>1.78</v>
      </c>
      <c r="G75" s="6">
        <v>284</v>
      </c>
      <c r="H75" s="6">
        <v>2.2999999999999998</v>
      </c>
      <c r="I75" s="21">
        <f t="shared" si="5"/>
        <v>860.39503999999988</v>
      </c>
      <c r="J75" s="7" t="s">
        <v>286</v>
      </c>
      <c r="K75" s="17">
        <f t="shared" si="4"/>
        <v>2</v>
      </c>
    </row>
    <row r="76" spans="1:11" ht="13.95" customHeight="1" x14ac:dyDescent="0.3">
      <c r="A76" s="3">
        <v>45701</v>
      </c>
      <c r="B76" s="3" t="s">
        <v>671</v>
      </c>
      <c r="C76" s="3" t="s">
        <v>11</v>
      </c>
      <c r="D76" s="3" t="s">
        <v>9</v>
      </c>
      <c r="E76" s="4">
        <v>0.7</v>
      </c>
      <c r="F76" s="5">
        <v>2.15</v>
      </c>
      <c r="G76" s="6">
        <v>284</v>
      </c>
      <c r="H76" s="6">
        <v>2.2999999999999998</v>
      </c>
      <c r="I76" s="21">
        <f t="shared" si="5"/>
        <v>983.0659999999998</v>
      </c>
      <c r="J76" s="7" t="s">
        <v>556</v>
      </c>
      <c r="K76" s="17">
        <f t="shared" si="4"/>
        <v>2</v>
      </c>
    </row>
    <row r="77" spans="1:11" ht="13.95" customHeight="1" x14ac:dyDescent="0.3">
      <c r="A77" s="3">
        <v>45702</v>
      </c>
      <c r="B77" s="3" t="s">
        <v>671</v>
      </c>
      <c r="C77" s="3" t="s">
        <v>13</v>
      </c>
      <c r="D77" s="3" t="s">
        <v>557</v>
      </c>
      <c r="E77" s="4">
        <v>0.85</v>
      </c>
      <c r="F77" s="5">
        <v>2.65</v>
      </c>
      <c r="G77" s="6">
        <v>284</v>
      </c>
      <c r="H77" s="6">
        <v>2.2999999999999998</v>
      </c>
      <c r="I77" s="21">
        <f t="shared" si="5"/>
        <v>1471.3329999999996</v>
      </c>
      <c r="J77" s="7" t="s">
        <v>558</v>
      </c>
      <c r="K77" s="17">
        <f t="shared" si="4"/>
        <v>2</v>
      </c>
    </row>
    <row r="78" spans="1:11" ht="13.95" customHeight="1" x14ac:dyDescent="0.3">
      <c r="A78" s="3">
        <v>45703</v>
      </c>
      <c r="B78" s="3" t="s">
        <v>671</v>
      </c>
      <c r="C78" s="3" t="s">
        <v>16</v>
      </c>
      <c r="D78" s="3" t="s">
        <v>14</v>
      </c>
      <c r="E78" s="4">
        <v>0.8</v>
      </c>
      <c r="F78" s="5">
        <v>2.7</v>
      </c>
      <c r="G78" s="6">
        <v>284</v>
      </c>
      <c r="H78" s="6">
        <v>2.2999999999999998</v>
      </c>
      <c r="I78" s="21">
        <f t="shared" si="5"/>
        <v>1410.912</v>
      </c>
      <c r="J78" s="7" t="s">
        <v>559</v>
      </c>
      <c r="K78" s="17">
        <f t="shared" si="4"/>
        <v>2</v>
      </c>
    </row>
    <row r="79" spans="1:11" ht="13.95" customHeight="1" x14ac:dyDescent="0.3">
      <c r="A79" s="3">
        <v>45704</v>
      </c>
      <c r="B79" s="3" t="s">
        <v>671</v>
      </c>
      <c r="C79" s="3" t="s">
        <v>18</v>
      </c>
      <c r="D79" s="3" t="s">
        <v>9</v>
      </c>
      <c r="E79" s="4">
        <v>0.65</v>
      </c>
      <c r="F79" s="5">
        <v>1.75</v>
      </c>
      <c r="G79" s="6">
        <v>284</v>
      </c>
      <c r="H79" s="6">
        <v>2.2999999999999998</v>
      </c>
      <c r="I79" s="21">
        <f t="shared" si="5"/>
        <v>743.01499999999987</v>
      </c>
      <c r="J79" s="7" t="s">
        <v>286</v>
      </c>
      <c r="K79" s="17">
        <f t="shared" si="4"/>
        <v>2</v>
      </c>
    </row>
    <row r="80" spans="1:11" ht="13.95" customHeight="1" x14ac:dyDescent="0.3">
      <c r="A80" s="3">
        <v>45705</v>
      </c>
      <c r="B80" s="3" t="s">
        <v>671</v>
      </c>
      <c r="C80" s="3" t="s">
        <v>20</v>
      </c>
      <c r="D80" s="3" t="s">
        <v>9</v>
      </c>
      <c r="E80" s="4">
        <v>0.7</v>
      </c>
      <c r="F80" s="5">
        <v>1.78</v>
      </c>
      <c r="G80" s="6">
        <v>284</v>
      </c>
      <c r="H80" s="6">
        <v>2.2999999999999998</v>
      </c>
      <c r="I80" s="21">
        <f t="shared" si="5"/>
        <v>813.88719999999989</v>
      </c>
      <c r="J80" s="7" t="s">
        <v>286</v>
      </c>
      <c r="K80" s="17">
        <f t="shared" si="4"/>
        <v>2</v>
      </c>
    </row>
    <row r="81" spans="1:11" ht="13.95" customHeight="1" x14ac:dyDescent="0.3">
      <c r="A81" s="3">
        <v>45706</v>
      </c>
      <c r="B81" s="3" t="s">
        <v>671</v>
      </c>
      <c r="C81" s="3" t="s">
        <v>5</v>
      </c>
      <c r="D81" s="3" t="s">
        <v>9</v>
      </c>
      <c r="E81" s="4">
        <v>0.72</v>
      </c>
      <c r="F81" s="5">
        <v>1.82</v>
      </c>
      <c r="G81" s="6">
        <v>284</v>
      </c>
      <c r="H81" s="6">
        <v>2.2999999999999998</v>
      </c>
      <c r="I81" s="21">
        <f t="shared" si="5"/>
        <v>855.95327999999984</v>
      </c>
      <c r="J81" s="7" t="s">
        <v>143</v>
      </c>
      <c r="K81" s="17">
        <f t="shared" ref="K81:K144" si="6">MONTH(A81)</f>
        <v>2</v>
      </c>
    </row>
    <row r="82" spans="1:11" ht="13.95" customHeight="1" x14ac:dyDescent="0.3">
      <c r="A82" s="3">
        <v>45707</v>
      </c>
      <c r="B82" s="3" t="s">
        <v>671</v>
      </c>
      <c r="C82" s="3" t="s">
        <v>8</v>
      </c>
      <c r="D82" s="3" t="s">
        <v>9</v>
      </c>
      <c r="E82" s="4">
        <v>0.68</v>
      </c>
      <c r="F82" s="5">
        <v>1.78</v>
      </c>
      <c r="G82" s="6">
        <v>284</v>
      </c>
      <c r="H82" s="6">
        <v>2.2999999999999998</v>
      </c>
      <c r="I82" s="21">
        <f t="shared" si="5"/>
        <v>790.63328000000001</v>
      </c>
      <c r="J82" s="7" t="s">
        <v>286</v>
      </c>
      <c r="K82" s="17">
        <f t="shared" si="6"/>
        <v>2</v>
      </c>
    </row>
    <row r="83" spans="1:11" ht="13.95" customHeight="1" x14ac:dyDescent="0.3">
      <c r="A83" s="3">
        <v>45708</v>
      </c>
      <c r="B83" s="3" t="s">
        <v>671</v>
      </c>
      <c r="C83" s="3" t="s">
        <v>11</v>
      </c>
      <c r="D83" s="3" t="s">
        <v>9</v>
      </c>
      <c r="E83" s="4">
        <v>0.65</v>
      </c>
      <c r="F83" s="5">
        <v>2.0499999999999998</v>
      </c>
      <c r="G83" s="6">
        <v>284</v>
      </c>
      <c r="H83" s="6">
        <v>2.2999999999999998</v>
      </c>
      <c r="I83" s="21">
        <f t="shared" si="5"/>
        <v>870.38899999999978</v>
      </c>
      <c r="J83" s="7" t="s">
        <v>70</v>
      </c>
      <c r="K83" s="17">
        <f t="shared" si="6"/>
        <v>2</v>
      </c>
    </row>
    <row r="84" spans="1:11" ht="13.95" customHeight="1" x14ac:dyDescent="0.3">
      <c r="A84" s="3">
        <v>45709</v>
      </c>
      <c r="B84" s="3" t="s">
        <v>671</v>
      </c>
      <c r="C84" s="3" t="s">
        <v>13</v>
      </c>
      <c r="D84" s="3" t="s">
        <v>14</v>
      </c>
      <c r="E84" s="4">
        <v>0.68</v>
      </c>
      <c r="F84" s="5">
        <v>2.4500000000000002</v>
      </c>
      <c r="G84" s="6">
        <v>284</v>
      </c>
      <c r="H84" s="6">
        <v>2.2999999999999998</v>
      </c>
      <c r="I84" s="21">
        <f t="shared" si="5"/>
        <v>1088.2311999999999</v>
      </c>
      <c r="J84" s="7" t="s">
        <v>560</v>
      </c>
      <c r="K84" s="17">
        <f t="shared" si="6"/>
        <v>2</v>
      </c>
    </row>
    <row r="85" spans="1:11" ht="13.95" customHeight="1" x14ac:dyDescent="0.3">
      <c r="A85" s="3">
        <v>45710</v>
      </c>
      <c r="B85" s="3" t="s">
        <v>671</v>
      </c>
      <c r="C85" s="3" t="s">
        <v>16</v>
      </c>
      <c r="D85" s="3" t="s">
        <v>14</v>
      </c>
      <c r="E85" s="4">
        <v>0.65</v>
      </c>
      <c r="F85" s="5">
        <v>2.5499999999999998</v>
      </c>
      <c r="G85" s="6">
        <v>284</v>
      </c>
      <c r="H85" s="6">
        <v>2.2999999999999998</v>
      </c>
      <c r="I85" s="21">
        <f t="shared" si="5"/>
        <v>1082.6789999999996</v>
      </c>
      <c r="J85" s="7" t="s">
        <v>69</v>
      </c>
      <c r="K85" s="17">
        <f t="shared" si="6"/>
        <v>2</v>
      </c>
    </row>
    <row r="86" spans="1:11" ht="13.95" customHeight="1" x14ac:dyDescent="0.3">
      <c r="A86" s="3">
        <v>45711</v>
      </c>
      <c r="B86" s="3" t="s">
        <v>671</v>
      </c>
      <c r="C86" s="3" t="s">
        <v>18</v>
      </c>
      <c r="D86" s="3" t="s">
        <v>9</v>
      </c>
      <c r="E86" s="4">
        <v>0.72</v>
      </c>
      <c r="F86" s="5">
        <v>1.75</v>
      </c>
      <c r="G86" s="6">
        <v>284</v>
      </c>
      <c r="H86" s="6">
        <v>2.2999999999999998</v>
      </c>
      <c r="I86" s="21">
        <f t="shared" si="5"/>
        <v>823.03199999999981</v>
      </c>
      <c r="J86" s="7" t="s">
        <v>65</v>
      </c>
      <c r="K86" s="17">
        <f t="shared" si="6"/>
        <v>2</v>
      </c>
    </row>
    <row r="87" spans="1:11" ht="13.95" customHeight="1" x14ac:dyDescent="0.3">
      <c r="A87" s="3">
        <v>45712</v>
      </c>
      <c r="B87" s="3" t="s">
        <v>671</v>
      </c>
      <c r="C87" s="3" t="s">
        <v>20</v>
      </c>
      <c r="D87" s="3" t="s">
        <v>9</v>
      </c>
      <c r="E87" s="4">
        <v>0.75</v>
      </c>
      <c r="F87" s="5">
        <v>1.78</v>
      </c>
      <c r="G87" s="6">
        <v>284</v>
      </c>
      <c r="H87" s="6">
        <v>2.2999999999999998</v>
      </c>
      <c r="I87" s="21">
        <f t="shared" si="5"/>
        <v>872.02199999999993</v>
      </c>
      <c r="J87" s="7" t="s">
        <v>286</v>
      </c>
      <c r="K87" s="17">
        <f t="shared" si="6"/>
        <v>2</v>
      </c>
    </row>
    <row r="88" spans="1:11" ht="13.95" customHeight="1" x14ac:dyDescent="0.3">
      <c r="A88" s="3">
        <v>45713</v>
      </c>
      <c r="B88" s="3" t="s">
        <v>671</v>
      </c>
      <c r="C88" s="3" t="s">
        <v>5</v>
      </c>
      <c r="D88" s="3" t="s">
        <v>9</v>
      </c>
      <c r="E88" s="4">
        <v>0.78</v>
      </c>
      <c r="F88" s="5">
        <v>1.8</v>
      </c>
      <c r="G88" s="6">
        <v>284</v>
      </c>
      <c r="H88" s="6">
        <v>2.2999999999999998</v>
      </c>
      <c r="I88" s="21">
        <f t="shared" si="5"/>
        <v>917.09280000000001</v>
      </c>
      <c r="J88" s="7" t="s">
        <v>428</v>
      </c>
      <c r="K88" s="17">
        <f t="shared" si="6"/>
        <v>2</v>
      </c>
    </row>
    <row r="89" spans="1:11" ht="13.95" customHeight="1" x14ac:dyDescent="0.3">
      <c r="A89" s="3">
        <v>45714</v>
      </c>
      <c r="B89" s="3" t="s">
        <v>671</v>
      </c>
      <c r="C89" s="3" t="s">
        <v>8</v>
      </c>
      <c r="D89" s="3" t="s">
        <v>9</v>
      </c>
      <c r="E89" s="4">
        <v>0.75</v>
      </c>
      <c r="F89" s="5">
        <v>1.78</v>
      </c>
      <c r="G89" s="6">
        <v>284</v>
      </c>
      <c r="H89" s="6">
        <v>2.2999999999999998</v>
      </c>
      <c r="I89" s="21">
        <f t="shared" si="5"/>
        <v>872.02199999999993</v>
      </c>
      <c r="J89" s="7" t="s">
        <v>286</v>
      </c>
      <c r="K89" s="17">
        <f t="shared" si="6"/>
        <v>2</v>
      </c>
    </row>
    <row r="90" spans="1:11" ht="13.95" customHeight="1" x14ac:dyDescent="0.3">
      <c r="A90" s="3">
        <v>45715</v>
      </c>
      <c r="B90" s="3" t="s">
        <v>671</v>
      </c>
      <c r="C90" s="3" t="s">
        <v>11</v>
      </c>
      <c r="D90" s="3" t="s">
        <v>9</v>
      </c>
      <c r="E90" s="4">
        <v>0.7</v>
      </c>
      <c r="F90" s="5">
        <v>2.1</v>
      </c>
      <c r="G90" s="6">
        <v>284</v>
      </c>
      <c r="H90" s="6">
        <v>2.2999999999999998</v>
      </c>
      <c r="I90" s="21">
        <f t="shared" si="5"/>
        <v>960.20399999999995</v>
      </c>
      <c r="J90" s="7" t="s">
        <v>540</v>
      </c>
      <c r="K90" s="17">
        <f t="shared" si="6"/>
        <v>2</v>
      </c>
    </row>
    <row r="91" spans="1:11" ht="13.95" customHeight="1" x14ac:dyDescent="0.3">
      <c r="A91" s="3">
        <v>45716</v>
      </c>
      <c r="B91" s="3" t="s">
        <v>671</v>
      </c>
      <c r="C91" s="3" t="s">
        <v>13</v>
      </c>
      <c r="D91" s="3" t="s">
        <v>14</v>
      </c>
      <c r="E91" s="4">
        <v>0.72</v>
      </c>
      <c r="F91" s="5">
        <v>2.5</v>
      </c>
      <c r="G91" s="6">
        <v>284</v>
      </c>
      <c r="H91" s="6">
        <v>2.2999999999999998</v>
      </c>
      <c r="I91" s="21">
        <f t="shared" si="5"/>
        <v>1175.7599999999998</v>
      </c>
      <c r="J91" s="7" t="s">
        <v>543</v>
      </c>
      <c r="K91" s="17">
        <f t="shared" si="6"/>
        <v>2</v>
      </c>
    </row>
    <row r="92" spans="1:11" ht="13.95" customHeight="1" x14ac:dyDescent="0.3">
      <c r="A92" s="3">
        <v>45748</v>
      </c>
      <c r="B92" s="3" t="s">
        <v>671</v>
      </c>
      <c r="C92" s="3" t="s">
        <v>5</v>
      </c>
      <c r="D92" s="3" t="s">
        <v>9</v>
      </c>
      <c r="E92" s="4">
        <v>0.45</v>
      </c>
      <c r="F92" s="5">
        <v>1.62</v>
      </c>
      <c r="G92" s="6">
        <v>284</v>
      </c>
      <c r="H92" s="6">
        <v>2.2999999999999998</v>
      </c>
      <c r="I92" s="21">
        <f t="shared" ref="I92:I121" si="7">(G92*E92)*H92*F92</f>
        <v>476.18280000000004</v>
      </c>
      <c r="J92" s="7" t="s">
        <v>561</v>
      </c>
      <c r="K92" s="17">
        <f t="shared" si="6"/>
        <v>4</v>
      </c>
    </row>
    <row r="93" spans="1:11" ht="13.95" customHeight="1" x14ac:dyDescent="0.3">
      <c r="A93" s="3">
        <v>45749</v>
      </c>
      <c r="B93" s="3" t="s">
        <v>671</v>
      </c>
      <c r="C93" s="3" t="s">
        <v>8</v>
      </c>
      <c r="D93" s="3" t="s">
        <v>9</v>
      </c>
      <c r="E93" s="4">
        <v>0.48</v>
      </c>
      <c r="F93" s="5">
        <v>1.65</v>
      </c>
      <c r="G93" s="6">
        <v>284</v>
      </c>
      <c r="H93" s="6">
        <v>2.2999999999999998</v>
      </c>
      <c r="I93" s="21">
        <f t="shared" si="7"/>
        <v>517.33439999999985</v>
      </c>
      <c r="J93" s="7" t="s">
        <v>562</v>
      </c>
      <c r="K93" s="17">
        <f t="shared" si="6"/>
        <v>4</v>
      </c>
    </row>
    <row r="94" spans="1:11" ht="13.95" customHeight="1" x14ac:dyDescent="0.3">
      <c r="A94" s="3">
        <v>45750</v>
      </c>
      <c r="B94" s="3" t="s">
        <v>671</v>
      </c>
      <c r="C94" s="3" t="s">
        <v>11</v>
      </c>
      <c r="D94" s="3" t="s">
        <v>9</v>
      </c>
      <c r="E94" s="4">
        <v>0.5</v>
      </c>
      <c r="F94" s="5">
        <v>1.85</v>
      </c>
      <c r="G94" s="6">
        <v>284</v>
      </c>
      <c r="H94" s="6">
        <v>2.2999999999999998</v>
      </c>
      <c r="I94" s="21">
        <f t="shared" si="7"/>
        <v>604.20999999999992</v>
      </c>
      <c r="J94" s="7" t="s">
        <v>381</v>
      </c>
      <c r="K94" s="17">
        <f t="shared" si="6"/>
        <v>4</v>
      </c>
    </row>
    <row r="95" spans="1:11" ht="13.95" customHeight="1" x14ac:dyDescent="0.3">
      <c r="A95" s="3">
        <v>45751</v>
      </c>
      <c r="B95" s="3" t="s">
        <v>671</v>
      </c>
      <c r="C95" s="3" t="s">
        <v>13</v>
      </c>
      <c r="D95" s="3" t="s">
        <v>14</v>
      </c>
      <c r="E95" s="4">
        <v>0.55000000000000004</v>
      </c>
      <c r="F95" s="5">
        <v>2.15</v>
      </c>
      <c r="G95" s="6">
        <v>284</v>
      </c>
      <c r="H95" s="6">
        <v>2.2999999999999998</v>
      </c>
      <c r="I95" s="21">
        <f t="shared" si="7"/>
        <v>772.40899999999999</v>
      </c>
      <c r="J95" s="7" t="s">
        <v>563</v>
      </c>
      <c r="K95" s="17">
        <f t="shared" si="6"/>
        <v>4</v>
      </c>
    </row>
    <row r="96" spans="1:11" ht="13.95" customHeight="1" x14ac:dyDescent="0.3">
      <c r="A96" s="3">
        <v>45752</v>
      </c>
      <c r="B96" s="3" t="s">
        <v>671</v>
      </c>
      <c r="C96" s="3" t="s">
        <v>16</v>
      </c>
      <c r="D96" s="3" t="s">
        <v>14</v>
      </c>
      <c r="E96" s="4">
        <v>0.52</v>
      </c>
      <c r="F96" s="5">
        <v>2.2000000000000002</v>
      </c>
      <c r="G96" s="6">
        <v>284</v>
      </c>
      <c r="H96" s="6">
        <v>2.2999999999999998</v>
      </c>
      <c r="I96" s="21">
        <f t="shared" si="7"/>
        <v>747.26080000000002</v>
      </c>
      <c r="J96" s="7" t="s">
        <v>564</v>
      </c>
      <c r="K96" s="17">
        <f t="shared" si="6"/>
        <v>4</v>
      </c>
    </row>
    <row r="97" spans="1:11" ht="13.95" customHeight="1" x14ac:dyDescent="0.3">
      <c r="A97" s="3">
        <v>45753</v>
      </c>
      <c r="B97" s="3" t="s">
        <v>671</v>
      </c>
      <c r="C97" s="3" t="s">
        <v>18</v>
      </c>
      <c r="D97" s="3" t="s">
        <v>9</v>
      </c>
      <c r="E97" s="4">
        <v>0.42</v>
      </c>
      <c r="F97" s="5">
        <v>1.6</v>
      </c>
      <c r="G97" s="6">
        <v>284</v>
      </c>
      <c r="H97" s="6">
        <v>2.2999999999999998</v>
      </c>
      <c r="I97" s="21">
        <f t="shared" si="7"/>
        <v>438.9504</v>
      </c>
      <c r="J97" s="7" t="s">
        <v>565</v>
      </c>
      <c r="K97" s="17">
        <f t="shared" si="6"/>
        <v>4</v>
      </c>
    </row>
    <row r="98" spans="1:11" ht="13.95" customHeight="1" x14ac:dyDescent="0.3">
      <c r="A98" s="3">
        <v>45754</v>
      </c>
      <c r="B98" s="3" t="s">
        <v>671</v>
      </c>
      <c r="C98" s="3" t="s">
        <v>20</v>
      </c>
      <c r="D98" s="3" t="s">
        <v>9</v>
      </c>
      <c r="E98" s="4">
        <v>0.45</v>
      </c>
      <c r="F98" s="5">
        <v>1.62</v>
      </c>
      <c r="G98" s="6">
        <v>284</v>
      </c>
      <c r="H98" s="6">
        <v>2.2999999999999998</v>
      </c>
      <c r="I98" s="21">
        <f t="shared" si="7"/>
        <v>476.18280000000004</v>
      </c>
      <c r="J98" s="7" t="s">
        <v>555</v>
      </c>
      <c r="K98" s="17">
        <f t="shared" si="6"/>
        <v>4</v>
      </c>
    </row>
    <row r="99" spans="1:11" ht="13.95" customHeight="1" x14ac:dyDescent="0.3">
      <c r="A99" s="3">
        <v>45755</v>
      </c>
      <c r="B99" s="3" t="s">
        <v>671</v>
      </c>
      <c r="C99" s="3" t="s">
        <v>5</v>
      </c>
      <c r="D99" s="3" t="s">
        <v>9</v>
      </c>
      <c r="E99" s="4">
        <v>0.48</v>
      </c>
      <c r="F99" s="5">
        <v>1.65</v>
      </c>
      <c r="G99" s="6">
        <v>284</v>
      </c>
      <c r="H99" s="6">
        <v>2.2999999999999998</v>
      </c>
      <c r="I99" s="21">
        <f t="shared" si="7"/>
        <v>517.33439999999985</v>
      </c>
      <c r="J99" s="7" t="s">
        <v>555</v>
      </c>
      <c r="K99" s="17">
        <f t="shared" si="6"/>
        <v>4</v>
      </c>
    </row>
    <row r="100" spans="1:11" ht="13.95" customHeight="1" x14ac:dyDescent="0.3">
      <c r="A100" s="3">
        <v>45756</v>
      </c>
      <c r="B100" s="3" t="s">
        <v>671</v>
      </c>
      <c r="C100" s="3" t="s">
        <v>8</v>
      </c>
      <c r="D100" s="3" t="s">
        <v>122</v>
      </c>
      <c r="E100" s="4">
        <v>0.65</v>
      </c>
      <c r="F100" s="5">
        <v>2.35</v>
      </c>
      <c r="G100" s="6">
        <v>284</v>
      </c>
      <c r="H100" s="6">
        <v>2.2999999999999998</v>
      </c>
      <c r="I100" s="21">
        <f t="shared" si="7"/>
        <v>997.76299999999992</v>
      </c>
      <c r="J100" s="7" t="s">
        <v>566</v>
      </c>
      <c r="K100" s="17">
        <f t="shared" si="6"/>
        <v>4</v>
      </c>
    </row>
    <row r="101" spans="1:11" ht="13.95" customHeight="1" x14ac:dyDescent="0.3">
      <c r="A101" s="3">
        <v>45757</v>
      </c>
      <c r="B101" s="3" t="s">
        <v>671</v>
      </c>
      <c r="C101" s="3" t="s">
        <v>11</v>
      </c>
      <c r="D101" s="3" t="s">
        <v>9</v>
      </c>
      <c r="E101" s="4">
        <v>0.55000000000000004</v>
      </c>
      <c r="F101" s="5">
        <v>1.95</v>
      </c>
      <c r="G101" s="6">
        <v>284</v>
      </c>
      <c r="H101" s="6">
        <v>2.2999999999999998</v>
      </c>
      <c r="I101" s="21">
        <f t="shared" si="7"/>
        <v>700.55700000000002</v>
      </c>
      <c r="J101" s="7" t="s">
        <v>567</v>
      </c>
      <c r="K101" s="17">
        <f t="shared" si="6"/>
        <v>4</v>
      </c>
    </row>
    <row r="102" spans="1:11" ht="13.95" customHeight="1" x14ac:dyDescent="0.3">
      <c r="A102" s="3">
        <v>45758</v>
      </c>
      <c r="B102" s="3" t="s">
        <v>671</v>
      </c>
      <c r="C102" s="3" t="s">
        <v>13</v>
      </c>
      <c r="D102" s="3" t="s">
        <v>14</v>
      </c>
      <c r="E102" s="4">
        <v>0.6</v>
      </c>
      <c r="F102" s="5">
        <v>2.2000000000000002</v>
      </c>
      <c r="G102" s="6">
        <v>284</v>
      </c>
      <c r="H102" s="6">
        <v>2.2999999999999998</v>
      </c>
      <c r="I102" s="21">
        <f t="shared" si="7"/>
        <v>862.22399999999993</v>
      </c>
      <c r="J102" s="7" t="s">
        <v>554</v>
      </c>
      <c r="K102" s="17">
        <f t="shared" si="6"/>
        <v>4</v>
      </c>
    </row>
    <row r="103" spans="1:11" ht="13.95" customHeight="1" x14ac:dyDescent="0.3">
      <c r="A103" s="3">
        <v>45759</v>
      </c>
      <c r="B103" s="3" t="s">
        <v>671</v>
      </c>
      <c r="C103" s="3" t="s">
        <v>16</v>
      </c>
      <c r="D103" s="3" t="s">
        <v>14</v>
      </c>
      <c r="E103" s="4">
        <v>0.57999999999999996</v>
      </c>
      <c r="F103" s="5">
        <v>2.25</v>
      </c>
      <c r="G103" s="6">
        <v>284</v>
      </c>
      <c r="H103" s="6">
        <v>2.2999999999999998</v>
      </c>
      <c r="I103" s="21">
        <f t="shared" si="7"/>
        <v>852.42599999999993</v>
      </c>
      <c r="J103" s="7" t="s">
        <v>568</v>
      </c>
      <c r="K103" s="17">
        <f t="shared" si="6"/>
        <v>4</v>
      </c>
    </row>
    <row r="104" spans="1:11" ht="13.95" customHeight="1" x14ac:dyDescent="0.3">
      <c r="A104" s="3">
        <v>45760</v>
      </c>
      <c r="B104" s="3" t="s">
        <v>671</v>
      </c>
      <c r="C104" s="3" t="s">
        <v>18</v>
      </c>
      <c r="D104" s="3" t="s">
        <v>9</v>
      </c>
      <c r="E104" s="4">
        <v>0.5</v>
      </c>
      <c r="F104" s="5">
        <v>1.65</v>
      </c>
      <c r="G104" s="6">
        <v>284</v>
      </c>
      <c r="H104" s="6">
        <v>2.2999999999999998</v>
      </c>
      <c r="I104" s="21">
        <f t="shared" si="7"/>
        <v>538.88999999999987</v>
      </c>
      <c r="J104" s="7" t="s">
        <v>569</v>
      </c>
      <c r="K104" s="17">
        <f t="shared" si="6"/>
        <v>4</v>
      </c>
    </row>
    <row r="105" spans="1:11" ht="13.95" customHeight="1" x14ac:dyDescent="0.3">
      <c r="A105" s="3">
        <v>45761</v>
      </c>
      <c r="B105" s="3" t="s">
        <v>671</v>
      </c>
      <c r="C105" s="3" t="s">
        <v>20</v>
      </c>
      <c r="D105" s="3" t="s">
        <v>9</v>
      </c>
      <c r="E105" s="4">
        <v>0.55000000000000004</v>
      </c>
      <c r="F105" s="5">
        <v>1.7</v>
      </c>
      <c r="G105" s="6">
        <v>284</v>
      </c>
      <c r="H105" s="6">
        <v>2.2999999999999998</v>
      </c>
      <c r="I105" s="21">
        <f t="shared" si="7"/>
        <v>610.74199999999996</v>
      </c>
      <c r="J105" s="7" t="s">
        <v>570</v>
      </c>
      <c r="K105" s="17">
        <f t="shared" si="6"/>
        <v>4</v>
      </c>
    </row>
    <row r="106" spans="1:11" ht="13.95" customHeight="1" x14ac:dyDescent="0.3">
      <c r="A106" s="3">
        <v>45762</v>
      </c>
      <c r="B106" s="3" t="s">
        <v>671</v>
      </c>
      <c r="C106" s="3" t="s">
        <v>5</v>
      </c>
      <c r="D106" s="3" t="s">
        <v>9</v>
      </c>
      <c r="E106" s="4">
        <v>0.6</v>
      </c>
      <c r="F106" s="5">
        <v>1.85</v>
      </c>
      <c r="G106" s="6">
        <v>284</v>
      </c>
      <c r="H106" s="6">
        <v>2.2999999999999998</v>
      </c>
      <c r="I106" s="21">
        <f t="shared" si="7"/>
        <v>725.05199999999991</v>
      </c>
      <c r="J106" s="7" t="s">
        <v>571</v>
      </c>
      <c r="K106" s="17">
        <f t="shared" si="6"/>
        <v>4</v>
      </c>
    </row>
    <row r="107" spans="1:11" ht="13.95" customHeight="1" x14ac:dyDescent="0.3">
      <c r="A107" s="3">
        <v>45763</v>
      </c>
      <c r="B107" s="3" t="s">
        <v>671</v>
      </c>
      <c r="C107" s="3" t="s">
        <v>8</v>
      </c>
      <c r="D107" s="3" t="s">
        <v>9</v>
      </c>
      <c r="E107" s="4">
        <v>0.7</v>
      </c>
      <c r="F107" s="5">
        <v>2.1</v>
      </c>
      <c r="G107" s="6">
        <v>284</v>
      </c>
      <c r="H107" s="6">
        <v>2.2999999999999998</v>
      </c>
      <c r="I107" s="21">
        <f t="shared" si="7"/>
        <v>960.20399999999995</v>
      </c>
      <c r="J107" s="7" t="s">
        <v>572</v>
      </c>
      <c r="K107" s="17">
        <f t="shared" si="6"/>
        <v>4</v>
      </c>
    </row>
    <row r="108" spans="1:11" ht="13.95" customHeight="1" x14ac:dyDescent="0.3">
      <c r="A108" s="3">
        <v>45764</v>
      </c>
      <c r="B108" s="3" t="s">
        <v>671</v>
      </c>
      <c r="C108" s="3" t="s">
        <v>11</v>
      </c>
      <c r="D108" s="3" t="s">
        <v>9</v>
      </c>
      <c r="E108" s="4">
        <v>0.85</v>
      </c>
      <c r="F108" s="5">
        <v>2.4</v>
      </c>
      <c r="G108" s="6">
        <v>284</v>
      </c>
      <c r="H108" s="6">
        <v>2.2999999999999998</v>
      </c>
      <c r="I108" s="21">
        <f t="shared" si="7"/>
        <v>1332.5279999999998</v>
      </c>
      <c r="J108" s="7" t="s">
        <v>573</v>
      </c>
      <c r="K108" s="17">
        <f t="shared" si="6"/>
        <v>4</v>
      </c>
    </row>
    <row r="109" spans="1:11" ht="13.95" customHeight="1" x14ac:dyDescent="0.3">
      <c r="A109" s="3">
        <v>45765</v>
      </c>
      <c r="B109" s="3" t="s">
        <v>671</v>
      </c>
      <c r="C109" s="3" t="s">
        <v>13</v>
      </c>
      <c r="D109" s="3" t="s">
        <v>574</v>
      </c>
      <c r="E109" s="4">
        <v>0.95</v>
      </c>
      <c r="F109" s="5">
        <v>2.85</v>
      </c>
      <c r="G109" s="6">
        <v>284</v>
      </c>
      <c r="H109" s="6">
        <v>2.2999999999999998</v>
      </c>
      <c r="I109" s="21">
        <f t="shared" si="7"/>
        <v>1768.539</v>
      </c>
      <c r="J109" s="7" t="s">
        <v>575</v>
      </c>
      <c r="K109" s="17">
        <f t="shared" si="6"/>
        <v>4</v>
      </c>
    </row>
    <row r="110" spans="1:11" ht="13.95" customHeight="1" x14ac:dyDescent="0.3">
      <c r="A110" s="3">
        <v>45766</v>
      </c>
      <c r="B110" s="3" t="s">
        <v>671</v>
      </c>
      <c r="C110" s="3" t="s">
        <v>16</v>
      </c>
      <c r="D110" s="3" t="s">
        <v>574</v>
      </c>
      <c r="E110" s="4">
        <v>0.9</v>
      </c>
      <c r="F110" s="5">
        <v>2.8</v>
      </c>
      <c r="G110" s="6">
        <v>284</v>
      </c>
      <c r="H110" s="6">
        <v>2.2999999999999998</v>
      </c>
      <c r="I110" s="21">
        <f t="shared" si="7"/>
        <v>1646.0639999999999</v>
      </c>
      <c r="J110" s="7" t="s">
        <v>576</v>
      </c>
      <c r="K110" s="17">
        <f t="shared" si="6"/>
        <v>4</v>
      </c>
    </row>
    <row r="111" spans="1:11" ht="13.95" customHeight="1" x14ac:dyDescent="0.3">
      <c r="A111" s="3">
        <v>45767</v>
      </c>
      <c r="B111" s="3" t="s">
        <v>671</v>
      </c>
      <c r="C111" s="3" t="s">
        <v>18</v>
      </c>
      <c r="D111" s="3" t="s">
        <v>9</v>
      </c>
      <c r="E111" s="4">
        <v>0.6</v>
      </c>
      <c r="F111" s="5">
        <v>2</v>
      </c>
      <c r="G111" s="6">
        <v>284</v>
      </c>
      <c r="H111" s="6">
        <v>2.2999999999999998</v>
      </c>
      <c r="I111" s="21">
        <f t="shared" si="7"/>
        <v>783.83999999999992</v>
      </c>
      <c r="J111" s="7" t="s">
        <v>398</v>
      </c>
      <c r="K111" s="17">
        <f t="shared" si="6"/>
        <v>4</v>
      </c>
    </row>
    <row r="112" spans="1:11" ht="13.95" customHeight="1" x14ac:dyDescent="0.3">
      <c r="A112" s="3">
        <v>45768</v>
      </c>
      <c r="B112" s="3" t="s">
        <v>671</v>
      </c>
      <c r="C112" s="3" t="s">
        <v>20</v>
      </c>
      <c r="D112" s="3" t="s">
        <v>9</v>
      </c>
      <c r="E112" s="4">
        <v>0.7</v>
      </c>
      <c r="F112" s="5">
        <v>1.85</v>
      </c>
      <c r="G112" s="6">
        <v>284</v>
      </c>
      <c r="H112" s="6">
        <v>2.2999999999999998</v>
      </c>
      <c r="I112" s="21">
        <f t="shared" si="7"/>
        <v>845.89400000000001</v>
      </c>
      <c r="J112" s="7" t="s">
        <v>577</v>
      </c>
      <c r="K112" s="17">
        <f t="shared" si="6"/>
        <v>4</v>
      </c>
    </row>
    <row r="113" spans="1:11" ht="13.95" customHeight="1" x14ac:dyDescent="0.3">
      <c r="A113" s="3">
        <v>45769</v>
      </c>
      <c r="B113" s="3" t="s">
        <v>671</v>
      </c>
      <c r="C113" s="3" t="s">
        <v>5</v>
      </c>
      <c r="D113" s="3" t="s">
        <v>9</v>
      </c>
      <c r="E113" s="4">
        <v>0.78</v>
      </c>
      <c r="F113" s="5">
        <v>1.88</v>
      </c>
      <c r="G113" s="6">
        <v>284</v>
      </c>
      <c r="H113" s="6">
        <v>2.2999999999999998</v>
      </c>
      <c r="I113" s="21">
        <f t="shared" si="7"/>
        <v>957.8524799999999</v>
      </c>
      <c r="J113" s="7" t="s">
        <v>578</v>
      </c>
      <c r="K113" s="17">
        <f t="shared" si="6"/>
        <v>4</v>
      </c>
    </row>
    <row r="114" spans="1:11" ht="13.95" customHeight="1" x14ac:dyDescent="0.3">
      <c r="A114" s="3">
        <v>45770</v>
      </c>
      <c r="B114" s="3" t="s">
        <v>671</v>
      </c>
      <c r="C114" s="3" t="s">
        <v>8</v>
      </c>
      <c r="D114" s="3" t="s">
        <v>9</v>
      </c>
      <c r="E114" s="4">
        <v>0.75</v>
      </c>
      <c r="F114" s="5">
        <v>1.85</v>
      </c>
      <c r="G114" s="6">
        <v>284</v>
      </c>
      <c r="H114" s="6">
        <v>2.2999999999999998</v>
      </c>
      <c r="I114" s="21">
        <f t="shared" si="7"/>
        <v>906.31500000000005</v>
      </c>
      <c r="J114" s="7" t="s">
        <v>286</v>
      </c>
      <c r="K114" s="17">
        <f t="shared" si="6"/>
        <v>4</v>
      </c>
    </row>
    <row r="115" spans="1:11" ht="13.95" customHeight="1" x14ac:dyDescent="0.3">
      <c r="A115" s="3">
        <v>45771</v>
      </c>
      <c r="B115" s="3" t="s">
        <v>671</v>
      </c>
      <c r="C115" s="3" t="s">
        <v>11</v>
      </c>
      <c r="D115" s="3" t="s">
        <v>9</v>
      </c>
      <c r="E115" s="4">
        <v>0.72</v>
      </c>
      <c r="F115" s="5">
        <v>2.1</v>
      </c>
      <c r="G115" s="6">
        <v>284</v>
      </c>
      <c r="H115" s="6">
        <v>2.2999999999999998</v>
      </c>
      <c r="I115" s="21">
        <f t="shared" si="7"/>
        <v>987.63839999999982</v>
      </c>
      <c r="J115" s="7" t="s">
        <v>485</v>
      </c>
      <c r="K115" s="17">
        <f t="shared" si="6"/>
        <v>4</v>
      </c>
    </row>
    <row r="116" spans="1:11" ht="13.95" customHeight="1" x14ac:dyDescent="0.3">
      <c r="A116" s="3">
        <v>45772</v>
      </c>
      <c r="B116" s="3" t="s">
        <v>671</v>
      </c>
      <c r="C116" s="3" t="s">
        <v>13</v>
      </c>
      <c r="D116" s="3" t="s">
        <v>14</v>
      </c>
      <c r="E116" s="4">
        <v>0.8</v>
      </c>
      <c r="F116" s="5">
        <v>2.6</v>
      </c>
      <c r="G116" s="6">
        <v>284</v>
      </c>
      <c r="H116" s="6">
        <v>2.2999999999999998</v>
      </c>
      <c r="I116" s="21">
        <f t="shared" si="7"/>
        <v>1358.6559999999999</v>
      </c>
      <c r="J116" s="7" t="s">
        <v>546</v>
      </c>
      <c r="K116" s="17">
        <f t="shared" si="6"/>
        <v>4</v>
      </c>
    </row>
    <row r="117" spans="1:11" ht="13.95" customHeight="1" x14ac:dyDescent="0.3">
      <c r="A117" s="3">
        <v>45773</v>
      </c>
      <c r="B117" s="3" t="s">
        <v>671</v>
      </c>
      <c r="C117" s="3" t="s">
        <v>16</v>
      </c>
      <c r="D117" s="3" t="s">
        <v>14</v>
      </c>
      <c r="E117" s="4">
        <v>0.78</v>
      </c>
      <c r="F117" s="5">
        <v>2.5499999999999998</v>
      </c>
      <c r="G117" s="6">
        <v>284</v>
      </c>
      <c r="H117" s="6">
        <v>2.2999999999999998</v>
      </c>
      <c r="I117" s="21">
        <f t="shared" si="7"/>
        <v>1299.2148</v>
      </c>
      <c r="J117" s="7" t="s">
        <v>525</v>
      </c>
      <c r="K117" s="17">
        <f t="shared" si="6"/>
        <v>4</v>
      </c>
    </row>
    <row r="118" spans="1:11" ht="13.95" customHeight="1" x14ac:dyDescent="0.3">
      <c r="A118" s="3">
        <v>45774</v>
      </c>
      <c r="B118" s="3" t="s">
        <v>671</v>
      </c>
      <c r="C118" s="3" t="s">
        <v>18</v>
      </c>
      <c r="D118" s="3" t="s">
        <v>9</v>
      </c>
      <c r="E118" s="4">
        <v>0.75</v>
      </c>
      <c r="F118" s="5">
        <v>1.8</v>
      </c>
      <c r="G118" s="6">
        <v>284</v>
      </c>
      <c r="H118" s="6">
        <v>2.2999999999999998</v>
      </c>
      <c r="I118" s="21">
        <f t="shared" si="7"/>
        <v>881.81999999999994</v>
      </c>
      <c r="J118" s="7" t="s">
        <v>579</v>
      </c>
      <c r="K118" s="17">
        <f t="shared" si="6"/>
        <v>4</v>
      </c>
    </row>
    <row r="119" spans="1:11" ht="13.95" customHeight="1" x14ac:dyDescent="0.3">
      <c r="A119" s="3">
        <v>45775</v>
      </c>
      <c r="B119" s="3" t="s">
        <v>671</v>
      </c>
      <c r="C119" s="3" t="s">
        <v>20</v>
      </c>
      <c r="D119" s="3" t="s">
        <v>9</v>
      </c>
      <c r="E119" s="4">
        <v>0.78</v>
      </c>
      <c r="F119" s="5">
        <v>1.82</v>
      </c>
      <c r="G119" s="6">
        <v>284</v>
      </c>
      <c r="H119" s="6">
        <v>2.2999999999999998</v>
      </c>
      <c r="I119" s="21">
        <f t="shared" si="7"/>
        <v>927.28272000000004</v>
      </c>
      <c r="J119" s="7" t="s">
        <v>286</v>
      </c>
      <c r="K119" s="17">
        <f t="shared" si="6"/>
        <v>4</v>
      </c>
    </row>
    <row r="120" spans="1:11" ht="13.95" customHeight="1" x14ac:dyDescent="0.3">
      <c r="A120" s="3">
        <v>45776</v>
      </c>
      <c r="B120" s="3" t="s">
        <v>671</v>
      </c>
      <c r="C120" s="3" t="s">
        <v>5</v>
      </c>
      <c r="D120" s="3" t="s">
        <v>9</v>
      </c>
      <c r="E120" s="4">
        <v>0.8</v>
      </c>
      <c r="F120" s="5">
        <v>1.85</v>
      </c>
      <c r="G120" s="6">
        <v>284</v>
      </c>
      <c r="H120" s="6">
        <v>2.2999999999999998</v>
      </c>
      <c r="I120" s="21">
        <f t="shared" si="7"/>
        <v>966.73599999999999</v>
      </c>
      <c r="J120" s="7" t="s">
        <v>286</v>
      </c>
      <c r="K120" s="17">
        <f t="shared" si="6"/>
        <v>4</v>
      </c>
    </row>
    <row r="121" spans="1:11" ht="13.95" customHeight="1" x14ac:dyDescent="0.3">
      <c r="A121" s="3">
        <v>45777</v>
      </c>
      <c r="B121" s="3" t="s">
        <v>671</v>
      </c>
      <c r="C121" s="3" t="s">
        <v>8</v>
      </c>
      <c r="D121" s="3" t="s">
        <v>9</v>
      </c>
      <c r="E121" s="4">
        <v>0.85</v>
      </c>
      <c r="F121" s="5">
        <v>2</v>
      </c>
      <c r="G121" s="6">
        <v>284</v>
      </c>
      <c r="H121" s="6">
        <v>2.2999999999999998</v>
      </c>
      <c r="I121" s="21">
        <f t="shared" si="7"/>
        <v>1110.4399999999998</v>
      </c>
      <c r="J121" s="7" t="s">
        <v>580</v>
      </c>
      <c r="K121" s="17">
        <f t="shared" si="6"/>
        <v>4</v>
      </c>
    </row>
    <row r="122" spans="1:11" ht="13.95" customHeight="1" x14ac:dyDescent="0.3">
      <c r="A122" s="3">
        <v>45778</v>
      </c>
      <c r="B122" s="3" t="s">
        <v>671</v>
      </c>
      <c r="C122" s="3" t="s">
        <v>11</v>
      </c>
      <c r="D122" s="3" t="s">
        <v>134</v>
      </c>
      <c r="E122" s="4">
        <v>0.85</v>
      </c>
      <c r="F122" s="5">
        <v>2.6</v>
      </c>
      <c r="G122" s="6">
        <v>284</v>
      </c>
      <c r="H122" s="6">
        <v>2.2999999999999998</v>
      </c>
      <c r="I122" s="21">
        <f t="shared" ref="I122:I152" si="8">(G122*E122)*H122*F122</f>
        <v>1443.5719999999999</v>
      </c>
      <c r="J122" s="7" t="s">
        <v>581</v>
      </c>
      <c r="K122" s="17">
        <f t="shared" si="6"/>
        <v>5</v>
      </c>
    </row>
    <row r="123" spans="1:11" ht="13.95" customHeight="1" x14ac:dyDescent="0.3">
      <c r="A123" s="3">
        <v>45779</v>
      </c>
      <c r="B123" s="3" t="s">
        <v>671</v>
      </c>
      <c r="C123" s="3" t="s">
        <v>13</v>
      </c>
      <c r="D123" s="3" t="s">
        <v>14</v>
      </c>
      <c r="E123" s="4">
        <v>0.88</v>
      </c>
      <c r="F123" s="5">
        <v>2.65</v>
      </c>
      <c r="G123" s="6">
        <v>284</v>
      </c>
      <c r="H123" s="6">
        <v>2.2999999999999998</v>
      </c>
      <c r="I123" s="21">
        <f t="shared" si="8"/>
        <v>1523.2623999999998</v>
      </c>
      <c r="J123" s="7" t="s">
        <v>582</v>
      </c>
      <c r="K123" s="17">
        <f t="shared" si="6"/>
        <v>5</v>
      </c>
    </row>
    <row r="124" spans="1:11" ht="13.95" customHeight="1" x14ac:dyDescent="0.3">
      <c r="A124" s="3">
        <v>45780</v>
      </c>
      <c r="B124" s="3" t="s">
        <v>671</v>
      </c>
      <c r="C124" s="3" t="s">
        <v>16</v>
      </c>
      <c r="D124" s="3" t="s">
        <v>14</v>
      </c>
      <c r="E124" s="4">
        <v>0.8</v>
      </c>
      <c r="F124" s="5">
        <v>2.6</v>
      </c>
      <c r="G124" s="6">
        <v>284</v>
      </c>
      <c r="H124" s="6">
        <v>2.2999999999999998</v>
      </c>
      <c r="I124" s="21">
        <f t="shared" si="8"/>
        <v>1358.6559999999999</v>
      </c>
      <c r="J124" s="7" t="s">
        <v>525</v>
      </c>
      <c r="K124" s="17">
        <f t="shared" si="6"/>
        <v>5</v>
      </c>
    </row>
    <row r="125" spans="1:11" ht="13.95" customHeight="1" x14ac:dyDescent="0.3">
      <c r="A125" s="3">
        <v>45781</v>
      </c>
      <c r="B125" s="3" t="s">
        <v>671</v>
      </c>
      <c r="C125" s="3" t="s">
        <v>18</v>
      </c>
      <c r="D125" s="3" t="s">
        <v>9</v>
      </c>
      <c r="E125" s="4">
        <v>0.75</v>
      </c>
      <c r="F125" s="5">
        <v>1.85</v>
      </c>
      <c r="G125" s="6">
        <v>284</v>
      </c>
      <c r="H125" s="6">
        <v>2.2999999999999998</v>
      </c>
      <c r="I125" s="21">
        <f t="shared" si="8"/>
        <v>906.31500000000005</v>
      </c>
      <c r="J125" s="7" t="s">
        <v>428</v>
      </c>
      <c r="K125" s="17">
        <f t="shared" si="6"/>
        <v>5</v>
      </c>
    </row>
    <row r="126" spans="1:11" ht="13.95" customHeight="1" x14ac:dyDescent="0.3">
      <c r="A126" s="3">
        <v>45782</v>
      </c>
      <c r="B126" s="3" t="s">
        <v>671</v>
      </c>
      <c r="C126" s="3" t="s">
        <v>20</v>
      </c>
      <c r="D126" s="3" t="s">
        <v>9</v>
      </c>
      <c r="E126" s="4">
        <v>0.78</v>
      </c>
      <c r="F126" s="5">
        <v>1.88</v>
      </c>
      <c r="G126" s="6">
        <v>284</v>
      </c>
      <c r="H126" s="6">
        <v>2.2999999999999998</v>
      </c>
      <c r="I126" s="21">
        <f t="shared" si="8"/>
        <v>957.8524799999999</v>
      </c>
      <c r="J126" s="7" t="s">
        <v>583</v>
      </c>
      <c r="K126" s="17">
        <f t="shared" si="6"/>
        <v>5</v>
      </c>
    </row>
    <row r="127" spans="1:11" ht="13.95" customHeight="1" x14ac:dyDescent="0.3">
      <c r="A127" s="3">
        <v>45783</v>
      </c>
      <c r="B127" s="3" t="s">
        <v>671</v>
      </c>
      <c r="C127" s="3" t="s">
        <v>5</v>
      </c>
      <c r="D127" s="3" t="s">
        <v>9</v>
      </c>
      <c r="E127" s="4">
        <v>0.82</v>
      </c>
      <c r="F127" s="5">
        <v>1.9</v>
      </c>
      <c r="G127" s="6">
        <v>284</v>
      </c>
      <c r="H127" s="6">
        <v>2.2999999999999998</v>
      </c>
      <c r="I127" s="21">
        <f t="shared" si="8"/>
        <v>1017.6855999999998</v>
      </c>
      <c r="J127" s="7" t="s">
        <v>584</v>
      </c>
      <c r="K127" s="17">
        <f t="shared" si="6"/>
        <v>5</v>
      </c>
    </row>
    <row r="128" spans="1:11" ht="13.95" customHeight="1" x14ac:dyDescent="0.3">
      <c r="A128" s="3">
        <v>45784</v>
      </c>
      <c r="B128" s="3" t="s">
        <v>671</v>
      </c>
      <c r="C128" s="3" t="s">
        <v>8</v>
      </c>
      <c r="D128" s="3" t="s">
        <v>9</v>
      </c>
      <c r="E128" s="4">
        <v>0.8</v>
      </c>
      <c r="F128" s="5">
        <v>1.88</v>
      </c>
      <c r="G128" s="6">
        <v>284</v>
      </c>
      <c r="H128" s="6">
        <v>2.2999999999999998</v>
      </c>
      <c r="I128" s="21">
        <f t="shared" si="8"/>
        <v>982.41279999999983</v>
      </c>
      <c r="J128" s="7" t="s">
        <v>286</v>
      </c>
      <c r="K128" s="17">
        <f t="shared" si="6"/>
        <v>5</v>
      </c>
    </row>
    <row r="129" spans="1:11" ht="13.95" customHeight="1" x14ac:dyDescent="0.3">
      <c r="A129" s="3">
        <v>45785</v>
      </c>
      <c r="B129" s="3" t="s">
        <v>671</v>
      </c>
      <c r="C129" s="3" t="s">
        <v>11</v>
      </c>
      <c r="D129" s="3" t="s">
        <v>9</v>
      </c>
      <c r="E129" s="4">
        <v>0.75</v>
      </c>
      <c r="F129" s="5">
        <v>2.15</v>
      </c>
      <c r="G129" s="6">
        <v>284</v>
      </c>
      <c r="H129" s="6">
        <v>2.2999999999999998</v>
      </c>
      <c r="I129" s="21">
        <f t="shared" si="8"/>
        <v>1053.2849999999999</v>
      </c>
      <c r="J129" s="7" t="s">
        <v>585</v>
      </c>
      <c r="K129" s="17">
        <f t="shared" si="6"/>
        <v>5</v>
      </c>
    </row>
    <row r="130" spans="1:11" ht="13.95" customHeight="1" x14ac:dyDescent="0.3">
      <c r="A130" s="3">
        <v>45786</v>
      </c>
      <c r="B130" s="3" t="s">
        <v>671</v>
      </c>
      <c r="C130" s="3" t="s">
        <v>13</v>
      </c>
      <c r="D130" s="3" t="s">
        <v>14</v>
      </c>
      <c r="E130" s="4">
        <v>0.85</v>
      </c>
      <c r="F130" s="5">
        <v>2.7</v>
      </c>
      <c r="G130" s="6">
        <v>284</v>
      </c>
      <c r="H130" s="6">
        <v>2.2999999999999998</v>
      </c>
      <c r="I130" s="21">
        <f t="shared" si="8"/>
        <v>1499.0939999999998</v>
      </c>
      <c r="J130" s="7" t="s">
        <v>586</v>
      </c>
      <c r="K130" s="17">
        <f t="shared" si="6"/>
        <v>5</v>
      </c>
    </row>
    <row r="131" spans="1:11" ht="13.95" customHeight="1" x14ac:dyDescent="0.3">
      <c r="A131" s="3">
        <v>45787</v>
      </c>
      <c r="B131" s="3" t="s">
        <v>671</v>
      </c>
      <c r="C131" s="3" t="s">
        <v>16</v>
      </c>
      <c r="D131" s="3" t="s">
        <v>14</v>
      </c>
      <c r="E131" s="4">
        <v>0.82</v>
      </c>
      <c r="F131" s="5">
        <v>2.65</v>
      </c>
      <c r="G131" s="6">
        <v>284</v>
      </c>
      <c r="H131" s="6">
        <v>2.2999999999999998</v>
      </c>
      <c r="I131" s="21">
        <f t="shared" si="8"/>
        <v>1419.4035999999996</v>
      </c>
      <c r="J131" s="7" t="s">
        <v>69</v>
      </c>
      <c r="K131" s="17">
        <f t="shared" si="6"/>
        <v>5</v>
      </c>
    </row>
    <row r="132" spans="1:11" ht="13.95" customHeight="1" x14ac:dyDescent="0.3">
      <c r="A132" s="3">
        <v>45788</v>
      </c>
      <c r="B132" s="3" t="s">
        <v>671</v>
      </c>
      <c r="C132" s="3" t="s">
        <v>18</v>
      </c>
      <c r="D132" s="3" t="s">
        <v>9</v>
      </c>
      <c r="E132" s="4">
        <v>0.72</v>
      </c>
      <c r="F132" s="5">
        <v>1.82</v>
      </c>
      <c r="G132" s="6">
        <v>284</v>
      </c>
      <c r="H132" s="6">
        <v>2.2999999999999998</v>
      </c>
      <c r="I132" s="21">
        <f t="shared" si="8"/>
        <v>855.95327999999984</v>
      </c>
      <c r="J132" s="7" t="s">
        <v>65</v>
      </c>
      <c r="K132" s="17">
        <f t="shared" si="6"/>
        <v>5</v>
      </c>
    </row>
    <row r="133" spans="1:11" ht="13.95" customHeight="1" x14ac:dyDescent="0.3">
      <c r="A133" s="3">
        <v>45789</v>
      </c>
      <c r="B133" s="3" t="s">
        <v>671</v>
      </c>
      <c r="C133" s="3" t="s">
        <v>20</v>
      </c>
      <c r="D133" s="3" t="s">
        <v>9</v>
      </c>
      <c r="E133" s="4">
        <v>0.75</v>
      </c>
      <c r="F133" s="5">
        <v>1.85</v>
      </c>
      <c r="G133" s="6">
        <v>284</v>
      </c>
      <c r="H133" s="6">
        <v>2.2999999999999998</v>
      </c>
      <c r="I133" s="21">
        <f t="shared" si="8"/>
        <v>906.31500000000005</v>
      </c>
      <c r="J133" s="7" t="s">
        <v>286</v>
      </c>
      <c r="K133" s="17">
        <f t="shared" si="6"/>
        <v>5</v>
      </c>
    </row>
    <row r="134" spans="1:11" ht="13.95" customHeight="1" x14ac:dyDescent="0.3">
      <c r="A134" s="3">
        <v>45790</v>
      </c>
      <c r="B134" s="3" t="s">
        <v>671</v>
      </c>
      <c r="C134" s="3" t="s">
        <v>5</v>
      </c>
      <c r="D134" s="3" t="s">
        <v>9</v>
      </c>
      <c r="E134" s="4">
        <v>0.78</v>
      </c>
      <c r="F134" s="5">
        <v>1.88</v>
      </c>
      <c r="G134" s="6">
        <v>284</v>
      </c>
      <c r="H134" s="6">
        <v>2.2999999999999998</v>
      </c>
      <c r="I134" s="21">
        <f t="shared" si="8"/>
        <v>957.8524799999999</v>
      </c>
      <c r="J134" s="7" t="s">
        <v>286</v>
      </c>
      <c r="K134" s="17">
        <f t="shared" si="6"/>
        <v>5</v>
      </c>
    </row>
    <row r="135" spans="1:11" ht="13.95" customHeight="1" x14ac:dyDescent="0.3">
      <c r="A135" s="3">
        <v>45791</v>
      </c>
      <c r="B135" s="3" t="s">
        <v>671</v>
      </c>
      <c r="C135" s="3" t="s">
        <v>8</v>
      </c>
      <c r="D135" s="3" t="s">
        <v>9</v>
      </c>
      <c r="E135" s="4">
        <v>0.75</v>
      </c>
      <c r="F135" s="5">
        <v>1.85</v>
      </c>
      <c r="G135" s="6">
        <v>284</v>
      </c>
      <c r="H135" s="6">
        <v>2.2999999999999998</v>
      </c>
      <c r="I135" s="21">
        <f t="shared" si="8"/>
        <v>906.31500000000005</v>
      </c>
      <c r="J135" s="7" t="s">
        <v>286</v>
      </c>
      <c r="K135" s="17">
        <f t="shared" si="6"/>
        <v>5</v>
      </c>
    </row>
    <row r="136" spans="1:11" ht="13.95" customHeight="1" x14ac:dyDescent="0.3">
      <c r="A136" s="3">
        <v>45792</v>
      </c>
      <c r="B136" s="3" t="s">
        <v>671</v>
      </c>
      <c r="C136" s="3" t="s">
        <v>11</v>
      </c>
      <c r="D136" s="3" t="s">
        <v>9</v>
      </c>
      <c r="E136" s="4">
        <v>0.78</v>
      </c>
      <c r="F136" s="5">
        <v>2.2000000000000002</v>
      </c>
      <c r="G136" s="6">
        <v>284</v>
      </c>
      <c r="H136" s="6">
        <v>2.2999999999999998</v>
      </c>
      <c r="I136" s="21">
        <f t="shared" si="8"/>
        <v>1120.8912</v>
      </c>
      <c r="J136" s="7" t="s">
        <v>67</v>
      </c>
      <c r="K136" s="17">
        <f t="shared" si="6"/>
        <v>5</v>
      </c>
    </row>
    <row r="137" spans="1:11" ht="13.95" customHeight="1" x14ac:dyDescent="0.3">
      <c r="A137" s="3">
        <v>45793</v>
      </c>
      <c r="B137" s="3" t="s">
        <v>671</v>
      </c>
      <c r="C137" s="3" t="s">
        <v>13</v>
      </c>
      <c r="D137" s="3" t="s">
        <v>14</v>
      </c>
      <c r="E137" s="4">
        <v>0.9</v>
      </c>
      <c r="F137" s="5">
        <v>2.75</v>
      </c>
      <c r="G137" s="6">
        <v>284</v>
      </c>
      <c r="H137" s="6">
        <v>2.2999999999999998</v>
      </c>
      <c r="I137" s="21">
        <f t="shared" si="8"/>
        <v>1616.67</v>
      </c>
      <c r="J137" s="7" t="s">
        <v>587</v>
      </c>
      <c r="K137" s="17">
        <f t="shared" si="6"/>
        <v>5</v>
      </c>
    </row>
    <row r="138" spans="1:11" ht="13.95" customHeight="1" x14ac:dyDescent="0.3">
      <c r="A138" s="3">
        <v>45794</v>
      </c>
      <c r="B138" s="3" t="s">
        <v>671</v>
      </c>
      <c r="C138" s="3" t="s">
        <v>16</v>
      </c>
      <c r="D138" s="3" t="s">
        <v>14</v>
      </c>
      <c r="E138" s="4">
        <v>0.85</v>
      </c>
      <c r="F138" s="5">
        <v>2.65</v>
      </c>
      <c r="G138" s="6">
        <v>284</v>
      </c>
      <c r="H138" s="6">
        <v>2.2999999999999998</v>
      </c>
      <c r="I138" s="21">
        <f t="shared" si="8"/>
        <v>1471.3329999999996</v>
      </c>
      <c r="J138" s="7" t="s">
        <v>588</v>
      </c>
      <c r="K138" s="17">
        <f t="shared" si="6"/>
        <v>5</v>
      </c>
    </row>
    <row r="139" spans="1:11" ht="13.95" customHeight="1" x14ac:dyDescent="0.3">
      <c r="A139" s="3">
        <v>45795</v>
      </c>
      <c r="B139" s="3" t="s">
        <v>671</v>
      </c>
      <c r="C139" s="3" t="s">
        <v>18</v>
      </c>
      <c r="D139" s="3" t="s">
        <v>9</v>
      </c>
      <c r="E139" s="4">
        <v>0.75</v>
      </c>
      <c r="F139" s="5">
        <v>1.82</v>
      </c>
      <c r="G139" s="6">
        <v>284</v>
      </c>
      <c r="H139" s="6">
        <v>2.2999999999999998</v>
      </c>
      <c r="I139" s="21">
        <f t="shared" si="8"/>
        <v>891.61799999999994</v>
      </c>
      <c r="J139" s="7" t="s">
        <v>65</v>
      </c>
      <c r="K139" s="17">
        <f t="shared" si="6"/>
        <v>5</v>
      </c>
    </row>
    <row r="140" spans="1:11" ht="13.95" customHeight="1" x14ac:dyDescent="0.3">
      <c r="A140" s="3">
        <v>45796</v>
      </c>
      <c r="B140" s="3" t="s">
        <v>671</v>
      </c>
      <c r="C140" s="3" t="s">
        <v>20</v>
      </c>
      <c r="D140" s="3" t="s">
        <v>9</v>
      </c>
      <c r="E140" s="4">
        <v>0.78</v>
      </c>
      <c r="F140" s="5">
        <v>1.85</v>
      </c>
      <c r="G140" s="6">
        <v>284</v>
      </c>
      <c r="H140" s="6">
        <v>2.2999999999999998</v>
      </c>
      <c r="I140" s="21">
        <f t="shared" si="8"/>
        <v>942.56759999999997</v>
      </c>
      <c r="J140" s="7" t="s">
        <v>286</v>
      </c>
      <c r="K140" s="17">
        <f t="shared" si="6"/>
        <v>5</v>
      </c>
    </row>
    <row r="141" spans="1:11" ht="13.95" customHeight="1" x14ac:dyDescent="0.3">
      <c r="A141" s="3">
        <v>45797</v>
      </c>
      <c r="B141" s="3" t="s">
        <v>671</v>
      </c>
      <c r="C141" s="3" t="s">
        <v>5</v>
      </c>
      <c r="D141" s="3" t="s">
        <v>9</v>
      </c>
      <c r="E141" s="4">
        <v>0.8</v>
      </c>
      <c r="F141" s="5">
        <v>1.88</v>
      </c>
      <c r="G141" s="6">
        <v>284</v>
      </c>
      <c r="H141" s="6">
        <v>2.2999999999999998</v>
      </c>
      <c r="I141" s="21">
        <f t="shared" si="8"/>
        <v>982.41279999999983</v>
      </c>
      <c r="J141" s="7" t="s">
        <v>428</v>
      </c>
      <c r="K141" s="17">
        <f t="shared" si="6"/>
        <v>5</v>
      </c>
    </row>
    <row r="142" spans="1:11" ht="13.95" customHeight="1" x14ac:dyDescent="0.3">
      <c r="A142" s="3">
        <v>45798</v>
      </c>
      <c r="B142" s="3" t="s">
        <v>671</v>
      </c>
      <c r="C142" s="3" t="s">
        <v>8</v>
      </c>
      <c r="D142" s="3" t="s">
        <v>9</v>
      </c>
      <c r="E142" s="4">
        <v>0.78</v>
      </c>
      <c r="F142" s="5">
        <v>1.85</v>
      </c>
      <c r="G142" s="6">
        <v>284</v>
      </c>
      <c r="H142" s="6">
        <v>2.2999999999999998</v>
      </c>
      <c r="I142" s="21">
        <f t="shared" si="8"/>
        <v>942.56759999999997</v>
      </c>
      <c r="J142" s="7" t="s">
        <v>286</v>
      </c>
      <c r="K142" s="17">
        <f t="shared" si="6"/>
        <v>5</v>
      </c>
    </row>
    <row r="143" spans="1:11" ht="13.95" customHeight="1" x14ac:dyDescent="0.3">
      <c r="A143" s="3">
        <v>45799</v>
      </c>
      <c r="B143" s="3" t="s">
        <v>671</v>
      </c>
      <c r="C143" s="3" t="s">
        <v>11</v>
      </c>
      <c r="D143" s="3" t="s">
        <v>9</v>
      </c>
      <c r="E143" s="4">
        <v>0.75</v>
      </c>
      <c r="F143" s="5">
        <v>2.2000000000000002</v>
      </c>
      <c r="G143" s="6">
        <v>284</v>
      </c>
      <c r="H143" s="6">
        <v>2.2999999999999998</v>
      </c>
      <c r="I143" s="21">
        <f t="shared" si="8"/>
        <v>1077.78</v>
      </c>
      <c r="J143" s="7" t="s">
        <v>82</v>
      </c>
      <c r="K143" s="17">
        <f t="shared" si="6"/>
        <v>5</v>
      </c>
    </row>
    <row r="144" spans="1:11" ht="13.95" customHeight="1" x14ac:dyDescent="0.3">
      <c r="A144" s="3">
        <v>45800</v>
      </c>
      <c r="B144" s="3" t="s">
        <v>671</v>
      </c>
      <c r="C144" s="3" t="s">
        <v>13</v>
      </c>
      <c r="D144" s="3" t="s">
        <v>14</v>
      </c>
      <c r="E144" s="4">
        <v>0.82</v>
      </c>
      <c r="F144" s="5">
        <v>2.7</v>
      </c>
      <c r="G144" s="6">
        <v>284</v>
      </c>
      <c r="H144" s="6">
        <v>2.2999999999999998</v>
      </c>
      <c r="I144" s="21">
        <f t="shared" si="8"/>
        <v>1446.1847999999998</v>
      </c>
      <c r="J144" s="7" t="s">
        <v>542</v>
      </c>
      <c r="K144" s="17">
        <f t="shared" si="6"/>
        <v>5</v>
      </c>
    </row>
    <row r="145" spans="1:11" ht="13.95" customHeight="1" x14ac:dyDescent="0.3">
      <c r="A145" s="3">
        <v>45801</v>
      </c>
      <c r="B145" s="3" t="s">
        <v>671</v>
      </c>
      <c r="C145" s="3" t="s">
        <v>16</v>
      </c>
      <c r="D145" s="3" t="s">
        <v>14</v>
      </c>
      <c r="E145" s="4">
        <v>0.8</v>
      </c>
      <c r="F145" s="5">
        <v>2.6</v>
      </c>
      <c r="G145" s="6">
        <v>284</v>
      </c>
      <c r="H145" s="6">
        <v>2.2999999999999998</v>
      </c>
      <c r="I145" s="21">
        <f t="shared" si="8"/>
        <v>1358.6559999999999</v>
      </c>
      <c r="J145" s="7" t="s">
        <v>238</v>
      </c>
      <c r="K145" s="17">
        <f t="shared" ref="K145:K208" si="9">MONTH(A145)</f>
        <v>5</v>
      </c>
    </row>
    <row r="146" spans="1:11" ht="13.95" customHeight="1" x14ac:dyDescent="0.3">
      <c r="A146" s="3">
        <v>45802</v>
      </c>
      <c r="B146" s="3" t="s">
        <v>671</v>
      </c>
      <c r="C146" s="3" t="s">
        <v>18</v>
      </c>
      <c r="D146" s="3" t="s">
        <v>9</v>
      </c>
      <c r="E146" s="4">
        <v>0.7</v>
      </c>
      <c r="F146" s="5">
        <v>1.82</v>
      </c>
      <c r="G146" s="6">
        <v>284</v>
      </c>
      <c r="H146" s="6">
        <v>2.2999999999999998</v>
      </c>
      <c r="I146" s="21">
        <f t="shared" si="8"/>
        <v>832.17679999999996</v>
      </c>
      <c r="J146" s="7" t="s">
        <v>286</v>
      </c>
      <c r="K146" s="17">
        <f t="shared" si="9"/>
        <v>5</v>
      </c>
    </row>
    <row r="147" spans="1:11" ht="13.95" customHeight="1" x14ac:dyDescent="0.3">
      <c r="A147" s="3">
        <v>45803</v>
      </c>
      <c r="B147" s="3" t="s">
        <v>671</v>
      </c>
      <c r="C147" s="3" t="s">
        <v>20</v>
      </c>
      <c r="D147" s="3" t="s">
        <v>9</v>
      </c>
      <c r="E147" s="4">
        <v>0.72</v>
      </c>
      <c r="F147" s="5">
        <v>1.85</v>
      </c>
      <c r="G147" s="6">
        <v>284</v>
      </c>
      <c r="H147" s="6">
        <v>2.2999999999999998</v>
      </c>
      <c r="I147" s="21">
        <f t="shared" si="8"/>
        <v>870.06239999999991</v>
      </c>
      <c r="J147" s="7" t="s">
        <v>286</v>
      </c>
      <c r="K147" s="17">
        <f t="shared" si="9"/>
        <v>5</v>
      </c>
    </row>
    <row r="148" spans="1:11" ht="13.95" customHeight="1" x14ac:dyDescent="0.3">
      <c r="A148" s="3">
        <v>45804</v>
      </c>
      <c r="B148" s="3" t="s">
        <v>671</v>
      </c>
      <c r="C148" s="3" t="s">
        <v>5</v>
      </c>
      <c r="D148" s="3" t="s">
        <v>9</v>
      </c>
      <c r="E148" s="4">
        <v>0.75</v>
      </c>
      <c r="F148" s="5">
        <v>1.88</v>
      </c>
      <c r="G148" s="6">
        <v>284</v>
      </c>
      <c r="H148" s="6">
        <v>2.2999999999999998</v>
      </c>
      <c r="I148" s="21">
        <f t="shared" si="8"/>
        <v>921.01199999999994</v>
      </c>
      <c r="J148" s="7" t="s">
        <v>414</v>
      </c>
      <c r="K148" s="17">
        <f t="shared" si="9"/>
        <v>5</v>
      </c>
    </row>
    <row r="149" spans="1:11" ht="13.95" customHeight="1" x14ac:dyDescent="0.3">
      <c r="A149" s="3">
        <v>45805</v>
      </c>
      <c r="B149" s="3" t="s">
        <v>671</v>
      </c>
      <c r="C149" s="3" t="s">
        <v>8</v>
      </c>
      <c r="D149" s="3" t="s">
        <v>9</v>
      </c>
      <c r="E149" s="4">
        <v>0.72</v>
      </c>
      <c r="F149" s="5">
        <v>1.85</v>
      </c>
      <c r="G149" s="6">
        <v>284</v>
      </c>
      <c r="H149" s="6">
        <v>2.2999999999999998</v>
      </c>
      <c r="I149" s="21">
        <f t="shared" si="8"/>
        <v>870.06239999999991</v>
      </c>
      <c r="J149" s="7" t="s">
        <v>286</v>
      </c>
      <c r="K149" s="17">
        <f t="shared" si="9"/>
        <v>5</v>
      </c>
    </row>
    <row r="150" spans="1:11" ht="13.95" customHeight="1" x14ac:dyDescent="0.3">
      <c r="A150" s="3">
        <v>45806</v>
      </c>
      <c r="B150" s="3" t="s">
        <v>671</v>
      </c>
      <c r="C150" s="3" t="s">
        <v>11</v>
      </c>
      <c r="D150" s="3" t="s">
        <v>9</v>
      </c>
      <c r="E150" s="4">
        <v>0.75</v>
      </c>
      <c r="F150" s="5">
        <v>2.25</v>
      </c>
      <c r="G150" s="6">
        <v>284</v>
      </c>
      <c r="H150" s="6">
        <v>2.2999999999999998</v>
      </c>
      <c r="I150" s="21">
        <f t="shared" si="8"/>
        <v>1102.2749999999999</v>
      </c>
      <c r="J150" s="7" t="s">
        <v>589</v>
      </c>
      <c r="K150" s="17">
        <f t="shared" si="9"/>
        <v>5</v>
      </c>
    </row>
    <row r="151" spans="1:11" ht="13.95" customHeight="1" x14ac:dyDescent="0.3">
      <c r="A151" s="3">
        <v>45807</v>
      </c>
      <c r="B151" s="3" t="s">
        <v>671</v>
      </c>
      <c r="C151" s="3" t="s">
        <v>13</v>
      </c>
      <c r="D151" s="3" t="s">
        <v>14</v>
      </c>
      <c r="E151" s="4">
        <v>0.88</v>
      </c>
      <c r="F151" s="5">
        <v>2.75</v>
      </c>
      <c r="G151" s="6">
        <v>284</v>
      </c>
      <c r="H151" s="6">
        <v>2.2999999999999998</v>
      </c>
      <c r="I151" s="21">
        <f t="shared" si="8"/>
        <v>1580.7439999999997</v>
      </c>
      <c r="J151" s="7" t="s">
        <v>590</v>
      </c>
      <c r="K151" s="17">
        <f t="shared" si="9"/>
        <v>5</v>
      </c>
    </row>
    <row r="152" spans="1:11" ht="13.95" customHeight="1" x14ac:dyDescent="0.3">
      <c r="A152" s="3">
        <v>45808</v>
      </c>
      <c r="B152" s="3" t="s">
        <v>671</v>
      </c>
      <c r="C152" s="3" t="s">
        <v>16</v>
      </c>
      <c r="D152" s="3" t="s">
        <v>14</v>
      </c>
      <c r="E152" s="4">
        <v>0.85</v>
      </c>
      <c r="F152" s="5">
        <v>2.65</v>
      </c>
      <c r="G152" s="6">
        <v>284</v>
      </c>
      <c r="H152" s="6">
        <v>2.2999999999999998</v>
      </c>
      <c r="I152" s="21">
        <f t="shared" si="8"/>
        <v>1471.3329999999996</v>
      </c>
      <c r="J152" s="7" t="s">
        <v>69</v>
      </c>
      <c r="K152" s="17">
        <f t="shared" si="9"/>
        <v>5</v>
      </c>
    </row>
    <row r="153" spans="1:11" ht="13.95" customHeight="1" x14ac:dyDescent="0.3">
      <c r="A153" s="3">
        <v>45809</v>
      </c>
      <c r="B153" s="3" t="s">
        <v>671</v>
      </c>
      <c r="C153" s="3" t="s">
        <v>18</v>
      </c>
      <c r="D153" s="3" t="s">
        <v>9</v>
      </c>
      <c r="E153" s="4">
        <v>0.75</v>
      </c>
      <c r="F153" s="5">
        <v>1.82</v>
      </c>
      <c r="G153" s="6">
        <v>284</v>
      </c>
      <c r="H153" s="6">
        <v>2.2999999999999998</v>
      </c>
      <c r="I153" s="21">
        <f t="shared" ref="I153:I182" si="10">(G153*E153)*H153*F153</f>
        <v>891.61799999999994</v>
      </c>
      <c r="J153" s="7" t="s">
        <v>537</v>
      </c>
      <c r="K153" s="17">
        <f t="shared" si="9"/>
        <v>6</v>
      </c>
    </row>
    <row r="154" spans="1:11" ht="13.95" customHeight="1" x14ac:dyDescent="0.3">
      <c r="A154" s="3">
        <v>45810</v>
      </c>
      <c r="B154" s="3" t="s">
        <v>671</v>
      </c>
      <c r="C154" s="3" t="s">
        <v>20</v>
      </c>
      <c r="D154" s="3" t="s">
        <v>9</v>
      </c>
      <c r="E154" s="4">
        <v>0.78</v>
      </c>
      <c r="F154" s="5">
        <v>1.85</v>
      </c>
      <c r="G154" s="6">
        <v>284</v>
      </c>
      <c r="H154" s="6">
        <v>2.2999999999999998</v>
      </c>
      <c r="I154" s="21">
        <f t="shared" si="10"/>
        <v>942.56759999999997</v>
      </c>
      <c r="J154" s="7" t="s">
        <v>143</v>
      </c>
      <c r="K154" s="17">
        <f t="shared" si="9"/>
        <v>6</v>
      </c>
    </row>
    <row r="155" spans="1:11" ht="13.95" customHeight="1" x14ac:dyDescent="0.3">
      <c r="A155" s="3">
        <v>45811</v>
      </c>
      <c r="B155" s="3" t="s">
        <v>671</v>
      </c>
      <c r="C155" s="3" t="s">
        <v>5</v>
      </c>
      <c r="D155" s="3" t="s">
        <v>9</v>
      </c>
      <c r="E155" s="4">
        <v>0.8</v>
      </c>
      <c r="F155" s="5">
        <v>1.88</v>
      </c>
      <c r="G155" s="6">
        <v>284</v>
      </c>
      <c r="H155" s="6">
        <v>2.2999999999999998</v>
      </c>
      <c r="I155" s="21">
        <f t="shared" si="10"/>
        <v>982.41279999999983</v>
      </c>
      <c r="J155" s="7" t="s">
        <v>428</v>
      </c>
      <c r="K155" s="17">
        <f t="shared" si="9"/>
        <v>6</v>
      </c>
    </row>
    <row r="156" spans="1:11" ht="13.95" customHeight="1" x14ac:dyDescent="0.3">
      <c r="A156" s="3">
        <v>45812</v>
      </c>
      <c r="B156" s="3" t="s">
        <v>671</v>
      </c>
      <c r="C156" s="3" t="s">
        <v>8</v>
      </c>
      <c r="D156" s="3" t="s">
        <v>9</v>
      </c>
      <c r="E156" s="4">
        <v>0.78</v>
      </c>
      <c r="F156" s="5">
        <v>1.85</v>
      </c>
      <c r="G156" s="6">
        <v>284</v>
      </c>
      <c r="H156" s="6">
        <v>2.2999999999999998</v>
      </c>
      <c r="I156" s="21">
        <f t="shared" si="10"/>
        <v>942.56759999999997</v>
      </c>
      <c r="J156" s="7" t="s">
        <v>286</v>
      </c>
      <c r="K156" s="17">
        <f t="shared" si="9"/>
        <v>6</v>
      </c>
    </row>
    <row r="157" spans="1:11" ht="13.95" customHeight="1" x14ac:dyDescent="0.3">
      <c r="A157" s="3">
        <v>45813</v>
      </c>
      <c r="B157" s="3" t="s">
        <v>671</v>
      </c>
      <c r="C157" s="3" t="s">
        <v>11</v>
      </c>
      <c r="D157" s="3" t="s">
        <v>9</v>
      </c>
      <c r="E157" s="4">
        <v>0.75</v>
      </c>
      <c r="F157" s="5">
        <v>2.2000000000000002</v>
      </c>
      <c r="G157" s="6">
        <v>284</v>
      </c>
      <c r="H157" s="6">
        <v>2.2999999999999998</v>
      </c>
      <c r="I157" s="21">
        <f t="shared" si="10"/>
        <v>1077.78</v>
      </c>
      <c r="J157" s="7" t="s">
        <v>82</v>
      </c>
      <c r="K157" s="17">
        <f t="shared" si="9"/>
        <v>6</v>
      </c>
    </row>
    <row r="158" spans="1:11" ht="13.95" customHeight="1" x14ac:dyDescent="0.3">
      <c r="A158" s="3">
        <v>45814</v>
      </c>
      <c r="B158" s="3" t="s">
        <v>671</v>
      </c>
      <c r="C158" s="3" t="s">
        <v>13</v>
      </c>
      <c r="D158" s="3" t="s">
        <v>14</v>
      </c>
      <c r="E158" s="4">
        <v>0.85</v>
      </c>
      <c r="F158" s="5">
        <v>2.7</v>
      </c>
      <c r="G158" s="6">
        <v>284</v>
      </c>
      <c r="H158" s="6">
        <v>2.2999999999999998</v>
      </c>
      <c r="I158" s="21">
        <f t="shared" si="10"/>
        <v>1499.0939999999998</v>
      </c>
      <c r="J158" s="7" t="s">
        <v>591</v>
      </c>
      <c r="K158" s="17">
        <f t="shared" si="9"/>
        <v>6</v>
      </c>
    </row>
    <row r="159" spans="1:11" ht="13.95" customHeight="1" x14ac:dyDescent="0.3">
      <c r="A159" s="3">
        <v>45815</v>
      </c>
      <c r="B159" s="3" t="s">
        <v>671</v>
      </c>
      <c r="C159" s="3" t="s">
        <v>16</v>
      </c>
      <c r="D159" s="3" t="s">
        <v>14</v>
      </c>
      <c r="E159" s="4">
        <v>0.82</v>
      </c>
      <c r="F159" s="5">
        <v>2.65</v>
      </c>
      <c r="G159" s="6">
        <v>284</v>
      </c>
      <c r="H159" s="6">
        <v>2.2999999999999998</v>
      </c>
      <c r="I159" s="21">
        <f t="shared" si="10"/>
        <v>1419.4035999999996</v>
      </c>
      <c r="J159" s="7" t="s">
        <v>525</v>
      </c>
      <c r="K159" s="17">
        <f t="shared" si="9"/>
        <v>6</v>
      </c>
    </row>
    <row r="160" spans="1:11" ht="13.95" customHeight="1" x14ac:dyDescent="0.3">
      <c r="A160" s="3">
        <v>45816</v>
      </c>
      <c r="B160" s="3" t="s">
        <v>671</v>
      </c>
      <c r="C160" s="3" t="s">
        <v>18</v>
      </c>
      <c r="D160" s="3" t="s">
        <v>9</v>
      </c>
      <c r="E160" s="4">
        <v>0.72</v>
      </c>
      <c r="F160" s="5">
        <v>1.8</v>
      </c>
      <c r="G160" s="6">
        <v>284</v>
      </c>
      <c r="H160" s="6">
        <v>2.2999999999999998</v>
      </c>
      <c r="I160" s="21">
        <f t="shared" si="10"/>
        <v>846.54719999999986</v>
      </c>
      <c r="J160" s="7" t="s">
        <v>286</v>
      </c>
      <c r="K160" s="17">
        <f t="shared" si="9"/>
        <v>6</v>
      </c>
    </row>
    <row r="161" spans="1:11" ht="13.95" customHeight="1" x14ac:dyDescent="0.3">
      <c r="A161" s="3">
        <v>45817</v>
      </c>
      <c r="B161" s="3" t="s">
        <v>671</v>
      </c>
      <c r="C161" s="3" t="s">
        <v>20</v>
      </c>
      <c r="D161" s="3" t="s">
        <v>9</v>
      </c>
      <c r="E161" s="4">
        <v>0.75</v>
      </c>
      <c r="F161" s="5">
        <v>1.85</v>
      </c>
      <c r="G161" s="6">
        <v>284</v>
      </c>
      <c r="H161" s="6">
        <v>2.2999999999999998</v>
      </c>
      <c r="I161" s="21">
        <f t="shared" si="10"/>
        <v>906.31500000000005</v>
      </c>
      <c r="J161" s="7" t="s">
        <v>65</v>
      </c>
      <c r="K161" s="17">
        <f t="shared" si="9"/>
        <v>6</v>
      </c>
    </row>
    <row r="162" spans="1:11" ht="13.95" customHeight="1" x14ac:dyDescent="0.3">
      <c r="A162" s="3">
        <v>45818</v>
      </c>
      <c r="B162" s="3" t="s">
        <v>671</v>
      </c>
      <c r="C162" s="3" t="s">
        <v>5</v>
      </c>
      <c r="D162" s="3" t="s">
        <v>9</v>
      </c>
      <c r="E162" s="4">
        <v>0.8</v>
      </c>
      <c r="F162" s="5">
        <v>1.88</v>
      </c>
      <c r="G162" s="6">
        <v>284</v>
      </c>
      <c r="H162" s="6">
        <v>2.2999999999999998</v>
      </c>
      <c r="I162" s="21">
        <f t="shared" si="10"/>
        <v>982.41279999999983</v>
      </c>
      <c r="J162" s="7" t="s">
        <v>592</v>
      </c>
      <c r="K162" s="17">
        <f t="shared" si="9"/>
        <v>6</v>
      </c>
    </row>
    <row r="163" spans="1:11" ht="13.95" customHeight="1" x14ac:dyDescent="0.3">
      <c r="A163" s="3">
        <v>45819</v>
      </c>
      <c r="B163" s="3" t="s">
        <v>671</v>
      </c>
      <c r="C163" s="3" t="s">
        <v>8</v>
      </c>
      <c r="D163" s="3" t="s">
        <v>9</v>
      </c>
      <c r="E163" s="4">
        <v>0.78</v>
      </c>
      <c r="F163" s="5">
        <v>1.85</v>
      </c>
      <c r="G163" s="6">
        <v>284</v>
      </c>
      <c r="H163" s="6">
        <v>2.2999999999999998</v>
      </c>
      <c r="I163" s="21">
        <f t="shared" si="10"/>
        <v>942.56759999999997</v>
      </c>
      <c r="J163" s="7" t="s">
        <v>286</v>
      </c>
      <c r="K163" s="17">
        <f t="shared" si="9"/>
        <v>6</v>
      </c>
    </row>
    <row r="164" spans="1:11" ht="13.95" customHeight="1" x14ac:dyDescent="0.3">
      <c r="A164" s="3">
        <v>45820</v>
      </c>
      <c r="B164" s="3" t="s">
        <v>671</v>
      </c>
      <c r="C164" s="3" t="s">
        <v>11</v>
      </c>
      <c r="D164" s="3" t="s">
        <v>9</v>
      </c>
      <c r="E164" s="4">
        <v>0.8</v>
      </c>
      <c r="F164" s="5">
        <v>2.2999999999999998</v>
      </c>
      <c r="G164" s="6">
        <v>284</v>
      </c>
      <c r="H164" s="6">
        <v>2.2999999999999998</v>
      </c>
      <c r="I164" s="21">
        <f t="shared" si="10"/>
        <v>1201.8879999999997</v>
      </c>
      <c r="J164" s="7" t="s">
        <v>593</v>
      </c>
      <c r="K164" s="17">
        <f t="shared" si="9"/>
        <v>6</v>
      </c>
    </row>
    <row r="165" spans="1:11" ht="13.95" customHeight="1" x14ac:dyDescent="0.3">
      <c r="A165" s="3">
        <v>45821</v>
      </c>
      <c r="B165" s="3" t="s">
        <v>671</v>
      </c>
      <c r="C165" s="3" t="s">
        <v>13</v>
      </c>
      <c r="D165" s="3" t="s">
        <v>14</v>
      </c>
      <c r="E165" s="4">
        <v>0.88</v>
      </c>
      <c r="F165" s="5">
        <v>2.75</v>
      </c>
      <c r="G165" s="6">
        <v>284</v>
      </c>
      <c r="H165" s="6">
        <v>2.2999999999999998</v>
      </c>
      <c r="I165" s="21">
        <f t="shared" si="10"/>
        <v>1580.7439999999997</v>
      </c>
      <c r="J165" s="7" t="s">
        <v>594</v>
      </c>
      <c r="K165" s="17">
        <f t="shared" si="9"/>
        <v>6</v>
      </c>
    </row>
    <row r="166" spans="1:11" ht="13.95" customHeight="1" x14ac:dyDescent="0.3">
      <c r="A166" s="3">
        <v>45822</v>
      </c>
      <c r="B166" s="3" t="s">
        <v>671</v>
      </c>
      <c r="C166" s="3" t="s">
        <v>16</v>
      </c>
      <c r="D166" s="3" t="s">
        <v>14</v>
      </c>
      <c r="E166" s="4">
        <v>0.85</v>
      </c>
      <c r="F166" s="5">
        <v>2.65</v>
      </c>
      <c r="G166" s="6">
        <v>284</v>
      </c>
      <c r="H166" s="6">
        <v>2.2999999999999998</v>
      </c>
      <c r="I166" s="21">
        <f t="shared" si="10"/>
        <v>1471.3329999999996</v>
      </c>
      <c r="J166" s="7" t="s">
        <v>69</v>
      </c>
      <c r="K166" s="17">
        <f t="shared" si="9"/>
        <v>6</v>
      </c>
    </row>
    <row r="167" spans="1:11" ht="13.95" customHeight="1" x14ac:dyDescent="0.3">
      <c r="A167" s="3">
        <v>45823</v>
      </c>
      <c r="B167" s="3" t="s">
        <v>671</v>
      </c>
      <c r="C167" s="3" t="s">
        <v>18</v>
      </c>
      <c r="D167" s="3" t="s">
        <v>9</v>
      </c>
      <c r="E167" s="4">
        <v>0.7</v>
      </c>
      <c r="F167" s="5">
        <v>1.8</v>
      </c>
      <c r="G167" s="6">
        <v>284</v>
      </c>
      <c r="H167" s="6">
        <v>2.2999999999999998</v>
      </c>
      <c r="I167" s="21">
        <f t="shared" si="10"/>
        <v>823.03199999999993</v>
      </c>
      <c r="J167" s="7" t="s">
        <v>527</v>
      </c>
      <c r="K167" s="17">
        <f t="shared" si="9"/>
        <v>6</v>
      </c>
    </row>
    <row r="168" spans="1:11" ht="13.95" customHeight="1" x14ac:dyDescent="0.3">
      <c r="A168" s="3">
        <v>45824</v>
      </c>
      <c r="B168" s="3" t="s">
        <v>671</v>
      </c>
      <c r="C168" s="3" t="s">
        <v>20</v>
      </c>
      <c r="D168" s="3" t="s">
        <v>9</v>
      </c>
      <c r="E168" s="4">
        <v>0.72</v>
      </c>
      <c r="F168" s="5">
        <v>1.82</v>
      </c>
      <c r="G168" s="6">
        <v>284</v>
      </c>
      <c r="H168" s="6">
        <v>2.2999999999999998</v>
      </c>
      <c r="I168" s="21">
        <f t="shared" si="10"/>
        <v>855.95327999999984</v>
      </c>
      <c r="J168" s="7" t="s">
        <v>286</v>
      </c>
      <c r="K168" s="17">
        <f t="shared" si="9"/>
        <v>6</v>
      </c>
    </row>
    <row r="169" spans="1:11" ht="13.95" customHeight="1" x14ac:dyDescent="0.3">
      <c r="A169" s="3">
        <v>45825</v>
      </c>
      <c r="B169" s="3" t="s">
        <v>671</v>
      </c>
      <c r="C169" s="3" t="s">
        <v>5</v>
      </c>
      <c r="D169" s="3" t="s">
        <v>9</v>
      </c>
      <c r="E169" s="4">
        <v>0.75</v>
      </c>
      <c r="F169" s="5">
        <v>1.85</v>
      </c>
      <c r="G169" s="6">
        <v>284</v>
      </c>
      <c r="H169" s="6">
        <v>2.2999999999999998</v>
      </c>
      <c r="I169" s="21">
        <f t="shared" si="10"/>
        <v>906.31500000000005</v>
      </c>
      <c r="J169" s="7" t="s">
        <v>286</v>
      </c>
      <c r="K169" s="17">
        <f t="shared" si="9"/>
        <v>6</v>
      </c>
    </row>
    <row r="170" spans="1:11" ht="13.95" customHeight="1" x14ac:dyDescent="0.3">
      <c r="A170" s="3">
        <v>45826</v>
      </c>
      <c r="B170" s="3" t="s">
        <v>671</v>
      </c>
      <c r="C170" s="3" t="s">
        <v>8</v>
      </c>
      <c r="D170" s="3" t="s">
        <v>9</v>
      </c>
      <c r="E170" s="4">
        <v>0.7</v>
      </c>
      <c r="F170" s="5">
        <v>1.8</v>
      </c>
      <c r="G170" s="6">
        <v>284</v>
      </c>
      <c r="H170" s="6">
        <v>2.2999999999999998</v>
      </c>
      <c r="I170" s="21">
        <f t="shared" si="10"/>
        <v>823.03199999999993</v>
      </c>
      <c r="J170" s="7" t="s">
        <v>286</v>
      </c>
      <c r="K170" s="17">
        <f t="shared" si="9"/>
        <v>6</v>
      </c>
    </row>
    <row r="171" spans="1:11" ht="13.95" customHeight="1" x14ac:dyDescent="0.3">
      <c r="A171" s="3">
        <v>45827</v>
      </c>
      <c r="B171" s="3" t="s">
        <v>671</v>
      </c>
      <c r="C171" s="3" t="s">
        <v>11</v>
      </c>
      <c r="D171" s="3" t="s">
        <v>9</v>
      </c>
      <c r="E171" s="4">
        <v>0.75</v>
      </c>
      <c r="F171" s="5">
        <v>2.25</v>
      </c>
      <c r="G171" s="6">
        <v>284</v>
      </c>
      <c r="H171" s="6">
        <v>2.2999999999999998</v>
      </c>
      <c r="I171" s="21">
        <f t="shared" si="10"/>
        <v>1102.2749999999999</v>
      </c>
      <c r="J171" s="7" t="s">
        <v>390</v>
      </c>
      <c r="K171" s="17">
        <f t="shared" si="9"/>
        <v>6</v>
      </c>
    </row>
    <row r="172" spans="1:11" ht="13.95" customHeight="1" x14ac:dyDescent="0.3">
      <c r="A172" s="3">
        <v>45828</v>
      </c>
      <c r="B172" s="3" t="s">
        <v>671</v>
      </c>
      <c r="C172" s="3" t="s">
        <v>13</v>
      </c>
      <c r="D172" s="3" t="s">
        <v>14</v>
      </c>
      <c r="E172" s="4">
        <v>0.82</v>
      </c>
      <c r="F172" s="5">
        <v>2.7</v>
      </c>
      <c r="G172" s="6">
        <v>284</v>
      </c>
      <c r="H172" s="6">
        <v>2.2999999999999998</v>
      </c>
      <c r="I172" s="21">
        <f t="shared" si="10"/>
        <v>1446.1847999999998</v>
      </c>
      <c r="J172" s="7" t="s">
        <v>595</v>
      </c>
      <c r="K172" s="17">
        <f t="shared" si="9"/>
        <v>6</v>
      </c>
    </row>
    <row r="173" spans="1:11" ht="13.95" customHeight="1" x14ac:dyDescent="0.3">
      <c r="A173" s="3">
        <v>45829</v>
      </c>
      <c r="B173" s="3" t="s">
        <v>671</v>
      </c>
      <c r="C173" s="3" t="s">
        <v>16</v>
      </c>
      <c r="D173" s="3" t="s">
        <v>14</v>
      </c>
      <c r="E173" s="4">
        <v>0.8</v>
      </c>
      <c r="F173" s="5">
        <v>2.65</v>
      </c>
      <c r="G173" s="6">
        <v>284</v>
      </c>
      <c r="H173" s="6">
        <v>2.2999999999999998</v>
      </c>
      <c r="I173" s="21">
        <f t="shared" si="10"/>
        <v>1384.7839999999999</v>
      </c>
      <c r="J173" s="7" t="s">
        <v>69</v>
      </c>
      <c r="K173" s="17">
        <f t="shared" si="9"/>
        <v>6</v>
      </c>
    </row>
    <row r="174" spans="1:11" ht="13.95" customHeight="1" x14ac:dyDescent="0.3">
      <c r="A174" s="3">
        <v>45830</v>
      </c>
      <c r="B174" s="3" t="s">
        <v>671</v>
      </c>
      <c r="C174" s="3" t="s">
        <v>18</v>
      </c>
      <c r="D174" s="3" t="s">
        <v>9</v>
      </c>
      <c r="E174" s="4">
        <v>0.7</v>
      </c>
      <c r="F174" s="5">
        <v>1.8</v>
      </c>
      <c r="G174" s="6">
        <v>284</v>
      </c>
      <c r="H174" s="6">
        <v>2.2999999999999998</v>
      </c>
      <c r="I174" s="21">
        <f t="shared" si="10"/>
        <v>823.03199999999993</v>
      </c>
      <c r="J174" s="7" t="s">
        <v>286</v>
      </c>
      <c r="K174" s="17">
        <f t="shared" si="9"/>
        <v>6</v>
      </c>
    </row>
    <row r="175" spans="1:11" ht="13.95" customHeight="1" x14ac:dyDescent="0.3">
      <c r="A175" s="3">
        <v>45831</v>
      </c>
      <c r="B175" s="3" t="s">
        <v>671</v>
      </c>
      <c r="C175" s="3" t="s">
        <v>20</v>
      </c>
      <c r="D175" s="3" t="s">
        <v>9</v>
      </c>
      <c r="E175" s="4">
        <v>0.72</v>
      </c>
      <c r="F175" s="5">
        <v>1.82</v>
      </c>
      <c r="G175" s="6">
        <v>284</v>
      </c>
      <c r="H175" s="6">
        <v>2.2999999999999998</v>
      </c>
      <c r="I175" s="21">
        <f t="shared" si="10"/>
        <v>855.95327999999984</v>
      </c>
      <c r="J175" s="7" t="s">
        <v>65</v>
      </c>
      <c r="K175" s="17">
        <f t="shared" si="9"/>
        <v>6</v>
      </c>
    </row>
    <row r="176" spans="1:11" ht="13.95" customHeight="1" x14ac:dyDescent="0.3">
      <c r="A176" s="3">
        <v>45832</v>
      </c>
      <c r="B176" s="3" t="s">
        <v>671</v>
      </c>
      <c r="C176" s="3" t="s">
        <v>5</v>
      </c>
      <c r="D176" s="3" t="s">
        <v>9</v>
      </c>
      <c r="E176" s="4">
        <v>0.75</v>
      </c>
      <c r="F176" s="5">
        <v>1.85</v>
      </c>
      <c r="G176" s="6">
        <v>284</v>
      </c>
      <c r="H176" s="6">
        <v>2.2999999999999998</v>
      </c>
      <c r="I176" s="21">
        <f t="shared" si="10"/>
        <v>906.31500000000005</v>
      </c>
      <c r="J176" s="7" t="s">
        <v>286</v>
      </c>
      <c r="K176" s="17">
        <f t="shared" si="9"/>
        <v>6</v>
      </c>
    </row>
    <row r="177" spans="1:11" ht="13.95" customHeight="1" x14ac:dyDescent="0.3">
      <c r="A177" s="3">
        <v>45833</v>
      </c>
      <c r="B177" s="3" t="s">
        <v>671</v>
      </c>
      <c r="C177" s="3" t="s">
        <v>8</v>
      </c>
      <c r="D177" s="3" t="s">
        <v>9</v>
      </c>
      <c r="E177" s="4">
        <v>0.72</v>
      </c>
      <c r="F177" s="5">
        <v>1.8</v>
      </c>
      <c r="G177" s="6">
        <v>284</v>
      </c>
      <c r="H177" s="6">
        <v>2.2999999999999998</v>
      </c>
      <c r="I177" s="21">
        <f t="shared" si="10"/>
        <v>846.54719999999986</v>
      </c>
      <c r="J177" s="7" t="s">
        <v>286</v>
      </c>
      <c r="K177" s="17">
        <f t="shared" si="9"/>
        <v>6</v>
      </c>
    </row>
    <row r="178" spans="1:11" ht="13.95" customHeight="1" x14ac:dyDescent="0.3">
      <c r="A178" s="3">
        <v>45834</v>
      </c>
      <c r="B178" s="3" t="s">
        <v>671</v>
      </c>
      <c r="C178" s="3" t="s">
        <v>11</v>
      </c>
      <c r="D178" s="3" t="s">
        <v>9</v>
      </c>
      <c r="E178" s="4">
        <v>0.78</v>
      </c>
      <c r="F178" s="5">
        <v>2.2999999999999998</v>
      </c>
      <c r="G178" s="6">
        <v>284</v>
      </c>
      <c r="H178" s="6">
        <v>2.2999999999999998</v>
      </c>
      <c r="I178" s="21">
        <f t="shared" si="10"/>
        <v>1171.8407999999999</v>
      </c>
      <c r="J178" s="7" t="s">
        <v>596</v>
      </c>
      <c r="K178" s="17">
        <f t="shared" si="9"/>
        <v>6</v>
      </c>
    </row>
    <row r="179" spans="1:11" ht="13.95" customHeight="1" x14ac:dyDescent="0.3">
      <c r="A179" s="3">
        <v>45835</v>
      </c>
      <c r="B179" s="3" t="s">
        <v>671</v>
      </c>
      <c r="C179" s="3" t="s">
        <v>13</v>
      </c>
      <c r="D179" s="3" t="s">
        <v>14</v>
      </c>
      <c r="E179" s="4">
        <v>0.9</v>
      </c>
      <c r="F179" s="5">
        <v>2.8</v>
      </c>
      <c r="G179" s="6">
        <v>284</v>
      </c>
      <c r="H179" s="6">
        <v>2.2999999999999998</v>
      </c>
      <c r="I179" s="21">
        <f t="shared" si="10"/>
        <v>1646.0639999999999</v>
      </c>
      <c r="J179" s="7" t="s">
        <v>597</v>
      </c>
      <c r="K179" s="17">
        <f t="shared" si="9"/>
        <v>6</v>
      </c>
    </row>
    <row r="180" spans="1:11" ht="13.95" customHeight="1" x14ac:dyDescent="0.3">
      <c r="A180" s="3">
        <v>45836</v>
      </c>
      <c r="B180" s="3" t="s">
        <v>671</v>
      </c>
      <c r="C180" s="3" t="s">
        <v>16</v>
      </c>
      <c r="D180" s="3" t="s">
        <v>14</v>
      </c>
      <c r="E180" s="4">
        <v>0.88</v>
      </c>
      <c r="F180" s="5">
        <v>2.7</v>
      </c>
      <c r="G180" s="6">
        <v>284</v>
      </c>
      <c r="H180" s="6">
        <v>2.2999999999999998</v>
      </c>
      <c r="I180" s="21">
        <f t="shared" si="10"/>
        <v>1552.0031999999999</v>
      </c>
      <c r="J180" s="7" t="s">
        <v>69</v>
      </c>
      <c r="K180" s="17">
        <f t="shared" si="9"/>
        <v>6</v>
      </c>
    </row>
    <row r="181" spans="1:11" ht="13.95" customHeight="1" x14ac:dyDescent="0.3">
      <c r="A181" s="3">
        <v>45837</v>
      </c>
      <c r="B181" s="3" t="s">
        <v>671</v>
      </c>
      <c r="C181" s="3" t="s">
        <v>18</v>
      </c>
      <c r="D181" s="3" t="s">
        <v>9</v>
      </c>
      <c r="E181" s="4">
        <v>0.75</v>
      </c>
      <c r="F181" s="5">
        <v>1.85</v>
      </c>
      <c r="G181" s="6">
        <v>284</v>
      </c>
      <c r="H181" s="6">
        <v>2.2999999999999998</v>
      </c>
      <c r="I181" s="21">
        <f t="shared" si="10"/>
        <v>906.31500000000005</v>
      </c>
      <c r="J181" s="7" t="s">
        <v>286</v>
      </c>
      <c r="K181" s="17">
        <f t="shared" si="9"/>
        <v>6</v>
      </c>
    </row>
    <row r="182" spans="1:11" ht="13.95" customHeight="1" x14ac:dyDescent="0.3">
      <c r="A182" s="3">
        <v>45838</v>
      </c>
      <c r="B182" s="3" t="s">
        <v>671</v>
      </c>
      <c r="C182" s="3" t="s">
        <v>20</v>
      </c>
      <c r="D182" s="3" t="s">
        <v>9</v>
      </c>
      <c r="E182" s="4">
        <v>0.78</v>
      </c>
      <c r="F182" s="5">
        <v>1.88</v>
      </c>
      <c r="G182" s="6">
        <v>284</v>
      </c>
      <c r="H182" s="6">
        <v>2.2999999999999998</v>
      </c>
      <c r="I182" s="21">
        <f t="shared" si="10"/>
        <v>957.8524799999999</v>
      </c>
      <c r="J182" s="7" t="s">
        <v>598</v>
      </c>
      <c r="K182" s="17">
        <f t="shared" si="9"/>
        <v>6</v>
      </c>
    </row>
    <row r="183" spans="1:11" ht="13.95" customHeight="1" x14ac:dyDescent="0.3">
      <c r="A183" s="3">
        <v>45839</v>
      </c>
      <c r="B183" s="3" t="s">
        <v>671</v>
      </c>
      <c r="C183" s="3" t="s">
        <v>5</v>
      </c>
      <c r="D183" s="3" t="s">
        <v>9</v>
      </c>
      <c r="E183" s="4">
        <v>0.78</v>
      </c>
      <c r="F183" s="5">
        <v>7.85</v>
      </c>
      <c r="G183" s="6">
        <v>284</v>
      </c>
      <c r="H183" s="6">
        <v>2.2999999999999998</v>
      </c>
      <c r="I183" s="21">
        <f t="shared" ref="I183:I213" si="11">(G183*E183)*H183*F183</f>
        <v>3999.5435999999995</v>
      </c>
      <c r="J183" s="7" t="s">
        <v>599</v>
      </c>
      <c r="K183" s="17">
        <f t="shared" si="9"/>
        <v>7</v>
      </c>
    </row>
    <row r="184" spans="1:11" ht="13.95" customHeight="1" x14ac:dyDescent="0.3">
      <c r="A184" s="3">
        <v>45840</v>
      </c>
      <c r="B184" s="3" t="s">
        <v>671</v>
      </c>
      <c r="C184" s="3" t="s">
        <v>8</v>
      </c>
      <c r="D184" s="3" t="s">
        <v>9</v>
      </c>
      <c r="E184" s="4">
        <v>0.8</v>
      </c>
      <c r="F184" s="5">
        <v>1.88</v>
      </c>
      <c r="G184" s="6">
        <v>284</v>
      </c>
      <c r="H184" s="6">
        <v>2.2999999999999998</v>
      </c>
      <c r="I184" s="21">
        <f t="shared" si="11"/>
        <v>982.41279999999983</v>
      </c>
      <c r="J184" s="7" t="s">
        <v>600</v>
      </c>
      <c r="K184" s="17">
        <f t="shared" si="9"/>
        <v>7</v>
      </c>
    </row>
    <row r="185" spans="1:11" ht="13.95" customHeight="1" x14ac:dyDescent="0.3">
      <c r="A185" s="3">
        <v>45841</v>
      </c>
      <c r="B185" s="3" t="s">
        <v>671</v>
      </c>
      <c r="C185" s="3" t="s">
        <v>11</v>
      </c>
      <c r="D185" s="3" t="s">
        <v>9</v>
      </c>
      <c r="E185" s="4">
        <v>0.82</v>
      </c>
      <c r="F185" s="5">
        <v>2.25</v>
      </c>
      <c r="G185" s="6">
        <v>284</v>
      </c>
      <c r="H185" s="6">
        <v>2.2999999999999998</v>
      </c>
      <c r="I185" s="21">
        <f t="shared" si="11"/>
        <v>1205.1539999999998</v>
      </c>
      <c r="J185" s="7" t="s">
        <v>67</v>
      </c>
      <c r="K185" s="17">
        <f t="shared" si="9"/>
        <v>7</v>
      </c>
    </row>
    <row r="186" spans="1:11" ht="13.95" customHeight="1" x14ac:dyDescent="0.3">
      <c r="A186" s="3">
        <v>45842</v>
      </c>
      <c r="B186" s="3" t="s">
        <v>671</v>
      </c>
      <c r="C186" s="3" t="s">
        <v>13</v>
      </c>
      <c r="D186" s="3" t="s">
        <v>14</v>
      </c>
      <c r="E186" s="4">
        <v>0.92</v>
      </c>
      <c r="F186" s="5">
        <v>2.8</v>
      </c>
      <c r="G186" s="6">
        <v>284</v>
      </c>
      <c r="H186" s="6">
        <v>2.2999999999999998</v>
      </c>
      <c r="I186" s="21">
        <f t="shared" si="11"/>
        <v>1682.6432000000002</v>
      </c>
      <c r="J186" s="7" t="s">
        <v>601</v>
      </c>
      <c r="K186" s="17">
        <f t="shared" si="9"/>
        <v>7</v>
      </c>
    </row>
    <row r="187" spans="1:11" ht="13.95" customHeight="1" x14ac:dyDescent="0.3">
      <c r="A187" s="3">
        <v>45843</v>
      </c>
      <c r="B187" s="3" t="s">
        <v>671</v>
      </c>
      <c r="C187" s="3" t="s">
        <v>16</v>
      </c>
      <c r="D187" s="3" t="s">
        <v>14</v>
      </c>
      <c r="E187" s="4">
        <v>0.9</v>
      </c>
      <c r="F187" s="5">
        <v>2.75</v>
      </c>
      <c r="G187" s="6">
        <v>284</v>
      </c>
      <c r="H187" s="6">
        <v>2.2999999999999998</v>
      </c>
      <c r="I187" s="21">
        <f t="shared" si="11"/>
        <v>1616.67</v>
      </c>
      <c r="J187" s="7" t="s">
        <v>602</v>
      </c>
      <c r="K187" s="17">
        <f t="shared" si="9"/>
        <v>7</v>
      </c>
    </row>
    <row r="188" spans="1:11" ht="13.95" customHeight="1" x14ac:dyDescent="0.3">
      <c r="A188" s="3">
        <v>45844</v>
      </c>
      <c r="B188" s="3" t="s">
        <v>671</v>
      </c>
      <c r="C188" s="3" t="s">
        <v>18</v>
      </c>
      <c r="D188" s="3" t="s">
        <v>9</v>
      </c>
      <c r="E188" s="4">
        <v>0.75</v>
      </c>
      <c r="F188" s="5">
        <v>1.85</v>
      </c>
      <c r="G188" s="6">
        <v>284</v>
      </c>
      <c r="H188" s="6">
        <v>2.2999999999999998</v>
      </c>
      <c r="I188" s="21">
        <f t="shared" si="11"/>
        <v>906.31500000000005</v>
      </c>
      <c r="J188" s="7" t="s">
        <v>603</v>
      </c>
      <c r="K188" s="17">
        <f t="shared" si="9"/>
        <v>7</v>
      </c>
    </row>
    <row r="189" spans="1:11" ht="13.95" customHeight="1" x14ac:dyDescent="0.3">
      <c r="A189" s="3">
        <v>45845</v>
      </c>
      <c r="B189" s="3" t="s">
        <v>671</v>
      </c>
      <c r="C189" s="3" t="s">
        <v>20</v>
      </c>
      <c r="D189" s="3" t="s">
        <v>9</v>
      </c>
      <c r="E189" s="4">
        <v>0.78</v>
      </c>
      <c r="F189" s="5">
        <v>1.85</v>
      </c>
      <c r="G189" s="6">
        <v>284</v>
      </c>
      <c r="H189" s="6">
        <v>2.2999999999999998</v>
      </c>
      <c r="I189" s="21">
        <f t="shared" si="11"/>
        <v>942.56759999999997</v>
      </c>
      <c r="J189" s="7" t="s">
        <v>604</v>
      </c>
      <c r="K189" s="17">
        <f t="shared" si="9"/>
        <v>7</v>
      </c>
    </row>
    <row r="190" spans="1:11" ht="13.95" customHeight="1" x14ac:dyDescent="0.3">
      <c r="A190" s="3">
        <v>45846</v>
      </c>
      <c r="B190" s="3" t="s">
        <v>671</v>
      </c>
      <c r="C190" s="3" t="s">
        <v>5</v>
      </c>
      <c r="D190" s="3" t="s">
        <v>9</v>
      </c>
      <c r="E190" s="4">
        <v>0.8</v>
      </c>
      <c r="F190" s="5">
        <v>1.88</v>
      </c>
      <c r="G190" s="6">
        <v>284</v>
      </c>
      <c r="H190" s="6">
        <v>2.2999999999999998</v>
      </c>
      <c r="I190" s="21">
        <f t="shared" si="11"/>
        <v>982.41279999999983</v>
      </c>
      <c r="J190" s="7" t="s">
        <v>605</v>
      </c>
      <c r="K190" s="17">
        <f t="shared" si="9"/>
        <v>7</v>
      </c>
    </row>
    <row r="191" spans="1:11" ht="13.95" customHeight="1" x14ac:dyDescent="0.3">
      <c r="A191" s="3">
        <v>45847</v>
      </c>
      <c r="B191" s="3" t="s">
        <v>671</v>
      </c>
      <c r="C191" s="3" t="s">
        <v>8</v>
      </c>
      <c r="D191" s="3" t="s">
        <v>9</v>
      </c>
      <c r="E191" s="4">
        <v>0.82</v>
      </c>
      <c r="F191" s="5">
        <v>1.9</v>
      </c>
      <c r="G191" s="6">
        <v>284</v>
      </c>
      <c r="H191" s="6">
        <v>2.2999999999999998</v>
      </c>
      <c r="I191" s="21">
        <f t="shared" si="11"/>
        <v>1017.6855999999998</v>
      </c>
      <c r="J191" s="7" t="s">
        <v>605</v>
      </c>
      <c r="K191" s="17">
        <f t="shared" si="9"/>
        <v>7</v>
      </c>
    </row>
    <row r="192" spans="1:11" ht="13.95" customHeight="1" x14ac:dyDescent="0.3">
      <c r="A192" s="3">
        <v>45848</v>
      </c>
      <c r="B192" s="3" t="s">
        <v>671</v>
      </c>
      <c r="C192" s="3" t="s">
        <v>11</v>
      </c>
      <c r="D192" s="3" t="s">
        <v>9</v>
      </c>
      <c r="E192" s="4">
        <v>0.85</v>
      </c>
      <c r="F192" s="5">
        <v>2.2999999999999998</v>
      </c>
      <c r="G192" s="6">
        <v>284</v>
      </c>
      <c r="H192" s="6">
        <v>2.2999999999999998</v>
      </c>
      <c r="I192" s="21">
        <f t="shared" si="11"/>
        <v>1277.0059999999996</v>
      </c>
      <c r="J192" s="7" t="s">
        <v>606</v>
      </c>
      <c r="K192" s="17">
        <f t="shared" si="9"/>
        <v>7</v>
      </c>
    </row>
    <row r="193" spans="1:11" ht="13.95" customHeight="1" x14ac:dyDescent="0.3">
      <c r="A193" s="3">
        <v>45849</v>
      </c>
      <c r="B193" s="3" t="s">
        <v>671</v>
      </c>
      <c r="C193" s="3" t="s">
        <v>13</v>
      </c>
      <c r="D193" s="3" t="s">
        <v>14</v>
      </c>
      <c r="E193" s="4">
        <v>0.95</v>
      </c>
      <c r="F193" s="5">
        <v>2.85</v>
      </c>
      <c r="G193" s="6">
        <v>284</v>
      </c>
      <c r="H193" s="6">
        <v>2.2999999999999998</v>
      </c>
      <c r="I193" s="21">
        <f t="shared" si="11"/>
        <v>1768.539</v>
      </c>
      <c r="J193" s="7" t="s">
        <v>607</v>
      </c>
      <c r="K193" s="17">
        <f t="shared" si="9"/>
        <v>7</v>
      </c>
    </row>
    <row r="194" spans="1:11" ht="13.95" customHeight="1" x14ac:dyDescent="0.3">
      <c r="A194" s="3">
        <v>45850</v>
      </c>
      <c r="B194" s="3" t="s">
        <v>671</v>
      </c>
      <c r="C194" s="3" t="s">
        <v>16</v>
      </c>
      <c r="D194" s="3" t="s">
        <v>14</v>
      </c>
      <c r="E194" s="4">
        <v>0.92</v>
      </c>
      <c r="F194" s="5">
        <v>2.75</v>
      </c>
      <c r="G194" s="6">
        <v>284</v>
      </c>
      <c r="H194" s="6">
        <v>2.2999999999999998</v>
      </c>
      <c r="I194" s="21">
        <f t="shared" si="11"/>
        <v>1652.5960000000002</v>
      </c>
      <c r="J194" s="7" t="s">
        <v>608</v>
      </c>
      <c r="K194" s="17">
        <f t="shared" si="9"/>
        <v>7</v>
      </c>
    </row>
    <row r="195" spans="1:11" ht="13.95" customHeight="1" x14ac:dyDescent="0.3">
      <c r="A195" s="3">
        <v>45851</v>
      </c>
      <c r="B195" s="3" t="s">
        <v>671</v>
      </c>
      <c r="C195" s="3" t="s">
        <v>18</v>
      </c>
      <c r="D195" s="3" t="s">
        <v>9</v>
      </c>
      <c r="E195" s="4">
        <v>0.78</v>
      </c>
      <c r="F195" s="5">
        <v>1.85</v>
      </c>
      <c r="G195" s="6">
        <v>284</v>
      </c>
      <c r="H195" s="6">
        <v>2.2999999999999998</v>
      </c>
      <c r="I195" s="21">
        <f t="shared" si="11"/>
        <v>942.56759999999997</v>
      </c>
      <c r="J195" s="7" t="s">
        <v>460</v>
      </c>
      <c r="K195" s="17">
        <f t="shared" si="9"/>
        <v>7</v>
      </c>
    </row>
    <row r="196" spans="1:11" ht="13.95" customHeight="1" x14ac:dyDescent="0.3">
      <c r="A196" s="3">
        <v>45852</v>
      </c>
      <c r="B196" s="3" t="s">
        <v>671</v>
      </c>
      <c r="C196" s="3" t="s">
        <v>20</v>
      </c>
      <c r="D196" s="3" t="s">
        <v>9</v>
      </c>
      <c r="E196" s="4">
        <v>0.8</v>
      </c>
      <c r="F196" s="5">
        <v>1.85</v>
      </c>
      <c r="G196" s="6">
        <v>284</v>
      </c>
      <c r="H196" s="6">
        <v>2.2999999999999998</v>
      </c>
      <c r="I196" s="21">
        <f t="shared" si="11"/>
        <v>966.73599999999999</v>
      </c>
      <c r="J196" s="7" t="s">
        <v>609</v>
      </c>
      <c r="K196" s="17">
        <f t="shared" si="9"/>
        <v>7</v>
      </c>
    </row>
    <row r="197" spans="1:11" ht="13.95" customHeight="1" x14ac:dyDescent="0.3">
      <c r="A197" s="3">
        <v>45853</v>
      </c>
      <c r="B197" s="3" t="s">
        <v>671</v>
      </c>
      <c r="C197" s="3" t="s">
        <v>5</v>
      </c>
      <c r="D197" s="3" t="s">
        <v>9</v>
      </c>
      <c r="E197" s="4">
        <v>0.82</v>
      </c>
      <c r="F197" s="5">
        <v>1.88</v>
      </c>
      <c r="G197" s="6">
        <v>284</v>
      </c>
      <c r="H197" s="6">
        <v>2.2999999999999998</v>
      </c>
      <c r="I197" s="21">
        <f t="shared" si="11"/>
        <v>1006.9731199999998</v>
      </c>
      <c r="J197" s="7" t="s">
        <v>461</v>
      </c>
      <c r="K197" s="17">
        <f t="shared" si="9"/>
        <v>7</v>
      </c>
    </row>
    <row r="198" spans="1:11" ht="13.95" customHeight="1" x14ac:dyDescent="0.3">
      <c r="A198" s="3">
        <v>45854</v>
      </c>
      <c r="B198" s="3" t="s">
        <v>671</v>
      </c>
      <c r="C198" s="3" t="s">
        <v>8</v>
      </c>
      <c r="D198" s="3" t="s">
        <v>9</v>
      </c>
      <c r="E198" s="4">
        <v>0.8</v>
      </c>
      <c r="F198" s="5">
        <v>1.9</v>
      </c>
      <c r="G198" s="6">
        <v>284</v>
      </c>
      <c r="H198" s="6">
        <v>2.2999999999999998</v>
      </c>
      <c r="I198" s="21">
        <f t="shared" si="11"/>
        <v>992.86399999999981</v>
      </c>
      <c r="J198" s="7" t="s">
        <v>461</v>
      </c>
      <c r="K198" s="17">
        <f t="shared" si="9"/>
        <v>7</v>
      </c>
    </row>
    <row r="199" spans="1:11" ht="13.95" customHeight="1" x14ac:dyDescent="0.3">
      <c r="A199" s="3">
        <v>45855</v>
      </c>
      <c r="B199" s="3" t="s">
        <v>671</v>
      </c>
      <c r="C199" s="3" t="s">
        <v>11</v>
      </c>
      <c r="D199" s="3" t="s">
        <v>9</v>
      </c>
      <c r="E199" s="4">
        <v>0.85</v>
      </c>
      <c r="F199" s="5">
        <v>2.35</v>
      </c>
      <c r="G199" s="6">
        <v>284</v>
      </c>
      <c r="H199" s="6">
        <v>2.2999999999999998</v>
      </c>
      <c r="I199" s="21">
        <f t="shared" si="11"/>
        <v>1304.7669999999998</v>
      </c>
      <c r="J199" s="7" t="s">
        <v>540</v>
      </c>
      <c r="K199" s="17">
        <f t="shared" si="9"/>
        <v>7</v>
      </c>
    </row>
    <row r="200" spans="1:11" ht="13.95" customHeight="1" x14ac:dyDescent="0.3">
      <c r="A200" s="3">
        <v>45856</v>
      </c>
      <c r="B200" s="3" t="s">
        <v>671</v>
      </c>
      <c r="C200" s="3" t="s">
        <v>13</v>
      </c>
      <c r="D200" s="3" t="s">
        <v>14</v>
      </c>
      <c r="E200" s="4">
        <v>0.94</v>
      </c>
      <c r="F200" s="5">
        <v>2.8</v>
      </c>
      <c r="G200" s="6">
        <v>284</v>
      </c>
      <c r="H200" s="6">
        <v>2.2999999999999998</v>
      </c>
      <c r="I200" s="21">
        <f t="shared" si="11"/>
        <v>1719.2223999999997</v>
      </c>
      <c r="J200" s="7" t="s">
        <v>610</v>
      </c>
      <c r="K200" s="17">
        <f t="shared" si="9"/>
        <v>7</v>
      </c>
    </row>
    <row r="201" spans="1:11" ht="13.95" customHeight="1" x14ac:dyDescent="0.3">
      <c r="A201" s="3">
        <v>45857</v>
      </c>
      <c r="B201" s="3" t="s">
        <v>671</v>
      </c>
      <c r="C201" s="3" t="s">
        <v>16</v>
      </c>
      <c r="D201" s="3" t="s">
        <v>14</v>
      </c>
      <c r="E201" s="4">
        <v>0.9</v>
      </c>
      <c r="F201" s="5">
        <v>2.75</v>
      </c>
      <c r="G201" s="6">
        <v>284</v>
      </c>
      <c r="H201" s="6">
        <v>2.2999999999999998</v>
      </c>
      <c r="I201" s="21">
        <f t="shared" si="11"/>
        <v>1616.67</v>
      </c>
      <c r="J201" s="7" t="s">
        <v>69</v>
      </c>
      <c r="K201" s="17">
        <f t="shared" si="9"/>
        <v>7</v>
      </c>
    </row>
    <row r="202" spans="1:11" ht="13.95" customHeight="1" x14ac:dyDescent="0.3">
      <c r="A202" s="3">
        <v>45858</v>
      </c>
      <c r="B202" s="3" t="s">
        <v>671</v>
      </c>
      <c r="C202" s="3" t="s">
        <v>18</v>
      </c>
      <c r="D202" s="3" t="s">
        <v>9</v>
      </c>
      <c r="E202" s="4">
        <v>0.8</v>
      </c>
      <c r="F202" s="5">
        <v>1.85</v>
      </c>
      <c r="G202" s="6">
        <v>284</v>
      </c>
      <c r="H202" s="6">
        <v>2.2999999999999998</v>
      </c>
      <c r="I202" s="21">
        <f t="shared" si="11"/>
        <v>966.73599999999999</v>
      </c>
      <c r="J202" s="7" t="s">
        <v>603</v>
      </c>
      <c r="K202" s="17">
        <f t="shared" si="9"/>
        <v>7</v>
      </c>
    </row>
    <row r="203" spans="1:11" ht="13.95" customHeight="1" x14ac:dyDescent="0.3">
      <c r="A203" s="3">
        <v>45859</v>
      </c>
      <c r="B203" s="3" t="s">
        <v>671</v>
      </c>
      <c r="C203" s="3" t="s">
        <v>20</v>
      </c>
      <c r="D203" s="3" t="s">
        <v>9</v>
      </c>
      <c r="E203" s="4">
        <v>0.82</v>
      </c>
      <c r="F203" s="5">
        <v>1.88</v>
      </c>
      <c r="G203" s="6">
        <v>284</v>
      </c>
      <c r="H203" s="6">
        <v>2.2999999999999998</v>
      </c>
      <c r="I203" s="21">
        <f t="shared" si="11"/>
        <v>1006.9731199999998</v>
      </c>
      <c r="J203" s="7" t="s">
        <v>599</v>
      </c>
      <c r="K203" s="17">
        <f t="shared" si="9"/>
        <v>7</v>
      </c>
    </row>
    <row r="204" spans="1:11" ht="13.95" customHeight="1" x14ac:dyDescent="0.3">
      <c r="A204" s="3">
        <v>45860</v>
      </c>
      <c r="B204" s="3" t="s">
        <v>671</v>
      </c>
      <c r="C204" s="3" t="s">
        <v>5</v>
      </c>
      <c r="D204" s="3" t="s">
        <v>9</v>
      </c>
      <c r="E204" s="4">
        <v>0.85</v>
      </c>
      <c r="F204" s="5">
        <v>1.9</v>
      </c>
      <c r="G204" s="6">
        <v>284</v>
      </c>
      <c r="H204" s="6">
        <v>2.2999999999999998</v>
      </c>
      <c r="I204" s="21">
        <f t="shared" si="11"/>
        <v>1054.9179999999999</v>
      </c>
      <c r="J204" s="7" t="s">
        <v>599</v>
      </c>
      <c r="K204" s="17">
        <f t="shared" si="9"/>
        <v>7</v>
      </c>
    </row>
    <row r="205" spans="1:11" ht="13.95" customHeight="1" x14ac:dyDescent="0.3">
      <c r="A205" s="3">
        <v>45861</v>
      </c>
      <c r="B205" s="3" t="s">
        <v>671</v>
      </c>
      <c r="C205" s="3" t="s">
        <v>8</v>
      </c>
      <c r="D205" s="3" t="s">
        <v>9</v>
      </c>
      <c r="E205" s="4">
        <v>0.82</v>
      </c>
      <c r="F205" s="5">
        <v>1.9</v>
      </c>
      <c r="G205" s="6">
        <v>284</v>
      </c>
      <c r="H205" s="6">
        <v>2.2999999999999998</v>
      </c>
      <c r="I205" s="21">
        <f t="shared" si="11"/>
        <v>1017.6855999999998</v>
      </c>
      <c r="J205" s="7" t="s">
        <v>59</v>
      </c>
      <c r="K205" s="17">
        <f t="shared" si="9"/>
        <v>7</v>
      </c>
    </row>
    <row r="206" spans="1:11" ht="13.95" customHeight="1" x14ac:dyDescent="0.3">
      <c r="A206" s="3">
        <v>45862</v>
      </c>
      <c r="B206" s="3" t="s">
        <v>671</v>
      </c>
      <c r="C206" s="3" t="s">
        <v>11</v>
      </c>
      <c r="D206" s="3" t="s">
        <v>9</v>
      </c>
      <c r="E206" s="4">
        <v>0.88</v>
      </c>
      <c r="F206" s="5">
        <v>2.4</v>
      </c>
      <c r="G206" s="6">
        <v>284</v>
      </c>
      <c r="H206" s="6">
        <v>2.2999999999999998</v>
      </c>
      <c r="I206" s="21">
        <f t="shared" si="11"/>
        <v>1379.5583999999997</v>
      </c>
      <c r="J206" s="7" t="s">
        <v>611</v>
      </c>
      <c r="K206" s="17">
        <f t="shared" si="9"/>
        <v>7</v>
      </c>
    </row>
    <row r="207" spans="1:11" ht="13.95" customHeight="1" x14ac:dyDescent="0.3">
      <c r="A207" s="3">
        <v>45863</v>
      </c>
      <c r="B207" s="3" t="s">
        <v>671</v>
      </c>
      <c r="C207" s="3" t="s">
        <v>13</v>
      </c>
      <c r="D207" s="3" t="s">
        <v>612</v>
      </c>
      <c r="E207" s="4">
        <v>0.95</v>
      </c>
      <c r="F207" s="5">
        <v>2.85</v>
      </c>
      <c r="G207" s="6">
        <v>284</v>
      </c>
      <c r="H207" s="6">
        <v>2.2999999999999998</v>
      </c>
      <c r="I207" s="21">
        <f t="shared" si="11"/>
        <v>1768.539</v>
      </c>
      <c r="J207" s="7" t="s">
        <v>613</v>
      </c>
      <c r="K207" s="17">
        <f t="shared" si="9"/>
        <v>7</v>
      </c>
    </row>
    <row r="208" spans="1:11" ht="13.95" customHeight="1" x14ac:dyDescent="0.3">
      <c r="A208" s="3">
        <v>45864</v>
      </c>
      <c r="B208" s="3" t="s">
        <v>671</v>
      </c>
      <c r="C208" s="3" t="s">
        <v>16</v>
      </c>
      <c r="D208" s="3" t="s">
        <v>14</v>
      </c>
      <c r="E208" s="4">
        <v>0.92</v>
      </c>
      <c r="F208" s="5">
        <v>2.75</v>
      </c>
      <c r="G208" s="6">
        <v>284</v>
      </c>
      <c r="H208" s="6">
        <v>2.2999999999999998</v>
      </c>
      <c r="I208" s="21">
        <f t="shared" si="11"/>
        <v>1652.5960000000002</v>
      </c>
      <c r="J208" s="7" t="s">
        <v>181</v>
      </c>
      <c r="K208" s="17">
        <f t="shared" si="9"/>
        <v>7</v>
      </c>
    </row>
    <row r="209" spans="1:11" ht="13.95" customHeight="1" x14ac:dyDescent="0.3">
      <c r="A209" s="3">
        <v>45865</v>
      </c>
      <c r="B209" s="3" t="s">
        <v>671</v>
      </c>
      <c r="C209" s="3" t="s">
        <v>18</v>
      </c>
      <c r="D209" s="3" t="s">
        <v>9</v>
      </c>
      <c r="E209" s="4">
        <v>0.82</v>
      </c>
      <c r="F209" s="5">
        <v>1.85</v>
      </c>
      <c r="G209" s="6">
        <v>284</v>
      </c>
      <c r="H209" s="6">
        <v>2.2999999999999998</v>
      </c>
      <c r="I209" s="21">
        <f t="shared" si="11"/>
        <v>990.9043999999999</v>
      </c>
      <c r="J209" s="7" t="s">
        <v>614</v>
      </c>
      <c r="K209" s="17">
        <f t="shared" ref="K209:K272" si="12">MONTH(A209)</f>
        <v>7</v>
      </c>
    </row>
    <row r="210" spans="1:11" ht="13.95" customHeight="1" x14ac:dyDescent="0.3">
      <c r="A210" s="3">
        <v>45866</v>
      </c>
      <c r="B210" s="3" t="s">
        <v>671</v>
      </c>
      <c r="C210" s="3" t="s">
        <v>20</v>
      </c>
      <c r="D210" s="3" t="s">
        <v>9</v>
      </c>
      <c r="E210" s="4">
        <v>0.85</v>
      </c>
      <c r="F210" s="5">
        <v>1.88</v>
      </c>
      <c r="G210" s="6">
        <v>284</v>
      </c>
      <c r="H210" s="6">
        <v>2.2999999999999998</v>
      </c>
      <c r="I210" s="21">
        <f t="shared" si="11"/>
        <v>1043.8135999999997</v>
      </c>
      <c r="J210" s="7" t="s">
        <v>461</v>
      </c>
      <c r="K210" s="17">
        <f t="shared" si="12"/>
        <v>7</v>
      </c>
    </row>
    <row r="211" spans="1:11" ht="13.95" customHeight="1" x14ac:dyDescent="0.3">
      <c r="A211" s="3">
        <v>45867</v>
      </c>
      <c r="B211" s="3" t="s">
        <v>671</v>
      </c>
      <c r="C211" s="3" t="s">
        <v>5</v>
      </c>
      <c r="D211" s="3" t="s">
        <v>9</v>
      </c>
      <c r="E211" s="4">
        <v>0.88</v>
      </c>
      <c r="F211" s="5">
        <v>1.9</v>
      </c>
      <c r="G211" s="6">
        <v>284</v>
      </c>
      <c r="H211" s="6">
        <v>2.2999999999999998</v>
      </c>
      <c r="I211" s="21">
        <f t="shared" si="11"/>
        <v>1092.1503999999998</v>
      </c>
      <c r="J211" s="7" t="s">
        <v>461</v>
      </c>
      <c r="K211" s="17">
        <f t="shared" si="12"/>
        <v>7</v>
      </c>
    </row>
    <row r="212" spans="1:11" ht="13.95" customHeight="1" x14ac:dyDescent="0.3">
      <c r="A212" s="3">
        <v>45868</v>
      </c>
      <c r="B212" s="3" t="s">
        <v>671</v>
      </c>
      <c r="C212" s="3" t="s">
        <v>8</v>
      </c>
      <c r="D212" s="3" t="s">
        <v>9</v>
      </c>
      <c r="E212" s="4">
        <v>0.85</v>
      </c>
      <c r="F212" s="5">
        <v>1.9</v>
      </c>
      <c r="G212" s="6">
        <v>284</v>
      </c>
      <c r="H212" s="6">
        <v>2.2999999999999998</v>
      </c>
      <c r="I212" s="21">
        <f t="shared" si="11"/>
        <v>1054.9179999999999</v>
      </c>
      <c r="J212" s="7" t="s">
        <v>461</v>
      </c>
      <c r="K212" s="17">
        <f t="shared" si="12"/>
        <v>7</v>
      </c>
    </row>
    <row r="213" spans="1:11" ht="13.95" customHeight="1" x14ac:dyDescent="0.3">
      <c r="A213" s="3">
        <v>45869</v>
      </c>
      <c r="B213" s="3" t="s">
        <v>671</v>
      </c>
      <c r="C213" s="3" t="s">
        <v>11</v>
      </c>
      <c r="D213" s="3" t="s">
        <v>9</v>
      </c>
      <c r="E213" s="4">
        <v>0.9</v>
      </c>
      <c r="F213" s="5">
        <v>2.4</v>
      </c>
      <c r="G213" s="6">
        <v>284</v>
      </c>
      <c r="H213" s="6">
        <v>2.2999999999999998</v>
      </c>
      <c r="I213" s="21">
        <f t="shared" si="11"/>
        <v>1410.912</v>
      </c>
      <c r="J213" s="7" t="s">
        <v>615</v>
      </c>
      <c r="K213" s="17">
        <f t="shared" si="12"/>
        <v>7</v>
      </c>
    </row>
    <row r="214" spans="1:11" ht="13.95" customHeight="1" x14ac:dyDescent="0.3">
      <c r="A214" s="3">
        <v>45870</v>
      </c>
      <c r="B214" s="3" t="s">
        <v>671</v>
      </c>
      <c r="C214" s="3" t="s">
        <v>13</v>
      </c>
      <c r="D214" s="3" t="s">
        <v>14</v>
      </c>
      <c r="E214" s="4">
        <v>0.95</v>
      </c>
      <c r="F214" s="5">
        <v>2.85</v>
      </c>
      <c r="G214" s="6">
        <v>284</v>
      </c>
      <c r="H214" s="6">
        <v>2.2999999999999998</v>
      </c>
      <c r="I214" s="21">
        <f t="shared" ref="I214:I244" si="13">(G214*E214)*H214*F214</f>
        <v>1768.539</v>
      </c>
      <c r="J214" s="7" t="s">
        <v>616</v>
      </c>
      <c r="K214" s="17">
        <f t="shared" si="12"/>
        <v>8</v>
      </c>
    </row>
    <row r="215" spans="1:11" ht="13.95" customHeight="1" x14ac:dyDescent="0.3">
      <c r="A215" s="3">
        <v>45871</v>
      </c>
      <c r="B215" s="3" t="s">
        <v>671</v>
      </c>
      <c r="C215" s="3" t="s">
        <v>16</v>
      </c>
      <c r="D215" s="3" t="s">
        <v>14</v>
      </c>
      <c r="E215" s="4">
        <v>0.92</v>
      </c>
      <c r="F215" s="5">
        <v>2.75</v>
      </c>
      <c r="G215" s="6">
        <v>284</v>
      </c>
      <c r="H215" s="6">
        <v>2.2999999999999998</v>
      </c>
      <c r="I215" s="21">
        <f t="shared" si="13"/>
        <v>1652.5960000000002</v>
      </c>
      <c r="J215" s="7" t="s">
        <v>181</v>
      </c>
      <c r="K215" s="17">
        <f t="shared" si="12"/>
        <v>8</v>
      </c>
    </row>
    <row r="216" spans="1:11" ht="13.95" customHeight="1" x14ac:dyDescent="0.3">
      <c r="A216" s="3">
        <v>45872</v>
      </c>
      <c r="B216" s="3" t="s">
        <v>671</v>
      </c>
      <c r="C216" s="3" t="s">
        <v>18</v>
      </c>
      <c r="D216" s="3" t="s">
        <v>9</v>
      </c>
      <c r="E216" s="4">
        <v>0.8</v>
      </c>
      <c r="F216" s="5">
        <v>1.9</v>
      </c>
      <c r="G216" s="6">
        <v>284</v>
      </c>
      <c r="H216" s="6">
        <v>2.2999999999999998</v>
      </c>
      <c r="I216" s="21">
        <f t="shared" si="13"/>
        <v>992.86399999999981</v>
      </c>
      <c r="J216" s="7" t="s">
        <v>617</v>
      </c>
      <c r="K216" s="17">
        <f t="shared" si="12"/>
        <v>8</v>
      </c>
    </row>
    <row r="217" spans="1:11" ht="13.95" customHeight="1" x14ac:dyDescent="0.3">
      <c r="A217" s="3">
        <v>45873</v>
      </c>
      <c r="B217" s="3" t="s">
        <v>671</v>
      </c>
      <c r="C217" s="3" t="s">
        <v>20</v>
      </c>
      <c r="D217" s="3" t="s">
        <v>9</v>
      </c>
      <c r="E217" s="4">
        <v>0.82</v>
      </c>
      <c r="F217" s="5">
        <v>1.9</v>
      </c>
      <c r="G217" s="6">
        <v>284</v>
      </c>
      <c r="H217" s="6">
        <v>2.2999999999999998</v>
      </c>
      <c r="I217" s="21">
        <f t="shared" si="13"/>
        <v>1017.6855999999998</v>
      </c>
      <c r="J217" s="7" t="s">
        <v>461</v>
      </c>
      <c r="K217" s="17">
        <f t="shared" si="12"/>
        <v>8</v>
      </c>
    </row>
    <row r="218" spans="1:11" ht="13.95" customHeight="1" x14ac:dyDescent="0.3">
      <c r="A218" s="3">
        <v>45874</v>
      </c>
      <c r="B218" s="3" t="s">
        <v>671</v>
      </c>
      <c r="C218" s="3" t="s">
        <v>5</v>
      </c>
      <c r="D218" s="3" t="s">
        <v>9</v>
      </c>
      <c r="E218" s="4">
        <v>0.85</v>
      </c>
      <c r="F218" s="5">
        <v>1.92</v>
      </c>
      <c r="G218" s="6">
        <v>284</v>
      </c>
      <c r="H218" s="6">
        <v>2.2999999999999998</v>
      </c>
      <c r="I218" s="21">
        <f t="shared" si="13"/>
        <v>1066.0223999999998</v>
      </c>
      <c r="J218" s="7" t="s">
        <v>609</v>
      </c>
      <c r="K218" s="17">
        <f t="shared" si="12"/>
        <v>8</v>
      </c>
    </row>
    <row r="219" spans="1:11" ht="13.95" customHeight="1" x14ac:dyDescent="0.3">
      <c r="A219" s="3">
        <v>45875</v>
      </c>
      <c r="B219" s="3" t="s">
        <v>671</v>
      </c>
      <c r="C219" s="3" t="s">
        <v>8</v>
      </c>
      <c r="D219" s="3" t="s">
        <v>9</v>
      </c>
      <c r="E219" s="4">
        <v>0.82</v>
      </c>
      <c r="F219" s="5">
        <v>1.9</v>
      </c>
      <c r="G219" s="6">
        <v>284</v>
      </c>
      <c r="H219" s="6">
        <v>2.2999999999999998</v>
      </c>
      <c r="I219" s="21">
        <f t="shared" si="13"/>
        <v>1017.6855999999998</v>
      </c>
      <c r="J219" s="7" t="s">
        <v>599</v>
      </c>
      <c r="K219" s="17">
        <f t="shared" si="12"/>
        <v>8</v>
      </c>
    </row>
    <row r="220" spans="1:11" ht="13.95" customHeight="1" x14ac:dyDescent="0.3">
      <c r="A220" s="3">
        <v>45876</v>
      </c>
      <c r="B220" s="3" t="s">
        <v>671</v>
      </c>
      <c r="C220" s="3" t="s">
        <v>11</v>
      </c>
      <c r="D220" s="3" t="s">
        <v>9</v>
      </c>
      <c r="E220" s="4">
        <v>0.88</v>
      </c>
      <c r="F220" s="5">
        <v>2.4500000000000002</v>
      </c>
      <c r="G220" s="6">
        <v>284</v>
      </c>
      <c r="H220" s="6">
        <v>2.2999999999999998</v>
      </c>
      <c r="I220" s="21">
        <f t="shared" si="13"/>
        <v>1408.2991999999999</v>
      </c>
      <c r="J220" s="7" t="s">
        <v>67</v>
      </c>
      <c r="K220" s="17">
        <f t="shared" si="12"/>
        <v>8</v>
      </c>
    </row>
    <row r="221" spans="1:11" ht="13.95" customHeight="1" x14ac:dyDescent="0.3">
      <c r="A221" s="3">
        <v>45877</v>
      </c>
      <c r="B221" s="3" t="s">
        <v>671</v>
      </c>
      <c r="C221" s="3" t="s">
        <v>13</v>
      </c>
      <c r="D221" s="3" t="s">
        <v>14</v>
      </c>
      <c r="E221" s="4">
        <v>0.94</v>
      </c>
      <c r="F221" s="5">
        <v>2.85</v>
      </c>
      <c r="G221" s="6">
        <v>284</v>
      </c>
      <c r="H221" s="6">
        <v>2.2999999999999998</v>
      </c>
      <c r="I221" s="21">
        <f t="shared" si="13"/>
        <v>1749.9227999999998</v>
      </c>
      <c r="J221" s="7" t="s">
        <v>618</v>
      </c>
      <c r="K221" s="17">
        <f t="shared" si="12"/>
        <v>8</v>
      </c>
    </row>
    <row r="222" spans="1:11" ht="13.95" customHeight="1" x14ac:dyDescent="0.3">
      <c r="A222" s="3">
        <v>45878</v>
      </c>
      <c r="B222" s="3" t="s">
        <v>671</v>
      </c>
      <c r="C222" s="3" t="s">
        <v>16</v>
      </c>
      <c r="D222" s="3" t="s">
        <v>14</v>
      </c>
      <c r="E222" s="4">
        <v>0.9</v>
      </c>
      <c r="F222" s="5">
        <v>2.75</v>
      </c>
      <c r="G222" s="6">
        <v>284</v>
      </c>
      <c r="H222" s="6">
        <v>2.2999999999999998</v>
      </c>
      <c r="I222" s="21">
        <f t="shared" si="13"/>
        <v>1616.67</v>
      </c>
      <c r="J222" s="7" t="s">
        <v>69</v>
      </c>
      <c r="K222" s="17">
        <f t="shared" si="12"/>
        <v>8</v>
      </c>
    </row>
    <row r="223" spans="1:11" ht="13.95" customHeight="1" x14ac:dyDescent="0.3">
      <c r="A223" s="3">
        <v>45879</v>
      </c>
      <c r="B223" s="3" t="s">
        <v>671</v>
      </c>
      <c r="C223" s="3" t="s">
        <v>18</v>
      </c>
      <c r="D223" s="3" t="s">
        <v>9</v>
      </c>
      <c r="E223" s="4">
        <v>0.82</v>
      </c>
      <c r="F223" s="5">
        <v>1.9</v>
      </c>
      <c r="G223" s="6">
        <v>284</v>
      </c>
      <c r="H223" s="6">
        <v>2.2999999999999998</v>
      </c>
      <c r="I223" s="21">
        <f t="shared" si="13"/>
        <v>1017.6855999999998</v>
      </c>
      <c r="J223" s="7" t="s">
        <v>589</v>
      </c>
      <c r="K223" s="17">
        <f t="shared" si="12"/>
        <v>8</v>
      </c>
    </row>
    <row r="224" spans="1:11" ht="13.95" customHeight="1" x14ac:dyDescent="0.3">
      <c r="A224" s="3">
        <v>45880</v>
      </c>
      <c r="B224" s="3" t="s">
        <v>671</v>
      </c>
      <c r="C224" s="3" t="s">
        <v>20</v>
      </c>
      <c r="D224" s="3" t="s">
        <v>9</v>
      </c>
      <c r="E224" s="4">
        <v>0.85</v>
      </c>
      <c r="F224" s="5">
        <v>1.92</v>
      </c>
      <c r="G224" s="6">
        <v>284</v>
      </c>
      <c r="H224" s="6">
        <v>2.2999999999999998</v>
      </c>
      <c r="I224" s="21">
        <f t="shared" si="13"/>
        <v>1066.0223999999998</v>
      </c>
      <c r="J224" s="7" t="s">
        <v>461</v>
      </c>
      <c r="K224" s="17">
        <f t="shared" si="12"/>
        <v>8</v>
      </c>
    </row>
    <row r="225" spans="1:11" ht="13.95" customHeight="1" x14ac:dyDescent="0.3">
      <c r="A225" s="3">
        <v>45881</v>
      </c>
      <c r="B225" s="3" t="s">
        <v>671</v>
      </c>
      <c r="C225" s="3" t="s">
        <v>5</v>
      </c>
      <c r="D225" s="3" t="s">
        <v>9</v>
      </c>
      <c r="E225" s="4">
        <v>0.85</v>
      </c>
      <c r="F225" s="5">
        <v>1.95</v>
      </c>
      <c r="G225" s="6">
        <v>284</v>
      </c>
      <c r="H225" s="6">
        <v>2.2999999999999998</v>
      </c>
      <c r="I225" s="21">
        <f t="shared" si="13"/>
        <v>1082.6789999999999</v>
      </c>
      <c r="J225" s="7" t="s">
        <v>210</v>
      </c>
      <c r="K225" s="17">
        <f t="shared" si="12"/>
        <v>8</v>
      </c>
    </row>
    <row r="226" spans="1:11" ht="13.95" customHeight="1" x14ac:dyDescent="0.3">
      <c r="A226" s="3">
        <v>45882</v>
      </c>
      <c r="B226" s="3" t="s">
        <v>671</v>
      </c>
      <c r="C226" s="3" t="s">
        <v>8</v>
      </c>
      <c r="D226" s="3" t="s">
        <v>472</v>
      </c>
      <c r="E226" s="4">
        <v>0.9</v>
      </c>
      <c r="F226" s="5">
        <v>2.65</v>
      </c>
      <c r="G226" s="6">
        <v>284</v>
      </c>
      <c r="H226" s="6">
        <v>2.2999999999999998</v>
      </c>
      <c r="I226" s="21">
        <f t="shared" si="13"/>
        <v>1557.8819999999998</v>
      </c>
      <c r="J226" s="7" t="s">
        <v>619</v>
      </c>
      <c r="K226" s="17">
        <f t="shared" si="12"/>
        <v>8</v>
      </c>
    </row>
    <row r="227" spans="1:11" ht="13.95" customHeight="1" x14ac:dyDescent="0.3">
      <c r="A227" s="3">
        <v>45883</v>
      </c>
      <c r="B227" s="3" t="s">
        <v>671</v>
      </c>
      <c r="C227" s="3" t="s">
        <v>11</v>
      </c>
      <c r="D227" s="3" t="s">
        <v>9</v>
      </c>
      <c r="E227" s="4">
        <v>0.88</v>
      </c>
      <c r="F227" s="5">
        <v>2.4500000000000002</v>
      </c>
      <c r="G227" s="6">
        <v>284</v>
      </c>
      <c r="H227" s="6">
        <v>2.2999999999999998</v>
      </c>
      <c r="I227" s="21">
        <f t="shared" si="13"/>
        <v>1408.2991999999999</v>
      </c>
      <c r="J227" s="7" t="s">
        <v>197</v>
      </c>
      <c r="K227" s="17">
        <f t="shared" si="12"/>
        <v>8</v>
      </c>
    </row>
    <row r="228" spans="1:11" ht="13.95" customHeight="1" x14ac:dyDescent="0.3">
      <c r="A228" s="3">
        <v>45884</v>
      </c>
      <c r="B228" s="3" t="s">
        <v>671</v>
      </c>
      <c r="C228" s="3" t="s">
        <v>13</v>
      </c>
      <c r="D228" s="3" t="s">
        <v>14</v>
      </c>
      <c r="E228" s="4">
        <v>0.95</v>
      </c>
      <c r="F228" s="5">
        <v>2.85</v>
      </c>
      <c r="G228" s="6">
        <v>284</v>
      </c>
      <c r="H228" s="6">
        <v>2.2999999999999998</v>
      </c>
      <c r="I228" s="21">
        <f t="shared" si="13"/>
        <v>1768.539</v>
      </c>
      <c r="J228" s="7" t="s">
        <v>620</v>
      </c>
      <c r="K228" s="17">
        <f t="shared" si="12"/>
        <v>8</v>
      </c>
    </row>
    <row r="229" spans="1:11" ht="13.95" customHeight="1" x14ac:dyDescent="0.3">
      <c r="A229" s="3">
        <v>45885</v>
      </c>
      <c r="B229" s="3" t="s">
        <v>671</v>
      </c>
      <c r="C229" s="3" t="s">
        <v>16</v>
      </c>
      <c r="D229" s="3" t="s">
        <v>14</v>
      </c>
      <c r="E229" s="4">
        <v>0.92</v>
      </c>
      <c r="F229" s="5">
        <v>2.75</v>
      </c>
      <c r="G229" s="6">
        <v>284</v>
      </c>
      <c r="H229" s="6">
        <v>2.2999999999999998</v>
      </c>
      <c r="I229" s="21">
        <f t="shared" si="13"/>
        <v>1652.5960000000002</v>
      </c>
      <c r="J229" s="7" t="s">
        <v>69</v>
      </c>
      <c r="K229" s="17">
        <f t="shared" si="12"/>
        <v>8</v>
      </c>
    </row>
    <row r="230" spans="1:11" ht="13.95" customHeight="1" x14ac:dyDescent="0.3">
      <c r="A230" s="3">
        <v>45886</v>
      </c>
      <c r="B230" s="3" t="s">
        <v>671</v>
      </c>
      <c r="C230" s="3" t="s">
        <v>18</v>
      </c>
      <c r="D230" s="3" t="s">
        <v>9</v>
      </c>
      <c r="E230" s="4">
        <v>0.8</v>
      </c>
      <c r="F230" s="5">
        <v>1.9</v>
      </c>
      <c r="G230" s="6">
        <v>284</v>
      </c>
      <c r="H230" s="6">
        <v>2.2999999999999998</v>
      </c>
      <c r="I230" s="21">
        <f t="shared" si="13"/>
        <v>992.86399999999981</v>
      </c>
      <c r="J230" s="7" t="s">
        <v>603</v>
      </c>
      <c r="K230" s="17">
        <f t="shared" si="12"/>
        <v>8</v>
      </c>
    </row>
    <row r="231" spans="1:11" ht="13.95" customHeight="1" x14ac:dyDescent="0.3">
      <c r="A231" s="3">
        <v>45887</v>
      </c>
      <c r="B231" s="3" t="s">
        <v>671</v>
      </c>
      <c r="C231" s="3" t="s">
        <v>20</v>
      </c>
      <c r="D231" s="3" t="s">
        <v>9</v>
      </c>
      <c r="E231" s="4">
        <v>0.82</v>
      </c>
      <c r="F231" s="5">
        <v>1.92</v>
      </c>
      <c r="G231" s="6">
        <v>284</v>
      </c>
      <c r="H231" s="6">
        <v>2.2999999999999998</v>
      </c>
      <c r="I231" s="21">
        <f t="shared" si="13"/>
        <v>1028.3980799999997</v>
      </c>
      <c r="J231" s="7" t="s">
        <v>461</v>
      </c>
      <c r="K231" s="17">
        <f t="shared" si="12"/>
        <v>8</v>
      </c>
    </row>
    <row r="232" spans="1:11" ht="13.95" customHeight="1" x14ac:dyDescent="0.3">
      <c r="A232" s="3">
        <v>45888</v>
      </c>
      <c r="B232" s="3" t="s">
        <v>671</v>
      </c>
      <c r="C232" s="3" t="s">
        <v>5</v>
      </c>
      <c r="D232" s="3" t="s">
        <v>9</v>
      </c>
      <c r="E232" s="4">
        <v>0.85</v>
      </c>
      <c r="F232" s="5">
        <v>1.92</v>
      </c>
      <c r="G232" s="6">
        <v>284</v>
      </c>
      <c r="H232" s="6">
        <v>2.2999999999999998</v>
      </c>
      <c r="I232" s="21">
        <f t="shared" si="13"/>
        <v>1066.0223999999998</v>
      </c>
      <c r="J232" s="7" t="s">
        <v>621</v>
      </c>
      <c r="K232" s="17">
        <f t="shared" si="12"/>
        <v>8</v>
      </c>
    </row>
    <row r="233" spans="1:11" ht="13.95" customHeight="1" x14ac:dyDescent="0.3">
      <c r="A233" s="3">
        <v>45889</v>
      </c>
      <c r="B233" s="3" t="s">
        <v>671</v>
      </c>
      <c r="C233" s="3" t="s">
        <v>8</v>
      </c>
      <c r="D233" s="3" t="s">
        <v>9</v>
      </c>
      <c r="E233" s="4">
        <v>0.82</v>
      </c>
      <c r="F233" s="5">
        <v>1.9</v>
      </c>
      <c r="G233" s="6">
        <v>284</v>
      </c>
      <c r="H233" s="6">
        <v>2.2999999999999998</v>
      </c>
      <c r="I233" s="21">
        <f t="shared" si="13"/>
        <v>1017.6855999999998</v>
      </c>
      <c r="J233" s="7" t="s">
        <v>286</v>
      </c>
      <c r="K233" s="17">
        <f t="shared" si="12"/>
        <v>8</v>
      </c>
    </row>
    <row r="234" spans="1:11" ht="13.95" customHeight="1" x14ac:dyDescent="0.3">
      <c r="A234" s="3">
        <v>45890</v>
      </c>
      <c r="B234" s="3" t="s">
        <v>671</v>
      </c>
      <c r="C234" s="3" t="s">
        <v>11</v>
      </c>
      <c r="D234" s="3" t="s">
        <v>9</v>
      </c>
      <c r="E234" s="4">
        <v>0.85</v>
      </c>
      <c r="F234" s="5">
        <v>2.4</v>
      </c>
      <c r="G234" s="6">
        <v>284</v>
      </c>
      <c r="H234" s="6">
        <v>2.2999999999999998</v>
      </c>
      <c r="I234" s="21">
        <f t="shared" si="13"/>
        <v>1332.5279999999998</v>
      </c>
      <c r="J234" s="7" t="s">
        <v>485</v>
      </c>
      <c r="K234" s="17">
        <f t="shared" si="12"/>
        <v>8</v>
      </c>
    </row>
    <row r="235" spans="1:11" ht="13.95" customHeight="1" x14ac:dyDescent="0.3">
      <c r="A235" s="3">
        <v>45891</v>
      </c>
      <c r="B235" s="3" t="s">
        <v>671</v>
      </c>
      <c r="C235" s="3" t="s">
        <v>13</v>
      </c>
      <c r="D235" s="3" t="s">
        <v>14</v>
      </c>
      <c r="E235" s="4">
        <v>0.92</v>
      </c>
      <c r="F235" s="5">
        <v>2.8</v>
      </c>
      <c r="G235" s="6">
        <v>284</v>
      </c>
      <c r="H235" s="6">
        <v>2.2999999999999998</v>
      </c>
      <c r="I235" s="21">
        <f t="shared" si="13"/>
        <v>1682.6432000000002</v>
      </c>
      <c r="J235" s="7" t="s">
        <v>622</v>
      </c>
      <c r="K235" s="17">
        <f t="shared" si="12"/>
        <v>8</v>
      </c>
    </row>
    <row r="236" spans="1:11" ht="13.95" customHeight="1" x14ac:dyDescent="0.3">
      <c r="A236" s="3">
        <v>45892</v>
      </c>
      <c r="B236" s="3" t="s">
        <v>671</v>
      </c>
      <c r="C236" s="3" t="s">
        <v>16</v>
      </c>
      <c r="D236" s="3" t="s">
        <v>14</v>
      </c>
      <c r="E236" s="4">
        <v>0.9</v>
      </c>
      <c r="F236" s="5">
        <v>2.75</v>
      </c>
      <c r="G236" s="6">
        <v>284</v>
      </c>
      <c r="H236" s="6">
        <v>2.2999999999999998</v>
      </c>
      <c r="I236" s="21">
        <f t="shared" si="13"/>
        <v>1616.67</v>
      </c>
      <c r="J236" s="7" t="s">
        <v>69</v>
      </c>
      <c r="K236" s="17">
        <f t="shared" si="12"/>
        <v>8</v>
      </c>
    </row>
    <row r="237" spans="1:11" ht="13.95" customHeight="1" x14ac:dyDescent="0.3">
      <c r="A237" s="3">
        <v>45893</v>
      </c>
      <c r="B237" s="3" t="s">
        <v>671</v>
      </c>
      <c r="C237" s="3" t="s">
        <v>18</v>
      </c>
      <c r="D237" s="3" t="s">
        <v>9</v>
      </c>
      <c r="E237" s="4">
        <v>0.78</v>
      </c>
      <c r="F237" s="5">
        <v>1.88</v>
      </c>
      <c r="G237" s="6">
        <v>284</v>
      </c>
      <c r="H237" s="6">
        <v>2.2999999999999998</v>
      </c>
      <c r="I237" s="21">
        <f t="shared" si="13"/>
        <v>957.8524799999999</v>
      </c>
      <c r="J237" s="7" t="s">
        <v>245</v>
      </c>
      <c r="K237" s="17">
        <f t="shared" si="12"/>
        <v>8</v>
      </c>
    </row>
    <row r="238" spans="1:11" ht="13.95" customHeight="1" x14ac:dyDescent="0.3">
      <c r="A238" s="3">
        <v>45894</v>
      </c>
      <c r="B238" s="3" t="s">
        <v>671</v>
      </c>
      <c r="C238" s="3" t="s">
        <v>20</v>
      </c>
      <c r="D238" s="3" t="s">
        <v>9</v>
      </c>
      <c r="E238" s="4">
        <v>0.8</v>
      </c>
      <c r="F238" s="5">
        <v>1.88</v>
      </c>
      <c r="G238" s="6">
        <v>284</v>
      </c>
      <c r="H238" s="6">
        <v>2.2999999999999998</v>
      </c>
      <c r="I238" s="21">
        <f t="shared" si="13"/>
        <v>982.41279999999983</v>
      </c>
      <c r="J238" s="7" t="s">
        <v>286</v>
      </c>
      <c r="K238" s="17">
        <f t="shared" si="12"/>
        <v>8</v>
      </c>
    </row>
    <row r="239" spans="1:11" ht="13.95" customHeight="1" x14ac:dyDescent="0.3">
      <c r="A239" s="3">
        <v>45895</v>
      </c>
      <c r="B239" s="3" t="s">
        <v>671</v>
      </c>
      <c r="C239" s="3" t="s">
        <v>5</v>
      </c>
      <c r="D239" s="3" t="s">
        <v>9</v>
      </c>
      <c r="E239" s="4">
        <v>0.82</v>
      </c>
      <c r="F239" s="5">
        <v>1.9</v>
      </c>
      <c r="G239" s="6">
        <v>284</v>
      </c>
      <c r="H239" s="6">
        <v>2.2999999999999998</v>
      </c>
      <c r="I239" s="21">
        <f t="shared" si="13"/>
        <v>1017.6855999999998</v>
      </c>
      <c r="J239" s="7" t="s">
        <v>286</v>
      </c>
      <c r="K239" s="17">
        <f t="shared" si="12"/>
        <v>8</v>
      </c>
    </row>
    <row r="240" spans="1:11" ht="13.95" customHeight="1" x14ac:dyDescent="0.3">
      <c r="A240" s="3">
        <v>45896</v>
      </c>
      <c r="B240" s="3" t="s">
        <v>671</v>
      </c>
      <c r="C240" s="3" t="s">
        <v>8</v>
      </c>
      <c r="D240" s="3" t="s">
        <v>9</v>
      </c>
      <c r="E240" s="4">
        <v>0.78</v>
      </c>
      <c r="F240" s="5">
        <v>1.88</v>
      </c>
      <c r="G240" s="6">
        <v>284</v>
      </c>
      <c r="H240" s="6">
        <v>2.2999999999999998</v>
      </c>
      <c r="I240" s="21">
        <f t="shared" si="13"/>
        <v>957.8524799999999</v>
      </c>
      <c r="J240" s="7" t="s">
        <v>286</v>
      </c>
      <c r="K240" s="17">
        <f t="shared" si="12"/>
        <v>8</v>
      </c>
    </row>
    <row r="241" spans="1:11" ht="13.95" customHeight="1" x14ac:dyDescent="0.3">
      <c r="A241" s="3">
        <v>45897</v>
      </c>
      <c r="B241" s="3" t="s">
        <v>671</v>
      </c>
      <c r="C241" s="3" t="s">
        <v>11</v>
      </c>
      <c r="D241" s="3" t="s">
        <v>9</v>
      </c>
      <c r="E241" s="4">
        <v>0.82</v>
      </c>
      <c r="F241" s="5">
        <v>2.35</v>
      </c>
      <c r="G241" s="6">
        <v>284</v>
      </c>
      <c r="H241" s="6">
        <v>2.2999999999999998</v>
      </c>
      <c r="I241" s="21">
        <f t="shared" si="13"/>
        <v>1258.7163999999998</v>
      </c>
      <c r="J241" s="7" t="s">
        <v>222</v>
      </c>
      <c r="K241" s="17">
        <f t="shared" si="12"/>
        <v>8</v>
      </c>
    </row>
    <row r="242" spans="1:11" ht="13.95" customHeight="1" x14ac:dyDescent="0.3">
      <c r="A242" s="3">
        <v>45898</v>
      </c>
      <c r="B242" s="3" t="s">
        <v>671</v>
      </c>
      <c r="C242" s="3" t="s">
        <v>13</v>
      </c>
      <c r="D242" s="3" t="s">
        <v>14</v>
      </c>
      <c r="E242" s="4">
        <v>0.88</v>
      </c>
      <c r="F242" s="5">
        <v>2.75</v>
      </c>
      <c r="G242" s="6">
        <v>284</v>
      </c>
      <c r="H242" s="6">
        <v>2.2999999999999998</v>
      </c>
      <c r="I242" s="21">
        <f t="shared" si="13"/>
        <v>1580.7439999999997</v>
      </c>
      <c r="J242" s="7" t="s">
        <v>623</v>
      </c>
      <c r="K242" s="17">
        <f t="shared" si="12"/>
        <v>8</v>
      </c>
    </row>
    <row r="243" spans="1:11" ht="13.95" customHeight="1" x14ac:dyDescent="0.3">
      <c r="A243" s="3">
        <v>45899</v>
      </c>
      <c r="B243" s="3" t="s">
        <v>671</v>
      </c>
      <c r="C243" s="3" t="s">
        <v>16</v>
      </c>
      <c r="D243" s="3" t="s">
        <v>14</v>
      </c>
      <c r="E243" s="4">
        <v>0.85</v>
      </c>
      <c r="F243" s="5">
        <v>2.7</v>
      </c>
      <c r="G243" s="6">
        <v>284</v>
      </c>
      <c r="H243" s="6">
        <v>2.2999999999999998</v>
      </c>
      <c r="I243" s="21">
        <f t="shared" si="13"/>
        <v>1499.0939999999998</v>
      </c>
      <c r="J243" s="7" t="s">
        <v>624</v>
      </c>
      <c r="K243" s="17">
        <f t="shared" si="12"/>
        <v>8</v>
      </c>
    </row>
    <row r="244" spans="1:11" ht="13.95" customHeight="1" x14ac:dyDescent="0.3">
      <c r="A244" s="3">
        <v>45900</v>
      </c>
      <c r="B244" s="3" t="s">
        <v>671</v>
      </c>
      <c r="C244" s="3" t="s">
        <v>18</v>
      </c>
      <c r="D244" s="3" t="s">
        <v>9</v>
      </c>
      <c r="E244" s="4">
        <v>0.75</v>
      </c>
      <c r="F244" s="5">
        <v>1.85</v>
      </c>
      <c r="G244" s="6">
        <v>284</v>
      </c>
      <c r="H244" s="6">
        <v>2.2999999999999998</v>
      </c>
      <c r="I244" s="21">
        <f t="shared" si="13"/>
        <v>906.31500000000005</v>
      </c>
      <c r="J244" s="7" t="s">
        <v>625</v>
      </c>
      <c r="K244" s="17">
        <f t="shared" si="12"/>
        <v>8</v>
      </c>
    </row>
    <row r="245" spans="1:11" ht="13.95" customHeight="1" x14ac:dyDescent="0.3">
      <c r="A245" s="3">
        <v>45901</v>
      </c>
      <c r="B245" s="3" t="s">
        <v>671</v>
      </c>
      <c r="C245" s="3" t="s">
        <v>20</v>
      </c>
      <c r="D245" s="3" t="s">
        <v>9</v>
      </c>
      <c r="E245" s="4">
        <v>0.78</v>
      </c>
      <c r="F245" s="5">
        <v>1.85</v>
      </c>
      <c r="G245" s="6">
        <v>284</v>
      </c>
      <c r="H245" s="6">
        <v>2.2999999999999998</v>
      </c>
      <c r="I245" s="21">
        <f t="shared" ref="I245:I308" si="14">(G245*E245)*H245*F245</f>
        <v>942.56759999999997</v>
      </c>
      <c r="J245" s="7" t="s">
        <v>626</v>
      </c>
      <c r="K245" s="17">
        <f t="shared" si="12"/>
        <v>9</v>
      </c>
    </row>
    <row r="246" spans="1:11" ht="13.95" customHeight="1" x14ac:dyDescent="0.3">
      <c r="A246" s="3">
        <v>45902</v>
      </c>
      <c r="B246" s="3" t="s">
        <v>671</v>
      </c>
      <c r="C246" s="3" t="s">
        <v>5</v>
      </c>
      <c r="D246" s="3" t="s">
        <v>9</v>
      </c>
      <c r="E246" s="4">
        <v>0.82</v>
      </c>
      <c r="F246" s="5">
        <v>1.88</v>
      </c>
      <c r="G246" s="6">
        <v>284</v>
      </c>
      <c r="H246" s="6">
        <v>2.2999999999999998</v>
      </c>
      <c r="I246" s="21">
        <f t="shared" si="14"/>
        <v>1006.9731199999998</v>
      </c>
      <c r="J246" s="7" t="s">
        <v>627</v>
      </c>
      <c r="K246" s="17">
        <f t="shared" si="12"/>
        <v>9</v>
      </c>
    </row>
    <row r="247" spans="1:11" ht="13.95" customHeight="1" x14ac:dyDescent="0.3">
      <c r="A247" s="3">
        <v>45903</v>
      </c>
      <c r="B247" s="3" t="s">
        <v>671</v>
      </c>
      <c r="C247" s="3" t="s">
        <v>8</v>
      </c>
      <c r="D247" s="3" t="s">
        <v>9</v>
      </c>
      <c r="E247" s="4">
        <v>0.8</v>
      </c>
      <c r="F247" s="5">
        <v>1.85</v>
      </c>
      <c r="G247" s="6">
        <v>284</v>
      </c>
      <c r="H247" s="6">
        <v>2.2999999999999998</v>
      </c>
      <c r="I247" s="21">
        <f t="shared" si="14"/>
        <v>966.73599999999999</v>
      </c>
      <c r="J247" s="7" t="s">
        <v>286</v>
      </c>
      <c r="K247" s="17">
        <f t="shared" si="12"/>
        <v>9</v>
      </c>
    </row>
    <row r="248" spans="1:11" ht="13.95" customHeight="1" x14ac:dyDescent="0.3">
      <c r="A248" s="3">
        <v>45904</v>
      </c>
      <c r="B248" s="3" t="s">
        <v>671</v>
      </c>
      <c r="C248" s="3" t="s">
        <v>11</v>
      </c>
      <c r="D248" s="3" t="s">
        <v>9</v>
      </c>
      <c r="E248" s="4">
        <v>0.75</v>
      </c>
      <c r="F248" s="5">
        <v>2.15</v>
      </c>
      <c r="G248" s="6">
        <v>284</v>
      </c>
      <c r="H248" s="6">
        <v>2.2999999999999998</v>
      </c>
      <c r="I248" s="21">
        <f t="shared" si="14"/>
        <v>1053.2849999999999</v>
      </c>
      <c r="J248" s="7" t="s">
        <v>485</v>
      </c>
      <c r="K248" s="17">
        <f t="shared" si="12"/>
        <v>9</v>
      </c>
    </row>
    <row r="249" spans="1:11" ht="13.95" customHeight="1" x14ac:dyDescent="0.3">
      <c r="A249" s="3">
        <v>45905</v>
      </c>
      <c r="B249" s="3" t="s">
        <v>671</v>
      </c>
      <c r="C249" s="3" t="s">
        <v>13</v>
      </c>
      <c r="D249" s="3" t="s">
        <v>14</v>
      </c>
      <c r="E249" s="4">
        <v>0.78</v>
      </c>
      <c r="F249" s="5">
        <v>2.65</v>
      </c>
      <c r="G249" s="6">
        <v>284</v>
      </c>
      <c r="H249" s="6">
        <v>2.2999999999999998</v>
      </c>
      <c r="I249" s="21">
        <f t="shared" si="14"/>
        <v>1350.1643999999999</v>
      </c>
      <c r="J249" s="7" t="s">
        <v>628</v>
      </c>
      <c r="K249" s="17">
        <f t="shared" si="12"/>
        <v>9</v>
      </c>
    </row>
    <row r="250" spans="1:11" ht="13.95" customHeight="1" x14ac:dyDescent="0.3">
      <c r="A250" s="3">
        <v>45906</v>
      </c>
      <c r="B250" s="3" t="s">
        <v>671</v>
      </c>
      <c r="C250" s="3" t="s">
        <v>16</v>
      </c>
      <c r="D250" s="3" t="s">
        <v>14</v>
      </c>
      <c r="E250" s="4">
        <v>0.75</v>
      </c>
      <c r="F250" s="5">
        <v>2.6</v>
      </c>
      <c r="G250" s="6">
        <v>284</v>
      </c>
      <c r="H250" s="6">
        <v>2.2999999999999998</v>
      </c>
      <c r="I250" s="21">
        <f t="shared" si="14"/>
        <v>1273.74</v>
      </c>
      <c r="J250" s="7" t="s">
        <v>525</v>
      </c>
      <c r="K250" s="17">
        <f t="shared" si="12"/>
        <v>9</v>
      </c>
    </row>
    <row r="251" spans="1:11" ht="13.95" customHeight="1" x14ac:dyDescent="0.3">
      <c r="A251" s="3">
        <v>45907</v>
      </c>
      <c r="B251" s="3" t="s">
        <v>671</v>
      </c>
      <c r="C251" s="3" t="s">
        <v>18</v>
      </c>
      <c r="D251" s="3" t="s">
        <v>9</v>
      </c>
      <c r="E251" s="4">
        <v>0.72</v>
      </c>
      <c r="F251" s="5">
        <v>1.8</v>
      </c>
      <c r="G251" s="6">
        <v>284</v>
      </c>
      <c r="H251" s="6">
        <v>2.2999999999999998</v>
      </c>
      <c r="I251" s="21">
        <f t="shared" si="14"/>
        <v>846.54719999999986</v>
      </c>
      <c r="J251" s="7" t="s">
        <v>65</v>
      </c>
      <c r="K251" s="17">
        <f t="shared" si="12"/>
        <v>9</v>
      </c>
    </row>
    <row r="252" spans="1:11" ht="13.95" customHeight="1" x14ac:dyDescent="0.3">
      <c r="A252" s="3">
        <v>45908</v>
      </c>
      <c r="B252" s="3" t="s">
        <v>671</v>
      </c>
      <c r="C252" s="3" t="s">
        <v>20</v>
      </c>
      <c r="D252" s="3" t="s">
        <v>9</v>
      </c>
      <c r="E252" s="4">
        <v>0.78</v>
      </c>
      <c r="F252" s="5">
        <v>1.85</v>
      </c>
      <c r="G252" s="6">
        <v>284</v>
      </c>
      <c r="H252" s="6">
        <v>2.2999999999999998</v>
      </c>
      <c r="I252" s="21">
        <f t="shared" si="14"/>
        <v>942.56759999999997</v>
      </c>
      <c r="J252" s="7" t="s">
        <v>286</v>
      </c>
      <c r="K252" s="17">
        <f t="shared" si="12"/>
        <v>9</v>
      </c>
    </row>
    <row r="253" spans="1:11" ht="13.95" customHeight="1" x14ac:dyDescent="0.3">
      <c r="A253" s="3">
        <v>45909</v>
      </c>
      <c r="B253" s="3" t="s">
        <v>671</v>
      </c>
      <c r="C253" s="3" t="s">
        <v>5</v>
      </c>
      <c r="D253" s="3" t="s">
        <v>9</v>
      </c>
      <c r="E253" s="4">
        <v>0.8</v>
      </c>
      <c r="F253" s="5">
        <v>1.88</v>
      </c>
      <c r="G253" s="6">
        <v>284</v>
      </c>
      <c r="H253" s="6">
        <v>2.2999999999999998</v>
      </c>
      <c r="I253" s="21">
        <f t="shared" si="14"/>
        <v>982.41279999999983</v>
      </c>
      <c r="J253" s="7" t="s">
        <v>143</v>
      </c>
      <c r="K253" s="17">
        <f t="shared" si="12"/>
        <v>9</v>
      </c>
    </row>
    <row r="254" spans="1:11" ht="13.95" customHeight="1" x14ac:dyDescent="0.3">
      <c r="A254" s="3">
        <v>45910</v>
      </c>
      <c r="B254" s="3" t="s">
        <v>671</v>
      </c>
      <c r="C254" s="3" t="s">
        <v>8</v>
      </c>
      <c r="D254" s="3" t="s">
        <v>9</v>
      </c>
      <c r="E254" s="4">
        <v>0.75</v>
      </c>
      <c r="F254" s="5">
        <v>1.85</v>
      </c>
      <c r="G254" s="6">
        <v>284</v>
      </c>
      <c r="H254" s="6">
        <v>2.2999999999999998</v>
      </c>
      <c r="I254" s="21">
        <f t="shared" si="14"/>
        <v>906.31500000000005</v>
      </c>
      <c r="J254" s="7" t="s">
        <v>286</v>
      </c>
      <c r="K254" s="17">
        <f t="shared" si="12"/>
        <v>9</v>
      </c>
    </row>
    <row r="255" spans="1:11" ht="13.95" customHeight="1" x14ac:dyDescent="0.3">
      <c r="A255" s="3">
        <v>45911</v>
      </c>
      <c r="B255" s="3" t="s">
        <v>671</v>
      </c>
      <c r="C255" s="3" t="s">
        <v>11</v>
      </c>
      <c r="D255" s="3" t="s">
        <v>9</v>
      </c>
      <c r="E255" s="4">
        <v>0.72</v>
      </c>
      <c r="F255" s="5">
        <v>2.15</v>
      </c>
      <c r="G255" s="6">
        <v>284</v>
      </c>
      <c r="H255" s="6">
        <v>2.2999999999999998</v>
      </c>
      <c r="I255" s="21">
        <f t="shared" si="14"/>
        <v>1011.1535999999998</v>
      </c>
      <c r="J255" s="7" t="s">
        <v>540</v>
      </c>
      <c r="K255" s="17">
        <f t="shared" si="12"/>
        <v>9</v>
      </c>
    </row>
    <row r="256" spans="1:11" ht="13.95" customHeight="1" x14ac:dyDescent="0.3">
      <c r="A256" s="3">
        <v>45912</v>
      </c>
      <c r="B256" s="3" t="s">
        <v>671</v>
      </c>
      <c r="C256" s="3" t="s">
        <v>13</v>
      </c>
      <c r="D256" s="3" t="s">
        <v>14</v>
      </c>
      <c r="E256" s="4">
        <v>0.75</v>
      </c>
      <c r="F256" s="5">
        <v>2.6</v>
      </c>
      <c r="G256" s="6">
        <v>284</v>
      </c>
      <c r="H256" s="6">
        <v>2.2999999999999998</v>
      </c>
      <c r="I256" s="21">
        <f t="shared" si="14"/>
        <v>1273.74</v>
      </c>
      <c r="J256" s="7" t="s">
        <v>622</v>
      </c>
      <c r="K256" s="17">
        <f t="shared" si="12"/>
        <v>9</v>
      </c>
    </row>
    <row r="257" spans="1:11" ht="13.95" customHeight="1" x14ac:dyDescent="0.3">
      <c r="A257" s="3">
        <v>45913</v>
      </c>
      <c r="B257" s="3" t="s">
        <v>671</v>
      </c>
      <c r="C257" s="3" t="s">
        <v>16</v>
      </c>
      <c r="D257" s="3" t="s">
        <v>14</v>
      </c>
      <c r="E257" s="4">
        <v>0.72</v>
      </c>
      <c r="F257" s="5">
        <v>2.6</v>
      </c>
      <c r="G257" s="6">
        <v>284</v>
      </c>
      <c r="H257" s="6">
        <v>2.2999999999999998</v>
      </c>
      <c r="I257" s="21">
        <f t="shared" si="14"/>
        <v>1222.7903999999999</v>
      </c>
      <c r="J257" s="7" t="s">
        <v>69</v>
      </c>
      <c r="K257" s="17">
        <f t="shared" si="12"/>
        <v>9</v>
      </c>
    </row>
    <row r="258" spans="1:11" ht="13.95" customHeight="1" x14ac:dyDescent="0.3">
      <c r="A258" s="3">
        <v>45914</v>
      </c>
      <c r="B258" s="3" t="s">
        <v>671</v>
      </c>
      <c r="C258" s="3" t="s">
        <v>18</v>
      </c>
      <c r="D258" s="3" t="s">
        <v>9</v>
      </c>
      <c r="E258" s="4">
        <v>0.7</v>
      </c>
      <c r="F258" s="5">
        <v>1.8</v>
      </c>
      <c r="G258" s="6">
        <v>284</v>
      </c>
      <c r="H258" s="6">
        <v>2.2999999999999998</v>
      </c>
      <c r="I258" s="21">
        <f t="shared" si="14"/>
        <v>823.03199999999993</v>
      </c>
      <c r="J258" s="7" t="s">
        <v>286</v>
      </c>
      <c r="K258" s="17">
        <f t="shared" si="12"/>
        <v>9</v>
      </c>
    </row>
    <row r="259" spans="1:11" ht="13.95" customHeight="1" x14ac:dyDescent="0.3">
      <c r="A259" s="3">
        <v>45915</v>
      </c>
      <c r="B259" s="3" t="s">
        <v>671</v>
      </c>
      <c r="C259" s="3" t="s">
        <v>20</v>
      </c>
      <c r="D259" s="3" t="s">
        <v>9</v>
      </c>
      <c r="E259" s="4">
        <v>0.75</v>
      </c>
      <c r="F259" s="5">
        <v>1.82</v>
      </c>
      <c r="G259" s="6">
        <v>284</v>
      </c>
      <c r="H259" s="6">
        <v>2.2999999999999998</v>
      </c>
      <c r="I259" s="21">
        <f t="shared" si="14"/>
        <v>891.61799999999994</v>
      </c>
      <c r="J259" s="7" t="s">
        <v>428</v>
      </c>
      <c r="K259" s="17">
        <f t="shared" si="12"/>
        <v>9</v>
      </c>
    </row>
    <row r="260" spans="1:11" ht="13.95" customHeight="1" x14ac:dyDescent="0.3">
      <c r="A260" s="3">
        <v>45916</v>
      </c>
      <c r="B260" s="3" t="s">
        <v>671</v>
      </c>
      <c r="C260" s="3" t="s">
        <v>5</v>
      </c>
      <c r="D260" s="3" t="s">
        <v>9</v>
      </c>
      <c r="E260" s="4">
        <v>0.78</v>
      </c>
      <c r="F260" s="5">
        <v>1.85</v>
      </c>
      <c r="G260" s="6">
        <v>284</v>
      </c>
      <c r="H260" s="6">
        <v>2.2999999999999998</v>
      </c>
      <c r="I260" s="21">
        <f t="shared" si="14"/>
        <v>942.56759999999997</v>
      </c>
      <c r="J260" s="7" t="s">
        <v>428</v>
      </c>
      <c r="K260" s="17">
        <f t="shared" si="12"/>
        <v>9</v>
      </c>
    </row>
    <row r="261" spans="1:11" ht="13.95" customHeight="1" x14ac:dyDescent="0.3">
      <c r="A261" s="3">
        <v>45917</v>
      </c>
      <c r="B261" s="3" t="s">
        <v>671</v>
      </c>
      <c r="C261" s="3" t="s">
        <v>8</v>
      </c>
      <c r="D261" s="3" t="s">
        <v>9</v>
      </c>
      <c r="E261" s="4">
        <v>0.74</v>
      </c>
      <c r="F261" s="5">
        <v>1.82</v>
      </c>
      <c r="G261" s="6">
        <v>284</v>
      </c>
      <c r="H261" s="6">
        <v>2.2999999999999998</v>
      </c>
      <c r="I261" s="21">
        <f t="shared" si="14"/>
        <v>879.72975999999994</v>
      </c>
      <c r="J261" s="7" t="s">
        <v>65</v>
      </c>
      <c r="K261" s="17">
        <f t="shared" si="12"/>
        <v>9</v>
      </c>
    </row>
    <row r="262" spans="1:11" ht="13.95" customHeight="1" x14ac:dyDescent="0.3">
      <c r="A262" s="3">
        <v>45918</v>
      </c>
      <c r="B262" s="3" t="s">
        <v>671</v>
      </c>
      <c r="C262" s="3" t="s">
        <v>11</v>
      </c>
      <c r="D262" s="3" t="s">
        <v>9</v>
      </c>
      <c r="E262" s="4">
        <v>0.7</v>
      </c>
      <c r="F262" s="5">
        <v>2.1</v>
      </c>
      <c r="G262" s="6">
        <v>284</v>
      </c>
      <c r="H262" s="6">
        <v>2.2999999999999998</v>
      </c>
      <c r="I262" s="21">
        <f t="shared" si="14"/>
        <v>960.20399999999995</v>
      </c>
      <c r="J262" s="7" t="s">
        <v>97</v>
      </c>
      <c r="K262" s="17">
        <f t="shared" si="12"/>
        <v>9</v>
      </c>
    </row>
    <row r="263" spans="1:11" ht="13.95" customHeight="1" x14ac:dyDescent="0.3">
      <c r="A263" s="3">
        <v>45919</v>
      </c>
      <c r="B263" s="3" t="s">
        <v>671</v>
      </c>
      <c r="C263" s="3" t="s">
        <v>13</v>
      </c>
      <c r="D263" s="3" t="s">
        <v>14</v>
      </c>
      <c r="E263" s="4">
        <v>0.72</v>
      </c>
      <c r="F263" s="5">
        <v>2.5499999999999998</v>
      </c>
      <c r="G263" s="6">
        <v>284</v>
      </c>
      <c r="H263" s="6">
        <v>2.2999999999999998</v>
      </c>
      <c r="I263" s="21">
        <f t="shared" si="14"/>
        <v>1199.2751999999998</v>
      </c>
      <c r="J263" s="7" t="s">
        <v>629</v>
      </c>
      <c r="K263" s="17">
        <f t="shared" si="12"/>
        <v>9</v>
      </c>
    </row>
    <row r="264" spans="1:11" ht="13.95" customHeight="1" x14ac:dyDescent="0.3">
      <c r="A264" s="3">
        <v>45920</v>
      </c>
      <c r="B264" s="3" t="s">
        <v>671</v>
      </c>
      <c r="C264" s="3" t="s">
        <v>16</v>
      </c>
      <c r="D264" s="3" t="s">
        <v>14</v>
      </c>
      <c r="E264" s="4">
        <v>0.7</v>
      </c>
      <c r="F264" s="5">
        <v>2.5499999999999998</v>
      </c>
      <c r="G264" s="6">
        <v>284</v>
      </c>
      <c r="H264" s="6">
        <v>2.2999999999999998</v>
      </c>
      <c r="I264" s="21">
        <f t="shared" si="14"/>
        <v>1165.9619999999998</v>
      </c>
      <c r="J264" s="7" t="s">
        <v>69</v>
      </c>
      <c r="K264" s="17">
        <f t="shared" si="12"/>
        <v>9</v>
      </c>
    </row>
    <row r="265" spans="1:11" ht="13.95" customHeight="1" x14ac:dyDescent="0.3">
      <c r="A265" s="3">
        <v>45921</v>
      </c>
      <c r="B265" s="3" t="s">
        <v>671</v>
      </c>
      <c r="C265" s="3" t="s">
        <v>18</v>
      </c>
      <c r="D265" s="3" t="s">
        <v>9</v>
      </c>
      <c r="E265" s="4">
        <v>0.72</v>
      </c>
      <c r="F265" s="5">
        <v>1.8</v>
      </c>
      <c r="G265" s="6">
        <v>284</v>
      </c>
      <c r="H265" s="6">
        <v>2.2999999999999998</v>
      </c>
      <c r="I265" s="21">
        <f t="shared" si="14"/>
        <v>846.54719999999986</v>
      </c>
      <c r="J265" s="7" t="s">
        <v>526</v>
      </c>
      <c r="K265" s="17">
        <f t="shared" si="12"/>
        <v>9</v>
      </c>
    </row>
    <row r="266" spans="1:11" ht="13.95" customHeight="1" x14ac:dyDescent="0.3">
      <c r="A266" s="3">
        <v>45922</v>
      </c>
      <c r="B266" s="3" t="s">
        <v>671</v>
      </c>
      <c r="C266" s="3" t="s">
        <v>20</v>
      </c>
      <c r="D266" s="3" t="s">
        <v>9</v>
      </c>
      <c r="E266" s="4">
        <v>0.75</v>
      </c>
      <c r="F266" s="5">
        <v>1.82</v>
      </c>
      <c r="G266" s="6">
        <v>284</v>
      </c>
      <c r="H266" s="6">
        <v>2.2999999999999998</v>
      </c>
      <c r="I266" s="21">
        <f t="shared" si="14"/>
        <v>891.61799999999994</v>
      </c>
      <c r="J266" s="7" t="s">
        <v>286</v>
      </c>
      <c r="K266" s="17">
        <f t="shared" si="12"/>
        <v>9</v>
      </c>
    </row>
    <row r="267" spans="1:11" ht="13.95" customHeight="1" x14ac:dyDescent="0.3">
      <c r="A267" s="3" t="s">
        <v>630</v>
      </c>
      <c r="B267" s="3" t="s">
        <v>671</v>
      </c>
      <c r="C267" s="3" t="s">
        <v>5</v>
      </c>
      <c r="D267" s="3" t="s">
        <v>9</v>
      </c>
      <c r="E267" s="4">
        <v>0.8</v>
      </c>
      <c r="F267" s="5">
        <v>1.85</v>
      </c>
      <c r="G267" s="6">
        <v>284</v>
      </c>
      <c r="H267" s="6">
        <v>2.2999999999999998</v>
      </c>
      <c r="I267" s="21">
        <f t="shared" si="14"/>
        <v>966.73599999999999</v>
      </c>
      <c r="J267" s="7" t="s">
        <v>631</v>
      </c>
      <c r="K267" s="17" t="e">
        <f t="shared" si="12"/>
        <v>#VALUE!</v>
      </c>
    </row>
    <row r="268" spans="1:11" ht="13.95" customHeight="1" x14ac:dyDescent="0.3">
      <c r="A268" s="3" t="s">
        <v>632</v>
      </c>
      <c r="B268" s="3" t="s">
        <v>671</v>
      </c>
      <c r="C268" s="3" t="s">
        <v>8</v>
      </c>
      <c r="D268" s="3" t="s">
        <v>9</v>
      </c>
      <c r="E268" s="4">
        <v>0.78</v>
      </c>
      <c r="F268" s="5">
        <v>1.82</v>
      </c>
      <c r="G268" s="6">
        <v>284</v>
      </c>
      <c r="H268" s="6">
        <v>2.2999999999999998</v>
      </c>
      <c r="I268" s="21">
        <f t="shared" si="14"/>
        <v>927.28272000000004</v>
      </c>
      <c r="J268" s="7" t="s">
        <v>286</v>
      </c>
      <c r="K268" s="17" t="e">
        <f t="shared" si="12"/>
        <v>#VALUE!</v>
      </c>
    </row>
    <row r="269" spans="1:11" ht="13.95" customHeight="1" x14ac:dyDescent="0.3">
      <c r="A269" s="3" t="s">
        <v>633</v>
      </c>
      <c r="B269" s="3" t="s">
        <v>671</v>
      </c>
      <c r="C269" s="3" t="s">
        <v>11</v>
      </c>
      <c r="D269" s="3" t="s">
        <v>9</v>
      </c>
      <c r="E269" s="4">
        <v>0.75</v>
      </c>
      <c r="F269" s="5">
        <v>2.15</v>
      </c>
      <c r="G269" s="6">
        <v>284</v>
      </c>
      <c r="H269" s="6">
        <v>2.2999999999999998</v>
      </c>
      <c r="I269" s="21">
        <f t="shared" si="14"/>
        <v>1053.2849999999999</v>
      </c>
      <c r="J269" s="7" t="s">
        <v>97</v>
      </c>
      <c r="K269" s="17" t="e">
        <f t="shared" si="12"/>
        <v>#VALUE!</v>
      </c>
    </row>
    <row r="270" spans="1:11" ht="13.95" customHeight="1" x14ac:dyDescent="0.3">
      <c r="A270" s="3" t="s">
        <v>634</v>
      </c>
      <c r="B270" s="3" t="s">
        <v>671</v>
      </c>
      <c r="C270" s="3" t="s">
        <v>13</v>
      </c>
      <c r="D270" s="3" t="s">
        <v>14</v>
      </c>
      <c r="E270" s="4">
        <v>0.8</v>
      </c>
      <c r="F270" s="5">
        <v>2.6</v>
      </c>
      <c r="G270" s="6">
        <v>284</v>
      </c>
      <c r="H270" s="6">
        <v>2.2999999999999998</v>
      </c>
      <c r="I270" s="21">
        <f t="shared" si="14"/>
        <v>1358.6559999999999</v>
      </c>
      <c r="J270" s="7" t="s">
        <v>542</v>
      </c>
      <c r="K270" s="17" t="e">
        <f t="shared" si="12"/>
        <v>#VALUE!</v>
      </c>
    </row>
    <row r="271" spans="1:11" ht="13.95" customHeight="1" x14ac:dyDescent="0.3">
      <c r="A271" s="3" t="s">
        <v>635</v>
      </c>
      <c r="B271" s="3" t="s">
        <v>671</v>
      </c>
      <c r="C271" s="3" t="s">
        <v>16</v>
      </c>
      <c r="D271" s="3" t="s">
        <v>14</v>
      </c>
      <c r="E271" s="4">
        <v>0.75</v>
      </c>
      <c r="F271" s="5">
        <v>2.5499999999999998</v>
      </c>
      <c r="G271" s="6">
        <v>284</v>
      </c>
      <c r="H271" s="6">
        <v>2.2999999999999998</v>
      </c>
      <c r="I271" s="21">
        <f t="shared" si="14"/>
        <v>1249.2449999999999</v>
      </c>
      <c r="J271" s="7" t="s">
        <v>238</v>
      </c>
      <c r="K271" s="17" t="e">
        <f t="shared" si="12"/>
        <v>#VALUE!</v>
      </c>
    </row>
    <row r="272" spans="1:11" ht="13.95" customHeight="1" x14ac:dyDescent="0.3">
      <c r="A272" s="3" t="s">
        <v>636</v>
      </c>
      <c r="B272" s="3" t="s">
        <v>671</v>
      </c>
      <c r="C272" s="3" t="s">
        <v>18</v>
      </c>
      <c r="D272" s="3" t="s">
        <v>9</v>
      </c>
      <c r="E272" s="4">
        <v>0.7</v>
      </c>
      <c r="F272" s="5">
        <v>1.8</v>
      </c>
      <c r="G272" s="6">
        <v>284</v>
      </c>
      <c r="H272" s="6">
        <v>2.2999999999999998</v>
      </c>
      <c r="I272" s="21">
        <f t="shared" si="14"/>
        <v>823.03199999999993</v>
      </c>
      <c r="J272" s="7" t="s">
        <v>286</v>
      </c>
      <c r="K272" s="17" t="e">
        <f t="shared" si="12"/>
        <v>#VALUE!</v>
      </c>
    </row>
    <row r="273" spans="1:11" ht="13.95" customHeight="1" x14ac:dyDescent="0.3">
      <c r="A273" s="3" t="s">
        <v>637</v>
      </c>
      <c r="B273" s="3" t="s">
        <v>671</v>
      </c>
      <c r="C273" s="3" t="s">
        <v>20</v>
      </c>
      <c r="D273" s="3" t="s">
        <v>9</v>
      </c>
      <c r="E273" s="4">
        <v>0.74</v>
      </c>
      <c r="F273" s="5">
        <v>1.82</v>
      </c>
      <c r="G273" s="6">
        <v>284</v>
      </c>
      <c r="H273" s="6">
        <v>2.2999999999999998</v>
      </c>
      <c r="I273" s="21">
        <f t="shared" si="14"/>
        <v>879.72975999999994</v>
      </c>
      <c r="J273" s="7" t="s">
        <v>286</v>
      </c>
      <c r="K273" s="17" t="e">
        <f t="shared" ref="K273:K336" si="15">MONTH(A273)</f>
        <v>#VALUE!</v>
      </c>
    </row>
    <row r="274" spans="1:11" ht="13.95" customHeight="1" x14ac:dyDescent="0.3">
      <c r="A274" s="3" t="s">
        <v>638</v>
      </c>
      <c r="B274" s="3" t="s">
        <v>671</v>
      </c>
      <c r="C274" s="3" t="s">
        <v>5</v>
      </c>
      <c r="D274" s="3" t="s">
        <v>9</v>
      </c>
      <c r="E274" s="4">
        <v>0.78</v>
      </c>
      <c r="F274" s="5">
        <v>1.85</v>
      </c>
      <c r="G274" s="6">
        <v>284</v>
      </c>
      <c r="H274" s="6">
        <v>2.2999999999999998</v>
      </c>
      <c r="I274" s="21">
        <f t="shared" si="14"/>
        <v>942.56759999999997</v>
      </c>
      <c r="J274" s="7" t="s">
        <v>639</v>
      </c>
      <c r="K274" s="17" t="e">
        <f t="shared" si="15"/>
        <v>#VALUE!</v>
      </c>
    </row>
    <row r="275" spans="1:11" ht="13.95" customHeight="1" x14ac:dyDescent="0.3">
      <c r="A275" s="3">
        <v>45931</v>
      </c>
      <c r="B275" s="3" t="s">
        <v>671</v>
      </c>
      <c r="C275" s="3" t="s">
        <v>8</v>
      </c>
      <c r="D275" s="3" t="s">
        <v>9</v>
      </c>
      <c r="E275" s="4">
        <v>0.82</v>
      </c>
      <c r="F275" s="5">
        <v>1.88</v>
      </c>
      <c r="G275" s="6">
        <v>284</v>
      </c>
      <c r="H275" s="6">
        <v>2.2999999999999998</v>
      </c>
      <c r="I275" s="21">
        <f t="shared" si="14"/>
        <v>1006.9731199999998</v>
      </c>
      <c r="J275" s="7" t="s">
        <v>428</v>
      </c>
      <c r="K275" s="17">
        <f t="shared" si="15"/>
        <v>10</v>
      </c>
    </row>
    <row r="276" spans="1:11" ht="13.95" customHeight="1" x14ac:dyDescent="0.3">
      <c r="A276" s="3">
        <v>45932</v>
      </c>
      <c r="B276" s="3" t="s">
        <v>671</v>
      </c>
      <c r="C276" s="3" t="s">
        <v>11</v>
      </c>
      <c r="D276" s="3" t="s">
        <v>9</v>
      </c>
      <c r="E276" s="4">
        <v>0.78</v>
      </c>
      <c r="F276" s="5">
        <v>2.15</v>
      </c>
      <c r="G276" s="6">
        <v>284</v>
      </c>
      <c r="H276" s="6">
        <v>2.2999999999999998</v>
      </c>
      <c r="I276" s="21">
        <f t="shared" si="14"/>
        <v>1095.4163999999998</v>
      </c>
      <c r="J276" s="7" t="s">
        <v>67</v>
      </c>
      <c r="K276" s="17">
        <f t="shared" si="15"/>
        <v>10</v>
      </c>
    </row>
    <row r="277" spans="1:11" ht="13.95" customHeight="1" x14ac:dyDescent="0.3">
      <c r="A277" s="3">
        <v>45933</v>
      </c>
      <c r="B277" s="3" t="s">
        <v>671</v>
      </c>
      <c r="C277" s="3" t="s">
        <v>13</v>
      </c>
      <c r="D277" s="3" t="s">
        <v>14</v>
      </c>
      <c r="E277" s="4">
        <v>0.75</v>
      </c>
      <c r="F277" s="5">
        <v>2.5499999999999998</v>
      </c>
      <c r="G277" s="6">
        <v>284</v>
      </c>
      <c r="H277" s="6">
        <v>2.2999999999999998</v>
      </c>
      <c r="I277" s="21">
        <f t="shared" si="14"/>
        <v>1249.2449999999999</v>
      </c>
      <c r="J277" s="7" t="s">
        <v>640</v>
      </c>
      <c r="K277" s="17">
        <f t="shared" si="15"/>
        <v>10</v>
      </c>
    </row>
    <row r="278" spans="1:11" ht="13.95" customHeight="1" x14ac:dyDescent="0.3">
      <c r="A278" s="3">
        <v>45934</v>
      </c>
      <c r="B278" s="3" t="s">
        <v>671</v>
      </c>
      <c r="C278" s="3" t="s">
        <v>16</v>
      </c>
      <c r="D278" s="3" t="s">
        <v>14</v>
      </c>
      <c r="E278" s="4">
        <v>0.72</v>
      </c>
      <c r="F278" s="5">
        <v>2.6</v>
      </c>
      <c r="G278" s="6">
        <v>284</v>
      </c>
      <c r="H278" s="6">
        <v>2.2999999999999998</v>
      </c>
      <c r="I278" s="21">
        <f t="shared" si="14"/>
        <v>1222.7903999999999</v>
      </c>
      <c r="J278" s="7" t="s">
        <v>525</v>
      </c>
      <c r="K278" s="17">
        <f t="shared" si="15"/>
        <v>10</v>
      </c>
    </row>
    <row r="279" spans="1:11" ht="13.95" customHeight="1" x14ac:dyDescent="0.3">
      <c r="A279" s="3">
        <v>45935</v>
      </c>
      <c r="B279" s="3" t="s">
        <v>671</v>
      </c>
      <c r="C279" s="3" t="s">
        <v>18</v>
      </c>
      <c r="D279" s="3" t="s">
        <v>9</v>
      </c>
      <c r="E279" s="4">
        <v>0.8</v>
      </c>
      <c r="F279" s="5">
        <v>1.85</v>
      </c>
      <c r="G279" s="6">
        <v>284</v>
      </c>
      <c r="H279" s="6">
        <v>2.2999999999999998</v>
      </c>
      <c r="I279" s="21">
        <f t="shared" si="14"/>
        <v>966.73599999999999</v>
      </c>
      <c r="J279" s="7" t="s">
        <v>526</v>
      </c>
      <c r="K279" s="17">
        <f t="shared" si="15"/>
        <v>10</v>
      </c>
    </row>
    <row r="280" spans="1:11" ht="13.95" customHeight="1" x14ac:dyDescent="0.3">
      <c r="A280" s="3">
        <v>45936</v>
      </c>
      <c r="B280" s="3" t="s">
        <v>671</v>
      </c>
      <c r="C280" s="3" t="s">
        <v>20</v>
      </c>
      <c r="D280" s="3" t="s">
        <v>9</v>
      </c>
      <c r="E280" s="4">
        <v>0.85</v>
      </c>
      <c r="F280" s="5">
        <v>1.88</v>
      </c>
      <c r="G280" s="6">
        <v>284</v>
      </c>
      <c r="H280" s="6">
        <v>2.2999999999999998</v>
      </c>
      <c r="I280" s="21">
        <f t="shared" si="14"/>
        <v>1043.8135999999997</v>
      </c>
      <c r="J280" s="7" t="s">
        <v>641</v>
      </c>
      <c r="K280" s="17">
        <f t="shared" si="15"/>
        <v>10</v>
      </c>
    </row>
    <row r="281" spans="1:11" ht="13.95" customHeight="1" x14ac:dyDescent="0.3">
      <c r="A281" s="3">
        <v>45937</v>
      </c>
      <c r="B281" s="3" t="s">
        <v>671</v>
      </c>
      <c r="C281" s="3" t="s">
        <v>5</v>
      </c>
      <c r="D281" s="3" t="s">
        <v>9</v>
      </c>
      <c r="E281" s="4">
        <v>0.88</v>
      </c>
      <c r="F281" s="5">
        <v>1.9</v>
      </c>
      <c r="G281" s="6">
        <v>284</v>
      </c>
      <c r="H281" s="6">
        <v>2.2999999999999998</v>
      </c>
      <c r="I281" s="21">
        <f t="shared" si="14"/>
        <v>1092.1503999999998</v>
      </c>
      <c r="J281" s="7" t="s">
        <v>642</v>
      </c>
      <c r="K281" s="17">
        <f t="shared" si="15"/>
        <v>10</v>
      </c>
    </row>
    <row r="282" spans="1:11" ht="13.95" customHeight="1" x14ac:dyDescent="0.3">
      <c r="A282" s="3">
        <v>45938</v>
      </c>
      <c r="B282" s="3" t="s">
        <v>671</v>
      </c>
      <c r="C282" s="3" t="s">
        <v>8</v>
      </c>
      <c r="D282" s="3" t="s">
        <v>9</v>
      </c>
      <c r="E282" s="4">
        <v>0.85</v>
      </c>
      <c r="F282" s="5">
        <v>1.88</v>
      </c>
      <c r="G282" s="6">
        <v>284</v>
      </c>
      <c r="H282" s="6">
        <v>2.2999999999999998</v>
      </c>
      <c r="I282" s="21">
        <f t="shared" si="14"/>
        <v>1043.8135999999997</v>
      </c>
      <c r="J282" s="7" t="s">
        <v>286</v>
      </c>
      <c r="K282" s="17">
        <f t="shared" si="15"/>
        <v>10</v>
      </c>
    </row>
    <row r="283" spans="1:11" ht="13.95" customHeight="1" x14ac:dyDescent="0.3">
      <c r="A283" s="3">
        <v>45939</v>
      </c>
      <c r="B283" s="3" t="s">
        <v>671</v>
      </c>
      <c r="C283" s="3" t="s">
        <v>11</v>
      </c>
      <c r="D283" s="3" t="s">
        <v>9</v>
      </c>
      <c r="E283" s="4">
        <v>0.75</v>
      </c>
      <c r="F283" s="5">
        <v>2.1</v>
      </c>
      <c r="G283" s="6">
        <v>284</v>
      </c>
      <c r="H283" s="6">
        <v>2.2999999999999998</v>
      </c>
      <c r="I283" s="21">
        <f t="shared" si="14"/>
        <v>1028.79</v>
      </c>
      <c r="J283" s="7" t="s">
        <v>70</v>
      </c>
      <c r="K283" s="17">
        <f t="shared" si="15"/>
        <v>10</v>
      </c>
    </row>
    <row r="284" spans="1:11" ht="13.95" customHeight="1" x14ac:dyDescent="0.3">
      <c r="A284" s="3">
        <v>45940</v>
      </c>
      <c r="B284" s="3" t="s">
        <v>671</v>
      </c>
      <c r="C284" s="3" t="s">
        <v>13</v>
      </c>
      <c r="D284" s="3" t="s">
        <v>14</v>
      </c>
      <c r="E284" s="4">
        <v>0.72</v>
      </c>
      <c r="F284" s="5">
        <v>2.5</v>
      </c>
      <c r="G284" s="6">
        <v>284</v>
      </c>
      <c r="H284" s="6">
        <v>2.2999999999999998</v>
      </c>
      <c r="I284" s="21">
        <f t="shared" si="14"/>
        <v>1175.7599999999998</v>
      </c>
      <c r="J284" s="7" t="s">
        <v>629</v>
      </c>
      <c r="K284" s="17">
        <f t="shared" si="15"/>
        <v>10</v>
      </c>
    </row>
    <row r="285" spans="1:11" ht="13.95" customHeight="1" x14ac:dyDescent="0.3">
      <c r="A285" s="3">
        <v>45941</v>
      </c>
      <c r="B285" s="3" t="s">
        <v>671</v>
      </c>
      <c r="C285" s="3" t="s">
        <v>16</v>
      </c>
      <c r="D285" s="3" t="s">
        <v>14</v>
      </c>
      <c r="E285" s="4">
        <v>0.7</v>
      </c>
      <c r="F285" s="5">
        <v>2.5499999999999998</v>
      </c>
      <c r="G285" s="6">
        <v>284</v>
      </c>
      <c r="H285" s="6">
        <v>2.2999999999999998</v>
      </c>
      <c r="I285" s="21">
        <f t="shared" si="14"/>
        <v>1165.9619999999998</v>
      </c>
      <c r="J285" s="7" t="s">
        <v>69</v>
      </c>
      <c r="K285" s="17">
        <f t="shared" si="15"/>
        <v>10</v>
      </c>
    </row>
    <row r="286" spans="1:11" ht="13.95" customHeight="1" x14ac:dyDescent="0.3">
      <c r="A286" s="3">
        <v>45942</v>
      </c>
      <c r="B286" s="3" t="s">
        <v>671</v>
      </c>
      <c r="C286" s="3" t="s">
        <v>18</v>
      </c>
      <c r="D286" s="3" t="s">
        <v>9</v>
      </c>
      <c r="E286" s="4">
        <v>0.8</v>
      </c>
      <c r="F286" s="5">
        <v>1.82</v>
      </c>
      <c r="G286" s="6">
        <v>284</v>
      </c>
      <c r="H286" s="6">
        <v>2.2999999999999998</v>
      </c>
      <c r="I286" s="21">
        <f t="shared" si="14"/>
        <v>951.05919999999992</v>
      </c>
      <c r="J286" s="7" t="s">
        <v>428</v>
      </c>
      <c r="K286" s="17">
        <f t="shared" si="15"/>
        <v>10</v>
      </c>
    </row>
    <row r="287" spans="1:11" ht="13.95" customHeight="1" x14ac:dyDescent="0.3">
      <c r="A287" s="3">
        <v>45943</v>
      </c>
      <c r="B287" s="3" t="s">
        <v>671</v>
      </c>
      <c r="C287" s="3" t="s">
        <v>20</v>
      </c>
      <c r="D287" s="3" t="s">
        <v>9</v>
      </c>
      <c r="E287" s="4">
        <v>0.82</v>
      </c>
      <c r="F287" s="5">
        <v>1.85</v>
      </c>
      <c r="G287" s="6">
        <v>284</v>
      </c>
      <c r="H287" s="6">
        <v>2.2999999999999998</v>
      </c>
      <c r="I287" s="21">
        <f t="shared" si="14"/>
        <v>990.9043999999999</v>
      </c>
      <c r="J287" s="7" t="s">
        <v>286</v>
      </c>
      <c r="K287" s="17">
        <f t="shared" si="15"/>
        <v>10</v>
      </c>
    </row>
    <row r="288" spans="1:11" ht="13.95" customHeight="1" x14ac:dyDescent="0.3">
      <c r="A288" s="3">
        <v>45944</v>
      </c>
      <c r="B288" s="3" t="s">
        <v>671</v>
      </c>
      <c r="C288" s="3" t="s">
        <v>5</v>
      </c>
      <c r="D288" s="3" t="s">
        <v>9</v>
      </c>
      <c r="E288" s="4">
        <v>0.85</v>
      </c>
      <c r="F288" s="5">
        <v>1.88</v>
      </c>
      <c r="G288" s="6">
        <v>284</v>
      </c>
      <c r="H288" s="6">
        <v>2.2999999999999998</v>
      </c>
      <c r="I288" s="21">
        <f t="shared" si="14"/>
        <v>1043.8135999999997</v>
      </c>
      <c r="J288" s="7" t="s">
        <v>143</v>
      </c>
      <c r="K288" s="17">
        <f t="shared" si="15"/>
        <v>10</v>
      </c>
    </row>
    <row r="289" spans="1:11" ht="13.95" customHeight="1" x14ac:dyDescent="0.3">
      <c r="A289" s="3">
        <v>45945</v>
      </c>
      <c r="B289" s="3" t="s">
        <v>671</v>
      </c>
      <c r="C289" s="3" t="s">
        <v>8</v>
      </c>
      <c r="D289" s="3" t="s">
        <v>643</v>
      </c>
      <c r="E289" s="4">
        <v>0.65</v>
      </c>
      <c r="F289" s="5">
        <v>2.4</v>
      </c>
      <c r="G289" s="6">
        <v>284</v>
      </c>
      <c r="H289" s="6">
        <v>2.2999999999999998</v>
      </c>
      <c r="I289" s="21">
        <f t="shared" si="14"/>
        <v>1018.9919999999997</v>
      </c>
      <c r="J289" s="7" t="s">
        <v>644</v>
      </c>
      <c r="K289" s="17">
        <f t="shared" si="15"/>
        <v>10</v>
      </c>
    </row>
    <row r="290" spans="1:11" ht="13.95" customHeight="1" x14ac:dyDescent="0.3">
      <c r="A290" s="3">
        <v>45946</v>
      </c>
      <c r="B290" s="3" t="s">
        <v>671</v>
      </c>
      <c r="C290" s="3" t="s">
        <v>11</v>
      </c>
      <c r="D290" s="3" t="s">
        <v>9</v>
      </c>
      <c r="E290" s="4">
        <v>0.7</v>
      </c>
      <c r="F290" s="5">
        <v>2.15</v>
      </c>
      <c r="G290" s="6">
        <v>284</v>
      </c>
      <c r="H290" s="6">
        <v>2.2999999999999998</v>
      </c>
      <c r="I290" s="21">
        <f t="shared" si="14"/>
        <v>983.0659999999998</v>
      </c>
      <c r="J290" s="7" t="s">
        <v>197</v>
      </c>
      <c r="K290" s="17">
        <f t="shared" si="15"/>
        <v>10</v>
      </c>
    </row>
    <row r="291" spans="1:11" ht="13.95" customHeight="1" x14ac:dyDescent="0.3">
      <c r="A291" s="3">
        <v>45947</v>
      </c>
      <c r="B291" s="3" t="s">
        <v>671</v>
      </c>
      <c r="C291" s="3" t="s">
        <v>13</v>
      </c>
      <c r="D291" s="3" t="s">
        <v>14</v>
      </c>
      <c r="E291" s="4">
        <v>0.75</v>
      </c>
      <c r="F291" s="5">
        <v>2.5499999999999998</v>
      </c>
      <c r="G291" s="6">
        <v>284</v>
      </c>
      <c r="H291" s="6">
        <v>2.2999999999999998</v>
      </c>
      <c r="I291" s="21">
        <f t="shared" si="14"/>
        <v>1249.2449999999999</v>
      </c>
      <c r="J291" s="7" t="s">
        <v>542</v>
      </c>
      <c r="K291" s="17">
        <f t="shared" si="15"/>
        <v>10</v>
      </c>
    </row>
    <row r="292" spans="1:11" ht="13.95" customHeight="1" x14ac:dyDescent="0.3">
      <c r="A292" s="3">
        <v>45948</v>
      </c>
      <c r="B292" s="3" t="s">
        <v>671</v>
      </c>
      <c r="C292" s="3" t="s">
        <v>16</v>
      </c>
      <c r="D292" s="3" t="s">
        <v>14</v>
      </c>
      <c r="E292" s="4">
        <v>0.72</v>
      </c>
      <c r="F292" s="5">
        <v>2.6</v>
      </c>
      <c r="G292" s="6">
        <v>284</v>
      </c>
      <c r="H292" s="6">
        <v>2.2999999999999998</v>
      </c>
      <c r="I292" s="21">
        <f t="shared" si="14"/>
        <v>1222.7903999999999</v>
      </c>
      <c r="J292" s="7" t="s">
        <v>69</v>
      </c>
      <c r="K292" s="17">
        <f t="shared" si="15"/>
        <v>10</v>
      </c>
    </row>
    <row r="293" spans="1:11" ht="13.95" customHeight="1" x14ac:dyDescent="0.3">
      <c r="A293" s="3">
        <v>45949</v>
      </c>
      <c r="B293" s="3" t="s">
        <v>671</v>
      </c>
      <c r="C293" s="3" t="s">
        <v>18</v>
      </c>
      <c r="D293" s="3" t="s">
        <v>9</v>
      </c>
      <c r="E293" s="4">
        <v>0.78</v>
      </c>
      <c r="F293" s="5">
        <v>1.8</v>
      </c>
      <c r="G293" s="6">
        <v>284</v>
      </c>
      <c r="H293" s="6">
        <v>2.2999999999999998</v>
      </c>
      <c r="I293" s="21">
        <f t="shared" si="14"/>
        <v>917.09280000000001</v>
      </c>
      <c r="J293" s="7" t="s">
        <v>645</v>
      </c>
      <c r="K293" s="17">
        <f t="shared" si="15"/>
        <v>10</v>
      </c>
    </row>
    <row r="294" spans="1:11" ht="13.95" customHeight="1" x14ac:dyDescent="0.3">
      <c r="A294" s="3">
        <v>45950</v>
      </c>
      <c r="B294" s="3" t="s">
        <v>671</v>
      </c>
      <c r="C294" s="3" t="s">
        <v>20</v>
      </c>
      <c r="D294" s="3" t="s">
        <v>9</v>
      </c>
      <c r="E294" s="4">
        <v>0.82</v>
      </c>
      <c r="F294" s="5">
        <v>1.85</v>
      </c>
      <c r="G294" s="6">
        <v>284</v>
      </c>
      <c r="H294" s="6">
        <v>2.2999999999999998</v>
      </c>
      <c r="I294" s="21">
        <f t="shared" si="14"/>
        <v>990.9043999999999</v>
      </c>
      <c r="J294" s="7" t="s">
        <v>428</v>
      </c>
      <c r="K294" s="17">
        <f t="shared" si="15"/>
        <v>10</v>
      </c>
    </row>
    <row r="295" spans="1:11" ht="13.95" customHeight="1" x14ac:dyDescent="0.3">
      <c r="A295" s="3">
        <v>45951</v>
      </c>
      <c r="B295" s="3" t="s">
        <v>671</v>
      </c>
      <c r="C295" s="3" t="s">
        <v>5</v>
      </c>
      <c r="D295" s="3" t="s">
        <v>9</v>
      </c>
      <c r="E295" s="4">
        <v>0.85</v>
      </c>
      <c r="F295" s="5">
        <v>1.88</v>
      </c>
      <c r="G295" s="6">
        <v>284</v>
      </c>
      <c r="H295" s="6">
        <v>2.2999999999999998</v>
      </c>
      <c r="I295" s="21">
        <f t="shared" si="14"/>
        <v>1043.8135999999997</v>
      </c>
      <c r="J295" s="7" t="s">
        <v>286</v>
      </c>
      <c r="K295" s="17">
        <f t="shared" si="15"/>
        <v>10</v>
      </c>
    </row>
    <row r="296" spans="1:11" ht="13.95" customHeight="1" x14ac:dyDescent="0.3">
      <c r="A296" s="3">
        <v>45952</v>
      </c>
      <c r="B296" s="3" t="s">
        <v>671</v>
      </c>
      <c r="C296" s="3" t="s">
        <v>8</v>
      </c>
      <c r="D296" s="3" t="s">
        <v>9</v>
      </c>
      <c r="E296" s="4">
        <v>0.8</v>
      </c>
      <c r="F296" s="5">
        <v>1.82</v>
      </c>
      <c r="G296" s="6">
        <v>284</v>
      </c>
      <c r="H296" s="6">
        <v>2.2999999999999998</v>
      </c>
      <c r="I296" s="21">
        <f t="shared" si="14"/>
        <v>951.05919999999992</v>
      </c>
      <c r="J296" s="7" t="s">
        <v>286</v>
      </c>
      <c r="K296" s="17">
        <f t="shared" si="15"/>
        <v>10</v>
      </c>
    </row>
    <row r="297" spans="1:11" ht="13.95" customHeight="1" x14ac:dyDescent="0.3">
      <c r="A297" s="3">
        <v>45953</v>
      </c>
      <c r="B297" s="3" t="s">
        <v>671</v>
      </c>
      <c r="C297" s="3" t="s">
        <v>11</v>
      </c>
      <c r="D297" s="3" t="s">
        <v>9</v>
      </c>
      <c r="E297" s="4">
        <v>0.75</v>
      </c>
      <c r="F297" s="5">
        <v>2.1</v>
      </c>
      <c r="G297" s="6">
        <v>284</v>
      </c>
      <c r="H297" s="6">
        <v>2.2999999999999998</v>
      </c>
      <c r="I297" s="21">
        <f t="shared" si="14"/>
        <v>1028.79</v>
      </c>
      <c r="J297" s="7" t="s">
        <v>540</v>
      </c>
      <c r="K297" s="17">
        <f t="shared" si="15"/>
        <v>10</v>
      </c>
    </row>
    <row r="298" spans="1:11" ht="13.95" customHeight="1" x14ac:dyDescent="0.3">
      <c r="A298" s="3">
        <v>45954</v>
      </c>
      <c r="B298" s="3" t="s">
        <v>671</v>
      </c>
      <c r="C298" s="3" t="s">
        <v>13</v>
      </c>
      <c r="D298" s="3" t="s">
        <v>14</v>
      </c>
      <c r="E298" s="4">
        <v>0.78</v>
      </c>
      <c r="F298" s="5">
        <v>2.5499999999999998</v>
      </c>
      <c r="G298" s="6">
        <v>284</v>
      </c>
      <c r="H298" s="6">
        <v>2.2999999999999998</v>
      </c>
      <c r="I298" s="21">
        <f t="shared" si="14"/>
        <v>1299.2148</v>
      </c>
      <c r="J298" s="7" t="s">
        <v>484</v>
      </c>
      <c r="K298" s="17">
        <f t="shared" si="15"/>
        <v>10</v>
      </c>
    </row>
    <row r="299" spans="1:11" ht="13.95" customHeight="1" x14ac:dyDescent="0.3">
      <c r="A299" s="3">
        <v>45955</v>
      </c>
      <c r="B299" s="3" t="s">
        <v>671</v>
      </c>
      <c r="C299" s="3" t="s">
        <v>16</v>
      </c>
      <c r="D299" s="3" t="s">
        <v>14</v>
      </c>
      <c r="E299" s="4">
        <v>0.75</v>
      </c>
      <c r="F299" s="5">
        <v>2.6</v>
      </c>
      <c r="G299" s="6">
        <v>284</v>
      </c>
      <c r="H299" s="6">
        <v>2.2999999999999998</v>
      </c>
      <c r="I299" s="21">
        <f t="shared" si="14"/>
        <v>1273.74</v>
      </c>
      <c r="J299" s="7" t="s">
        <v>69</v>
      </c>
      <c r="K299" s="17">
        <f t="shared" si="15"/>
        <v>10</v>
      </c>
    </row>
    <row r="300" spans="1:11" ht="13.95" customHeight="1" x14ac:dyDescent="0.3">
      <c r="A300" s="3">
        <v>45956</v>
      </c>
      <c r="B300" s="3" t="s">
        <v>671</v>
      </c>
      <c r="C300" s="3" t="s">
        <v>18</v>
      </c>
      <c r="D300" s="3" t="s">
        <v>9</v>
      </c>
      <c r="E300" s="4">
        <v>0.75</v>
      </c>
      <c r="F300" s="5">
        <v>1.8</v>
      </c>
      <c r="G300" s="6">
        <v>284</v>
      </c>
      <c r="H300" s="6">
        <v>2.2999999999999998</v>
      </c>
      <c r="I300" s="21">
        <f t="shared" si="14"/>
        <v>881.81999999999994</v>
      </c>
      <c r="J300" s="7" t="s">
        <v>286</v>
      </c>
      <c r="K300" s="17">
        <f t="shared" si="15"/>
        <v>10</v>
      </c>
    </row>
    <row r="301" spans="1:11" ht="13.95" customHeight="1" x14ac:dyDescent="0.3">
      <c r="A301" s="3">
        <v>45957</v>
      </c>
      <c r="B301" s="3" t="s">
        <v>671</v>
      </c>
      <c r="C301" s="3" t="s">
        <v>20</v>
      </c>
      <c r="D301" s="3" t="s">
        <v>9</v>
      </c>
      <c r="E301" s="4">
        <v>0.78</v>
      </c>
      <c r="F301" s="5">
        <v>1.82</v>
      </c>
      <c r="G301" s="6">
        <v>284</v>
      </c>
      <c r="H301" s="6">
        <v>2.2999999999999998</v>
      </c>
      <c r="I301" s="21">
        <f t="shared" si="14"/>
        <v>927.28272000000004</v>
      </c>
      <c r="J301" s="7" t="s">
        <v>286</v>
      </c>
      <c r="K301" s="17">
        <f t="shared" si="15"/>
        <v>10</v>
      </c>
    </row>
    <row r="302" spans="1:11" ht="13.95" customHeight="1" x14ac:dyDescent="0.3">
      <c r="A302" s="3">
        <v>45958</v>
      </c>
      <c r="B302" s="3" t="s">
        <v>671</v>
      </c>
      <c r="C302" s="3" t="s">
        <v>5</v>
      </c>
      <c r="D302" s="3" t="s">
        <v>9</v>
      </c>
      <c r="E302" s="4">
        <v>0.8</v>
      </c>
      <c r="F302" s="5">
        <v>1.85</v>
      </c>
      <c r="G302" s="6">
        <v>284</v>
      </c>
      <c r="H302" s="6">
        <v>2.2999999999999998</v>
      </c>
      <c r="I302" s="21">
        <f t="shared" si="14"/>
        <v>966.73599999999999</v>
      </c>
      <c r="J302" s="7" t="s">
        <v>286</v>
      </c>
      <c r="K302" s="17">
        <f t="shared" si="15"/>
        <v>10</v>
      </c>
    </row>
    <row r="303" spans="1:11" ht="13.95" customHeight="1" x14ac:dyDescent="0.3">
      <c r="A303" s="3">
        <v>45959</v>
      </c>
      <c r="B303" s="3" t="s">
        <v>671</v>
      </c>
      <c r="C303" s="3" t="s">
        <v>8</v>
      </c>
      <c r="D303" s="3" t="s">
        <v>9</v>
      </c>
      <c r="E303" s="4">
        <v>0.78</v>
      </c>
      <c r="F303" s="5">
        <v>1.82</v>
      </c>
      <c r="G303" s="6">
        <v>284</v>
      </c>
      <c r="H303" s="6">
        <v>2.2999999999999998</v>
      </c>
      <c r="I303" s="21">
        <f t="shared" si="14"/>
        <v>927.28272000000004</v>
      </c>
      <c r="J303" s="7" t="s">
        <v>286</v>
      </c>
      <c r="K303" s="17">
        <f t="shared" si="15"/>
        <v>10</v>
      </c>
    </row>
    <row r="304" spans="1:11" ht="13.95" customHeight="1" x14ac:dyDescent="0.3">
      <c r="A304" s="3">
        <v>45960</v>
      </c>
      <c r="B304" s="3" t="s">
        <v>671</v>
      </c>
      <c r="C304" s="3" t="s">
        <v>11</v>
      </c>
      <c r="D304" s="3" t="s">
        <v>9</v>
      </c>
      <c r="E304" s="4">
        <v>0.72</v>
      </c>
      <c r="F304" s="5">
        <v>2.1</v>
      </c>
      <c r="G304" s="6">
        <v>284</v>
      </c>
      <c r="H304" s="6">
        <v>2.2999999999999998</v>
      </c>
      <c r="I304" s="21">
        <f t="shared" si="14"/>
        <v>987.63839999999982</v>
      </c>
      <c r="J304" s="7" t="s">
        <v>70</v>
      </c>
      <c r="K304" s="17">
        <f t="shared" si="15"/>
        <v>10</v>
      </c>
    </row>
    <row r="305" spans="1:11" ht="13.95" customHeight="1" x14ac:dyDescent="0.3">
      <c r="A305" s="3">
        <v>45961</v>
      </c>
      <c r="B305" s="3" t="s">
        <v>671</v>
      </c>
      <c r="C305" s="3" t="s">
        <v>13</v>
      </c>
      <c r="D305" s="3" t="s">
        <v>14</v>
      </c>
      <c r="E305" s="4">
        <v>0.75</v>
      </c>
      <c r="F305" s="5">
        <v>2.65</v>
      </c>
      <c r="G305" s="6">
        <v>284</v>
      </c>
      <c r="H305" s="6">
        <v>2.2999999999999998</v>
      </c>
      <c r="I305" s="21">
        <f t="shared" si="14"/>
        <v>1298.2349999999999</v>
      </c>
      <c r="J305" s="7" t="s">
        <v>646</v>
      </c>
      <c r="K305" s="17">
        <f t="shared" si="15"/>
        <v>10</v>
      </c>
    </row>
    <row r="306" spans="1:11" ht="13.95" customHeight="1" x14ac:dyDescent="0.3">
      <c r="A306" s="3">
        <v>45962</v>
      </c>
      <c r="B306" s="3" t="s">
        <v>671</v>
      </c>
      <c r="C306" s="3" t="s">
        <v>16</v>
      </c>
      <c r="D306" s="3" t="s">
        <v>14</v>
      </c>
      <c r="E306" s="4">
        <v>0.72</v>
      </c>
      <c r="F306" s="5">
        <v>2.5499999999999998</v>
      </c>
      <c r="G306" s="6">
        <v>284</v>
      </c>
      <c r="H306" s="6">
        <v>2.2999999999999998</v>
      </c>
      <c r="I306" s="21">
        <f t="shared" si="14"/>
        <v>1199.2751999999998</v>
      </c>
      <c r="J306" s="7" t="s">
        <v>499</v>
      </c>
      <c r="K306" s="17">
        <f t="shared" si="15"/>
        <v>11</v>
      </c>
    </row>
    <row r="307" spans="1:11" ht="13.95" customHeight="1" x14ac:dyDescent="0.3">
      <c r="A307" s="3">
        <v>45963</v>
      </c>
      <c r="B307" s="3" t="s">
        <v>671</v>
      </c>
      <c r="C307" s="3" t="s">
        <v>18</v>
      </c>
      <c r="D307" s="3" t="s">
        <v>9</v>
      </c>
      <c r="E307" s="4">
        <v>0.78</v>
      </c>
      <c r="F307" s="5">
        <v>1.8</v>
      </c>
      <c r="G307" s="6">
        <v>284</v>
      </c>
      <c r="H307" s="6">
        <v>2.2999999999999998</v>
      </c>
      <c r="I307" s="21">
        <f t="shared" si="14"/>
        <v>917.09280000000001</v>
      </c>
      <c r="J307" s="7" t="s">
        <v>526</v>
      </c>
      <c r="K307" s="17">
        <f t="shared" si="15"/>
        <v>11</v>
      </c>
    </row>
    <row r="308" spans="1:11" ht="13.95" customHeight="1" x14ac:dyDescent="0.3">
      <c r="A308" s="3">
        <v>45964</v>
      </c>
      <c r="B308" s="3" t="s">
        <v>671</v>
      </c>
      <c r="C308" s="3" t="s">
        <v>20</v>
      </c>
      <c r="D308" s="3" t="s">
        <v>9</v>
      </c>
      <c r="E308" s="4">
        <v>0.82</v>
      </c>
      <c r="F308" s="5">
        <v>1.85</v>
      </c>
      <c r="G308" s="6">
        <v>284</v>
      </c>
      <c r="H308" s="6">
        <v>2.2999999999999998</v>
      </c>
      <c r="I308" s="21">
        <f t="shared" si="14"/>
        <v>990.9043999999999</v>
      </c>
      <c r="J308" s="7" t="s">
        <v>428</v>
      </c>
      <c r="K308" s="17">
        <f t="shared" si="15"/>
        <v>11</v>
      </c>
    </row>
    <row r="309" spans="1:11" ht="13.95" customHeight="1" x14ac:dyDescent="0.3">
      <c r="A309" s="3">
        <v>45965</v>
      </c>
      <c r="B309" s="3" t="s">
        <v>671</v>
      </c>
      <c r="C309" s="3" t="s">
        <v>5</v>
      </c>
      <c r="D309" s="3" t="s">
        <v>9</v>
      </c>
      <c r="E309" s="4">
        <v>0.85</v>
      </c>
      <c r="F309" s="5">
        <v>1.88</v>
      </c>
      <c r="G309" s="6">
        <v>284</v>
      </c>
      <c r="H309" s="6">
        <v>2.2999999999999998</v>
      </c>
      <c r="I309" s="21">
        <f t="shared" ref="I309:I366" si="16">(G309*E309)*H309*F309</f>
        <v>1043.8135999999997</v>
      </c>
      <c r="J309" s="7" t="s">
        <v>647</v>
      </c>
      <c r="K309" s="17">
        <f t="shared" si="15"/>
        <v>11</v>
      </c>
    </row>
    <row r="310" spans="1:11" ht="13.95" customHeight="1" x14ac:dyDescent="0.3">
      <c r="A310" s="3">
        <v>45966</v>
      </c>
      <c r="B310" s="3" t="s">
        <v>671</v>
      </c>
      <c r="C310" s="3" t="s">
        <v>8</v>
      </c>
      <c r="D310" s="3" t="s">
        <v>9</v>
      </c>
      <c r="E310" s="4">
        <v>0.8</v>
      </c>
      <c r="F310" s="5">
        <v>1.85</v>
      </c>
      <c r="G310" s="6">
        <v>284</v>
      </c>
      <c r="H310" s="6">
        <v>2.2999999999999998</v>
      </c>
      <c r="I310" s="21">
        <f t="shared" si="16"/>
        <v>966.73599999999999</v>
      </c>
      <c r="J310" s="7" t="s">
        <v>286</v>
      </c>
      <c r="K310" s="17">
        <f t="shared" si="15"/>
        <v>11</v>
      </c>
    </row>
    <row r="311" spans="1:11" ht="13.95" customHeight="1" x14ac:dyDescent="0.3">
      <c r="A311" s="3">
        <v>45967</v>
      </c>
      <c r="B311" s="3" t="s">
        <v>671</v>
      </c>
      <c r="C311" s="3" t="s">
        <v>11</v>
      </c>
      <c r="D311" s="3" t="s">
        <v>9</v>
      </c>
      <c r="E311" s="4">
        <v>0.75</v>
      </c>
      <c r="F311" s="5">
        <v>2.1</v>
      </c>
      <c r="G311" s="6">
        <v>284</v>
      </c>
      <c r="H311" s="6">
        <v>2.2999999999999998</v>
      </c>
      <c r="I311" s="21">
        <f t="shared" si="16"/>
        <v>1028.79</v>
      </c>
      <c r="J311" s="7" t="s">
        <v>485</v>
      </c>
      <c r="K311" s="17">
        <f t="shared" si="15"/>
        <v>11</v>
      </c>
    </row>
    <row r="312" spans="1:11" ht="13.95" customHeight="1" x14ac:dyDescent="0.3">
      <c r="A312" s="3">
        <v>45968</v>
      </c>
      <c r="B312" s="3" t="s">
        <v>671</v>
      </c>
      <c r="C312" s="3" t="s">
        <v>13</v>
      </c>
      <c r="D312" s="3" t="s">
        <v>14</v>
      </c>
      <c r="E312" s="4">
        <v>0.7</v>
      </c>
      <c r="F312" s="5">
        <v>2.4500000000000002</v>
      </c>
      <c r="G312" s="6">
        <v>284</v>
      </c>
      <c r="H312" s="6">
        <v>2.2999999999999998</v>
      </c>
      <c r="I312" s="21">
        <f t="shared" si="16"/>
        <v>1120.2380000000001</v>
      </c>
      <c r="J312" s="7" t="s">
        <v>648</v>
      </c>
      <c r="K312" s="17">
        <f t="shared" si="15"/>
        <v>11</v>
      </c>
    </row>
    <row r="313" spans="1:11" ht="13.95" customHeight="1" x14ac:dyDescent="0.3">
      <c r="A313" s="3">
        <v>45969</v>
      </c>
      <c r="B313" s="3" t="s">
        <v>671</v>
      </c>
      <c r="C313" s="3" t="s">
        <v>16</v>
      </c>
      <c r="D313" s="3" t="s">
        <v>14</v>
      </c>
      <c r="E313" s="4">
        <v>0.68</v>
      </c>
      <c r="F313" s="5">
        <v>2.5</v>
      </c>
      <c r="G313" s="6">
        <v>284</v>
      </c>
      <c r="H313" s="6">
        <v>2.2999999999999998</v>
      </c>
      <c r="I313" s="21">
        <f t="shared" si="16"/>
        <v>1110.44</v>
      </c>
      <c r="J313" s="7" t="s">
        <v>69</v>
      </c>
      <c r="K313" s="17">
        <f t="shared" si="15"/>
        <v>11</v>
      </c>
    </row>
    <row r="314" spans="1:11" ht="13.95" customHeight="1" x14ac:dyDescent="0.3">
      <c r="A314" s="3">
        <v>45970</v>
      </c>
      <c r="B314" s="3" t="s">
        <v>671</v>
      </c>
      <c r="C314" s="3" t="s">
        <v>18</v>
      </c>
      <c r="D314" s="3" t="s">
        <v>9</v>
      </c>
      <c r="E314" s="4">
        <v>0.75</v>
      </c>
      <c r="F314" s="5">
        <v>1.8</v>
      </c>
      <c r="G314" s="6">
        <v>284</v>
      </c>
      <c r="H314" s="6">
        <v>2.2999999999999998</v>
      </c>
      <c r="I314" s="21">
        <f t="shared" si="16"/>
        <v>881.81999999999994</v>
      </c>
      <c r="J314" s="7" t="s">
        <v>286</v>
      </c>
      <c r="K314" s="17">
        <f t="shared" si="15"/>
        <v>11</v>
      </c>
    </row>
    <row r="315" spans="1:11" ht="13.95" customHeight="1" x14ac:dyDescent="0.3">
      <c r="A315" s="3">
        <v>45971</v>
      </c>
      <c r="B315" s="3" t="s">
        <v>671</v>
      </c>
      <c r="C315" s="3" t="s">
        <v>20</v>
      </c>
      <c r="D315" s="3" t="s">
        <v>9</v>
      </c>
      <c r="E315" s="4">
        <v>0.8</v>
      </c>
      <c r="F315" s="5">
        <v>1.82</v>
      </c>
      <c r="G315" s="6">
        <v>284</v>
      </c>
      <c r="H315" s="6">
        <v>2.2999999999999998</v>
      </c>
      <c r="I315" s="21">
        <f t="shared" si="16"/>
        <v>951.05919999999992</v>
      </c>
      <c r="J315" s="7" t="s">
        <v>286</v>
      </c>
      <c r="K315" s="17">
        <f t="shared" si="15"/>
        <v>11</v>
      </c>
    </row>
    <row r="316" spans="1:11" ht="13.95" customHeight="1" x14ac:dyDescent="0.3">
      <c r="A316" s="3">
        <v>45972</v>
      </c>
      <c r="B316" s="3" t="s">
        <v>671</v>
      </c>
      <c r="C316" s="3" t="s">
        <v>5</v>
      </c>
      <c r="D316" s="3" t="s">
        <v>9</v>
      </c>
      <c r="E316" s="4">
        <v>0.82</v>
      </c>
      <c r="F316" s="5">
        <v>1.85</v>
      </c>
      <c r="G316" s="6">
        <v>284</v>
      </c>
      <c r="H316" s="6">
        <v>2.2999999999999998</v>
      </c>
      <c r="I316" s="21">
        <f t="shared" si="16"/>
        <v>990.9043999999999</v>
      </c>
      <c r="J316" s="7" t="s">
        <v>649</v>
      </c>
      <c r="K316" s="17">
        <f t="shared" si="15"/>
        <v>11</v>
      </c>
    </row>
    <row r="317" spans="1:11" ht="13.95" customHeight="1" x14ac:dyDescent="0.3">
      <c r="A317" s="3">
        <v>45973</v>
      </c>
      <c r="B317" s="3" t="s">
        <v>671</v>
      </c>
      <c r="C317" s="3" t="s">
        <v>8</v>
      </c>
      <c r="D317" s="3" t="s">
        <v>9</v>
      </c>
      <c r="E317" s="4">
        <v>0.78</v>
      </c>
      <c r="F317" s="5">
        <v>1.82</v>
      </c>
      <c r="G317" s="6">
        <v>284</v>
      </c>
      <c r="H317" s="6">
        <v>2.2999999999999998</v>
      </c>
      <c r="I317" s="21">
        <f t="shared" si="16"/>
        <v>927.28272000000004</v>
      </c>
      <c r="J317" s="7" t="s">
        <v>286</v>
      </c>
      <c r="K317" s="17">
        <f t="shared" si="15"/>
        <v>11</v>
      </c>
    </row>
    <row r="318" spans="1:11" ht="13.95" customHeight="1" x14ac:dyDescent="0.3">
      <c r="A318" s="3">
        <v>45974</v>
      </c>
      <c r="B318" s="3" t="s">
        <v>671</v>
      </c>
      <c r="C318" s="3" t="s">
        <v>11</v>
      </c>
      <c r="D318" s="3" t="s">
        <v>9</v>
      </c>
      <c r="E318" s="4">
        <v>0.72</v>
      </c>
      <c r="F318" s="5">
        <v>2.15</v>
      </c>
      <c r="G318" s="6">
        <v>284</v>
      </c>
      <c r="H318" s="6">
        <v>2.2999999999999998</v>
      </c>
      <c r="I318" s="21">
        <f t="shared" si="16"/>
        <v>1011.1535999999998</v>
      </c>
      <c r="J318" s="7" t="s">
        <v>97</v>
      </c>
      <c r="K318" s="17">
        <f t="shared" si="15"/>
        <v>11</v>
      </c>
    </row>
    <row r="319" spans="1:11" ht="13.95" customHeight="1" x14ac:dyDescent="0.3">
      <c r="A319" s="3">
        <v>45975</v>
      </c>
      <c r="B319" s="3" t="s">
        <v>671</v>
      </c>
      <c r="C319" s="3" t="s">
        <v>13</v>
      </c>
      <c r="D319" s="3" t="s">
        <v>14</v>
      </c>
      <c r="E319" s="4">
        <v>0.65</v>
      </c>
      <c r="F319" s="5">
        <v>2.4</v>
      </c>
      <c r="G319" s="6">
        <v>284</v>
      </c>
      <c r="H319" s="6">
        <v>2.2999999999999998</v>
      </c>
      <c r="I319" s="21">
        <f t="shared" si="16"/>
        <v>1018.9919999999997</v>
      </c>
      <c r="J319" s="7" t="s">
        <v>629</v>
      </c>
      <c r="K319" s="17">
        <f t="shared" si="15"/>
        <v>11</v>
      </c>
    </row>
    <row r="320" spans="1:11" ht="13.95" customHeight="1" x14ac:dyDescent="0.3">
      <c r="A320" s="3">
        <v>45976</v>
      </c>
      <c r="B320" s="3" t="s">
        <v>671</v>
      </c>
      <c r="C320" s="3" t="s">
        <v>16</v>
      </c>
      <c r="D320" s="3" t="s">
        <v>14</v>
      </c>
      <c r="E320" s="4">
        <v>0.62</v>
      </c>
      <c r="F320" s="5">
        <v>2.5499999999999998</v>
      </c>
      <c r="G320" s="6">
        <v>284</v>
      </c>
      <c r="H320" s="6">
        <v>2.2999999999999998</v>
      </c>
      <c r="I320" s="21">
        <f t="shared" si="16"/>
        <v>1032.7091999999998</v>
      </c>
      <c r="J320" s="7" t="s">
        <v>69</v>
      </c>
      <c r="K320" s="17">
        <f t="shared" si="15"/>
        <v>11</v>
      </c>
    </row>
    <row r="321" spans="1:11" ht="13.95" customHeight="1" x14ac:dyDescent="0.3">
      <c r="A321" s="3">
        <v>45977</v>
      </c>
      <c r="B321" s="3" t="s">
        <v>671</v>
      </c>
      <c r="C321" s="3" t="s">
        <v>18</v>
      </c>
      <c r="D321" s="3" t="s">
        <v>9</v>
      </c>
      <c r="E321" s="4">
        <v>0.75</v>
      </c>
      <c r="F321" s="5">
        <v>1.8</v>
      </c>
      <c r="G321" s="6">
        <v>284</v>
      </c>
      <c r="H321" s="6">
        <v>2.2999999999999998</v>
      </c>
      <c r="I321" s="21">
        <f t="shared" si="16"/>
        <v>881.81999999999994</v>
      </c>
      <c r="J321" s="7" t="s">
        <v>286</v>
      </c>
      <c r="K321" s="17">
        <f t="shared" si="15"/>
        <v>11</v>
      </c>
    </row>
    <row r="322" spans="1:11" ht="13.95" customHeight="1" x14ac:dyDescent="0.3">
      <c r="A322" s="3">
        <v>45978</v>
      </c>
      <c r="B322" s="3" t="s">
        <v>671</v>
      </c>
      <c r="C322" s="3" t="s">
        <v>20</v>
      </c>
      <c r="D322" s="3" t="s">
        <v>9</v>
      </c>
      <c r="E322" s="4">
        <v>0.78</v>
      </c>
      <c r="F322" s="5">
        <v>1.82</v>
      </c>
      <c r="G322" s="6">
        <v>284</v>
      </c>
      <c r="H322" s="6">
        <v>2.2999999999999998</v>
      </c>
      <c r="I322" s="21">
        <f t="shared" si="16"/>
        <v>927.28272000000004</v>
      </c>
      <c r="J322" s="7" t="s">
        <v>286</v>
      </c>
      <c r="K322" s="17">
        <f t="shared" si="15"/>
        <v>11</v>
      </c>
    </row>
    <row r="323" spans="1:11" ht="13.95" customHeight="1" x14ac:dyDescent="0.3">
      <c r="A323" s="3">
        <v>45979</v>
      </c>
      <c r="B323" s="3" t="s">
        <v>671</v>
      </c>
      <c r="C323" s="3" t="s">
        <v>5</v>
      </c>
      <c r="D323" s="3" t="s">
        <v>9</v>
      </c>
      <c r="E323" s="4">
        <v>0.8</v>
      </c>
      <c r="F323" s="5">
        <v>1.85</v>
      </c>
      <c r="G323" s="6">
        <v>284</v>
      </c>
      <c r="H323" s="6">
        <v>2.2999999999999998</v>
      </c>
      <c r="I323" s="21">
        <f t="shared" si="16"/>
        <v>966.73599999999999</v>
      </c>
      <c r="J323" s="7" t="s">
        <v>428</v>
      </c>
      <c r="K323" s="17">
        <f t="shared" si="15"/>
        <v>11</v>
      </c>
    </row>
    <row r="324" spans="1:11" ht="13.95" customHeight="1" x14ac:dyDescent="0.3">
      <c r="A324" s="3">
        <v>45980</v>
      </c>
      <c r="B324" s="3" t="s">
        <v>671</v>
      </c>
      <c r="C324" s="3" t="s">
        <v>8</v>
      </c>
      <c r="D324" s="3" t="s">
        <v>9</v>
      </c>
      <c r="E324" s="4">
        <v>0.78</v>
      </c>
      <c r="F324" s="5">
        <v>1.8</v>
      </c>
      <c r="G324" s="6">
        <v>284</v>
      </c>
      <c r="H324" s="6">
        <v>2.2999999999999998</v>
      </c>
      <c r="I324" s="21">
        <f t="shared" si="16"/>
        <v>917.09280000000001</v>
      </c>
      <c r="J324" s="7" t="s">
        <v>286</v>
      </c>
      <c r="K324" s="17">
        <f t="shared" si="15"/>
        <v>11</v>
      </c>
    </row>
    <row r="325" spans="1:11" ht="13.95" customHeight="1" x14ac:dyDescent="0.3">
      <c r="A325" s="3">
        <v>45981</v>
      </c>
      <c r="B325" s="3" t="s">
        <v>671</v>
      </c>
      <c r="C325" s="3" t="s">
        <v>11</v>
      </c>
      <c r="D325" s="3" t="s">
        <v>9</v>
      </c>
      <c r="E325" s="4">
        <v>0.72</v>
      </c>
      <c r="F325" s="5">
        <v>2.1</v>
      </c>
      <c r="G325" s="6">
        <v>284</v>
      </c>
      <c r="H325" s="6">
        <v>2.2999999999999998</v>
      </c>
      <c r="I325" s="21">
        <f t="shared" si="16"/>
        <v>987.63839999999982</v>
      </c>
      <c r="J325" s="7" t="s">
        <v>70</v>
      </c>
      <c r="K325" s="17">
        <f t="shared" si="15"/>
        <v>11</v>
      </c>
    </row>
    <row r="326" spans="1:11" ht="13.95" customHeight="1" x14ac:dyDescent="0.3">
      <c r="A326" s="3">
        <v>45982</v>
      </c>
      <c r="B326" s="3" t="s">
        <v>671</v>
      </c>
      <c r="C326" s="3" t="s">
        <v>13</v>
      </c>
      <c r="D326" s="3" t="s">
        <v>14</v>
      </c>
      <c r="E326" s="4">
        <v>0.65</v>
      </c>
      <c r="F326" s="5">
        <v>2.4500000000000002</v>
      </c>
      <c r="G326" s="6">
        <v>284</v>
      </c>
      <c r="H326" s="6">
        <v>2.2999999999999998</v>
      </c>
      <c r="I326" s="21">
        <f t="shared" si="16"/>
        <v>1040.221</v>
      </c>
      <c r="J326" s="7" t="s">
        <v>503</v>
      </c>
      <c r="K326" s="17">
        <f t="shared" si="15"/>
        <v>11</v>
      </c>
    </row>
    <row r="327" spans="1:11" ht="13.95" customHeight="1" x14ac:dyDescent="0.3">
      <c r="A327" s="3">
        <v>45983</v>
      </c>
      <c r="B327" s="3" t="s">
        <v>671</v>
      </c>
      <c r="C327" s="3" t="s">
        <v>16</v>
      </c>
      <c r="D327" s="3" t="s">
        <v>14</v>
      </c>
      <c r="E327" s="4">
        <v>0.62</v>
      </c>
      <c r="F327" s="5">
        <v>2.5499999999999998</v>
      </c>
      <c r="G327" s="6">
        <v>284</v>
      </c>
      <c r="H327" s="6">
        <v>2.2999999999999998</v>
      </c>
      <c r="I327" s="21">
        <f t="shared" si="16"/>
        <v>1032.7091999999998</v>
      </c>
      <c r="J327" s="7" t="s">
        <v>69</v>
      </c>
      <c r="K327" s="17">
        <f t="shared" si="15"/>
        <v>11</v>
      </c>
    </row>
    <row r="328" spans="1:11" ht="13.95" customHeight="1" x14ac:dyDescent="0.3">
      <c r="A328" s="3">
        <v>45984</v>
      </c>
      <c r="B328" s="3" t="s">
        <v>671</v>
      </c>
      <c r="C328" s="3" t="s">
        <v>18</v>
      </c>
      <c r="D328" s="3" t="s">
        <v>9</v>
      </c>
      <c r="E328" s="4">
        <v>0.75</v>
      </c>
      <c r="F328" s="5">
        <v>1.8</v>
      </c>
      <c r="G328" s="6">
        <v>284</v>
      </c>
      <c r="H328" s="6">
        <v>2.2999999999999998</v>
      </c>
      <c r="I328" s="21">
        <f t="shared" si="16"/>
        <v>881.81999999999994</v>
      </c>
      <c r="J328" s="7" t="s">
        <v>286</v>
      </c>
      <c r="K328" s="17">
        <f t="shared" si="15"/>
        <v>11</v>
      </c>
    </row>
    <row r="329" spans="1:11" ht="13.95" customHeight="1" x14ac:dyDescent="0.3">
      <c r="A329" s="3">
        <v>45985</v>
      </c>
      <c r="B329" s="3" t="s">
        <v>671</v>
      </c>
      <c r="C329" s="3" t="s">
        <v>20</v>
      </c>
      <c r="D329" s="3" t="s">
        <v>9</v>
      </c>
      <c r="E329" s="4">
        <v>0.8</v>
      </c>
      <c r="F329" s="5">
        <v>1.82</v>
      </c>
      <c r="G329" s="6">
        <v>284</v>
      </c>
      <c r="H329" s="6">
        <v>2.2999999999999998</v>
      </c>
      <c r="I329" s="21">
        <f t="shared" si="16"/>
        <v>951.05919999999992</v>
      </c>
      <c r="J329" s="7" t="s">
        <v>428</v>
      </c>
      <c r="K329" s="17">
        <f t="shared" si="15"/>
        <v>11</v>
      </c>
    </row>
    <row r="330" spans="1:11" ht="13.95" customHeight="1" x14ac:dyDescent="0.3">
      <c r="A330" s="3">
        <v>45986</v>
      </c>
      <c r="B330" s="3" t="s">
        <v>671</v>
      </c>
      <c r="C330" s="3" t="s">
        <v>5</v>
      </c>
      <c r="D330" s="3" t="s">
        <v>9</v>
      </c>
      <c r="E330" s="4">
        <v>0.85</v>
      </c>
      <c r="F330" s="5">
        <v>1.88</v>
      </c>
      <c r="G330" s="6">
        <v>284</v>
      </c>
      <c r="H330" s="6">
        <v>2.2999999999999998</v>
      </c>
      <c r="I330" s="21">
        <f t="shared" si="16"/>
        <v>1043.8135999999997</v>
      </c>
      <c r="J330" s="7" t="s">
        <v>650</v>
      </c>
      <c r="K330" s="17">
        <f t="shared" si="15"/>
        <v>11</v>
      </c>
    </row>
    <row r="331" spans="1:11" ht="13.95" customHeight="1" x14ac:dyDescent="0.3">
      <c r="A331" s="3">
        <v>45987</v>
      </c>
      <c r="B331" s="3" t="s">
        <v>671</v>
      </c>
      <c r="C331" s="3" t="s">
        <v>8</v>
      </c>
      <c r="D331" s="3" t="s">
        <v>9</v>
      </c>
      <c r="E331" s="4">
        <v>0.8</v>
      </c>
      <c r="F331" s="5">
        <v>1.85</v>
      </c>
      <c r="G331" s="6">
        <v>284</v>
      </c>
      <c r="H331" s="6">
        <v>2.2999999999999998</v>
      </c>
      <c r="I331" s="21">
        <f t="shared" si="16"/>
        <v>966.73599999999999</v>
      </c>
      <c r="J331" s="7" t="s">
        <v>286</v>
      </c>
      <c r="K331" s="17">
        <f t="shared" si="15"/>
        <v>11</v>
      </c>
    </row>
    <row r="332" spans="1:11" ht="13.95" customHeight="1" x14ac:dyDescent="0.3">
      <c r="A332" s="3">
        <v>45988</v>
      </c>
      <c r="B332" s="3" t="s">
        <v>671</v>
      </c>
      <c r="C332" s="3" t="s">
        <v>11</v>
      </c>
      <c r="D332" s="3" t="s">
        <v>9</v>
      </c>
      <c r="E332" s="4">
        <v>0.7</v>
      </c>
      <c r="F332" s="5">
        <v>2.1</v>
      </c>
      <c r="G332" s="6">
        <v>284</v>
      </c>
      <c r="H332" s="6">
        <v>2.2999999999999998</v>
      </c>
      <c r="I332" s="21">
        <f t="shared" si="16"/>
        <v>960.20399999999995</v>
      </c>
      <c r="J332" s="7" t="s">
        <v>97</v>
      </c>
      <c r="K332" s="17">
        <f t="shared" si="15"/>
        <v>11</v>
      </c>
    </row>
    <row r="333" spans="1:11" ht="13.95" customHeight="1" x14ac:dyDescent="0.3">
      <c r="A333" s="3">
        <v>45989</v>
      </c>
      <c r="B333" s="3" t="s">
        <v>671</v>
      </c>
      <c r="C333" s="3" t="s">
        <v>13</v>
      </c>
      <c r="D333" s="3" t="s">
        <v>14</v>
      </c>
      <c r="E333" s="4">
        <v>0.68</v>
      </c>
      <c r="F333" s="5">
        <v>2.4500000000000002</v>
      </c>
      <c r="G333" s="6">
        <v>284</v>
      </c>
      <c r="H333" s="6">
        <v>2.2999999999999998</v>
      </c>
      <c r="I333" s="21">
        <f t="shared" si="16"/>
        <v>1088.2311999999999</v>
      </c>
      <c r="J333" s="7" t="s">
        <v>623</v>
      </c>
      <c r="K333" s="17">
        <f t="shared" si="15"/>
        <v>11</v>
      </c>
    </row>
    <row r="334" spans="1:11" ht="13.95" customHeight="1" x14ac:dyDescent="0.3">
      <c r="A334" s="3">
        <v>45990</v>
      </c>
      <c r="B334" s="3" t="s">
        <v>671</v>
      </c>
      <c r="C334" s="3" t="s">
        <v>16</v>
      </c>
      <c r="D334" s="3" t="s">
        <v>14</v>
      </c>
      <c r="E334" s="4">
        <v>0.65</v>
      </c>
      <c r="F334" s="5">
        <v>2.5499999999999998</v>
      </c>
      <c r="G334" s="6">
        <v>284</v>
      </c>
      <c r="H334" s="6">
        <v>2.2999999999999998</v>
      </c>
      <c r="I334" s="21">
        <f t="shared" si="16"/>
        <v>1082.6789999999996</v>
      </c>
      <c r="J334" s="7" t="s">
        <v>238</v>
      </c>
      <c r="K334" s="17">
        <f t="shared" si="15"/>
        <v>11</v>
      </c>
    </row>
    <row r="335" spans="1:11" ht="13.95" customHeight="1" x14ac:dyDescent="0.3">
      <c r="A335" s="3">
        <v>45991</v>
      </c>
      <c r="B335" s="3" t="s">
        <v>671</v>
      </c>
      <c r="C335" s="3" t="s">
        <v>18</v>
      </c>
      <c r="D335" s="3" t="s">
        <v>9</v>
      </c>
      <c r="E335" s="4">
        <v>0.72</v>
      </c>
      <c r="F335" s="5">
        <v>1.78</v>
      </c>
      <c r="G335" s="6">
        <v>284</v>
      </c>
      <c r="H335" s="6">
        <v>2.2999999999999998</v>
      </c>
      <c r="I335" s="21">
        <f t="shared" si="16"/>
        <v>837.14111999999989</v>
      </c>
      <c r="J335" s="7" t="s">
        <v>651</v>
      </c>
      <c r="K335" s="17">
        <f t="shared" si="15"/>
        <v>11</v>
      </c>
    </row>
    <row r="336" spans="1:11" ht="13.95" customHeight="1" x14ac:dyDescent="0.3">
      <c r="A336" s="3">
        <v>45992</v>
      </c>
      <c r="B336" s="3" t="s">
        <v>671</v>
      </c>
      <c r="C336" s="3" t="s">
        <v>20</v>
      </c>
      <c r="D336" s="3" t="s">
        <v>9</v>
      </c>
      <c r="E336" s="4">
        <v>0.78</v>
      </c>
      <c r="F336" s="5">
        <v>1.82</v>
      </c>
      <c r="G336" s="6">
        <v>284</v>
      </c>
      <c r="H336" s="6">
        <v>2.2999999999999998</v>
      </c>
      <c r="I336" s="21">
        <f t="shared" si="16"/>
        <v>927.28272000000004</v>
      </c>
      <c r="J336" s="7" t="s">
        <v>652</v>
      </c>
      <c r="K336" s="17">
        <f t="shared" si="15"/>
        <v>12</v>
      </c>
    </row>
    <row r="337" spans="1:11" ht="13.95" customHeight="1" x14ac:dyDescent="0.3">
      <c r="A337" s="3">
        <v>45993</v>
      </c>
      <c r="B337" s="3" t="s">
        <v>671</v>
      </c>
      <c r="C337" s="3" t="s">
        <v>5</v>
      </c>
      <c r="D337" s="3" t="s">
        <v>9</v>
      </c>
      <c r="E337" s="4">
        <v>0.82</v>
      </c>
      <c r="F337" s="5">
        <v>1.85</v>
      </c>
      <c r="G337" s="6">
        <v>284</v>
      </c>
      <c r="H337" s="6">
        <v>2.2999999999999998</v>
      </c>
      <c r="I337" s="21">
        <f t="shared" si="16"/>
        <v>990.9043999999999</v>
      </c>
      <c r="J337" s="7" t="s">
        <v>143</v>
      </c>
      <c r="K337" s="17">
        <f t="shared" ref="K337:K366" si="17">MONTH(A337)</f>
        <v>12</v>
      </c>
    </row>
    <row r="338" spans="1:11" ht="13.95" customHeight="1" x14ac:dyDescent="0.3">
      <c r="A338" s="3">
        <v>45994</v>
      </c>
      <c r="B338" s="3" t="s">
        <v>671</v>
      </c>
      <c r="C338" s="3" t="s">
        <v>8</v>
      </c>
      <c r="D338" s="3" t="s">
        <v>9</v>
      </c>
      <c r="E338" s="4">
        <v>0.8</v>
      </c>
      <c r="F338" s="5">
        <v>1.82</v>
      </c>
      <c r="G338" s="6">
        <v>284</v>
      </c>
      <c r="H338" s="6">
        <v>2.2999999999999998</v>
      </c>
      <c r="I338" s="21">
        <f t="shared" si="16"/>
        <v>951.05919999999992</v>
      </c>
      <c r="J338" s="7" t="s">
        <v>286</v>
      </c>
      <c r="K338" s="17">
        <f t="shared" si="17"/>
        <v>12</v>
      </c>
    </row>
    <row r="339" spans="1:11" ht="13.95" customHeight="1" x14ac:dyDescent="0.3">
      <c r="A339" s="3">
        <v>45995</v>
      </c>
      <c r="B339" s="3" t="s">
        <v>671</v>
      </c>
      <c r="C339" s="3" t="s">
        <v>11</v>
      </c>
      <c r="D339" s="3" t="s">
        <v>9</v>
      </c>
      <c r="E339" s="4">
        <v>0.75</v>
      </c>
      <c r="F339" s="5">
        <v>2.15</v>
      </c>
      <c r="G339" s="6">
        <v>284</v>
      </c>
      <c r="H339" s="6">
        <v>2.2999999999999998</v>
      </c>
      <c r="I339" s="21">
        <f t="shared" si="16"/>
        <v>1053.2849999999999</v>
      </c>
      <c r="J339" s="7" t="s">
        <v>485</v>
      </c>
      <c r="K339" s="17">
        <f t="shared" si="17"/>
        <v>12</v>
      </c>
    </row>
    <row r="340" spans="1:11" ht="13.95" customHeight="1" x14ac:dyDescent="0.3">
      <c r="A340" s="3">
        <v>45996</v>
      </c>
      <c r="B340" s="3" t="s">
        <v>671</v>
      </c>
      <c r="C340" s="3" t="s">
        <v>13</v>
      </c>
      <c r="D340" s="3" t="s">
        <v>14</v>
      </c>
      <c r="E340" s="4">
        <v>0.72</v>
      </c>
      <c r="F340" s="5">
        <v>2.4500000000000002</v>
      </c>
      <c r="G340" s="6">
        <v>284</v>
      </c>
      <c r="H340" s="6">
        <v>2.2999999999999998</v>
      </c>
      <c r="I340" s="21">
        <f t="shared" si="16"/>
        <v>1152.2447999999999</v>
      </c>
      <c r="J340" s="7" t="s">
        <v>653</v>
      </c>
      <c r="K340" s="17">
        <f t="shared" si="17"/>
        <v>12</v>
      </c>
    </row>
    <row r="341" spans="1:11" ht="13.95" customHeight="1" x14ac:dyDescent="0.3">
      <c r="A341" s="3">
        <v>45997</v>
      </c>
      <c r="B341" s="3" t="s">
        <v>671</v>
      </c>
      <c r="C341" s="3" t="s">
        <v>16</v>
      </c>
      <c r="D341" s="3" t="s">
        <v>14</v>
      </c>
      <c r="E341" s="4">
        <v>0.7</v>
      </c>
      <c r="F341" s="5">
        <v>2.5499999999999998</v>
      </c>
      <c r="G341" s="6">
        <v>284</v>
      </c>
      <c r="H341" s="6">
        <v>2.2999999999999998</v>
      </c>
      <c r="I341" s="21">
        <f t="shared" si="16"/>
        <v>1165.9619999999998</v>
      </c>
      <c r="J341" s="7" t="s">
        <v>69</v>
      </c>
      <c r="K341" s="17">
        <f t="shared" si="17"/>
        <v>12</v>
      </c>
    </row>
    <row r="342" spans="1:11" ht="13.95" customHeight="1" x14ac:dyDescent="0.3">
      <c r="A342" s="3">
        <v>45998</v>
      </c>
      <c r="B342" s="3" t="s">
        <v>671</v>
      </c>
      <c r="C342" s="3" t="s">
        <v>18</v>
      </c>
      <c r="D342" s="3" t="s">
        <v>9</v>
      </c>
      <c r="E342" s="4">
        <v>0.75</v>
      </c>
      <c r="F342" s="5">
        <v>1.8</v>
      </c>
      <c r="G342" s="6">
        <v>284</v>
      </c>
      <c r="H342" s="6">
        <v>2.2999999999999998</v>
      </c>
      <c r="I342" s="21">
        <f t="shared" si="16"/>
        <v>881.81999999999994</v>
      </c>
      <c r="J342" s="7" t="s">
        <v>428</v>
      </c>
      <c r="K342" s="17">
        <f t="shared" si="17"/>
        <v>12</v>
      </c>
    </row>
    <row r="343" spans="1:11" ht="13.95" customHeight="1" x14ac:dyDescent="0.3">
      <c r="A343" s="3">
        <v>45999</v>
      </c>
      <c r="B343" s="3" t="s">
        <v>671</v>
      </c>
      <c r="C343" s="3" t="s">
        <v>20</v>
      </c>
      <c r="D343" s="3" t="s">
        <v>9</v>
      </c>
      <c r="E343" s="4">
        <v>0.8</v>
      </c>
      <c r="F343" s="5">
        <v>1.82</v>
      </c>
      <c r="G343" s="6">
        <v>284</v>
      </c>
      <c r="H343" s="6">
        <v>2.2999999999999998</v>
      </c>
      <c r="I343" s="21">
        <f t="shared" si="16"/>
        <v>951.05919999999992</v>
      </c>
      <c r="J343" s="7" t="s">
        <v>286</v>
      </c>
      <c r="K343" s="17">
        <f t="shared" si="17"/>
        <v>12</v>
      </c>
    </row>
    <row r="344" spans="1:11" ht="13.95" customHeight="1" x14ac:dyDescent="0.3">
      <c r="A344" s="3">
        <v>46000</v>
      </c>
      <c r="B344" s="3" t="s">
        <v>671</v>
      </c>
      <c r="C344" s="3" t="s">
        <v>5</v>
      </c>
      <c r="D344" s="3" t="s">
        <v>9</v>
      </c>
      <c r="E344" s="4">
        <v>0.85</v>
      </c>
      <c r="F344" s="5">
        <v>1.88</v>
      </c>
      <c r="G344" s="6">
        <v>284</v>
      </c>
      <c r="H344" s="6">
        <v>2.2999999999999998</v>
      </c>
      <c r="I344" s="21">
        <f t="shared" si="16"/>
        <v>1043.8135999999997</v>
      </c>
      <c r="J344" s="7" t="s">
        <v>654</v>
      </c>
      <c r="K344" s="17">
        <f t="shared" si="17"/>
        <v>12</v>
      </c>
    </row>
    <row r="345" spans="1:11" ht="13.95" customHeight="1" x14ac:dyDescent="0.3">
      <c r="A345" s="3">
        <v>46001</v>
      </c>
      <c r="B345" s="3" t="s">
        <v>671</v>
      </c>
      <c r="C345" s="3" t="s">
        <v>8</v>
      </c>
      <c r="D345" s="3" t="s">
        <v>9</v>
      </c>
      <c r="E345" s="4">
        <v>0.82</v>
      </c>
      <c r="F345" s="5">
        <v>1.85</v>
      </c>
      <c r="G345" s="6">
        <v>284</v>
      </c>
      <c r="H345" s="6">
        <v>2.2999999999999998</v>
      </c>
      <c r="I345" s="21">
        <f t="shared" si="16"/>
        <v>990.9043999999999</v>
      </c>
      <c r="J345" s="7" t="s">
        <v>286</v>
      </c>
      <c r="K345" s="17">
        <f t="shared" si="17"/>
        <v>12</v>
      </c>
    </row>
    <row r="346" spans="1:11" ht="13.95" customHeight="1" x14ac:dyDescent="0.3">
      <c r="A346" s="3">
        <v>46002</v>
      </c>
      <c r="B346" s="3" t="s">
        <v>671</v>
      </c>
      <c r="C346" s="3" t="s">
        <v>11</v>
      </c>
      <c r="D346" s="3" t="s">
        <v>9</v>
      </c>
      <c r="E346" s="4">
        <v>0.78</v>
      </c>
      <c r="F346" s="5">
        <v>2.1</v>
      </c>
      <c r="G346" s="6">
        <v>284</v>
      </c>
      <c r="H346" s="6">
        <v>2.2999999999999998</v>
      </c>
      <c r="I346" s="21">
        <f t="shared" si="16"/>
        <v>1069.9416000000001</v>
      </c>
      <c r="J346" s="7" t="s">
        <v>97</v>
      </c>
      <c r="K346" s="17">
        <f t="shared" si="17"/>
        <v>12</v>
      </c>
    </row>
    <row r="347" spans="1:11" ht="13.95" customHeight="1" x14ac:dyDescent="0.3">
      <c r="A347" s="3">
        <v>46003</v>
      </c>
      <c r="B347" s="3" t="s">
        <v>671</v>
      </c>
      <c r="C347" s="3" t="s">
        <v>13</v>
      </c>
      <c r="D347" s="3" t="s">
        <v>14</v>
      </c>
      <c r="E347" s="4">
        <v>0.7</v>
      </c>
      <c r="F347" s="5">
        <v>2.4500000000000002</v>
      </c>
      <c r="G347" s="6">
        <v>284</v>
      </c>
      <c r="H347" s="6">
        <v>2.2999999999999998</v>
      </c>
      <c r="I347" s="21">
        <f t="shared" si="16"/>
        <v>1120.2380000000001</v>
      </c>
      <c r="J347" s="7" t="s">
        <v>623</v>
      </c>
      <c r="K347" s="17">
        <f t="shared" si="17"/>
        <v>12</v>
      </c>
    </row>
    <row r="348" spans="1:11" ht="13.95" customHeight="1" x14ac:dyDescent="0.3">
      <c r="A348" s="3">
        <v>46004</v>
      </c>
      <c r="B348" s="3" t="s">
        <v>671</v>
      </c>
      <c r="C348" s="3" t="s">
        <v>16</v>
      </c>
      <c r="D348" s="3" t="s">
        <v>14</v>
      </c>
      <c r="E348" s="4">
        <v>0.68</v>
      </c>
      <c r="F348" s="5">
        <v>2.5499999999999998</v>
      </c>
      <c r="G348" s="6">
        <v>284</v>
      </c>
      <c r="H348" s="6">
        <v>2.2999999999999998</v>
      </c>
      <c r="I348" s="21">
        <f t="shared" si="16"/>
        <v>1132.6487999999999</v>
      </c>
      <c r="J348" s="7" t="s">
        <v>69</v>
      </c>
      <c r="K348" s="17">
        <f t="shared" si="17"/>
        <v>12</v>
      </c>
    </row>
    <row r="349" spans="1:11" ht="13.95" customHeight="1" x14ac:dyDescent="0.3">
      <c r="A349" s="3">
        <v>46005</v>
      </c>
      <c r="B349" s="3" t="s">
        <v>671</v>
      </c>
      <c r="C349" s="3" t="s">
        <v>18</v>
      </c>
      <c r="D349" s="3" t="s">
        <v>9</v>
      </c>
      <c r="E349" s="4">
        <v>0.72</v>
      </c>
      <c r="F349" s="5">
        <v>1.78</v>
      </c>
      <c r="G349" s="6">
        <v>284</v>
      </c>
      <c r="H349" s="6">
        <v>2.2999999999999998</v>
      </c>
      <c r="I349" s="21">
        <f t="shared" si="16"/>
        <v>837.14111999999989</v>
      </c>
      <c r="J349" s="7" t="s">
        <v>65</v>
      </c>
      <c r="K349" s="17">
        <f t="shared" si="17"/>
        <v>12</v>
      </c>
    </row>
    <row r="350" spans="1:11" ht="13.95" customHeight="1" x14ac:dyDescent="0.3">
      <c r="A350" s="3">
        <v>46006</v>
      </c>
      <c r="B350" s="3" t="s">
        <v>671</v>
      </c>
      <c r="C350" s="3" t="s">
        <v>20</v>
      </c>
      <c r="D350" s="3" t="s">
        <v>9</v>
      </c>
      <c r="E350" s="4">
        <v>0.75</v>
      </c>
      <c r="F350" s="5">
        <v>1.8</v>
      </c>
      <c r="G350" s="6">
        <v>284</v>
      </c>
      <c r="H350" s="6">
        <v>2.2999999999999998</v>
      </c>
      <c r="I350" s="21">
        <f t="shared" si="16"/>
        <v>881.81999999999994</v>
      </c>
      <c r="J350" s="7" t="s">
        <v>286</v>
      </c>
      <c r="K350" s="17">
        <f t="shared" si="17"/>
        <v>12</v>
      </c>
    </row>
    <row r="351" spans="1:11" ht="13.95" customHeight="1" x14ac:dyDescent="0.3">
      <c r="A351" s="3">
        <v>46007</v>
      </c>
      <c r="B351" s="3" t="s">
        <v>671</v>
      </c>
      <c r="C351" s="3" t="s">
        <v>5</v>
      </c>
      <c r="D351" s="3" t="s">
        <v>9</v>
      </c>
      <c r="E351" s="4">
        <v>0.7</v>
      </c>
      <c r="F351" s="5">
        <v>1.82</v>
      </c>
      <c r="G351" s="6">
        <v>284</v>
      </c>
      <c r="H351" s="6">
        <v>2.2999999999999998</v>
      </c>
      <c r="I351" s="21">
        <f t="shared" si="16"/>
        <v>832.17679999999996</v>
      </c>
      <c r="J351" s="7" t="s">
        <v>655</v>
      </c>
      <c r="K351" s="17">
        <f t="shared" si="17"/>
        <v>12</v>
      </c>
    </row>
    <row r="352" spans="1:11" ht="13.95" customHeight="1" x14ac:dyDescent="0.3">
      <c r="A352" s="3">
        <v>46008</v>
      </c>
      <c r="B352" s="3" t="s">
        <v>671</v>
      </c>
      <c r="C352" s="3" t="s">
        <v>8</v>
      </c>
      <c r="D352" s="3" t="s">
        <v>9</v>
      </c>
      <c r="E352" s="4">
        <v>0.65</v>
      </c>
      <c r="F352" s="5">
        <v>1.78</v>
      </c>
      <c r="G352" s="6">
        <v>284</v>
      </c>
      <c r="H352" s="6">
        <v>2.2999999999999998</v>
      </c>
      <c r="I352" s="21">
        <f t="shared" si="16"/>
        <v>755.75239999999985</v>
      </c>
      <c r="J352" s="7" t="s">
        <v>656</v>
      </c>
      <c r="K352" s="17">
        <f t="shared" si="17"/>
        <v>12</v>
      </c>
    </row>
    <row r="353" spans="1:11" ht="13.95" customHeight="1" x14ac:dyDescent="0.3">
      <c r="A353" s="3">
        <v>46009</v>
      </c>
      <c r="B353" s="3" t="s">
        <v>671</v>
      </c>
      <c r="C353" s="3" t="s">
        <v>11</v>
      </c>
      <c r="D353" s="3" t="s">
        <v>9</v>
      </c>
      <c r="E353" s="4">
        <v>0.6</v>
      </c>
      <c r="F353" s="5">
        <v>2.2000000000000002</v>
      </c>
      <c r="G353" s="6">
        <v>284</v>
      </c>
      <c r="H353" s="6">
        <v>2.2999999999999998</v>
      </c>
      <c r="I353" s="21">
        <f t="shared" si="16"/>
        <v>862.22399999999993</v>
      </c>
      <c r="J353" s="7" t="s">
        <v>657</v>
      </c>
      <c r="K353" s="17">
        <f t="shared" si="17"/>
        <v>12</v>
      </c>
    </row>
    <row r="354" spans="1:11" ht="13.95" customHeight="1" x14ac:dyDescent="0.3">
      <c r="A354" s="3">
        <v>46010</v>
      </c>
      <c r="B354" s="3" t="s">
        <v>671</v>
      </c>
      <c r="C354" s="3" t="s">
        <v>13</v>
      </c>
      <c r="D354" s="3" t="s">
        <v>14</v>
      </c>
      <c r="E354" s="4">
        <v>0.65</v>
      </c>
      <c r="F354" s="5">
        <v>2.5</v>
      </c>
      <c r="G354" s="6">
        <v>284</v>
      </c>
      <c r="H354" s="6">
        <v>2.2999999999999998</v>
      </c>
      <c r="I354" s="21">
        <f t="shared" si="16"/>
        <v>1061.4499999999998</v>
      </c>
      <c r="J354" s="7" t="s">
        <v>415</v>
      </c>
      <c r="K354" s="17">
        <f t="shared" si="17"/>
        <v>12</v>
      </c>
    </row>
    <row r="355" spans="1:11" ht="13.95" customHeight="1" x14ac:dyDescent="0.3">
      <c r="A355" s="3">
        <v>46011</v>
      </c>
      <c r="B355" s="3" t="s">
        <v>671</v>
      </c>
      <c r="C355" s="3" t="s">
        <v>16</v>
      </c>
      <c r="D355" s="3" t="s">
        <v>14</v>
      </c>
      <c r="E355" s="4">
        <v>0.62</v>
      </c>
      <c r="F355" s="5">
        <v>2.5499999999999998</v>
      </c>
      <c r="G355" s="6">
        <v>284</v>
      </c>
      <c r="H355" s="6">
        <v>2.2999999999999998</v>
      </c>
      <c r="I355" s="21">
        <f t="shared" si="16"/>
        <v>1032.7091999999998</v>
      </c>
      <c r="J355" s="7" t="s">
        <v>69</v>
      </c>
      <c r="K355" s="17">
        <f t="shared" si="17"/>
        <v>12</v>
      </c>
    </row>
    <row r="356" spans="1:11" ht="13.95" customHeight="1" x14ac:dyDescent="0.3">
      <c r="A356" s="3">
        <v>46012</v>
      </c>
      <c r="B356" s="3" t="s">
        <v>671</v>
      </c>
      <c r="C356" s="3" t="s">
        <v>18</v>
      </c>
      <c r="D356" s="3" t="s">
        <v>658</v>
      </c>
      <c r="E356" s="4">
        <v>0.55000000000000004</v>
      </c>
      <c r="F356" s="5">
        <v>1.85</v>
      </c>
      <c r="G356" s="6">
        <v>284</v>
      </c>
      <c r="H356" s="6">
        <v>2.2999999999999998</v>
      </c>
      <c r="I356" s="21">
        <f t="shared" si="16"/>
        <v>664.63099999999997</v>
      </c>
      <c r="J356" s="7" t="s">
        <v>659</v>
      </c>
      <c r="K356" s="17">
        <f t="shared" si="17"/>
        <v>12</v>
      </c>
    </row>
    <row r="357" spans="1:11" ht="13.95" customHeight="1" x14ac:dyDescent="0.3">
      <c r="A357" s="3">
        <v>46013</v>
      </c>
      <c r="B357" s="3" t="s">
        <v>671</v>
      </c>
      <c r="C357" s="3" t="s">
        <v>20</v>
      </c>
      <c r="D357" s="3" t="s">
        <v>658</v>
      </c>
      <c r="E357" s="4">
        <v>0.57999999999999996</v>
      </c>
      <c r="F357" s="5">
        <v>1.9</v>
      </c>
      <c r="G357" s="6">
        <v>284</v>
      </c>
      <c r="H357" s="6">
        <v>2.2999999999999998</v>
      </c>
      <c r="I357" s="21">
        <f t="shared" si="16"/>
        <v>719.82639999999992</v>
      </c>
      <c r="J357" s="7" t="s">
        <v>660</v>
      </c>
      <c r="K357" s="17">
        <f t="shared" si="17"/>
        <v>12</v>
      </c>
    </row>
    <row r="358" spans="1:11" ht="13.95" customHeight="1" x14ac:dyDescent="0.3">
      <c r="A358" s="3">
        <v>46014</v>
      </c>
      <c r="B358" s="3" t="s">
        <v>671</v>
      </c>
      <c r="C358" s="3" t="s">
        <v>5</v>
      </c>
      <c r="D358" s="3" t="s">
        <v>658</v>
      </c>
      <c r="E358" s="4">
        <v>0.6</v>
      </c>
      <c r="F358" s="5">
        <v>2.1</v>
      </c>
      <c r="G358" s="6">
        <v>284</v>
      </c>
      <c r="H358" s="6">
        <v>2.2999999999999998</v>
      </c>
      <c r="I358" s="21">
        <f t="shared" si="16"/>
        <v>823.03199999999993</v>
      </c>
      <c r="J358" s="7" t="s">
        <v>661</v>
      </c>
      <c r="K358" s="17">
        <f t="shared" si="17"/>
        <v>12</v>
      </c>
    </row>
    <row r="359" spans="1:11" ht="13.95" customHeight="1" x14ac:dyDescent="0.3">
      <c r="A359" s="3">
        <v>46015</v>
      </c>
      <c r="B359" s="3" t="s">
        <v>671</v>
      </c>
      <c r="C359" s="3" t="s">
        <v>8</v>
      </c>
      <c r="D359" s="3" t="s">
        <v>662</v>
      </c>
      <c r="E359" s="4">
        <v>0.75</v>
      </c>
      <c r="F359" s="5">
        <v>2.65</v>
      </c>
      <c r="G359" s="6">
        <v>284</v>
      </c>
      <c r="H359" s="6">
        <v>2.2999999999999998</v>
      </c>
      <c r="I359" s="21">
        <f t="shared" si="16"/>
        <v>1298.2349999999999</v>
      </c>
      <c r="J359" s="7" t="s">
        <v>663</v>
      </c>
      <c r="K359" s="17">
        <f t="shared" si="17"/>
        <v>12</v>
      </c>
    </row>
    <row r="360" spans="1:11" ht="13.95" customHeight="1" x14ac:dyDescent="0.3">
      <c r="A360" s="3">
        <v>46016</v>
      </c>
      <c r="B360" s="3" t="s">
        <v>671</v>
      </c>
      <c r="C360" s="3" t="s">
        <v>11</v>
      </c>
      <c r="D360" s="3" t="s">
        <v>299</v>
      </c>
      <c r="E360" s="4">
        <v>0.7</v>
      </c>
      <c r="F360" s="5">
        <v>2.7</v>
      </c>
      <c r="G360" s="6">
        <v>284</v>
      </c>
      <c r="H360" s="6">
        <v>2.2999999999999998</v>
      </c>
      <c r="I360" s="21">
        <f t="shared" si="16"/>
        <v>1234.548</v>
      </c>
      <c r="J360" s="7" t="s">
        <v>664</v>
      </c>
      <c r="K360" s="17">
        <f t="shared" si="17"/>
        <v>12</v>
      </c>
    </row>
    <row r="361" spans="1:11" ht="13.95" customHeight="1" x14ac:dyDescent="0.3">
      <c r="A361" s="3">
        <v>46017</v>
      </c>
      <c r="B361" s="3" t="s">
        <v>671</v>
      </c>
      <c r="C361" s="3" t="s">
        <v>13</v>
      </c>
      <c r="D361" s="3" t="s">
        <v>14</v>
      </c>
      <c r="E361" s="4">
        <v>0.72</v>
      </c>
      <c r="F361" s="5">
        <v>2.5499999999999998</v>
      </c>
      <c r="G361" s="6">
        <v>284</v>
      </c>
      <c r="H361" s="6">
        <v>2.2999999999999998</v>
      </c>
      <c r="I361" s="21">
        <f t="shared" si="16"/>
        <v>1199.2751999999998</v>
      </c>
      <c r="J361" s="7" t="s">
        <v>456</v>
      </c>
      <c r="K361" s="17">
        <f t="shared" si="17"/>
        <v>12</v>
      </c>
    </row>
    <row r="362" spans="1:11" ht="13.95" customHeight="1" x14ac:dyDescent="0.3">
      <c r="A362" s="3">
        <v>46018</v>
      </c>
      <c r="B362" s="3" t="s">
        <v>671</v>
      </c>
      <c r="C362" s="3" t="s">
        <v>16</v>
      </c>
      <c r="D362" s="3" t="s">
        <v>14</v>
      </c>
      <c r="E362" s="4">
        <v>0.75</v>
      </c>
      <c r="F362" s="5">
        <v>2.65</v>
      </c>
      <c r="G362" s="6">
        <v>284</v>
      </c>
      <c r="H362" s="6">
        <v>2.2999999999999998</v>
      </c>
      <c r="I362" s="21">
        <f t="shared" si="16"/>
        <v>1298.2349999999999</v>
      </c>
      <c r="J362" s="7" t="s">
        <v>665</v>
      </c>
      <c r="K362" s="17">
        <f t="shared" si="17"/>
        <v>12</v>
      </c>
    </row>
    <row r="363" spans="1:11" ht="13.95" customHeight="1" x14ac:dyDescent="0.3">
      <c r="A363" s="3">
        <v>46019</v>
      </c>
      <c r="B363" s="3" t="s">
        <v>671</v>
      </c>
      <c r="C363" s="3" t="s">
        <v>18</v>
      </c>
      <c r="D363" s="3" t="s">
        <v>658</v>
      </c>
      <c r="E363" s="4">
        <v>0.65</v>
      </c>
      <c r="F363" s="5">
        <v>2.1</v>
      </c>
      <c r="G363" s="6">
        <v>284</v>
      </c>
      <c r="H363" s="6">
        <v>2.2999999999999998</v>
      </c>
      <c r="I363" s="21">
        <f t="shared" si="16"/>
        <v>891.61799999999994</v>
      </c>
      <c r="J363" s="7" t="s">
        <v>666</v>
      </c>
      <c r="K363" s="17">
        <f t="shared" si="17"/>
        <v>12</v>
      </c>
    </row>
    <row r="364" spans="1:11" ht="13.95" customHeight="1" x14ac:dyDescent="0.3">
      <c r="A364" s="3">
        <v>46020</v>
      </c>
      <c r="B364" s="3" t="s">
        <v>671</v>
      </c>
      <c r="C364" s="3" t="s">
        <v>20</v>
      </c>
      <c r="D364" s="3" t="s">
        <v>658</v>
      </c>
      <c r="E364" s="4">
        <v>0.7</v>
      </c>
      <c r="F364" s="5">
        <v>2.2000000000000002</v>
      </c>
      <c r="G364" s="6">
        <v>284</v>
      </c>
      <c r="H364" s="6">
        <v>2.2999999999999998</v>
      </c>
      <c r="I364" s="21">
        <f t="shared" si="16"/>
        <v>1005.928</v>
      </c>
      <c r="J364" s="7" t="s">
        <v>667</v>
      </c>
      <c r="K364" s="17">
        <f t="shared" si="17"/>
        <v>12</v>
      </c>
    </row>
    <row r="365" spans="1:11" ht="13.95" customHeight="1" x14ac:dyDescent="0.3">
      <c r="A365" s="3">
        <v>46021</v>
      </c>
      <c r="B365" s="3" t="s">
        <v>671</v>
      </c>
      <c r="C365" s="3" t="s">
        <v>5</v>
      </c>
      <c r="D365" s="3" t="s">
        <v>658</v>
      </c>
      <c r="E365" s="4">
        <v>0.85</v>
      </c>
      <c r="F365" s="5">
        <v>2.4</v>
      </c>
      <c r="G365" s="6">
        <v>284</v>
      </c>
      <c r="H365" s="6">
        <v>2.2999999999999998</v>
      </c>
      <c r="I365" s="21">
        <f t="shared" si="16"/>
        <v>1332.5279999999998</v>
      </c>
      <c r="J365" s="7" t="s">
        <v>531</v>
      </c>
      <c r="K365" s="17">
        <f t="shared" si="17"/>
        <v>12</v>
      </c>
    </row>
    <row r="366" spans="1:11" ht="13.95" customHeight="1" x14ac:dyDescent="0.3">
      <c r="A366" s="3">
        <v>46022</v>
      </c>
      <c r="B366" s="3" t="s">
        <v>671</v>
      </c>
      <c r="C366" s="3" t="s">
        <v>8</v>
      </c>
      <c r="D366" s="3" t="s">
        <v>668</v>
      </c>
      <c r="E366" s="4">
        <v>0.95</v>
      </c>
      <c r="F366" s="5">
        <v>2.95</v>
      </c>
      <c r="G366" s="6">
        <v>284</v>
      </c>
      <c r="H366" s="6">
        <v>2.2999999999999998</v>
      </c>
      <c r="I366" s="21">
        <f t="shared" si="16"/>
        <v>1830.5930000000001</v>
      </c>
      <c r="J366" s="7" t="s">
        <v>669</v>
      </c>
      <c r="K366" s="17">
        <f t="shared" si="17"/>
        <v>12</v>
      </c>
    </row>
    <row r="367" spans="1:11" ht="13.95" customHeight="1" x14ac:dyDescent="0.3">
      <c r="A367" s="3"/>
      <c r="B367" s="3"/>
      <c r="C367" s="3"/>
      <c r="D367" s="3"/>
      <c r="E367" s="4"/>
      <c r="F367" s="5"/>
      <c r="G367" s="6"/>
      <c r="H367" s="6"/>
      <c r="I367" s="21"/>
      <c r="J367" s="7"/>
      <c r="K367" s="17"/>
    </row>
  </sheetData>
  <mergeCells count="1">
    <mergeCell ref="L1:N1"/>
  </mergeCells>
  <phoneticPr fontId="1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2FAC0-EDBD-4581-88DF-D363478C169D}">
  <dimension ref="A1:Q422"/>
  <sheetViews>
    <sheetView workbookViewId="0">
      <selection activeCell="L1" sqref="L1"/>
    </sheetView>
  </sheetViews>
  <sheetFormatPr baseColWidth="10" defaultRowHeight="14.4" x14ac:dyDescent="0.3"/>
  <cols>
    <col min="1" max="1" width="14.5546875" customWidth="1"/>
    <col min="2" max="2" width="18.21875" customWidth="1"/>
    <col min="4" max="4" width="25.6640625" customWidth="1"/>
    <col min="5" max="5" width="12.77734375" style="40" customWidth="1"/>
    <col min="6" max="6" width="11.5546875" style="8"/>
    <col min="7" max="7" width="11.5546875" style="46"/>
    <col min="8" max="8" width="11.5546875" style="36"/>
    <col min="9" max="9" width="14.109375" style="46" customWidth="1"/>
    <col min="10" max="10" width="38.109375" style="28" bestFit="1" customWidth="1"/>
    <col min="11" max="12" width="9.77734375" customWidth="1"/>
    <col min="13" max="13" width="13.33203125" customWidth="1"/>
    <col min="14" max="17" width="9.77734375" customWidth="1"/>
  </cols>
  <sheetData>
    <row r="1" spans="1:17" ht="28.2" thickBot="1" x14ac:dyDescent="0.35">
      <c r="A1" s="1" t="s">
        <v>333</v>
      </c>
      <c r="B1" s="34" t="s">
        <v>670</v>
      </c>
      <c r="C1" s="34" t="s">
        <v>0</v>
      </c>
      <c r="D1" s="34" t="s">
        <v>1</v>
      </c>
      <c r="E1" s="37" t="s">
        <v>2</v>
      </c>
      <c r="F1" s="41" t="s">
        <v>3</v>
      </c>
      <c r="G1" s="47" t="s">
        <v>359</v>
      </c>
      <c r="H1" s="35" t="s">
        <v>360</v>
      </c>
      <c r="I1" s="47" t="s">
        <v>361</v>
      </c>
      <c r="J1" s="27" t="s">
        <v>4</v>
      </c>
      <c r="L1">
        <f>RSQ(I:I,E:E)</f>
        <v>0.55751083821670688</v>
      </c>
    </row>
    <row r="2" spans="1:17" s="32" customFormat="1" ht="13.95" customHeight="1" thickBot="1" x14ac:dyDescent="0.35">
      <c r="A2" s="48">
        <v>45658</v>
      </c>
      <c r="B2" s="48" t="s">
        <v>890</v>
      </c>
      <c r="C2" s="48" t="s">
        <v>5</v>
      </c>
      <c r="D2" s="48" t="s">
        <v>735</v>
      </c>
      <c r="E2" s="39">
        <v>0.85</v>
      </c>
      <c r="F2" s="49">
        <v>3.3</v>
      </c>
      <c r="G2" s="21">
        <v>189</v>
      </c>
      <c r="H2" s="21">
        <v>2</v>
      </c>
      <c r="I2" s="21">
        <f t="shared" ref="I2" si="0">(G2*E2)*F2*H2</f>
        <v>1060.29</v>
      </c>
      <c r="J2" s="7" t="s">
        <v>773</v>
      </c>
      <c r="K2" s="17">
        <f>MONTH(A2)</f>
        <v>1</v>
      </c>
      <c r="L2" s="61" t="s">
        <v>309</v>
      </c>
      <c r="M2" s="61"/>
      <c r="N2" s="61"/>
      <c r="O2" s="9"/>
      <c r="P2" s="9"/>
      <c r="Q2" s="9"/>
    </row>
    <row r="3" spans="1:17" ht="13.95" customHeight="1" thickTop="1" thickBot="1" x14ac:dyDescent="0.35">
      <c r="A3" s="3">
        <v>45659</v>
      </c>
      <c r="B3" s="48" t="s">
        <v>890</v>
      </c>
      <c r="C3" s="3" t="s">
        <v>8</v>
      </c>
      <c r="D3" s="3" t="s">
        <v>44</v>
      </c>
      <c r="E3" s="4">
        <v>0.62</v>
      </c>
      <c r="F3" s="42">
        <v>1.95</v>
      </c>
      <c r="G3" s="6">
        <v>189</v>
      </c>
      <c r="H3" s="6">
        <v>2</v>
      </c>
      <c r="I3" s="6">
        <f t="shared" ref="I3:I33" si="1">(G3*E3)*F3*H3</f>
        <v>457.00199999999995</v>
      </c>
      <c r="J3" s="7" t="s">
        <v>774</v>
      </c>
      <c r="K3" s="17">
        <f t="shared" ref="K3:K66" si="2">MONTH(A3)</f>
        <v>1</v>
      </c>
      <c r="L3" s="10" t="s">
        <v>310</v>
      </c>
      <c r="M3" s="11" t="s">
        <v>311</v>
      </c>
      <c r="N3" s="12" t="s">
        <v>312</v>
      </c>
      <c r="O3" s="9"/>
      <c r="P3">
        <v>1</v>
      </c>
      <c r="Q3" t="s">
        <v>313</v>
      </c>
    </row>
    <row r="4" spans="1:17" ht="13.95" customHeight="1" thickTop="1" thickBot="1" x14ac:dyDescent="0.35">
      <c r="A4" s="3">
        <v>45660</v>
      </c>
      <c r="B4" s="48" t="s">
        <v>890</v>
      </c>
      <c r="C4" s="3" t="s">
        <v>11</v>
      </c>
      <c r="D4" s="3" t="s">
        <v>706</v>
      </c>
      <c r="E4" s="4">
        <v>0.65</v>
      </c>
      <c r="F4" s="42">
        <v>1.95</v>
      </c>
      <c r="G4" s="6">
        <v>189</v>
      </c>
      <c r="H4" s="6">
        <v>2</v>
      </c>
      <c r="I4" s="6">
        <f t="shared" si="1"/>
        <v>479.11500000000001</v>
      </c>
      <c r="J4" s="7" t="s">
        <v>770</v>
      </c>
      <c r="K4" s="17">
        <f t="shared" si="2"/>
        <v>1</v>
      </c>
      <c r="L4" s="13" t="s">
        <v>313</v>
      </c>
      <c r="M4" s="14">
        <f t="shared" ref="M4:M15" si="3">SUMIFS(I:I,K:K,P3)</f>
        <v>21965.95800000001</v>
      </c>
      <c r="N4" s="15">
        <f>M4*0.054</f>
        <v>1186.1617320000005</v>
      </c>
      <c r="O4" s="9"/>
      <c r="P4">
        <v>2</v>
      </c>
      <c r="Q4" t="s">
        <v>314</v>
      </c>
    </row>
    <row r="5" spans="1:17" ht="13.95" customHeight="1" thickTop="1" thickBot="1" x14ac:dyDescent="0.35">
      <c r="A5" s="3">
        <v>45661</v>
      </c>
      <c r="B5" s="48" t="s">
        <v>890</v>
      </c>
      <c r="C5" s="3" t="s">
        <v>13</v>
      </c>
      <c r="D5" s="3" t="s">
        <v>14</v>
      </c>
      <c r="E5" s="4">
        <v>0.72</v>
      </c>
      <c r="F5" s="42">
        <v>2.5499999999999998</v>
      </c>
      <c r="G5" s="6">
        <v>189</v>
      </c>
      <c r="H5" s="6">
        <v>2</v>
      </c>
      <c r="I5" s="6">
        <f t="shared" si="1"/>
        <v>694.00799999999992</v>
      </c>
      <c r="J5" s="7" t="s">
        <v>775</v>
      </c>
      <c r="K5" s="17">
        <f t="shared" si="2"/>
        <v>1</v>
      </c>
      <c r="L5" s="13" t="s">
        <v>314</v>
      </c>
      <c r="M5" s="14">
        <f t="shared" si="3"/>
        <v>21714.020999999997</v>
      </c>
      <c r="N5" s="15">
        <f t="shared" ref="N5:N15" si="4">M5*0.054</f>
        <v>1172.5571339999999</v>
      </c>
      <c r="O5" s="9"/>
      <c r="P5">
        <v>3</v>
      </c>
      <c r="Q5" t="s">
        <v>315</v>
      </c>
    </row>
    <row r="6" spans="1:17" ht="13.95" customHeight="1" thickTop="1" thickBot="1" x14ac:dyDescent="0.35">
      <c r="A6" s="3">
        <v>45662</v>
      </c>
      <c r="B6" s="48" t="s">
        <v>890</v>
      </c>
      <c r="C6" s="3" t="s">
        <v>16</v>
      </c>
      <c r="D6" s="3" t="s">
        <v>757</v>
      </c>
      <c r="E6" s="4">
        <v>0.84</v>
      </c>
      <c r="F6" s="42">
        <v>2.95</v>
      </c>
      <c r="G6" s="6">
        <v>189</v>
      </c>
      <c r="H6" s="6">
        <v>2</v>
      </c>
      <c r="I6" s="6">
        <f t="shared" si="1"/>
        <v>936.68399999999997</v>
      </c>
      <c r="J6" s="7" t="s">
        <v>745</v>
      </c>
      <c r="K6" s="17">
        <f t="shared" si="2"/>
        <v>1</v>
      </c>
      <c r="L6" s="13" t="s">
        <v>315</v>
      </c>
      <c r="M6" s="14">
        <f t="shared" si="3"/>
        <v>19296.522000000001</v>
      </c>
      <c r="N6" s="15">
        <f t="shared" si="4"/>
        <v>1042.0121879999999</v>
      </c>
      <c r="O6" s="9"/>
      <c r="P6">
        <v>4</v>
      </c>
      <c r="Q6" t="s">
        <v>316</v>
      </c>
    </row>
    <row r="7" spans="1:17" ht="13.95" customHeight="1" thickTop="1" thickBot="1" x14ac:dyDescent="0.35">
      <c r="A7" s="3">
        <v>45663</v>
      </c>
      <c r="B7" s="48" t="s">
        <v>890</v>
      </c>
      <c r="C7" s="3" t="s">
        <v>18</v>
      </c>
      <c r="D7" s="3" t="s">
        <v>706</v>
      </c>
      <c r="E7" s="4">
        <v>0.78</v>
      </c>
      <c r="F7" s="42">
        <v>2.15</v>
      </c>
      <c r="G7" s="6">
        <v>189</v>
      </c>
      <c r="H7" s="6">
        <v>2</v>
      </c>
      <c r="I7" s="6">
        <f t="shared" si="1"/>
        <v>633.90600000000006</v>
      </c>
      <c r="J7" s="7" t="s">
        <v>720</v>
      </c>
      <c r="K7" s="17">
        <f t="shared" si="2"/>
        <v>1</v>
      </c>
      <c r="L7" s="13" t="s">
        <v>316</v>
      </c>
      <c r="M7" s="14">
        <f t="shared" si="3"/>
        <v>22109.975999999999</v>
      </c>
      <c r="N7" s="15">
        <f t="shared" si="4"/>
        <v>1193.9387039999999</v>
      </c>
      <c r="O7" s="9"/>
      <c r="P7">
        <v>5</v>
      </c>
      <c r="Q7" t="s">
        <v>317</v>
      </c>
    </row>
    <row r="8" spans="1:17" ht="13.95" customHeight="1" thickTop="1" thickBot="1" x14ac:dyDescent="0.35">
      <c r="A8" s="3">
        <v>45664</v>
      </c>
      <c r="B8" s="48" t="s">
        <v>890</v>
      </c>
      <c r="C8" s="3" t="s">
        <v>20</v>
      </c>
      <c r="D8" s="3" t="s">
        <v>707</v>
      </c>
      <c r="E8" s="4">
        <v>0.88</v>
      </c>
      <c r="F8" s="42">
        <v>2.25</v>
      </c>
      <c r="G8" s="6">
        <v>189</v>
      </c>
      <c r="H8" s="6">
        <v>2</v>
      </c>
      <c r="I8" s="6">
        <f t="shared" si="1"/>
        <v>748.43999999999994</v>
      </c>
      <c r="J8" s="7" t="s">
        <v>776</v>
      </c>
      <c r="K8" s="17">
        <f t="shared" si="2"/>
        <v>1</v>
      </c>
      <c r="L8" s="13" t="s">
        <v>317</v>
      </c>
      <c r="M8" s="14">
        <f t="shared" si="3"/>
        <v>47483.981999999996</v>
      </c>
      <c r="N8" s="15">
        <f t="shared" si="4"/>
        <v>2564.1350279999997</v>
      </c>
      <c r="O8" s="9"/>
      <c r="P8">
        <v>6</v>
      </c>
      <c r="Q8" t="s">
        <v>318</v>
      </c>
    </row>
    <row r="9" spans="1:17" ht="13.95" customHeight="1" thickTop="1" thickBot="1" x14ac:dyDescent="0.35">
      <c r="A9" s="3">
        <v>45665</v>
      </c>
      <c r="B9" s="48" t="s">
        <v>890</v>
      </c>
      <c r="C9" s="3" t="s">
        <v>5</v>
      </c>
      <c r="D9" s="3" t="s">
        <v>706</v>
      </c>
      <c r="E9" s="4">
        <v>0.85</v>
      </c>
      <c r="F9" s="42">
        <v>2.2000000000000002</v>
      </c>
      <c r="G9" s="6">
        <v>189</v>
      </c>
      <c r="H9" s="6">
        <v>2</v>
      </c>
      <c r="I9" s="6">
        <f t="shared" si="1"/>
        <v>706.86000000000013</v>
      </c>
      <c r="J9" s="7" t="s">
        <v>71</v>
      </c>
      <c r="K9" s="17">
        <f t="shared" si="2"/>
        <v>1</v>
      </c>
      <c r="L9" s="13" t="s">
        <v>318</v>
      </c>
      <c r="M9" s="14">
        <f t="shared" si="3"/>
        <v>20913.227999999999</v>
      </c>
      <c r="N9" s="15">
        <f t="shared" si="4"/>
        <v>1129.314312</v>
      </c>
      <c r="O9" s="9"/>
      <c r="P9">
        <v>7</v>
      </c>
      <c r="Q9" t="s">
        <v>319</v>
      </c>
    </row>
    <row r="10" spans="1:17" ht="13.95" customHeight="1" thickTop="1" thickBot="1" x14ac:dyDescent="0.35">
      <c r="A10" s="3">
        <v>45666</v>
      </c>
      <c r="B10" s="48" t="s">
        <v>890</v>
      </c>
      <c r="C10" s="3" t="s">
        <v>8</v>
      </c>
      <c r="D10" s="3" t="s">
        <v>706</v>
      </c>
      <c r="E10" s="4">
        <v>0.8</v>
      </c>
      <c r="F10" s="42">
        <v>2.15</v>
      </c>
      <c r="G10" s="6">
        <v>189</v>
      </c>
      <c r="H10" s="6">
        <v>2</v>
      </c>
      <c r="I10" s="6">
        <f t="shared" si="1"/>
        <v>650.16000000000008</v>
      </c>
      <c r="J10" s="7" t="s">
        <v>71</v>
      </c>
      <c r="K10" s="17">
        <f t="shared" si="2"/>
        <v>1</v>
      </c>
      <c r="L10" s="13" t="s">
        <v>319</v>
      </c>
      <c r="M10" s="14">
        <f t="shared" si="3"/>
        <v>26366.633999999995</v>
      </c>
      <c r="N10" s="15">
        <f t="shared" si="4"/>
        <v>1423.7982359999996</v>
      </c>
      <c r="O10" s="9"/>
      <c r="P10">
        <v>8</v>
      </c>
      <c r="Q10" t="s">
        <v>320</v>
      </c>
    </row>
    <row r="11" spans="1:17" ht="13.95" customHeight="1" thickTop="1" thickBot="1" x14ac:dyDescent="0.35">
      <c r="A11" s="3">
        <v>45667</v>
      </c>
      <c r="B11" s="48" t="s">
        <v>890</v>
      </c>
      <c r="C11" s="3" t="s">
        <v>11</v>
      </c>
      <c r="D11" s="3" t="s">
        <v>44</v>
      </c>
      <c r="E11" s="4">
        <v>0.75</v>
      </c>
      <c r="F11" s="42">
        <v>2.1</v>
      </c>
      <c r="G11" s="6">
        <v>189</v>
      </c>
      <c r="H11" s="6">
        <v>2</v>
      </c>
      <c r="I11" s="6">
        <f t="shared" si="1"/>
        <v>595.35</v>
      </c>
      <c r="J11" s="7" t="s">
        <v>82</v>
      </c>
      <c r="K11" s="17">
        <f t="shared" si="2"/>
        <v>1</v>
      </c>
      <c r="L11" s="13" t="s">
        <v>320</v>
      </c>
      <c r="M11" s="14">
        <f t="shared" si="3"/>
        <v>27340.550999999999</v>
      </c>
      <c r="N11" s="15">
        <f t="shared" si="4"/>
        <v>1476.389754</v>
      </c>
      <c r="O11" s="9"/>
      <c r="P11">
        <v>9</v>
      </c>
      <c r="Q11" t="s">
        <v>321</v>
      </c>
    </row>
    <row r="12" spans="1:17" ht="13.95" customHeight="1" thickTop="1" thickBot="1" x14ac:dyDescent="0.35">
      <c r="A12" s="3">
        <v>45668</v>
      </c>
      <c r="B12" s="48" t="s">
        <v>890</v>
      </c>
      <c r="C12" s="3" t="s">
        <v>13</v>
      </c>
      <c r="D12" s="3" t="s">
        <v>14</v>
      </c>
      <c r="E12" s="4">
        <v>0.75</v>
      </c>
      <c r="F12" s="42">
        <v>2.65</v>
      </c>
      <c r="G12" s="6">
        <v>189</v>
      </c>
      <c r="H12" s="6">
        <v>2</v>
      </c>
      <c r="I12" s="6">
        <f t="shared" si="1"/>
        <v>751.27499999999998</v>
      </c>
      <c r="J12" s="7" t="s">
        <v>777</v>
      </c>
      <c r="K12" s="17">
        <f t="shared" si="2"/>
        <v>1</v>
      </c>
      <c r="L12" s="13" t="s">
        <v>321</v>
      </c>
      <c r="M12" s="14">
        <f t="shared" si="3"/>
        <v>22574.726999999999</v>
      </c>
      <c r="N12" s="15">
        <f t="shared" si="4"/>
        <v>1219.0352579999999</v>
      </c>
      <c r="O12" s="9"/>
      <c r="P12">
        <v>10</v>
      </c>
      <c r="Q12" t="s">
        <v>322</v>
      </c>
    </row>
    <row r="13" spans="1:17" ht="13.95" customHeight="1" thickTop="1" thickBot="1" x14ac:dyDescent="0.35">
      <c r="A13" s="3">
        <v>45669</v>
      </c>
      <c r="B13" s="48" t="s">
        <v>890</v>
      </c>
      <c r="C13" s="3" t="s">
        <v>16</v>
      </c>
      <c r="D13" s="3" t="s">
        <v>757</v>
      </c>
      <c r="E13" s="4">
        <v>0.9</v>
      </c>
      <c r="F13" s="42">
        <v>3.05</v>
      </c>
      <c r="G13" s="6">
        <v>189</v>
      </c>
      <c r="H13" s="6">
        <v>2</v>
      </c>
      <c r="I13" s="6">
        <f t="shared" si="1"/>
        <v>1037.6099999999999</v>
      </c>
      <c r="J13" s="7" t="s">
        <v>778</v>
      </c>
      <c r="K13" s="17">
        <f t="shared" si="2"/>
        <v>1</v>
      </c>
      <c r="L13" s="13" t="s">
        <v>322</v>
      </c>
      <c r="M13" s="14">
        <f t="shared" si="3"/>
        <v>23542.596000000001</v>
      </c>
      <c r="N13" s="15">
        <f t="shared" si="4"/>
        <v>1271.3001840000002</v>
      </c>
      <c r="O13" s="9"/>
      <c r="P13">
        <v>11</v>
      </c>
      <c r="Q13" t="s">
        <v>323</v>
      </c>
    </row>
    <row r="14" spans="1:17" ht="13.95" customHeight="1" thickTop="1" thickBot="1" x14ac:dyDescent="0.35">
      <c r="A14" s="3">
        <v>45670</v>
      </c>
      <c r="B14" s="48" t="s">
        <v>890</v>
      </c>
      <c r="C14" s="3" t="s">
        <v>18</v>
      </c>
      <c r="D14" s="3" t="s">
        <v>706</v>
      </c>
      <c r="E14" s="4">
        <v>0.78</v>
      </c>
      <c r="F14" s="42">
        <v>2.15</v>
      </c>
      <c r="G14" s="6">
        <v>189</v>
      </c>
      <c r="H14" s="6">
        <v>2</v>
      </c>
      <c r="I14" s="6">
        <f t="shared" si="1"/>
        <v>633.90600000000006</v>
      </c>
      <c r="J14" s="7" t="s">
        <v>65</v>
      </c>
      <c r="K14" s="17">
        <f t="shared" si="2"/>
        <v>1</v>
      </c>
      <c r="L14" s="13" t="s">
        <v>323</v>
      </c>
      <c r="M14" s="14">
        <f t="shared" si="3"/>
        <v>23022.279000000002</v>
      </c>
      <c r="N14" s="15">
        <f t="shared" si="4"/>
        <v>1243.203066</v>
      </c>
      <c r="O14" s="9"/>
      <c r="P14">
        <v>12</v>
      </c>
      <c r="Q14" t="s">
        <v>324</v>
      </c>
    </row>
    <row r="15" spans="1:17" ht="13.95" customHeight="1" thickTop="1" thickBot="1" x14ac:dyDescent="0.35">
      <c r="A15" s="3">
        <v>45671</v>
      </c>
      <c r="B15" s="48" t="s">
        <v>890</v>
      </c>
      <c r="C15" s="3" t="s">
        <v>20</v>
      </c>
      <c r="D15" s="3" t="s">
        <v>6</v>
      </c>
      <c r="E15" s="4">
        <v>0.55000000000000004</v>
      </c>
      <c r="F15" s="42">
        <v>2.2999999999999998</v>
      </c>
      <c r="G15" s="6">
        <v>189</v>
      </c>
      <c r="H15" s="6">
        <v>2</v>
      </c>
      <c r="I15" s="6">
        <f t="shared" si="1"/>
        <v>478.16999999999996</v>
      </c>
      <c r="J15" s="7" t="s">
        <v>779</v>
      </c>
      <c r="K15" s="17">
        <f t="shared" si="2"/>
        <v>1</v>
      </c>
      <c r="L15" s="13" t="s">
        <v>324</v>
      </c>
      <c r="M15" s="14">
        <f t="shared" si="3"/>
        <v>26040.798000000003</v>
      </c>
      <c r="N15" s="15">
        <f t="shared" si="4"/>
        <v>1406.2030920000002</v>
      </c>
      <c r="O15" s="9"/>
      <c r="P15" s="9"/>
      <c r="Q15" s="9"/>
    </row>
    <row r="16" spans="1:17" ht="13.95" customHeight="1" thickTop="1" thickBot="1" x14ac:dyDescent="0.4">
      <c r="A16" s="3">
        <v>45672</v>
      </c>
      <c r="B16" s="48" t="s">
        <v>890</v>
      </c>
      <c r="C16" s="3" t="s">
        <v>5</v>
      </c>
      <c r="D16" s="3" t="s">
        <v>706</v>
      </c>
      <c r="E16" s="4">
        <v>0.82</v>
      </c>
      <c r="F16" s="42">
        <v>2.2000000000000002</v>
      </c>
      <c r="G16" s="6">
        <v>189</v>
      </c>
      <c r="H16" s="6">
        <v>2</v>
      </c>
      <c r="I16" s="6">
        <f t="shared" si="1"/>
        <v>681.91200000000003</v>
      </c>
      <c r="J16" s="7" t="s">
        <v>713</v>
      </c>
      <c r="K16" s="17">
        <f t="shared" si="2"/>
        <v>1</v>
      </c>
      <c r="L16" s="10" t="s">
        <v>325</v>
      </c>
      <c r="M16" s="16">
        <f>SUM(M4:M15)</f>
        <v>302371.272</v>
      </c>
      <c r="N16" s="16">
        <f>SUM(N4:N15)</f>
        <v>16328.048687999997</v>
      </c>
      <c r="O16" s="9"/>
      <c r="P16" s="9"/>
      <c r="Q16" s="9"/>
    </row>
    <row r="17" spans="1:11" ht="13.95" customHeight="1" thickTop="1" x14ac:dyDescent="0.3">
      <c r="A17" s="3">
        <v>45673</v>
      </c>
      <c r="B17" s="48" t="s">
        <v>890</v>
      </c>
      <c r="C17" s="3" t="s">
        <v>8</v>
      </c>
      <c r="D17" s="3" t="s">
        <v>706</v>
      </c>
      <c r="E17" s="4">
        <v>0.8</v>
      </c>
      <c r="F17" s="42">
        <v>2.15</v>
      </c>
      <c r="G17" s="6">
        <v>189</v>
      </c>
      <c r="H17" s="6">
        <v>2</v>
      </c>
      <c r="I17" s="6">
        <f t="shared" si="1"/>
        <v>650.16000000000008</v>
      </c>
      <c r="J17" s="7" t="s">
        <v>71</v>
      </c>
      <c r="K17" s="17">
        <f t="shared" si="2"/>
        <v>1</v>
      </c>
    </row>
    <row r="18" spans="1:11" ht="13.95" customHeight="1" x14ac:dyDescent="0.3">
      <c r="A18" s="3">
        <v>45674</v>
      </c>
      <c r="B18" s="48" t="s">
        <v>890</v>
      </c>
      <c r="C18" s="3" t="s">
        <v>11</v>
      </c>
      <c r="D18" s="3" t="s">
        <v>44</v>
      </c>
      <c r="E18" s="4">
        <v>0.75</v>
      </c>
      <c r="F18" s="42">
        <v>2.15</v>
      </c>
      <c r="G18" s="6">
        <v>189</v>
      </c>
      <c r="H18" s="6">
        <v>2</v>
      </c>
      <c r="I18" s="6">
        <f t="shared" si="1"/>
        <v>609.52499999999998</v>
      </c>
      <c r="J18" s="7" t="s">
        <v>540</v>
      </c>
      <c r="K18" s="17">
        <f t="shared" si="2"/>
        <v>1</v>
      </c>
    </row>
    <row r="19" spans="1:11" ht="13.95" customHeight="1" x14ac:dyDescent="0.3">
      <c r="A19" s="3">
        <v>45675</v>
      </c>
      <c r="B19" s="48" t="s">
        <v>890</v>
      </c>
      <c r="C19" s="3" t="s">
        <v>13</v>
      </c>
      <c r="D19" s="3" t="s">
        <v>14</v>
      </c>
      <c r="E19" s="4">
        <v>0.72</v>
      </c>
      <c r="F19" s="42">
        <v>2.6</v>
      </c>
      <c r="G19" s="6">
        <v>189</v>
      </c>
      <c r="H19" s="6">
        <v>2</v>
      </c>
      <c r="I19" s="6">
        <f t="shared" si="1"/>
        <v>707.61599999999999</v>
      </c>
      <c r="J19" s="7" t="s">
        <v>780</v>
      </c>
      <c r="K19" s="17">
        <f t="shared" si="2"/>
        <v>1</v>
      </c>
    </row>
    <row r="20" spans="1:11" ht="13.95" customHeight="1" x14ac:dyDescent="0.3">
      <c r="A20" s="3">
        <v>45676</v>
      </c>
      <c r="B20" s="48" t="s">
        <v>890</v>
      </c>
      <c r="C20" s="3" t="s">
        <v>16</v>
      </c>
      <c r="D20" s="3" t="s">
        <v>757</v>
      </c>
      <c r="E20" s="4">
        <v>0.86</v>
      </c>
      <c r="F20" s="42">
        <v>2.95</v>
      </c>
      <c r="G20" s="6">
        <v>189</v>
      </c>
      <c r="H20" s="6">
        <v>2</v>
      </c>
      <c r="I20" s="6">
        <f t="shared" si="1"/>
        <v>958.98599999999999</v>
      </c>
      <c r="J20" s="7" t="s">
        <v>781</v>
      </c>
      <c r="K20" s="17">
        <f t="shared" si="2"/>
        <v>1</v>
      </c>
    </row>
    <row r="21" spans="1:11" ht="13.95" customHeight="1" x14ac:dyDescent="0.3">
      <c r="A21" s="3">
        <v>45677</v>
      </c>
      <c r="B21" s="48" t="s">
        <v>890</v>
      </c>
      <c r="C21" s="3" t="s">
        <v>18</v>
      </c>
      <c r="D21" s="3" t="s">
        <v>706</v>
      </c>
      <c r="E21" s="4">
        <v>0.8</v>
      </c>
      <c r="F21" s="42">
        <v>2.15</v>
      </c>
      <c r="G21" s="6">
        <v>189</v>
      </c>
      <c r="H21" s="6">
        <v>2</v>
      </c>
      <c r="I21" s="6">
        <f t="shared" si="1"/>
        <v>650.16000000000008</v>
      </c>
      <c r="J21" s="7" t="s">
        <v>722</v>
      </c>
      <c r="K21" s="17">
        <f t="shared" si="2"/>
        <v>1</v>
      </c>
    </row>
    <row r="22" spans="1:11" ht="13.95" customHeight="1" x14ac:dyDescent="0.3">
      <c r="A22" s="3">
        <v>45678</v>
      </c>
      <c r="B22" s="48" t="s">
        <v>890</v>
      </c>
      <c r="C22" s="3" t="s">
        <v>20</v>
      </c>
      <c r="D22" s="3" t="s">
        <v>707</v>
      </c>
      <c r="E22" s="4">
        <v>0.9</v>
      </c>
      <c r="F22" s="42">
        <v>2.25</v>
      </c>
      <c r="G22" s="6">
        <v>189</v>
      </c>
      <c r="H22" s="6">
        <v>2</v>
      </c>
      <c r="I22" s="6">
        <f t="shared" si="1"/>
        <v>765.44999999999993</v>
      </c>
      <c r="J22" s="7" t="s">
        <v>771</v>
      </c>
      <c r="K22" s="17">
        <f t="shared" si="2"/>
        <v>1</v>
      </c>
    </row>
    <row r="23" spans="1:11" ht="13.95" customHeight="1" x14ac:dyDescent="0.3">
      <c r="A23" s="3">
        <v>45679</v>
      </c>
      <c r="B23" s="48" t="s">
        <v>890</v>
      </c>
      <c r="C23" s="3" t="s">
        <v>5</v>
      </c>
      <c r="D23" s="3" t="s">
        <v>706</v>
      </c>
      <c r="E23" s="4">
        <v>0.85</v>
      </c>
      <c r="F23" s="42">
        <v>2.2000000000000002</v>
      </c>
      <c r="G23" s="6">
        <v>189</v>
      </c>
      <c r="H23" s="6">
        <v>2</v>
      </c>
      <c r="I23" s="6">
        <f t="shared" si="1"/>
        <v>706.86000000000013</v>
      </c>
      <c r="J23" s="7" t="s">
        <v>71</v>
      </c>
      <c r="K23" s="17">
        <f t="shared" si="2"/>
        <v>1</v>
      </c>
    </row>
    <row r="24" spans="1:11" ht="13.95" customHeight="1" x14ac:dyDescent="0.3">
      <c r="A24" s="3">
        <v>45680</v>
      </c>
      <c r="B24" s="48" t="s">
        <v>890</v>
      </c>
      <c r="C24" s="3" t="s">
        <v>8</v>
      </c>
      <c r="D24" s="3" t="s">
        <v>706</v>
      </c>
      <c r="E24" s="4">
        <v>0.82</v>
      </c>
      <c r="F24" s="42">
        <v>2.15</v>
      </c>
      <c r="G24" s="6">
        <v>189</v>
      </c>
      <c r="H24" s="6">
        <v>2</v>
      </c>
      <c r="I24" s="6">
        <f t="shared" si="1"/>
        <v>666.41399999999987</v>
      </c>
      <c r="J24" s="7" t="s">
        <v>71</v>
      </c>
      <c r="K24" s="17">
        <f t="shared" si="2"/>
        <v>1</v>
      </c>
    </row>
    <row r="25" spans="1:11" ht="13.95" customHeight="1" x14ac:dyDescent="0.3">
      <c r="A25" s="3">
        <v>45681</v>
      </c>
      <c r="B25" s="48" t="s">
        <v>890</v>
      </c>
      <c r="C25" s="3" t="s">
        <v>11</v>
      </c>
      <c r="D25" s="3" t="s">
        <v>44</v>
      </c>
      <c r="E25" s="4">
        <v>0.78</v>
      </c>
      <c r="F25" s="42">
        <v>2.1</v>
      </c>
      <c r="G25" s="6">
        <v>189</v>
      </c>
      <c r="H25" s="6">
        <v>2</v>
      </c>
      <c r="I25" s="6">
        <f t="shared" si="1"/>
        <v>619.1640000000001</v>
      </c>
      <c r="J25" s="7" t="s">
        <v>70</v>
      </c>
      <c r="K25" s="17">
        <f t="shared" si="2"/>
        <v>1</v>
      </c>
    </row>
    <row r="26" spans="1:11" ht="13.95" customHeight="1" x14ac:dyDescent="0.3">
      <c r="A26" s="3">
        <v>45682</v>
      </c>
      <c r="B26" s="48" t="s">
        <v>890</v>
      </c>
      <c r="C26" s="3" t="s">
        <v>13</v>
      </c>
      <c r="D26" s="3" t="s">
        <v>14</v>
      </c>
      <c r="E26" s="4">
        <v>0.75</v>
      </c>
      <c r="F26" s="42">
        <v>2.7</v>
      </c>
      <c r="G26" s="6">
        <v>189</v>
      </c>
      <c r="H26" s="6">
        <v>2</v>
      </c>
      <c r="I26" s="6">
        <f t="shared" si="1"/>
        <v>765.45</v>
      </c>
      <c r="J26" s="7" t="s">
        <v>739</v>
      </c>
      <c r="K26" s="17">
        <f t="shared" si="2"/>
        <v>1</v>
      </c>
    </row>
    <row r="27" spans="1:11" ht="13.95" customHeight="1" x14ac:dyDescent="0.3">
      <c r="A27" s="3">
        <v>45683</v>
      </c>
      <c r="B27" s="48" t="s">
        <v>890</v>
      </c>
      <c r="C27" s="3" t="s">
        <v>16</v>
      </c>
      <c r="D27" s="3" t="s">
        <v>757</v>
      </c>
      <c r="E27" s="4">
        <v>0.92</v>
      </c>
      <c r="F27" s="42">
        <v>3.1</v>
      </c>
      <c r="G27" s="6">
        <v>189</v>
      </c>
      <c r="H27" s="6">
        <v>2</v>
      </c>
      <c r="I27" s="6">
        <f t="shared" si="1"/>
        <v>1078.056</v>
      </c>
      <c r="J27" s="7" t="s">
        <v>782</v>
      </c>
      <c r="K27" s="17">
        <f t="shared" si="2"/>
        <v>1</v>
      </c>
    </row>
    <row r="28" spans="1:11" ht="13.95" customHeight="1" x14ac:dyDescent="0.3">
      <c r="A28" s="3">
        <v>45684</v>
      </c>
      <c r="B28" s="48" t="s">
        <v>890</v>
      </c>
      <c r="C28" s="3" t="s">
        <v>18</v>
      </c>
      <c r="D28" s="3" t="s">
        <v>706</v>
      </c>
      <c r="E28" s="4">
        <v>0.78</v>
      </c>
      <c r="F28" s="42">
        <v>2.15</v>
      </c>
      <c r="G28" s="6">
        <v>189</v>
      </c>
      <c r="H28" s="6">
        <v>2</v>
      </c>
      <c r="I28" s="6">
        <f t="shared" si="1"/>
        <v>633.90600000000006</v>
      </c>
      <c r="J28" s="7" t="s">
        <v>783</v>
      </c>
      <c r="K28" s="17">
        <f t="shared" si="2"/>
        <v>1</v>
      </c>
    </row>
    <row r="29" spans="1:11" ht="13.95" customHeight="1" x14ac:dyDescent="0.3">
      <c r="A29" s="3">
        <v>45685</v>
      </c>
      <c r="B29" s="48" t="s">
        <v>890</v>
      </c>
      <c r="C29" s="3" t="s">
        <v>20</v>
      </c>
      <c r="D29" s="3" t="s">
        <v>706</v>
      </c>
      <c r="E29" s="4">
        <v>0.84</v>
      </c>
      <c r="F29" s="42">
        <v>2.2000000000000002</v>
      </c>
      <c r="G29" s="6">
        <v>189</v>
      </c>
      <c r="H29" s="6">
        <v>2</v>
      </c>
      <c r="I29" s="6">
        <f t="shared" si="1"/>
        <v>698.54399999999998</v>
      </c>
      <c r="J29" s="7" t="s">
        <v>71</v>
      </c>
      <c r="K29" s="17">
        <f t="shared" si="2"/>
        <v>1</v>
      </c>
    </row>
    <row r="30" spans="1:11" ht="13.95" customHeight="1" x14ac:dyDescent="0.3">
      <c r="A30" s="3">
        <v>45686</v>
      </c>
      <c r="B30" s="48" t="s">
        <v>890</v>
      </c>
      <c r="C30" s="3" t="s">
        <v>5</v>
      </c>
      <c r="D30" s="3" t="s">
        <v>706</v>
      </c>
      <c r="E30" s="4">
        <v>0.82</v>
      </c>
      <c r="F30" s="42">
        <v>2.15</v>
      </c>
      <c r="G30" s="6">
        <v>189</v>
      </c>
      <c r="H30" s="6">
        <v>2</v>
      </c>
      <c r="I30" s="6">
        <f t="shared" si="1"/>
        <v>666.41399999999987</v>
      </c>
      <c r="J30" s="7" t="s">
        <v>71</v>
      </c>
      <c r="K30" s="17">
        <f t="shared" si="2"/>
        <v>1</v>
      </c>
    </row>
    <row r="31" spans="1:11" ht="13.95" customHeight="1" x14ac:dyDescent="0.3">
      <c r="A31" s="3">
        <v>45687</v>
      </c>
      <c r="B31" s="48" t="s">
        <v>890</v>
      </c>
      <c r="C31" s="3" t="s">
        <v>8</v>
      </c>
      <c r="D31" s="3" t="s">
        <v>706</v>
      </c>
      <c r="E31" s="4">
        <v>0.8</v>
      </c>
      <c r="F31" s="42">
        <v>2.1</v>
      </c>
      <c r="G31" s="6">
        <v>189</v>
      </c>
      <c r="H31" s="6">
        <v>2</v>
      </c>
      <c r="I31" s="6">
        <f t="shared" si="1"/>
        <v>635.04000000000008</v>
      </c>
      <c r="J31" s="7" t="s">
        <v>71</v>
      </c>
      <c r="K31" s="17">
        <f t="shared" si="2"/>
        <v>1</v>
      </c>
    </row>
    <row r="32" spans="1:11" ht="13.95" customHeight="1" x14ac:dyDescent="0.3">
      <c r="A32" s="3">
        <v>45688</v>
      </c>
      <c r="B32" s="48" t="s">
        <v>890</v>
      </c>
      <c r="C32" s="3" t="s">
        <v>11</v>
      </c>
      <c r="D32" s="3" t="s">
        <v>44</v>
      </c>
      <c r="E32" s="4">
        <v>0.75</v>
      </c>
      <c r="F32" s="42">
        <v>2.15</v>
      </c>
      <c r="G32" s="6">
        <v>189</v>
      </c>
      <c r="H32" s="6">
        <v>2</v>
      </c>
      <c r="I32" s="6">
        <f t="shared" si="1"/>
        <v>609.52499999999998</v>
      </c>
      <c r="J32" s="7" t="s">
        <v>99</v>
      </c>
      <c r="K32" s="17">
        <f t="shared" si="2"/>
        <v>1</v>
      </c>
    </row>
    <row r="33" spans="1:11" ht="13.95" customHeight="1" x14ac:dyDescent="0.3">
      <c r="A33" s="3">
        <v>45689</v>
      </c>
      <c r="B33" s="48" t="s">
        <v>890</v>
      </c>
      <c r="C33" s="3" t="s">
        <v>13</v>
      </c>
      <c r="D33" s="3" t="s">
        <v>14</v>
      </c>
      <c r="E33" s="4">
        <v>0.75</v>
      </c>
      <c r="F33" s="42">
        <v>2.65</v>
      </c>
      <c r="G33" s="6">
        <v>189</v>
      </c>
      <c r="H33" s="6">
        <v>2</v>
      </c>
      <c r="I33" s="6">
        <f t="shared" si="1"/>
        <v>751.27499999999998</v>
      </c>
      <c r="J33" s="7" t="s">
        <v>775</v>
      </c>
      <c r="K33" s="17">
        <f t="shared" si="2"/>
        <v>2</v>
      </c>
    </row>
    <row r="34" spans="1:11" ht="13.95" customHeight="1" x14ac:dyDescent="0.3">
      <c r="A34" s="3">
        <v>45690</v>
      </c>
      <c r="B34" s="48" t="s">
        <v>890</v>
      </c>
      <c r="C34" s="3" t="s">
        <v>16</v>
      </c>
      <c r="D34" s="3" t="s">
        <v>757</v>
      </c>
      <c r="E34" s="4">
        <v>0.88</v>
      </c>
      <c r="F34" s="42">
        <v>3</v>
      </c>
      <c r="G34" s="6">
        <v>189</v>
      </c>
      <c r="H34" s="6">
        <v>2</v>
      </c>
      <c r="I34" s="6">
        <f t="shared" ref="I34:I97" si="5">(G34*E34)*F34*H34</f>
        <v>997.92</v>
      </c>
      <c r="J34" s="7" t="s">
        <v>745</v>
      </c>
      <c r="K34" s="17">
        <f t="shared" si="2"/>
        <v>2</v>
      </c>
    </row>
    <row r="35" spans="1:11" ht="13.95" customHeight="1" x14ac:dyDescent="0.3">
      <c r="A35" s="3">
        <v>45691</v>
      </c>
      <c r="B35" s="48" t="s">
        <v>890</v>
      </c>
      <c r="C35" s="3" t="s">
        <v>18</v>
      </c>
      <c r="D35" s="3" t="s">
        <v>706</v>
      </c>
      <c r="E35" s="4">
        <v>0.8</v>
      </c>
      <c r="F35" s="42">
        <v>2.2000000000000002</v>
      </c>
      <c r="G35" s="6">
        <v>189</v>
      </c>
      <c r="H35" s="6">
        <v>2</v>
      </c>
      <c r="I35" s="6">
        <f t="shared" si="5"/>
        <v>665.28000000000009</v>
      </c>
      <c r="J35" s="7" t="s">
        <v>784</v>
      </c>
      <c r="K35" s="17">
        <f t="shared" si="2"/>
        <v>2</v>
      </c>
    </row>
    <row r="36" spans="1:11" ht="13.95" customHeight="1" x14ac:dyDescent="0.3">
      <c r="A36" s="3">
        <v>45692</v>
      </c>
      <c r="B36" s="48" t="s">
        <v>890</v>
      </c>
      <c r="C36" s="3" t="s">
        <v>20</v>
      </c>
      <c r="D36" s="3" t="s">
        <v>707</v>
      </c>
      <c r="E36" s="4">
        <v>0.9</v>
      </c>
      <c r="F36" s="42">
        <v>2.2999999999999998</v>
      </c>
      <c r="G36" s="6">
        <v>189</v>
      </c>
      <c r="H36" s="6">
        <v>2</v>
      </c>
      <c r="I36" s="6">
        <f t="shared" si="5"/>
        <v>782.45999999999992</v>
      </c>
      <c r="J36" s="7" t="s">
        <v>771</v>
      </c>
      <c r="K36" s="17">
        <f t="shared" si="2"/>
        <v>2</v>
      </c>
    </row>
    <row r="37" spans="1:11" ht="13.95" customHeight="1" x14ac:dyDescent="0.3">
      <c r="A37" s="3">
        <v>45693</v>
      </c>
      <c r="B37" s="48" t="s">
        <v>890</v>
      </c>
      <c r="C37" s="3" t="s">
        <v>5</v>
      </c>
      <c r="D37" s="3" t="s">
        <v>706</v>
      </c>
      <c r="E37" s="4">
        <v>0.86</v>
      </c>
      <c r="F37" s="42">
        <v>2.25</v>
      </c>
      <c r="G37" s="6">
        <v>189</v>
      </c>
      <c r="H37" s="6">
        <v>2</v>
      </c>
      <c r="I37" s="6">
        <f t="shared" si="5"/>
        <v>731.43</v>
      </c>
      <c r="J37" s="7" t="s">
        <v>776</v>
      </c>
      <c r="K37" s="17">
        <f t="shared" si="2"/>
        <v>2</v>
      </c>
    </row>
    <row r="38" spans="1:11" ht="13.95" customHeight="1" x14ac:dyDescent="0.3">
      <c r="A38" s="3">
        <v>45694</v>
      </c>
      <c r="B38" s="48" t="s">
        <v>890</v>
      </c>
      <c r="C38" s="3" t="s">
        <v>8</v>
      </c>
      <c r="D38" s="3" t="s">
        <v>706</v>
      </c>
      <c r="E38" s="4">
        <v>0.82</v>
      </c>
      <c r="F38" s="42">
        <v>2.2000000000000002</v>
      </c>
      <c r="G38" s="6">
        <v>189</v>
      </c>
      <c r="H38" s="6">
        <v>2</v>
      </c>
      <c r="I38" s="6">
        <f t="shared" si="5"/>
        <v>681.91200000000003</v>
      </c>
      <c r="J38" s="7" t="s">
        <v>71</v>
      </c>
      <c r="K38" s="17">
        <f t="shared" si="2"/>
        <v>2</v>
      </c>
    </row>
    <row r="39" spans="1:11" ht="13.95" customHeight="1" x14ac:dyDescent="0.3">
      <c r="A39" s="3">
        <v>45695</v>
      </c>
      <c r="B39" s="48" t="s">
        <v>890</v>
      </c>
      <c r="C39" s="3" t="s">
        <v>11</v>
      </c>
      <c r="D39" s="3" t="s">
        <v>44</v>
      </c>
      <c r="E39" s="4">
        <v>0.78</v>
      </c>
      <c r="F39" s="42">
        <v>2.15</v>
      </c>
      <c r="G39" s="6">
        <v>189</v>
      </c>
      <c r="H39" s="6">
        <v>2</v>
      </c>
      <c r="I39" s="6">
        <f t="shared" si="5"/>
        <v>633.90600000000006</v>
      </c>
      <c r="J39" s="7" t="s">
        <v>485</v>
      </c>
      <c r="K39" s="17">
        <f t="shared" si="2"/>
        <v>2</v>
      </c>
    </row>
    <row r="40" spans="1:11" ht="13.95" customHeight="1" x14ac:dyDescent="0.3">
      <c r="A40" s="3">
        <v>45696</v>
      </c>
      <c r="B40" s="48" t="s">
        <v>890</v>
      </c>
      <c r="C40" s="3" t="s">
        <v>13</v>
      </c>
      <c r="D40" s="3" t="s">
        <v>14</v>
      </c>
      <c r="E40" s="4">
        <v>0.75</v>
      </c>
      <c r="F40" s="42">
        <v>2.7</v>
      </c>
      <c r="G40" s="6">
        <v>189</v>
      </c>
      <c r="H40" s="6">
        <v>2</v>
      </c>
      <c r="I40" s="6">
        <f t="shared" si="5"/>
        <v>765.45</v>
      </c>
      <c r="J40" s="7" t="s">
        <v>739</v>
      </c>
      <c r="K40" s="17">
        <f t="shared" si="2"/>
        <v>2</v>
      </c>
    </row>
    <row r="41" spans="1:11" ht="13.95" customHeight="1" x14ac:dyDescent="0.3">
      <c r="A41" s="3">
        <v>45697</v>
      </c>
      <c r="B41" s="48" t="s">
        <v>890</v>
      </c>
      <c r="C41" s="3" t="s">
        <v>16</v>
      </c>
      <c r="D41" s="3" t="s">
        <v>757</v>
      </c>
      <c r="E41" s="4">
        <v>0.85</v>
      </c>
      <c r="F41" s="42">
        <v>3</v>
      </c>
      <c r="G41" s="6">
        <v>189</v>
      </c>
      <c r="H41" s="6">
        <v>2</v>
      </c>
      <c r="I41" s="6">
        <f t="shared" si="5"/>
        <v>963.90000000000009</v>
      </c>
      <c r="J41" s="7" t="s">
        <v>238</v>
      </c>
      <c r="K41" s="17">
        <f t="shared" si="2"/>
        <v>2</v>
      </c>
    </row>
    <row r="42" spans="1:11" ht="13.95" customHeight="1" x14ac:dyDescent="0.3">
      <c r="A42" s="3">
        <v>45698</v>
      </c>
      <c r="B42" s="48" t="s">
        <v>890</v>
      </c>
      <c r="C42" s="3" t="s">
        <v>18</v>
      </c>
      <c r="D42" s="3" t="s">
        <v>706</v>
      </c>
      <c r="E42" s="4">
        <v>0.82</v>
      </c>
      <c r="F42" s="42">
        <v>2.2000000000000002</v>
      </c>
      <c r="G42" s="6">
        <v>189</v>
      </c>
      <c r="H42" s="6">
        <v>2</v>
      </c>
      <c r="I42" s="6">
        <f t="shared" si="5"/>
        <v>681.91200000000003</v>
      </c>
      <c r="J42" s="7" t="s">
        <v>65</v>
      </c>
      <c r="K42" s="17">
        <f t="shared" si="2"/>
        <v>2</v>
      </c>
    </row>
    <row r="43" spans="1:11" ht="13.95" customHeight="1" x14ac:dyDescent="0.3">
      <c r="A43" s="3">
        <v>45699</v>
      </c>
      <c r="B43" s="48" t="s">
        <v>890</v>
      </c>
      <c r="C43" s="3" t="s">
        <v>20</v>
      </c>
      <c r="D43" s="3" t="s">
        <v>706</v>
      </c>
      <c r="E43" s="4">
        <v>0.85</v>
      </c>
      <c r="F43" s="42">
        <v>2.25</v>
      </c>
      <c r="G43" s="6">
        <v>189</v>
      </c>
      <c r="H43" s="6">
        <v>2</v>
      </c>
      <c r="I43" s="6">
        <f t="shared" si="5"/>
        <v>722.92500000000007</v>
      </c>
      <c r="J43" s="7" t="s">
        <v>71</v>
      </c>
      <c r="K43" s="17">
        <f t="shared" si="2"/>
        <v>2</v>
      </c>
    </row>
    <row r="44" spans="1:11" ht="13.95" customHeight="1" x14ac:dyDescent="0.3">
      <c r="A44" s="3">
        <v>45700</v>
      </c>
      <c r="B44" s="48" t="s">
        <v>890</v>
      </c>
      <c r="C44" s="3" t="s">
        <v>5</v>
      </c>
      <c r="D44" s="3" t="s">
        <v>706</v>
      </c>
      <c r="E44" s="4">
        <v>0.82</v>
      </c>
      <c r="F44" s="42">
        <v>2.2000000000000002</v>
      </c>
      <c r="G44" s="6">
        <v>189</v>
      </c>
      <c r="H44" s="6">
        <v>2</v>
      </c>
      <c r="I44" s="6">
        <f t="shared" si="5"/>
        <v>681.91200000000003</v>
      </c>
      <c r="J44" s="7" t="s">
        <v>785</v>
      </c>
      <c r="K44" s="17">
        <f t="shared" si="2"/>
        <v>2</v>
      </c>
    </row>
    <row r="45" spans="1:11" ht="13.95" customHeight="1" x14ac:dyDescent="0.3">
      <c r="A45" s="3">
        <v>45701</v>
      </c>
      <c r="B45" s="48" t="s">
        <v>890</v>
      </c>
      <c r="C45" s="3" t="s">
        <v>8</v>
      </c>
      <c r="D45" s="3" t="s">
        <v>706</v>
      </c>
      <c r="E45" s="4">
        <v>0.8</v>
      </c>
      <c r="F45" s="42">
        <v>2.2999999999999998</v>
      </c>
      <c r="G45" s="6">
        <v>189</v>
      </c>
      <c r="H45" s="6">
        <v>2</v>
      </c>
      <c r="I45" s="6">
        <f t="shared" si="5"/>
        <v>695.52</v>
      </c>
      <c r="J45" s="7" t="s">
        <v>786</v>
      </c>
      <c r="K45" s="17">
        <f t="shared" si="2"/>
        <v>2</v>
      </c>
    </row>
    <row r="46" spans="1:11" ht="13.95" customHeight="1" x14ac:dyDescent="0.3">
      <c r="A46" s="3">
        <v>45702</v>
      </c>
      <c r="B46" s="48" t="s">
        <v>890</v>
      </c>
      <c r="C46" s="3" t="s">
        <v>11</v>
      </c>
      <c r="D46" s="3" t="s">
        <v>557</v>
      </c>
      <c r="E46" s="4">
        <v>0.95</v>
      </c>
      <c r="F46" s="42">
        <v>3.4</v>
      </c>
      <c r="G46" s="6">
        <v>189</v>
      </c>
      <c r="H46" s="6">
        <v>2</v>
      </c>
      <c r="I46" s="6">
        <f t="shared" si="5"/>
        <v>1220.9399999999998</v>
      </c>
      <c r="J46" s="7" t="s">
        <v>787</v>
      </c>
      <c r="K46" s="17">
        <f t="shared" si="2"/>
        <v>2</v>
      </c>
    </row>
    <row r="47" spans="1:11" ht="13.95" customHeight="1" x14ac:dyDescent="0.3">
      <c r="A47" s="3">
        <v>45703</v>
      </c>
      <c r="B47" s="48" t="s">
        <v>890</v>
      </c>
      <c r="C47" s="3" t="s">
        <v>13</v>
      </c>
      <c r="D47" s="3" t="s">
        <v>14</v>
      </c>
      <c r="E47" s="4">
        <v>0.92</v>
      </c>
      <c r="F47" s="42">
        <v>2.9</v>
      </c>
      <c r="G47" s="6">
        <v>189</v>
      </c>
      <c r="H47" s="6">
        <v>2</v>
      </c>
      <c r="I47" s="6">
        <f t="shared" si="5"/>
        <v>1008.5039999999999</v>
      </c>
      <c r="J47" s="7" t="s">
        <v>788</v>
      </c>
      <c r="K47" s="17">
        <f t="shared" si="2"/>
        <v>2</v>
      </c>
    </row>
    <row r="48" spans="1:11" ht="13.95" customHeight="1" x14ac:dyDescent="0.3">
      <c r="A48" s="3">
        <v>45704</v>
      </c>
      <c r="B48" s="48" t="s">
        <v>890</v>
      </c>
      <c r="C48" s="3" t="s">
        <v>16</v>
      </c>
      <c r="D48" s="3" t="s">
        <v>789</v>
      </c>
      <c r="E48" s="4">
        <v>0.95</v>
      </c>
      <c r="F48" s="42">
        <v>3.2</v>
      </c>
      <c r="G48" s="6">
        <v>189</v>
      </c>
      <c r="H48" s="6">
        <v>2</v>
      </c>
      <c r="I48" s="6">
        <f t="shared" si="5"/>
        <v>1149.1199999999999</v>
      </c>
      <c r="J48" s="7" t="s">
        <v>790</v>
      </c>
      <c r="K48" s="17">
        <f t="shared" si="2"/>
        <v>2</v>
      </c>
    </row>
    <row r="49" spans="1:11" ht="13.95" customHeight="1" x14ac:dyDescent="0.3">
      <c r="A49" s="3">
        <v>45705</v>
      </c>
      <c r="B49" s="48" t="s">
        <v>890</v>
      </c>
      <c r="C49" s="3" t="s">
        <v>18</v>
      </c>
      <c r="D49" s="3" t="s">
        <v>706</v>
      </c>
      <c r="E49" s="4">
        <v>0.78</v>
      </c>
      <c r="F49" s="42">
        <v>2.2000000000000002</v>
      </c>
      <c r="G49" s="6">
        <v>189</v>
      </c>
      <c r="H49" s="6">
        <v>2</v>
      </c>
      <c r="I49" s="6">
        <f t="shared" si="5"/>
        <v>648.64800000000014</v>
      </c>
      <c r="J49" s="7" t="s">
        <v>774</v>
      </c>
      <c r="K49" s="17">
        <f t="shared" si="2"/>
        <v>2</v>
      </c>
    </row>
    <row r="50" spans="1:11" ht="13.95" customHeight="1" x14ac:dyDescent="0.3">
      <c r="A50" s="3">
        <v>45706</v>
      </c>
      <c r="B50" s="48" t="s">
        <v>890</v>
      </c>
      <c r="C50" s="3" t="s">
        <v>20</v>
      </c>
      <c r="D50" s="3" t="s">
        <v>707</v>
      </c>
      <c r="E50" s="4">
        <v>0.9</v>
      </c>
      <c r="F50" s="42">
        <v>2.2999999999999998</v>
      </c>
      <c r="G50" s="6">
        <v>189</v>
      </c>
      <c r="H50" s="6">
        <v>2</v>
      </c>
      <c r="I50" s="6">
        <f t="shared" si="5"/>
        <v>782.45999999999992</v>
      </c>
      <c r="J50" s="7" t="s">
        <v>336</v>
      </c>
      <c r="K50" s="17">
        <f t="shared" si="2"/>
        <v>2</v>
      </c>
    </row>
    <row r="51" spans="1:11" ht="13.95" customHeight="1" x14ac:dyDescent="0.3">
      <c r="A51" s="3">
        <v>45707</v>
      </c>
      <c r="B51" s="48" t="s">
        <v>890</v>
      </c>
      <c r="C51" s="3" t="s">
        <v>5</v>
      </c>
      <c r="D51" s="3" t="s">
        <v>706</v>
      </c>
      <c r="E51" s="4">
        <v>0.86</v>
      </c>
      <c r="F51" s="42">
        <v>2.25</v>
      </c>
      <c r="G51" s="6">
        <v>189</v>
      </c>
      <c r="H51" s="6">
        <v>2</v>
      </c>
      <c r="I51" s="6">
        <f t="shared" si="5"/>
        <v>731.43</v>
      </c>
      <c r="J51" s="7" t="s">
        <v>71</v>
      </c>
      <c r="K51" s="17">
        <f t="shared" si="2"/>
        <v>2</v>
      </c>
    </row>
    <row r="52" spans="1:11" ht="13.95" customHeight="1" x14ac:dyDescent="0.3">
      <c r="A52" s="3">
        <v>45708</v>
      </c>
      <c r="B52" s="48" t="s">
        <v>890</v>
      </c>
      <c r="C52" s="3" t="s">
        <v>8</v>
      </c>
      <c r="D52" s="3" t="s">
        <v>706</v>
      </c>
      <c r="E52" s="4">
        <v>0.82</v>
      </c>
      <c r="F52" s="42">
        <v>2.2000000000000002</v>
      </c>
      <c r="G52" s="6">
        <v>189</v>
      </c>
      <c r="H52" s="6">
        <v>2</v>
      </c>
      <c r="I52" s="6">
        <f t="shared" si="5"/>
        <v>681.91200000000003</v>
      </c>
      <c r="J52" s="7" t="s">
        <v>71</v>
      </c>
      <c r="K52" s="17">
        <f t="shared" si="2"/>
        <v>2</v>
      </c>
    </row>
    <row r="53" spans="1:11" ht="13.95" customHeight="1" x14ac:dyDescent="0.3">
      <c r="A53" s="3">
        <v>45709</v>
      </c>
      <c r="B53" s="48" t="s">
        <v>890</v>
      </c>
      <c r="C53" s="3" t="s">
        <v>11</v>
      </c>
      <c r="D53" s="3" t="s">
        <v>44</v>
      </c>
      <c r="E53" s="4">
        <v>0.78</v>
      </c>
      <c r="F53" s="42">
        <v>2.15</v>
      </c>
      <c r="G53" s="6">
        <v>189</v>
      </c>
      <c r="H53" s="6">
        <v>2</v>
      </c>
      <c r="I53" s="6">
        <f t="shared" si="5"/>
        <v>633.90600000000006</v>
      </c>
      <c r="J53" s="7" t="s">
        <v>70</v>
      </c>
      <c r="K53" s="17">
        <f t="shared" si="2"/>
        <v>2</v>
      </c>
    </row>
    <row r="54" spans="1:11" ht="13.95" customHeight="1" x14ac:dyDescent="0.3">
      <c r="A54" s="3">
        <v>45710</v>
      </c>
      <c r="B54" s="48" t="s">
        <v>890</v>
      </c>
      <c r="C54" s="3" t="s">
        <v>13</v>
      </c>
      <c r="D54" s="3" t="s">
        <v>14</v>
      </c>
      <c r="E54" s="4">
        <v>0.75</v>
      </c>
      <c r="F54" s="42">
        <v>2.65</v>
      </c>
      <c r="G54" s="6">
        <v>189</v>
      </c>
      <c r="H54" s="6">
        <v>2</v>
      </c>
      <c r="I54" s="6">
        <f t="shared" si="5"/>
        <v>751.27499999999998</v>
      </c>
      <c r="J54" s="7" t="s">
        <v>91</v>
      </c>
      <c r="K54" s="17">
        <f t="shared" si="2"/>
        <v>2</v>
      </c>
    </row>
    <row r="55" spans="1:11" ht="13.95" customHeight="1" x14ac:dyDescent="0.3">
      <c r="A55" s="3">
        <v>45711</v>
      </c>
      <c r="B55" s="48" t="s">
        <v>890</v>
      </c>
      <c r="C55" s="3" t="s">
        <v>16</v>
      </c>
      <c r="D55" s="3" t="s">
        <v>757</v>
      </c>
      <c r="E55" s="4">
        <v>0.88</v>
      </c>
      <c r="F55" s="42">
        <v>3.05</v>
      </c>
      <c r="G55" s="6">
        <v>189</v>
      </c>
      <c r="H55" s="6">
        <v>2</v>
      </c>
      <c r="I55" s="6">
        <f t="shared" si="5"/>
        <v>1014.5519999999999</v>
      </c>
      <c r="J55" s="7" t="s">
        <v>69</v>
      </c>
      <c r="K55" s="17">
        <f t="shared" si="2"/>
        <v>2</v>
      </c>
    </row>
    <row r="56" spans="1:11" ht="13.95" customHeight="1" x14ac:dyDescent="0.3">
      <c r="A56" s="3">
        <v>45712</v>
      </c>
      <c r="B56" s="48" t="s">
        <v>890</v>
      </c>
      <c r="C56" s="3" t="s">
        <v>18</v>
      </c>
      <c r="D56" s="3" t="s">
        <v>706</v>
      </c>
      <c r="E56" s="4">
        <v>0.8</v>
      </c>
      <c r="F56" s="42">
        <v>2.2000000000000002</v>
      </c>
      <c r="G56" s="6">
        <v>189</v>
      </c>
      <c r="H56" s="6">
        <v>2</v>
      </c>
      <c r="I56" s="6">
        <f t="shared" si="5"/>
        <v>665.28000000000009</v>
      </c>
      <c r="J56" s="7" t="s">
        <v>505</v>
      </c>
      <c r="K56" s="17">
        <f t="shared" si="2"/>
        <v>2</v>
      </c>
    </row>
    <row r="57" spans="1:11" ht="13.95" customHeight="1" x14ac:dyDescent="0.3">
      <c r="A57" s="3">
        <v>45713</v>
      </c>
      <c r="B57" s="48" t="s">
        <v>890</v>
      </c>
      <c r="C57" s="3" t="s">
        <v>20</v>
      </c>
      <c r="D57" s="3" t="s">
        <v>706</v>
      </c>
      <c r="E57" s="4">
        <v>0.84</v>
      </c>
      <c r="F57" s="42">
        <v>2.25</v>
      </c>
      <c r="G57" s="6">
        <v>189</v>
      </c>
      <c r="H57" s="6">
        <v>2</v>
      </c>
      <c r="I57" s="6">
        <f t="shared" si="5"/>
        <v>714.42</v>
      </c>
      <c r="J57" s="7" t="s">
        <v>71</v>
      </c>
      <c r="K57" s="17">
        <f t="shared" si="2"/>
        <v>2</v>
      </c>
    </row>
    <row r="58" spans="1:11" ht="13.95" customHeight="1" x14ac:dyDescent="0.3">
      <c r="A58" s="3">
        <v>45714</v>
      </c>
      <c r="B58" s="48" t="s">
        <v>890</v>
      </c>
      <c r="C58" s="3" t="s">
        <v>5</v>
      </c>
      <c r="D58" s="3" t="s">
        <v>706</v>
      </c>
      <c r="E58" s="4">
        <v>0.82</v>
      </c>
      <c r="F58" s="42">
        <v>2.2000000000000002</v>
      </c>
      <c r="G58" s="6">
        <v>189</v>
      </c>
      <c r="H58" s="6">
        <v>2</v>
      </c>
      <c r="I58" s="6">
        <f t="shared" si="5"/>
        <v>681.91200000000003</v>
      </c>
      <c r="J58" s="7" t="s">
        <v>71</v>
      </c>
      <c r="K58" s="17">
        <f t="shared" si="2"/>
        <v>2</v>
      </c>
    </row>
    <row r="59" spans="1:11" ht="13.95" customHeight="1" x14ac:dyDescent="0.3">
      <c r="A59" s="3">
        <v>45715</v>
      </c>
      <c r="B59" s="48" t="s">
        <v>890</v>
      </c>
      <c r="C59" s="3" t="s">
        <v>8</v>
      </c>
      <c r="D59" s="3" t="s">
        <v>706</v>
      </c>
      <c r="E59" s="4">
        <v>0.8</v>
      </c>
      <c r="F59" s="42">
        <v>2.15</v>
      </c>
      <c r="G59" s="6">
        <v>189</v>
      </c>
      <c r="H59" s="6">
        <v>2</v>
      </c>
      <c r="I59" s="6">
        <f t="shared" si="5"/>
        <v>650.16000000000008</v>
      </c>
      <c r="J59" s="7" t="s">
        <v>71</v>
      </c>
      <c r="K59" s="17">
        <f t="shared" si="2"/>
        <v>2</v>
      </c>
    </row>
    <row r="60" spans="1:11" ht="13.95" customHeight="1" x14ac:dyDescent="0.3">
      <c r="A60" s="3">
        <v>45716</v>
      </c>
      <c r="B60" s="48" t="s">
        <v>890</v>
      </c>
      <c r="C60" s="3" t="s">
        <v>11</v>
      </c>
      <c r="D60" s="3" t="s">
        <v>44</v>
      </c>
      <c r="E60" s="4">
        <v>0.75</v>
      </c>
      <c r="F60" s="42">
        <v>2.2000000000000002</v>
      </c>
      <c r="G60" s="6">
        <v>189</v>
      </c>
      <c r="H60" s="6">
        <v>2</v>
      </c>
      <c r="I60" s="6">
        <f t="shared" si="5"/>
        <v>623.70000000000005</v>
      </c>
      <c r="J60" s="7" t="s">
        <v>791</v>
      </c>
      <c r="K60" s="17">
        <f t="shared" si="2"/>
        <v>2</v>
      </c>
    </row>
    <row r="61" spans="1:11" ht="13.95" customHeight="1" x14ac:dyDescent="0.3">
      <c r="A61" s="3">
        <v>45717</v>
      </c>
      <c r="B61" s="48" t="s">
        <v>890</v>
      </c>
      <c r="C61" s="3" t="s">
        <v>13</v>
      </c>
      <c r="D61" s="3" t="s">
        <v>708</v>
      </c>
      <c r="E61" s="4">
        <v>0.5</v>
      </c>
      <c r="F61" s="42">
        <v>2.4</v>
      </c>
      <c r="G61" s="6">
        <v>189</v>
      </c>
      <c r="H61" s="6">
        <v>2</v>
      </c>
      <c r="I61" s="6">
        <f t="shared" si="5"/>
        <v>453.59999999999997</v>
      </c>
      <c r="J61" s="7" t="s">
        <v>792</v>
      </c>
      <c r="K61" s="17">
        <f t="shared" si="2"/>
        <v>3</v>
      </c>
    </row>
    <row r="62" spans="1:11" ht="13.95" customHeight="1" x14ac:dyDescent="0.3">
      <c r="A62" s="3">
        <v>45718</v>
      </c>
      <c r="B62" s="48" t="s">
        <v>890</v>
      </c>
      <c r="C62" s="3" t="s">
        <v>16</v>
      </c>
      <c r="D62" s="3" t="s">
        <v>76</v>
      </c>
      <c r="E62" s="4">
        <v>0.45</v>
      </c>
      <c r="F62" s="42">
        <v>2.2000000000000002</v>
      </c>
      <c r="G62" s="6">
        <v>189</v>
      </c>
      <c r="H62" s="6">
        <v>2</v>
      </c>
      <c r="I62" s="6">
        <f t="shared" si="5"/>
        <v>374.22</v>
      </c>
      <c r="J62" s="7" t="s">
        <v>793</v>
      </c>
      <c r="K62" s="17">
        <f t="shared" si="2"/>
        <v>3</v>
      </c>
    </row>
    <row r="63" spans="1:11" ht="13.95" customHeight="1" x14ac:dyDescent="0.3">
      <c r="A63" s="3">
        <v>45719</v>
      </c>
      <c r="B63" s="48" t="s">
        <v>890</v>
      </c>
      <c r="C63" s="3" t="s">
        <v>18</v>
      </c>
      <c r="D63" s="3" t="s">
        <v>759</v>
      </c>
      <c r="E63" s="4">
        <v>0.7</v>
      </c>
      <c r="F63" s="42">
        <v>1.95</v>
      </c>
      <c r="G63" s="6">
        <v>189</v>
      </c>
      <c r="H63" s="6">
        <v>2</v>
      </c>
      <c r="I63" s="6">
        <f t="shared" si="5"/>
        <v>515.96999999999991</v>
      </c>
      <c r="J63" s="7" t="s">
        <v>740</v>
      </c>
      <c r="K63" s="17">
        <f t="shared" si="2"/>
        <v>3</v>
      </c>
    </row>
    <row r="64" spans="1:11" ht="13.95" customHeight="1" x14ac:dyDescent="0.3">
      <c r="A64" s="3">
        <v>45720</v>
      </c>
      <c r="B64" s="48" t="s">
        <v>890</v>
      </c>
      <c r="C64" s="3" t="s">
        <v>20</v>
      </c>
      <c r="D64" s="3" t="s">
        <v>794</v>
      </c>
      <c r="E64" s="4">
        <v>0.8</v>
      </c>
      <c r="F64" s="42">
        <v>2.2000000000000002</v>
      </c>
      <c r="G64" s="6">
        <v>189</v>
      </c>
      <c r="H64" s="6">
        <v>2</v>
      </c>
      <c r="I64" s="6">
        <f t="shared" si="5"/>
        <v>665.28000000000009</v>
      </c>
      <c r="J64" s="7" t="s">
        <v>795</v>
      </c>
      <c r="K64" s="17">
        <f t="shared" si="2"/>
        <v>3</v>
      </c>
    </row>
    <row r="65" spans="1:11" ht="13.95" customHeight="1" x14ac:dyDescent="0.3">
      <c r="A65" s="3">
        <v>45721</v>
      </c>
      <c r="B65" s="48" t="s">
        <v>890</v>
      </c>
      <c r="C65" s="3" t="s">
        <v>5</v>
      </c>
      <c r="D65" s="3" t="s">
        <v>794</v>
      </c>
      <c r="E65" s="4">
        <v>0.75</v>
      </c>
      <c r="F65" s="42">
        <v>2.15</v>
      </c>
      <c r="G65" s="6">
        <v>189</v>
      </c>
      <c r="H65" s="6">
        <v>2</v>
      </c>
      <c r="I65" s="6">
        <f t="shared" si="5"/>
        <v>609.52499999999998</v>
      </c>
      <c r="J65" s="7" t="s">
        <v>770</v>
      </c>
      <c r="K65" s="17">
        <f t="shared" si="2"/>
        <v>3</v>
      </c>
    </row>
    <row r="66" spans="1:11" ht="13.95" customHeight="1" x14ac:dyDescent="0.3">
      <c r="A66" s="3">
        <v>45722</v>
      </c>
      <c r="B66" s="48" t="s">
        <v>890</v>
      </c>
      <c r="C66" s="3" t="s">
        <v>8</v>
      </c>
      <c r="D66" s="3" t="s">
        <v>794</v>
      </c>
      <c r="E66" s="4">
        <v>0.72</v>
      </c>
      <c r="F66" s="42">
        <v>2.1</v>
      </c>
      <c r="G66" s="6">
        <v>189</v>
      </c>
      <c r="H66" s="6">
        <v>2</v>
      </c>
      <c r="I66" s="6">
        <f t="shared" si="5"/>
        <v>571.53599999999994</v>
      </c>
      <c r="J66" s="7" t="s">
        <v>71</v>
      </c>
      <c r="K66" s="17">
        <f t="shared" si="2"/>
        <v>3</v>
      </c>
    </row>
    <row r="67" spans="1:11" ht="13.95" customHeight="1" x14ac:dyDescent="0.3">
      <c r="A67" s="3">
        <v>45723</v>
      </c>
      <c r="B67" s="48" t="s">
        <v>890</v>
      </c>
      <c r="C67" s="3" t="s">
        <v>11</v>
      </c>
      <c r="D67" s="3" t="s">
        <v>760</v>
      </c>
      <c r="E67" s="4">
        <v>0.65</v>
      </c>
      <c r="F67" s="42">
        <v>2.2999999999999998</v>
      </c>
      <c r="G67" s="6">
        <v>189</v>
      </c>
      <c r="H67" s="6">
        <v>2</v>
      </c>
      <c r="I67" s="6">
        <f t="shared" si="5"/>
        <v>565.11</v>
      </c>
      <c r="J67" s="7" t="s">
        <v>796</v>
      </c>
      <c r="K67" s="17">
        <f t="shared" ref="K67:K130" si="6">MONTH(A67)</f>
        <v>3</v>
      </c>
    </row>
    <row r="68" spans="1:11" ht="13.95" customHeight="1" x14ac:dyDescent="0.3">
      <c r="A68" s="3">
        <v>45724</v>
      </c>
      <c r="B68" s="48" t="s">
        <v>890</v>
      </c>
      <c r="C68" s="3" t="s">
        <v>13</v>
      </c>
      <c r="D68" s="3" t="s">
        <v>760</v>
      </c>
      <c r="E68" s="4">
        <v>0.7</v>
      </c>
      <c r="F68" s="42">
        <v>2.5</v>
      </c>
      <c r="G68" s="6">
        <v>189</v>
      </c>
      <c r="H68" s="6">
        <v>2</v>
      </c>
      <c r="I68" s="6">
        <f t="shared" si="5"/>
        <v>661.49999999999989</v>
      </c>
      <c r="J68" s="7" t="s">
        <v>797</v>
      </c>
      <c r="K68" s="17">
        <f t="shared" si="6"/>
        <v>3</v>
      </c>
    </row>
    <row r="69" spans="1:11" ht="13.95" customHeight="1" x14ac:dyDescent="0.3">
      <c r="A69" s="3">
        <v>45725</v>
      </c>
      <c r="B69" s="48" t="s">
        <v>890</v>
      </c>
      <c r="C69" s="3" t="s">
        <v>16</v>
      </c>
      <c r="D69" s="3" t="s">
        <v>761</v>
      </c>
      <c r="E69" s="4">
        <v>0.6</v>
      </c>
      <c r="F69" s="42">
        <v>2.4</v>
      </c>
      <c r="G69" s="6">
        <v>189</v>
      </c>
      <c r="H69" s="6">
        <v>2</v>
      </c>
      <c r="I69" s="6">
        <f t="shared" si="5"/>
        <v>544.31999999999994</v>
      </c>
      <c r="J69" s="7" t="s">
        <v>798</v>
      </c>
      <c r="K69" s="17">
        <f t="shared" si="6"/>
        <v>3</v>
      </c>
    </row>
    <row r="70" spans="1:11" ht="13.95" customHeight="1" x14ac:dyDescent="0.3">
      <c r="A70" s="3">
        <v>45726</v>
      </c>
      <c r="B70" s="48" t="s">
        <v>890</v>
      </c>
      <c r="C70" s="3" t="s">
        <v>18</v>
      </c>
      <c r="D70" s="3" t="s">
        <v>759</v>
      </c>
      <c r="E70" s="4">
        <v>0.72</v>
      </c>
      <c r="F70" s="42">
        <v>1.95</v>
      </c>
      <c r="G70" s="6">
        <v>189</v>
      </c>
      <c r="H70" s="6">
        <v>2</v>
      </c>
      <c r="I70" s="6">
        <f t="shared" si="5"/>
        <v>530.71199999999988</v>
      </c>
      <c r="J70" s="7" t="s">
        <v>71</v>
      </c>
      <c r="K70" s="17">
        <f t="shared" si="6"/>
        <v>3</v>
      </c>
    </row>
    <row r="71" spans="1:11" ht="13.95" customHeight="1" x14ac:dyDescent="0.3">
      <c r="A71" s="3">
        <v>45727</v>
      </c>
      <c r="B71" s="48" t="s">
        <v>890</v>
      </c>
      <c r="C71" s="3" t="s">
        <v>20</v>
      </c>
      <c r="D71" s="3" t="s">
        <v>794</v>
      </c>
      <c r="E71" s="4">
        <v>0.85</v>
      </c>
      <c r="F71" s="42">
        <v>2.25</v>
      </c>
      <c r="G71" s="6">
        <v>189</v>
      </c>
      <c r="H71" s="6">
        <v>2</v>
      </c>
      <c r="I71" s="6">
        <f t="shared" si="5"/>
        <v>722.92500000000007</v>
      </c>
      <c r="J71" s="7" t="s">
        <v>799</v>
      </c>
      <c r="K71" s="17">
        <f t="shared" si="6"/>
        <v>3</v>
      </c>
    </row>
    <row r="72" spans="1:11" ht="13.95" customHeight="1" x14ac:dyDescent="0.3">
      <c r="A72" s="3">
        <v>45728</v>
      </c>
      <c r="B72" s="48" t="s">
        <v>890</v>
      </c>
      <c r="C72" s="3" t="s">
        <v>5</v>
      </c>
      <c r="D72" s="3" t="s">
        <v>794</v>
      </c>
      <c r="E72" s="4">
        <v>0.8</v>
      </c>
      <c r="F72" s="42">
        <v>2.2000000000000002</v>
      </c>
      <c r="G72" s="6">
        <v>189</v>
      </c>
      <c r="H72" s="6">
        <v>2</v>
      </c>
      <c r="I72" s="6">
        <f t="shared" si="5"/>
        <v>665.28000000000009</v>
      </c>
      <c r="J72" s="7" t="s">
        <v>71</v>
      </c>
      <c r="K72" s="17">
        <f t="shared" si="6"/>
        <v>3</v>
      </c>
    </row>
    <row r="73" spans="1:11" ht="13.95" customHeight="1" x14ac:dyDescent="0.3">
      <c r="A73" s="3">
        <v>45729</v>
      </c>
      <c r="B73" s="48" t="s">
        <v>890</v>
      </c>
      <c r="C73" s="3" t="s">
        <v>8</v>
      </c>
      <c r="D73" s="3" t="s">
        <v>794</v>
      </c>
      <c r="E73" s="4">
        <v>0.75</v>
      </c>
      <c r="F73" s="42">
        <v>2.15</v>
      </c>
      <c r="G73" s="6">
        <v>189</v>
      </c>
      <c r="H73" s="6">
        <v>2</v>
      </c>
      <c r="I73" s="6">
        <f t="shared" si="5"/>
        <v>609.52499999999998</v>
      </c>
      <c r="J73" s="7" t="s">
        <v>71</v>
      </c>
      <c r="K73" s="17">
        <f t="shared" si="6"/>
        <v>3</v>
      </c>
    </row>
    <row r="74" spans="1:11" ht="13.95" customHeight="1" x14ac:dyDescent="0.3">
      <c r="A74" s="3">
        <v>45730</v>
      </c>
      <c r="B74" s="48" t="s">
        <v>890</v>
      </c>
      <c r="C74" s="3" t="s">
        <v>11</v>
      </c>
      <c r="D74" s="3" t="s">
        <v>760</v>
      </c>
      <c r="E74" s="4">
        <v>0.7</v>
      </c>
      <c r="F74" s="42">
        <v>2.35</v>
      </c>
      <c r="G74" s="6">
        <v>189</v>
      </c>
      <c r="H74" s="6">
        <v>2</v>
      </c>
      <c r="I74" s="6">
        <f t="shared" si="5"/>
        <v>621.80999999999995</v>
      </c>
      <c r="J74" s="7" t="s">
        <v>97</v>
      </c>
      <c r="K74" s="17">
        <f t="shared" si="6"/>
        <v>3</v>
      </c>
    </row>
    <row r="75" spans="1:11" ht="13.95" customHeight="1" x14ac:dyDescent="0.3">
      <c r="A75" s="3">
        <v>45731</v>
      </c>
      <c r="B75" s="48" t="s">
        <v>890</v>
      </c>
      <c r="C75" s="3" t="s">
        <v>13</v>
      </c>
      <c r="D75" s="3" t="s">
        <v>760</v>
      </c>
      <c r="E75" s="4">
        <v>0.75</v>
      </c>
      <c r="F75" s="42">
        <v>2.5499999999999998</v>
      </c>
      <c r="G75" s="6">
        <v>189</v>
      </c>
      <c r="H75" s="6">
        <v>2</v>
      </c>
      <c r="I75" s="6">
        <f t="shared" si="5"/>
        <v>722.92499999999995</v>
      </c>
      <c r="J75" s="7" t="s">
        <v>762</v>
      </c>
      <c r="K75" s="17">
        <f t="shared" si="6"/>
        <v>3</v>
      </c>
    </row>
    <row r="76" spans="1:11" ht="13.95" customHeight="1" x14ac:dyDescent="0.3">
      <c r="A76" s="3">
        <v>45732</v>
      </c>
      <c r="B76" s="48" t="s">
        <v>890</v>
      </c>
      <c r="C76" s="3" t="s">
        <v>16</v>
      </c>
      <c r="D76" s="3" t="s">
        <v>761</v>
      </c>
      <c r="E76" s="4">
        <v>0.65</v>
      </c>
      <c r="F76" s="42">
        <v>2.4500000000000002</v>
      </c>
      <c r="G76" s="6">
        <v>189</v>
      </c>
      <c r="H76" s="6">
        <v>2</v>
      </c>
      <c r="I76" s="6">
        <f t="shared" si="5"/>
        <v>601.96500000000003</v>
      </c>
      <c r="J76" s="7" t="s">
        <v>711</v>
      </c>
      <c r="K76" s="17">
        <f t="shared" si="6"/>
        <v>3</v>
      </c>
    </row>
    <row r="77" spans="1:11" ht="13.95" customHeight="1" x14ac:dyDescent="0.3">
      <c r="A77" s="3">
        <v>45733</v>
      </c>
      <c r="B77" s="48" t="s">
        <v>890</v>
      </c>
      <c r="C77" s="3" t="s">
        <v>18</v>
      </c>
      <c r="D77" s="3" t="s">
        <v>759</v>
      </c>
      <c r="E77" s="4">
        <v>0.78</v>
      </c>
      <c r="F77" s="42">
        <v>2</v>
      </c>
      <c r="G77" s="6">
        <v>189</v>
      </c>
      <c r="H77" s="6">
        <v>2</v>
      </c>
      <c r="I77" s="6">
        <f t="shared" si="5"/>
        <v>589.68000000000006</v>
      </c>
      <c r="J77" s="7" t="s">
        <v>71</v>
      </c>
      <c r="K77" s="17">
        <f t="shared" si="6"/>
        <v>3</v>
      </c>
    </row>
    <row r="78" spans="1:11" ht="13.95" customHeight="1" x14ac:dyDescent="0.3">
      <c r="A78" s="3">
        <v>45734</v>
      </c>
      <c r="B78" s="48" t="s">
        <v>890</v>
      </c>
      <c r="C78" s="3" t="s">
        <v>20</v>
      </c>
      <c r="D78" s="3" t="s">
        <v>794</v>
      </c>
      <c r="E78" s="4">
        <v>0.88</v>
      </c>
      <c r="F78" s="42">
        <v>2.2999999999999998</v>
      </c>
      <c r="G78" s="6">
        <v>189</v>
      </c>
      <c r="H78" s="6">
        <v>2</v>
      </c>
      <c r="I78" s="6">
        <f t="shared" si="5"/>
        <v>765.07199999999989</v>
      </c>
      <c r="J78" s="7" t="s">
        <v>753</v>
      </c>
      <c r="K78" s="17">
        <f t="shared" si="6"/>
        <v>3</v>
      </c>
    </row>
    <row r="79" spans="1:11" ht="13.95" customHeight="1" x14ac:dyDescent="0.3">
      <c r="A79" s="3">
        <v>45735</v>
      </c>
      <c r="B79" s="48" t="s">
        <v>890</v>
      </c>
      <c r="C79" s="3" t="s">
        <v>5</v>
      </c>
      <c r="D79" s="3" t="s">
        <v>794</v>
      </c>
      <c r="E79" s="4">
        <v>0.82</v>
      </c>
      <c r="F79" s="42">
        <v>2.25</v>
      </c>
      <c r="G79" s="6">
        <v>189</v>
      </c>
      <c r="H79" s="6">
        <v>2</v>
      </c>
      <c r="I79" s="6">
        <f t="shared" si="5"/>
        <v>697.41</v>
      </c>
      <c r="J79" s="7" t="s">
        <v>59</v>
      </c>
      <c r="K79" s="17">
        <f t="shared" si="6"/>
        <v>3</v>
      </c>
    </row>
    <row r="80" spans="1:11" ht="13.95" customHeight="1" x14ac:dyDescent="0.3">
      <c r="A80" s="3">
        <v>45736</v>
      </c>
      <c r="B80" s="48" t="s">
        <v>890</v>
      </c>
      <c r="C80" s="3" t="s">
        <v>8</v>
      </c>
      <c r="D80" s="3" t="s">
        <v>383</v>
      </c>
      <c r="E80" s="4">
        <v>0.55000000000000004</v>
      </c>
      <c r="F80" s="42">
        <v>2.4</v>
      </c>
      <c r="G80" s="6">
        <v>189</v>
      </c>
      <c r="H80" s="6">
        <v>2</v>
      </c>
      <c r="I80" s="6">
        <f t="shared" si="5"/>
        <v>498.96</v>
      </c>
      <c r="J80" s="7" t="s">
        <v>800</v>
      </c>
      <c r="K80" s="17">
        <f t="shared" si="6"/>
        <v>3</v>
      </c>
    </row>
    <row r="81" spans="1:11" ht="13.95" customHeight="1" x14ac:dyDescent="0.3">
      <c r="A81" s="3">
        <v>45737</v>
      </c>
      <c r="B81" s="48" t="s">
        <v>890</v>
      </c>
      <c r="C81" s="3" t="s">
        <v>11</v>
      </c>
      <c r="D81" s="3" t="s">
        <v>76</v>
      </c>
      <c r="E81" s="4">
        <v>0.5</v>
      </c>
      <c r="F81" s="42">
        <v>2.2999999999999998</v>
      </c>
      <c r="G81" s="6">
        <v>189</v>
      </c>
      <c r="H81" s="6">
        <v>2</v>
      </c>
      <c r="I81" s="6">
        <f t="shared" si="5"/>
        <v>434.7</v>
      </c>
      <c r="J81" s="7" t="s">
        <v>728</v>
      </c>
      <c r="K81" s="17">
        <f t="shared" si="6"/>
        <v>3</v>
      </c>
    </row>
    <row r="82" spans="1:11" ht="13.95" customHeight="1" x14ac:dyDescent="0.3">
      <c r="A82" s="3">
        <v>45738</v>
      </c>
      <c r="B82" s="48" t="s">
        <v>890</v>
      </c>
      <c r="C82" s="3" t="s">
        <v>13</v>
      </c>
      <c r="D82" s="3" t="s">
        <v>760</v>
      </c>
      <c r="E82" s="4">
        <v>0.7</v>
      </c>
      <c r="F82" s="42">
        <v>2.65</v>
      </c>
      <c r="G82" s="6">
        <v>189</v>
      </c>
      <c r="H82" s="6">
        <v>2</v>
      </c>
      <c r="I82" s="6">
        <f t="shared" si="5"/>
        <v>701.18999999999994</v>
      </c>
      <c r="J82" s="7" t="s">
        <v>801</v>
      </c>
      <c r="K82" s="17">
        <f t="shared" si="6"/>
        <v>3</v>
      </c>
    </row>
    <row r="83" spans="1:11" ht="13.95" customHeight="1" x14ac:dyDescent="0.3">
      <c r="A83" s="3">
        <v>45739</v>
      </c>
      <c r="B83" s="48" t="s">
        <v>890</v>
      </c>
      <c r="C83" s="3" t="s">
        <v>16</v>
      </c>
      <c r="D83" s="3" t="s">
        <v>761</v>
      </c>
      <c r="E83" s="4">
        <v>0.62</v>
      </c>
      <c r="F83" s="42">
        <v>2.5</v>
      </c>
      <c r="G83" s="6">
        <v>189</v>
      </c>
      <c r="H83" s="6">
        <v>2</v>
      </c>
      <c r="I83" s="6">
        <f t="shared" si="5"/>
        <v>585.9</v>
      </c>
      <c r="J83" s="7" t="s">
        <v>741</v>
      </c>
      <c r="K83" s="17">
        <f t="shared" si="6"/>
        <v>3</v>
      </c>
    </row>
    <row r="84" spans="1:11" ht="13.95" customHeight="1" x14ac:dyDescent="0.3">
      <c r="A84" s="3">
        <v>45740</v>
      </c>
      <c r="B84" s="48" t="s">
        <v>890</v>
      </c>
      <c r="C84" s="3" t="s">
        <v>18</v>
      </c>
      <c r="D84" s="3" t="s">
        <v>759</v>
      </c>
      <c r="E84" s="4">
        <v>0.75</v>
      </c>
      <c r="F84" s="42">
        <v>2.0499999999999998</v>
      </c>
      <c r="G84" s="6">
        <v>189</v>
      </c>
      <c r="H84" s="6">
        <v>2</v>
      </c>
      <c r="I84" s="6">
        <f t="shared" si="5"/>
        <v>581.17499999999995</v>
      </c>
      <c r="J84" s="7" t="s">
        <v>802</v>
      </c>
      <c r="K84" s="17">
        <f t="shared" si="6"/>
        <v>3</v>
      </c>
    </row>
    <row r="85" spans="1:11" ht="13.95" customHeight="1" x14ac:dyDescent="0.3">
      <c r="A85" s="3">
        <v>45741</v>
      </c>
      <c r="B85" s="48" t="s">
        <v>890</v>
      </c>
      <c r="C85" s="3" t="s">
        <v>20</v>
      </c>
      <c r="D85" s="3" t="s">
        <v>763</v>
      </c>
      <c r="E85" s="4">
        <v>0.85</v>
      </c>
      <c r="F85" s="42">
        <v>2.6</v>
      </c>
      <c r="G85" s="6">
        <v>189</v>
      </c>
      <c r="H85" s="6">
        <v>2</v>
      </c>
      <c r="I85" s="6">
        <f t="shared" si="5"/>
        <v>835.38000000000011</v>
      </c>
      <c r="J85" s="7" t="s">
        <v>803</v>
      </c>
      <c r="K85" s="17">
        <f t="shared" si="6"/>
        <v>3</v>
      </c>
    </row>
    <row r="86" spans="1:11" ht="13.95" customHeight="1" x14ac:dyDescent="0.3">
      <c r="A86" s="3">
        <v>45742</v>
      </c>
      <c r="B86" s="48" t="s">
        <v>890</v>
      </c>
      <c r="C86" s="3" t="s">
        <v>5</v>
      </c>
      <c r="D86" s="3" t="s">
        <v>76</v>
      </c>
      <c r="E86" s="4">
        <v>0.72</v>
      </c>
      <c r="F86" s="42">
        <v>2.1</v>
      </c>
      <c r="G86" s="6">
        <v>189</v>
      </c>
      <c r="H86" s="6">
        <v>2</v>
      </c>
      <c r="I86" s="6">
        <f t="shared" si="5"/>
        <v>571.53599999999994</v>
      </c>
      <c r="J86" s="7" t="s">
        <v>71</v>
      </c>
      <c r="K86" s="17">
        <f t="shared" si="6"/>
        <v>3</v>
      </c>
    </row>
    <row r="87" spans="1:11" ht="13.95" customHeight="1" x14ac:dyDescent="0.3">
      <c r="A87" s="3">
        <v>45743</v>
      </c>
      <c r="B87" s="48" t="s">
        <v>890</v>
      </c>
      <c r="C87" s="3" t="s">
        <v>8</v>
      </c>
      <c r="D87" s="3" t="s">
        <v>804</v>
      </c>
      <c r="E87" s="4">
        <v>0.68</v>
      </c>
      <c r="F87" s="42">
        <v>2.95</v>
      </c>
      <c r="G87" s="6">
        <v>189</v>
      </c>
      <c r="H87" s="6">
        <v>2</v>
      </c>
      <c r="I87" s="6">
        <f t="shared" si="5"/>
        <v>758.26800000000014</v>
      </c>
      <c r="J87" s="7" t="s">
        <v>805</v>
      </c>
      <c r="K87" s="17">
        <f t="shared" si="6"/>
        <v>3</v>
      </c>
    </row>
    <row r="88" spans="1:11" ht="13.95" customHeight="1" x14ac:dyDescent="0.3">
      <c r="A88" s="3">
        <v>45744</v>
      </c>
      <c r="B88" s="48" t="s">
        <v>890</v>
      </c>
      <c r="C88" s="3" t="s">
        <v>11</v>
      </c>
      <c r="D88" s="3" t="s">
        <v>764</v>
      </c>
      <c r="E88" s="4">
        <v>0.5</v>
      </c>
      <c r="F88" s="42">
        <v>2</v>
      </c>
      <c r="G88" s="6">
        <v>189</v>
      </c>
      <c r="H88" s="6">
        <v>2</v>
      </c>
      <c r="I88" s="6">
        <f t="shared" si="5"/>
        <v>378</v>
      </c>
      <c r="J88" s="7" t="s">
        <v>715</v>
      </c>
      <c r="K88" s="17">
        <f t="shared" si="6"/>
        <v>3</v>
      </c>
    </row>
    <row r="89" spans="1:11" ht="13.95" customHeight="1" x14ac:dyDescent="0.3">
      <c r="A89" s="3">
        <v>45745</v>
      </c>
      <c r="B89" s="48" t="s">
        <v>890</v>
      </c>
      <c r="C89" s="3" t="s">
        <v>13</v>
      </c>
      <c r="D89" s="3" t="s">
        <v>764</v>
      </c>
      <c r="E89" s="4">
        <v>0.48</v>
      </c>
      <c r="F89" s="42">
        <v>1.9</v>
      </c>
      <c r="G89" s="6">
        <v>189</v>
      </c>
      <c r="H89" s="6">
        <v>2</v>
      </c>
      <c r="I89" s="6">
        <f t="shared" si="5"/>
        <v>344.73599999999999</v>
      </c>
      <c r="J89" s="7" t="s">
        <v>806</v>
      </c>
      <c r="K89" s="17">
        <f t="shared" si="6"/>
        <v>3</v>
      </c>
    </row>
    <row r="90" spans="1:11" ht="13.95" customHeight="1" x14ac:dyDescent="0.3">
      <c r="A90" s="3">
        <v>45746</v>
      </c>
      <c r="B90" s="48" t="s">
        <v>890</v>
      </c>
      <c r="C90" s="3" t="s">
        <v>16</v>
      </c>
      <c r="D90" s="3" t="s">
        <v>574</v>
      </c>
      <c r="E90" s="4">
        <v>0.82</v>
      </c>
      <c r="F90" s="42">
        <v>3.4</v>
      </c>
      <c r="G90" s="6">
        <v>189</v>
      </c>
      <c r="H90" s="6">
        <v>2</v>
      </c>
      <c r="I90" s="6">
        <f t="shared" si="5"/>
        <v>1053.8639999999998</v>
      </c>
      <c r="J90" s="7" t="s">
        <v>807</v>
      </c>
      <c r="K90" s="17">
        <f t="shared" si="6"/>
        <v>3</v>
      </c>
    </row>
    <row r="91" spans="1:11" ht="13.95" customHeight="1" x14ac:dyDescent="0.3">
      <c r="A91" s="3">
        <v>45747</v>
      </c>
      <c r="B91" s="48" t="s">
        <v>890</v>
      </c>
      <c r="C91" s="3" t="s">
        <v>18</v>
      </c>
      <c r="D91" s="3" t="s">
        <v>574</v>
      </c>
      <c r="E91" s="4">
        <v>0.88</v>
      </c>
      <c r="F91" s="42">
        <v>3.2</v>
      </c>
      <c r="G91" s="6">
        <v>189</v>
      </c>
      <c r="H91" s="6">
        <v>2</v>
      </c>
      <c r="I91" s="6">
        <f t="shared" si="5"/>
        <v>1064.4480000000001</v>
      </c>
      <c r="J91" s="7" t="s">
        <v>808</v>
      </c>
      <c r="K91" s="17">
        <f t="shared" si="6"/>
        <v>3</v>
      </c>
    </row>
    <row r="92" spans="1:11" ht="13.95" customHeight="1" x14ac:dyDescent="0.3">
      <c r="A92" s="3">
        <v>45748</v>
      </c>
      <c r="B92" s="48" t="s">
        <v>890</v>
      </c>
      <c r="C92" s="3" t="s">
        <v>20</v>
      </c>
      <c r="D92" s="3" t="s">
        <v>706</v>
      </c>
      <c r="E92" s="4">
        <v>0.8</v>
      </c>
      <c r="F92" s="42">
        <v>2.2000000000000002</v>
      </c>
      <c r="G92" s="6">
        <v>189</v>
      </c>
      <c r="H92" s="6">
        <v>2</v>
      </c>
      <c r="I92" s="6">
        <f t="shared" si="5"/>
        <v>665.28000000000009</v>
      </c>
      <c r="J92" s="7"/>
      <c r="K92" s="17">
        <f t="shared" si="6"/>
        <v>4</v>
      </c>
    </row>
    <row r="93" spans="1:11" ht="13.95" customHeight="1" x14ac:dyDescent="0.3">
      <c r="A93" s="3">
        <v>45749</v>
      </c>
      <c r="B93" s="48" t="s">
        <v>890</v>
      </c>
      <c r="C93" s="3" t="s">
        <v>5</v>
      </c>
      <c r="D93" s="3" t="s">
        <v>706</v>
      </c>
      <c r="E93" s="4">
        <v>0.82</v>
      </c>
      <c r="F93" s="42">
        <v>2.2000000000000002</v>
      </c>
      <c r="G93" s="6">
        <v>189</v>
      </c>
      <c r="H93" s="6">
        <v>2</v>
      </c>
      <c r="I93" s="6">
        <f t="shared" si="5"/>
        <v>681.91200000000003</v>
      </c>
      <c r="J93" s="7" t="s">
        <v>809</v>
      </c>
      <c r="K93" s="17">
        <f t="shared" si="6"/>
        <v>4</v>
      </c>
    </row>
    <row r="94" spans="1:11" ht="13.95" customHeight="1" x14ac:dyDescent="0.3">
      <c r="A94" s="3">
        <v>45750</v>
      </c>
      <c r="B94" s="48" t="s">
        <v>890</v>
      </c>
      <c r="C94" s="3" t="s">
        <v>8</v>
      </c>
      <c r="D94" s="3" t="s">
        <v>706</v>
      </c>
      <c r="E94" s="4">
        <v>0.78</v>
      </c>
      <c r="F94" s="42">
        <v>2.15</v>
      </c>
      <c r="G94" s="6">
        <v>189</v>
      </c>
      <c r="H94" s="6">
        <v>2</v>
      </c>
      <c r="I94" s="6">
        <f t="shared" si="5"/>
        <v>633.90600000000006</v>
      </c>
      <c r="J94" s="7" t="s">
        <v>71</v>
      </c>
      <c r="K94" s="17">
        <f t="shared" si="6"/>
        <v>4</v>
      </c>
    </row>
    <row r="95" spans="1:11" ht="13.95" customHeight="1" x14ac:dyDescent="0.3">
      <c r="A95" s="3">
        <v>45751</v>
      </c>
      <c r="B95" s="48" t="s">
        <v>890</v>
      </c>
      <c r="C95" s="3" t="s">
        <v>11</v>
      </c>
      <c r="D95" s="3" t="s">
        <v>44</v>
      </c>
      <c r="E95" s="4">
        <v>0.75</v>
      </c>
      <c r="F95" s="42">
        <v>2.15</v>
      </c>
      <c r="G95" s="6">
        <v>189</v>
      </c>
      <c r="H95" s="6">
        <v>2</v>
      </c>
      <c r="I95" s="6">
        <f t="shared" si="5"/>
        <v>609.52499999999998</v>
      </c>
      <c r="J95" s="7" t="s">
        <v>71</v>
      </c>
      <c r="K95" s="17">
        <f t="shared" si="6"/>
        <v>4</v>
      </c>
    </row>
    <row r="96" spans="1:11" ht="13.95" customHeight="1" x14ac:dyDescent="0.3">
      <c r="A96" s="3">
        <v>45752</v>
      </c>
      <c r="B96" s="48" t="s">
        <v>890</v>
      </c>
      <c r="C96" s="3" t="s">
        <v>13</v>
      </c>
      <c r="D96" s="3" t="s">
        <v>14</v>
      </c>
      <c r="E96" s="4">
        <v>0.72</v>
      </c>
      <c r="F96" s="42">
        <v>2.65</v>
      </c>
      <c r="G96" s="6">
        <v>189</v>
      </c>
      <c r="H96" s="6">
        <v>2</v>
      </c>
      <c r="I96" s="6">
        <f t="shared" si="5"/>
        <v>721.22399999999993</v>
      </c>
      <c r="J96" s="7" t="s">
        <v>729</v>
      </c>
      <c r="K96" s="17">
        <f t="shared" si="6"/>
        <v>4</v>
      </c>
    </row>
    <row r="97" spans="1:11" ht="13.95" customHeight="1" x14ac:dyDescent="0.3">
      <c r="A97" s="3">
        <v>45753</v>
      </c>
      <c r="B97" s="48" t="s">
        <v>890</v>
      </c>
      <c r="C97" s="3" t="s">
        <v>16</v>
      </c>
      <c r="D97" s="3" t="s">
        <v>757</v>
      </c>
      <c r="E97" s="4">
        <v>0.88</v>
      </c>
      <c r="F97" s="42">
        <v>3.1</v>
      </c>
      <c r="G97" s="6">
        <v>189</v>
      </c>
      <c r="H97" s="6">
        <v>2</v>
      </c>
      <c r="I97" s="6">
        <f t="shared" si="5"/>
        <v>1031.184</v>
      </c>
      <c r="J97" s="7" t="s">
        <v>810</v>
      </c>
      <c r="K97" s="17">
        <f t="shared" si="6"/>
        <v>4</v>
      </c>
    </row>
    <row r="98" spans="1:11" ht="13.95" customHeight="1" x14ac:dyDescent="0.3">
      <c r="A98" s="3">
        <v>45754</v>
      </c>
      <c r="B98" s="48" t="s">
        <v>890</v>
      </c>
      <c r="C98" s="3" t="s">
        <v>18</v>
      </c>
      <c r="D98" s="3" t="s">
        <v>706</v>
      </c>
      <c r="E98" s="4">
        <v>0.8</v>
      </c>
      <c r="F98" s="42">
        <v>2.2000000000000002</v>
      </c>
      <c r="G98" s="6">
        <v>189</v>
      </c>
      <c r="H98" s="6">
        <v>2</v>
      </c>
      <c r="I98" s="6">
        <f t="shared" ref="I98:I161" si="7">(G98*E98)*F98*H98</f>
        <v>665.28000000000009</v>
      </c>
      <c r="J98" s="7" t="s">
        <v>766</v>
      </c>
      <c r="K98" s="17">
        <f t="shared" si="6"/>
        <v>4</v>
      </c>
    </row>
    <row r="99" spans="1:11" ht="13.95" customHeight="1" x14ac:dyDescent="0.3">
      <c r="A99" s="3">
        <v>45755</v>
      </c>
      <c r="B99" s="48" t="s">
        <v>890</v>
      </c>
      <c r="C99" s="3" t="s">
        <v>20</v>
      </c>
      <c r="D99" s="3" t="s">
        <v>707</v>
      </c>
      <c r="E99" s="4">
        <v>0.9</v>
      </c>
      <c r="F99" s="42">
        <v>2.2999999999999998</v>
      </c>
      <c r="G99" s="6">
        <v>189</v>
      </c>
      <c r="H99" s="6">
        <v>2</v>
      </c>
      <c r="I99" s="6">
        <f t="shared" si="7"/>
        <v>782.45999999999992</v>
      </c>
      <c r="J99" s="7" t="s">
        <v>811</v>
      </c>
      <c r="K99" s="17">
        <f t="shared" si="6"/>
        <v>4</v>
      </c>
    </row>
    <row r="100" spans="1:11" ht="13.95" customHeight="1" x14ac:dyDescent="0.3">
      <c r="A100" s="3">
        <v>45756</v>
      </c>
      <c r="B100" s="48" t="s">
        <v>890</v>
      </c>
      <c r="C100" s="3" t="s">
        <v>5</v>
      </c>
      <c r="D100" s="3" t="s">
        <v>6</v>
      </c>
      <c r="E100" s="4">
        <v>0.6</v>
      </c>
      <c r="F100" s="42">
        <v>2.4500000000000002</v>
      </c>
      <c r="G100" s="6">
        <v>189</v>
      </c>
      <c r="H100" s="6">
        <v>2</v>
      </c>
      <c r="I100" s="6">
        <f t="shared" si="7"/>
        <v>555.66</v>
      </c>
      <c r="J100" s="7" t="s">
        <v>771</v>
      </c>
      <c r="K100" s="17">
        <f t="shared" si="6"/>
        <v>4</v>
      </c>
    </row>
    <row r="101" spans="1:11" ht="13.95" customHeight="1" x14ac:dyDescent="0.3">
      <c r="A101" s="3">
        <v>45757</v>
      </c>
      <c r="B101" s="48" t="s">
        <v>890</v>
      </c>
      <c r="C101" s="3" t="s">
        <v>8</v>
      </c>
      <c r="D101" s="3" t="s">
        <v>706</v>
      </c>
      <c r="E101" s="4">
        <v>0.75</v>
      </c>
      <c r="F101" s="42">
        <v>2.2000000000000002</v>
      </c>
      <c r="G101" s="6">
        <v>189</v>
      </c>
      <c r="H101" s="6">
        <v>2</v>
      </c>
      <c r="I101" s="6">
        <f t="shared" si="7"/>
        <v>623.70000000000005</v>
      </c>
      <c r="J101" s="7" t="s">
        <v>812</v>
      </c>
      <c r="K101" s="17">
        <f t="shared" si="6"/>
        <v>4</v>
      </c>
    </row>
    <row r="102" spans="1:11" ht="13.95" customHeight="1" x14ac:dyDescent="0.3">
      <c r="A102" s="3">
        <v>45758</v>
      </c>
      <c r="B102" s="48" t="s">
        <v>890</v>
      </c>
      <c r="C102" s="3" t="s">
        <v>11</v>
      </c>
      <c r="D102" s="3" t="s">
        <v>44</v>
      </c>
      <c r="E102" s="4">
        <v>0.78</v>
      </c>
      <c r="F102" s="42">
        <v>2.15</v>
      </c>
      <c r="G102" s="6">
        <v>189</v>
      </c>
      <c r="H102" s="6">
        <v>2</v>
      </c>
      <c r="I102" s="6">
        <f t="shared" si="7"/>
        <v>633.90600000000006</v>
      </c>
      <c r="J102" s="7" t="s">
        <v>645</v>
      </c>
      <c r="K102" s="17">
        <f t="shared" si="6"/>
        <v>4</v>
      </c>
    </row>
    <row r="103" spans="1:11" ht="13.95" customHeight="1" x14ac:dyDescent="0.3">
      <c r="A103" s="3">
        <v>45759</v>
      </c>
      <c r="B103" s="48" t="s">
        <v>890</v>
      </c>
      <c r="C103" s="3" t="s">
        <v>13</v>
      </c>
      <c r="D103" s="3" t="s">
        <v>14</v>
      </c>
      <c r="E103" s="4">
        <v>0.75</v>
      </c>
      <c r="F103" s="42">
        <v>2.7</v>
      </c>
      <c r="G103" s="6">
        <v>189</v>
      </c>
      <c r="H103" s="6">
        <v>2</v>
      </c>
      <c r="I103" s="6">
        <f t="shared" si="7"/>
        <v>765.45</v>
      </c>
      <c r="J103" s="7" t="s">
        <v>70</v>
      </c>
      <c r="K103" s="17">
        <f t="shared" si="6"/>
        <v>4</v>
      </c>
    </row>
    <row r="104" spans="1:11" ht="13.95" customHeight="1" x14ac:dyDescent="0.3">
      <c r="A104" s="3">
        <v>45760</v>
      </c>
      <c r="B104" s="48" t="s">
        <v>890</v>
      </c>
      <c r="C104" s="3" t="s">
        <v>16</v>
      </c>
      <c r="D104" s="3" t="s">
        <v>757</v>
      </c>
      <c r="E104" s="4">
        <v>0.85</v>
      </c>
      <c r="F104" s="42">
        <v>3.05</v>
      </c>
      <c r="G104" s="6">
        <v>189</v>
      </c>
      <c r="H104" s="6">
        <v>2</v>
      </c>
      <c r="I104" s="6">
        <f t="shared" si="7"/>
        <v>979.96500000000003</v>
      </c>
      <c r="J104" s="7" t="s">
        <v>732</v>
      </c>
      <c r="K104" s="17">
        <f t="shared" si="6"/>
        <v>4</v>
      </c>
    </row>
    <row r="105" spans="1:11" ht="13.95" customHeight="1" x14ac:dyDescent="0.3">
      <c r="A105" s="3">
        <v>45761</v>
      </c>
      <c r="B105" s="48" t="s">
        <v>890</v>
      </c>
      <c r="C105" s="3" t="s">
        <v>18</v>
      </c>
      <c r="D105" s="3" t="s">
        <v>706</v>
      </c>
      <c r="E105" s="4">
        <v>0.82</v>
      </c>
      <c r="F105" s="42">
        <v>2.2000000000000002</v>
      </c>
      <c r="G105" s="6">
        <v>189</v>
      </c>
      <c r="H105" s="6">
        <v>2</v>
      </c>
      <c r="I105" s="6">
        <f t="shared" si="7"/>
        <v>681.91200000000003</v>
      </c>
      <c r="J105" s="7" t="s">
        <v>238</v>
      </c>
      <c r="K105" s="17">
        <f t="shared" si="6"/>
        <v>4</v>
      </c>
    </row>
    <row r="106" spans="1:11" ht="13.95" customHeight="1" x14ac:dyDescent="0.3">
      <c r="A106" s="3">
        <v>45762</v>
      </c>
      <c r="B106" s="48" t="s">
        <v>890</v>
      </c>
      <c r="C106" s="3" t="s">
        <v>20</v>
      </c>
      <c r="D106" s="3" t="s">
        <v>706</v>
      </c>
      <c r="E106" s="4">
        <v>0.85</v>
      </c>
      <c r="F106" s="42">
        <v>2.25</v>
      </c>
      <c r="G106" s="6">
        <v>189</v>
      </c>
      <c r="H106" s="6">
        <v>2</v>
      </c>
      <c r="I106" s="6">
        <f t="shared" si="7"/>
        <v>722.92500000000007</v>
      </c>
      <c r="J106" s="7" t="s">
        <v>65</v>
      </c>
      <c r="K106" s="17">
        <f t="shared" si="6"/>
        <v>4</v>
      </c>
    </row>
    <row r="107" spans="1:11" ht="13.95" customHeight="1" x14ac:dyDescent="0.3">
      <c r="A107" s="3">
        <v>45763</v>
      </c>
      <c r="B107" s="48" t="s">
        <v>890</v>
      </c>
      <c r="C107" s="3" t="s">
        <v>5</v>
      </c>
      <c r="D107" s="3" t="s">
        <v>706</v>
      </c>
      <c r="E107" s="4">
        <v>0.82</v>
      </c>
      <c r="F107" s="42">
        <v>2.2000000000000002</v>
      </c>
      <c r="G107" s="6">
        <v>189</v>
      </c>
      <c r="H107" s="6">
        <v>2</v>
      </c>
      <c r="I107" s="6">
        <f t="shared" si="7"/>
        <v>681.91200000000003</v>
      </c>
      <c r="J107" s="7" t="s">
        <v>71</v>
      </c>
      <c r="K107" s="17">
        <f t="shared" si="6"/>
        <v>4</v>
      </c>
    </row>
    <row r="108" spans="1:11" ht="13.95" customHeight="1" x14ac:dyDescent="0.3">
      <c r="A108" s="3">
        <v>45764</v>
      </c>
      <c r="B108" s="48" t="s">
        <v>890</v>
      </c>
      <c r="C108" s="3" t="s">
        <v>8</v>
      </c>
      <c r="D108" s="3" t="s">
        <v>706</v>
      </c>
      <c r="E108" s="4">
        <v>0.78</v>
      </c>
      <c r="F108" s="42">
        <v>2.15</v>
      </c>
      <c r="G108" s="6">
        <v>189</v>
      </c>
      <c r="H108" s="6">
        <v>2</v>
      </c>
      <c r="I108" s="6">
        <f t="shared" si="7"/>
        <v>633.90600000000006</v>
      </c>
      <c r="J108" s="7" t="s">
        <v>71</v>
      </c>
      <c r="K108" s="17">
        <f t="shared" si="6"/>
        <v>4</v>
      </c>
    </row>
    <row r="109" spans="1:11" ht="13.95" customHeight="1" x14ac:dyDescent="0.3">
      <c r="A109" s="3">
        <v>45765</v>
      </c>
      <c r="B109" s="48" t="s">
        <v>890</v>
      </c>
      <c r="C109" s="3" t="s">
        <v>11</v>
      </c>
      <c r="D109" s="3" t="s">
        <v>44</v>
      </c>
      <c r="E109" s="4">
        <v>0.75</v>
      </c>
      <c r="F109" s="42">
        <v>2.25</v>
      </c>
      <c r="G109" s="6">
        <v>189</v>
      </c>
      <c r="H109" s="6">
        <v>2</v>
      </c>
      <c r="I109" s="6">
        <f t="shared" si="7"/>
        <v>637.875</v>
      </c>
      <c r="J109" s="7" t="s">
        <v>71</v>
      </c>
      <c r="K109" s="17">
        <f t="shared" si="6"/>
        <v>4</v>
      </c>
    </row>
    <row r="110" spans="1:11" ht="13.95" customHeight="1" x14ac:dyDescent="0.3">
      <c r="A110" s="3">
        <v>45766</v>
      </c>
      <c r="B110" s="48" t="s">
        <v>890</v>
      </c>
      <c r="C110" s="3" t="s">
        <v>13</v>
      </c>
      <c r="D110" s="3" t="s">
        <v>14</v>
      </c>
      <c r="E110" s="4">
        <v>0.8</v>
      </c>
      <c r="F110" s="42">
        <v>2.8</v>
      </c>
      <c r="G110" s="6">
        <v>189</v>
      </c>
      <c r="H110" s="6">
        <v>2</v>
      </c>
      <c r="I110" s="6">
        <f t="shared" si="7"/>
        <v>846.72</v>
      </c>
      <c r="J110" s="7" t="s">
        <v>767</v>
      </c>
      <c r="K110" s="17">
        <f t="shared" si="6"/>
        <v>4</v>
      </c>
    </row>
    <row r="111" spans="1:11" ht="13.95" customHeight="1" x14ac:dyDescent="0.3">
      <c r="A111" s="3">
        <v>45767</v>
      </c>
      <c r="B111" s="48" t="s">
        <v>890</v>
      </c>
      <c r="C111" s="3" t="s">
        <v>16</v>
      </c>
      <c r="D111" s="3" t="s">
        <v>768</v>
      </c>
      <c r="E111" s="4">
        <v>0.95</v>
      </c>
      <c r="F111" s="42">
        <v>3.45</v>
      </c>
      <c r="G111" s="6">
        <v>189</v>
      </c>
      <c r="H111" s="6">
        <v>2</v>
      </c>
      <c r="I111" s="6">
        <f t="shared" si="7"/>
        <v>1238.895</v>
      </c>
      <c r="J111" s="7" t="s">
        <v>813</v>
      </c>
      <c r="K111" s="17">
        <f t="shared" si="6"/>
        <v>4</v>
      </c>
    </row>
    <row r="112" spans="1:11" ht="13.95" customHeight="1" x14ac:dyDescent="0.3">
      <c r="A112" s="3">
        <v>45768</v>
      </c>
      <c r="B112" s="48" t="s">
        <v>890</v>
      </c>
      <c r="C112" s="3" t="s">
        <v>18</v>
      </c>
      <c r="D112" s="3" t="s">
        <v>706</v>
      </c>
      <c r="E112" s="4">
        <v>0.75</v>
      </c>
      <c r="F112" s="42">
        <v>2.2000000000000002</v>
      </c>
      <c r="G112" s="6">
        <v>189</v>
      </c>
      <c r="H112" s="6">
        <v>2</v>
      </c>
      <c r="I112" s="6">
        <f t="shared" si="7"/>
        <v>623.70000000000005</v>
      </c>
      <c r="J112" s="7" t="s">
        <v>814</v>
      </c>
      <c r="K112" s="17">
        <f t="shared" si="6"/>
        <v>4</v>
      </c>
    </row>
    <row r="113" spans="1:11" ht="13.95" customHeight="1" x14ac:dyDescent="0.3">
      <c r="A113" s="3">
        <v>45769</v>
      </c>
      <c r="B113" s="48" t="s">
        <v>890</v>
      </c>
      <c r="C113" s="3" t="s">
        <v>20</v>
      </c>
      <c r="D113" s="3" t="s">
        <v>707</v>
      </c>
      <c r="E113" s="4">
        <v>0.88</v>
      </c>
      <c r="F113" s="42">
        <v>2.2999999999999998</v>
      </c>
      <c r="G113" s="6">
        <v>189</v>
      </c>
      <c r="H113" s="6">
        <v>2</v>
      </c>
      <c r="I113" s="6">
        <f t="shared" si="7"/>
        <v>765.07199999999989</v>
      </c>
      <c r="J113" s="7" t="s">
        <v>738</v>
      </c>
      <c r="K113" s="17">
        <f t="shared" si="6"/>
        <v>4</v>
      </c>
    </row>
    <row r="114" spans="1:11" ht="13.95" customHeight="1" x14ac:dyDescent="0.3">
      <c r="A114" s="3">
        <v>45770</v>
      </c>
      <c r="B114" s="48" t="s">
        <v>890</v>
      </c>
      <c r="C114" s="3" t="s">
        <v>5</v>
      </c>
      <c r="D114" s="3" t="s">
        <v>706</v>
      </c>
      <c r="E114" s="4">
        <v>0.85</v>
      </c>
      <c r="F114" s="42">
        <v>2.25</v>
      </c>
      <c r="G114" s="6">
        <v>189</v>
      </c>
      <c r="H114" s="6">
        <v>2</v>
      </c>
      <c r="I114" s="6">
        <f t="shared" si="7"/>
        <v>722.92500000000007</v>
      </c>
      <c r="J114" s="7" t="s">
        <v>771</v>
      </c>
      <c r="K114" s="17">
        <f t="shared" si="6"/>
        <v>4</v>
      </c>
    </row>
    <row r="115" spans="1:11" ht="13.95" customHeight="1" x14ac:dyDescent="0.3">
      <c r="A115" s="3">
        <v>45771</v>
      </c>
      <c r="B115" s="48" t="s">
        <v>890</v>
      </c>
      <c r="C115" s="3" t="s">
        <v>8</v>
      </c>
      <c r="D115" s="3" t="s">
        <v>706</v>
      </c>
      <c r="E115" s="4">
        <v>0.82</v>
      </c>
      <c r="F115" s="42">
        <v>2.15</v>
      </c>
      <c r="G115" s="6">
        <v>189</v>
      </c>
      <c r="H115" s="6">
        <v>2</v>
      </c>
      <c r="I115" s="6">
        <f t="shared" si="7"/>
        <v>666.41399999999987</v>
      </c>
      <c r="J115" s="7" t="s">
        <v>71</v>
      </c>
      <c r="K115" s="17">
        <f t="shared" si="6"/>
        <v>4</v>
      </c>
    </row>
    <row r="116" spans="1:11" ht="13.95" customHeight="1" x14ac:dyDescent="0.3">
      <c r="A116" s="3">
        <v>45772</v>
      </c>
      <c r="B116" s="48" t="s">
        <v>890</v>
      </c>
      <c r="C116" s="3" t="s">
        <v>11</v>
      </c>
      <c r="D116" s="3" t="s">
        <v>44</v>
      </c>
      <c r="E116" s="4">
        <v>0.78</v>
      </c>
      <c r="F116" s="42">
        <v>2.15</v>
      </c>
      <c r="G116" s="6">
        <v>189</v>
      </c>
      <c r="H116" s="6">
        <v>2</v>
      </c>
      <c r="I116" s="6">
        <f t="shared" si="7"/>
        <v>633.90600000000006</v>
      </c>
      <c r="J116" s="7" t="s">
        <v>71</v>
      </c>
      <c r="K116" s="17">
        <f t="shared" si="6"/>
        <v>4</v>
      </c>
    </row>
    <row r="117" spans="1:11" ht="13.95" customHeight="1" x14ac:dyDescent="0.3">
      <c r="A117" s="3">
        <v>45773</v>
      </c>
      <c r="B117" s="48" t="s">
        <v>890</v>
      </c>
      <c r="C117" s="3" t="s">
        <v>13</v>
      </c>
      <c r="D117" s="3" t="s">
        <v>14</v>
      </c>
      <c r="E117" s="4">
        <v>0.75</v>
      </c>
      <c r="F117" s="42">
        <v>2.75</v>
      </c>
      <c r="G117" s="6">
        <v>189</v>
      </c>
      <c r="H117" s="6">
        <v>2</v>
      </c>
      <c r="I117" s="6">
        <f t="shared" si="7"/>
        <v>779.625</v>
      </c>
      <c r="J117" s="7" t="s">
        <v>70</v>
      </c>
      <c r="K117" s="17">
        <f t="shared" si="6"/>
        <v>4</v>
      </c>
    </row>
    <row r="118" spans="1:11" ht="13.95" customHeight="1" x14ac:dyDescent="0.3">
      <c r="A118" s="3">
        <v>45774</v>
      </c>
      <c r="B118" s="48" t="s">
        <v>890</v>
      </c>
      <c r="C118" s="3" t="s">
        <v>16</v>
      </c>
      <c r="D118" s="3" t="s">
        <v>757</v>
      </c>
      <c r="E118" s="4">
        <v>0.9</v>
      </c>
      <c r="F118" s="42">
        <v>3.1</v>
      </c>
      <c r="G118" s="6">
        <v>189</v>
      </c>
      <c r="H118" s="6">
        <v>2</v>
      </c>
      <c r="I118" s="6">
        <f t="shared" si="7"/>
        <v>1054.6199999999999</v>
      </c>
      <c r="J118" s="7" t="s">
        <v>815</v>
      </c>
      <c r="K118" s="17">
        <f t="shared" si="6"/>
        <v>4</v>
      </c>
    </row>
    <row r="119" spans="1:11" ht="13.95" customHeight="1" x14ac:dyDescent="0.3">
      <c r="A119" s="3">
        <v>45775</v>
      </c>
      <c r="B119" s="48" t="s">
        <v>890</v>
      </c>
      <c r="C119" s="3" t="s">
        <v>18</v>
      </c>
      <c r="D119" s="3" t="s">
        <v>706</v>
      </c>
      <c r="E119" s="4">
        <v>0.8</v>
      </c>
      <c r="F119" s="42">
        <v>2.2000000000000002</v>
      </c>
      <c r="G119" s="6">
        <v>189</v>
      </c>
      <c r="H119" s="6">
        <v>2</v>
      </c>
      <c r="I119" s="6">
        <f t="shared" si="7"/>
        <v>665.28000000000009</v>
      </c>
      <c r="J119" s="7" t="s">
        <v>745</v>
      </c>
      <c r="K119" s="17">
        <f t="shared" si="6"/>
        <v>4</v>
      </c>
    </row>
    <row r="120" spans="1:11" ht="13.95" customHeight="1" x14ac:dyDescent="0.3">
      <c r="A120" s="3">
        <v>45776</v>
      </c>
      <c r="B120" s="48" t="s">
        <v>890</v>
      </c>
      <c r="C120" s="3" t="s">
        <v>20</v>
      </c>
      <c r="D120" s="3" t="s">
        <v>706</v>
      </c>
      <c r="E120" s="4">
        <v>0.85</v>
      </c>
      <c r="F120" s="42">
        <v>2.25</v>
      </c>
      <c r="G120" s="6">
        <v>189</v>
      </c>
      <c r="H120" s="6">
        <v>2</v>
      </c>
      <c r="I120" s="6">
        <f t="shared" si="7"/>
        <v>722.92500000000007</v>
      </c>
      <c r="J120" s="7" t="s">
        <v>99</v>
      </c>
      <c r="K120" s="17">
        <f t="shared" si="6"/>
        <v>4</v>
      </c>
    </row>
    <row r="121" spans="1:11" ht="13.95" customHeight="1" x14ac:dyDescent="0.3">
      <c r="A121" s="3">
        <v>45777</v>
      </c>
      <c r="B121" s="48" t="s">
        <v>890</v>
      </c>
      <c r="C121" s="3" t="s">
        <v>5</v>
      </c>
      <c r="D121" s="3" t="s">
        <v>706</v>
      </c>
      <c r="E121" s="4">
        <v>0.82</v>
      </c>
      <c r="F121" s="42">
        <v>2.2000000000000002</v>
      </c>
      <c r="G121" s="6">
        <v>189</v>
      </c>
      <c r="H121" s="6">
        <v>2</v>
      </c>
      <c r="I121" s="6">
        <f t="shared" si="7"/>
        <v>681.91200000000003</v>
      </c>
      <c r="J121" s="7" t="s">
        <v>71</v>
      </c>
      <c r="K121" s="17">
        <f t="shared" si="6"/>
        <v>4</v>
      </c>
    </row>
    <row r="122" spans="1:11" ht="13.95" customHeight="1" x14ac:dyDescent="0.3">
      <c r="A122" s="3">
        <v>45778</v>
      </c>
      <c r="B122" s="48" t="s">
        <v>890</v>
      </c>
      <c r="C122" s="3" t="s">
        <v>8</v>
      </c>
      <c r="D122" s="3" t="s">
        <v>742</v>
      </c>
      <c r="E122" s="4">
        <v>0.8</v>
      </c>
      <c r="F122" s="42">
        <v>2.5</v>
      </c>
      <c r="G122" s="6">
        <v>189</v>
      </c>
      <c r="H122" s="6">
        <v>2</v>
      </c>
      <c r="I122" s="6">
        <f t="shared" si="7"/>
        <v>756.00000000000011</v>
      </c>
      <c r="J122" s="7" t="s">
        <v>743</v>
      </c>
      <c r="K122" s="17">
        <f t="shared" si="6"/>
        <v>5</v>
      </c>
    </row>
    <row r="123" spans="1:11" ht="13.95" customHeight="1" x14ac:dyDescent="0.3">
      <c r="A123" s="3">
        <v>45779</v>
      </c>
      <c r="B123" s="48" t="s">
        <v>890</v>
      </c>
      <c r="C123" s="3" t="s">
        <v>11</v>
      </c>
      <c r="D123" s="3" t="s">
        <v>744</v>
      </c>
      <c r="E123" s="4">
        <v>0.75</v>
      </c>
      <c r="F123" s="42">
        <v>2.2000000000000002</v>
      </c>
      <c r="G123" s="6">
        <v>189</v>
      </c>
      <c r="H123" s="6">
        <v>2</v>
      </c>
      <c r="I123" s="6">
        <f t="shared" si="7"/>
        <v>623.70000000000005</v>
      </c>
      <c r="J123" s="7" t="s">
        <v>817</v>
      </c>
      <c r="K123" s="17">
        <f t="shared" si="6"/>
        <v>5</v>
      </c>
    </row>
    <row r="124" spans="1:11" ht="13.95" customHeight="1" x14ac:dyDescent="0.3">
      <c r="A124" s="3">
        <v>45780</v>
      </c>
      <c r="B124" s="48" t="s">
        <v>890</v>
      </c>
      <c r="C124" s="3" t="s">
        <v>13</v>
      </c>
      <c r="D124" s="3" t="s">
        <v>14</v>
      </c>
      <c r="E124" s="4">
        <v>0.78</v>
      </c>
      <c r="F124" s="42">
        <v>2.75</v>
      </c>
      <c r="G124" s="6">
        <v>189</v>
      </c>
      <c r="H124" s="6">
        <v>2</v>
      </c>
      <c r="I124" s="6">
        <f t="shared" si="7"/>
        <v>810.81000000000006</v>
      </c>
      <c r="J124" s="7" t="s">
        <v>818</v>
      </c>
      <c r="K124" s="17">
        <f t="shared" si="6"/>
        <v>5</v>
      </c>
    </row>
    <row r="125" spans="1:11" ht="13.95" customHeight="1" x14ac:dyDescent="0.3">
      <c r="A125" s="3">
        <v>45781</v>
      </c>
      <c r="B125" s="48" t="s">
        <v>890</v>
      </c>
      <c r="C125" s="3" t="s">
        <v>16</v>
      </c>
      <c r="D125" s="3" t="s">
        <v>757</v>
      </c>
      <c r="E125" s="4">
        <v>0.92</v>
      </c>
      <c r="F125" s="42">
        <v>3.2</v>
      </c>
      <c r="G125" s="6">
        <v>189</v>
      </c>
      <c r="H125" s="6">
        <v>2</v>
      </c>
      <c r="I125" s="6">
        <f t="shared" si="7"/>
        <v>1112.8320000000001</v>
      </c>
      <c r="J125" s="7" t="s">
        <v>745</v>
      </c>
      <c r="K125" s="17">
        <f t="shared" si="6"/>
        <v>5</v>
      </c>
    </row>
    <row r="126" spans="1:11" ht="13.95" customHeight="1" x14ac:dyDescent="0.3">
      <c r="A126" s="3">
        <v>45782</v>
      </c>
      <c r="B126" s="48" t="s">
        <v>890</v>
      </c>
      <c r="C126" s="3" t="s">
        <v>18</v>
      </c>
      <c r="D126" s="3" t="s">
        <v>706</v>
      </c>
      <c r="E126" s="4">
        <v>0.82</v>
      </c>
      <c r="F126" s="42">
        <v>2.2000000000000002</v>
      </c>
      <c r="G126" s="6">
        <v>189</v>
      </c>
      <c r="H126" s="6">
        <v>2</v>
      </c>
      <c r="I126" s="6">
        <f t="shared" si="7"/>
        <v>681.91200000000003</v>
      </c>
      <c r="J126" s="7" t="s">
        <v>819</v>
      </c>
      <c r="K126" s="17">
        <f t="shared" si="6"/>
        <v>5</v>
      </c>
    </row>
    <row r="127" spans="1:11" ht="13.95" customHeight="1" x14ac:dyDescent="0.3">
      <c r="A127" s="3">
        <v>45783</v>
      </c>
      <c r="B127" s="48" t="s">
        <v>890</v>
      </c>
      <c r="C127" s="3" t="s">
        <v>20</v>
      </c>
      <c r="D127" s="3" t="s">
        <v>707</v>
      </c>
      <c r="E127" s="4">
        <v>0.9</v>
      </c>
      <c r="F127" s="42">
        <v>2.2999999999999998</v>
      </c>
      <c r="G127" s="6">
        <v>189</v>
      </c>
      <c r="H127" s="6">
        <v>2</v>
      </c>
      <c r="I127" s="6">
        <f t="shared" si="7"/>
        <v>782.45999999999992</v>
      </c>
      <c r="J127" s="7" t="s">
        <v>771</v>
      </c>
      <c r="K127" s="17">
        <f t="shared" si="6"/>
        <v>5</v>
      </c>
    </row>
    <row r="128" spans="1:11" ht="13.95" customHeight="1" x14ac:dyDescent="0.3">
      <c r="A128" s="3">
        <v>45784</v>
      </c>
      <c r="B128" s="48" t="s">
        <v>890</v>
      </c>
      <c r="C128" s="3" t="s">
        <v>5</v>
      </c>
      <c r="D128" s="3" t="s">
        <v>706</v>
      </c>
      <c r="E128" s="4">
        <v>0.88</v>
      </c>
      <c r="F128" s="42">
        <v>2.25</v>
      </c>
      <c r="G128" s="6">
        <v>189</v>
      </c>
      <c r="H128" s="6">
        <v>2</v>
      </c>
      <c r="I128" s="6">
        <f t="shared" si="7"/>
        <v>748.43999999999994</v>
      </c>
      <c r="J128" s="7" t="s">
        <v>776</v>
      </c>
      <c r="K128" s="17">
        <f t="shared" si="6"/>
        <v>5</v>
      </c>
    </row>
    <row r="129" spans="1:11" ht="13.95" customHeight="1" x14ac:dyDescent="0.3">
      <c r="A129" s="3">
        <v>45785</v>
      </c>
      <c r="B129" s="48" t="s">
        <v>890</v>
      </c>
      <c r="C129" s="3" t="s">
        <v>8</v>
      </c>
      <c r="D129" s="3" t="s">
        <v>706</v>
      </c>
      <c r="E129" s="4">
        <v>0.85</v>
      </c>
      <c r="F129" s="42">
        <v>2.2000000000000002</v>
      </c>
      <c r="G129" s="6">
        <v>189</v>
      </c>
      <c r="H129" s="6">
        <v>2</v>
      </c>
      <c r="I129" s="6">
        <f t="shared" si="7"/>
        <v>706.86000000000013</v>
      </c>
      <c r="J129" s="7" t="s">
        <v>71</v>
      </c>
      <c r="K129" s="17">
        <f t="shared" si="6"/>
        <v>5</v>
      </c>
    </row>
    <row r="130" spans="1:11" ht="13.95" customHeight="1" x14ac:dyDescent="0.3">
      <c r="A130" s="3">
        <v>45786</v>
      </c>
      <c r="B130" s="48" t="s">
        <v>890</v>
      </c>
      <c r="C130" s="3" t="s">
        <v>11</v>
      </c>
      <c r="D130" s="3" t="s">
        <v>44</v>
      </c>
      <c r="E130" s="4">
        <v>0.8</v>
      </c>
      <c r="F130" s="42">
        <v>2.15</v>
      </c>
      <c r="G130" s="6">
        <v>189</v>
      </c>
      <c r="H130" s="6">
        <v>2</v>
      </c>
      <c r="I130" s="6">
        <f t="shared" si="7"/>
        <v>650.16000000000008</v>
      </c>
      <c r="J130" s="7" t="s">
        <v>82</v>
      </c>
      <c r="K130" s="17">
        <f t="shared" si="6"/>
        <v>5</v>
      </c>
    </row>
    <row r="131" spans="1:11" ht="13.95" customHeight="1" x14ac:dyDescent="0.3">
      <c r="A131" s="3">
        <v>45787</v>
      </c>
      <c r="B131" s="48" t="s">
        <v>890</v>
      </c>
      <c r="C131" s="3" t="s">
        <v>13</v>
      </c>
      <c r="D131" s="3" t="s">
        <v>14</v>
      </c>
      <c r="E131" s="4">
        <v>0.75</v>
      </c>
      <c r="F131" s="42">
        <v>2.8</v>
      </c>
      <c r="G131" s="6">
        <v>189</v>
      </c>
      <c r="H131" s="6">
        <v>2</v>
      </c>
      <c r="I131" s="6">
        <f t="shared" si="7"/>
        <v>793.8</v>
      </c>
      <c r="J131" s="7" t="s">
        <v>820</v>
      </c>
      <c r="K131" s="17">
        <f t="shared" ref="K131:K194" si="8">MONTH(A131)</f>
        <v>5</v>
      </c>
    </row>
    <row r="132" spans="1:11" ht="13.95" customHeight="1" x14ac:dyDescent="0.3">
      <c r="A132" s="3">
        <v>45788</v>
      </c>
      <c r="B132" s="48" t="s">
        <v>890</v>
      </c>
      <c r="C132" s="3" t="s">
        <v>16</v>
      </c>
      <c r="D132" s="3" t="s">
        <v>757</v>
      </c>
      <c r="E132" s="4">
        <v>0.88</v>
      </c>
      <c r="F132" s="42">
        <v>3.1</v>
      </c>
      <c r="G132" s="6">
        <v>189</v>
      </c>
      <c r="H132" s="6">
        <v>2</v>
      </c>
      <c r="I132" s="6">
        <f t="shared" si="7"/>
        <v>1031.184</v>
      </c>
      <c r="J132" s="7" t="s">
        <v>238</v>
      </c>
      <c r="K132" s="17">
        <f t="shared" si="8"/>
        <v>5</v>
      </c>
    </row>
    <row r="133" spans="1:11" ht="13.95" customHeight="1" x14ac:dyDescent="0.3">
      <c r="A133" s="3">
        <v>45789</v>
      </c>
      <c r="B133" s="48" t="s">
        <v>890</v>
      </c>
      <c r="C133" s="3" t="s">
        <v>18</v>
      </c>
      <c r="D133" s="3" t="s">
        <v>706</v>
      </c>
      <c r="E133" s="4">
        <v>0.84</v>
      </c>
      <c r="F133" s="42">
        <v>2.2000000000000002</v>
      </c>
      <c r="G133" s="6">
        <v>189</v>
      </c>
      <c r="H133" s="6">
        <v>2</v>
      </c>
      <c r="I133" s="6">
        <f t="shared" si="7"/>
        <v>698.54399999999998</v>
      </c>
      <c r="J133" s="7" t="s">
        <v>65</v>
      </c>
      <c r="K133" s="17">
        <f t="shared" si="8"/>
        <v>5</v>
      </c>
    </row>
    <row r="134" spans="1:11" ht="13.95" customHeight="1" x14ac:dyDescent="0.3">
      <c r="A134" s="3">
        <v>45790</v>
      </c>
      <c r="B134" s="48" t="s">
        <v>890</v>
      </c>
      <c r="C134" s="3" t="s">
        <v>20</v>
      </c>
      <c r="D134" s="3" t="s">
        <v>706</v>
      </c>
      <c r="E134" s="4">
        <v>0.86</v>
      </c>
      <c r="F134" s="42">
        <v>2.25</v>
      </c>
      <c r="G134" s="6">
        <v>189</v>
      </c>
      <c r="H134" s="6">
        <v>2</v>
      </c>
      <c r="I134" s="6">
        <f t="shared" si="7"/>
        <v>731.43</v>
      </c>
      <c r="J134" s="7" t="s">
        <v>71</v>
      </c>
      <c r="K134" s="17">
        <f t="shared" si="8"/>
        <v>5</v>
      </c>
    </row>
    <row r="135" spans="1:11" ht="13.95" customHeight="1" x14ac:dyDescent="0.3">
      <c r="A135" s="3">
        <v>45791</v>
      </c>
      <c r="B135" s="48" t="s">
        <v>890</v>
      </c>
      <c r="C135" s="3" t="s">
        <v>5</v>
      </c>
      <c r="D135" s="3" t="s">
        <v>706</v>
      </c>
      <c r="E135" s="4">
        <v>0.82</v>
      </c>
      <c r="F135" s="42">
        <v>2.2000000000000002</v>
      </c>
      <c r="G135" s="6">
        <v>189</v>
      </c>
      <c r="H135" s="6">
        <v>2</v>
      </c>
      <c r="I135" s="6">
        <f t="shared" si="7"/>
        <v>681.91200000000003</v>
      </c>
      <c r="J135" s="7" t="s">
        <v>71</v>
      </c>
      <c r="K135" s="17">
        <f t="shared" si="8"/>
        <v>5</v>
      </c>
    </row>
    <row r="136" spans="1:11" ht="13.95" customHeight="1" x14ac:dyDescent="0.3">
      <c r="A136" s="3">
        <v>45792</v>
      </c>
      <c r="B136" s="48" t="s">
        <v>890</v>
      </c>
      <c r="C136" s="3" t="s">
        <v>8</v>
      </c>
      <c r="D136" s="3" t="s">
        <v>706</v>
      </c>
      <c r="E136" s="4">
        <v>0.8</v>
      </c>
      <c r="F136" s="42">
        <v>2.2000000000000002</v>
      </c>
      <c r="G136" s="6">
        <v>189</v>
      </c>
      <c r="H136" s="6">
        <v>2</v>
      </c>
      <c r="I136" s="6">
        <f t="shared" si="7"/>
        <v>665.28000000000009</v>
      </c>
      <c r="J136" s="7" t="s">
        <v>71</v>
      </c>
      <c r="K136" s="17">
        <f t="shared" si="8"/>
        <v>5</v>
      </c>
    </row>
    <row r="137" spans="1:11" ht="13.95" customHeight="1" x14ac:dyDescent="0.3">
      <c r="A137" s="3">
        <v>45793</v>
      </c>
      <c r="B137" s="48" t="s">
        <v>890</v>
      </c>
      <c r="C137" s="3" t="s">
        <v>11</v>
      </c>
      <c r="D137" s="3" t="s">
        <v>44</v>
      </c>
      <c r="E137" s="4">
        <v>0.78</v>
      </c>
      <c r="F137" s="42">
        <v>2.15</v>
      </c>
      <c r="G137" s="6">
        <v>189</v>
      </c>
      <c r="H137" s="6">
        <v>2</v>
      </c>
      <c r="I137" s="6">
        <f t="shared" si="7"/>
        <v>633.90600000000006</v>
      </c>
      <c r="J137" s="7" t="s">
        <v>70</v>
      </c>
      <c r="K137" s="17">
        <f t="shared" si="8"/>
        <v>5</v>
      </c>
    </row>
    <row r="138" spans="1:11" ht="13.95" customHeight="1" x14ac:dyDescent="0.3">
      <c r="A138" s="3">
        <v>45794</v>
      </c>
      <c r="B138" s="48" t="s">
        <v>890</v>
      </c>
      <c r="C138" s="3" t="s">
        <v>13</v>
      </c>
      <c r="D138" s="3" t="s">
        <v>14</v>
      </c>
      <c r="E138" s="4">
        <v>0.75</v>
      </c>
      <c r="F138" s="42">
        <v>2.75</v>
      </c>
      <c r="G138" s="6">
        <v>189</v>
      </c>
      <c r="H138" s="6">
        <v>2</v>
      </c>
      <c r="I138" s="6">
        <f t="shared" si="7"/>
        <v>779.625</v>
      </c>
      <c r="J138" s="7" t="s">
        <v>710</v>
      </c>
      <c r="K138" s="17">
        <f t="shared" si="8"/>
        <v>5</v>
      </c>
    </row>
    <row r="139" spans="1:11" ht="13.95" customHeight="1" x14ac:dyDescent="0.3">
      <c r="A139" s="3">
        <v>45795</v>
      </c>
      <c r="B139" s="48" t="s">
        <v>890</v>
      </c>
      <c r="C139" s="3" t="s">
        <v>16</v>
      </c>
      <c r="D139" s="3" t="s">
        <v>757</v>
      </c>
      <c r="E139" s="4">
        <v>0.85</v>
      </c>
      <c r="F139" s="42">
        <v>3.05</v>
      </c>
      <c r="G139" s="6">
        <v>189</v>
      </c>
      <c r="H139" s="6">
        <v>2</v>
      </c>
      <c r="I139" s="6">
        <f t="shared" si="7"/>
        <v>979.96500000000003</v>
      </c>
      <c r="J139" s="7" t="s">
        <v>69</v>
      </c>
      <c r="K139" s="17">
        <f t="shared" si="8"/>
        <v>5</v>
      </c>
    </row>
    <row r="140" spans="1:11" ht="13.95" customHeight="1" x14ac:dyDescent="0.3">
      <c r="A140" s="3">
        <v>45796</v>
      </c>
      <c r="B140" s="48" t="s">
        <v>890</v>
      </c>
      <c r="C140" s="3" t="s">
        <v>18</v>
      </c>
      <c r="D140" s="3" t="s">
        <v>706</v>
      </c>
      <c r="E140" s="4">
        <v>0.84</v>
      </c>
      <c r="F140" s="42">
        <v>2.2000000000000002</v>
      </c>
      <c r="G140" s="6">
        <v>189</v>
      </c>
      <c r="H140" s="6">
        <v>2</v>
      </c>
      <c r="I140" s="6">
        <f t="shared" si="7"/>
        <v>698.54399999999998</v>
      </c>
      <c r="J140" s="7" t="s">
        <v>286</v>
      </c>
      <c r="K140" s="17">
        <f t="shared" si="8"/>
        <v>5</v>
      </c>
    </row>
    <row r="141" spans="1:11" ht="13.95" customHeight="1" x14ac:dyDescent="0.3">
      <c r="A141" s="3">
        <v>45797</v>
      </c>
      <c r="B141" s="48" t="s">
        <v>890</v>
      </c>
      <c r="C141" s="3" t="s">
        <v>20</v>
      </c>
      <c r="D141" s="3" t="s">
        <v>707</v>
      </c>
      <c r="E141" s="4">
        <v>0.92</v>
      </c>
      <c r="F141" s="42">
        <v>2.2999999999999998</v>
      </c>
      <c r="G141" s="6">
        <v>189</v>
      </c>
      <c r="H141" s="6">
        <v>2</v>
      </c>
      <c r="I141" s="6">
        <f t="shared" si="7"/>
        <v>799.84799999999996</v>
      </c>
      <c r="J141" s="7" t="s">
        <v>771</v>
      </c>
      <c r="K141" s="17">
        <f t="shared" si="8"/>
        <v>5</v>
      </c>
    </row>
    <row r="142" spans="1:11" ht="13.95" customHeight="1" x14ac:dyDescent="0.3">
      <c r="A142" s="3">
        <v>45798</v>
      </c>
      <c r="B142" s="48" t="s">
        <v>890</v>
      </c>
      <c r="C142" s="3" t="s">
        <v>5</v>
      </c>
      <c r="D142" s="3" t="s">
        <v>706</v>
      </c>
      <c r="E142" s="4">
        <v>0.88</v>
      </c>
      <c r="F142" s="42">
        <v>2.25</v>
      </c>
      <c r="G142" s="6">
        <v>189</v>
      </c>
      <c r="H142" s="6">
        <v>2</v>
      </c>
      <c r="I142" s="6">
        <f t="shared" si="7"/>
        <v>748.43999999999994</v>
      </c>
      <c r="J142" s="7" t="s">
        <v>71</v>
      </c>
      <c r="K142" s="17">
        <f t="shared" si="8"/>
        <v>5</v>
      </c>
    </row>
    <row r="143" spans="1:11" ht="13.95" customHeight="1" x14ac:dyDescent="0.3">
      <c r="A143" s="3">
        <v>45799</v>
      </c>
      <c r="B143" s="48" t="s">
        <v>890</v>
      </c>
      <c r="C143" s="3" t="s">
        <v>8</v>
      </c>
      <c r="D143" s="3" t="s">
        <v>706</v>
      </c>
      <c r="E143" s="4">
        <v>0.85</v>
      </c>
      <c r="F143" s="42">
        <v>2.2000000000000002</v>
      </c>
      <c r="G143" s="6">
        <v>189</v>
      </c>
      <c r="H143" s="6">
        <v>2</v>
      </c>
      <c r="I143" s="6">
        <f t="shared" si="7"/>
        <v>706.86000000000013</v>
      </c>
      <c r="J143" s="7" t="s">
        <v>71</v>
      </c>
      <c r="K143" s="17">
        <f t="shared" si="8"/>
        <v>5</v>
      </c>
    </row>
    <row r="144" spans="1:11" ht="13.95" customHeight="1" x14ac:dyDescent="0.3">
      <c r="A144" s="3">
        <v>45800</v>
      </c>
      <c r="B144" s="48" t="s">
        <v>890</v>
      </c>
      <c r="C144" s="3" t="s">
        <v>11</v>
      </c>
      <c r="D144" s="3" t="s">
        <v>44</v>
      </c>
      <c r="E144" s="4">
        <v>0.78</v>
      </c>
      <c r="F144" s="42">
        <v>2.15</v>
      </c>
      <c r="G144" s="6">
        <v>189</v>
      </c>
      <c r="H144" s="6">
        <v>2</v>
      </c>
      <c r="I144" s="6">
        <f t="shared" si="7"/>
        <v>633.90600000000006</v>
      </c>
      <c r="J144" s="7" t="s">
        <v>70</v>
      </c>
      <c r="K144" s="17">
        <f t="shared" si="8"/>
        <v>5</v>
      </c>
    </row>
    <row r="145" spans="1:11" ht="13.95" customHeight="1" x14ac:dyDescent="0.3">
      <c r="A145" s="3">
        <v>45801</v>
      </c>
      <c r="B145" s="48" t="s">
        <v>890</v>
      </c>
      <c r="C145" s="3" t="s">
        <v>13</v>
      </c>
      <c r="D145" s="3" t="s">
        <v>14</v>
      </c>
      <c r="E145" s="4">
        <v>0.8</v>
      </c>
      <c r="F145" s="42">
        <v>2.85</v>
      </c>
      <c r="G145" s="6">
        <v>189</v>
      </c>
      <c r="H145" s="6">
        <v>2</v>
      </c>
      <c r="I145" s="6">
        <f t="shared" si="7"/>
        <v>861.84000000000015</v>
      </c>
      <c r="J145" s="7" t="s">
        <v>821</v>
      </c>
      <c r="K145" s="17">
        <f t="shared" si="8"/>
        <v>5</v>
      </c>
    </row>
    <row r="146" spans="1:11" ht="13.95" customHeight="1" x14ac:dyDescent="0.3">
      <c r="A146" s="3">
        <v>45802</v>
      </c>
      <c r="B146" s="48" t="s">
        <v>890</v>
      </c>
      <c r="C146" s="3" t="s">
        <v>16</v>
      </c>
      <c r="D146" s="3" t="s">
        <v>747</v>
      </c>
      <c r="E146" s="4">
        <v>0.95</v>
      </c>
      <c r="F146" s="42">
        <v>3.3</v>
      </c>
      <c r="G146" s="6">
        <v>189</v>
      </c>
      <c r="H146" s="6">
        <v>2</v>
      </c>
      <c r="I146" s="6">
        <f t="shared" si="7"/>
        <v>1185.0299999999997</v>
      </c>
      <c r="J146" s="7" t="s">
        <v>822</v>
      </c>
      <c r="K146" s="17">
        <f t="shared" si="8"/>
        <v>5</v>
      </c>
    </row>
    <row r="147" spans="1:11" ht="13.95" customHeight="1" x14ac:dyDescent="0.3">
      <c r="A147" s="3">
        <v>45803</v>
      </c>
      <c r="B147" s="48" t="s">
        <v>890</v>
      </c>
      <c r="C147" s="3" t="s">
        <v>18</v>
      </c>
      <c r="D147" s="3" t="s">
        <v>706</v>
      </c>
      <c r="E147" s="4">
        <v>0.82</v>
      </c>
      <c r="F147" s="42">
        <v>2.2000000000000002</v>
      </c>
      <c r="G147" s="6">
        <v>189</v>
      </c>
      <c r="H147" s="6">
        <v>2</v>
      </c>
      <c r="I147" s="6">
        <f t="shared" si="7"/>
        <v>681.91200000000003</v>
      </c>
      <c r="J147" s="7" t="s">
        <v>505</v>
      </c>
      <c r="K147" s="17">
        <f t="shared" si="8"/>
        <v>5</v>
      </c>
    </row>
    <row r="148" spans="1:11" ht="13.95" customHeight="1" x14ac:dyDescent="0.3">
      <c r="A148" s="3">
        <v>45804</v>
      </c>
      <c r="B148" s="48" t="s">
        <v>890</v>
      </c>
      <c r="C148" s="3" t="s">
        <v>20</v>
      </c>
      <c r="D148" s="3" t="s">
        <v>706</v>
      </c>
      <c r="E148" s="4">
        <v>0.85</v>
      </c>
      <c r="F148" s="42">
        <v>2.25</v>
      </c>
      <c r="G148" s="6">
        <v>189</v>
      </c>
      <c r="H148" s="6">
        <v>2</v>
      </c>
      <c r="I148" s="6">
        <f t="shared" si="7"/>
        <v>722.92500000000007</v>
      </c>
      <c r="J148" s="7" t="s">
        <v>71</v>
      </c>
      <c r="K148" s="17">
        <f t="shared" si="8"/>
        <v>5</v>
      </c>
    </row>
    <row r="149" spans="1:11" ht="13.95" customHeight="1" x14ac:dyDescent="0.3">
      <c r="A149" s="3">
        <v>45805</v>
      </c>
      <c r="B149" s="48" t="s">
        <v>890</v>
      </c>
      <c r="C149" s="3" t="s">
        <v>5</v>
      </c>
      <c r="D149" s="3" t="s">
        <v>706</v>
      </c>
      <c r="E149" s="4">
        <v>0.82</v>
      </c>
      <c r="F149" s="42">
        <v>2.2000000000000002</v>
      </c>
      <c r="G149" s="6">
        <v>189</v>
      </c>
      <c r="H149" s="6">
        <v>2</v>
      </c>
      <c r="I149" s="6">
        <f t="shared" si="7"/>
        <v>681.91200000000003</v>
      </c>
      <c r="J149" s="7" t="s">
        <v>71</v>
      </c>
      <c r="K149" s="17">
        <f t="shared" si="8"/>
        <v>5</v>
      </c>
    </row>
    <row r="150" spans="1:11" ht="13.95" customHeight="1" x14ac:dyDescent="0.3">
      <c r="A150" s="3">
        <v>45806</v>
      </c>
      <c r="B150" s="48" t="s">
        <v>890</v>
      </c>
      <c r="C150" s="3" t="s">
        <v>8</v>
      </c>
      <c r="D150" s="3" t="s">
        <v>706</v>
      </c>
      <c r="E150" s="4">
        <v>0.8</v>
      </c>
      <c r="F150" s="42">
        <v>2.15</v>
      </c>
      <c r="G150" s="6">
        <v>189</v>
      </c>
      <c r="H150" s="6">
        <v>2</v>
      </c>
      <c r="I150" s="6">
        <f t="shared" si="7"/>
        <v>650.16000000000008</v>
      </c>
      <c r="J150" s="7" t="s">
        <v>71</v>
      </c>
      <c r="K150" s="17">
        <f t="shared" si="8"/>
        <v>5</v>
      </c>
    </row>
    <row r="151" spans="1:11" ht="13.95" customHeight="1" x14ac:dyDescent="0.3">
      <c r="A151" s="3">
        <v>45807</v>
      </c>
      <c r="B151" s="48" t="s">
        <v>890</v>
      </c>
      <c r="C151" s="3" t="s">
        <v>11</v>
      </c>
      <c r="D151" s="3" t="s">
        <v>44</v>
      </c>
      <c r="E151" s="4">
        <v>0.78</v>
      </c>
      <c r="F151" s="42">
        <v>2.15</v>
      </c>
      <c r="G151" s="6">
        <v>189</v>
      </c>
      <c r="H151" s="6">
        <v>2</v>
      </c>
      <c r="I151" s="6">
        <f t="shared" si="7"/>
        <v>633.90600000000006</v>
      </c>
      <c r="J151" s="7" t="s">
        <v>748</v>
      </c>
      <c r="K151" s="17">
        <f t="shared" si="8"/>
        <v>5</v>
      </c>
    </row>
    <row r="152" spans="1:11" ht="13.95" customHeight="1" x14ac:dyDescent="0.3">
      <c r="A152" s="3">
        <v>45808</v>
      </c>
      <c r="B152" s="48" t="s">
        <v>890</v>
      </c>
      <c r="C152" s="3" t="s">
        <v>13</v>
      </c>
      <c r="D152" s="3" t="s">
        <v>14</v>
      </c>
      <c r="E152" s="4">
        <v>0.82</v>
      </c>
      <c r="F152" s="42">
        <v>2.8</v>
      </c>
      <c r="G152" s="6">
        <v>189</v>
      </c>
      <c r="H152" s="6">
        <v>2</v>
      </c>
      <c r="I152" s="6">
        <f t="shared" si="7"/>
        <v>867.88799999999992</v>
      </c>
      <c r="J152" s="7" t="s">
        <v>823</v>
      </c>
      <c r="K152" s="17">
        <f t="shared" si="8"/>
        <v>5</v>
      </c>
    </row>
    <row r="153" spans="1:11" ht="13.95" customHeight="1" x14ac:dyDescent="0.3">
      <c r="A153" s="3">
        <v>45778</v>
      </c>
      <c r="B153" s="48" t="s">
        <v>890</v>
      </c>
      <c r="C153" s="3" t="s">
        <v>8</v>
      </c>
      <c r="D153" s="3" t="s">
        <v>742</v>
      </c>
      <c r="E153" s="4">
        <v>0.8</v>
      </c>
      <c r="F153" s="42">
        <v>2.5</v>
      </c>
      <c r="G153" s="6">
        <v>189</v>
      </c>
      <c r="H153" s="6">
        <v>2</v>
      </c>
      <c r="I153" s="6">
        <f t="shared" si="7"/>
        <v>756.00000000000011</v>
      </c>
      <c r="J153" s="7" t="s">
        <v>743</v>
      </c>
      <c r="K153" s="17">
        <f t="shared" si="8"/>
        <v>5</v>
      </c>
    </row>
    <row r="154" spans="1:11" ht="13.95" customHeight="1" x14ac:dyDescent="0.3">
      <c r="A154" s="3">
        <v>45779</v>
      </c>
      <c r="B154" s="48" t="s">
        <v>890</v>
      </c>
      <c r="C154" s="3" t="s">
        <v>11</v>
      </c>
      <c r="D154" s="3" t="s">
        <v>744</v>
      </c>
      <c r="E154" s="4">
        <v>0.75</v>
      </c>
      <c r="F154" s="42">
        <v>2.2000000000000002</v>
      </c>
      <c r="G154" s="6">
        <v>189</v>
      </c>
      <c r="H154" s="6">
        <v>2</v>
      </c>
      <c r="I154" s="6">
        <f t="shared" si="7"/>
        <v>623.70000000000005</v>
      </c>
      <c r="J154" s="7" t="s">
        <v>817</v>
      </c>
      <c r="K154" s="17">
        <f t="shared" si="8"/>
        <v>5</v>
      </c>
    </row>
    <row r="155" spans="1:11" ht="13.95" customHeight="1" x14ac:dyDescent="0.3">
      <c r="A155" s="3">
        <v>45780</v>
      </c>
      <c r="B155" s="48" t="s">
        <v>890</v>
      </c>
      <c r="C155" s="3" t="s">
        <v>13</v>
      </c>
      <c r="D155" s="3" t="s">
        <v>14</v>
      </c>
      <c r="E155" s="4">
        <v>0.78</v>
      </c>
      <c r="F155" s="42">
        <v>2.75</v>
      </c>
      <c r="G155" s="6">
        <v>189</v>
      </c>
      <c r="H155" s="6">
        <v>2</v>
      </c>
      <c r="I155" s="6">
        <f t="shared" si="7"/>
        <v>810.81000000000006</v>
      </c>
      <c r="J155" s="7" t="s">
        <v>818</v>
      </c>
      <c r="K155" s="17">
        <f t="shared" si="8"/>
        <v>5</v>
      </c>
    </row>
    <row r="156" spans="1:11" ht="13.95" customHeight="1" x14ac:dyDescent="0.3">
      <c r="A156" s="3">
        <v>45781</v>
      </c>
      <c r="B156" s="48" t="s">
        <v>890</v>
      </c>
      <c r="C156" s="3" t="s">
        <v>16</v>
      </c>
      <c r="D156" s="3" t="s">
        <v>757</v>
      </c>
      <c r="E156" s="4">
        <v>0.92</v>
      </c>
      <c r="F156" s="42">
        <v>3.2</v>
      </c>
      <c r="G156" s="6">
        <v>189</v>
      </c>
      <c r="H156" s="6">
        <v>2</v>
      </c>
      <c r="I156" s="6">
        <f t="shared" si="7"/>
        <v>1112.8320000000001</v>
      </c>
      <c r="J156" s="7" t="s">
        <v>745</v>
      </c>
      <c r="K156" s="17">
        <f t="shared" si="8"/>
        <v>5</v>
      </c>
    </row>
    <row r="157" spans="1:11" ht="13.95" customHeight="1" x14ac:dyDescent="0.3">
      <c r="A157" s="3">
        <v>45782</v>
      </c>
      <c r="B157" s="48" t="s">
        <v>890</v>
      </c>
      <c r="C157" s="3" t="s">
        <v>18</v>
      </c>
      <c r="D157" s="3" t="s">
        <v>706</v>
      </c>
      <c r="E157" s="4">
        <v>0.82</v>
      </c>
      <c r="F157" s="42">
        <v>2.2000000000000002</v>
      </c>
      <c r="G157" s="6">
        <v>189</v>
      </c>
      <c r="H157" s="6">
        <v>2</v>
      </c>
      <c r="I157" s="6">
        <f t="shared" si="7"/>
        <v>681.91200000000003</v>
      </c>
      <c r="J157" s="7" t="s">
        <v>819</v>
      </c>
      <c r="K157" s="17">
        <f t="shared" si="8"/>
        <v>5</v>
      </c>
    </row>
    <row r="158" spans="1:11" ht="13.95" customHeight="1" x14ac:dyDescent="0.3">
      <c r="A158" s="3">
        <v>45783</v>
      </c>
      <c r="B158" s="48" t="s">
        <v>890</v>
      </c>
      <c r="C158" s="3" t="s">
        <v>20</v>
      </c>
      <c r="D158" s="3" t="s">
        <v>707</v>
      </c>
      <c r="E158" s="4">
        <v>0.9</v>
      </c>
      <c r="F158" s="42">
        <v>2.2999999999999998</v>
      </c>
      <c r="G158" s="6">
        <v>189</v>
      </c>
      <c r="H158" s="6">
        <v>2</v>
      </c>
      <c r="I158" s="6">
        <f t="shared" si="7"/>
        <v>782.45999999999992</v>
      </c>
      <c r="J158" s="7" t="s">
        <v>771</v>
      </c>
      <c r="K158" s="17">
        <f t="shared" si="8"/>
        <v>5</v>
      </c>
    </row>
    <row r="159" spans="1:11" ht="13.95" customHeight="1" x14ac:dyDescent="0.3">
      <c r="A159" s="3">
        <v>45784</v>
      </c>
      <c r="B159" s="48" t="s">
        <v>890</v>
      </c>
      <c r="C159" s="3" t="s">
        <v>5</v>
      </c>
      <c r="D159" s="3" t="s">
        <v>706</v>
      </c>
      <c r="E159" s="4">
        <v>0.88</v>
      </c>
      <c r="F159" s="42">
        <v>2.25</v>
      </c>
      <c r="G159" s="6">
        <v>189</v>
      </c>
      <c r="H159" s="6">
        <v>2</v>
      </c>
      <c r="I159" s="6">
        <f t="shared" si="7"/>
        <v>748.43999999999994</v>
      </c>
      <c r="J159" s="7" t="s">
        <v>776</v>
      </c>
      <c r="K159" s="17">
        <f t="shared" si="8"/>
        <v>5</v>
      </c>
    </row>
    <row r="160" spans="1:11" ht="13.95" customHeight="1" x14ac:dyDescent="0.3">
      <c r="A160" s="3">
        <v>45785</v>
      </c>
      <c r="B160" s="48" t="s">
        <v>890</v>
      </c>
      <c r="C160" s="3" t="s">
        <v>8</v>
      </c>
      <c r="D160" s="3" t="s">
        <v>706</v>
      </c>
      <c r="E160" s="4">
        <v>0.85</v>
      </c>
      <c r="F160" s="42">
        <v>2.2000000000000002</v>
      </c>
      <c r="G160" s="6">
        <v>189</v>
      </c>
      <c r="H160" s="6">
        <v>2</v>
      </c>
      <c r="I160" s="6">
        <f t="shared" si="7"/>
        <v>706.86000000000013</v>
      </c>
      <c r="J160" s="7" t="s">
        <v>71</v>
      </c>
      <c r="K160" s="17">
        <f t="shared" si="8"/>
        <v>5</v>
      </c>
    </row>
    <row r="161" spans="1:11" ht="13.95" customHeight="1" x14ac:dyDescent="0.3">
      <c r="A161" s="3">
        <v>45786</v>
      </c>
      <c r="B161" s="48" t="s">
        <v>890</v>
      </c>
      <c r="C161" s="3" t="s">
        <v>11</v>
      </c>
      <c r="D161" s="3" t="s">
        <v>44</v>
      </c>
      <c r="E161" s="4">
        <v>0.8</v>
      </c>
      <c r="F161" s="42">
        <v>2.15</v>
      </c>
      <c r="G161" s="6">
        <v>189</v>
      </c>
      <c r="H161" s="6">
        <v>2</v>
      </c>
      <c r="I161" s="6">
        <f t="shared" si="7"/>
        <v>650.16000000000008</v>
      </c>
      <c r="J161" s="7" t="s">
        <v>82</v>
      </c>
      <c r="K161" s="17">
        <f t="shared" si="8"/>
        <v>5</v>
      </c>
    </row>
    <row r="162" spans="1:11" ht="13.95" customHeight="1" x14ac:dyDescent="0.3">
      <c r="A162" s="3">
        <v>45787</v>
      </c>
      <c r="B162" s="48" t="s">
        <v>890</v>
      </c>
      <c r="C162" s="3" t="s">
        <v>13</v>
      </c>
      <c r="D162" s="3" t="s">
        <v>14</v>
      </c>
      <c r="E162" s="4">
        <v>0.75</v>
      </c>
      <c r="F162" s="42">
        <v>2.8</v>
      </c>
      <c r="G162" s="6">
        <v>189</v>
      </c>
      <c r="H162" s="6">
        <v>2</v>
      </c>
      <c r="I162" s="6">
        <f t="shared" ref="I162:I225" si="9">(G162*E162)*F162*H162</f>
        <v>793.8</v>
      </c>
      <c r="J162" s="7" t="s">
        <v>820</v>
      </c>
      <c r="K162" s="17">
        <f t="shared" si="8"/>
        <v>5</v>
      </c>
    </row>
    <row r="163" spans="1:11" ht="13.95" customHeight="1" x14ac:dyDescent="0.3">
      <c r="A163" s="3">
        <v>45788</v>
      </c>
      <c r="B163" s="48" t="s">
        <v>890</v>
      </c>
      <c r="C163" s="3" t="s">
        <v>16</v>
      </c>
      <c r="D163" s="3" t="s">
        <v>757</v>
      </c>
      <c r="E163" s="4">
        <v>0.88</v>
      </c>
      <c r="F163" s="42">
        <v>3.1</v>
      </c>
      <c r="G163" s="6">
        <v>189</v>
      </c>
      <c r="H163" s="6">
        <v>2</v>
      </c>
      <c r="I163" s="6">
        <f t="shared" si="9"/>
        <v>1031.184</v>
      </c>
      <c r="J163" s="7" t="s">
        <v>238</v>
      </c>
      <c r="K163" s="17">
        <f t="shared" si="8"/>
        <v>5</v>
      </c>
    </row>
    <row r="164" spans="1:11" ht="13.95" customHeight="1" x14ac:dyDescent="0.3">
      <c r="A164" s="3">
        <v>45789</v>
      </c>
      <c r="B164" s="48" t="s">
        <v>890</v>
      </c>
      <c r="C164" s="3" t="s">
        <v>18</v>
      </c>
      <c r="D164" s="3" t="s">
        <v>706</v>
      </c>
      <c r="E164" s="4">
        <v>0.84</v>
      </c>
      <c r="F164" s="42">
        <v>2.2000000000000002</v>
      </c>
      <c r="G164" s="6">
        <v>189</v>
      </c>
      <c r="H164" s="6">
        <v>2</v>
      </c>
      <c r="I164" s="6">
        <f t="shared" si="9"/>
        <v>698.54399999999998</v>
      </c>
      <c r="J164" s="7" t="s">
        <v>65</v>
      </c>
      <c r="K164" s="17">
        <f t="shared" si="8"/>
        <v>5</v>
      </c>
    </row>
    <row r="165" spans="1:11" ht="13.95" customHeight="1" x14ac:dyDescent="0.3">
      <c r="A165" s="3">
        <v>45790</v>
      </c>
      <c r="B165" s="48" t="s">
        <v>890</v>
      </c>
      <c r="C165" s="3" t="s">
        <v>20</v>
      </c>
      <c r="D165" s="3" t="s">
        <v>706</v>
      </c>
      <c r="E165" s="4">
        <v>0.86</v>
      </c>
      <c r="F165" s="42">
        <v>2.25</v>
      </c>
      <c r="G165" s="6">
        <v>189</v>
      </c>
      <c r="H165" s="6">
        <v>2</v>
      </c>
      <c r="I165" s="6">
        <f t="shared" si="9"/>
        <v>731.43</v>
      </c>
      <c r="J165" s="7" t="s">
        <v>71</v>
      </c>
      <c r="K165" s="17">
        <f t="shared" si="8"/>
        <v>5</v>
      </c>
    </row>
    <row r="166" spans="1:11" ht="13.95" customHeight="1" x14ac:dyDescent="0.3">
      <c r="A166" s="3">
        <v>45791</v>
      </c>
      <c r="B166" s="48" t="s">
        <v>890</v>
      </c>
      <c r="C166" s="3" t="s">
        <v>5</v>
      </c>
      <c r="D166" s="3" t="s">
        <v>706</v>
      </c>
      <c r="E166" s="4">
        <v>0.82</v>
      </c>
      <c r="F166" s="42">
        <v>2.2000000000000002</v>
      </c>
      <c r="G166" s="6">
        <v>189</v>
      </c>
      <c r="H166" s="6">
        <v>2</v>
      </c>
      <c r="I166" s="6">
        <f t="shared" si="9"/>
        <v>681.91200000000003</v>
      </c>
      <c r="J166" s="7" t="s">
        <v>71</v>
      </c>
      <c r="K166" s="17">
        <f t="shared" si="8"/>
        <v>5</v>
      </c>
    </row>
    <row r="167" spans="1:11" ht="13.95" customHeight="1" x14ac:dyDescent="0.3">
      <c r="A167" s="3">
        <v>45792</v>
      </c>
      <c r="B167" s="48" t="s">
        <v>890</v>
      </c>
      <c r="C167" s="3" t="s">
        <v>8</v>
      </c>
      <c r="D167" s="3" t="s">
        <v>706</v>
      </c>
      <c r="E167" s="4">
        <v>0.8</v>
      </c>
      <c r="F167" s="42">
        <v>2.2000000000000002</v>
      </c>
      <c r="G167" s="6">
        <v>189</v>
      </c>
      <c r="H167" s="6">
        <v>2</v>
      </c>
      <c r="I167" s="6">
        <f t="shared" si="9"/>
        <v>665.28000000000009</v>
      </c>
      <c r="J167" s="7" t="s">
        <v>71</v>
      </c>
      <c r="K167" s="17">
        <f t="shared" si="8"/>
        <v>5</v>
      </c>
    </row>
    <row r="168" spans="1:11" ht="13.95" customHeight="1" x14ac:dyDescent="0.3">
      <c r="A168" s="3">
        <v>45793</v>
      </c>
      <c r="B168" s="48" t="s">
        <v>890</v>
      </c>
      <c r="C168" s="3" t="s">
        <v>11</v>
      </c>
      <c r="D168" s="3" t="s">
        <v>44</v>
      </c>
      <c r="E168" s="4">
        <v>0.78</v>
      </c>
      <c r="F168" s="42">
        <v>2.15</v>
      </c>
      <c r="G168" s="6">
        <v>189</v>
      </c>
      <c r="H168" s="6">
        <v>2</v>
      </c>
      <c r="I168" s="6">
        <f t="shared" si="9"/>
        <v>633.90600000000006</v>
      </c>
      <c r="J168" s="7" t="s">
        <v>70</v>
      </c>
      <c r="K168" s="17">
        <f t="shared" si="8"/>
        <v>5</v>
      </c>
    </row>
    <row r="169" spans="1:11" ht="13.95" customHeight="1" x14ac:dyDescent="0.3">
      <c r="A169" s="3">
        <v>45794</v>
      </c>
      <c r="B169" s="48" t="s">
        <v>890</v>
      </c>
      <c r="C169" s="3" t="s">
        <v>13</v>
      </c>
      <c r="D169" s="3" t="s">
        <v>14</v>
      </c>
      <c r="E169" s="4">
        <v>0.75</v>
      </c>
      <c r="F169" s="42">
        <v>2.75</v>
      </c>
      <c r="G169" s="6">
        <v>189</v>
      </c>
      <c r="H169" s="6">
        <v>2</v>
      </c>
      <c r="I169" s="6">
        <f t="shared" si="9"/>
        <v>779.625</v>
      </c>
      <c r="J169" s="7" t="s">
        <v>710</v>
      </c>
      <c r="K169" s="17">
        <f t="shared" si="8"/>
        <v>5</v>
      </c>
    </row>
    <row r="170" spans="1:11" ht="13.95" customHeight="1" x14ac:dyDescent="0.3">
      <c r="A170" s="3">
        <v>45795</v>
      </c>
      <c r="B170" s="48" t="s">
        <v>890</v>
      </c>
      <c r="C170" s="3" t="s">
        <v>16</v>
      </c>
      <c r="D170" s="3" t="s">
        <v>757</v>
      </c>
      <c r="E170" s="4">
        <v>0.85</v>
      </c>
      <c r="F170" s="42">
        <v>3.05</v>
      </c>
      <c r="G170" s="6">
        <v>189</v>
      </c>
      <c r="H170" s="6">
        <v>2</v>
      </c>
      <c r="I170" s="6">
        <f t="shared" si="9"/>
        <v>979.96500000000003</v>
      </c>
      <c r="J170" s="7" t="s">
        <v>69</v>
      </c>
      <c r="K170" s="17">
        <f t="shared" si="8"/>
        <v>5</v>
      </c>
    </row>
    <row r="171" spans="1:11" ht="13.95" customHeight="1" x14ac:dyDescent="0.3">
      <c r="A171" s="3">
        <v>45796</v>
      </c>
      <c r="B171" s="48" t="s">
        <v>890</v>
      </c>
      <c r="C171" s="3" t="s">
        <v>18</v>
      </c>
      <c r="D171" s="3" t="s">
        <v>706</v>
      </c>
      <c r="E171" s="4">
        <v>0.84</v>
      </c>
      <c r="F171" s="42">
        <v>2.2000000000000002</v>
      </c>
      <c r="G171" s="6">
        <v>189</v>
      </c>
      <c r="H171" s="6">
        <v>2</v>
      </c>
      <c r="I171" s="6">
        <f t="shared" si="9"/>
        <v>698.54399999999998</v>
      </c>
      <c r="J171" s="7" t="s">
        <v>286</v>
      </c>
      <c r="K171" s="17">
        <f t="shared" si="8"/>
        <v>5</v>
      </c>
    </row>
    <row r="172" spans="1:11" ht="13.95" customHeight="1" x14ac:dyDescent="0.3">
      <c r="A172" s="3">
        <v>45797</v>
      </c>
      <c r="B172" s="48" t="s">
        <v>890</v>
      </c>
      <c r="C172" s="3" t="s">
        <v>20</v>
      </c>
      <c r="D172" s="3" t="s">
        <v>707</v>
      </c>
      <c r="E172" s="4">
        <v>0.92</v>
      </c>
      <c r="F172" s="42">
        <v>2.2999999999999998</v>
      </c>
      <c r="G172" s="6">
        <v>189</v>
      </c>
      <c r="H172" s="6">
        <v>2</v>
      </c>
      <c r="I172" s="6">
        <f t="shared" si="9"/>
        <v>799.84799999999996</v>
      </c>
      <c r="J172" s="7" t="s">
        <v>771</v>
      </c>
      <c r="K172" s="17">
        <f t="shared" si="8"/>
        <v>5</v>
      </c>
    </row>
    <row r="173" spans="1:11" ht="13.95" customHeight="1" x14ac:dyDescent="0.3">
      <c r="A173" s="3">
        <v>45798</v>
      </c>
      <c r="B173" s="48" t="s">
        <v>890</v>
      </c>
      <c r="C173" s="3" t="s">
        <v>5</v>
      </c>
      <c r="D173" s="3" t="s">
        <v>706</v>
      </c>
      <c r="E173" s="4">
        <v>0.88</v>
      </c>
      <c r="F173" s="42">
        <v>2.25</v>
      </c>
      <c r="G173" s="6">
        <v>189</v>
      </c>
      <c r="H173" s="6">
        <v>2</v>
      </c>
      <c r="I173" s="6">
        <f t="shared" si="9"/>
        <v>748.43999999999994</v>
      </c>
      <c r="J173" s="7" t="s">
        <v>71</v>
      </c>
      <c r="K173" s="17">
        <f t="shared" si="8"/>
        <v>5</v>
      </c>
    </row>
    <row r="174" spans="1:11" ht="13.95" customHeight="1" x14ac:dyDescent="0.3">
      <c r="A174" s="3">
        <v>45799</v>
      </c>
      <c r="B174" s="48" t="s">
        <v>890</v>
      </c>
      <c r="C174" s="3" t="s">
        <v>8</v>
      </c>
      <c r="D174" s="3" t="s">
        <v>706</v>
      </c>
      <c r="E174" s="4">
        <v>0.85</v>
      </c>
      <c r="F174" s="42">
        <v>2.2000000000000002</v>
      </c>
      <c r="G174" s="6">
        <v>189</v>
      </c>
      <c r="H174" s="6">
        <v>2</v>
      </c>
      <c r="I174" s="6">
        <f t="shared" si="9"/>
        <v>706.86000000000013</v>
      </c>
      <c r="J174" s="7" t="s">
        <v>71</v>
      </c>
      <c r="K174" s="17">
        <f t="shared" si="8"/>
        <v>5</v>
      </c>
    </row>
    <row r="175" spans="1:11" ht="13.95" customHeight="1" x14ac:dyDescent="0.3">
      <c r="A175" s="3">
        <v>45800</v>
      </c>
      <c r="B175" s="48" t="s">
        <v>890</v>
      </c>
      <c r="C175" s="3" t="s">
        <v>11</v>
      </c>
      <c r="D175" s="3" t="s">
        <v>44</v>
      </c>
      <c r="E175" s="4">
        <v>0.78</v>
      </c>
      <c r="F175" s="42">
        <v>2.15</v>
      </c>
      <c r="G175" s="6">
        <v>189</v>
      </c>
      <c r="H175" s="6">
        <v>2</v>
      </c>
      <c r="I175" s="6">
        <f t="shared" si="9"/>
        <v>633.90600000000006</v>
      </c>
      <c r="J175" s="7" t="s">
        <v>70</v>
      </c>
      <c r="K175" s="17">
        <f t="shared" si="8"/>
        <v>5</v>
      </c>
    </row>
    <row r="176" spans="1:11" ht="13.95" customHeight="1" x14ac:dyDescent="0.3">
      <c r="A176" s="3">
        <v>45801</v>
      </c>
      <c r="B176" s="48" t="s">
        <v>890</v>
      </c>
      <c r="C176" s="3" t="s">
        <v>13</v>
      </c>
      <c r="D176" s="3" t="s">
        <v>14</v>
      </c>
      <c r="E176" s="4">
        <v>0.8</v>
      </c>
      <c r="F176" s="42">
        <v>2.85</v>
      </c>
      <c r="G176" s="6">
        <v>189</v>
      </c>
      <c r="H176" s="6">
        <v>2</v>
      </c>
      <c r="I176" s="6">
        <f t="shared" si="9"/>
        <v>861.84000000000015</v>
      </c>
      <c r="J176" s="7" t="s">
        <v>821</v>
      </c>
      <c r="K176" s="17">
        <f t="shared" si="8"/>
        <v>5</v>
      </c>
    </row>
    <row r="177" spans="1:11" ht="13.95" customHeight="1" x14ac:dyDescent="0.3">
      <c r="A177" s="3">
        <v>45802</v>
      </c>
      <c r="B177" s="48" t="s">
        <v>890</v>
      </c>
      <c r="C177" s="3" t="s">
        <v>16</v>
      </c>
      <c r="D177" s="3" t="s">
        <v>747</v>
      </c>
      <c r="E177" s="4">
        <v>0.95</v>
      </c>
      <c r="F177" s="42">
        <v>3.3</v>
      </c>
      <c r="G177" s="6">
        <v>189</v>
      </c>
      <c r="H177" s="6">
        <v>2</v>
      </c>
      <c r="I177" s="6">
        <f t="shared" si="9"/>
        <v>1185.0299999999997</v>
      </c>
      <c r="J177" s="7" t="s">
        <v>822</v>
      </c>
      <c r="K177" s="17">
        <f t="shared" si="8"/>
        <v>5</v>
      </c>
    </row>
    <row r="178" spans="1:11" ht="13.95" customHeight="1" x14ac:dyDescent="0.3">
      <c r="A178" s="3">
        <v>45803</v>
      </c>
      <c r="B178" s="48" t="s">
        <v>890</v>
      </c>
      <c r="C178" s="3" t="s">
        <v>18</v>
      </c>
      <c r="D178" s="3" t="s">
        <v>706</v>
      </c>
      <c r="E178" s="4">
        <v>0.82</v>
      </c>
      <c r="F178" s="42">
        <v>2.2000000000000002</v>
      </c>
      <c r="G178" s="6">
        <v>189</v>
      </c>
      <c r="H178" s="6">
        <v>2</v>
      </c>
      <c r="I178" s="6">
        <f t="shared" si="9"/>
        <v>681.91200000000003</v>
      </c>
      <c r="J178" s="7" t="s">
        <v>505</v>
      </c>
      <c r="K178" s="17">
        <f t="shared" si="8"/>
        <v>5</v>
      </c>
    </row>
    <row r="179" spans="1:11" ht="13.95" customHeight="1" x14ac:dyDescent="0.3">
      <c r="A179" s="3">
        <v>45804</v>
      </c>
      <c r="B179" s="48" t="s">
        <v>890</v>
      </c>
      <c r="C179" s="3" t="s">
        <v>20</v>
      </c>
      <c r="D179" s="3" t="s">
        <v>706</v>
      </c>
      <c r="E179" s="4">
        <v>0.85</v>
      </c>
      <c r="F179" s="42">
        <v>2.25</v>
      </c>
      <c r="G179" s="6">
        <v>189</v>
      </c>
      <c r="H179" s="6">
        <v>2</v>
      </c>
      <c r="I179" s="6">
        <f t="shared" si="9"/>
        <v>722.92500000000007</v>
      </c>
      <c r="J179" s="7" t="s">
        <v>71</v>
      </c>
      <c r="K179" s="17">
        <f t="shared" si="8"/>
        <v>5</v>
      </c>
    </row>
    <row r="180" spans="1:11" ht="13.95" customHeight="1" x14ac:dyDescent="0.3">
      <c r="A180" s="3">
        <v>45805</v>
      </c>
      <c r="B180" s="48" t="s">
        <v>890</v>
      </c>
      <c r="C180" s="3" t="s">
        <v>5</v>
      </c>
      <c r="D180" s="3" t="s">
        <v>706</v>
      </c>
      <c r="E180" s="4">
        <v>0.82</v>
      </c>
      <c r="F180" s="42">
        <v>2.2000000000000002</v>
      </c>
      <c r="G180" s="6">
        <v>189</v>
      </c>
      <c r="H180" s="6">
        <v>2</v>
      </c>
      <c r="I180" s="6">
        <f t="shared" si="9"/>
        <v>681.91200000000003</v>
      </c>
      <c r="J180" s="7" t="s">
        <v>71</v>
      </c>
      <c r="K180" s="17">
        <f t="shared" si="8"/>
        <v>5</v>
      </c>
    </row>
    <row r="181" spans="1:11" ht="13.95" customHeight="1" x14ac:dyDescent="0.3">
      <c r="A181" s="3">
        <v>45806</v>
      </c>
      <c r="B181" s="48" t="s">
        <v>890</v>
      </c>
      <c r="C181" s="3" t="s">
        <v>8</v>
      </c>
      <c r="D181" s="3" t="s">
        <v>706</v>
      </c>
      <c r="E181" s="4">
        <v>0.8</v>
      </c>
      <c r="F181" s="42">
        <v>2.15</v>
      </c>
      <c r="G181" s="6">
        <v>189</v>
      </c>
      <c r="H181" s="6">
        <v>2</v>
      </c>
      <c r="I181" s="6">
        <f t="shared" si="9"/>
        <v>650.16000000000008</v>
      </c>
      <c r="J181" s="7" t="s">
        <v>71</v>
      </c>
      <c r="K181" s="17">
        <f t="shared" si="8"/>
        <v>5</v>
      </c>
    </row>
    <row r="182" spans="1:11" ht="13.95" customHeight="1" x14ac:dyDescent="0.3">
      <c r="A182" s="3">
        <v>45807</v>
      </c>
      <c r="B182" s="48" t="s">
        <v>890</v>
      </c>
      <c r="C182" s="3" t="s">
        <v>11</v>
      </c>
      <c r="D182" s="3" t="s">
        <v>44</v>
      </c>
      <c r="E182" s="4">
        <v>0.78</v>
      </c>
      <c r="F182" s="42">
        <v>2.15</v>
      </c>
      <c r="G182" s="6">
        <v>189</v>
      </c>
      <c r="H182" s="6">
        <v>2</v>
      </c>
      <c r="I182" s="6">
        <f t="shared" si="9"/>
        <v>633.90600000000006</v>
      </c>
      <c r="J182" s="7" t="s">
        <v>748</v>
      </c>
      <c r="K182" s="17">
        <f t="shared" si="8"/>
        <v>5</v>
      </c>
    </row>
    <row r="183" spans="1:11" ht="13.95" customHeight="1" x14ac:dyDescent="0.3">
      <c r="A183" s="3">
        <v>45808</v>
      </c>
      <c r="B183" s="48" t="s">
        <v>890</v>
      </c>
      <c r="C183" s="3" t="s">
        <v>13</v>
      </c>
      <c r="D183" s="3" t="s">
        <v>14</v>
      </c>
      <c r="E183" s="4">
        <v>0.82</v>
      </c>
      <c r="F183" s="42">
        <v>2.8</v>
      </c>
      <c r="G183" s="6">
        <v>189</v>
      </c>
      <c r="H183" s="6">
        <v>2</v>
      </c>
      <c r="I183" s="6">
        <f t="shared" si="9"/>
        <v>867.88799999999992</v>
      </c>
      <c r="J183" s="7" t="s">
        <v>823</v>
      </c>
      <c r="K183" s="17">
        <f t="shared" si="8"/>
        <v>5</v>
      </c>
    </row>
    <row r="184" spans="1:11" ht="13.95" customHeight="1" x14ac:dyDescent="0.3">
      <c r="A184" s="3">
        <v>45839</v>
      </c>
      <c r="B184" s="48" t="s">
        <v>890</v>
      </c>
      <c r="C184" s="3" t="s">
        <v>20</v>
      </c>
      <c r="D184" s="3" t="s">
        <v>824</v>
      </c>
      <c r="E184" s="4">
        <v>0.85</v>
      </c>
      <c r="F184" s="42">
        <v>2.2000000000000002</v>
      </c>
      <c r="G184" s="6">
        <v>189</v>
      </c>
      <c r="H184" s="6">
        <v>2</v>
      </c>
      <c r="I184" s="6">
        <f t="shared" si="9"/>
        <v>706.86000000000013</v>
      </c>
      <c r="J184" s="7" t="s">
        <v>825</v>
      </c>
      <c r="K184" s="17">
        <f t="shared" si="8"/>
        <v>7</v>
      </c>
    </row>
    <row r="185" spans="1:11" ht="13.95" customHeight="1" x14ac:dyDescent="0.3">
      <c r="A185" s="3">
        <v>45840</v>
      </c>
      <c r="B185" s="48" t="s">
        <v>890</v>
      </c>
      <c r="C185" s="3" t="s">
        <v>5</v>
      </c>
      <c r="D185" s="3" t="s">
        <v>826</v>
      </c>
      <c r="E185" s="4">
        <v>0.82</v>
      </c>
      <c r="F185" s="42">
        <v>2.15</v>
      </c>
      <c r="G185" s="6">
        <v>189</v>
      </c>
      <c r="H185" s="6">
        <v>2</v>
      </c>
      <c r="I185" s="6">
        <f t="shared" si="9"/>
        <v>666.41399999999987</v>
      </c>
      <c r="J185" s="7" t="s">
        <v>827</v>
      </c>
      <c r="K185" s="17">
        <f t="shared" si="8"/>
        <v>7</v>
      </c>
    </row>
    <row r="186" spans="1:11" ht="13.95" customHeight="1" x14ac:dyDescent="0.3">
      <c r="A186" s="3">
        <v>45841</v>
      </c>
      <c r="B186" s="48" t="s">
        <v>890</v>
      </c>
      <c r="C186" s="3" t="s">
        <v>8</v>
      </c>
      <c r="D186" s="3" t="s">
        <v>826</v>
      </c>
      <c r="E186" s="4">
        <v>0.85</v>
      </c>
      <c r="F186" s="42">
        <v>2.15</v>
      </c>
      <c r="G186" s="6">
        <v>189</v>
      </c>
      <c r="H186" s="6">
        <v>2</v>
      </c>
      <c r="I186" s="6">
        <f t="shared" si="9"/>
        <v>690.79499999999996</v>
      </c>
      <c r="J186" s="7" t="s">
        <v>828</v>
      </c>
      <c r="K186" s="17">
        <f t="shared" si="8"/>
        <v>7</v>
      </c>
    </row>
    <row r="187" spans="1:11" ht="13.95" customHeight="1" x14ac:dyDescent="0.3">
      <c r="A187" s="3">
        <v>45842</v>
      </c>
      <c r="B187" s="48" t="s">
        <v>890</v>
      </c>
      <c r="C187" s="3" t="s">
        <v>11</v>
      </c>
      <c r="D187" s="3" t="s">
        <v>829</v>
      </c>
      <c r="E187" s="4">
        <v>0.88</v>
      </c>
      <c r="F187" s="42">
        <v>2.2999999999999998</v>
      </c>
      <c r="G187" s="6">
        <v>189</v>
      </c>
      <c r="H187" s="6">
        <v>2</v>
      </c>
      <c r="I187" s="6">
        <f t="shared" si="9"/>
        <v>765.07199999999989</v>
      </c>
      <c r="J187" s="7" t="s">
        <v>830</v>
      </c>
      <c r="K187" s="17">
        <f t="shared" si="8"/>
        <v>7</v>
      </c>
    </row>
    <row r="188" spans="1:11" ht="13.95" customHeight="1" x14ac:dyDescent="0.3">
      <c r="A188" s="3">
        <v>45843</v>
      </c>
      <c r="B188" s="48" t="s">
        <v>890</v>
      </c>
      <c r="C188" s="3" t="s">
        <v>13</v>
      </c>
      <c r="D188" s="3" t="s">
        <v>831</v>
      </c>
      <c r="E188" s="4">
        <v>0.92</v>
      </c>
      <c r="F188" s="42">
        <v>3.1</v>
      </c>
      <c r="G188" s="6">
        <v>189</v>
      </c>
      <c r="H188" s="6">
        <v>2</v>
      </c>
      <c r="I188" s="6">
        <f t="shared" si="9"/>
        <v>1078.056</v>
      </c>
      <c r="J188" s="7" t="s">
        <v>832</v>
      </c>
      <c r="K188" s="17">
        <f t="shared" si="8"/>
        <v>7</v>
      </c>
    </row>
    <row r="189" spans="1:11" ht="13.95" customHeight="1" x14ac:dyDescent="0.3">
      <c r="A189" s="3">
        <v>45844</v>
      </c>
      <c r="B189" s="48" t="s">
        <v>890</v>
      </c>
      <c r="C189" s="3" t="s">
        <v>16</v>
      </c>
      <c r="D189" s="3" t="s">
        <v>757</v>
      </c>
      <c r="E189" s="4">
        <v>0.95</v>
      </c>
      <c r="F189" s="42">
        <v>3.35</v>
      </c>
      <c r="G189" s="6">
        <v>189</v>
      </c>
      <c r="H189" s="6">
        <v>2</v>
      </c>
      <c r="I189" s="6">
        <f t="shared" si="9"/>
        <v>1202.9849999999999</v>
      </c>
      <c r="J189" s="7" t="s">
        <v>833</v>
      </c>
      <c r="K189" s="17">
        <f t="shared" si="8"/>
        <v>7</v>
      </c>
    </row>
    <row r="190" spans="1:11" ht="13.95" customHeight="1" x14ac:dyDescent="0.3">
      <c r="A190" s="3">
        <v>45845</v>
      </c>
      <c r="B190" s="48" t="s">
        <v>890</v>
      </c>
      <c r="C190" s="3" t="s">
        <v>18</v>
      </c>
      <c r="D190" s="3" t="s">
        <v>834</v>
      </c>
      <c r="E190" s="4">
        <v>0.88</v>
      </c>
      <c r="F190" s="42">
        <v>2.25</v>
      </c>
      <c r="G190" s="6">
        <v>189</v>
      </c>
      <c r="H190" s="6">
        <v>2</v>
      </c>
      <c r="I190" s="6">
        <f t="shared" si="9"/>
        <v>748.43999999999994</v>
      </c>
      <c r="J190" s="7" t="s">
        <v>835</v>
      </c>
      <c r="K190" s="17">
        <f t="shared" si="8"/>
        <v>7</v>
      </c>
    </row>
    <row r="191" spans="1:11" ht="13.95" customHeight="1" x14ac:dyDescent="0.3">
      <c r="A191" s="3">
        <v>45846</v>
      </c>
      <c r="B191" s="48" t="s">
        <v>890</v>
      </c>
      <c r="C191" s="3" t="s">
        <v>20</v>
      </c>
      <c r="D191" s="3" t="s">
        <v>834</v>
      </c>
      <c r="E191" s="4">
        <v>0.85</v>
      </c>
      <c r="F191" s="42">
        <v>2.2000000000000002</v>
      </c>
      <c r="G191" s="6">
        <v>189</v>
      </c>
      <c r="H191" s="6">
        <v>2</v>
      </c>
      <c r="I191" s="6">
        <f t="shared" si="9"/>
        <v>706.86000000000013</v>
      </c>
      <c r="J191" s="7" t="s">
        <v>604</v>
      </c>
      <c r="K191" s="17">
        <f t="shared" si="8"/>
        <v>7</v>
      </c>
    </row>
    <row r="192" spans="1:11" ht="13.95" customHeight="1" x14ac:dyDescent="0.3">
      <c r="A192" s="3">
        <v>45847</v>
      </c>
      <c r="B192" s="48" t="s">
        <v>890</v>
      </c>
      <c r="C192" s="3" t="s">
        <v>5</v>
      </c>
      <c r="D192" s="3" t="s">
        <v>834</v>
      </c>
      <c r="E192" s="4">
        <v>0.82</v>
      </c>
      <c r="F192" s="42">
        <v>2.15</v>
      </c>
      <c r="G192" s="6">
        <v>189</v>
      </c>
      <c r="H192" s="6">
        <v>2</v>
      </c>
      <c r="I192" s="6">
        <f t="shared" si="9"/>
        <v>666.41399999999987</v>
      </c>
      <c r="J192" s="7" t="s">
        <v>71</v>
      </c>
      <c r="K192" s="17">
        <f t="shared" si="8"/>
        <v>7</v>
      </c>
    </row>
    <row r="193" spans="1:11" ht="13.95" customHeight="1" x14ac:dyDescent="0.3">
      <c r="A193" s="3">
        <v>45848</v>
      </c>
      <c r="B193" s="48" t="s">
        <v>890</v>
      </c>
      <c r="C193" s="3" t="s">
        <v>8</v>
      </c>
      <c r="D193" s="3" t="s">
        <v>834</v>
      </c>
      <c r="E193" s="4">
        <v>0.85</v>
      </c>
      <c r="F193" s="42">
        <v>2.2000000000000002</v>
      </c>
      <c r="G193" s="6">
        <v>189</v>
      </c>
      <c r="H193" s="6">
        <v>2</v>
      </c>
      <c r="I193" s="6">
        <f t="shared" si="9"/>
        <v>706.86000000000013</v>
      </c>
      <c r="J193" s="7" t="s">
        <v>717</v>
      </c>
      <c r="K193" s="17">
        <f t="shared" si="8"/>
        <v>7</v>
      </c>
    </row>
    <row r="194" spans="1:11" ht="13.95" customHeight="1" x14ac:dyDescent="0.3">
      <c r="A194" s="3">
        <v>45849</v>
      </c>
      <c r="B194" s="48" t="s">
        <v>890</v>
      </c>
      <c r="C194" s="3" t="s">
        <v>11</v>
      </c>
      <c r="D194" s="3" t="s">
        <v>829</v>
      </c>
      <c r="E194" s="4">
        <v>0.9</v>
      </c>
      <c r="F194" s="42">
        <v>2.35</v>
      </c>
      <c r="G194" s="6">
        <v>189</v>
      </c>
      <c r="H194" s="6">
        <v>2</v>
      </c>
      <c r="I194" s="6">
        <f t="shared" si="9"/>
        <v>799.47</v>
      </c>
      <c r="J194" s="7" t="s">
        <v>531</v>
      </c>
      <c r="K194" s="17">
        <f t="shared" si="8"/>
        <v>7</v>
      </c>
    </row>
    <row r="195" spans="1:11" ht="13.95" customHeight="1" x14ac:dyDescent="0.3">
      <c r="A195" s="3">
        <v>45850</v>
      </c>
      <c r="B195" s="48" t="s">
        <v>890</v>
      </c>
      <c r="C195" s="3" t="s">
        <v>13</v>
      </c>
      <c r="D195" s="3" t="s">
        <v>836</v>
      </c>
      <c r="E195" s="4">
        <v>0.95</v>
      </c>
      <c r="F195" s="42">
        <v>3.2</v>
      </c>
      <c r="G195" s="6">
        <v>189</v>
      </c>
      <c r="H195" s="6">
        <v>2</v>
      </c>
      <c r="I195" s="6">
        <f t="shared" si="9"/>
        <v>1149.1199999999999</v>
      </c>
      <c r="J195" s="7" t="s">
        <v>837</v>
      </c>
      <c r="K195" s="17">
        <f t="shared" ref="K195:K258" si="10">MONTH(A195)</f>
        <v>7</v>
      </c>
    </row>
    <row r="196" spans="1:11" ht="13.95" customHeight="1" x14ac:dyDescent="0.3">
      <c r="A196" s="3">
        <v>45851</v>
      </c>
      <c r="B196" s="48" t="s">
        <v>890</v>
      </c>
      <c r="C196" s="3" t="s">
        <v>16</v>
      </c>
      <c r="D196" s="3" t="s">
        <v>757</v>
      </c>
      <c r="E196" s="4">
        <v>0.98</v>
      </c>
      <c r="F196" s="42">
        <v>3.4</v>
      </c>
      <c r="G196" s="6">
        <v>189</v>
      </c>
      <c r="H196" s="6">
        <v>2</v>
      </c>
      <c r="I196" s="6">
        <f t="shared" si="9"/>
        <v>1259.4959999999999</v>
      </c>
      <c r="J196" s="7" t="s">
        <v>749</v>
      </c>
      <c r="K196" s="17">
        <f t="shared" si="10"/>
        <v>7</v>
      </c>
    </row>
    <row r="197" spans="1:11" ht="13.95" customHeight="1" x14ac:dyDescent="0.3">
      <c r="A197" s="3">
        <v>45852</v>
      </c>
      <c r="B197" s="48" t="s">
        <v>890</v>
      </c>
      <c r="C197" s="3" t="s">
        <v>18</v>
      </c>
      <c r="D197" s="3" t="s">
        <v>834</v>
      </c>
      <c r="E197" s="4">
        <v>0.9</v>
      </c>
      <c r="F197" s="42">
        <v>2.25</v>
      </c>
      <c r="G197" s="6">
        <v>189</v>
      </c>
      <c r="H197" s="6">
        <v>2</v>
      </c>
      <c r="I197" s="6">
        <f t="shared" si="9"/>
        <v>765.44999999999993</v>
      </c>
      <c r="J197" s="7" t="s">
        <v>838</v>
      </c>
      <c r="K197" s="17">
        <f t="shared" si="10"/>
        <v>7</v>
      </c>
    </row>
    <row r="198" spans="1:11" ht="13.95" customHeight="1" x14ac:dyDescent="0.3">
      <c r="A198" s="3">
        <v>45853</v>
      </c>
      <c r="B198" s="48" t="s">
        <v>890</v>
      </c>
      <c r="C198" s="3" t="s">
        <v>20</v>
      </c>
      <c r="D198" s="3" t="s">
        <v>834</v>
      </c>
      <c r="E198" s="4">
        <v>0.88</v>
      </c>
      <c r="F198" s="42">
        <v>2.2000000000000002</v>
      </c>
      <c r="G198" s="6">
        <v>189</v>
      </c>
      <c r="H198" s="6">
        <v>2</v>
      </c>
      <c r="I198" s="6">
        <f t="shared" si="9"/>
        <v>731.80799999999999</v>
      </c>
      <c r="J198" s="7" t="s">
        <v>476</v>
      </c>
      <c r="K198" s="17">
        <f t="shared" si="10"/>
        <v>7</v>
      </c>
    </row>
    <row r="199" spans="1:11" ht="13.95" customHeight="1" x14ac:dyDescent="0.3">
      <c r="A199" s="3">
        <v>45854</v>
      </c>
      <c r="B199" s="48" t="s">
        <v>890</v>
      </c>
      <c r="C199" s="3" t="s">
        <v>5</v>
      </c>
      <c r="D199" s="3" t="s">
        <v>834</v>
      </c>
      <c r="E199" s="4">
        <v>0.85</v>
      </c>
      <c r="F199" s="42">
        <v>2.15</v>
      </c>
      <c r="G199" s="6">
        <v>189</v>
      </c>
      <c r="H199" s="6">
        <v>2</v>
      </c>
      <c r="I199" s="6">
        <f t="shared" si="9"/>
        <v>690.79499999999996</v>
      </c>
      <c r="J199" s="7" t="s">
        <v>476</v>
      </c>
      <c r="K199" s="17">
        <f t="shared" si="10"/>
        <v>7</v>
      </c>
    </row>
    <row r="200" spans="1:11" ht="13.95" customHeight="1" x14ac:dyDescent="0.3">
      <c r="A200" s="3">
        <v>45855</v>
      </c>
      <c r="B200" s="48" t="s">
        <v>890</v>
      </c>
      <c r="C200" s="3" t="s">
        <v>8</v>
      </c>
      <c r="D200" s="3" t="s">
        <v>834</v>
      </c>
      <c r="E200" s="4">
        <v>0.88</v>
      </c>
      <c r="F200" s="42">
        <v>2.2000000000000002</v>
      </c>
      <c r="G200" s="6">
        <v>189</v>
      </c>
      <c r="H200" s="6">
        <v>2</v>
      </c>
      <c r="I200" s="6">
        <f t="shared" si="9"/>
        <v>731.80799999999999</v>
      </c>
      <c r="J200" s="7" t="s">
        <v>476</v>
      </c>
      <c r="K200" s="17">
        <f t="shared" si="10"/>
        <v>7</v>
      </c>
    </row>
    <row r="201" spans="1:11" ht="13.95" customHeight="1" x14ac:dyDescent="0.3">
      <c r="A201" s="3">
        <v>45856</v>
      </c>
      <c r="B201" s="48" t="s">
        <v>890</v>
      </c>
      <c r="C201" s="3" t="s">
        <v>11</v>
      </c>
      <c r="D201" s="3" t="s">
        <v>829</v>
      </c>
      <c r="E201" s="4">
        <v>0.92</v>
      </c>
      <c r="F201" s="42">
        <v>2.4</v>
      </c>
      <c r="G201" s="6">
        <v>189</v>
      </c>
      <c r="H201" s="6">
        <v>2</v>
      </c>
      <c r="I201" s="6">
        <f t="shared" si="9"/>
        <v>834.62399999999991</v>
      </c>
      <c r="J201" s="7" t="s">
        <v>839</v>
      </c>
      <c r="K201" s="17">
        <f t="shared" si="10"/>
        <v>7</v>
      </c>
    </row>
    <row r="202" spans="1:11" ht="13.95" customHeight="1" x14ac:dyDescent="0.3">
      <c r="A202" s="3">
        <v>45857</v>
      </c>
      <c r="B202" s="48" t="s">
        <v>890</v>
      </c>
      <c r="C202" s="3" t="s">
        <v>13</v>
      </c>
      <c r="D202" s="3" t="s">
        <v>840</v>
      </c>
      <c r="E202" s="4">
        <v>0.95</v>
      </c>
      <c r="F202" s="42">
        <v>3.15</v>
      </c>
      <c r="G202" s="6">
        <v>189</v>
      </c>
      <c r="H202" s="6">
        <v>2</v>
      </c>
      <c r="I202" s="6">
        <f t="shared" si="9"/>
        <v>1131.165</v>
      </c>
      <c r="J202" s="7" t="s">
        <v>780</v>
      </c>
      <c r="K202" s="17">
        <f t="shared" si="10"/>
        <v>7</v>
      </c>
    </row>
    <row r="203" spans="1:11" ht="13.95" customHeight="1" x14ac:dyDescent="0.3">
      <c r="A203" s="3">
        <v>45858</v>
      </c>
      <c r="B203" s="48" t="s">
        <v>890</v>
      </c>
      <c r="C203" s="3" t="s">
        <v>16</v>
      </c>
      <c r="D203" s="3" t="s">
        <v>757</v>
      </c>
      <c r="E203" s="4">
        <v>0.98</v>
      </c>
      <c r="F203" s="42">
        <v>3.35</v>
      </c>
      <c r="G203" s="6">
        <v>189</v>
      </c>
      <c r="H203" s="6">
        <v>2</v>
      </c>
      <c r="I203" s="6">
        <f t="shared" si="9"/>
        <v>1240.9739999999999</v>
      </c>
      <c r="J203" s="7" t="s">
        <v>841</v>
      </c>
      <c r="K203" s="17">
        <f t="shared" si="10"/>
        <v>7</v>
      </c>
    </row>
    <row r="204" spans="1:11" ht="13.95" customHeight="1" x14ac:dyDescent="0.3">
      <c r="A204" s="3">
        <v>45859</v>
      </c>
      <c r="B204" s="48" t="s">
        <v>890</v>
      </c>
      <c r="C204" s="3" t="s">
        <v>18</v>
      </c>
      <c r="D204" s="3" t="s">
        <v>834</v>
      </c>
      <c r="E204" s="4">
        <v>0.9</v>
      </c>
      <c r="F204" s="42">
        <v>2.25</v>
      </c>
      <c r="G204" s="6">
        <v>189</v>
      </c>
      <c r="H204" s="6">
        <v>2</v>
      </c>
      <c r="I204" s="6">
        <f t="shared" si="9"/>
        <v>765.44999999999993</v>
      </c>
      <c r="J204" s="7" t="s">
        <v>842</v>
      </c>
      <c r="K204" s="17">
        <f t="shared" si="10"/>
        <v>7</v>
      </c>
    </row>
    <row r="205" spans="1:11" ht="13.95" customHeight="1" x14ac:dyDescent="0.3">
      <c r="A205" s="3">
        <v>45860</v>
      </c>
      <c r="B205" s="48" t="s">
        <v>890</v>
      </c>
      <c r="C205" s="3" t="s">
        <v>20</v>
      </c>
      <c r="D205" s="3" t="s">
        <v>834</v>
      </c>
      <c r="E205" s="4">
        <v>0.88</v>
      </c>
      <c r="F205" s="42">
        <v>2.2000000000000002</v>
      </c>
      <c r="G205" s="6">
        <v>189</v>
      </c>
      <c r="H205" s="6">
        <v>2</v>
      </c>
      <c r="I205" s="6">
        <f t="shared" si="9"/>
        <v>731.80799999999999</v>
      </c>
      <c r="J205" s="7" t="s">
        <v>476</v>
      </c>
      <c r="K205" s="17">
        <f t="shared" si="10"/>
        <v>7</v>
      </c>
    </row>
    <row r="206" spans="1:11" ht="13.95" customHeight="1" x14ac:dyDescent="0.3">
      <c r="A206" s="3">
        <v>45861</v>
      </c>
      <c r="B206" s="48" t="s">
        <v>890</v>
      </c>
      <c r="C206" s="3" t="s">
        <v>5</v>
      </c>
      <c r="D206" s="3" t="s">
        <v>834</v>
      </c>
      <c r="E206" s="4">
        <v>0.85</v>
      </c>
      <c r="F206" s="42">
        <v>2.15</v>
      </c>
      <c r="G206" s="6">
        <v>189</v>
      </c>
      <c r="H206" s="6">
        <v>2</v>
      </c>
      <c r="I206" s="6">
        <f t="shared" si="9"/>
        <v>690.79499999999996</v>
      </c>
      <c r="J206" s="7" t="s">
        <v>476</v>
      </c>
      <c r="K206" s="17">
        <f t="shared" si="10"/>
        <v>7</v>
      </c>
    </row>
    <row r="207" spans="1:11" ht="13.95" customHeight="1" x14ac:dyDescent="0.3">
      <c r="A207" s="3">
        <v>45862</v>
      </c>
      <c r="B207" s="48" t="s">
        <v>890</v>
      </c>
      <c r="C207" s="3" t="s">
        <v>8</v>
      </c>
      <c r="D207" s="3" t="s">
        <v>843</v>
      </c>
      <c r="E207" s="4">
        <v>0.9</v>
      </c>
      <c r="F207" s="42">
        <v>2.2999999999999998</v>
      </c>
      <c r="G207" s="6">
        <v>189</v>
      </c>
      <c r="H207" s="6">
        <v>2</v>
      </c>
      <c r="I207" s="6">
        <f t="shared" si="9"/>
        <v>782.45999999999992</v>
      </c>
      <c r="J207" s="7" t="s">
        <v>844</v>
      </c>
      <c r="K207" s="17">
        <f t="shared" si="10"/>
        <v>7</v>
      </c>
    </row>
    <row r="208" spans="1:11" ht="13.95" customHeight="1" x14ac:dyDescent="0.3">
      <c r="A208" s="3">
        <v>45863</v>
      </c>
      <c r="B208" s="48" t="s">
        <v>890</v>
      </c>
      <c r="C208" s="3" t="s">
        <v>11</v>
      </c>
      <c r="D208" s="3" t="s">
        <v>724</v>
      </c>
      <c r="E208" s="4">
        <v>0.95</v>
      </c>
      <c r="F208" s="42">
        <v>2.8</v>
      </c>
      <c r="G208" s="6">
        <v>189</v>
      </c>
      <c r="H208" s="6">
        <v>2</v>
      </c>
      <c r="I208" s="6">
        <f t="shared" si="9"/>
        <v>1005.4799999999998</v>
      </c>
      <c r="J208" s="7" t="s">
        <v>845</v>
      </c>
      <c r="K208" s="17">
        <f t="shared" si="10"/>
        <v>7</v>
      </c>
    </row>
    <row r="209" spans="1:11" ht="13.95" customHeight="1" x14ac:dyDescent="0.3">
      <c r="A209" s="3">
        <v>45864</v>
      </c>
      <c r="B209" s="48" t="s">
        <v>890</v>
      </c>
      <c r="C209" s="3" t="s">
        <v>13</v>
      </c>
      <c r="D209" s="3" t="s">
        <v>829</v>
      </c>
      <c r="E209" s="4">
        <v>0.92</v>
      </c>
      <c r="F209" s="42">
        <v>3</v>
      </c>
      <c r="G209" s="6">
        <v>189</v>
      </c>
      <c r="H209" s="6">
        <v>2</v>
      </c>
      <c r="I209" s="6">
        <f t="shared" si="9"/>
        <v>1043.28</v>
      </c>
      <c r="J209" s="7" t="s">
        <v>777</v>
      </c>
      <c r="K209" s="17">
        <f t="shared" si="10"/>
        <v>7</v>
      </c>
    </row>
    <row r="210" spans="1:11" ht="13.95" customHeight="1" x14ac:dyDescent="0.3">
      <c r="A210" s="3">
        <v>45865</v>
      </c>
      <c r="B210" s="48" t="s">
        <v>890</v>
      </c>
      <c r="C210" s="3" t="s">
        <v>16</v>
      </c>
      <c r="D210" s="3" t="s">
        <v>757</v>
      </c>
      <c r="E210" s="4">
        <v>0.98</v>
      </c>
      <c r="F210" s="42">
        <v>3.45</v>
      </c>
      <c r="G210" s="6">
        <v>189</v>
      </c>
      <c r="H210" s="6">
        <v>2</v>
      </c>
      <c r="I210" s="6">
        <f t="shared" si="9"/>
        <v>1278.018</v>
      </c>
      <c r="J210" s="7" t="s">
        <v>772</v>
      </c>
      <c r="K210" s="17">
        <f t="shared" si="10"/>
        <v>7</v>
      </c>
    </row>
    <row r="211" spans="1:11" ht="13.95" customHeight="1" x14ac:dyDescent="0.3">
      <c r="A211" s="3">
        <v>45866</v>
      </c>
      <c r="B211" s="48" t="s">
        <v>890</v>
      </c>
      <c r="C211" s="3" t="s">
        <v>18</v>
      </c>
      <c r="D211" s="3" t="s">
        <v>834</v>
      </c>
      <c r="E211" s="4">
        <v>0.85</v>
      </c>
      <c r="F211" s="42">
        <v>2.2000000000000002</v>
      </c>
      <c r="G211" s="6">
        <v>189</v>
      </c>
      <c r="H211" s="6">
        <v>2</v>
      </c>
      <c r="I211" s="6">
        <f t="shared" si="9"/>
        <v>706.86000000000013</v>
      </c>
      <c r="J211" s="7" t="s">
        <v>99</v>
      </c>
      <c r="K211" s="17">
        <f t="shared" si="10"/>
        <v>7</v>
      </c>
    </row>
    <row r="212" spans="1:11" ht="13.95" customHeight="1" x14ac:dyDescent="0.3">
      <c r="A212" s="3">
        <v>45867</v>
      </c>
      <c r="B212" s="48" t="s">
        <v>890</v>
      </c>
      <c r="C212" s="3" t="s">
        <v>20</v>
      </c>
      <c r="D212" s="3" t="s">
        <v>834</v>
      </c>
      <c r="E212" s="4">
        <v>0.82</v>
      </c>
      <c r="F212" s="42">
        <v>2.15</v>
      </c>
      <c r="G212" s="6">
        <v>189</v>
      </c>
      <c r="H212" s="6">
        <v>2</v>
      </c>
      <c r="I212" s="6">
        <f t="shared" si="9"/>
        <v>666.41399999999987</v>
      </c>
      <c r="J212" s="7" t="s">
        <v>476</v>
      </c>
      <c r="K212" s="17">
        <f t="shared" si="10"/>
        <v>7</v>
      </c>
    </row>
    <row r="213" spans="1:11" ht="13.95" customHeight="1" x14ac:dyDescent="0.3">
      <c r="A213" s="3">
        <v>45868</v>
      </c>
      <c r="B213" s="48" t="s">
        <v>890</v>
      </c>
      <c r="C213" s="3" t="s">
        <v>5</v>
      </c>
      <c r="D213" s="3" t="s">
        <v>834</v>
      </c>
      <c r="E213" s="4">
        <v>0.85</v>
      </c>
      <c r="F213" s="42">
        <v>2.15</v>
      </c>
      <c r="G213" s="6">
        <v>189</v>
      </c>
      <c r="H213" s="6">
        <v>2</v>
      </c>
      <c r="I213" s="6">
        <f t="shared" si="9"/>
        <v>690.79499999999996</v>
      </c>
      <c r="J213" s="7" t="s">
        <v>476</v>
      </c>
      <c r="K213" s="17">
        <f t="shared" si="10"/>
        <v>7</v>
      </c>
    </row>
    <row r="214" spans="1:11" ht="13.95" customHeight="1" x14ac:dyDescent="0.3">
      <c r="A214" s="3">
        <v>45869</v>
      </c>
      <c r="B214" s="48" t="s">
        <v>890</v>
      </c>
      <c r="C214" s="3" t="s">
        <v>8</v>
      </c>
      <c r="D214" s="3" t="s">
        <v>834</v>
      </c>
      <c r="E214" s="4">
        <v>0.88</v>
      </c>
      <c r="F214" s="42">
        <v>2.2000000000000002</v>
      </c>
      <c r="G214" s="6">
        <v>189</v>
      </c>
      <c r="H214" s="6">
        <v>2</v>
      </c>
      <c r="I214" s="6">
        <f t="shared" si="9"/>
        <v>731.80799999999999</v>
      </c>
      <c r="J214" s="7" t="s">
        <v>846</v>
      </c>
      <c r="K214" s="17">
        <f t="shared" si="10"/>
        <v>7</v>
      </c>
    </row>
    <row r="215" spans="1:11" ht="13.95" customHeight="1" x14ac:dyDescent="0.3">
      <c r="A215" s="3">
        <v>45870</v>
      </c>
      <c r="B215" s="48" t="s">
        <v>890</v>
      </c>
      <c r="C215" s="3" t="s">
        <v>11</v>
      </c>
      <c r="D215" s="3" t="s">
        <v>829</v>
      </c>
      <c r="E215" s="4">
        <v>0.92</v>
      </c>
      <c r="F215" s="42">
        <v>2.4</v>
      </c>
      <c r="G215" s="6">
        <v>189</v>
      </c>
      <c r="H215" s="6">
        <v>2</v>
      </c>
      <c r="I215" s="6">
        <f t="shared" si="9"/>
        <v>834.62399999999991</v>
      </c>
      <c r="J215" s="7" t="s">
        <v>847</v>
      </c>
      <c r="K215" s="17">
        <f t="shared" si="10"/>
        <v>8</v>
      </c>
    </row>
    <row r="216" spans="1:11" ht="13.95" customHeight="1" x14ac:dyDescent="0.3">
      <c r="A216" s="3">
        <v>45871</v>
      </c>
      <c r="B216" s="48" t="s">
        <v>890</v>
      </c>
      <c r="C216" s="3" t="s">
        <v>13</v>
      </c>
      <c r="D216" s="3" t="s">
        <v>831</v>
      </c>
      <c r="E216" s="4">
        <v>0.95</v>
      </c>
      <c r="F216" s="42">
        <v>3.25</v>
      </c>
      <c r="G216" s="6">
        <v>189</v>
      </c>
      <c r="H216" s="6">
        <v>2</v>
      </c>
      <c r="I216" s="6">
        <f t="shared" si="9"/>
        <v>1167.0749999999998</v>
      </c>
      <c r="J216" s="7" t="s">
        <v>832</v>
      </c>
      <c r="K216" s="17">
        <f t="shared" si="10"/>
        <v>8</v>
      </c>
    </row>
    <row r="217" spans="1:11" ht="13.95" customHeight="1" x14ac:dyDescent="0.3">
      <c r="A217" s="3">
        <v>45872</v>
      </c>
      <c r="B217" s="48" t="s">
        <v>890</v>
      </c>
      <c r="C217" s="3" t="s">
        <v>16</v>
      </c>
      <c r="D217" s="3" t="s">
        <v>757</v>
      </c>
      <c r="E217" s="4">
        <v>0.98</v>
      </c>
      <c r="F217" s="42">
        <v>3.4</v>
      </c>
      <c r="G217" s="6">
        <v>189</v>
      </c>
      <c r="H217" s="6">
        <v>2</v>
      </c>
      <c r="I217" s="6">
        <f t="shared" si="9"/>
        <v>1259.4959999999999</v>
      </c>
      <c r="J217" s="7" t="s">
        <v>749</v>
      </c>
      <c r="K217" s="17">
        <f t="shared" si="10"/>
        <v>8</v>
      </c>
    </row>
    <row r="218" spans="1:11" ht="13.95" customHeight="1" x14ac:dyDescent="0.3">
      <c r="A218" s="3">
        <v>45873</v>
      </c>
      <c r="B218" s="48" t="s">
        <v>890</v>
      </c>
      <c r="C218" s="3" t="s">
        <v>18</v>
      </c>
      <c r="D218" s="3" t="s">
        <v>834</v>
      </c>
      <c r="E218" s="4">
        <v>0.9</v>
      </c>
      <c r="F218" s="42">
        <v>2.25</v>
      </c>
      <c r="G218" s="6">
        <v>189</v>
      </c>
      <c r="H218" s="6">
        <v>2</v>
      </c>
      <c r="I218" s="6">
        <f t="shared" si="9"/>
        <v>765.44999999999993</v>
      </c>
      <c r="J218" s="7" t="s">
        <v>848</v>
      </c>
      <c r="K218" s="17">
        <f t="shared" si="10"/>
        <v>8</v>
      </c>
    </row>
    <row r="219" spans="1:11" ht="13.95" customHeight="1" x14ac:dyDescent="0.3">
      <c r="A219" s="3">
        <v>45874</v>
      </c>
      <c r="B219" s="48" t="s">
        <v>890</v>
      </c>
      <c r="C219" s="3" t="s">
        <v>20</v>
      </c>
      <c r="D219" s="3" t="s">
        <v>834</v>
      </c>
      <c r="E219" s="4">
        <v>0.88</v>
      </c>
      <c r="F219" s="42">
        <v>2.2000000000000002</v>
      </c>
      <c r="G219" s="6">
        <v>189</v>
      </c>
      <c r="H219" s="6">
        <v>2</v>
      </c>
      <c r="I219" s="6">
        <f t="shared" si="9"/>
        <v>731.80799999999999</v>
      </c>
      <c r="J219" s="7" t="s">
        <v>476</v>
      </c>
      <c r="K219" s="17">
        <f t="shared" si="10"/>
        <v>8</v>
      </c>
    </row>
    <row r="220" spans="1:11" ht="13.95" customHeight="1" x14ac:dyDescent="0.3">
      <c r="A220" s="3">
        <v>45875</v>
      </c>
      <c r="B220" s="48" t="s">
        <v>890</v>
      </c>
      <c r="C220" s="3" t="s">
        <v>5</v>
      </c>
      <c r="D220" s="3" t="s">
        <v>834</v>
      </c>
      <c r="E220" s="4">
        <v>0.85</v>
      </c>
      <c r="F220" s="42">
        <v>2.15</v>
      </c>
      <c r="G220" s="6">
        <v>189</v>
      </c>
      <c r="H220" s="6">
        <v>2</v>
      </c>
      <c r="I220" s="6">
        <f t="shared" si="9"/>
        <v>690.79499999999996</v>
      </c>
      <c r="J220" s="7" t="s">
        <v>476</v>
      </c>
      <c r="K220" s="17">
        <f t="shared" si="10"/>
        <v>8</v>
      </c>
    </row>
    <row r="221" spans="1:11" ht="13.95" customHeight="1" x14ac:dyDescent="0.3">
      <c r="A221" s="3">
        <v>45876</v>
      </c>
      <c r="B221" s="48" t="s">
        <v>890</v>
      </c>
      <c r="C221" s="3" t="s">
        <v>8</v>
      </c>
      <c r="D221" s="3" t="s">
        <v>834</v>
      </c>
      <c r="E221" s="4">
        <v>0.88</v>
      </c>
      <c r="F221" s="42">
        <v>2.2000000000000002</v>
      </c>
      <c r="G221" s="6">
        <v>189</v>
      </c>
      <c r="H221" s="6">
        <v>2</v>
      </c>
      <c r="I221" s="6">
        <f t="shared" si="9"/>
        <v>731.80799999999999</v>
      </c>
      <c r="J221" s="7" t="s">
        <v>476</v>
      </c>
      <c r="K221" s="17">
        <f t="shared" si="10"/>
        <v>8</v>
      </c>
    </row>
    <row r="222" spans="1:11" ht="13.95" customHeight="1" x14ac:dyDescent="0.3">
      <c r="A222" s="3">
        <v>45877</v>
      </c>
      <c r="B222" s="48" t="s">
        <v>890</v>
      </c>
      <c r="C222" s="3" t="s">
        <v>11</v>
      </c>
      <c r="D222" s="3" t="s">
        <v>829</v>
      </c>
      <c r="E222" s="4">
        <v>0.9</v>
      </c>
      <c r="F222" s="42">
        <v>2.35</v>
      </c>
      <c r="G222" s="6">
        <v>189</v>
      </c>
      <c r="H222" s="6">
        <v>2</v>
      </c>
      <c r="I222" s="6">
        <f t="shared" si="9"/>
        <v>799.47</v>
      </c>
      <c r="J222" s="7" t="s">
        <v>67</v>
      </c>
      <c r="K222" s="17">
        <f t="shared" si="10"/>
        <v>8</v>
      </c>
    </row>
    <row r="223" spans="1:11" ht="13.95" customHeight="1" x14ac:dyDescent="0.3">
      <c r="A223" s="3">
        <v>45878</v>
      </c>
      <c r="B223" s="48" t="s">
        <v>890</v>
      </c>
      <c r="C223" s="3" t="s">
        <v>13</v>
      </c>
      <c r="D223" s="3" t="s">
        <v>840</v>
      </c>
      <c r="E223" s="4">
        <v>0.95</v>
      </c>
      <c r="F223" s="42">
        <v>3.2</v>
      </c>
      <c r="G223" s="6">
        <v>189</v>
      </c>
      <c r="H223" s="6">
        <v>2</v>
      </c>
      <c r="I223" s="6">
        <f t="shared" si="9"/>
        <v>1149.1199999999999</v>
      </c>
      <c r="J223" s="7" t="s">
        <v>837</v>
      </c>
      <c r="K223" s="17">
        <f t="shared" si="10"/>
        <v>8</v>
      </c>
    </row>
    <row r="224" spans="1:11" ht="13.95" customHeight="1" x14ac:dyDescent="0.3">
      <c r="A224" s="3">
        <v>45879</v>
      </c>
      <c r="B224" s="48" t="s">
        <v>890</v>
      </c>
      <c r="C224" s="3" t="s">
        <v>16</v>
      </c>
      <c r="D224" s="3" t="s">
        <v>757</v>
      </c>
      <c r="E224" s="4">
        <v>0.95</v>
      </c>
      <c r="F224" s="42">
        <v>3.35</v>
      </c>
      <c r="G224" s="6">
        <v>189</v>
      </c>
      <c r="H224" s="6">
        <v>2</v>
      </c>
      <c r="I224" s="6">
        <f t="shared" si="9"/>
        <v>1202.9849999999999</v>
      </c>
      <c r="J224" s="7" t="s">
        <v>238</v>
      </c>
      <c r="K224" s="17">
        <f t="shared" si="10"/>
        <v>8</v>
      </c>
    </row>
    <row r="225" spans="1:11" ht="13.95" customHeight="1" x14ac:dyDescent="0.3">
      <c r="A225" s="3">
        <v>45880</v>
      </c>
      <c r="B225" s="48" t="s">
        <v>890</v>
      </c>
      <c r="C225" s="3" t="s">
        <v>18</v>
      </c>
      <c r="D225" s="3" t="s">
        <v>834</v>
      </c>
      <c r="E225" s="4">
        <v>0.88</v>
      </c>
      <c r="F225" s="42">
        <v>2.2000000000000002</v>
      </c>
      <c r="G225" s="6">
        <v>189</v>
      </c>
      <c r="H225" s="6">
        <v>2</v>
      </c>
      <c r="I225" s="6">
        <f t="shared" si="9"/>
        <v>731.80799999999999</v>
      </c>
      <c r="J225" s="7" t="s">
        <v>828</v>
      </c>
      <c r="K225" s="17">
        <f t="shared" si="10"/>
        <v>8</v>
      </c>
    </row>
    <row r="226" spans="1:11" ht="13.95" customHeight="1" x14ac:dyDescent="0.3">
      <c r="A226" s="3">
        <v>45881</v>
      </c>
      <c r="B226" s="48" t="s">
        <v>890</v>
      </c>
      <c r="C226" s="3" t="s">
        <v>20</v>
      </c>
      <c r="D226" s="3" t="s">
        <v>843</v>
      </c>
      <c r="E226" s="4">
        <v>0.9</v>
      </c>
      <c r="F226" s="42">
        <v>2.2999999999999998</v>
      </c>
      <c r="G226" s="6">
        <v>189</v>
      </c>
      <c r="H226" s="6">
        <v>2</v>
      </c>
      <c r="I226" s="6">
        <f t="shared" ref="I226:I289" si="11">(G226*E226)*F226*H226</f>
        <v>782.45999999999992</v>
      </c>
      <c r="J226" s="7" t="s">
        <v>849</v>
      </c>
      <c r="K226" s="17">
        <f t="shared" si="10"/>
        <v>8</v>
      </c>
    </row>
    <row r="227" spans="1:11" ht="13.95" customHeight="1" x14ac:dyDescent="0.3">
      <c r="A227" s="3">
        <v>45882</v>
      </c>
      <c r="B227" s="48" t="s">
        <v>890</v>
      </c>
      <c r="C227" s="3" t="s">
        <v>5</v>
      </c>
      <c r="D227" s="3" t="s">
        <v>850</v>
      </c>
      <c r="E227" s="4">
        <v>0.95</v>
      </c>
      <c r="F227" s="42">
        <v>2.9</v>
      </c>
      <c r="G227" s="6">
        <v>189</v>
      </c>
      <c r="H227" s="6">
        <v>2</v>
      </c>
      <c r="I227" s="6">
        <f t="shared" si="11"/>
        <v>1041.3899999999999</v>
      </c>
      <c r="J227" s="7" t="s">
        <v>851</v>
      </c>
      <c r="K227" s="17">
        <f t="shared" si="10"/>
        <v>8</v>
      </c>
    </row>
    <row r="228" spans="1:11" ht="13.95" customHeight="1" x14ac:dyDescent="0.3">
      <c r="A228" s="3">
        <v>45883</v>
      </c>
      <c r="B228" s="48" t="s">
        <v>890</v>
      </c>
      <c r="C228" s="3" t="s">
        <v>8</v>
      </c>
      <c r="D228" s="3" t="s">
        <v>834</v>
      </c>
      <c r="E228" s="4">
        <v>0.85</v>
      </c>
      <c r="F228" s="42">
        <v>2.15</v>
      </c>
      <c r="G228" s="6">
        <v>189</v>
      </c>
      <c r="H228" s="6">
        <v>2</v>
      </c>
      <c r="I228" s="6">
        <f t="shared" si="11"/>
        <v>690.79499999999996</v>
      </c>
      <c r="J228" s="7" t="s">
        <v>70</v>
      </c>
      <c r="K228" s="17">
        <f t="shared" si="10"/>
        <v>8</v>
      </c>
    </row>
    <row r="229" spans="1:11" ht="13.95" customHeight="1" x14ac:dyDescent="0.3">
      <c r="A229" s="3">
        <v>45884</v>
      </c>
      <c r="B229" s="48" t="s">
        <v>890</v>
      </c>
      <c r="C229" s="3" t="s">
        <v>11</v>
      </c>
      <c r="D229" s="3" t="s">
        <v>829</v>
      </c>
      <c r="E229" s="4">
        <v>0.92</v>
      </c>
      <c r="F229" s="42">
        <v>2.35</v>
      </c>
      <c r="G229" s="6">
        <v>189</v>
      </c>
      <c r="H229" s="6">
        <v>2</v>
      </c>
      <c r="I229" s="6">
        <f t="shared" si="11"/>
        <v>817.23599999999999</v>
      </c>
      <c r="J229" s="7" t="s">
        <v>852</v>
      </c>
      <c r="K229" s="17">
        <f t="shared" si="10"/>
        <v>8</v>
      </c>
    </row>
    <row r="230" spans="1:11" ht="13.95" customHeight="1" x14ac:dyDescent="0.3">
      <c r="A230" s="3">
        <v>45885</v>
      </c>
      <c r="B230" s="48" t="s">
        <v>890</v>
      </c>
      <c r="C230" s="3" t="s">
        <v>13</v>
      </c>
      <c r="D230" s="3" t="s">
        <v>840</v>
      </c>
      <c r="E230" s="4">
        <v>0.95</v>
      </c>
      <c r="F230" s="42">
        <v>3.15</v>
      </c>
      <c r="G230" s="6">
        <v>189</v>
      </c>
      <c r="H230" s="6">
        <v>2</v>
      </c>
      <c r="I230" s="6">
        <f t="shared" si="11"/>
        <v>1131.165</v>
      </c>
      <c r="J230" s="7" t="s">
        <v>780</v>
      </c>
      <c r="K230" s="17">
        <f t="shared" si="10"/>
        <v>8</v>
      </c>
    </row>
    <row r="231" spans="1:11" ht="13.95" customHeight="1" x14ac:dyDescent="0.3">
      <c r="A231" s="3">
        <v>45886</v>
      </c>
      <c r="B231" s="48" t="s">
        <v>890</v>
      </c>
      <c r="C231" s="3" t="s">
        <v>16</v>
      </c>
      <c r="D231" s="3" t="s">
        <v>757</v>
      </c>
      <c r="E231" s="4">
        <v>0.98</v>
      </c>
      <c r="F231" s="42">
        <v>3.4</v>
      </c>
      <c r="G231" s="6">
        <v>189</v>
      </c>
      <c r="H231" s="6">
        <v>2</v>
      </c>
      <c r="I231" s="6">
        <f t="shared" si="11"/>
        <v>1259.4959999999999</v>
      </c>
      <c r="J231" s="7" t="s">
        <v>745</v>
      </c>
      <c r="K231" s="17">
        <f t="shared" si="10"/>
        <v>8</v>
      </c>
    </row>
    <row r="232" spans="1:11" ht="13.95" customHeight="1" x14ac:dyDescent="0.3">
      <c r="A232" s="3">
        <v>45887</v>
      </c>
      <c r="B232" s="48" t="s">
        <v>890</v>
      </c>
      <c r="C232" s="3" t="s">
        <v>18</v>
      </c>
      <c r="D232" s="3" t="s">
        <v>834</v>
      </c>
      <c r="E232" s="4">
        <v>0.85</v>
      </c>
      <c r="F232" s="42">
        <v>2.2000000000000002</v>
      </c>
      <c r="G232" s="6">
        <v>189</v>
      </c>
      <c r="H232" s="6">
        <v>2</v>
      </c>
      <c r="I232" s="6">
        <f t="shared" si="11"/>
        <v>706.86000000000013</v>
      </c>
      <c r="J232" s="7" t="s">
        <v>476</v>
      </c>
      <c r="K232" s="17">
        <f t="shared" si="10"/>
        <v>8</v>
      </c>
    </row>
    <row r="233" spans="1:11" ht="13.95" customHeight="1" x14ac:dyDescent="0.3">
      <c r="A233" s="3">
        <v>45888</v>
      </c>
      <c r="B233" s="48" t="s">
        <v>890</v>
      </c>
      <c r="C233" s="3" t="s">
        <v>20</v>
      </c>
      <c r="D233" s="3" t="s">
        <v>834</v>
      </c>
      <c r="E233" s="4">
        <v>0.82</v>
      </c>
      <c r="F233" s="42">
        <v>2.15</v>
      </c>
      <c r="G233" s="6">
        <v>189</v>
      </c>
      <c r="H233" s="6">
        <v>2</v>
      </c>
      <c r="I233" s="6">
        <f t="shared" si="11"/>
        <v>666.41399999999987</v>
      </c>
      <c r="J233" s="7" t="s">
        <v>476</v>
      </c>
      <c r="K233" s="17">
        <f t="shared" si="10"/>
        <v>8</v>
      </c>
    </row>
    <row r="234" spans="1:11" ht="13.95" customHeight="1" x14ac:dyDescent="0.3">
      <c r="A234" s="3">
        <v>45889</v>
      </c>
      <c r="B234" s="48" t="s">
        <v>890</v>
      </c>
      <c r="C234" s="3" t="s">
        <v>5</v>
      </c>
      <c r="D234" s="3" t="s">
        <v>834</v>
      </c>
      <c r="E234" s="4">
        <v>0.8</v>
      </c>
      <c r="F234" s="42">
        <v>2.15</v>
      </c>
      <c r="G234" s="6">
        <v>189</v>
      </c>
      <c r="H234" s="6">
        <v>2</v>
      </c>
      <c r="I234" s="6">
        <f t="shared" si="11"/>
        <v>650.16000000000008</v>
      </c>
      <c r="J234" s="7" t="s">
        <v>476</v>
      </c>
      <c r="K234" s="17">
        <f t="shared" si="10"/>
        <v>8</v>
      </c>
    </row>
    <row r="235" spans="1:11" ht="13.95" customHeight="1" x14ac:dyDescent="0.3">
      <c r="A235" s="3">
        <v>45890</v>
      </c>
      <c r="B235" s="48" t="s">
        <v>890</v>
      </c>
      <c r="C235" s="3" t="s">
        <v>8</v>
      </c>
      <c r="D235" s="3" t="s">
        <v>834</v>
      </c>
      <c r="E235" s="4">
        <v>0.85</v>
      </c>
      <c r="F235" s="42">
        <v>2.2000000000000002</v>
      </c>
      <c r="G235" s="6">
        <v>189</v>
      </c>
      <c r="H235" s="6">
        <v>2</v>
      </c>
      <c r="I235" s="6">
        <f t="shared" si="11"/>
        <v>706.86000000000013</v>
      </c>
      <c r="J235" s="7" t="s">
        <v>476</v>
      </c>
      <c r="K235" s="17">
        <f t="shared" si="10"/>
        <v>8</v>
      </c>
    </row>
    <row r="236" spans="1:11" ht="13.95" customHeight="1" x14ac:dyDescent="0.3">
      <c r="A236" s="3">
        <v>45891</v>
      </c>
      <c r="B236" s="48" t="s">
        <v>890</v>
      </c>
      <c r="C236" s="3" t="s">
        <v>11</v>
      </c>
      <c r="D236" s="3" t="s">
        <v>829</v>
      </c>
      <c r="E236" s="4">
        <v>0.88</v>
      </c>
      <c r="F236" s="42">
        <v>2.2999999999999998</v>
      </c>
      <c r="G236" s="6">
        <v>189</v>
      </c>
      <c r="H236" s="6">
        <v>2</v>
      </c>
      <c r="I236" s="6">
        <f t="shared" si="11"/>
        <v>765.07199999999989</v>
      </c>
      <c r="J236" s="7" t="s">
        <v>540</v>
      </c>
      <c r="K236" s="17">
        <f t="shared" si="10"/>
        <v>8</v>
      </c>
    </row>
    <row r="237" spans="1:11" ht="13.95" customHeight="1" x14ac:dyDescent="0.3">
      <c r="A237" s="3">
        <v>45892</v>
      </c>
      <c r="B237" s="48" t="s">
        <v>890</v>
      </c>
      <c r="C237" s="3" t="s">
        <v>13</v>
      </c>
      <c r="D237" s="3" t="s">
        <v>840</v>
      </c>
      <c r="E237" s="4">
        <v>0.95</v>
      </c>
      <c r="F237" s="42">
        <v>3.2</v>
      </c>
      <c r="G237" s="6">
        <v>189</v>
      </c>
      <c r="H237" s="6">
        <v>2</v>
      </c>
      <c r="I237" s="6">
        <f t="shared" si="11"/>
        <v>1149.1199999999999</v>
      </c>
      <c r="J237" s="7" t="s">
        <v>739</v>
      </c>
      <c r="K237" s="17">
        <f t="shared" si="10"/>
        <v>8</v>
      </c>
    </row>
    <row r="238" spans="1:11" ht="13.95" customHeight="1" x14ac:dyDescent="0.3">
      <c r="A238" s="3">
        <v>45893</v>
      </c>
      <c r="B238" s="48" t="s">
        <v>890</v>
      </c>
      <c r="C238" s="3" t="s">
        <v>16</v>
      </c>
      <c r="D238" s="3" t="s">
        <v>757</v>
      </c>
      <c r="E238" s="4">
        <v>0.98</v>
      </c>
      <c r="F238" s="42">
        <v>3.45</v>
      </c>
      <c r="G238" s="6">
        <v>189</v>
      </c>
      <c r="H238" s="6">
        <v>2</v>
      </c>
      <c r="I238" s="6">
        <f t="shared" si="11"/>
        <v>1278.018</v>
      </c>
      <c r="J238" s="7" t="s">
        <v>853</v>
      </c>
      <c r="K238" s="17">
        <f t="shared" si="10"/>
        <v>8</v>
      </c>
    </row>
    <row r="239" spans="1:11" ht="13.95" customHeight="1" x14ac:dyDescent="0.3">
      <c r="A239" s="3">
        <v>45894</v>
      </c>
      <c r="B239" s="48" t="s">
        <v>890</v>
      </c>
      <c r="C239" s="3" t="s">
        <v>18</v>
      </c>
      <c r="D239" s="3" t="s">
        <v>834</v>
      </c>
      <c r="E239" s="4">
        <v>0.85</v>
      </c>
      <c r="F239" s="42">
        <v>2.2000000000000002</v>
      </c>
      <c r="G239" s="6">
        <v>189</v>
      </c>
      <c r="H239" s="6">
        <v>2</v>
      </c>
      <c r="I239" s="6">
        <f t="shared" si="11"/>
        <v>706.86000000000013</v>
      </c>
      <c r="J239" s="7" t="s">
        <v>755</v>
      </c>
      <c r="K239" s="17">
        <f t="shared" si="10"/>
        <v>8</v>
      </c>
    </row>
    <row r="240" spans="1:11" ht="13.95" customHeight="1" x14ac:dyDescent="0.3">
      <c r="A240" s="3">
        <v>45895</v>
      </c>
      <c r="B240" s="48" t="s">
        <v>890</v>
      </c>
      <c r="C240" s="3" t="s">
        <v>20</v>
      </c>
      <c r="D240" s="3" t="s">
        <v>834</v>
      </c>
      <c r="E240" s="4">
        <v>0.8</v>
      </c>
      <c r="F240" s="42">
        <v>2.15</v>
      </c>
      <c r="G240" s="6">
        <v>189</v>
      </c>
      <c r="H240" s="6">
        <v>2</v>
      </c>
      <c r="I240" s="6">
        <f t="shared" si="11"/>
        <v>650.16000000000008</v>
      </c>
      <c r="J240" s="7" t="s">
        <v>476</v>
      </c>
      <c r="K240" s="17">
        <f t="shared" si="10"/>
        <v>8</v>
      </c>
    </row>
    <row r="241" spans="1:11" ht="13.95" customHeight="1" x14ac:dyDescent="0.3">
      <c r="A241" s="3">
        <v>45896</v>
      </c>
      <c r="B241" s="48" t="s">
        <v>890</v>
      </c>
      <c r="C241" s="3" t="s">
        <v>5</v>
      </c>
      <c r="D241" s="3" t="s">
        <v>834</v>
      </c>
      <c r="E241" s="4">
        <v>0.78</v>
      </c>
      <c r="F241" s="42">
        <v>2.1</v>
      </c>
      <c r="G241" s="6">
        <v>189</v>
      </c>
      <c r="H241" s="6">
        <v>2</v>
      </c>
      <c r="I241" s="6">
        <f t="shared" si="11"/>
        <v>619.1640000000001</v>
      </c>
      <c r="J241" s="7" t="s">
        <v>70</v>
      </c>
      <c r="K241" s="17">
        <f t="shared" si="10"/>
        <v>8</v>
      </c>
    </row>
    <row r="242" spans="1:11" ht="13.95" customHeight="1" x14ac:dyDescent="0.3">
      <c r="A242" s="3">
        <v>45897</v>
      </c>
      <c r="B242" s="48" t="s">
        <v>890</v>
      </c>
      <c r="C242" s="3" t="s">
        <v>8</v>
      </c>
      <c r="D242" s="3" t="s">
        <v>834</v>
      </c>
      <c r="E242" s="4">
        <v>0.82</v>
      </c>
      <c r="F242" s="42">
        <v>2.15</v>
      </c>
      <c r="G242" s="6">
        <v>189</v>
      </c>
      <c r="H242" s="6">
        <v>2</v>
      </c>
      <c r="I242" s="6">
        <f t="shared" si="11"/>
        <v>666.41399999999987</v>
      </c>
      <c r="J242" s="7" t="s">
        <v>476</v>
      </c>
      <c r="K242" s="17">
        <f t="shared" si="10"/>
        <v>8</v>
      </c>
    </row>
    <row r="243" spans="1:11" ht="13.95" customHeight="1" x14ac:dyDescent="0.3">
      <c r="A243" s="3">
        <v>45898</v>
      </c>
      <c r="B243" s="48" t="s">
        <v>890</v>
      </c>
      <c r="C243" s="3" t="s">
        <v>11</v>
      </c>
      <c r="D243" s="3" t="s">
        <v>44</v>
      </c>
      <c r="E243" s="4">
        <v>0.85</v>
      </c>
      <c r="F243" s="42">
        <v>2.2000000000000002</v>
      </c>
      <c r="G243" s="6">
        <v>189</v>
      </c>
      <c r="H243" s="6">
        <v>2</v>
      </c>
      <c r="I243" s="6">
        <f t="shared" si="11"/>
        <v>706.86000000000013</v>
      </c>
      <c r="J243" s="7" t="s">
        <v>854</v>
      </c>
      <c r="K243" s="17">
        <f t="shared" si="10"/>
        <v>8</v>
      </c>
    </row>
    <row r="244" spans="1:11" ht="13.95" customHeight="1" x14ac:dyDescent="0.3">
      <c r="A244" s="3">
        <v>45899</v>
      </c>
      <c r="B244" s="48" t="s">
        <v>890</v>
      </c>
      <c r="C244" s="3" t="s">
        <v>13</v>
      </c>
      <c r="D244" s="3" t="s">
        <v>855</v>
      </c>
      <c r="E244" s="4">
        <v>0.92</v>
      </c>
      <c r="F244" s="42">
        <v>3.05</v>
      </c>
      <c r="G244" s="6">
        <v>189</v>
      </c>
      <c r="H244" s="6">
        <v>2</v>
      </c>
      <c r="I244" s="6">
        <f t="shared" si="11"/>
        <v>1060.6679999999999</v>
      </c>
      <c r="J244" s="7" t="s">
        <v>856</v>
      </c>
      <c r="K244" s="17">
        <f t="shared" si="10"/>
        <v>8</v>
      </c>
    </row>
    <row r="245" spans="1:11" ht="13.95" customHeight="1" x14ac:dyDescent="0.3">
      <c r="A245" s="3">
        <v>45900</v>
      </c>
      <c r="B245" s="48" t="s">
        <v>890</v>
      </c>
      <c r="C245" s="3" t="s">
        <v>16</v>
      </c>
      <c r="D245" s="3" t="s">
        <v>757</v>
      </c>
      <c r="E245" s="4">
        <v>0.95</v>
      </c>
      <c r="F245" s="42">
        <v>3.4</v>
      </c>
      <c r="G245" s="6">
        <v>189</v>
      </c>
      <c r="H245" s="6">
        <v>2</v>
      </c>
      <c r="I245" s="6">
        <f t="shared" si="11"/>
        <v>1220.9399999999998</v>
      </c>
      <c r="J245" s="7" t="s">
        <v>857</v>
      </c>
      <c r="K245" s="17">
        <f t="shared" si="10"/>
        <v>8</v>
      </c>
    </row>
    <row r="246" spans="1:11" ht="13.95" customHeight="1" x14ac:dyDescent="0.3">
      <c r="A246" s="3">
        <v>45901</v>
      </c>
      <c r="B246" s="48" t="s">
        <v>890</v>
      </c>
      <c r="C246" s="3" t="s">
        <v>18</v>
      </c>
      <c r="D246" s="3" t="s">
        <v>706</v>
      </c>
      <c r="E246" s="4">
        <v>0.8</v>
      </c>
      <c r="F246" s="42">
        <v>2.2000000000000002</v>
      </c>
      <c r="G246" s="6">
        <v>189</v>
      </c>
      <c r="H246" s="6">
        <v>2</v>
      </c>
      <c r="I246" s="6">
        <f t="shared" si="11"/>
        <v>665.28000000000009</v>
      </c>
      <c r="J246" s="7" t="s">
        <v>720</v>
      </c>
      <c r="K246" s="17">
        <f t="shared" si="10"/>
        <v>9</v>
      </c>
    </row>
    <row r="247" spans="1:11" ht="13.95" customHeight="1" x14ac:dyDescent="0.3">
      <c r="A247" s="3">
        <v>45902</v>
      </c>
      <c r="B247" s="48" t="s">
        <v>890</v>
      </c>
      <c r="C247" s="3" t="s">
        <v>20</v>
      </c>
      <c r="D247" s="3" t="s">
        <v>707</v>
      </c>
      <c r="E247" s="4">
        <v>0.9</v>
      </c>
      <c r="F247" s="42">
        <v>2.2999999999999998</v>
      </c>
      <c r="G247" s="6">
        <v>189</v>
      </c>
      <c r="H247" s="6">
        <v>2</v>
      </c>
      <c r="I247" s="6">
        <f t="shared" si="11"/>
        <v>782.45999999999992</v>
      </c>
      <c r="J247" s="7" t="s">
        <v>771</v>
      </c>
      <c r="K247" s="17">
        <f t="shared" si="10"/>
        <v>9</v>
      </c>
    </row>
    <row r="248" spans="1:11" ht="13.95" customHeight="1" x14ac:dyDescent="0.3">
      <c r="A248" s="3">
        <v>45903</v>
      </c>
      <c r="B248" s="48" t="s">
        <v>890</v>
      </c>
      <c r="C248" s="3" t="s">
        <v>5</v>
      </c>
      <c r="D248" s="3" t="s">
        <v>706</v>
      </c>
      <c r="E248" s="4">
        <v>0.85</v>
      </c>
      <c r="F248" s="42">
        <v>2.2000000000000002</v>
      </c>
      <c r="G248" s="6">
        <v>189</v>
      </c>
      <c r="H248" s="6">
        <v>2</v>
      </c>
      <c r="I248" s="6">
        <f t="shared" si="11"/>
        <v>706.86000000000013</v>
      </c>
      <c r="J248" s="7" t="s">
        <v>71</v>
      </c>
      <c r="K248" s="17">
        <f t="shared" si="10"/>
        <v>9</v>
      </c>
    </row>
    <row r="249" spans="1:11" ht="13.95" customHeight="1" x14ac:dyDescent="0.3">
      <c r="A249" s="3">
        <v>45904</v>
      </c>
      <c r="B249" s="48" t="s">
        <v>890</v>
      </c>
      <c r="C249" s="3" t="s">
        <v>8</v>
      </c>
      <c r="D249" s="3" t="s">
        <v>706</v>
      </c>
      <c r="E249" s="4">
        <v>0.82</v>
      </c>
      <c r="F249" s="42">
        <v>2.15</v>
      </c>
      <c r="G249" s="6">
        <v>189</v>
      </c>
      <c r="H249" s="6">
        <v>2</v>
      </c>
      <c r="I249" s="6">
        <f t="shared" si="11"/>
        <v>666.41399999999987</v>
      </c>
      <c r="J249" s="7" t="s">
        <v>71</v>
      </c>
      <c r="K249" s="17">
        <f t="shared" si="10"/>
        <v>9</v>
      </c>
    </row>
    <row r="250" spans="1:11" ht="13.95" customHeight="1" x14ac:dyDescent="0.3">
      <c r="A250" s="3">
        <v>45905</v>
      </c>
      <c r="B250" s="48" t="s">
        <v>890</v>
      </c>
      <c r="C250" s="3" t="s">
        <v>11</v>
      </c>
      <c r="D250" s="3" t="s">
        <v>44</v>
      </c>
      <c r="E250" s="4">
        <v>0.75</v>
      </c>
      <c r="F250" s="42">
        <v>2.15</v>
      </c>
      <c r="G250" s="6">
        <v>189</v>
      </c>
      <c r="H250" s="6">
        <v>2</v>
      </c>
      <c r="I250" s="6">
        <f t="shared" si="11"/>
        <v>609.52499999999998</v>
      </c>
      <c r="J250" s="7" t="s">
        <v>540</v>
      </c>
      <c r="K250" s="17">
        <f t="shared" si="10"/>
        <v>9</v>
      </c>
    </row>
    <row r="251" spans="1:11" ht="13.95" customHeight="1" x14ac:dyDescent="0.3">
      <c r="A251" s="3">
        <v>45906</v>
      </c>
      <c r="B251" s="48" t="s">
        <v>890</v>
      </c>
      <c r="C251" s="3" t="s">
        <v>13</v>
      </c>
      <c r="D251" s="3" t="s">
        <v>14</v>
      </c>
      <c r="E251" s="4">
        <v>0.72</v>
      </c>
      <c r="F251" s="42">
        <v>2.65</v>
      </c>
      <c r="G251" s="6">
        <v>189</v>
      </c>
      <c r="H251" s="6">
        <v>2</v>
      </c>
      <c r="I251" s="6">
        <f t="shared" si="11"/>
        <v>721.22399999999993</v>
      </c>
      <c r="J251" s="7" t="s">
        <v>810</v>
      </c>
      <c r="K251" s="17">
        <f t="shared" si="10"/>
        <v>9</v>
      </c>
    </row>
    <row r="252" spans="1:11" ht="13.95" customHeight="1" x14ac:dyDescent="0.3">
      <c r="A252" s="3">
        <v>45907</v>
      </c>
      <c r="B252" s="48" t="s">
        <v>890</v>
      </c>
      <c r="C252" s="3" t="s">
        <v>16</v>
      </c>
      <c r="D252" s="3" t="s">
        <v>757</v>
      </c>
      <c r="E252" s="4">
        <v>0.92</v>
      </c>
      <c r="F252" s="42">
        <v>3.2</v>
      </c>
      <c r="G252" s="6">
        <v>189</v>
      </c>
      <c r="H252" s="6">
        <v>2</v>
      </c>
      <c r="I252" s="6">
        <f t="shared" si="11"/>
        <v>1112.8320000000001</v>
      </c>
      <c r="J252" s="7" t="s">
        <v>745</v>
      </c>
      <c r="K252" s="17">
        <f t="shared" si="10"/>
        <v>9</v>
      </c>
    </row>
    <row r="253" spans="1:11" ht="13.95" customHeight="1" x14ac:dyDescent="0.3">
      <c r="A253" s="3">
        <v>45908</v>
      </c>
      <c r="B253" s="48" t="s">
        <v>890</v>
      </c>
      <c r="C253" s="3" t="s">
        <v>18</v>
      </c>
      <c r="D253" s="3" t="s">
        <v>706</v>
      </c>
      <c r="E253" s="4">
        <v>0.8</v>
      </c>
      <c r="F253" s="42">
        <v>2.2000000000000002</v>
      </c>
      <c r="G253" s="6">
        <v>189</v>
      </c>
      <c r="H253" s="6">
        <v>2</v>
      </c>
      <c r="I253" s="6">
        <f t="shared" si="11"/>
        <v>665.28000000000009</v>
      </c>
      <c r="J253" s="7" t="s">
        <v>286</v>
      </c>
      <c r="K253" s="17">
        <f t="shared" si="10"/>
        <v>9</v>
      </c>
    </row>
    <row r="254" spans="1:11" ht="13.95" customHeight="1" x14ac:dyDescent="0.3">
      <c r="A254" s="3">
        <v>45909</v>
      </c>
      <c r="B254" s="48" t="s">
        <v>890</v>
      </c>
      <c r="C254" s="3" t="s">
        <v>20</v>
      </c>
      <c r="D254" s="3" t="s">
        <v>706</v>
      </c>
      <c r="E254" s="4">
        <v>0.88</v>
      </c>
      <c r="F254" s="42">
        <v>2.25</v>
      </c>
      <c r="G254" s="6">
        <v>189</v>
      </c>
      <c r="H254" s="6">
        <v>2</v>
      </c>
      <c r="I254" s="6">
        <f t="shared" si="11"/>
        <v>748.43999999999994</v>
      </c>
      <c r="J254" s="7" t="s">
        <v>776</v>
      </c>
      <c r="K254" s="17">
        <f t="shared" si="10"/>
        <v>9</v>
      </c>
    </row>
    <row r="255" spans="1:11" ht="13.95" customHeight="1" x14ac:dyDescent="0.3">
      <c r="A255" s="3">
        <v>45910</v>
      </c>
      <c r="B255" s="48" t="s">
        <v>890</v>
      </c>
      <c r="C255" s="3" t="s">
        <v>5</v>
      </c>
      <c r="D255" s="3" t="s">
        <v>706</v>
      </c>
      <c r="E255" s="4">
        <v>0.85</v>
      </c>
      <c r="F255" s="42">
        <v>2.2000000000000002</v>
      </c>
      <c r="G255" s="6">
        <v>189</v>
      </c>
      <c r="H255" s="6">
        <v>2</v>
      </c>
      <c r="I255" s="6">
        <f t="shared" si="11"/>
        <v>706.86000000000013</v>
      </c>
      <c r="J255" s="7" t="s">
        <v>71</v>
      </c>
      <c r="K255" s="17">
        <f t="shared" si="10"/>
        <v>9</v>
      </c>
    </row>
    <row r="256" spans="1:11" ht="13.95" customHeight="1" x14ac:dyDescent="0.3">
      <c r="A256" s="3">
        <v>45911</v>
      </c>
      <c r="B256" s="48" t="s">
        <v>890</v>
      </c>
      <c r="C256" s="3" t="s">
        <v>8</v>
      </c>
      <c r="D256" s="3" t="s">
        <v>706</v>
      </c>
      <c r="E256" s="4">
        <v>0.82</v>
      </c>
      <c r="F256" s="42">
        <v>2.15</v>
      </c>
      <c r="G256" s="6">
        <v>189</v>
      </c>
      <c r="H256" s="6">
        <v>2</v>
      </c>
      <c r="I256" s="6">
        <f t="shared" si="11"/>
        <v>666.41399999999987</v>
      </c>
      <c r="J256" s="7" t="s">
        <v>71</v>
      </c>
      <c r="K256" s="17">
        <f t="shared" si="10"/>
        <v>9</v>
      </c>
    </row>
    <row r="257" spans="1:11" ht="13.95" customHeight="1" x14ac:dyDescent="0.3">
      <c r="A257" s="3">
        <v>45912</v>
      </c>
      <c r="B257" s="48" t="s">
        <v>890</v>
      </c>
      <c r="C257" s="3" t="s">
        <v>11</v>
      </c>
      <c r="D257" s="3" t="s">
        <v>44</v>
      </c>
      <c r="E257" s="4">
        <v>0.78</v>
      </c>
      <c r="F257" s="42">
        <v>2.1</v>
      </c>
      <c r="G257" s="6">
        <v>189</v>
      </c>
      <c r="H257" s="6">
        <v>2</v>
      </c>
      <c r="I257" s="6">
        <f t="shared" si="11"/>
        <v>619.1640000000001</v>
      </c>
      <c r="J257" s="7" t="s">
        <v>70</v>
      </c>
      <c r="K257" s="17">
        <f t="shared" si="10"/>
        <v>9</v>
      </c>
    </row>
    <row r="258" spans="1:11" ht="13.95" customHeight="1" x14ac:dyDescent="0.3">
      <c r="A258" s="3">
        <v>45913</v>
      </c>
      <c r="B258" s="48" t="s">
        <v>890</v>
      </c>
      <c r="C258" s="3" t="s">
        <v>13</v>
      </c>
      <c r="D258" s="3" t="s">
        <v>14</v>
      </c>
      <c r="E258" s="4">
        <v>0.75</v>
      </c>
      <c r="F258" s="42">
        <v>2.7</v>
      </c>
      <c r="G258" s="6">
        <v>189</v>
      </c>
      <c r="H258" s="6">
        <v>2</v>
      </c>
      <c r="I258" s="6">
        <f t="shared" si="11"/>
        <v>765.45</v>
      </c>
      <c r="J258" s="7" t="s">
        <v>739</v>
      </c>
      <c r="K258" s="17">
        <f t="shared" si="10"/>
        <v>9</v>
      </c>
    </row>
    <row r="259" spans="1:11" ht="13.95" customHeight="1" x14ac:dyDescent="0.3">
      <c r="A259" s="3">
        <v>45914</v>
      </c>
      <c r="B259" s="48" t="s">
        <v>890</v>
      </c>
      <c r="C259" s="3" t="s">
        <v>16</v>
      </c>
      <c r="D259" s="3" t="s">
        <v>757</v>
      </c>
      <c r="E259" s="4">
        <v>0.9</v>
      </c>
      <c r="F259" s="42">
        <v>3.1</v>
      </c>
      <c r="G259" s="6">
        <v>189</v>
      </c>
      <c r="H259" s="6">
        <v>2</v>
      </c>
      <c r="I259" s="6">
        <f t="shared" si="11"/>
        <v>1054.6199999999999</v>
      </c>
      <c r="J259" s="7" t="s">
        <v>238</v>
      </c>
      <c r="K259" s="17">
        <f t="shared" ref="K259:K322" si="12">MONTH(A259)</f>
        <v>9</v>
      </c>
    </row>
    <row r="260" spans="1:11" ht="13.95" customHeight="1" x14ac:dyDescent="0.3">
      <c r="A260" s="3">
        <v>45915</v>
      </c>
      <c r="B260" s="48" t="s">
        <v>890</v>
      </c>
      <c r="C260" s="3" t="s">
        <v>18</v>
      </c>
      <c r="D260" s="3" t="s">
        <v>706</v>
      </c>
      <c r="E260" s="4">
        <v>0.85</v>
      </c>
      <c r="F260" s="42">
        <v>2.2000000000000002</v>
      </c>
      <c r="G260" s="6">
        <v>189</v>
      </c>
      <c r="H260" s="6">
        <v>2</v>
      </c>
      <c r="I260" s="6">
        <f t="shared" si="11"/>
        <v>706.86000000000013</v>
      </c>
      <c r="J260" s="7" t="s">
        <v>858</v>
      </c>
      <c r="K260" s="17">
        <f t="shared" si="12"/>
        <v>9</v>
      </c>
    </row>
    <row r="261" spans="1:11" ht="13.95" customHeight="1" x14ac:dyDescent="0.3">
      <c r="A261" s="3">
        <v>45916</v>
      </c>
      <c r="B261" s="48" t="s">
        <v>890</v>
      </c>
      <c r="C261" s="3" t="s">
        <v>20</v>
      </c>
      <c r="D261" s="3" t="s">
        <v>707</v>
      </c>
      <c r="E261" s="4">
        <v>0.92</v>
      </c>
      <c r="F261" s="42">
        <v>2.2999999999999998</v>
      </c>
      <c r="G261" s="6">
        <v>189</v>
      </c>
      <c r="H261" s="6">
        <v>2</v>
      </c>
      <c r="I261" s="6">
        <f t="shared" si="11"/>
        <v>799.84799999999996</v>
      </c>
      <c r="J261" s="7" t="s">
        <v>859</v>
      </c>
      <c r="K261" s="17">
        <f t="shared" si="12"/>
        <v>9</v>
      </c>
    </row>
    <row r="262" spans="1:11" ht="13.95" customHeight="1" x14ac:dyDescent="0.3">
      <c r="A262" s="3">
        <v>45917</v>
      </c>
      <c r="B262" s="48" t="s">
        <v>890</v>
      </c>
      <c r="C262" s="3" t="s">
        <v>5</v>
      </c>
      <c r="D262" s="3" t="s">
        <v>706</v>
      </c>
      <c r="E262" s="4">
        <v>0.88</v>
      </c>
      <c r="F262" s="42">
        <v>2.25</v>
      </c>
      <c r="G262" s="6">
        <v>189</v>
      </c>
      <c r="H262" s="6">
        <v>2</v>
      </c>
      <c r="I262" s="6">
        <f t="shared" si="11"/>
        <v>748.43999999999994</v>
      </c>
      <c r="J262" s="7" t="s">
        <v>71</v>
      </c>
      <c r="K262" s="17">
        <f t="shared" si="12"/>
        <v>9</v>
      </c>
    </row>
    <row r="263" spans="1:11" ht="13.95" customHeight="1" x14ac:dyDescent="0.3">
      <c r="A263" s="3">
        <v>45918</v>
      </c>
      <c r="B263" s="48" t="s">
        <v>890</v>
      </c>
      <c r="C263" s="3" t="s">
        <v>8</v>
      </c>
      <c r="D263" s="3" t="s">
        <v>706</v>
      </c>
      <c r="E263" s="4">
        <v>0.84</v>
      </c>
      <c r="F263" s="42">
        <v>2.2000000000000002</v>
      </c>
      <c r="G263" s="6">
        <v>189</v>
      </c>
      <c r="H263" s="6">
        <v>2</v>
      </c>
      <c r="I263" s="6">
        <f t="shared" si="11"/>
        <v>698.54399999999998</v>
      </c>
      <c r="J263" s="7" t="s">
        <v>71</v>
      </c>
      <c r="K263" s="17">
        <f t="shared" si="12"/>
        <v>9</v>
      </c>
    </row>
    <row r="264" spans="1:11" ht="13.95" customHeight="1" x14ac:dyDescent="0.3">
      <c r="A264" s="3">
        <v>45919</v>
      </c>
      <c r="B264" s="48" t="s">
        <v>890</v>
      </c>
      <c r="C264" s="3" t="s">
        <v>11</v>
      </c>
      <c r="D264" s="3" t="s">
        <v>44</v>
      </c>
      <c r="E264" s="4">
        <v>0.78</v>
      </c>
      <c r="F264" s="42">
        <v>2.15</v>
      </c>
      <c r="G264" s="6">
        <v>189</v>
      </c>
      <c r="H264" s="6">
        <v>2</v>
      </c>
      <c r="I264" s="6">
        <f t="shared" si="11"/>
        <v>633.90600000000006</v>
      </c>
      <c r="J264" s="7" t="s">
        <v>540</v>
      </c>
      <c r="K264" s="17">
        <f t="shared" si="12"/>
        <v>9</v>
      </c>
    </row>
    <row r="265" spans="1:11" ht="13.95" customHeight="1" x14ac:dyDescent="0.3">
      <c r="A265" s="3">
        <v>45920</v>
      </c>
      <c r="B265" s="48" t="s">
        <v>890</v>
      </c>
      <c r="C265" s="3" t="s">
        <v>13</v>
      </c>
      <c r="D265" s="3" t="s">
        <v>14</v>
      </c>
      <c r="E265" s="4">
        <v>0.75</v>
      </c>
      <c r="F265" s="42">
        <v>2.65</v>
      </c>
      <c r="G265" s="6">
        <v>189</v>
      </c>
      <c r="H265" s="6">
        <v>2</v>
      </c>
      <c r="I265" s="6">
        <f t="shared" si="11"/>
        <v>751.27499999999998</v>
      </c>
      <c r="J265" s="7" t="s">
        <v>780</v>
      </c>
      <c r="K265" s="17">
        <f t="shared" si="12"/>
        <v>9</v>
      </c>
    </row>
    <row r="266" spans="1:11" ht="13.95" customHeight="1" x14ac:dyDescent="0.3">
      <c r="A266" s="3">
        <v>45921</v>
      </c>
      <c r="B266" s="48" t="s">
        <v>890</v>
      </c>
      <c r="C266" s="3" t="s">
        <v>16</v>
      </c>
      <c r="D266" s="3" t="s">
        <v>757</v>
      </c>
      <c r="E266" s="4">
        <v>0.9</v>
      </c>
      <c r="F266" s="42">
        <v>3.1</v>
      </c>
      <c r="G266" s="6">
        <v>189</v>
      </c>
      <c r="H266" s="6">
        <v>2</v>
      </c>
      <c r="I266" s="6">
        <f t="shared" si="11"/>
        <v>1054.6199999999999</v>
      </c>
      <c r="J266" s="7" t="s">
        <v>69</v>
      </c>
      <c r="K266" s="17">
        <f t="shared" si="12"/>
        <v>9</v>
      </c>
    </row>
    <row r="267" spans="1:11" ht="13.95" customHeight="1" x14ac:dyDescent="0.3">
      <c r="A267" s="3">
        <v>45922</v>
      </c>
      <c r="B267" s="48" t="s">
        <v>890</v>
      </c>
      <c r="C267" s="3" t="s">
        <v>18</v>
      </c>
      <c r="D267" s="3" t="s">
        <v>706</v>
      </c>
      <c r="E267" s="4">
        <v>0.82</v>
      </c>
      <c r="F267" s="42">
        <v>2.2000000000000002</v>
      </c>
      <c r="G267" s="6">
        <v>189</v>
      </c>
      <c r="H267" s="6">
        <v>2</v>
      </c>
      <c r="I267" s="6">
        <f t="shared" si="11"/>
        <v>681.91200000000003</v>
      </c>
      <c r="J267" s="7" t="s">
        <v>286</v>
      </c>
      <c r="K267" s="17">
        <f t="shared" si="12"/>
        <v>9</v>
      </c>
    </row>
    <row r="268" spans="1:11" ht="13.95" customHeight="1" x14ac:dyDescent="0.3">
      <c r="A268" s="3">
        <v>45923</v>
      </c>
      <c r="B268" s="48" t="s">
        <v>890</v>
      </c>
      <c r="C268" s="3" t="s">
        <v>20</v>
      </c>
      <c r="D268" s="3" t="s">
        <v>707</v>
      </c>
      <c r="E268" s="4">
        <v>0.9</v>
      </c>
      <c r="F268" s="42">
        <v>2.25</v>
      </c>
      <c r="G268" s="6">
        <v>189</v>
      </c>
      <c r="H268" s="6">
        <v>2</v>
      </c>
      <c r="I268" s="6">
        <f t="shared" si="11"/>
        <v>765.44999999999993</v>
      </c>
      <c r="J268" s="7" t="s">
        <v>771</v>
      </c>
      <c r="K268" s="17">
        <f t="shared" si="12"/>
        <v>9</v>
      </c>
    </row>
    <row r="269" spans="1:11" ht="13.95" customHeight="1" x14ac:dyDescent="0.3">
      <c r="A269" s="3">
        <v>45924</v>
      </c>
      <c r="B269" s="48" t="s">
        <v>890</v>
      </c>
      <c r="C269" s="3" t="s">
        <v>5</v>
      </c>
      <c r="D269" s="3" t="s">
        <v>706</v>
      </c>
      <c r="E269" s="4">
        <v>0.85</v>
      </c>
      <c r="F269" s="42">
        <v>2.2000000000000002</v>
      </c>
      <c r="G269" s="6">
        <v>189</v>
      </c>
      <c r="H269" s="6">
        <v>2</v>
      </c>
      <c r="I269" s="6">
        <f t="shared" si="11"/>
        <v>706.86000000000013</v>
      </c>
      <c r="J269" s="7" t="s">
        <v>71</v>
      </c>
      <c r="K269" s="17">
        <f t="shared" si="12"/>
        <v>9</v>
      </c>
    </row>
    <row r="270" spans="1:11" ht="13.95" customHeight="1" x14ac:dyDescent="0.3">
      <c r="A270" s="3">
        <v>45925</v>
      </c>
      <c r="B270" s="48" t="s">
        <v>890</v>
      </c>
      <c r="C270" s="3" t="s">
        <v>8</v>
      </c>
      <c r="D270" s="3" t="s">
        <v>706</v>
      </c>
      <c r="E270" s="4">
        <v>0.82</v>
      </c>
      <c r="F270" s="42">
        <v>2.15</v>
      </c>
      <c r="G270" s="6">
        <v>189</v>
      </c>
      <c r="H270" s="6">
        <v>2</v>
      </c>
      <c r="I270" s="6">
        <f t="shared" si="11"/>
        <v>666.41399999999987</v>
      </c>
      <c r="J270" s="7" t="s">
        <v>71</v>
      </c>
      <c r="K270" s="17">
        <f t="shared" si="12"/>
        <v>9</v>
      </c>
    </row>
    <row r="271" spans="1:11" ht="13.95" customHeight="1" x14ac:dyDescent="0.3">
      <c r="A271" s="3">
        <v>45926</v>
      </c>
      <c r="B271" s="48" t="s">
        <v>890</v>
      </c>
      <c r="C271" s="3" t="s">
        <v>11</v>
      </c>
      <c r="D271" s="3" t="s">
        <v>44</v>
      </c>
      <c r="E271" s="4">
        <v>0.78</v>
      </c>
      <c r="F271" s="42">
        <v>2.15</v>
      </c>
      <c r="G271" s="6">
        <v>189</v>
      </c>
      <c r="H271" s="6">
        <v>2</v>
      </c>
      <c r="I271" s="6">
        <f t="shared" si="11"/>
        <v>633.90600000000006</v>
      </c>
      <c r="J271" s="7" t="s">
        <v>70</v>
      </c>
      <c r="K271" s="17">
        <f t="shared" si="12"/>
        <v>9</v>
      </c>
    </row>
    <row r="272" spans="1:11" ht="13.95" customHeight="1" x14ac:dyDescent="0.3">
      <c r="A272" s="3">
        <v>45927</v>
      </c>
      <c r="B272" s="48" t="s">
        <v>890</v>
      </c>
      <c r="C272" s="3" t="s">
        <v>13</v>
      </c>
      <c r="D272" s="3" t="s">
        <v>14</v>
      </c>
      <c r="E272" s="4">
        <v>0.72</v>
      </c>
      <c r="F272" s="42">
        <v>2.7</v>
      </c>
      <c r="G272" s="6">
        <v>189</v>
      </c>
      <c r="H272" s="6">
        <v>2</v>
      </c>
      <c r="I272" s="6">
        <f t="shared" si="11"/>
        <v>734.83199999999999</v>
      </c>
      <c r="J272" s="7" t="s">
        <v>777</v>
      </c>
      <c r="K272" s="17">
        <f t="shared" si="12"/>
        <v>9</v>
      </c>
    </row>
    <row r="273" spans="1:11" ht="13.95" customHeight="1" x14ac:dyDescent="0.3">
      <c r="A273" s="3">
        <v>45928</v>
      </c>
      <c r="B273" s="48" t="s">
        <v>890</v>
      </c>
      <c r="C273" s="3" t="s">
        <v>16</v>
      </c>
      <c r="D273" s="3" t="s">
        <v>757</v>
      </c>
      <c r="E273" s="4">
        <v>0.92</v>
      </c>
      <c r="F273" s="42">
        <v>3.2</v>
      </c>
      <c r="G273" s="6">
        <v>189</v>
      </c>
      <c r="H273" s="6">
        <v>2</v>
      </c>
      <c r="I273" s="6">
        <f t="shared" si="11"/>
        <v>1112.8320000000001</v>
      </c>
      <c r="J273" s="7" t="s">
        <v>853</v>
      </c>
      <c r="K273" s="17">
        <f t="shared" si="12"/>
        <v>9</v>
      </c>
    </row>
    <row r="274" spans="1:11" ht="13.95" customHeight="1" x14ac:dyDescent="0.3">
      <c r="A274" s="3">
        <v>45929</v>
      </c>
      <c r="B274" s="48" t="s">
        <v>890</v>
      </c>
      <c r="C274" s="3" t="s">
        <v>18</v>
      </c>
      <c r="D274" s="3" t="s">
        <v>706</v>
      </c>
      <c r="E274" s="4">
        <v>0.8</v>
      </c>
      <c r="F274" s="42">
        <v>2.2000000000000002</v>
      </c>
      <c r="G274" s="6">
        <v>189</v>
      </c>
      <c r="H274" s="6">
        <v>2</v>
      </c>
      <c r="I274" s="6">
        <f t="shared" si="11"/>
        <v>665.28000000000009</v>
      </c>
      <c r="J274" s="7" t="s">
        <v>99</v>
      </c>
      <c r="K274" s="17">
        <f t="shared" si="12"/>
        <v>9</v>
      </c>
    </row>
    <row r="275" spans="1:11" ht="13.95" customHeight="1" x14ac:dyDescent="0.3">
      <c r="A275" s="3">
        <v>45930</v>
      </c>
      <c r="B275" s="48" t="s">
        <v>890</v>
      </c>
      <c r="C275" s="3" t="s">
        <v>20</v>
      </c>
      <c r="D275" s="3" t="s">
        <v>706</v>
      </c>
      <c r="E275" s="4">
        <v>0.85</v>
      </c>
      <c r="F275" s="42">
        <v>2.25</v>
      </c>
      <c r="G275" s="6">
        <v>189</v>
      </c>
      <c r="H275" s="6">
        <v>2</v>
      </c>
      <c r="I275" s="6">
        <f t="shared" si="11"/>
        <v>722.92500000000007</v>
      </c>
      <c r="J275" s="7" t="s">
        <v>860</v>
      </c>
      <c r="K275" s="17">
        <f t="shared" si="12"/>
        <v>9</v>
      </c>
    </row>
    <row r="276" spans="1:11" ht="13.95" customHeight="1" x14ac:dyDescent="0.3">
      <c r="A276" s="3">
        <v>45931</v>
      </c>
      <c r="B276" s="48" t="s">
        <v>890</v>
      </c>
      <c r="C276" s="3" t="s">
        <v>5</v>
      </c>
      <c r="D276" s="3" t="s">
        <v>706</v>
      </c>
      <c r="E276" s="4">
        <v>0.85</v>
      </c>
      <c r="F276" s="42">
        <v>2.2000000000000002</v>
      </c>
      <c r="G276" s="6">
        <v>189</v>
      </c>
      <c r="H276" s="6">
        <v>2</v>
      </c>
      <c r="I276" s="6">
        <f t="shared" si="11"/>
        <v>706.86000000000013</v>
      </c>
      <c r="J276" s="7" t="s">
        <v>861</v>
      </c>
      <c r="K276" s="17">
        <f t="shared" si="12"/>
        <v>10</v>
      </c>
    </row>
    <row r="277" spans="1:11" ht="13.95" customHeight="1" x14ac:dyDescent="0.3">
      <c r="A277" s="3">
        <v>45932</v>
      </c>
      <c r="B277" s="48" t="s">
        <v>890</v>
      </c>
      <c r="C277" s="3" t="s">
        <v>8</v>
      </c>
      <c r="D277" s="3" t="s">
        <v>706</v>
      </c>
      <c r="E277" s="4">
        <v>0.82</v>
      </c>
      <c r="F277" s="42">
        <v>2.15</v>
      </c>
      <c r="G277" s="6">
        <v>189</v>
      </c>
      <c r="H277" s="6">
        <v>2</v>
      </c>
      <c r="I277" s="6">
        <f t="shared" si="11"/>
        <v>666.41399999999987</v>
      </c>
      <c r="J277" s="7" t="s">
        <v>71</v>
      </c>
      <c r="K277" s="17">
        <f t="shared" si="12"/>
        <v>10</v>
      </c>
    </row>
    <row r="278" spans="1:11" ht="13.95" customHeight="1" x14ac:dyDescent="0.3">
      <c r="A278" s="3">
        <v>45933</v>
      </c>
      <c r="B278" s="48" t="s">
        <v>890</v>
      </c>
      <c r="C278" s="3" t="s">
        <v>11</v>
      </c>
      <c r="D278" s="3" t="s">
        <v>44</v>
      </c>
      <c r="E278" s="4">
        <v>0.75</v>
      </c>
      <c r="F278" s="42">
        <v>2.15</v>
      </c>
      <c r="G278" s="6">
        <v>189</v>
      </c>
      <c r="H278" s="6">
        <v>2</v>
      </c>
      <c r="I278" s="6">
        <f t="shared" si="11"/>
        <v>609.52499999999998</v>
      </c>
      <c r="J278" s="7" t="s">
        <v>540</v>
      </c>
      <c r="K278" s="17">
        <f t="shared" si="12"/>
        <v>10</v>
      </c>
    </row>
    <row r="279" spans="1:11" ht="13.95" customHeight="1" x14ac:dyDescent="0.3">
      <c r="A279" s="3">
        <v>45934</v>
      </c>
      <c r="B279" s="48" t="s">
        <v>890</v>
      </c>
      <c r="C279" s="3" t="s">
        <v>13</v>
      </c>
      <c r="D279" s="3" t="s">
        <v>14</v>
      </c>
      <c r="E279" s="4">
        <v>0.72</v>
      </c>
      <c r="F279" s="42">
        <v>2.7</v>
      </c>
      <c r="G279" s="6">
        <v>189</v>
      </c>
      <c r="H279" s="6">
        <v>2</v>
      </c>
      <c r="I279" s="6">
        <f t="shared" si="11"/>
        <v>734.83199999999999</v>
      </c>
      <c r="J279" s="7" t="s">
        <v>810</v>
      </c>
      <c r="K279" s="17">
        <f t="shared" si="12"/>
        <v>10</v>
      </c>
    </row>
    <row r="280" spans="1:11" ht="13.95" customHeight="1" x14ac:dyDescent="0.3">
      <c r="A280" s="3">
        <v>45935</v>
      </c>
      <c r="B280" s="48" t="s">
        <v>890</v>
      </c>
      <c r="C280" s="3" t="s">
        <v>16</v>
      </c>
      <c r="D280" s="3" t="s">
        <v>757</v>
      </c>
      <c r="E280" s="4">
        <v>0.92</v>
      </c>
      <c r="F280" s="42">
        <v>3.2</v>
      </c>
      <c r="G280" s="6">
        <v>189</v>
      </c>
      <c r="H280" s="6">
        <v>2</v>
      </c>
      <c r="I280" s="6">
        <f t="shared" si="11"/>
        <v>1112.8320000000001</v>
      </c>
      <c r="J280" s="7" t="s">
        <v>862</v>
      </c>
      <c r="K280" s="17">
        <f t="shared" si="12"/>
        <v>10</v>
      </c>
    </row>
    <row r="281" spans="1:11" ht="13.95" customHeight="1" x14ac:dyDescent="0.3">
      <c r="A281" s="3">
        <v>45936</v>
      </c>
      <c r="B281" s="48" t="s">
        <v>890</v>
      </c>
      <c r="C281" s="3" t="s">
        <v>18</v>
      </c>
      <c r="D281" s="3" t="s">
        <v>706</v>
      </c>
      <c r="E281" s="4">
        <v>0.8</v>
      </c>
      <c r="F281" s="42">
        <v>2.2000000000000002</v>
      </c>
      <c r="G281" s="6">
        <v>189</v>
      </c>
      <c r="H281" s="6">
        <v>2</v>
      </c>
      <c r="I281" s="6">
        <f t="shared" si="11"/>
        <v>665.28000000000009</v>
      </c>
      <c r="J281" s="7" t="s">
        <v>65</v>
      </c>
      <c r="K281" s="17">
        <f t="shared" si="12"/>
        <v>10</v>
      </c>
    </row>
    <row r="282" spans="1:11" ht="13.95" customHeight="1" x14ac:dyDescent="0.3">
      <c r="A282" s="3">
        <v>45937</v>
      </c>
      <c r="B282" s="48" t="s">
        <v>890</v>
      </c>
      <c r="C282" s="3" t="s">
        <v>20</v>
      </c>
      <c r="D282" s="3" t="s">
        <v>707</v>
      </c>
      <c r="E282" s="4">
        <v>0.92</v>
      </c>
      <c r="F282" s="42">
        <v>2.2999999999999998</v>
      </c>
      <c r="G282" s="6">
        <v>189</v>
      </c>
      <c r="H282" s="6">
        <v>2</v>
      </c>
      <c r="I282" s="6">
        <f t="shared" si="11"/>
        <v>799.84799999999996</v>
      </c>
      <c r="J282" s="7" t="s">
        <v>863</v>
      </c>
      <c r="K282" s="17">
        <f t="shared" si="12"/>
        <v>10</v>
      </c>
    </row>
    <row r="283" spans="1:11" ht="13.95" customHeight="1" x14ac:dyDescent="0.3">
      <c r="A283" s="3">
        <v>45938</v>
      </c>
      <c r="B283" s="48" t="s">
        <v>890</v>
      </c>
      <c r="C283" s="3" t="s">
        <v>5</v>
      </c>
      <c r="D283" s="3" t="s">
        <v>706</v>
      </c>
      <c r="E283" s="4">
        <v>0.9</v>
      </c>
      <c r="F283" s="42">
        <v>2.25</v>
      </c>
      <c r="G283" s="6">
        <v>189</v>
      </c>
      <c r="H283" s="6">
        <v>2</v>
      </c>
      <c r="I283" s="6">
        <f t="shared" si="11"/>
        <v>765.44999999999993</v>
      </c>
      <c r="J283" s="7" t="s">
        <v>71</v>
      </c>
      <c r="K283" s="17">
        <f t="shared" si="12"/>
        <v>10</v>
      </c>
    </row>
    <row r="284" spans="1:11" ht="13.95" customHeight="1" x14ac:dyDescent="0.3">
      <c r="A284" s="3">
        <v>45939</v>
      </c>
      <c r="B284" s="48" t="s">
        <v>890</v>
      </c>
      <c r="C284" s="3" t="s">
        <v>8</v>
      </c>
      <c r="D284" s="3" t="s">
        <v>706</v>
      </c>
      <c r="E284" s="4">
        <v>0.85</v>
      </c>
      <c r="F284" s="42">
        <v>2.2000000000000002</v>
      </c>
      <c r="G284" s="6">
        <v>189</v>
      </c>
      <c r="H284" s="6">
        <v>2</v>
      </c>
      <c r="I284" s="6">
        <f t="shared" si="11"/>
        <v>706.86000000000013</v>
      </c>
      <c r="J284" s="7" t="s">
        <v>71</v>
      </c>
      <c r="K284" s="17">
        <f t="shared" si="12"/>
        <v>10</v>
      </c>
    </row>
    <row r="285" spans="1:11" ht="13.95" customHeight="1" x14ac:dyDescent="0.3">
      <c r="A285" s="3">
        <v>45940</v>
      </c>
      <c r="B285" s="48" t="s">
        <v>890</v>
      </c>
      <c r="C285" s="3" t="s">
        <v>11</v>
      </c>
      <c r="D285" s="3" t="s">
        <v>44</v>
      </c>
      <c r="E285" s="4">
        <v>0.78</v>
      </c>
      <c r="F285" s="42">
        <v>2.15</v>
      </c>
      <c r="G285" s="6">
        <v>189</v>
      </c>
      <c r="H285" s="6">
        <v>2</v>
      </c>
      <c r="I285" s="6">
        <f t="shared" si="11"/>
        <v>633.90600000000006</v>
      </c>
      <c r="J285" s="7" t="s">
        <v>70</v>
      </c>
      <c r="K285" s="17">
        <f t="shared" si="12"/>
        <v>10</v>
      </c>
    </row>
    <row r="286" spans="1:11" ht="13.95" customHeight="1" x14ac:dyDescent="0.3">
      <c r="A286" s="3">
        <v>45941</v>
      </c>
      <c r="B286" s="48" t="s">
        <v>890</v>
      </c>
      <c r="C286" s="3" t="s">
        <v>13</v>
      </c>
      <c r="D286" s="3" t="s">
        <v>14</v>
      </c>
      <c r="E286" s="4">
        <v>0.75</v>
      </c>
      <c r="F286" s="42">
        <v>2.7</v>
      </c>
      <c r="G286" s="6">
        <v>189</v>
      </c>
      <c r="H286" s="6">
        <v>2</v>
      </c>
      <c r="I286" s="6">
        <f t="shared" si="11"/>
        <v>765.45</v>
      </c>
      <c r="J286" s="7" t="s">
        <v>815</v>
      </c>
      <c r="K286" s="17">
        <f t="shared" si="12"/>
        <v>10</v>
      </c>
    </row>
    <row r="287" spans="1:11" ht="13.95" customHeight="1" x14ac:dyDescent="0.3">
      <c r="A287" s="3">
        <v>45942</v>
      </c>
      <c r="B287" s="48" t="s">
        <v>890</v>
      </c>
      <c r="C287" s="3" t="s">
        <v>16</v>
      </c>
      <c r="D287" s="3" t="s">
        <v>757</v>
      </c>
      <c r="E287" s="4">
        <v>0.94</v>
      </c>
      <c r="F287" s="42">
        <v>3.15</v>
      </c>
      <c r="G287" s="6">
        <v>189</v>
      </c>
      <c r="H287" s="6">
        <v>2</v>
      </c>
      <c r="I287" s="6">
        <f t="shared" si="11"/>
        <v>1119.258</v>
      </c>
      <c r="J287" s="7" t="s">
        <v>238</v>
      </c>
      <c r="K287" s="17">
        <f t="shared" si="12"/>
        <v>10</v>
      </c>
    </row>
    <row r="288" spans="1:11" ht="13.95" customHeight="1" x14ac:dyDescent="0.3">
      <c r="A288" s="3">
        <v>45943</v>
      </c>
      <c r="B288" s="48" t="s">
        <v>890</v>
      </c>
      <c r="C288" s="3" t="s">
        <v>18</v>
      </c>
      <c r="D288" s="3" t="s">
        <v>706</v>
      </c>
      <c r="E288" s="4">
        <v>0.82</v>
      </c>
      <c r="F288" s="42">
        <v>2.2000000000000002</v>
      </c>
      <c r="G288" s="6">
        <v>189</v>
      </c>
      <c r="H288" s="6">
        <v>2</v>
      </c>
      <c r="I288" s="6">
        <f t="shared" si="11"/>
        <v>681.91200000000003</v>
      </c>
      <c r="J288" s="7" t="s">
        <v>286</v>
      </c>
      <c r="K288" s="17">
        <f t="shared" si="12"/>
        <v>10</v>
      </c>
    </row>
    <row r="289" spans="1:11" ht="13.95" customHeight="1" x14ac:dyDescent="0.3">
      <c r="A289" s="3">
        <v>45944</v>
      </c>
      <c r="B289" s="48" t="s">
        <v>890</v>
      </c>
      <c r="C289" s="3" t="s">
        <v>20</v>
      </c>
      <c r="D289" s="3" t="s">
        <v>707</v>
      </c>
      <c r="E289" s="4">
        <v>0.95</v>
      </c>
      <c r="F289" s="42">
        <v>2.35</v>
      </c>
      <c r="G289" s="6">
        <v>189</v>
      </c>
      <c r="H289" s="6">
        <v>2</v>
      </c>
      <c r="I289" s="6">
        <f t="shared" si="11"/>
        <v>843.88499999999999</v>
      </c>
      <c r="J289" s="7" t="s">
        <v>864</v>
      </c>
      <c r="K289" s="17">
        <f t="shared" si="12"/>
        <v>10</v>
      </c>
    </row>
    <row r="290" spans="1:11" ht="13.95" customHeight="1" x14ac:dyDescent="0.3">
      <c r="A290" s="3">
        <v>45945</v>
      </c>
      <c r="B290" s="48" t="s">
        <v>890</v>
      </c>
      <c r="C290" s="3" t="s">
        <v>5</v>
      </c>
      <c r="D290" s="3" t="s">
        <v>865</v>
      </c>
      <c r="E290" s="4">
        <v>0.6</v>
      </c>
      <c r="F290" s="42">
        <v>2.4500000000000002</v>
      </c>
      <c r="G290" s="6">
        <v>189</v>
      </c>
      <c r="H290" s="6">
        <v>2</v>
      </c>
      <c r="I290" s="6">
        <f t="shared" ref="I290:I353" si="13">(G290*E290)*F290*H290</f>
        <v>555.66</v>
      </c>
      <c r="J290" s="7" t="s">
        <v>866</v>
      </c>
      <c r="K290" s="17">
        <f t="shared" si="12"/>
        <v>10</v>
      </c>
    </row>
    <row r="291" spans="1:11" ht="13.95" customHeight="1" x14ac:dyDescent="0.3">
      <c r="A291" s="3">
        <v>45946</v>
      </c>
      <c r="B291" s="48" t="s">
        <v>890</v>
      </c>
      <c r="C291" s="3" t="s">
        <v>8</v>
      </c>
      <c r="D291" s="3" t="s">
        <v>706</v>
      </c>
      <c r="E291" s="4">
        <v>0.8</v>
      </c>
      <c r="F291" s="42">
        <v>2.2000000000000002</v>
      </c>
      <c r="G291" s="6">
        <v>189</v>
      </c>
      <c r="H291" s="6">
        <v>2</v>
      </c>
      <c r="I291" s="6">
        <f t="shared" si="13"/>
        <v>665.28000000000009</v>
      </c>
      <c r="J291" s="7" t="s">
        <v>483</v>
      </c>
      <c r="K291" s="17">
        <f t="shared" si="12"/>
        <v>10</v>
      </c>
    </row>
    <row r="292" spans="1:11" ht="13.95" customHeight="1" x14ac:dyDescent="0.3">
      <c r="A292" s="3">
        <v>45947</v>
      </c>
      <c r="B292" s="48" t="s">
        <v>890</v>
      </c>
      <c r="C292" s="3" t="s">
        <v>11</v>
      </c>
      <c r="D292" s="3" t="s">
        <v>44</v>
      </c>
      <c r="E292" s="4">
        <v>0.78</v>
      </c>
      <c r="F292" s="42">
        <v>2.15</v>
      </c>
      <c r="G292" s="6">
        <v>189</v>
      </c>
      <c r="H292" s="6">
        <v>2</v>
      </c>
      <c r="I292" s="6">
        <f t="shared" si="13"/>
        <v>633.90600000000006</v>
      </c>
      <c r="J292" s="7" t="s">
        <v>70</v>
      </c>
      <c r="K292" s="17">
        <f t="shared" si="12"/>
        <v>10</v>
      </c>
    </row>
    <row r="293" spans="1:11" ht="13.95" customHeight="1" x14ac:dyDescent="0.3">
      <c r="A293" s="3">
        <v>45948</v>
      </c>
      <c r="B293" s="48" t="s">
        <v>890</v>
      </c>
      <c r="C293" s="3" t="s">
        <v>13</v>
      </c>
      <c r="D293" s="3" t="s">
        <v>14</v>
      </c>
      <c r="E293" s="4">
        <v>0.75</v>
      </c>
      <c r="F293" s="42">
        <v>2.75</v>
      </c>
      <c r="G293" s="6">
        <v>189</v>
      </c>
      <c r="H293" s="6">
        <v>2</v>
      </c>
      <c r="I293" s="6">
        <f t="shared" si="13"/>
        <v>779.625</v>
      </c>
      <c r="J293" s="7" t="s">
        <v>780</v>
      </c>
      <c r="K293" s="17">
        <f t="shared" si="12"/>
        <v>10</v>
      </c>
    </row>
    <row r="294" spans="1:11" ht="13.95" customHeight="1" x14ac:dyDescent="0.3">
      <c r="A294" s="3">
        <v>45949</v>
      </c>
      <c r="B294" s="48" t="s">
        <v>890</v>
      </c>
      <c r="C294" s="3" t="s">
        <v>16</v>
      </c>
      <c r="D294" s="3" t="s">
        <v>757</v>
      </c>
      <c r="E294" s="4">
        <v>0.9</v>
      </c>
      <c r="F294" s="42">
        <v>3.1</v>
      </c>
      <c r="G294" s="6">
        <v>189</v>
      </c>
      <c r="H294" s="6">
        <v>2</v>
      </c>
      <c r="I294" s="6">
        <f t="shared" si="13"/>
        <v>1054.6199999999999</v>
      </c>
      <c r="J294" s="7" t="s">
        <v>69</v>
      </c>
      <c r="K294" s="17">
        <f t="shared" si="12"/>
        <v>10</v>
      </c>
    </row>
    <row r="295" spans="1:11" ht="13.95" customHeight="1" x14ac:dyDescent="0.3">
      <c r="A295" s="3">
        <v>45950</v>
      </c>
      <c r="B295" s="48" t="s">
        <v>890</v>
      </c>
      <c r="C295" s="3" t="s">
        <v>18</v>
      </c>
      <c r="D295" s="3" t="s">
        <v>706</v>
      </c>
      <c r="E295" s="4">
        <v>0.82</v>
      </c>
      <c r="F295" s="42">
        <v>2.2000000000000002</v>
      </c>
      <c r="G295" s="6">
        <v>189</v>
      </c>
      <c r="H295" s="6">
        <v>2</v>
      </c>
      <c r="I295" s="6">
        <f t="shared" si="13"/>
        <v>681.91200000000003</v>
      </c>
      <c r="J295" s="7" t="s">
        <v>65</v>
      </c>
      <c r="K295" s="17">
        <f t="shared" si="12"/>
        <v>10</v>
      </c>
    </row>
    <row r="296" spans="1:11" ht="13.95" customHeight="1" x14ac:dyDescent="0.3">
      <c r="A296" s="3">
        <v>45951</v>
      </c>
      <c r="B296" s="48" t="s">
        <v>890</v>
      </c>
      <c r="C296" s="3" t="s">
        <v>20</v>
      </c>
      <c r="D296" s="3" t="s">
        <v>707</v>
      </c>
      <c r="E296" s="4">
        <v>0.92</v>
      </c>
      <c r="F296" s="42">
        <v>2.2999999999999998</v>
      </c>
      <c r="G296" s="6">
        <v>189</v>
      </c>
      <c r="H296" s="6">
        <v>2</v>
      </c>
      <c r="I296" s="6">
        <f t="shared" si="13"/>
        <v>799.84799999999996</v>
      </c>
      <c r="J296" s="7" t="s">
        <v>771</v>
      </c>
      <c r="K296" s="17">
        <f t="shared" si="12"/>
        <v>10</v>
      </c>
    </row>
    <row r="297" spans="1:11" ht="13.95" customHeight="1" x14ac:dyDescent="0.3">
      <c r="A297" s="3">
        <v>45952</v>
      </c>
      <c r="B297" s="48" t="s">
        <v>890</v>
      </c>
      <c r="C297" s="3" t="s">
        <v>5</v>
      </c>
      <c r="D297" s="3" t="s">
        <v>706</v>
      </c>
      <c r="E297" s="4">
        <v>0.88</v>
      </c>
      <c r="F297" s="42">
        <v>2.25</v>
      </c>
      <c r="G297" s="6">
        <v>189</v>
      </c>
      <c r="H297" s="6">
        <v>2</v>
      </c>
      <c r="I297" s="6">
        <f t="shared" si="13"/>
        <v>748.43999999999994</v>
      </c>
      <c r="J297" s="7" t="s">
        <v>71</v>
      </c>
      <c r="K297" s="17">
        <f t="shared" si="12"/>
        <v>10</v>
      </c>
    </row>
    <row r="298" spans="1:11" ht="13.95" customHeight="1" x14ac:dyDescent="0.3">
      <c r="A298" s="3">
        <v>45953</v>
      </c>
      <c r="B298" s="48" t="s">
        <v>890</v>
      </c>
      <c r="C298" s="3" t="s">
        <v>8</v>
      </c>
      <c r="D298" s="3" t="s">
        <v>706</v>
      </c>
      <c r="E298" s="4">
        <v>0.85</v>
      </c>
      <c r="F298" s="42">
        <v>2.2000000000000002</v>
      </c>
      <c r="G298" s="6">
        <v>189</v>
      </c>
      <c r="H298" s="6">
        <v>2</v>
      </c>
      <c r="I298" s="6">
        <f t="shared" si="13"/>
        <v>706.86000000000013</v>
      </c>
      <c r="J298" s="7" t="s">
        <v>71</v>
      </c>
      <c r="K298" s="17">
        <f t="shared" si="12"/>
        <v>10</v>
      </c>
    </row>
    <row r="299" spans="1:11" ht="13.95" customHeight="1" x14ac:dyDescent="0.3">
      <c r="A299" s="3">
        <v>45954</v>
      </c>
      <c r="B299" s="48" t="s">
        <v>890</v>
      </c>
      <c r="C299" s="3" t="s">
        <v>11</v>
      </c>
      <c r="D299" s="3" t="s">
        <v>44</v>
      </c>
      <c r="E299" s="4">
        <v>0.78</v>
      </c>
      <c r="F299" s="42">
        <v>2.15</v>
      </c>
      <c r="G299" s="6">
        <v>189</v>
      </c>
      <c r="H299" s="6">
        <v>2</v>
      </c>
      <c r="I299" s="6">
        <f t="shared" si="13"/>
        <v>633.90600000000006</v>
      </c>
      <c r="J299" s="7" t="s">
        <v>540</v>
      </c>
      <c r="K299" s="17">
        <f t="shared" si="12"/>
        <v>10</v>
      </c>
    </row>
    <row r="300" spans="1:11" ht="13.95" customHeight="1" x14ac:dyDescent="0.3">
      <c r="A300" s="3">
        <v>45955</v>
      </c>
      <c r="B300" s="48" t="s">
        <v>890</v>
      </c>
      <c r="C300" s="3" t="s">
        <v>13</v>
      </c>
      <c r="D300" s="3" t="s">
        <v>14</v>
      </c>
      <c r="E300" s="4">
        <v>0.75</v>
      </c>
      <c r="F300" s="42">
        <v>2.75</v>
      </c>
      <c r="G300" s="6">
        <v>189</v>
      </c>
      <c r="H300" s="6">
        <v>2</v>
      </c>
      <c r="I300" s="6">
        <f t="shared" si="13"/>
        <v>779.625</v>
      </c>
      <c r="J300" s="7" t="s">
        <v>732</v>
      </c>
      <c r="K300" s="17">
        <f t="shared" si="12"/>
        <v>10</v>
      </c>
    </row>
    <row r="301" spans="1:11" ht="13.95" customHeight="1" x14ac:dyDescent="0.3">
      <c r="A301" s="3">
        <v>45956</v>
      </c>
      <c r="B301" s="48" t="s">
        <v>890</v>
      </c>
      <c r="C301" s="3" t="s">
        <v>16</v>
      </c>
      <c r="D301" s="3" t="s">
        <v>757</v>
      </c>
      <c r="E301" s="4">
        <v>0.95</v>
      </c>
      <c r="F301" s="42">
        <v>3.25</v>
      </c>
      <c r="G301" s="6">
        <v>189</v>
      </c>
      <c r="H301" s="6">
        <v>2</v>
      </c>
      <c r="I301" s="6">
        <f t="shared" si="13"/>
        <v>1167.0749999999998</v>
      </c>
      <c r="J301" s="7" t="s">
        <v>853</v>
      </c>
      <c r="K301" s="17">
        <f t="shared" si="12"/>
        <v>10</v>
      </c>
    </row>
    <row r="302" spans="1:11" ht="13.95" customHeight="1" x14ac:dyDescent="0.3">
      <c r="A302" s="3">
        <v>45957</v>
      </c>
      <c r="B302" s="48" t="s">
        <v>890</v>
      </c>
      <c r="C302" s="3" t="s">
        <v>18</v>
      </c>
      <c r="D302" s="3" t="s">
        <v>706</v>
      </c>
      <c r="E302" s="4">
        <v>0.8</v>
      </c>
      <c r="F302" s="42">
        <v>2.2000000000000002</v>
      </c>
      <c r="G302" s="6">
        <v>189</v>
      </c>
      <c r="H302" s="6">
        <v>2</v>
      </c>
      <c r="I302" s="6">
        <f t="shared" si="13"/>
        <v>665.28000000000009</v>
      </c>
      <c r="J302" s="7" t="s">
        <v>286</v>
      </c>
      <c r="K302" s="17">
        <f t="shared" si="12"/>
        <v>10</v>
      </c>
    </row>
    <row r="303" spans="1:11" ht="13.95" customHeight="1" x14ac:dyDescent="0.3">
      <c r="A303" s="3">
        <v>45958</v>
      </c>
      <c r="B303" s="48" t="s">
        <v>890</v>
      </c>
      <c r="C303" s="3" t="s">
        <v>20</v>
      </c>
      <c r="D303" s="3" t="s">
        <v>706</v>
      </c>
      <c r="E303" s="4">
        <v>0.85</v>
      </c>
      <c r="F303" s="42">
        <v>2.25</v>
      </c>
      <c r="G303" s="6">
        <v>189</v>
      </c>
      <c r="H303" s="6">
        <v>2</v>
      </c>
      <c r="I303" s="6">
        <f t="shared" si="13"/>
        <v>722.92500000000007</v>
      </c>
      <c r="J303" s="7" t="s">
        <v>71</v>
      </c>
      <c r="K303" s="17">
        <f t="shared" si="12"/>
        <v>10</v>
      </c>
    </row>
    <row r="304" spans="1:11" ht="13.95" customHeight="1" x14ac:dyDescent="0.3">
      <c r="A304" s="3">
        <v>45959</v>
      </c>
      <c r="B304" s="48" t="s">
        <v>890</v>
      </c>
      <c r="C304" s="3" t="s">
        <v>5</v>
      </c>
      <c r="D304" s="3" t="s">
        <v>706</v>
      </c>
      <c r="E304" s="4">
        <v>0.82</v>
      </c>
      <c r="F304" s="42">
        <v>2.2000000000000002</v>
      </c>
      <c r="G304" s="6">
        <v>189</v>
      </c>
      <c r="H304" s="6">
        <v>2</v>
      </c>
      <c r="I304" s="6">
        <f t="shared" si="13"/>
        <v>681.91200000000003</v>
      </c>
      <c r="J304" s="7" t="s">
        <v>71</v>
      </c>
      <c r="K304" s="17">
        <f t="shared" si="12"/>
        <v>10</v>
      </c>
    </row>
    <row r="305" spans="1:11" ht="13.95" customHeight="1" x14ac:dyDescent="0.3">
      <c r="A305" s="3">
        <v>45960</v>
      </c>
      <c r="B305" s="48" t="s">
        <v>890</v>
      </c>
      <c r="C305" s="3" t="s">
        <v>8</v>
      </c>
      <c r="D305" s="3" t="s">
        <v>706</v>
      </c>
      <c r="E305" s="4">
        <v>0.8</v>
      </c>
      <c r="F305" s="42">
        <v>2.15</v>
      </c>
      <c r="G305" s="6">
        <v>189</v>
      </c>
      <c r="H305" s="6">
        <v>2</v>
      </c>
      <c r="I305" s="6">
        <f t="shared" si="13"/>
        <v>650.16000000000008</v>
      </c>
      <c r="J305" s="7" t="s">
        <v>71</v>
      </c>
      <c r="K305" s="17">
        <f t="shared" si="12"/>
        <v>10</v>
      </c>
    </row>
    <row r="306" spans="1:11" ht="13.95" customHeight="1" x14ac:dyDescent="0.3">
      <c r="A306" s="3">
        <v>45961</v>
      </c>
      <c r="B306" s="48" t="s">
        <v>890</v>
      </c>
      <c r="C306" s="3" t="s">
        <v>11</v>
      </c>
      <c r="D306" s="3" t="s">
        <v>867</v>
      </c>
      <c r="E306" s="4">
        <v>0.85</v>
      </c>
      <c r="F306" s="42">
        <v>2.5</v>
      </c>
      <c r="G306" s="6">
        <v>189</v>
      </c>
      <c r="H306" s="6">
        <v>2</v>
      </c>
      <c r="I306" s="6">
        <f t="shared" si="13"/>
        <v>803.25</v>
      </c>
      <c r="J306" s="7" t="s">
        <v>868</v>
      </c>
      <c r="K306" s="17">
        <f t="shared" si="12"/>
        <v>10</v>
      </c>
    </row>
    <row r="307" spans="1:11" ht="13.95" customHeight="1" x14ac:dyDescent="0.3">
      <c r="A307" s="3">
        <v>45962</v>
      </c>
      <c r="B307" s="48" t="s">
        <v>890</v>
      </c>
      <c r="C307" s="3" t="s">
        <v>13</v>
      </c>
      <c r="D307" s="3" t="s">
        <v>14</v>
      </c>
      <c r="E307" s="4">
        <v>0.72</v>
      </c>
      <c r="F307" s="42">
        <v>2.65</v>
      </c>
      <c r="G307" s="6">
        <v>189</v>
      </c>
      <c r="H307" s="6">
        <v>2</v>
      </c>
      <c r="I307" s="6">
        <f t="shared" si="13"/>
        <v>721.22399999999993</v>
      </c>
      <c r="J307" s="7" t="s">
        <v>810</v>
      </c>
      <c r="K307" s="17">
        <f t="shared" si="12"/>
        <v>11</v>
      </c>
    </row>
    <row r="308" spans="1:11" ht="13.95" customHeight="1" x14ac:dyDescent="0.3">
      <c r="A308" s="3">
        <v>45963</v>
      </c>
      <c r="B308" s="48" t="s">
        <v>890</v>
      </c>
      <c r="C308" s="3" t="s">
        <v>16</v>
      </c>
      <c r="D308" s="3" t="s">
        <v>757</v>
      </c>
      <c r="E308" s="4">
        <v>0.92</v>
      </c>
      <c r="F308" s="42">
        <v>3.25</v>
      </c>
      <c r="G308" s="6">
        <v>189</v>
      </c>
      <c r="H308" s="6">
        <v>2</v>
      </c>
      <c r="I308" s="6">
        <f t="shared" si="13"/>
        <v>1130.22</v>
      </c>
      <c r="J308" s="7" t="s">
        <v>745</v>
      </c>
      <c r="K308" s="17">
        <f t="shared" si="12"/>
        <v>11</v>
      </c>
    </row>
    <row r="309" spans="1:11" ht="13.95" customHeight="1" x14ac:dyDescent="0.3">
      <c r="A309" s="3">
        <v>45964</v>
      </c>
      <c r="B309" s="48" t="s">
        <v>890</v>
      </c>
      <c r="C309" s="3" t="s">
        <v>18</v>
      </c>
      <c r="D309" s="3" t="s">
        <v>706</v>
      </c>
      <c r="E309" s="4">
        <v>0.8</v>
      </c>
      <c r="F309" s="42">
        <v>2.2000000000000002</v>
      </c>
      <c r="G309" s="6">
        <v>189</v>
      </c>
      <c r="H309" s="6">
        <v>2</v>
      </c>
      <c r="I309" s="6">
        <f t="shared" si="13"/>
        <v>665.28000000000009</v>
      </c>
      <c r="J309" s="7" t="s">
        <v>869</v>
      </c>
      <c r="K309" s="17">
        <f t="shared" si="12"/>
        <v>11</v>
      </c>
    </row>
    <row r="310" spans="1:11" ht="13.95" customHeight="1" x14ac:dyDescent="0.3">
      <c r="A310" s="3">
        <v>45965</v>
      </c>
      <c r="B310" s="48" t="s">
        <v>890</v>
      </c>
      <c r="C310" s="3" t="s">
        <v>20</v>
      </c>
      <c r="D310" s="3" t="s">
        <v>707</v>
      </c>
      <c r="E310" s="4">
        <v>0.9</v>
      </c>
      <c r="F310" s="42">
        <v>2.2999999999999998</v>
      </c>
      <c r="G310" s="6">
        <v>189</v>
      </c>
      <c r="H310" s="6">
        <v>2</v>
      </c>
      <c r="I310" s="6">
        <f t="shared" si="13"/>
        <v>782.45999999999992</v>
      </c>
      <c r="J310" s="7" t="s">
        <v>861</v>
      </c>
      <c r="K310" s="17">
        <f t="shared" si="12"/>
        <v>11</v>
      </c>
    </row>
    <row r="311" spans="1:11" ht="13.95" customHeight="1" x14ac:dyDescent="0.3">
      <c r="A311" s="3">
        <v>45966</v>
      </c>
      <c r="B311" s="48" t="s">
        <v>890</v>
      </c>
      <c r="C311" s="3" t="s">
        <v>5</v>
      </c>
      <c r="D311" s="3" t="s">
        <v>706</v>
      </c>
      <c r="E311" s="4">
        <v>0.85</v>
      </c>
      <c r="F311" s="42">
        <v>2.2000000000000002</v>
      </c>
      <c r="G311" s="6">
        <v>189</v>
      </c>
      <c r="H311" s="6">
        <v>2</v>
      </c>
      <c r="I311" s="6">
        <f t="shared" si="13"/>
        <v>706.86000000000013</v>
      </c>
      <c r="J311" s="7" t="s">
        <v>71</v>
      </c>
      <c r="K311" s="17">
        <f t="shared" si="12"/>
        <v>11</v>
      </c>
    </row>
    <row r="312" spans="1:11" ht="13.95" customHeight="1" x14ac:dyDescent="0.3">
      <c r="A312" s="3">
        <v>45967</v>
      </c>
      <c r="B312" s="48" t="s">
        <v>890</v>
      </c>
      <c r="C312" s="3" t="s">
        <v>8</v>
      </c>
      <c r="D312" s="3" t="s">
        <v>706</v>
      </c>
      <c r="E312" s="4">
        <v>0.82</v>
      </c>
      <c r="F312" s="42">
        <v>2.15</v>
      </c>
      <c r="G312" s="6">
        <v>189</v>
      </c>
      <c r="H312" s="6">
        <v>2</v>
      </c>
      <c r="I312" s="6">
        <f t="shared" si="13"/>
        <v>666.41399999999987</v>
      </c>
      <c r="J312" s="7" t="s">
        <v>71</v>
      </c>
      <c r="K312" s="17">
        <f t="shared" si="12"/>
        <v>11</v>
      </c>
    </row>
    <row r="313" spans="1:11" ht="13.95" customHeight="1" x14ac:dyDescent="0.3">
      <c r="A313" s="3">
        <v>45968</v>
      </c>
      <c r="B313" s="48" t="s">
        <v>890</v>
      </c>
      <c r="C313" s="3" t="s">
        <v>11</v>
      </c>
      <c r="D313" s="3" t="s">
        <v>44</v>
      </c>
      <c r="E313" s="4">
        <v>0.75</v>
      </c>
      <c r="F313" s="42">
        <v>2.15</v>
      </c>
      <c r="G313" s="6">
        <v>189</v>
      </c>
      <c r="H313" s="6">
        <v>2</v>
      </c>
      <c r="I313" s="6">
        <f t="shared" si="13"/>
        <v>609.52499999999998</v>
      </c>
      <c r="J313" s="7" t="s">
        <v>82</v>
      </c>
      <c r="K313" s="17">
        <f t="shared" si="12"/>
        <v>11</v>
      </c>
    </row>
    <row r="314" spans="1:11" ht="13.95" customHeight="1" x14ac:dyDescent="0.3">
      <c r="A314" s="3">
        <v>45969</v>
      </c>
      <c r="B314" s="48" t="s">
        <v>890</v>
      </c>
      <c r="C314" s="3" t="s">
        <v>13</v>
      </c>
      <c r="D314" s="3" t="s">
        <v>14</v>
      </c>
      <c r="E314" s="4">
        <v>0.75</v>
      </c>
      <c r="F314" s="42">
        <v>2.7</v>
      </c>
      <c r="G314" s="6">
        <v>189</v>
      </c>
      <c r="H314" s="6">
        <v>2</v>
      </c>
      <c r="I314" s="6">
        <f t="shared" si="13"/>
        <v>765.45</v>
      </c>
      <c r="J314" s="7" t="s">
        <v>777</v>
      </c>
      <c r="K314" s="17">
        <f t="shared" si="12"/>
        <v>11</v>
      </c>
    </row>
    <row r="315" spans="1:11" ht="13.95" customHeight="1" x14ac:dyDescent="0.3">
      <c r="A315" s="3">
        <v>45970</v>
      </c>
      <c r="B315" s="48" t="s">
        <v>890</v>
      </c>
      <c r="C315" s="3" t="s">
        <v>16</v>
      </c>
      <c r="D315" s="3" t="s">
        <v>757</v>
      </c>
      <c r="E315" s="4">
        <v>0.9</v>
      </c>
      <c r="F315" s="42">
        <v>3.15</v>
      </c>
      <c r="G315" s="6">
        <v>189</v>
      </c>
      <c r="H315" s="6">
        <v>2</v>
      </c>
      <c r="I315" s="6">
        <f t="shared" si="13"/>
        <v>1071.6299999999999</v>
      </c>
      <c r="J315" s="7" t="s">
        <v>238</v>
      </c>
      <c r="K315" s="17">
        <f t="shared" si="12"/>
        <v>11</v>
      </c>
    </row>
    <row r="316" spans="1:11" ht="13.95" customHeight="1" x14ac:dyDescent="0.3">
      <c r="A316" s="3">
        <v>45971</v>
      </c>
      <c r="B316" s="48" t="s">
        <v>890</v>
      </c>
      <c r="C316" s="3" t="s">
        <v>18</v>
      </c>
      <c r="D316" s="3" t="s">
        <v>706</v>
      </c>
      <c r="E316" s="4">
        <v>0.82</v>
      </c>
      <c r="F316" s="42">
        <v>2.2000000000000002</v>
      </c>
      <c r="G316" s="6">
        <v>189</v>
      </c>
      <c r="H316" s="6">
        <v>2</v>
      </c>
      <c r="I316" s="6">
        <f t="shared" si="13"/>
        <v>681.91200000000003</v>
      </c>
      <c r="J316" s="7" t="s">
        <v>71</v>
      </c>
      <c r="K316" s="17">
        <f t="shared" si="12"/>
        <v>11</v>
      </c>
    </row>
    <row r="317" spans="1:11" ht="13.95" customHeight="1" x14ac:dyDescent="0.3">
      <c r="A317" s="3">
        <v>45972</v>
      </c>
      <c r="B317" s="48" t="s">
        <v>890</v>
      </c>
      <c r="C317" s="3" t="s">
        <v>20</v>
      </c>
      <c r="D317" s="3" t="s">
        <v>707</v>
      </c>
      <c r="E317" s="4">
        <v>0.92</v>
      </c>
      <c r="F317" s="42">
        <v>2.2999999999999998</v>
      </c>
      <c r="G317" s="6">
        <v>189</v>
      </c>
      <c r="H317" s="6">
        <v>2</v>
      </c>
      <c r="I317" s="6">
        <f t="shared" si="13"/>
        <v>799.84799999999996</v>
      </c>
      <c r="J317" s="7" t="s">
        <v>859</v>
      </c>
      <c r="K317" s="17">
        <f t="shared" si="12"/>
        <v>11</v>
      </c>
    </row>
    <row r="318" spans="1:11" ht="13.95" customHeight="1" x14ac:dyDescent="0.3">
      <c r="A318" s="3">
        <v>45973</v>
      </c>
      <c r="B318" s="48" t="s">
        <v>890</v>
      </c>
      <c r="C318" s="3" t="s">
        <v>5</v>
      </c>
      <c r="D318" s="3" t="s">
        <v>706</v>
      </c>
      <c r="E318" s="4">
        <v>0.88</v>
      </c>
      <c r="F318" s="42">
        <v>2.25</v>
      </c>
      <c r="G318" s="6">
        <v>189</v>
      </c>
      <c r="H318" s="6">
        <v>2</v>
      </c>
      <c r="I318" s="6">
        <f t="shared" si="13"/>
        <v>748.43999999999994</v>
      </c>
      <c r="J318" s="7" t="s">
        <v>71</v>
      </c>
      <c r="K318" s="17">
        <f t="shared" si="12"/>
        <v>11</v>
      </c>
    </row>
    <row r="319" spans="1:11" ht="13.95" customHeight="1" x14ac:dyDescent="0.3">
      <c r="A319" s="3">
        <v>45974</v>
      </c>
      <c r="B319" s="48" t="s">
        <v>890</v>
      </c>
      <c r="C319" s="3" t="s">
        <v>8</v>
      </c>
      <c r="D319" s="3" t="s">
        <v>706</v>
      </c>
      <c r="E319" s="4">
        <v>0.84</v>
      </c>
      <c r="F319" s="42">
        <v>2.2000000000000002</v>
      </c>
      <c r="G319" s="6">
        <v>189</v>
      </c>
      <c r="H319" s="6">
        <v>2</v>
      </c>
      <c r="I319" s="6">
        <f t="shared" si="13"/>
        <v>698.54399999999998</v>
      </c>
      <c r="J319" s="7" t="s">
        <v>71</v>
      </c>
      <c r="K319" s="17">
        <f t="shared" si="12"/>
        <v>11</v>
      </c>
    </row>
    <row r="320" spans="1:11" ht="13.95" customHeight="1" x14ac:dyDescent="0.3">
      <c r="A320" s="3">
        <v>45975</v>
      </c>
      <c r="B320" s="48" t="s">
        <v>890</v>
      </c>
      <c r="C320" s="3" t="s">
        <v>11</v>
      </c>
      <c r="D320" s="3" t="s">
        <v>44</v>
      </c>
      <c r="E320" s="4">
        <v>0.78</v>
      </c>
      <c r="F320" s="42">
        <v>2.15</v>
      </c>
      <c r="G320" s="6">
        <v>189</v>
      </c>
      <c r="H320" s="6">
        <v>2</v>
      </c>
      <c r="I320" s="6">
        <f t="shared" si="13"/>
        <v>633.90600000000006</v>
      </c>
      <c r="J320" s="7" t="s">
        <v>70</v>
      </c>
      <c r="K320" s="17">
        <f t="shared" si="12"/>
        <v>11</v>
      </c>
    </row>
    <row r="321" spans="1:11" ht="13.95" customHeight="1" x14ac:dyDescent="0.3">
      <c r="A321" s="3">
        <v>45976</v>
      </c>
      <c r="B321" s="48" t="s">
        <v>890</v>
      </c>
      <c r="C321" s="3" t="s">
        <v>13</v>
      </c>
      <c r="D321" s="3" t="s">
        <v>14</v>
      </c>
      <c r="E321" s="4">
        <v>0.75</v>
      </c>
      <c r="F321" s="42">
        <v>2.75</v>
      </c>
      <c r="G321" s="6">
        <v>189</v>
      </c>
      <c r="H321" s="6">
        <v>2</v>
      </c>
      <c r="I321" s="6">
        <f t="shared" si="13"/>
        <v>779.625</v>
      </c>
      <c r="J321" s="7" t="s">
        <v>870</v>
      </c>
      <c r="K321" s="17">
        <f t="shared" si="12"/>
        <v>11</v>
      </c>
    </row>
    <row r="322" spans="1:11" ht="13.95" customHeight="1" x14ac:dyDescent="0.3">
      <c r="A322" s="3">
        <v>45977</v>
      </c>
      <c r="B322" s="48" t="s">
        <v>890</v>
      </c>
      <c r="C322" s="3" t="s">
        <v>16</v>
      </c>
      <c r="D322" s="3" t="s">
        <v>757</v>
      </c>
      <c r="E322" s="4">
        <v>0.88</v>
      </c>
      <c r="F322" s="42">
        <v>3.1</v>
      </c>
      <c r="G322" s="6">
        <v>189</v>
      </c>
      <c r="H322" s="6">
        <v>2</v>
      </c>
      <c r="I322" s="6">
        <f t="shared" si="13"/>
        <v>1031.184</v>
      </c>
      <c r="J322" s="7" t="s">
        <v>69</v>
      </c>
      <c r="K322" s="17">
        <f t="shared" si="12"/>
        <v>11</v>
      </c>
    </row>
    <row r="323" spans="1:11" ht="13.95" customHeight="1" x14ac:dyDescent="0.3">
      <c r="A323" s="3">
        <v>45978</v>
      </c>
      <c r="B323" s="48" t="s">
        <v>890</v>
      </c>
      <c r="C323" s="3" t="s">
        <v>18</v>
      </c>
      <c r="D323" s="3" t="s">
        <v>706</v>
      </c>
      <c r="E323" s="4">
        <v>0.8</v>
      </c>
      <c r="F323" s="42">
        <v>2.2000000000000002</v>
      </c>
      <c r="G323" s="6">
        <v>189</v>
      </c>
      <c r="H323" s="6">
        <v>2</v>
      </c>
      <c r="I323" s="6">
        <f t="shared" si="13"/>
        <v>665.28000000000009</v>
      </c>
      <c r="J323" s="7" t="s">
        <v>65</v>
      </c>
      <c r="K323" s="17">
        <f t="shared" ref="K323:K367" si="14">MONTH(A323)</f>
        <v>11</v>
      </c>
    </row>
    <row r="324" spans="1:11" ht="13.95" customHeight="1" x14ac:dyDescent="0.3">
      <c r="A324" s="3">
        <v>45979</v>
      </c>
      <c r="B324" s="48" t="s">
        <v>890</v>
      </c>
      <c r="C324" s="3" t="s">
        <v>20</v>
      </c>
      <c r="D324" s="3" t="s">
        <v>707</v>
      </c>
      <c r="E324" s="4">
        <v>0.92</v>
      </c>
      <c r="F324" s="42">
        <v>2.35</v>
      </c>
      <c r="G324" s="6">
        <v>189</v>
      </c>
      <c r="H324" s="6">
        <v>2</v>
      </c>
      <c r="I324" s="6">
        <f t="shared" si="13"/>
        <v>817.23599999999999</v>
      </c>
      <c r="J324" s="7" t="s">
        <v>771</v>
      </c>
      <c r="K324" s="17">
        <f t="shared" si="14"/>
        <v>11</v>
      </c>
    </row>
    <row r="325" spans="1:11" ht="13.95" customHeight="1" x14ac:dyDescent="0.3">
      <c r="A325" s="3">
        <v>45980</v>
      </c>
      <c r="B325" s="48" t="s">
        <v>890</v>
      </c>
      <c r="C325" s="3" t="s">
        <v>5</v>
      </c>
      <c r="D325" s="3" t="s">
        <v>706</v>
      </c>
      <c r="E325" s="4">
        <v>0.85</v>
      </c>
      <c r="F325" s="42">
        <v>2.2000000000000002</v>
      </c>
      <c r="G325" s="6">
        <v>189</v>
      </c>
      <c r="H325" s="6">
        <v>2</v>
      </c>
      <c r="I325" s="6">
        <f t="shared" si="13"/>
        <v>706.86000000000013</v>
      </c>
      <c r="J325" s="7" t="s">
        <v>71</v>
      </c>
      <c r="K325" s="17">
        <f t="shared" si="14"/>
        <v>11</v>
      </c>
    </row>
    <row r="326" spans="1:11" ht="13.95" customHeight="1" x14ac:dyDescent="0.3">
      <c r="A326" s="3">
        <v>45981</v>
      </c>
      <c r="B326" s="48" t="s">
        <v>890</v>
      </c>
      <c r="C326" s="3" t="s">
        <v>8</v>
      </c>
      <c r="D326" s="3" t="s">
        <v>706</v>
      </c>
      <c r="E326" s="4">
        <v>0.82</v>
      </c>
      <c r="F326" s="42">
        <v>2.15</v>
      </c>
      <c r="G326" s="6">
        <v>189</v>
      </c>
      <c r="H326" s="6">
        <v>2</v>
      </c>
      <c r="I326" s="6">
        <f t="shared" si="13"/>
        <v>666.41399999999987</v>
      </c>
      <c r="J326" s="7" t="s">
        <v>71</v>
      </c>
      <c r="K326" s="17">
        <f t="shared" si="14"/>
        <v>11</v>
      </c>
    </row>
    <row r="327" spans="1:11" ht="13.95" customHeight="1" x14ac:dyDescent="0.3">
      <c r="A327" s="3">
        <v>45982</v>
      </c>
      <c r="B327" s="48" t="s">
        <v>890</v>
      </c>
      <c r="C327" s="3" t="s">
        <v>11</v>
      </c>
      <c r="D327" s="3" t="s">
        <v>44</v>
      </c>
      <c r="E327" s="4">
        <v>0.75</v>
      </c>
      <c r="F327" s="42">
        <v>2.1</v>
      </c>
      <c r="G327" s="6">
        <v>189</v>
      </c>
      <c r="H327" s="6">
        <v>2</v>
      </c>
      <c r="I327" s="6">
        <f t="shared" si="13"/>
        <v>595.35</v>
      </c>
      <c r="J327" s="7" t="s">
        <v>70</v>
      </c>
      <c r="K327" s="17">
        <f t="shared" si="14"/>
        <v>11</v>
      </c>
    </row>
    <row r="328" spans="1:11" ht="13.95" customHeight="1" x14ac:dyDescent="0.3">
      <c r="A328" s="3">
        <v>45983</v>
      </c>
      <c r="B328" s="48" t="s">
        <v>890</v>
      </c>
      <c r="C328" s="3" t="s">
        <v>13</v>
      </c>
      <c r="D328" s="3" t="s">
        <v>14</v>
      </c>
      <c r="E328" s="4">
        <v>0.72</v>
      </c>
      <c r="F328" s="42">
        <v>2.65</v>
      </c>
      <c r="G328" s="6">
        <v>189</v>
      </c>
      <c r="H328" s="6">
        <v>2</v>
      </c>
      <c r="I328" s="6">
        <f t="shared" si="13"/>
        <v>721.22399999999993</v>
      </c>
      <c r="J328" s="7" t="s">
        <v>871</v>
      </c>
      <c r="K328" s="17">
        <f t="shared" si="14"/>
        <v>11</v>
      </c>
    </row>
    <row r="329" spans="1:11" ht="13.95" customHeight="1" x14ac:dyDescent="0.3">
      <c r="A329" s="3">
        <v>45984</v>
      </c>
      <c r="B329" s="48" t="s">
        <v>890</v>
      </c>
      <c r="C329" s="3" t="s">
        <v>16</v>
      </c>
      <c r="D329" s="3" t="s">
        <v>757</v>
      </c>
      <c r="E329" s="4">
        <v>0.9</v>
      </c>
      <c r="F329" s="42">
        <v>3.2</v>
      </c>
      <c r="G329" s="6">
        <v>189</v>
      </c>
      <c r="H329" s="6">
        <v>2</v>
      </c>
      <c r="I329" s="6">
        <f t="shared" si="13"/>
        <v>1088.6400000000001</v>
      </c>
      <c r="J329" s="7" t="s">
        <v>745</v>
      </c>
      <c r="K329" s="17">
        <f t="shared" si="14"/>
        <v>11</v>
      </c>
    </row>
    <row r="330" spans="1:11" ht="13.95" customHeight="1" x14ac:dyDescent="0.3">
      <c r="A330" s="3">
        <v>45985</v>
      </c>
      <c r="B330" s="48" t="s">
        <v>890</v>
      </c>
      <c r="C330" s="3" t="s">
        <v>18</v>
      </c>
      <c r="D330" s="3" t="s">
        <v>706</v>
      </c>
      <c r="E330" s="4">
        <v>0.8</v>
      </c>
      <c r="F330" s="42">
        <v>2.2000000000000002</v>
      </c>
      <c r="G330" s="6">
        <v>189</v>
      </c>
      <c r="H330" s="6">
        <v>2</v>
      </c>
      <c r="I330" s="6">
        <f t="shared" si="13"/>
        <v>665.28000000000009</v>
      </c>
      <c r="J330" s="7" t="s">
        <v>286</v>
      </c>
      <c r="K330" s="17">
        <f t="shared" si="14"/>
        <v>11</v>
      </c>
    </row>
    <row r="331" spans="1:11" ht="13.95" customHeight="1" x14ac:dyDescent="0.3">
      <c r="A331" s="3">
        <v>45986</v>
      </c>
      <c r="B331" s="48" t="s">
        <v>890</v>
      </c>
      <c r="C331" s="3" t="s">
        <v>20</v>
      </c>
      <c r="D331" s="3" t="s">
        <v>706</v>
      </c>
      <c r="E331" s="4">
        <v>0.85</v>
      </c>
      <c r="F331" s="42">
        <v>2.25</v>
      </c>
      <c r="G331" s="6">
        <v>189</v>
      </c>
      <c r="H331" s="6">
        <v>2</v>
      </c>
      <c r="I331" s="6">
        <f t="shared" si="13"/>
        <v>722.92500000000007</v>
      </c>
      <c r="J331" s="7" t="s">
        <v>71</v>
      </c>
      <c r="K331" s="17">
        <f t="shared" si="14"/>
        <v>11</v>
      </c>
    </row>
    <row r="332" spans="1:11" ht="13.95" customHeight="1" x14ac:dyDescent="0.3">
      <c r="A332" s="3">
        <v>45987</v>
      </c>
      <c r="B332" s="48" t="s">
        <v>890</v>
      </c>
      <c r="C332" s="3" t="s">
        <v>5</v>
      </c>
      <c r="D332" s="3" t="s">
        <v>706</v>
      </c>
      <c r="E332" s="4">
        <v>0.82</v>
      </c>
      <c r="F332" s="42">
        <v>2.2000000000000002</v>
      </c>
      <c r="G332" s="6">
        <v>189</v>
      </c>
      <c r="H332" s="6">
        <v>2</v>
      </c>
      <c r="I332" s="6">
        <f t="shared" si="13"/>
        <v>681.91200000000003</v>
      </c>
      <c r="J332" s="7" t="s">
        <v>71</v>
      </c>
      <c r="K332" s="17">
        <f t="shared" si="14"/>
        <v>11</v>
      </c>
    </row>
    <row r="333" spans="1:11" ht="13.95" customHeight="1" x14ac:dyDescent="0.3">
      <c r="A333" s="3">
        <v>45988</v>
      </c>
      <c r="B333" s="48" t="s">
        <v>890</v>
      </c>
      <c r="C333" s="3" t="s">
        <v>8</v>
      </c>
      <c r="D333" s="3" t="s">
        <v>706</v>
      </c>
      <c r="E333" s="4">
        <v>0.78</v>
      </c>
      <c r="F333" s="42">
        <v>2.15</v>
      </c>
      <c r="G333" s="6">
        <v>189</v>
      </c>
      <c r="H333" s="6">
        <v>2</v>
      </c>
      <c r="I333" s="6">
        <f t="shared" si="13"/>
        <v>633.90600000000006</v>
      </c>
      <c r="J333" s="7" t="s">
        <v>71</v>
      </c>
      <c r="K333" s="17">
        <f t="shared" si="14"/>
        <v>11</v>
      </c>
    </row>
    <row r="334" spans="1:11" ht="13.95" customHeight="1" x14ac:dyDescent="0.3">
      <c r="A334" s="3">
        <v>45989</v>
      </c>
      <c r="B334" s="48" t="s">
        <v>890</v>
      </c>
      <c r="C334" s="3" t="s">
        <v>11</v>
      </c>
      <c r="D334" s="3" t="s">
        <v>44</v>
      </c>
      <c r="E334" s="4">
        <v>0.75</v>
      </c>
      <c r="F334" s="42">
        <v>2.2000000000000002</v>
      </c>
      <c r="G334" s="6">
        <v>189</v>
      </c>
      <c r="H334" s="6">
        <v>2</v>
      </c>
      <c r="I334" s="6">
        <f t="shared" si="13"/>
        <v>623.70000000000005</v>
      </c>
      <c r="J334" s="7" t="s">
        <v>540</v>
      </c>
      <c r="K334" s="17">
        <f t="shared" si="14"/>
        <v>11</v>
      </c>
    </row>
    <row r="335" spans="1:11" ht="13.95" customHeight="1" x14ac:dyDescent="0.3">
      <c r="A335" s="3">
        <v>45990</v>
      </c>
      <c r="B335" s="48" t="s">
        <v>890</v>
      </c>
      <c r="C335" s="3" t="s">
        <v>13</v>
      </c>
      <c r="D335" s="3" t="s">
        <v>14</v>
      </c>
      <c r="E335" s="4">
        <v>0.78</v>
      </c>
      <c r="F335" s="42">
        <v>2.75</v>
      </c>
      <c r="G335" s="6">
        <v>189</v>
      </c>
      <c r="H335" s="6">
        <v>2</v>
      </c>
      <c r="I335" s="6">
        <f t="shared" si="13"/>
        <v>810.81000000000006</v>
      </c>
      <c r="J335" s="7" t="s">
        <v>542</v>
      </c>
      <c r="K335" s="17">
        <f t="shared" si="14"/>
        <v>11</v>
      </c>
    </row>
    <row r="336" spans="1:11" ht="13.95" customHeight="1" x14ac:dyDescent="0.3">
      <c r="A336" s="3">
        <v>45991</v>
      </c>
      <c r="B336" s="48" t="s">
        <v>890</v>
      </c>
      <c r="C336" s="3" t="s">
        <v>16</v>
      </c>
      <c r="D336" s="3" t="s">
        <v>757</v>
      </c>
      <c r="E336" s="4">
        <v>0.92</v>
      </c>
      <c r="F336" s="42">
        <v>3.25</v>
      </c>
      <c r="G336" s="6">
        <v>189</v>
      </c>
      <c r="H336" s="6">
        <v>2</v>
      </c>
      <c r="I336" s="6">
        <f t="shared" si="13"/>
        <v>1130.22</v>
      </c>
      <c r="J336" s="7" t="s">
        <v>853</v>
      </c>
      <c r="K336" s="17">
        <f t="shared" si="14"/>
        <v>11</v>
      </c>
    </row>
    <row r="337" spans="1:11" ht="13.95" customHeight="1" x14ac:dyDescent="0.3">
      <c r="A337" s="3">
        <v>45992</v>
      </c>
      <c r="B337" s="48" t="s">
        <v>890</v>
      </c>
      <c r="C337" s="3" t="s">
        <v>18</v>
      </c>
      <c r="D337" s="3" t="s">
        <v>706</v>
      </c>
      <c r="E337" s="4">
        <v>0.8</v>
      </c>
      <c r="F337" s="42">
        <v>2.2000000000000002</v>
      </c>
      <c r="G337" s="6">
        <v>189</v>
      </c>
      <c r="H337" s="6">
        <v>2</v>
      </c>
      <c r="I337" s="6">
        <f t="shared" si="13"/>
        <v>665.28000000000009</v>
      </c>
      <c r="J337" s="7" t="s">
        <v>528</v>
      </c>
      <c r="K337" s="17">
        <f t="shared" si="14"/>
        <v>12</v>
      </c>
    </row>
    <row r="338" spans="1:11" ht="13.95" customHeight="1" x14ac:dyDescent="0.3">
      <c r="A338" s="3">
        <v>45993</v>
      </c>
      <c r="B338" s="48" t="s">
        <v>890</v>
      </c>
      <c r="C338" s="3" t="s">
        <v>20</v>
      </c>
      <c r="D338" s="3" t="s">
        <v>706</v>
      </c>
      <c r="E338" s="4">
        <v>0.88</v>
      </c>
      <c r="F338" s="42">
        <v>2.2999999999999998</v>
      </c>
      <c r="G338" s="6">
        <v>189</v>
      </c>
      <c r="H338" s="6">
        <v>2</v>
      </c>
      <c r="I338" s="6">
        <f t="shared" si="13"/>
        <v>765.07199999999989</v>
      </c>
      <c r="J338" s="7" t="s">
        <v>65</v>
      </c>
      <c r="K338" s="17">
        <f t="shared" si="14"/>
        <v>12</v>
      </c>
    </row>
    <row r="339" spans="1:11" ht="13.95" customHeight="1" x14ac:dyDescent="0.3">
      <c r="A339" s="3">
        <v>45994</v>
      </c>
      <c r="B339" s="48" t="s">
        <v>890</v>
      </c>
      <c r="C339" s="3" t="s">
        <v>5</v>
      </c>
      <c r="D339" s="3" t="s">
        <v>706</v>
      </c>
      <c r="E339" s="4">
        <v>0.85</v>
      </c>
      <c r="F339" s="42">
        <v>2.2000000000000002</v>
      </c>
      <c r="G339" s="6">
        <v>189</v>
      </c>
      <c r="H339" s="6">
        <v>2</v>
      </c>
      <c r="I339" s="6">
        <f t="shared" si="13"/>
        <v>706.86000000000013</v>
      </c>
      <c r="J339" s="7" t="s">
        <v>71</v>
      </c>
      <c r="K339" s="17">
        <f t="shared" si="14"/>
        <v>12</v>
      </c>
    </row>
    <row r="340" spans="1:11" ht="13.95" customHeight="1" x14ac:dyDescent="0.3">
      <c r="A340" s="3">
        <v>45995</v>
      </c>
      <c r="B340" s="48" t="s">
        <v>890</v>
      </c>
      <c r="C340" s="3" t="s">
        <v>8</v>
      </c>
      <c r="D340" s="3" t="s">
        <v>706</v>
      </c>
      <c r="E340" s="4">
        <v>0.82</v>
      </c>
      <c r="F340" s="42">
        <v>2.15</v>
      </c>
      <c r="G340" s="6">
        <v>189</v>
      </c>
      <c r="H340" s="6">
        <v>2</v>
      </c>
      <c r="I340" s="6">
        <f t="shared" si="13"/>
        <v>666.41399999999987</v>
      </c>
      <c r="J340" s="7" t="s">
        <v>71</v>
      </c>
      <c r="K340" s="17">
        <f t="shared" si="14"/>
        <v>12</v>
      </c>
    </row>
    <row r="341" spans="1:11" ht="13.95" customHeight="1" x14ac:dyDescent="0.3">
      <c r="A341" s="3">
        <v>45996</v>
      </c>
      <c r="B341" s="48" t="s">
        <v>890</v>
      </c>
      <c r="C341" s="3" t="s">
        <v>11</v>
      </c>
      <c r="D341" s="3" t="s">
        <v>44</v>
      </c>
      <c r="E341" s="4">
        <v>0.78</v>
      </c>
      <c r="F341" s="42">
        <v>2.2000000000000002</v>
      </c>
      <c r="G341" s="6">
        <v>189</v>
      </c>
      <c r="H341" s="6">
        <v>2</v>
      </c>
      <c r="I341" s="6">
        <f t="shared" si="13"/>
        <v>648.64800000000014</v>
      </c>
      <c r="J341" s="7" t="s">
        <v>540</v>
      </c>
      <c r="K341" s="17">
        <f t="shared" si="14"/>
        <v>12</v>
      </c>
    </row>
    <row r="342" spans="1:11" ht="13.95" customHeight="1" x14ac:dyDescent="0.3">
      <c r="A342" s="3">
        <v>45997</v>
      </c>
      <c r="B342" s="48" t="s">
        <v>890</v>
      </c>
      <c r="C342" s="3" t="s">
        <v>13</v>
      </c>
      <c r="D342" s="3" t="s">
        <v>14</v>
      </c>
      <c r="E342" s="4">
        <v>0.75</v>
      </c>
      <c r="F342" s="42">
        <v>2.75</v>
      </c>
      <c r="G342" s="6">
        <v>189</v>
      </c>
      <c r="H342" s="6">
        <v>2</v>
      </c>
      <c r="I342" s="6">
        <f t="shared" si="13"/>
        <v>779.625</v>
      </c>
      <c r="J342" s="7" t="s">
        <v>872</v>
      </c>
      <c r="K342" s="17">
        <f t="shared" si="14"/>
        <v>12</v>
      </c>
    </row>
    <row r="343" spans="1:11" ht="13.95" customHeight="1" x14ac:dyDescent="0.3">
      <c r="A343" s="3">
        <v>45998</v>
      </c>
      <c r="B343" s="48" t="s">
        <v>890</v>
      </c>
      <c r="C343" s="3" t="s">
        <v>16</v>
      </c>
      <c r="D343" s="3" t="s">
        <v>757</v>
      </c>
      <c r="E343" s="4">
        <v>0.92</v>
      </c>
      <c r="F343" s="42">
        <v>3.2</v>
      </c>
      <c r="G343" s="6">
        <v>189</v>
      </c>
      <c r="H343" s="6">
        <v>2</v>
      </c>
      <c r="I343" s="6">
        <f t="shared" si="13"/>
        <v>1112.8320000000001</v>
      </c>
      <c r="J343" s="7" t="s">
        <v>745</v>
      </c>
      <c r="K343" s="17">
        <f t="shared" si="14"/>
        <v>12</v>
      </c>
    </row>
    <row r="344" spans="1:11" ht="13.95" customHeight="1" x14ac:dyDescent="0.3">
      <c r="A344" s="3">
        <v>45999</v>
      </c>
      <c r="B344" s="48" t="s">
        <v>890</v>
      </c>
      <c r="C344" s="3" t="s">
        <v>18</v>
      </c>
      <c r="D344" s="3" t="s">
        <v>706</v>
      </c>
      <c r="E344" s="4">
        <v>0.82</v>
      </c>
      <c r="F344" s="42">
        <v>2.2000000000000002</v>
      </c>
      <c r="G344" s="6">
        <v>189</v>
      </c>
      <c r="H344" s="6">
        <v>2</v>
      </c>
      <c r="I344" s="6">
        <f t="shared" si="13"/>
        <v>681.91200000000003</v>
      </c>
      <c r="J344" s="7" t="s">
        <v>71</v>
      </c>
      <c r="K344" s="17">
        <f t="shared" si="14"/>
        <v>12</v>
      </c>
    </row>
    <row r="345" spans="1:11" ht="13.95" customHeight="1" x14ac:dyDescent="0.3">
      <c r="A345" s="3">
        <v>46000</v>
      </c>
      <c r="B345" s="48" t="s">
        <v>890</v>
      </c>
      <c r="C345" s="3" t="s">
        <v>20</v>
      </c>
      <c r="D345" s="3" t="s">
        <v>707</v>
      </c>
      <c r="E345" s="4">
        <v>0.92</v>
      </c>
      <c r="F345" s="42">
        <v>2.35</v>
      </c>
      <c r="G345" s="6">
        <v>189</v>
      </c>
      <c r="H345" s="6">
        <v>2</v>
      </c>
      <c r="I345" s="6">
        <f t="shared" si="13"/>
        <v>817.23599999999999</v>
      </c>
      <c r="J345" s="7" t="s">
        <v>873</v>
      </c>
      <c r="K345" s="17">
        <f t="shared" si="14"/>
        <v>12</v>
      </c>
    </row>
    <row r="346" spans="1:11" ht="13.95" customHeight="1" x14ac:dyDescent="0.3">
      <c r="A346" s="3">
        <v>46001</v>
      </c>
      <c r="B346" s="48" t="s">
        <v>890</v>
      </c>
      <c r="C346" s="3" t="s">
        <v>5</v>
      </c>
      <c r="D346" s="3" t="s">
        <v>706</v>
      </c>
      <c r="E346" s="4">
        <v>0.88</v>
      </c>
      <c r="F346" s="42">
        <v>2.25</v>
      </c>
      <c r="G346" s="6">
        <v>189</v>
      </c>
      <c r="H346" s="6">
        <v>2</v>
      </c>
      <c r="I346" s="6">
        <f t="shared" si="13"/>
        <v>748.43999999999994</v>
      </c>
      <c r="J346" s="7" t="s">
        <v>71</v>
      </c>
      <c r="K346" s="17">
        <f t="shared" si="14"/>
        <v>12</v>
      </c>
    </row>
    <row r="347" spans="1:11" ht="13.95" customHeight="1" x14ac:dyDescent="0.3">
      <c r="A347" s="3">
        <v>46002</v>
      </c>
      <c r="B347" s="48" t="s">
        <v>890</v>
      </c>
      <c r="C347" s="3" t="s">
        <v>8</v>
      </c>
      <c r="D347" s="3" t="s">
        <v>706</v>
      </c>
      <c r="E347" s="4">
        <v>0.84</v>
      </c>
      <c r="F347" s="42">
        <v>2.2000000000000002</v>
      </c>
      <c r="G347" s="6">
        <v>189</v>
      </c>
      <c r="H347" s="6">
        <v>2</v>
      </c>
      <c r="I347" s="6">
        <f t="shared" si="13"/>
        <v>698.54399999999998</v>
      </c>
      <c r="J347" s="7" t="s">
        <v>71</v>
      </c>
      <c r="K347" s="17">
        <f t="shared" si="14"/>
        <v>12</v>
      </c>
    </row>
    <row r="348" spans="1:11" ht="13.95" customHeight="1" x14ac:dyDescent="0.3">
      <c r="A348" s="3">
        <v>46003</v>
      </c>
      <c r="B348" s="48" t="s">
        <v>890</v>
      </c>
      <c r="C348" s="3" t="s">
        <v>11</v>
      </c>
      <c r="D348" s="3" t="s">
        <v>44</v>
      </c>
      <c r="E348" s="4">
        <v>0.8</v>
      </c>
      <c r="F348" s="42">
        <v>2.2000000000000002</v>
      </c>
      <c r="G348" s="6">
        <v>189</v>
      </c>
      <c r="H348" s="6">
        <v>2</v>
      </c>
      <c r="I348" s="6">
        <f t="shared" si="13"/>
        <v>665.28000000000009</v>
      </c>
      <c r="J348" s="7" t="s">
        <v>529</v>
      </c>
      <c r="K348" s="17">
        <f t="shared" si="14"/>
        <v>12</v>
      </c>
    </row>
    <row r="349" spans="1:11" ht="13.95" customHeight="1" x14ac:dyDescent="0.3">
      <c r="A349" s="3">
        <v>46004</v>
      </c>
      <c r="B349" s="48" t="s">
        <v>890</v>
      </c>
      <c r="C349" s="3" t="s">
        <v>13</v>
      </c>
      <c r="D349" s="3" t="s">
        <v>14</v>
      </c>
      <c r="E349" s="4">
        <v>0.78</v>
      </c>
      <c r="F349" s="42">
        <v>2.8</v>
      </c>
      <c r="G349" s="6">
        <v>189</v>
      </c>
      <c r="H349" s="6">
        <v>2</v>
      </c>
      <c r="I349" s="6">
        <f t="shared" si="13"/>
        <v>825.55200000000002</v>
      </c>
      <c r="J349" s="7" t="s">
        <v>874</v>
      </c>
      <c r="K349" s="17">
        <f t="shared" si="14"/>
        <v>12</v>
      </c>
    </row>
    <row r="350" spans="1:11" ht="13.95" customHeight="1" x14ac:dyDescent="0.3">
      <c r="A350" s="3">
        <v>46005</v>
      </c>
      <c r="B350" s="48" t="s">
        <v>890</v>
      </c>
      <c r="C350" s="3" t="s">
        <v>16</v>
      </c>
      <c r="D350" s="3" t="s">
        <v>757</v>
      </c>
      <c r="E350" s="4">
        <v>0.94</v>
      </c>
      <c r="F350" s="42">
        <v>3.3</v>
      </c>
      <c r="G350" s="6">
        <v>189</v>
      </c>
      <c r="H350" s="6">
        <v>2</v>
      </c>
      <c r="I350" s="6">
        <f t="shared" si="13"/>
        <v>1172.5559999999998</v>
      </c>
      <c r="J350" s="7" t="s">
        <v>459</v>
      </c>
      <c r="K350" s="17">
        <f t="shared" si="14"/>
        <v>12</v>
      </c>
    </row>
    <row r="351" spans="1:11" ht="13.95" customHeight="1" x14ac:dyDescent="0.3">
      <c r="A351" s="3">
        <v>46006</v>
      </c>
      <c r="B351" s="48" t="s">
        <v>890</v>
      </c>
      <c r="C351" s="3" t="s">
        <v>18</v>
      </c>
      <c r="D351" s="3" t="s">
        <v>706</v>
      </c>
      <c r="E351" s="4">
        <v>0.8</v>
      </c>
      <c r="F351" s="42">
        <v>2.25</v>
      </c>
      <c r="G351" s="6">
        <v>189</v>
      </c>
      <c r="H351" s="6">
        <v>2</v>
      </c>
      <c r="I351" s="6">
        <f t="shared" si="13"/>
        <v>680.40000000000009</v>
      </c>
      <c r="J351" s="7" t="s">
        <v>65</v>
      </c>
      <c r="K351" s="17">
        <f t="shared" si="14"/>
        <v>12</v>
      </c>
    </row>
    <row r="352" spans="1:11" ht="13.95" customHeight="1" x14ac:dyDescent="0.3">
      <c r="A352" s="3">
        <v>46007</v>
      </c>
      <c r="B352" s="48" t="s">
        <v>890</v>
      </c>
      <c r="C352" s="3" t="s">
        <v>20</v>
      </c>
      <c r="D352" s="3" t="s">
        <v>706</v>
      </c>
      <c r="E352" s="4">
        <v>0.82</v>
      </c>
      <c r="F352" s="42">
        <v>2.2999999999999998</v>
      </c>
      <c r="G352" s="6">
        <v>189</v>
      </c>
      <c r="H352" s="6">
        <v>2</v>
      </c>
      <c r="I352" s="6">
        <f t="shared" si="13"/>
        <v>712.9079999999999</v>
      </c>
      <c r="J352" s="7" t="s">
        <v>71</v>
      </c>
      <c r="K352" s="17">
        <f t="shared" si="14"/>
        <v>12</v>
      </c>
    </row>
    <row r="353" spans="1:11" ht="13.95" customHeight="1" x14ac:dyDescent="0.3">
      <c r="A353" s="3">
        <v>46008</v>
      </c>
      <c r="B353" s="48" t="s">
        <v>890</v>
      </c>
      <c r="C353" s="3" t="s">
        <v>5</v>
      </c>
      <c r="D353" s="3" t="s">
        <v>875</v>
      </c>
      <c r="E353" s="4">
        <v>0.78</v>
      </c>
      <c r="F353" s="42">
        <v>2.6</v>
      </c>
      <c r="G353" s="6">
        <v>189</v>
      </c>
      <c r="H353" s="6">
        <v>2</v>
      </c>
      <c r="I353" s="6">
        <f t="shared" si="13"/>
        <v>766.58400000000006</v>
      </c>
      <c r="J353" s="7" t="s">
        <v>876</v>
      </c>
      <c r="K353" s="17">
        <f t="shared" si="14"/>
        <v>12</v>
      </c>
    </row>
    <row r="354" spans="1:11" ht="13.95" customHeight="1" x14ac:dyDescent="0.3">
      <c r="A354" s="3">
        <v>46009</v>
      </c>
      <c r="B354" s="48" t="s">
        <v>890</v>
      </c>
      <c r="C354" s="3" t="s">
        <v>8</v>
      </c>
      <c r="D354" s="3" t="s">
        <v>706</v>
      </c>
      <c r="E354" s="4">
        <v>0.75</v>
      </c>
      <c r="F354" s="42">
        <v>2.2999999999999998</v>
      </c>
      <c r="G354" s="6">
        <v>189</v>
      </c>
      <c r="H354" s="6">
        <v>2</v>
      </c>
      <c r="I354" s="6">
        <f t="shared" ref="I354:I367" si="15">(G354*E354)*F354*H354</f>
        <v>652.04999999999995</v>
      </c>
      <c r="J354" s="7" t="s">
        <v>71</v>
      </c>
      <c r="K354" s="17">
        <f t="shared" si="14"/>
        <v>12</v>
      </c>
    </row>
    <row r="355" spans="1:11" ht="13.95" customHeight="1" x14ac:dyDescent="0.3">
      <c r="A355" s="3">
        <v>46010</v>
      </c>
      <c r="B355" s="48" t="s">
        <v>890</v>
      </c>
      <c r="C355" s="3" t="s">
        <v>11</v>
      </c>
      <c r="D355" s="3" t="s">
        <v>44</v>
      </c>
      <c r="E355" s="4">
        <v>0.72</v>
      </c>
      <c r="F355" s="42">
        <v>2.35</v>
      </c>
      <c r="G355" s="6">
        <v>189</v>
      </c>
      <c r="H355" s="6">
        <v>2</v>
      </c>
      <c r="I355" s="6">
        <f t="shared" si="15"/>
        <v>639.57599999999991</v>
      </c>
      <c r="J355" s="7" t="s">
        <v>877</v>
      </c>
      <c r="K355" s="17">
        <f t="shared" si="14"/>
        <v>12</v>
      </c>
    </row>
    <row r="356" spans="1:11" ht="13.95" customHeight="1" x14ac:dyDescent="0.3">
      <c r="A356" s="3">
        <v>46011</v>
      </c>
      <c r="B356" s="48" t="s">
        <v>890</v>
      </c>
      <c r="C356" s="3" t="s">
        <v>13</v>
      </c>
      <c r="D356" s="3" t="s">
        <v>878</v>
      </c>
      <c r="E356" s="4">
        <v>0.8</v>
      </c>
      <c r="F356" s="42">
        <v>2.9</v>
      </c>
      <c r="G356" s="6">
        <v>189</v>
      </c>
      <c r="H356" s="6">
        <v>2</v>
      </c>
      <c r="I356" s="6">
        <f t="shared" si="15"/>
        <v>876.96</v>
      </c>
      <c r="J356" s="7" t="s">
        <v>786</v>
      </c>
      <c r="K356" s="17">
        <f t="shared" si="14"/>
        <v>12</v>
      </c>
    </row>
    <row r="357" spans="1:11" ht="13.95" customHeight="1" x14ac:dyDescent="0.3">
      <c r="A357" s="3">
        <v>46012</v>
      </c>
      <c r="B357" s="48" t="s">
        <v>890</v>
      </c>
      <c r="C357" s="3" t="s">
        <v>16</v>
      </c>
      <c r="D357" s="3" t="s">
        <v>879</v>
      </c>
      <c r="E357" s="4">
        <v>0.95</v>
      </c>
      <c r="F357" s="42">
        <v>3.45</v>
      </c>
      <c r="G357" s="6">
        <v>189</v>
      </c>
      <c r="H357" s="6">
        <v>2</v>
      </c>
      <c r="I357" s="6">
        <f t="shared" si="15"/>
        <v>1238.895</v>
      </c>
      <c r="J357" s="7" t="s">
        <v>880</v>
      </c>
      <c r="K357" s="17">
        <f t="shared" si="14"/>
        <v>12</v>
      </c>
    </row>
    <row r="358" spans="1:11" ht="13.95" customHeight="1" x14ac:dyDescent="0.3">
      <c r="A358" s="3">
        <v>46013</v>
      </c>
      <c r="B358" s="48" t="s">
        <v>890</v>
      </c>
      <c r="C358" s="3" t="s">
        <v>18</v>
      </c>
      <c r="D358" s="3" t="s">
        <v>881</v>
      </c>
      <c r="E358" s="4">
        <v>0.75</v>
      </c>
      <c r="F358" s="42">
        <v>2.4</v>
      </c>
      <c r="G358" s="6">
        <v>189</v>
      </c>
      <c r="H358" s="6">
        <v>2</v>
      </c>
      <c r="I358" s="6">
        <f t="shared" si="15"/>
        <v>680.4</v>
      </c>
      <c r="J358" s="7" t="s">
        <v>882</v>
      </c>
      <c r="K358" s="17">
        <f t="shared" si="14"/>
        <v>12</v>
      </c>
    </row>
    <row r="359" spans="1:11" ht="13.95" customHeight="1" x14ac:dyDescent="0.3">
      <c r="A359" s="3">
        <v>46014</v>
      </c>
      <c r="B359" s="48" t="s">
        <v>890</v>
      </c>
      <c r="C359" s="3" t="s">
        <v>20</v>
      </c>
      <c r="D359" s="3" t="s">
        <v>881</v>
      </c>
      <c r="E359" s="4">
        <v>0.78</v>
      </c>
      <c r="F359" s="42">
        <v>2.5</v>
      </c>
      <c r="G359" s="6">
        <v>189</v>
      </c>
      <c r="H359" s="6">
        <v>2</v>
      </c>
      <c r="I359" s="6">
        <f t="shared" si="15"/>
        <v>737.10000000000014</v>
      </c>
      <c r="J359" s="7" t="s">
        <v>661</v>
      </c>
      <c r="K359" s="17">
        <f t="shared" si="14"/>
        <v>12</v>
      </c>
    </row>
    <row r="360" spans="1:11" ht="13.95" customHeight="1" x14ac:dyDescent="0.3">
      <c r="A360" s="3">
        <v>46015</v>
      </c>
      <c r="B360" s="48" t="s">
        <v>890</v>
      </c>
      <c r="C360" s="3" t="s">
        <v>5</v>
      </c>
      <c r="D360" s="3" t="s">
        <v>662</v>
      </c>
      <c r="E360" s="4">
        <v>0.9</v>
      </c>
      <c r="F360" s="42">
        <v>3.5</v>
      </c>
      <c r="G360" s="6">
        <v>189</v>
      </c>
      <c r="H360" s="6">
        <v>2</v>
      </c>
      <c r="I360" s="6">
        <f t="shared" si="15"/>
        <v>1190.7</v>
      </c>
      <c r="J360" s="7" t="s">
        <v>883</v>
      </c>
      <c r="K360" s="17">
        <f t="shared" si="14"/>
        <v>12</v>
      </c>
    </row>
    <row r="361" spans="1:11" ht="13.95" customHeight="1" x14ac:dyDescent="0.3">
      <c r="A361" s="3">
        <v>46016</v>
      </c>
      <c r="B361" s="48" t="s">
        <v>890</v>
      </c>
      <c r="C361" s="3" t="s">
        <v>8</v>
      </c>
      <c r="D361" s="3" t="s">
        <v>884</v>
      </c>
      <c r="E361" s="4">
        <v>0.85</v>
      </c>
      <c r="F361" s="42">
        <v>3.2</v>
      </c>
      <c r="G361" s="6">
        <v>189</v>
      </c>
      <c r="H361" s="6">
        <v>2</v>
      </c>
      <c r="I361" s="6">
        <f t="shared" si="15"/>
        <v>1028.1600000000001</v>
      </c>
      <c r="J361" s="7" t="s">
        <v>885</v>
      </c>
      <c r="K361" s="17">
        <f t="shared" si="14"/>
        <v>12</v>
      </c>
    </row>
    <row r="362" spans="1:11" ht="13.95" customHeight="1" x14ac:dyDescent="0.3">
      <c r="A362" s="3">
        <v>46017</v>
      </c>
      <c r="B362" s="48" t="s">
        <v>890</v>
      </c>
      <c r="C362" s="3" t="s">
        <v>11</v>
      </c>
      <c r="D362" s="3" t="s">
        <v>44</v>
      </c>
      <c r="E362" s="4">
        <v>0.8</v>
      </c>
      <c r="F362" s="42">
        <v>2.4</v>
      </c>
      <c r="G362" s="6">
        <v>189</v>
      </c>
      <c r="H362" s="6">
        <v>2</v>
      </c>
      <c r="I362" s="6">
        <f t="shared" si="15"/>
        <v>725.7600000000001</v>
      </c>
      <c r="J362" s="7" t="s">
        <v>726</v>
      </c>
      <c r="K362" s="17">
        <f t="shared" si="14"/>
        <v>12</v>
      </c>
    </row>
    <row r="363" spans="1:11" ht="13.95" customHeight="1" x14ac:dyDescent="0.3">
      <c r="A363" s="3">
        <v>46018</v>
      </c>
      <c r="B363" s="48" t="s">
        <v>890</v>
      </c>
      <c r="C363" s="3" t="s">
        <v>13</v>
      </c>
      <c r="D363" s="3" t="s">
        <v>14</v>
      </c>
      <c r="E363" s="4">
        <v>0.85</v>
      </c>
      <c r="F363" s="42">
        <v>2.85</v>
      </c>
      <c r="G363" s="6">
        <v>189</v>
      </c>
      <c r="H363" s="6">
        <v>2</v>
      </c>
      <c r="I363" s="6">
        <f t="shared" si="15"/>
        <v>915.70500000000004</v>
      </c>
      <c r="J363" s="7" t="s">
        <v>777</v>
      </c>
      <c r="K363" s="17">
        <f t="shared" si="14"/>
        <v>12</v>
      </c>
    </row>
    <row r="364" spans="1:11" ht="13.95" customHeight="1" x14ac:dyDescent="0.3">
      <c r="A364" s="3">
        <v>46019</v>
      </c>
      <c r="B364" s="48" t="s">
        <v>890</v>
      </c>
      <c r="C364" s="3" t="s">
        <v>16</v>
      </c>
      <c r="D364" s="3" t="s">
        <v>757</v>
      </c>
      <c r="E364" s="4">
        <v>0.95</v>
      </c>
      <c r="F364" s="42">
        <v>3.35</v>
      </c>
      <c r="G364" s="6">
        <v>189</v>
      </c>
      <c r="H364" s="6">
        <v>2</v>
      </c>
      <c r="I364" s="6">
        <f t="shared" si="15"/>
        <v>1202.9849999999999</v>
      </c>
      <c r="J364" s="7" t="s">
        <v>886</v>
      </c>
      <c r="K364" s="17">
        <f t="shared" si="14"/>
        <v>12</v>
      </c>
    </row>
    <row r="365" spans="1:11" ht="13.95" customHeight="1" x14ac:dyDescent="0.3">
      <c r="A365" s="3">
        <v>46020</v>
      </c>
      <c r="B365" s="48" t="s">
        <v>890</v>
      </c>
      <c r="C365" s="3" t="s">
        <v>18</v>
      </c>
      <c r="D365" s="3" t="s">
        <v>881</v>
      </c>
      <c r="E365" s="4">
        <v>0.82</v>
      </c>
      <c r="F365" s="42">
        <v>2.5</v>
      </c>
      <c r="G365" s="6">
        <v>189</v>
      </c>
      <c r="H365" s="6">
        <v>2</v>
      </c>
      <c r="I365" s="6">
        <f t="shared" si="15"/>
        <v>774.9</v>
      </c>
      <c r="J365" s="7" t="s">
        <v>887</v>
      </c>
      <c r="K365" s="17">
        <f t="shared" si="14"/>
        <v>12</v>
      </c>
    </row>
    <row r="366" spans="1:11" ht="13.95" customHeight="1" x14ac:dyDescent="0.3">
      <c r="A366" s="3">
        <v>46021</v>
      </c>
      <c r="B366" s="48" t="s">
        <v>890</v>
      </c>
      <c r="C366" s="3" t="s">
        <v>20</v>
      </c>
      <c r="D366" s="3" t="s">
        <v>881</v>
      </c>
      <c r="E366" s="4">
        <v>0.88</v>
      </c>
      <c r="F366" s="42">
        <v>2.6</v>
      </c>
      <c r="G366" s="6">
        <v>189</v>
      </c>
      <c r="H366" s="6">
        <v>2</v>
      </c>
      <c r="I366" s="6">
        <f t="shared" si="15"/>
        <v>864.86400000000003</v>
      </c>
      <c r="J366" s="7" t="s">
        <v>888</v>
      </c>
      <c r="K366" s="17">
        <f t="shared" si="14"/>
        <v>12</v>
      </c>
    </row>
    <row r="367" spans="1:11" ht="13.95" customHeight="1" x14ac:dyDescent="0.3">
      <c r="A367" s="3">
        <v>46022</v>
      </c>
      <c r="B367" s="48" t="s">
        <v>890</v>
      </c>
      <c r="C367" s="3" t="s">
        <v>5</v>
      </c>
      <c r="D367" s="3" t="s">
        <v>668</v>
      </c>
      <c r="E367" s="4">
        <v>1</v>
      </c>
      <c r="F367" s="42">
        <v>3.7</v>
      </c>
      <c r="G367" s="6">
        <v>189</v>
      </c>
      <c r="H367" s="6">
        <v>2</v>
      </c>
      <c r="I367" s="6">
        <f t="shared" si="15"/>
        <v>1398.6000000000001</v>
      </c>
      <c r="J367" s="7" t="s">
        <v>889</v>
      </c>
      <c r="K367" s="17">
        <f t="shared" si="14"/>
        <v>12</v>
      </c>
    </row>
    <row r="368" spans="1:11" ht="13.95" customHeight="1" x14ac:dyDescent="0.3">
      <c r="A368" s="3">
        <v>45809</v>
      </c>
      <c r="B368" s="48" t="s">
        <v>890</v>
      </c>
      <c r="C368" s="3" t="s">
        <v>112</v>
      </c>
      <c r="D368" s="3" t="s">
        <v>757</v>
      </c>
      <c r="E368" s="4">
        <v>0.9</v>
      </c>
      <c r="F368" s="42">
        <v>2.8</v>
      </c>
      <c r="G368" s="6">
        <v>189</v>
      </c>
      <c r="H368" s="6">
        <v>2</v>
      </c>
      <c r="I368" s="6">
        <f t="shared" ref="I368:I397" si="16">(G368*E368)*F368*H368</f>
        <v>952.56</v>
      </c>
      <c r="J368" s="7" t="s">
        <v>719</v>
      </c>
      <c r="K368" s="17">
        <f t="shared" ref="K368:K396" si="17">MONTH(A368)</f>
        <v>6</v>
      </c>
    </row>
    <row r="369" spans="1:11" ht="13.95" customHeight="1" x14ac:dyDescent="0.3">
      <c r="A369" s="3">
        <v>45810</v>
      </c>
      <c r="B369" s="48" t="s">
        <v>890</v>
      </c>
      <c r="C369" s="3" t="s">
        <v>114</v>
      </c>
      <c r="D369" s="3" t="s">
        <v>706</v>
      </c>
      <c r="E369" s="4">
        <v>0.8</v>
      </c>
      <c r="F369" s="42">
        <v>2</v>
      </c>
      <c r="G369" s="6">
        <v>189</v>
      </c>
      <c r="H369" s="6">
        <v>2</v>
      </c>
      <c r="I369" s="6">
        <f t="shared" si="16"/>
        <v>604.80000000000007</v>
      </c>
      <c r="J369" s="7" t="s">
        <v>1249</v>
      </c>
      <c r="K369" s="17">
        <f t="shared" si="17"/>
        <v>6</v>
      </c>
    </row>
    <row r="370" spans="1:11" ht="13.95" customHeight="1" x14ac:dyDescent="0.3">
      <c r="A370" s="3">
        <v>45811</v>
      </c>
      <c r="B370" s="48" t="s">
        <v>890</v>
      </c>
      <c r="C370" s="3" t="s">
        <v>116</v>
      </c>
      <c r="D370" s="3" t="s">
        <v>706</v>
      </c>
      <c r="E370" s="4">
        <v>0.85</v>
      </c>
      <c r="F370" s="42">
        <v>2</v>
      </c>
      <c r="G370" s="6">
        <v>189</v>
      </c>
      <c r="H370" s="6">
        <v>2</v>
      </c>
      <c r="I370" s="6">
        <f t="shared" si="16"/>
        <v>642.6</v>
      </c>
      <c r="J370" s="7" t="s">
        <v>1250</v>
      </c>
      <c r="K370" s="17">
        <f t="shared" si="17"/>
        <v>6</v>
      </c>
    </row>
    <row r="371" spans="1:11" ht="13.95" customHeight="1" x14ac:dyDescent="0.3">
      <c r="A371" s="3">
        <v>45812</v>
      </c>
      <c r="B371" s="48" t="s">
        <v>890</v>
      </c>
      <c r="C371" s="3" t="s">
        <v>118</v>
      </c>
      <c r="D371" s="3" t="s">
        <v>706</v>
      </c>
      <c r="E371" s="4">
        <v>0.82</v>
      </c>
      <c r="F371" s="42">
        <v>1.95</v>
      </c>
      <c r="G371" s="6">
        <v>189</v>
      </c>
      <c r="H371" s="6">
        <v>2</v>
      </c>
      <c r="I371" s="6">
        <f t="shared" si="16"/>
        <v>604.42199999999991</v>
      </c>
      <c r="J371" s="7" t="s">
        <v>71</v>
      </c>
      <c r="K371" s="17">
        <f t="shared" si="17"/>
        <v>6</v>
      </c>
    </row>
    <row r="372" spans="1:11" ht="13.95" customHeight="1" x14ac:dyDescent="0.3">
      <c r="A372" s="3">
        <v>45813</v>
      </c>
      <c r="B372" s="48" t="s">
        <v>890</v>
      </c>
      <c r="C372" s="3" t="s">
        <v>120</v>
      </c>
      <c r="D372" s="3" t="s">
        <v>1072</v>
      </c>
      <c r="E372" s="4">
        <v>0.85</v>
      </c>
      <c r="F372" s="42">
        <v>2.2000000000000002</v>
      </c>
      <c r="G372" s="6">
        <v>189</v>
      </c>
      <c r="H372" s="6">
        <v>2</v>
      </c>
      <c r="I372" s="6">
        <f t="shared" si="16"/>
        <v>706.86000000000013</v>
      </c>
      <c r="J372" s="7" t="s">
        <v>572</v>
      </c>
      <c r="K372" s="17">
        <f t="shared" si="17"/>
        <v>6</v>
      </c>
    </row>
    <row r="373" spans="1:11" ht="13.95" customHeight="1" x14ac:dyDescent="0.3">
      <c r="A373" s="3">
        <v>45814</v>
      </c>
      <c r="B373" s="48" t="s">
        <v>890</v>
      </c>
      <c r="C373" s="3" t="s">
        <v>106</v>
      </c>
      <c r="D373" s="3" t="s">
        <v>1142</v>
      </c>
      <c r="E373" s="4">
        <v>0.92</v>
      </c>
      <c r="F373" s="42">
        <v>2.7</v>
      </c>
      <c r="G373" s="6">
        <v>189</v>
      </c>
      <c r="H373" s="6">
        <v>2</v>
      </c>
      <c r="I373" s="6">
        <f t="shared" si="16"/>
        <v>938.952</v>
      </c>
      <c r="J373" s="7" t="s">
        <v>1254</v>
      </c>
      <c r="K373" s="17">
        <f t="shared" si="17"/>
        <v>6</v>
      </c>
    </row>
    <row r="374" spans="1:11" ht="13.95" customHeight="1" x14ac:dyDescent="0.3">
      <c r="A374" s="3">
        <v>45815</v>
      </c>
      <c r="B374" s="48" t="s">
        <v>890</v>
      </c>
      <c r="C374" s="3" t="s">
        <v>109</v>
      </c>
      <c r="D374" s="3" t="s">
        <v>1142</v>
      </c>
      <c r="E374" s="4">
        <v>0.95</v>
      </c>
      <c r="F374" s="42">
        <v>2.6</v>
      </c>
      <c r="G374" s="6">
        <v>189</v>
      </c>
      <c r="H374" s="6">
        <v>2</v>
      </c>
      <c r="I374" s="6">
        <f t="shared" si="16"/>
        <v>933.66</v>
      </c>
      <c r="J374" s="7" t="s">
        <v>1255</v>
      </c>
      <c r="K374" s="17">
        <f t="shared" si="17"/>
        <v>6</v>
      </c>
    </row>
    <row r="375" spans="1:11" ht="13.95" customHeight="1" x14ac:dyDescent="0.3">
      <c r="A375" s="3">
        <v>45816</v>
      </c>
      <c r="B375" s="48" t="s">
        <v>890</v>
      </c>
      <c r="C375" s="3" t="s">
        <v>112</v>
      </c>
      <c r="D375" s="3" t="s">
        <v>14</v>
      </c>
      <c r="E375" s="4">
        <v>0.8</v>
      </c>
      <c r="F375" s="42">
        <v>2.4</v>
      </c>
      <c r="G375" s="6">
        <v>189</v>
      </c>
      <c r="H375" s="6">
        <v>2</v>
      </c>
      <c r="I375" s="6">
        <f t="shared" si="16"/>
        <v>725.7600000000001</v>
      </c>
      <c r="J375" s="7" t="s">
        <v>1145</v>
      </c>
      <c r="K375" s="17">
        <f t="shared" si="17"/>
        <v>6</v>
      </c>
    </row>
    <row r="376" spans="1:11" ht="13.95" customHeight="1" x14ac:dyDescent="0.3">
      <c r="A376" s="3">
        <v>45817</v>
      </c>
      <c r="B376" s="48" t="s">
        <v>890</v>
      </c>
      <c r="C376" s="3" t="s">
        <v>114</v>
      </c>
      <c r="D376" s="3" t="s">
        <v>706</v>
      </c>
      <c r="E376" s="4">
        <v>0.75</v>
      </c>
      <c r="F376" s="42">
        <v>2</v>
      </c>
      <c r="G376" s="6">
        <v>189</v>
      </c>
      <c r="H376" s="6">
        <v>2</v>
      </c>
      <c r="I376" s="6">
        <f t="shared" si="16"/>
        <v>567</v>
      </c>
      <c r="J376" s="7" t="s">
        <v>726</v>
      </c>
      <c r="K376" s="17">
        <f t="shared" si="17"/>
        <v>6</v>
      </c>
    </row>
    <row r="377" spans="1:11" ht="13.95" customHeight="1" x14ac:dyDescent="0.3">
      <c r="A377" s="3">
        <v>45818</v>
      </c>
      <c r="B377" s="48" t="s">
        <v>890</v>
      </c>
      <c r="C377" s="3" t="s">
        <v>116</v>
      </c>
      <c r="D377" s="3" t="s">
        <v>706</v>
      </c>
      <c r="E377" s="4">
        <v>0.8</v>
      </c>
      <c r="F377" s="42">
        <v>2</v>
      </c>
      <c r="G377" s="6">
        <v>189</v>
      </c>
      <c r="H377" s="6">
        <v>2</v>
      </c>
      <c r="I377" s="6">
        <f t="shared" si="16"/>
        <v>604.80000000000007</v>
      </c>
      <c r="J377" s="7" t="s">
        <v>71</v>
      </c>
      <c r="K377" s="17">
        <f t="shared" si="17"/>
        <v>6</v>
      </c>
    </row>
    <row r="378" spans="1:11" ht="13.95" customHeight="1" x14ac:dyDescent="0.3">
      <c r="A378" s="3">
        <v>45819</v>
      </c>
      <c r="B378" s="48" t="s">
        <v>890</v>
      </c>
      <c r="C378" s="3" t="s">
        <v>118</v>
      </c>
      <c r="D378" s="3" t="s">
        <v>706</v>
      </c>
      <c r="E378" s="4">
        <v>0.78</v>
      </c>
      <c r="F378" s="42">
        <v>1.95</v>
      </c>
      <c r="G378" s="6">
        <v>189</v>
      </c>
      <c r="H378" s="6">
        <v>2</v>
      </c>
      <c r="I378" s="6">
        <f t="shared" si="16"/>
        <v>574.9380000000001</v>
      </c>
      <c r="J378" s="7" t="s">
        <v>71</v>
      </c>
      <c r="K378" s="17">
        <f t="shared" si="17"/>
        <v>6</v>
      </c>
    </row>
    <row r="379" spans="1:11" ht="13.95" customHeight="1" x14ac:dyDescent="0.3">
      <c r="A379" s="3">
        <v>45820</v>
      </c>
      <c r="B379" s="48" t="s">
        <v>890</v>
      </c>
      <c r="C379" s="3" t="s">
        <v>120</v>
      </c>
      <c r="D379" s="3" t="s">
        <v>706</v>
      </c>
      <c r="E379" s="4">
        <v>0.82</v>
      </c>
      <c r="F379" s="42">
        <v>2</v>
      </c>
      <c r="G379" s="6">
        <v>189</v>
      </c>
      <c r="H379" s="6">
        <v>2</v>
      </c>
      <c r="I379" s="6">
        <f t="shared" si="16"/>
        <v>619.91999999999996</v>
      </c>
      <c r="J379" s="7" t="s">
        <v>71</v>
      </c>
      <c r="K379" s="17">
        <f t="shared" si="17"/>
        <v>6</v>
      </c>
    </row>
    <row r="380" spans="1:11" ht="13.95" customHeight="1" x14ac:dyDescent="0.3">
      <c r="A380" s="3">
        <v>45821</v>
      </c>
      <c r="B380" s="48" t="s">
        <v>890</v>
      </c>
      <c r="C380" s="3" t="s">
        <v>106</v>
      </c>
      <c r="D380" s="3" t="s">
        <v>44</v>
      </c>
      <c r="E380" s="4">
        <v>0.85</v>
      </c>
      <c r="F380" s="42">
        <v>2.2000000000000002</v>
      </c>
      <c r="G380" s="6">
        <v>189</v>
      </c>
      <c r="H380" s="6">
        <v>2</v>
      </c>
      <c r="I380" s="6">
        <f t="shared" si="16"/>
        <v>706.86000000000013</v>
      </c>
      <c r="J380" s="7" t="s">
        <v>716</v>
      </c>
      <c r="K380" s="17">
        <f t="shared" si="17"/>
        <v>6</v>
      </c>
    </row>
    <row r="381" spans="1:11" ht="13.95" customHeight="1" x14ac:dyDescent="0.3">
      <c r="A381" s="3">
        <v>45822</v>
      </c>
      <c r="B381" s="48" t="s">
        <v>890</v>
      </c>
      <c r="C381" s="3" t="s">
        <v>109</v>
      </c>
      <c r="D381" s="3" t="s">
        <v>1215</v>
      </c>
      <c r="E381" s="4">
        <v>0.9</v>
      </c>
      <c r="F381" s="42">
        <v>2.5</v>
      </c>
      <c r="G381" s="6">
        <v>189</v>
      </c>
      <c r="H381" s="6">
        <v>2</v>
      </c>
      <c r="I381" s="6">
        <f t="shared" si="16"/>
        <v>850.5</v>
      </c>
      <c r="J381" s="7" t="s">
        <v>1251</v>
      </c>
      <c r="K381" s="17">
        <f t="shared" si="17"/>
        <v>6</v>
      </c>
    </row>
    <row r="382" spans="1:11" ht="13.95" customHeight="1" x14ac:dyDescent="0.3">
      <c r="A382" s="3">
        <v>45823</v>
      </c>
      <c r="B382" s="48" t="s">
        <v>890</v>
      </c>
      <c r="C382" s="3" t="s">
        <v>112</v>
      </c>
      <c r="D382" s="3" t="s">
        <v>757</v>
      </c>
      <c r="E382" s="4">
        <v>0.95</v>
      </c>
      <c r="F382" s="42">
        <v>2.85</v>
      </c>
      <c r="G382" s="6">
        <v>189</v>
      </c>
      <c r="H382" s="6">
        <v>2</v>
      </c>
      <c r="I382" s="6">
        <f t="shared" si="16"/>
        <v>1023.4349999999999</v>
      </c>
      <c r="J382" s="7" t="s">
        <v>1256</v>
      </c>
      <c r="K382" s="17">
        <f t="shared" si="17"/>
        <v>6</v>
      </c>
    </row>
    <row r="383" spans="1:11" ht="13.95" customHeight="1" x14ac:dyDescent="0.3">
      <c r="A383" s="3">
        <v>45824</v>
      </c>
      <c r="B383" s="48" t="s">
        <v>890</v>
      </c>
      <c r="C383" s="3" t="s">
        <v>114</v>
      </c>
      <c r="D383" s="3" t="s">
        <v>706</v>
      </c>
      <c r="E383" s="4">
        <v>0.8</v>
      </c>
      <c r="F383" s="42">
        <v>2</v>
      </c>
      <c r="G383" s="6">
        <v>189</v>
      </c>
      <c r="H383" s="6">
        <v>2</v>
      </c>
      <c r="I383" s="6">
        <f t="shared" si="16"/>
        <v>604.80000000000007</v>
      </c>
      <c r="J383" s="7" t="s">
        <v>286</v>
      </c>
      <c r="K383" s="17">
        <f t="shared" si="17"/>
        <v>6</v>
      </c>
    </row>
    <row r="384" spans="1:11" ht="13.95" customHeight="1" x14ac:dyDescent="0.3">
      <c r="A384" s="3">
        <v>45825</v>
      </c>
      <c r="B384" s="48" t="s">
        <v>890</v>
      </c>
      <c r="C384" s="3" t="s">
        <v>116</v>
      </c>
      <c r="D384" s="3" t="s">
        <v>706</v>
      </c>
      <c r="E384" s="4">
        <v>0.82</v>
      </c>
      <c r="F384" s="42">
        <v>2</v>
      </c>
      <c r="G384" s="6">
        <v>189</v>
      </c>
      <c r="H384" s="6">
        <v>2</v>
      </c>
      <c r="I384" s="6">
        <f t="shared" si="16"/>
        <v>619.91999999999996</v>
      </c>
      <c r="J384" s="7" t="s">
        <v>71</v>
      </c>
      <c r="K384" s="17">
        <f t="shared" si="17"/>
        <v>6</v>
      </c>
    </row>
    <row r="385" spans="1:12" ht="13.95" customHeight="1" x14ac:dyDescent="0.3">
      <c r="A385" s="3">
        <v>45826</v>
      </c>
      <c r="B385" s="48" t="s">
        <v>890</v>
      </c>
      <c r="C385" s="3" t="s">
        <v>118</v>
      </c>
      <c r="D385" s="3" t="s">
        <v>706</v>
      </c>
      <c r="E385" s="4">
        <v>0.8</v>
      </c>
      <c r="F385" s="42">
        <v>1.95</v>
      </c>
      <c r="G385" s="6">
        <v>189</v>
      </c>
      <c r="H385" s="6">
        <v>2</v>
      </c>
      <c r="I385" s="6">
        <f t="shared" si="16"/>
        <v>589.68000000000006</v>
      </c>
      <c r="J385" s="7" t="s">
        <v>71</v>
      </c>
      <c r="K385" s="17">
        <f t="shared" si="17"/>
        <v>6</v>
      </c>
    </row>
    <row r="386" spans="1:12" ht="13.95" customHeight="1" x14ac:dyDescent="0.3">
      <c r="A386" s="3">
        <v>45827</v>
      </c>
      <c r="B386" s="48" t="s">
        <v>890</v>
      </c>
      <c r="C386" s="3" t="s">
        <v>120</v>
      </c>
      <c r="D386" s="3" t="s">
        <v>706</v>
      </c>
      <c r="E386" s="4">
        <v>0.78</v>
      </c>
      <c r="F386" s="42">
        <v>1.95</v>
      </c>
      <c r="G386" s="6">
        <v>189</v>
      </c>
      <c r="H386" s="6">
        <v>2</v>
      </c>
      <c r="I386" s="6">
        <f t="shared" si="16"/>
        <v>574.9380000000001</v>
      </c>
      <c r="J386" s="7" t="s">
        <v>71</v>
      </c>
      <c r="K386" s="17">
        <f t="shared" si="17"/>
        <v>6</v>
      </c>
    </row>
    <row r="387" spans="1:12" ht="13.95" customHeight="1" x14ac:dyDescent="0.3">
      <c r="A387" s="3">
        <v>45828</v>
      </c>
      <c r="B387" s="48" t="s">
        <v>890</v>
      </c>
      <c r="C387" s="3" t="s">
        <v>106</v>
      </c>
      <c r="D387" s="3" t="s">
        <v>44</v>
      </c>
      <c r="E387" s="4">
        <v>0.82</v>
      </c>
      <c r="F387" s="42">
        <v>2.2000000000000002</v>
      </c>
      <c r="G387" s="6">
        <v>189</v>
      </c>
      <c r="H387" s="6">
        <v>2</v>
      </c>
      <c r="I387" s="6">
        <f t="shared" si="16"/>
        <v>681.91200000000003</v>
      </c>
      <c r="J387" s="7" t="s">
        <v>97</v>
      </c>
      <c r="K387" s="17">
        <f t="shared" si="17"/>
        <v>6</v>
      </c>
    </row>
    <row r="388" spans="1:12" ht="13.95" customHeight="1" x14ac:dyDescent="0.3">
      <c r="A388" s="3">
        <v>45829</v>
      </c>
      <c r="B388" s="48" t="s">
        <v>890</v>
      </c>
      <c r="C388" s="3" t="s">
        <v>109</v>
      </c>
      <c r="D388" s="3" t="s">
        <v>1215</v>
      </c>
      <c r="E388" s="4">
        <v>0.92</v>
      </c>
      <c r="F388" s="42">
        <v>2.6</v>
      </c>
      <c r="G388" s="6">
        <v>189</v>
      </c>
      <c r="H388" s="6">
        <v>2</v>
      </c>
      <c r="I388" s="6">
        <f t="shared" si="16"/>
        <v>904.17600000000004</v>
      </c>
      <c r="J388" s="7" t="s">
        <v>1252</v>
      </c>
      <c r="K388" s="17">
        <f t="shared" si="17"/>
        <v>6</v>
      </c>
    </row>
    <row r="389" spans="1:12" ht="13.95" customHeight="1" x14ac:dyDescent="0.3">
      <c r="A389" s="3">
        <v>45830</v>
      </c>
      <c r="B389" s="48" t="s">
        <v>890</v>
      </c>
      <c r="C389" s="3" t="s">
        <v>112</v>
      </c>
      <c r="D389" s="3" t="s">
        <v>757</v>
      </c>
      <c r="E389" s="4">
        <v>0.95</v>
      </c>
      <c r="F389" s="42">
        <v>2.8</v>
      </c>
      <c r="G389" s="6">
        <v>189</v>
      </c>
      <c r="H389" s="6">
        <v>2</v>
      </c>
      <c r="I389" s="6">
        <f t="shared" si="16"/>
        <v>1005.4799999999998</v>
      </c>
      <c r="J389" s="7" t="s">
        <v>238</v>
      </c>
      <c r="K389" s="17">
        <f t="shared" si="17"/>
        <v>6</v>
      </c>
    </row>
    <row r="390" spans="1:12" ht="13.95" customHeight="1" x14ac:dyDescent="0.3">
      <c r="A390" s="3">
        <v>45831</v>
      </c>
      <c r="B390" s="48" t="s">
        <v>890</v>
      </c>
      <c r="C390" s="3" t="s">
        <v>114</v>
      </c>
      <c r="D390" s="3" t="s">
        <v>706</v>
      </c>
      <c r="E390" s="4">
        <v>0.75</v>
      </c>
      <c r="F390" s="42">
        <v>2</v>
      </c>
      <c r="G390" s="6">
        <v>189</v>
      </c>
      <c r="H390" s="6">
        <v>2</v>
      </c>
      <c r="I390" s="6">
        <f t="shared" si="16"/>
        <v>567</v>
      </c>
      <c r="J390" s="7" t="s">
        <v>71</v>
      </c>
      <c r="K390" s="17">
        <f t="shared" si="17"/>
        <v>6</v>
      </c>
    </row>
    <row r="391" spans="1:12" ht="13.95" customHeight="1" x14ac:dyDescent="0.3">
      <c r="A391" s="3">
        <v>45832</v>
      </c>
      <c r="B391" s="48" t="s">
        <v>890</v>
      </c>
      <c r="C391" s="3" t="s">
        <v>116</v>
      </c>
      <c r="D391" s="3" t="s">
        <v>706</v>
      </c>
      <c r="E391" s="4">
        <v>0.78</v>
      </c>
      <c r="F391" s="42">
        <v>2</v>
      </c>
      <c r="G391" s="6">
        <v>189</v>
      </c>
      <c r="H391" s="6">
        <v>2</v>
      </c>
      <c r="I391" s="6">
        <f t="shared" si="16"/>
        <v>589.68000000000006</v>
      </c>
      <c r="J391" s="7" t="s">
        <v>71</v>
      </c>
      <c r="K391" s="17">
        <f t="shared" si="17"/>
        <v>6</v>
      </c>
    </row>
    <row r="392" spans="1:12" ht="13.95" customHeight="1" x14ac:dyDescent="0.3">
      <c r="A392" s="3">
        <v>45833</v>
      </c>
      <c r="B392" s="48" t="s">
        <v>890</v>
      </c>
      <c r="C392" s="3" t="s">
        <v>118</v>
      </c>
      <c r="D392" s="3" t="s">
        <v>706</v>
      </c>
      <c r="E392" s="4">
        <v>0.8</v>
      </c>
      <c r="F392" s="42">
        <v>1.95</v>
      </c>
      <c r="G392" s="6">
        <v>189</v>
      </c>
      <c r="H392" s="6">
        <v>2</v>
      </c>
      <c r="I392" s="6">
        <f t="shared" si="16"/>
        <v>589.68000000000006</v>
      </c>
      <c r="J392" s="7" t="s">
        <v>71</v>
      </c>
      <c r="K392" s="17">
        <f t="shared" si="17"/>
        <v>6</v>
      </c>
    </row>
    <row r="393" spans="1:12" ht="13.95" customHeight="1" x14ac:dyDescent="0.3">
      <c r="A393" s="3">
        <v>45834</v>
      </c>
      <c r="B393" s="48" t="s">
        <v>890</v>
      </c>
      <c r="C393" s="3" t="s">
        <v>120</v>
      </c>
      <c r="D393" s="3" t="s">
        <v>706</v>
      </c>
      <c r="E393" s="4">
        <v>0.75</v>
      </c>
      <c r="F393" s="42">
        <v>1.95</v>
      </c>
      <c r="G393" s="6">
        <v>189</v>
      </c>
      <c r="H393" s="6">
        <v>2</v>
      </c>
      <c r="I393" s="6">
        <f t="shared" si="16"/>
        <v>552.82499999999993</v>
      </c>
      <c r="J393" s="7" t="s">
        <v>71</v>
      </c>
      <c r="K393" s="17">
        <f t="shared" si="17"/>
        <v>6</v>
      </c>
    </row>
    <row r="394" spans="1:12" ht="13.95" customHeight="1" x14ac:dyDescent="0.3">
      <c r="A394" s="3">
        <v>45835</v>
      </c>
      <c r="B394" s="48" t="s">
        <v>890</v>
      </c>
      <c r="C394" s="3" t="s">
        <v>106</v>
      </c>
      <c r="D394" s="3" t="s">
        <v>994</v>
      </c>
      <c r="E394" s="4">
        <v>0.85</v>
      </c>
      <c r="F394" s="42">
        <v>2.2999999999999998</v>
      </c>
      <c r="G394" s="6">
        <v>189</v>
      </c>
      <c r="H394" s="6">
        <v>2</v>
      </c>
      <c r="I394" s="6">
        <f t="shared" si="16"/>
        <v>738.99</v>
      </c>
      <c r="J394" s="7" t="s">
        <v>1253</v>
      </c>
      <c r="K394" s="17">
        <f t="shared" si="17"/>
        <v>6</v>
      </c>
    </row>
    <row r="395" spans="1:12" ht="13.95" customHeight="1" x14ac:dyDescent="0.3">
      <c r="A395" s="3">
        <v>45836</v>
      </c>
      <c r="B395" s="48" t="s">
        <v>890</v>
      </c>
      <c r="C395" s="3" t="s">
        <v>109</v>
      </c>
      <c r="D395" s="3" t="s">
        <v>995</v>
      </c>
      <c r="E395" s="4">
        <v>0.88</v>
      </c>
      <c r="F395" s="42">
        <v>2.5</v>
      </c>
      <c r="G395" s="6">
        <v>189</v>
      </c>
      <c r="H395" s="6">
        <v>2</v>
      </c>
      <c r="I395" s="6">
        <f t="shared" si="16"/>
        <v>831.59999999999991</v>
      </c>
      <c r="J395" s="7" t="s">
        <v>1257</v>
      </c>
      <c r="K395" s="17">
        <f t="shared" si="17"/>
        <v>6</v>
      </c>
    </row>
    <row r="396" spans="1:12" ht="13.95" customHeight="1" x14ac:dyDescent="0.3">
      <c r="A396" s="3">
        <v>45837</v>
      </c>
      <c r="B396" s="48" t="s">
        <v>890</v>
      </c>
      <c r="C396" s="3" t="s">
        <v>112</v>
      </c>
      <c r="D396" s="3" t="s">
        <v>757</v>
      </c>
      <c r="E396" s="4">
        <v>0.95</v>
      </c>
      <c r="F396" s="42">
        <v>2.8</v>
      </c>
      <c r="G396" s="6">
        <v>189</v>
      </c>
      <c r="H396" s="6">
        <v>2</v>
      </c>
      <c r="I396" s="6">
        <f t="shared" si="16"/>
        <v>1005.4799999999998</v>
      </c>
      <c r="J396" s="7" t="s">
        <v>63</v>
      </c>
      <c r="K396" s="17">
        <f t="shared" si="17"/>
        <v>6</v>
      </c>
    </row>
    <row r="397" spans="1:12" x14ac:dyDescent="0.3">
      <c r="A397" s="3">
        <v>45838</v>
      </c>
      <c r="B397" s="48" t="s">
        <v>890</v>
      </c>
      <c r="C397" s="3" t="s">
        <v>114</v>
      </c>
      <c r="D397" s="3" t="s">
        <v>706</v>
      </c>
      <c r="E397" s="4">
        <v>0.8</v>
      </c>
      <c r="F397" s="42">
        <v>2</v>
      </c>
      <c r="G397" s="6">
        <v>189</v>
      </c>
      <c r="H397" s="6">
        <v>2</v>
      </c>
      <c r="I397" s="6">
        <f t="shared" si="16"/>
        <v>604.80000000000007</v>
      </c>
      <c r="J397" s="7" t="s">
        <v>998</v>
      </c>
      <c r="K397" s="17"/>
    </row>
    <row r="398" spans="1:12" x14ac:dyDescent="0.3">
      <c r="K398" s="17"/>
      <c r="L398" s="17"/>
    </row>
    <row r="399" spans="1:12" x14ac:dyDescent="0.3">
      <c r="K399" s="17"/>
    </row>
    <row r="400" spans="1:12" x14ac:dyDescent="0.3">
      <c r="K400" s="17"/>
    </row>
    <row r="401" spans="11:11" x14ac:dyDescent="0.3">
      <c r="K401" s="17"/>
    </row>
    <row r="402" spans="11:11" x14ac:dyDescent="0.3">
      <c r="K402" s="17"/>
    </row>
    <row r="403" spans="11:11" x14ac:dyDescent="0.3">
      <c r="K403" s="17"/>
    </row>
    <row r="404" spans="11:11" x14ac:dyDescent="0.3">
      <c r="K404" s="17"/>
    </row>
    <row r="405" spans="11:11" x14ac:dyDescent="0.3">
      <c r="K405" s="17"/>
    </row>
    <row r="406" spans="11:11" x14ac:dyDescent="0.3">
      <c r="K406" s="17"/>
    </row>
    <row r="407" spans="11:11" x14ac:dyDescent="0.3">
      <c r="K407" s="17"/>
    </row>
    <row r="408" spans="11:11" x14ac:dyDescent="0.3">
      <c r="K408" s="17"/>
    </row>
    <row r="409" spans="11:11" x14ac:dyDescent="0.3">
      <c r="K409" s="17"/>
    </row>
    <row r="410" spans="11:11" x14ac:dyDescent="0.3">
      <c r="K410" s="17"/>
    </row>
    <row r="411" spans="11:11" x14ac:dyDescent="0.3">
      <c r="K411" s="17"/>
    </row>
    <row r="412" spans="11:11" x14ac:dyDescent="0.3">
      <c r="K412" s="17"/>
    </row>
    <row r="413" spans="11:11" x14ac:dyDescent="0.3">
      <c r="K413" s="17"/>
    </row>
    <row r="414" spans="11:11" x14ac:dyDescent="0.3">
      <c r="K414" s="17"/>
    </row>
    <row r="415" spans="11:11" x14ac:dyDescent="0.3">
      <c r="K415" s="17"/>
    </row>
    <row r="416" spans="11:11" x14ac:dyDescent="0.3">
      <c r="K416" s="17"/>
    </row>
    <row r="417" spans="11:11" x14ac:dyDescent="0.3">
      <c r="K417" s="17"/>
    </row>
    <row r="418" spans="11:11" x14ac:dyDescent="0.3">
      <c r="K418" s="17"/>
    </row>
    <row r="419" spans="11:11" x14ac:dyDescent="0.3">
      <c r="K419" s="17"/>
    </row>
    <row r="420" spans="11:11" x14ac:dyDescent="0.3">
      <c r="K420" s="17"/>
    </row>
    <row r="421" spans="11:11" x14ac:dyDescent="0.3">
      <c r="K421" s="17"/>
    </row>
    <row r="422" spans="11:11" x14ac:dyDescent="0.3">
      <c r="K422" s="17"/>
    </row>
  </sheetData>
  <mergeCells count="1">
    <mergeCell ref="L2:N2"/>
  </mergeCells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48EB0-1505-4DA9-9243-782293CAF2B7}">
  <dimension ref="A1:K366"/>
  <sheetViews>
    <sheetView workbookViewId="0">
      <selection activeCell="I1" sqref="A1:I1"/>
    </sheetView>
  </sheetViews>
  <sheetFormatPr baseColWidth="10" defaultRowHeight="14.4" x14ac:dyDescent="0.3"/>
  <cols>
    <col min="1" max="1" width="13.109375" bestFit="1" customWidth="1"/>
    <col min="3" max="3" width="17.109375" bestFit="1" customWidth="1"/>
    <col min="9" max="9" width="30.109375" bestFit="1" customWidth="1"/>
  </cols>
  <sheetData>
    <row r="1" spans="1:11" ht="28.2" thickBot="1" x14ac:dyDescent="0.35">
      <c r="A1" s="1" t="s">
        <v>333</v>
      </c>
      <c r="B1" s="34" t="s">
        <v>0</v>
      </c>
      <c r="C1" s="34" t="s">
        <v>1</v>
      </c>
      <c r="D1" s="37" t="s">
        <v>2</v>
      </c>
      <c r="E1" s="43" t="s">
        <v>3</v>
      </c>
      <c r="F1" s="47" t="s">
        <v>359</v>
      </c>
      <c r="G1" s="35" t="s">
        <v>360</v>
      </c>
      <c r="H1" s="47" t="s">
        <v>361</v>
      </c>
      <c r="I1" s="25" t="s">
        <v>4</v>
      </c>
      <c r="J1">
        <v>199</v>
      </c>
      <c r="K1">
        <v>1.3</v>
      </c>
    </row>
    <row r="2" spans="1:11" ht="13.95" customHeight="1" x14ac:dyDescent="0.3">
      <c r="A2" s="3">
        <v>45658</v>
      </c>
      <c r="B2" s="3" t="s">
        <v>5</v>
      </c>
      <c r="C2" s="3" t="s">
        <v>735</v>
      </c>
      <c r="D2" s="4">
        <v>0.8</v>
      </c>
      <c r="E2" s="42">
        <v>3.5</v>
      </c>
      <c r="F2" s="45">
        <v>199</v>
      </c>
      <c r="G2" s="44">
        <v>1.3</v>
      </c>
      <c r="H2" s="21">
        <f t="shared" ref="H2:H4" si="0">(F2*D2)*E2*G2</f>
        <v>724.36000000000013</v>
      </c>
      <c r="I2" s="6" t="s">
        <v>2074</v>
      </c>
      <c r="J2" s="17"/>
    </row>
    <row r="3" spans="1:11" ht="13.95" customHeight="1" x14ac:dyDescent="0.3">
      <c r="A3" s="3">
        <v>45659</v>
      </c>
      <c r="B3" s="3" t="s">
        <v>8</v>
      </c>
      <c r="C3" s="3" t="s">
        <v>706</v>
      </c>
      <c r="D3" s="4">
        <v>0.65</v>
      </c>
      <c r="E3" s="42">
        <v>2.4</v>
      </c>
      <c r="F3" s="45">
        <v>199</v>
      </c>
      <c r="G3" s="44">
        <v>1.3</v>
      </c>
      <c r="H3" s="21">
        <f t="shared" si="0"/>
        <v>403.572</v>
      </c>
      <c r="I3" s="6" t="s">
        <v>413</v>
      </c>
      <c r="J3" s="17"/>
    </row>
    <row r="4" spans="1:11" ht="13.95" customHeight="1" x14ac:dyDescent="0.3">
      <c r="A4" s="3">
        <v>45660</v>
      </c>
      <c r="B4" s="3" t="s">
        <v>11</v>
      </c>
      <c r="C4" s="3" t="s">
        <v>706</v>
      </c>
      <c r="D4" s="4">
        <v>0.7</v>
      </c>
      <c r="E4" s="42">
        <v>2.4</v>
      </c>
      <c r="F4" s="45">
        <v>199</v>
      </c>
      <c r="G4" s="44">
        <v>1.3</v>
      </c>
      <c r="H4" s="21">
        <f t="shared" si="0"/>
        <v>434.61599999999993</v>
      </c>
      <c r="I4" s="6" t="s">
        <v>2075</v>
      </c>
      <c r="J4" s="17"/>
    </row>
    <row r="5" spans="1:11" ht="13.95" customHeight="1" x14ac:dyDescent="0.3">
      <c r="A5" s="3">
        <v>45661</v>
      </c>
      <c r="B5" s="3" t="s">
        <v>13</v>
      </c>
      <c r="C5" s="3" t="s">
        <v>14</v>
      </c>
      <c r="D5" s="4">
        <v>0.55000000000000004</v>
      </c>
      <c r="E5" s="42">
        <v>3.6</v>
      </c>
      <c r="F5" s="45">
        <v>199</v>
      </c>
      <c r="G5" s="44">
        <v>1.3</v>
      </c>
      <c r="H5" s="21">
        <f t="shared" ref="H5:H68" si="1">(F5*D5)*E5*G5</f>
        <v>512.22600000000011</v>
      </c>
      <c r="I5" s="6" t="s">
        <v>2076</v>
      </c>
      <c r="J5" s="17"/>
    </row>
    <row r="6" spans="1:11" ht="13.95" customHeight="1" x14ac:dyDescent="0.3">
      <c r="A6" s="3">
        <v>45662</v>
      </c>
      <c r="B6" s="3" t="s">
        <v>16</v>
      </c>
      <c r="C6" s="3" t="s">
        <v>14</v>
      </c>
      <c r="D6" s="4">
        <v>0.5</v>
      </c>
      <c r="E6" s="42">
        <v>3.1</v>
      </c>
      <c r="F6" s="45">
        <v>199</v>
      </c>
      <c r="G6" s="44">
        <v>1.3</v>
      </c>
      <c r="H6" s="21">
        <f t="shared" si="1"/>
        <v>400.98500000000001</v>
      </c>
      <c r="I6" s="6" t="s">
        <v>2077</v>
      </c>
      <c r="J6" s="17"/>
    </row>
    <row r="7" spans="1:11" ht="13.95" customHeight="1" x14ac:dyDescent="0.3">
      <c r="A7" s="3">
        <v>45663</v>
      </c>
      <c r="B7" s="3" t="s">
        <v>18</v>
      </c>
      <c r="C7" s="3" t="s">
        <v>706</v>
      </c>
      <c r="D7" s="4">
        <v>0.85</v>
      </c>
      <c r="E7" s="42">
        <v>2.4500000000000002</v>
      </c>
      <c r="F7" s="45">
        <v>199</v>
      </c>
      <c r="G7" s="44">
        <v>1.3</v>
      </c>
      <c r="H7" s="21">
        <f t="shared" si="1"/>
        <v>538.74275</v>
      </c>
      <c r="I7" s="6" t="s">
        <v>647</v>
      </c>
      <c r="J7" s="17"/>
    </row>
    <row r="8" spans="1:11" ht="13.95" customHeight="1" x14ac:dyDescent="0.3">
      <c r="A8" s="3">
        <v>45664</v>
      </c>
      <c r="B8" s="3" t="s">
        <v>20</v>
      </c>
      <c r="C8" s="3" t="s">
        <v>706</v>
      </c>
      <c r="D8" s="4">
        <v>0.9</v>
      </c>
      <c r="E8" s="42">
        <v>2.4</v>
      </c>
      <c r="F8" s="45">
        <v>199</v>
      </c>
      <c r="G8" s="44">
        <v>1.3</v>
      </c>
      <c r="H8" s="21">
        <f t="shared" si="1"/>
        <v>558.79200000000003</v>
      </c>
      <c r="I8" s="6" t="s">
        <v>647</v>
      </c>
      <c r="J8" s="17"/>
    </row>
    <row r="9" spans="1:11" ht="13.95" customHeight="1" x14ac:dyDescent="0.3">
      <c r="A9" s="3">
        <v>45665</v>
      </c>
      <c r="B9" s="3" t="s">
        <v>5</v>
      </c>
      <c r="C9" s="3" t="s">
        <v>706</v>
      </c>
      <c r="D9" s="4">
        <v>0.85</v>
      </c>
      <c r="E9" s="42">
        <v>2.4</v>
      </c>
      <c r="F9" s="45">
        <v>199</v>
      </c>
      <c r="G9" s="44">
        <v>1.3</v>
      </c>
      <c r="H9" s="21">
        <f t="shared" si="1"/>
        <v>527.74800000000005</v>
      </c>
      <c r="I9" s="6" t="s">
        <v>583</v>
      </c>
      <c r="J9" s="17"/>
    </row>
    <row r="10" spans="1:11" ht="13.95" customHeight="1" x14ac:dyDescent="0.3">
      <c r="A10" s="3">
        <v>45666</v>
      </c>
      <c r="B10" s="3" t="s">
        <v>8</v>
      </c>
      <c r="C10" s="3" t="s">
        <v>706</v>
      </c>
      <c r="D10" s="4">
        <v>0.8</v>
      </c>
      <c r="E10" s="42">
        <v>2.35</v>
      </c>
      <c r="F10" s="45">
        <v>199</v>
      </c>
      <c r="G10" s="44">
        <v>1.3</v>
      </c>
      <c r="H10" s="21">
        <f t="shared" si="1"/>
        <v>486.35600000000011</v>
      </c>
      <c r="I10" s="6" t="s">
        <v>286</v>
      </c>
      <c r="J10" s="17"/>
    </row>
    <row r="11" spans="1:11" ht="13.95" customHeight="1" x14ac:dyDescent="0.3">
      <c r="A11" s="3">
        <v>45667</v>
      </c>
      <c r="B11" s="3" t="s">
        <v>11</v>
      </c>
      <c r="C11" s="3" t="s">
        <v>706</v>
      </c>
      <c r="D11" s="4">
        <v>0.75</v>
      </c>
      <c r="E11" s="42">
        <v>2.4500000000000002</v>
      </c>
      <c r="F11" s="45">
        <v>199</v>
      </c>
      <c r="G11" s="44">
        <v>1.3</v>
      </c>
      <c r="H11" s="21">
        <f t="shared" si="1"/>
        <v>475.36125000000004</v>
      </c>
      <c r="I11" s="6" t="s">
        <v>2078</v>
      </c>
      <c r="J11" s="17"/>
    </row>
    <row r="12" spans="1:11" ht="13.95" customHeight="1" x14ac:dyDescent="0.3">
      <c r="A12" s="3">
        <v>45668</v>
      </c>
      <c r="B12" s="3" t="s">
        <v>13</v>
      </c>
      <c r="C12" s="3" t="s">
        <v>14</v>
      </c>
      <c r="D12" s="4">
        <v>0.6</v>
      </c>
      <c r="E12" s="42">
        <v>3.7</v>
      </c>
      <c r="F12" s="45">
        <v>199</v>
      </c>
      <c r="G12" s="44">
        <v>1.3</v>
      </c>
      <c r="H12" s="21">
        <f t="shared" si="1"/>
        <v>574.31399999999996</v>
      </c>
      <c r="I12" s="6" t="s">
        <v>1535</v>
      </c>
      <c r="J12" s="17"/>
    </row>
    <row r="13" spans="1:11" ht="13.95" customHeight="1" x14ac:dyDescent="0.3">
      <c r="A13" s="3">
        <v>45669</v>
      </c>
      <c r="B13" s="3" t="s">
        <v>16</v>
      </c>
      <c r="C13" s="3" t="s">
        <v>14</v>
      </c>
      <c r="D13" s="4">
        <v>0.55000000000000004</v>
      </c>
      <c r="E13" s="42">
        <v>3.2</v>
      </c>
      <c r="F13" s="45">
        <v>199</v>
      </c>
      <c r="G13" s="44">
        <v>1.3</v>
      </c>
      <c r="H13" s="21">
        <f t="shared" si="1"/>
        <v>455.31200000000001</v>
      </c>
      <c r="I13" s="6" t="s">
        <v>238</v>
      </c>
      <c r="J13" s="17"/>
    </row>
    <row r="14" spans="1:11" ht="13.95" customHeight="1" x14ac:dyDescent="0.3">
      <c r="A14" s="3">
        <v>45670</v>
      </c>
      <c r="B14" s="3" t="s">
        <v>18</v>
      </c>
      <c r="C14" s="3" t="s">
        <v>706</v>
      </c>
      <c r="D14" s="4">
        <v>0.8</v>
      </c>
      <c r="E14" s="42">
        <v>2.4</v>
      </c>
      <c r="F14" s="45">
        <v>199</v>
      </c>
      <c r="G14" s="44">
        <v>1.3</v>
      </c>
      <c r="H14" s="21">
        <f t="shared" si="1"/>
        <v>496.70400000000006</v>
      </c>
      <c r="I14" s="6" t="s">
        <v>286</v>
      </c>
      <c r="J14" s="17"/>
    </row>
    <row r="15" spans="1:11" ht="13.95" customHeight="1" x14ac:dyDescent="0.3">
      <c r="A15" s="3">
        <v>45671</v>
      </c>
      <c r="B15" s="3" t="s">
        <v>20</v>
      </c>
      <c r="C15" s="3" t="s">
        <v>1269</v>
      </c>
      <c r="D15" s="4">
        <v>0.45</v>
      </c>
      <c r="E15" s="42">
        <v>2.8</v>
      </c>
      <c r="F15" s="45">
        <v>199</v>
      </c>
      <c r="G15" s="44">
        <v>1.3</v>
      </c>
      <c r="H15" s="21">
        <f t="shared" si="1"/>
        <v>325.96199999999999</v>
      </c>
      <c r="I15" s="6" t="s">
        <v>2079</v>
      </c>
      <c r="J15" s="17"/>
    </row>
    <row r="16" spans="1:11" ht="13.95" customHeight="1" x14ac:dyDescent="0.3">
      <c r="A16" s="3">
        <v>45672</v>
      </c>
      <c r="B16" s="3" t="s">
        <v>5</v>
      </c>
      <c r="C16" s="3" t="s">
        <v>706</v>
      </c>
      <c r="D16" s="4">
        <v>0.85</v>
      </c>
      <c r="E16" s="42">
        <v>2.4</v>
      </c>
      <c r="F16" s="45">
        <v>199</v>
      </c>
      <c r="G16" s="44">
        <v>1.3</v>
      </c>
      <c r="H16" s="21">
        <f t="shared" si="1"/>
        <v>527.74800000000005</v>
      </c>
      <c r="I16" s="6" t="s">
        <v>2080</v>
      </c>
      <c r="J16" s="17"/>
    </row>
    <row r="17" spans="1:10" ht="13.95" customHeight="1" x14ac:dyDescent="0.3">
      <c r="A17" s="3">
        <v>45673</v>
      </c>
      <c r="B17" s="3" t="s">
        <v>8</v>
      </c>
      <c r="C17" s="3" t="s">
        <v>706</v>
      </c>
      <c r="D17" s="4">
        <v>0.9</v>
      </c>
      <c r="E17" s="42">
        <v>2.4500000000000002</v>
      </c>
      <c r="F17" s="45">
        <v>199</v>
      </c>
      <c r="G17" s="44">
        <v>1.3</v>
      </c>
      <c r="H17" s="21">
        <f t="shared" si="1"/>
        <v>570.43350000000009</v>
      </c>
      <c r="I17" s="6" t="s">
        <v>286</v>
      </c>
      <c r="J17" s="17"/>
    </row>
    <row r="18" spans="1:10" ht="13.95" customHeight="1" x14ac:dyDescent="0.3">
      <c r="A18" s="3">
        <v>45674</v>
      </c>
      <c r="B18" s="3" t="s">
        <v>11</v>
      </c>
      <c r="C18" s="3" t="s">
        <v>706</v>
      </c>
      <c r="D18" s="4">
        <v>0.85</v>
      </c>
      <c r="E18" s="42">
        <v>2.4500000000000002</v>
      </c>
      <c r="F18" s="45">
        <v>199</v>
      </c>
      <c r="G18" s="44">
        <v>1.3</v>
      </c>
      <c r="H18" s="21">
        <f t="shared" si="1"/>
        <v>538.74275</v>
      </c>
      <c r="I18" s="6" t="s">
        <v>2081</v>
      </c>
      <c r="J18" s="17"/>
    </row>
    <row r="19" spans="1:10" ht="13.95" customHeight="1" x14ac:dyDescent="0.3">
      <c r="A19" s="3">
        <v>45675</v>
      </c>
      <c r="B19" s="3" t="s">
        <v>13</v>
      </c>
      <c r="C19" s="3" t="s">
        <v>14</v>
      </c>
      <c r="D19" s="4">
        <v>0.6</v>
      </c>
      <c r="E19" s="42">
        <v>3.75</v>
      </c>
      <c r="F19" s="45">
        <v>199</v>
      </c>
      <c r="G19" s="44">
        <v>1.3</v>
      </c>
      <c r="H19" s="21">
        <f t="shared" si="1"/>
        <v>582.07499999999993</v>
      </c>
      <c r="I19" s="6" t="s">
        <v>1525</v>
      </c>
      <c r="J19" s="17"/>
    </row>
    <row r="20" spans="1:10" ht="13.95" customHeight="1" x14ac:dyDescent="0.3">
      <c r="A20" s="3">
        <v>45676</v>
      </c>
      <c r="B20" s="3" t="s">
        <v>16</v>
      </c>
      <c r="C20" s="3" t="s">
        <v>14</v>
      </c>
      <c r="D20" s="4">
        <v>0.55000000000000004</v>
      </c>
      <c r="E20" s="42">
        <v>3.25</v>
      </c>
      <c r="F20" s="45">
        <v>199</v>
      </c>
      <c r="G20" s="44">
        <v>1.3</v>
      </c>
      <c r="H20" s="21">
        <f t="shared" si="1"/>
        <v>462.42625000000004</v>
      </c>
      <c r="I20" s="6" t="s">
        <v>238</v>
      </c>
      <c r="J20" s="17"/>
    </row>
    <row r="21" spans="1:10" ht="13.95" customHeight="1" x14ac:dyDescent="0.3">
      <c r="A21" s="3">
        <v>45677</v>
      </c>
      <c r="B21" s="3" t="s">
        <v>18</v>
      </c>
      <c r="C21" s="3" t="s">
        <v>706</v>
      </c>
      <c r="D21" s="4">
        <v>0.85</v>
      </c>
      <c r="E21" s="42">
        <v>2.4</v>
      </c>
      <c r="F21" s="45">
        <v>199</v>
      </c>
      <c r="G21" s="44">
        <v>1.3</v>
      </c>
      <c r="H21" s="21">
        <f t="shared" si="1"/>
        <v>527.74800000000005</v>
      </c>
      <c r="I21" s="6" t="s">
        <v>286</v>
      </c>
      <c r="J21" s="17"/>
    </row>
    <row r="22" spans="1:10" ht="13.95" customHeight="1" x14ac:dyDescent="0.3">
      <c r="A22" s="3">
        <v>45678</v>
      </c>
      <c r="B22" s="3" t="s">
        <v>20</v>
      </c>
      <c r="C22" s="3" t="s">
        <v>706</v>
      </c>
      <c r="D22" s="4">
        <v>0.9</v>
      </c>
      <c r="E22" s="42">
        <v>2.4</v>
      </c>
      <c r="F22" s="45">
        <v>199</v>
      </c>
      <c r="G22" s="44">
        <v>1.3</v>
      </c>
      <c r="H22" s="21">
        <f t="shared" si="1"/>
        <v>558.79200000000003</v>
      </c>
      <c r="I22" s="6" t="s">
        <v>286</v>
      </c>
      <c r="J22" s="17"/>
    </row>
    <row r="23" spans="1:10" ht="13.95" customHeight="1" x14ac:dyDescent="0.3">
      <c r="A23" s="3">
        <v>45679</v>
      </c>
      <c r="B23" s="3" t="s">
        <v>5</v>
      </c>
      <c r="C23" s="3" t="s">
        <v>706</v>
      </c>
      <c r="D23" s="4">
        <v>0.85</v>
      </c>
      <c r="E23" s="42">
        <v>2.4500000000000002</v>
      </c>
      <c r="F23" s="45">
        <v>199</v>
      </c>
      <c r="G23" s="44">
        <v>1.3</v>
      </c>
      <c r="H23" s="21">
        <f t="shared" si="1"/>
        <v>538.74275</v>
      </c>
      <c r="I23" s="6" t="s">
        <v>2082</v>
      </c>
      <c r="J23" s="17"/>
    </row>
    <row r="24" spans="1:10" ht="13.95" customHeight="1" x14ac:dyDescent="0.3">
      <c r="A24" s="3">
        <v>45680</v>
      </c>
      <c r="B24" s="3" t="s">
        <v>8</v>
      </c>
      <c r="C24" s="3" t="s">
        <v>706</v>
      </c>
      <c r="D24" s="4">
        <v>0.85</v>
      </c>
      <c r="E24" s="42">
        <v>2.4</v>
      </c>
      <c r="F24" s="45">
        <v>199</v>
      </c>
      <c r="G24" s="44">
        <v>1.3</v>
      </c>
      <c r="H24" s="21">
        <f t="shared" si="1"/>
        <v>527.74800000000005</v>
      </c>
      <c r="I24" s="6" t="s">
        <v>286</v>
      </c>
      <c r="J24" s="17"/>
    </row>
    <row r="25" spans="1:10" ht="13.95" customHeight="1" x14ac:dyDescent="0.3">
      <c r="A25" s="3">
        <v>45681</v>
      </c>
      <c r="B25" s="3" t="s">
        <v>11</v>
      </c>
      <c r="C25" s="3" t="s">
        <v>706</v>
      </c>
      <c r="D25" s="4">
        <v>0.8</v>
      </c>
      <c r="E25" s="42">
        <v>2.4500000000000002</v>
      </c>
      <c r="F25" s="45">
        <v>199</v>
      </c>
      <c r="G25" s="44">
        <v>1.3</v>
      </c>
      <c r="H25" s="21">
        <f t="shared" si="1"/>
        <v>507.05200000000013</v>
      </c>
      <c r="I25" s="6" t="s">
        <v>286</v>
      </c>
      <c r="J25" s="17"/>
    </row>
    <row r="26" spans="1:10" ht="13.95" customHeight="1" x14ac:dyDescent="0.3">
      <c r="A26" s="3">
        <v>45682</v>
      </c>
      <c r="B26" s="3" t="s">
        <v>13</v>
      </c>
      <c r="C26" s="3" t="s">
        <v>14</v>
      </c>
      <c r="D26" s="4">
        <v>0.65</v>
      </c>
      <c r="E26" s="42">
        <v>3.8</v>
      </c>
      <c r="F26" s="45">
        <v>199</v>
      </c>
      <c r="G26" s="44">
        <v>1.3</v>
      </c>
      <c r="H26" s="21">
        <f t="shared" si="1"/>
        <v>638.98900000000003</v>
      </c>
      <c r="I26" s="6" t="s">
        <v>1525</v>
      </c>
      <c r="J26" s="17"/>
    </row>
    <row r="27" spans="1:10" ht="13.95" customHeight="1" x14ac:dyDescent="0.3">
      <c r="A27" s="3">
        <v>45683</v>
      </c>
      <c r="B27" s="3" t="s">
        <v>16</v>
      </c>
      <c r="C27" s="3" t="s">
        <v>14</v>
      </c>
      <c r="D27" s="4">
        <v>0.6</v>
      </c>
      <c r="E27" s="42">
        <v>3.25</v>
      </c>
      <c r="F27" s="45">
        <v>199</v>
      </c>
      <c r="G27" s="44">
        <v>1.3</v>
      </c>
      <c r="H27" s="21">
        <f t="shared" si="1"/>
        <v>504.46499999999997</v>
      </c>
      <c r="I27" s="6" t="s">
        <v>238</v>
      </c>
      <c r="J27" s="17"/>
    </row>
    <row r="28" spans="1:10" ht="13.95" customHeight="1" x14ac:dyDescent="0.3">
      <c r="A28" s="3">
        <v>45684</v>
      </c>
      <c r="B28" s="3" t="s">
        <v>18</v>
      </c>
      <c r="C28" s="3" t="s">
        <v>706</v>
      </c>
      <c r="D28" s="4">
        <v>0.85</v>
      </c>
      <c r="E28" s="42">
        <v>2.4</v>
      </c>
      <c r="F28" s="45">
        <v>199</v>
      </c>
      <c r="G28" s="44">
        <v>1.3</v>
      </c>
      <c r="H28" s="21">
        <f t="shared" si="1"/>
        <v>527.74800000000005</v>
      </c>
      <c r="I28" s="6" t="s">
        <v>286</v>
      </c>
      <c r="J28" s="17"/>
    </row>
    <row r="29" spans="1:10" ht="13.95" customHeight="1" x14ac:dyDescent="0.3">
      <c r="A29" s="3">
        <v>45685</v>
      </c>
      <c r="B29" s="3" t="s">
        <v>20</v>
      </c>
      <c r="C29" s="3" t="s">
        <v>706</v>
      </c>
      <c r="D29" s="4">
        <v>0.95</v>
      </c>
      <c r="E29" s="42">
        <v>2.4500000000000002</v>
      </c>
      <c r="F29" s="45">
        <v>199</v>
      </c>
      <c r="G29" s="44">
        <v>1.3</v>
      </c>
      <c r="H29" s="21">
        <f t="shared" si="1"/>
        <v>602.12425000000007</v>
      </c>
      <c r="I29" s="6" t="s">
        <v>1966</v>
      </c>
      <c r="J29" s="17"/>
    </row>
    <row r="30" spans="1:10" ht="13.95" customHeight="1" x14ac:dyDescent="0.3">
      <c r="A30" s="3">
        <v>45686</v>
      </c>
      <c r="B30" s="3" t="s">
        <v>5</v>
      </c>
      <c r="C30" s="3" t="s">
        <v>706</v>
      </c>
      <c r="D30" s="4">
        <v>0.9</v>
      </c>
      <c r="E30" s="42">
        <v>2.4500000000000002</v>
      </c>
      <c r="F30" s="45">
        <v>199</v>
      </c>
      <c r="G30" s="44">
        <v>1.3</v>
      </c>
      <c r="H30" s="21">
        <f t="shared" si="1"/>
        <v>570.43350000000009</v>
      </c>
      <c r="I30" s="6" t="s">
        <v>286</v>
      </c>
      <c r="J30" s="17"/>
    </row>
    <row r="31" spans="1:10" ht="13.95" customHeight="1" x14ac:dyDescent="0.3">
      <c r="A31" s="3">
        <v>45687</v>
      </c>
      <c r="B31" s="3" t="s">
        <v>8</v>
      </c>
      <c r="C31" s="3" t="s">
        <v>706</v>
      </c>
      <c r="D31" s="4">
        <v>0.85</v>
      </c>
      <c r="E31" s="42">
        <v>2.4</v>
      </c>
      <c r="F31" s="45">
        <v>199</v>
      </c>
      <c r="G31" s="44">
        <v>1.3</v>
      </c>
      <c r="H31" s="21">
        <f t="shared" si="1"/>
        <v>527.74800000000005</v>
      </c>
      <c r="I31" s="6" t="s">
        <v>286</v>
      </c>
      <c r="J31" s="17"/>
    </row>
    <row r="32" spans="1:10" ht="13.95" customHeight="1" x14ac:dyDescent="0.3">
      <c r="A32" s="3">
        <v>45688</v>
      </c>
      <c r="B32" s="3" t="s">
        <v>11</v>
      </c>
      <c r="C32" s="3" t="s">
        <v>706</v>
      </c>
      <c r="D32" s="4">
        <v>0.8</v>
      </c>
      <c r="E32" s="42">
        <v>2.5</v>
      </c>
      <c r="F32" s="45">
        <v>199</v>
      </c>
      <c r="G32" s="44">
        <v>1.3</v>
      </c>
      <c r="H32" s="21">
        <f t="shared" si="1"/>
        <v>517.40000000000009</v>
      </c>
      <c r="I32" s="6" t="s">
        <v>99</v>
      </c>
      <c r="J32" s="17"/>
    </row>
    <row r="33" spans="1:10" ht="13.95" customHeight="1" x14ac:dyDescent="0.3">
      <c r="A33" s="3">
        <v>45689</v>
      </c>
      <c r="B33" s="3" t="s">
        <v>13</v>
      </c>
      <c r="C33" s="3" t="s">
        <v>14</v>
      </c>
      <c r="D33" s="4">
        <v>0.65</v>
      </c>
      <c r="E33" s="42">
        <v>3.7</v>
      </c>
      <c r="F33" s="45">
        <v>199</v>
      </c>
      <c r="G33" s="44">
        <v>1.3</v>
      </c>
      <c r="H33" s="21">
        <f t="shared" si="1"/>
        <v>622.1735000000001</v>
      </c>
      <c r="I33" s="6" t="s">
        <v>2083</v>
      </c>
      <c r="J33" s="17"/>
    </row>
    <row r="34" spans="1:10" ht="13.95" customHeight="1" x14ac:dyDescent="0.3">
      <c r="A34" s="3">
        <v>45690</v>
      </c>
      <c r="B34" s="3" t="s">
        <v>16</v>
      </c>
      <c r="C34" s="3" t="s">
        <v>14</v>
      </c>
      <c r="D34" s="4">
        <v>0.6</v>
      </c>
      <c r="E34" s="42">
        <v>3.15</v>
      </c>
      <c r="F34" s="45">
        <v>199</v>
      </c>
      <c r="G34" s="44">
        <v>1.3</v>
      </c>
      <c r="H34" s="21">
        <f t="shared" si="1"/>
        <v>488.94299999999998</v>
      </c>
      <c r="I34" s="6" t="s">
        <v>238</v>
      </c>
      <c r="J34" s="17"/>
    </row>
    <row r="35" spans="1:10" ht="13.95" customHeight="1" x14ac:dyDescent="0.3">
      <c r="A35" s="3">
        <v>45691</v>
      </c>
      <c r="B35" s="3" t="s">
        <v>18</v>
      </c>
      <c r="C35" s="3" t="s">
        <v>706</v>
      </c>
      <c r="D35" s="4">
        <v>0.8</v>
      </c>
      <c r="E35" s="42">
        <v>2.4</v>
      </c>
      <c r="F35" s="45">
        <v>199</v>
      </c>
      <c r="G35" s="44">
        <v>1.3</v>
      </c>
      <c r="H35" s="21">
        <f t="shared" si="1"/>
        <v>496.70400000000006</v>
      </c>
      <c r="I35" s="6" t="s">
        <v>2084</v>
      </c>
      <c r="J35" s="17"/>
    </row>
    <row r="36" spans="1:10" ht="13.95" customHeight="1" x14ac:dyDescent="0.3">
      <c r="A36" s="3">
        <v>45692</v>
      </c>
      <c r="B36" s="3" t="s">
        <v>20</v>
      </c>
      <c r="C36" s="3" t="s">
        <v>706</v>
      </c>
      <c r="D36" s="4">
        <v>0.85</v>
      </c>
      <c r="E36" s="42">
        <v>2.4500000000000002</v>
      </c>
      <c r="F36" s="45">
        <v>199</v>
      </c>
      <c r="G36" s="44">
        <v>1.3</v>
      </c>
      <c r="H36" s="21">
        <f t="shared" si="1"/>
        <v>538.74275</v>
      </c>
      <c r="I36" s="6" t="s">
        <v>2085</v>
      </c>
      <c r="J36" s="17"/>
    </row>
    <row r="37" spans="1:10" ht="13.95" customHeight="1" x14ac:dyDescent="0.3">
      <c r="A37" s="3">
        <v>45693</v>
      </c>
      <c r="B37" s="3" t="s">
        <v>5</v>
      </c>
      <c r="C37" s="3" t="s">
        <v>706</v>
      </c>
      <c r="D37" s="4">
        <v>0.85</v>
      </c>
      <c r="E37" s="42">
        <v>2.4500000000000002</v>
      </c>
      <c r="F37" s="45">
        <v>199</v>
      </c>
      <c r="G37" s="44">
        <v>1.3</v>
      </c>
      <c r="H37" s="21">
        <f t="shared" si="1"/>
        <v>538.74275</v>
      </c>
      <c r="I37" s="6" t="s">
        <v>286</v>
      </c>
      <c r="J37" s="17"/>
    </row>
    <row r="38" spans="1:10" ht="13.95" customHeight="1" x14ac:dyDescent="0.3">
      <c r="A38" s="3">
        <v>45694</v>
      </c>
      <c r="B38" s="3" t="s">
        <v>8</v>
      </c>
      <c r="C38" s="3" t="s">
        <v>706</v>
      </c>
      <c r="D38" s="4">
        <v>0.8</v>
      </c>
      <c r="E38" s="42">
        <v>2.4</v>
      </c>
      <c r="F38" s="45">
        <v>199</v>
      </c>
      <c r="G38" s="44">
        <v>1.3</v>
      </c>
      <c r="H38" s="21">
        <f t="shared" si="1"/>
        <v>496.70400000000006</v>
      </c>
      <c r="I38" s="6" t="s">
        <v>286</v>
      </c>
      <c r="J38" s="17"/>
    </row>
    <row r="39" spans="1:10" ht="13.95" customHeight="1" x14ac:dyDescent="0.3">
      <c r="A39" s="3">
        <v>45695</v>
      </c>
      <c r="B39" s="3" t="s">
        <v>11</v>
      </c>
      <c r="C39" s="3" t="s">
        <v>706</v>
      </c>
      <c r="D39" s="4">
        <v>0.75</v>
      </c>
      <c r="E39" s="42">
        <v>2.5</v>
      </c>
      <c r="F39" s="45">
        <v>199</v>
      </c>
      <c r="G39" s="44">
        <v>1.3</v>
      </c>
      <c r="H39" s="21">
        <f t="shared" si="1"/>
        <v>485.0625</v>
      </c>
      <c r="I39" s="6" t="s">
        <v>2086</v>
      </c>
      <c r="J39" s="17"/>
    </row>
    <row r="40" spans="1:10" ht="13.95" customHeight="1" x14ac:dyDescent="0.3">
      <c r="A40" s="3">
        <v>45696</v>
      </c>
      <c r="B40" s="3" t="s">
        <v>13</v>
      </c>
      <c r="C40" s="3" t="s">
        <v>14</v>
      </c>
      <c r="D40" s="4">
        <v>0.65</v>
      </c>
      <c r="E40" s="42">
        <v>3.75</v>
      </c>
      <c r="F40" s="45">
        <v>199</v>
      </c>
      <c r="G40" s="44">
        <v>1.3</v>
      </c>
      <c r="H40" s="21">
        <f t="shared" si="1"/>
        <v>630.58125000000007</v>
      </c>
      <c r="I40" s="6" t="s">
        <v>2087</v>
      </c>
      <c r="J40" s="17"/>
    </row>
    <row r="41" spans="1:10" ht="13.95" customHeight="1" x14ac:dyDescent="0.3">
      <c r="A41" s="3">
        <v>45697</v>
      </c>
      <c r="B41" s="3" t="s">
        <v>16</v>
      </c>
      <c r="C41" s="3" t="s">
        <v>14</v>
      </c>
      <c r="D41" s="4">
        <v>0.55000000000000004</v>
      </c>
      <c r="E41" s="42">
        <v>3.2</v>
      </c>
      <c r="F41" s="45">
        <v>199</v>
      </c>
      <c r="G41" s="44">
        <v>1.3</v>
      </c>
      <c r="H41" s="21">
        <f t="shared" si="1"/>
        <v>455.31200000000001</v>
      </c>
      <c r="I41" s="6" t="s">
        <v>238</v>
      </c>
      <c r="J41" s="17"/>
    </row>
    <row r="42" spans="1:10" ht="13.95" customHeight="1" x14ac:dyDescent="0.3">
      <c r="A42" s="3">
        <v>45698</v>
      </c>
      <c r="B42" s="3" t="s">
        <v>18</v>
      </c>
      <c r="C42" s="3" t="s">
        <v>706</v>
      </c>
      <c r="D42" s="4">
        <v>0.8</v>
      </c>
      <c r="E42" s="42">
        <v>2.4</v>
      </c>
      <c r="F42" s="45">
        <v>199</v>
      </c>
      <c r="G42" s="44">
        <v>1.3</v>
      </c>
      <c r="H42" s="21">
        <f t="shared" si="1"/>
        <v>496.70400000000006</v>
      </c>
      <c r="I42" s="6" t="s">
        <v>811</v>
      </c>
      <c r="J42" s="17"/>
    </row>
    <row r="43" spans="1:10" ht="13.95" customHeight="1" x14ac:dyDescent="0.3">
      <c r="A43" s="3">
        <v>45699</v>
      </c>
      <c r="B43" s="3" t="s">
        <v>20</v>
      </c>
      <c r="C43" s="3" t="s">
        <v>706</v>
      </c>
      <c r="D43" s="4">
        <v>0.9</v>
      </c>
      <c r="E43" s="42">
        <v>2.4</v>
      </c>
      <c r="F43" s="45">
        <v>199</v>
      </c>
      <c r="G43" s="44">
        <v>1.3</v>
      </c>
      <c r="H43" s="21">
        <f t="shared" si="1"/>
        <v>558.79200000000003</v>
      </c>
      <c r="I43" s="6" t="s">
        <v>1814</v>
      </c>
      <c r="J43" s="17"/>
    </row>
    <row r="44" spans="1:10" ht="13.95" customHeight="1" x14ac:dyDescent="0.3">
      <c r="A44" s="3">
        <v>45700</v>
      </c>
      <c r="B44" s="3" t="s">
        <v>5</v>
      </c>
      <c r="C44" s="3" t="s">
        <v>706</v>
      </c>
      <c r="D44" s="4">
        <v>0.85</v>
      </c>
      <c r="E44" s="42">
        <v>2.4500000000000002</v>
      </c>
      <c r="F44" s="45">
        <v>199</v>
      </c>
      <c r="G44" s="44">
        <v>1.3</v>
      </c>
      <c r="H44" s="21">
        <f t="shared" si="1"/>
        <v>538.74275</v>
      </c>
      <c r="I44" s="6" t="s">
        <v>286</v>
      </c>
      <c r="J44" s="17"/>
    </row>
    <row r="45" spans="1:10" ht="13.95" customHeight="1" x14ac:dyDescent="0.3">
      <c r="A45" s="3">
        <v>45701</v>
      </c>
      <c r="B45" s="3" t="s">
        <v>8</v>
      </c>
      <c r="C45" s="3" t="s">
        <v>2021</v>
      </c>
      <c r="D45" s="4">
        <v>0.8</v>
      </c>
      <c r="E45" s="42">
        <v>2.6</v>
      </c>
      <c r="F45" s="45">
        <v>199</v>
      </c>
      <c r="G45" s="44">
        <v>1.3</v>
      </c>
      <c r="H45" s="21">
        <f t="shared" si="1"/>
        <v>538.09600000000012</v>
      </c>
      <c r="I45" s="6" t="s">
        <v>2088</v>
      </c>
      <c r="J45" s="17"/>
    </row>
    <row r="46" spans="1:10" ht="13.95" customHeight="1" x14ac:dyDescent="0.3">
      <c r="A46" s="3">
        <v>45702</v>
      </c>
      <c r="B46" s="3" t="s">
        <v>11</v>
      </c>
      <c r="C46" s="3" t="s">
        <v>1939</v>
      </c>
      <c r="D46" s="4">
        <v>0.95</v>
      </c>
      <c r="E46" s="42">
        <v>3.9</v>
      </c>
      <c r="F46" s="45">
        <v>199</v>
      </c>
      <c r="G46" s="44">
        <v>1.3</v>
      </c>
      <c r="H46" s="21">
        <f t="shared" si="1"/>
        <v>958.48349999999994</v>
      </c>
      <c r="I46" s="6" t="s">
        <v>2089</v>
      </c>
      <c r="J46" s="17"/>
    </row>
    <row r="47" spans="1:10" ht="13.95" customHeight="1" x14ac:dyDescent="0.3">
      <c r="A47" s="3">
        <v>45703</v>
      </c>
      <c r="B47" s="3" t="s">
        <v>13</v>
      </c>
      <c r="C47" s="3" t="s">
        <v>14</v>
      </c>
      <c r="D47" s="4">
        <v>0.8</v>
      </c>
      <c r="E47" s="42">
        <v>3.8</v>
      </c>
      <c r="F47" s="45">
        <v>199</v>
      </c>
      <c r="G47" s="44">
        <v>1.3</v>
      </c>
      <c r="H47" s="21">
        <f t="shared" si="1"/>
        <v>786.44800000000009</v>
      </c>
      <c r="I47" s="6" t="s">
        <v>2090</v>
      </c>
      <c r="J47" s="17"/>
    </row>
    <row r="48" spans="1:10" ht="13.95" customHeight="1" x14ac:dyDescent="0.3">
      <c r="A48" s="3">
        <v>45704</v>
      </c>
      <c r="B48" s="3" t="s">
        <v>16</v>
      </c>
      <c r="C48" s="3" t="s">
        <v>14</v>
      </c>
      <c r="D48" s="4">
        <v>0.65</v>
      </c>
      <c r="E48" s="42">
        <v>3.3</v>
      </c>
      <c r="F48" s="45">
        <v>199</v>
      </c>
      <c r="G48" s="44">
        <v>1.3</v>
      </c>
      <c r="H48" s="21">
        <f t="shared" si="1"/>
        <v>554.91149999999993</v>
      </c>
      <c r="I48" s="6" t="s">
        <v>2091</v>
      </c>
      <c r="J48" s="17"/>
    </row>
    <row r="49" spans="1:10" ht="13.95" customHeight="1" x14ac:dyDescent="0.3">
      <c r="A49" s="3">
        <v>45705</v>
      </c>
      <c r="B49" s="3" t="s">
        <v>18</v>
      </c>
      <c r="C49" s="3" t="s">
        <v>706</v>
      </c>
      <c r="D49" s="4">
        <v>0.85</v>
      </c>
      <c r="E49" s="42">
        <v>2.4</v>
      </c>
      <c r="F49" s="45">
        <v>199</v>
      </c>
      <c r="G49" s="44">
        <v>1.3</v>
      </c>
      <c r="H49" s="21">
        <f t="shared" si="1"/>
        <v>527.74800000000005</v>
      </c>
      <c r="I49" s="6" t="s">
        <v>286</v>
      </c>
      <c r="J49" s="17"/>
    </row>
    <row r="50" spans="1:10" ht="13.95" customHeight="1" x14ac:dyDescent="0.3">
      <c r="A50" s="3">
        <v>45706</v>
      </c>
      <c r="B50" s="3" t="s">
        <v>20</v>
      </c>
      <c r="C50" s="3" t="s">
        <v>706</v>
      </c>
      <c r="D50" s="4">
        <v>0.85</v>
      </c>
      <c r="E50" s="42">
        <v>2.4</v>
      </c>
      <c r="F50" s="45">
        <v>199</v>
      </c>
      <c r="G50" s="44">
        <v>1.3</v>
      </c>
      <c r="H50" s="21">
        <f t="shared" si="1"/>
        <v>527.74800000000005</v>
      </c>
      <c r="I50" s="6" t="s">
        <v>286</v>
      </c>
      <c r="J50" s="17"/>
    </row>
    <row r="51" spans="1:10" ht="13.95" customHeight="1" x14ac:dyDescent="0.3">
      <c r="A51" s="3">
        <v>45707</v>
      </c>
      <c r="B51" s="3" t="s">
        <v>5</v>
      </c>
      <c r="C51" s="3" t="s">
        <v>706</v>
      </c>
      <c r="D51" s="4">
        <v>0.8</v>
      </c>
      <c r="E51" s="42">
        <v>2.4</v>
      </c>
      <c r="F51" s="45">
        <v>199</v>
      </c>
      <c r="G51" s="44">
        <v>1.3</v>
      </c>
      <c r="H51" s="21">
        <f t="shared" si="1"/>
        <v>496.70400000000006</v>
      </c>
      <c r="I51" s="6" t="s">
        <v>286</v>
      </c>
      <c r="J51" s="17"/>
    </row>
    <row r="52" spans="1:10" ht="13.95" customHeight="1" x14ac:dyDescent="0.3">
      <c r="A52" s="3">
        <v>45708</v>
      </c>
      <c r="B52" s="3" t="s">
        <v>8</v>
      </c>
      <c r="C52" s="3" t="s">
        <v>706</v>
      </c>
      <c r="D52" s="4">
        <v>0.8</v>
      </c>
      <c r="E52" s="42">
        <v>2.4500000000000002</v>
      </c>
      <c r="F52" s="45">
        <v>199</v>
      </c>
      <c r="G52" s="44">
        <v>1.3</v>
      </c>
      <c r="H52" s="21">
        <f t="shared" si="1"/>
        <v>507.05200000000013</v>
      </c>
      <c r="I52" s="6" t="s">
        <v>286</v>
      </c>
      <c r="J52" s="17"/>
    </row>
    <row r="53" spans="1:10" ht="13.95" customHeight="1" x14ac:dyDescent="0.3">
      <c r="A53" s="3">
        <v>45709</v>
      </c>
      <c r="B53" s="3" t="s">
        <v>11</v>
      </c>
      <c r="C53" s="3" t="s">
        <v>706</v>
      </c>
      <c r="D53" s="4">
        <v>0.75</v>
      </c>
      <c r="E53" s="42">
        <v>2.5</v>
      </c>
      <c r="F53" s="45">
        <v>199</v>
      </c>
      <c r="G53" s="44">
        <v>1.3</v>
      </c>
      <c r="H53" s="21">
        <f t="shared" si="1"/>
        <v>485.0625</v>
      </c>
      <c r="I53" s="6" t="s">
        <v>2092</v>
      </c>
      <c r="J53" s="17"/>
    </row>
    <row r="54" spans="1:10" ht="13.95" customHeight="1" x14ac:dyDescent="0.3">
      <c r="A54" s="3">
        <v>45710</v>
      </c>
      <c r="B54" s="3" t="s">
        <v>13</v>
      </c>
      <c r="C54" s="3" t="s">
        <v>14</v>
      </c>
      <c r="D54" s="4">
        <v>0.65</v>
      </c>
      <c r="E54" s="42">
        <v>3.7</v>
      </c>
      <c r="F54" s="45">
        <v>199</v>
      </c>
      <c r="G54" s="44">
        <v>1.3</v>
      </c>
      <c r="H54" s="21">
        <f t="shared" si="1"/>
        <v>622.1735000000001</v>
      </c>
      <c r="I54" s="6" t="s">
        <v>1525</v>
      </c>
      <c r="J54" s="17"/>
    </row>
    <row r="55" spans="1:10" ht="13.95" customHeight="1" x14ac:dyDescent="0.3">
      <c r="A55" s="3">
        <v>45711</v>
      </c>
      <c r="B55" s="3" t="s">
        <v>16</v>
      </c>
      <c r="C55" s="3" t="s">
        <v>14</v>
      </c>
      <c r="D55" s="4">
        <v>0.6</v>
      </c>
      <c r="E55" s="42">
        <v>3.15</v>
      </c>
      <c r="F55" s="45">
        <v>199</v>
      </c>
      <c r="G55" s="44">
        <v>1.3</v>
      </c>
      <c r="H55" s="21">
        <f t="shared" si="1"/>
        <v>488.94299999999998</v>
      </c>
      <c r="I55" s="6" t="s">
        <v>238</v>
      </c>
      <c r="J55" s="17"/>
    </row>
    <row r="56" spans="1:10" ht="13.95" customHeight="1" x14ac:dyDescent="0.3">
      <c r="A56" s="3">
        <v>45712</v>
      </c>
      <c r="B56" s="3" t="s">
        <v>18</v>
      </c>
      <c r="C56" s="3" t="s">
        <v>706</v>
      </c>
      <c r="D56" s="4">
        <v>0.85</v>
      </c>
      <c r="E56" s="42">
        <v>2.4</v>
      </c>
      <c r="F56" s="45">
        <v>199</v>
      </c>
      <c r="G56" s="44">
        <v>1.3</v>
      </c>
      <c r="H56" s="21">
        <f t="shared" si="1"/>
        <v>527.74800000000005</v>
      </c>
      <c r="I56" s="6" t="s">
        <v>286</v>
      </c>
      <c r="J56" s="17"/>
    </row>
    <row r="57" spans="1:10" ht="13.95" customHeight="1" x14ac:dyDescent="0.3">
      <c r="A57" s="3">
        <v>45713</v>
      </c>
      <c r="B57" s="3" t="s">
        <v>20</v>
      </c>
      <c r="C57" s="3" t="s">
        <v>706</v>
      </c>
      <c r="D57" s="4">
        <v>0.9</v>
      </c>
      <c r="E57" s="42">
        <v>2.4500000000000002</v>
      </c>
      <c r="F57" s="45">
        <v>199</v>
      </c>
      <c r="G57" s="44">
        <v>1.3</v>
      </c>
      <c r="H57" s="21">
        <f t="shared" si="1"/>
        <v>570.43350000000009</v>
      </c>
      <c r="I57" s="6" t="s">
        <v>2000</v>
      </c>
      <c r="J57" s="17"/>
    </row>
    <row r="58" spans="1:10" ht="13.95" customHeight="1" x14ac:dyDescent="0.3">
      <c r="A58" s="3">
        <v>45714</v>
      </c>
      <c r="B58" s="3" t="s">
        <v>5</v>
      </c>
      <c r="C58" s="3" t="s">
        <v>706</v>
      </c>
      <c r="D58" s="4">
        <v>0.85</v>
      </c>
      <c r="E58" s="42">
        <v>2.4</v>
      </c>
      <c r="F58" s="45">
        <v>199</v>
      </c>
      <c r="G58" s="44">
        <v>1.3</v>
      </c>
      <c r="H58" s="21">
        <f t="shared" si="1"/>
        <v>527.74800000000005</v>
      </c>
      <c r="I58" s="6" t="s">
        <v>286</v>
      </c>
      <c r="J58" s="17"/>
    </row>
    <row r="59" spans="1:10" ht="13.95" customHeight="1" x14ac:dyDescent="0.3">
      <c r="A59" s="3">
        <v>45715</v>
      </c>
      <c r="B59" s="3" t="s">
        <v>8</v>
      </c>
      <c r="C59" s="3" t="s">
        <v>706</v>
      </c>
      <c r="D59" s="4">
        <v>0.85</v>
      </c>
      <c r="E59" s="42">
        <v>2.4</v>
      </c>
      <c r="F59" s="45">
        <v>199</v>
      </c>
      <c r="G59" s="44">
        <v>1.3</v>
      </c>
      <c r="H59" s="21">
        <f t="shared" si="1"/>
        <v>527.74800000000005</v>
      </c>
      <c r="I59" s="6" t="s">
        <v>286</v>
      </c>
      <c r="J59" s="17"/>
    </row>
    <row r="60" spans="1:10" ht="13.95" customHeight="1" x14ac:dyDescent="0.3">
      <c r="A60" s="3">
        <v>45716</v>
      </c>
      <c r="B60" s="3" t="s">
        <v>11</v>
      </c>
      <c r="C60" s="3" t="s">
        <v>1417</v>
      </c>
      <c r="D60" s="4">
        <v>0.7</v>
      </c>
      <c r="E60" s="42">
        <v>2.65</v>
      </c>
      <c r="F60" s="45">
        <v>199</v>
      </c>
      <c r="G60" s="44">
        <v>1.3</v>
      </c>
      <c r="H60" s="21">
        <f t="shared" si="1"/>
        <v>479.88849999999991</v>
      </c>
      <c r="I60" s="6" t="s">
        <v>1944</v>
      </c>
      <c r="J60" s="17"/>
    </row>
    <row r="61" spans="1:10" ht="13.95" customHeight="1" x14ac:dyDescent="0.3">
      <c r="A61" s="3">
        <v>45717</v>
      </c>
      <c r="B61" s="3" t="s">
        <v>13</v>
      </c>
      <c r="C61" s="3" t="s">
        <v>708</v>
      </c>
      <c r="D61" s="4">
        <v>0.55000000000000004</v>
      </c>
      <c r="E61" s="42">
        <v>3.1</v>
      </c>
      <c r="F61" s="45">
        <v>199</v>
      </c>
      <c r="G61" s="44">
        <v>1.3</v>
      </c>
      <c r="H61" s="21">
        <f t="shared" si="1"/>
        <v>441.08350000000002</v>
      </c>
      <c r="I61" s="6" t="s">
        <v>1751</v>
      </c>
      <c r="J61" s="17"/>
    </row>
    <row r="62" spans="1:10" ht="13.95" customHeight="1" x14ac:dyDescent="0.3">
      <c r="A62" s="3">
        <v>45718</v>
      </c>
      <c r="B62" s="3" t="s">
        <v>16</v>
      </c>
      <c r="C62" s="3" t="s">
        <v>76</v>
      </c>
      <c r="D62" s="4">
        <v>0.45</v>
      </c>
      <c r="E62" s="42">
        <v>2.8</v>
      </c>
      <c r="F62" s="45">
        <v>199</v>
      </c>
      <c r="G62" s="44">
        <v>1.3</v>
      </c>
      <c r="H62" s="21">
        <f t="shared" si="1"/>
        <v>325.96199999999999</v>
      </c>
      <c r="I62" s="6" t="s">
        <v>2093</v>
      </c>
      <c r="J62" s="17"/>
    </row>
    <row r="63" spans="1:10" ht="13.95" customHeight="1" x14ac:dyDescent="0.3">
      <c r="A63" s="3">
        <v>45719</v>
      </c>
      <c r="B63" s="3" t="s">
        <v>18</v>
      </c>
      <c r="C63" s="3" t="s">
        <v>759</v>
      </c>
      <c r="D63" s="4">
        <v>0.65</v>
      </c>
      <c r="E63" s="42">
        <v>2.15</v>
      </c>
      <c r="F63" s="45">
        <v>199</v>
      </c>
      <c r="G63" s="44">
        <v>1.3</v>
      </c>
      <c r="H63" s="21">
        <f t="shared" si="1"/>
        <v>361.53324999999995</v>
      </c>
      <c r="I63" s="6" t="s">
        <v>2094</v>
      </c>
      <c r="J63" s="17"/>
    </row>
    <row r="64" spans="1:10" ht="13.95" customHeight="1" x14ac:dyDescent="0.3">
      <c r="A64" s="3">
        <v>45720</v>
      </c>
      <c r="B64" s="3" t="s">
        <v>20</v>
      </c>
      <c r="C64" s="3" t="s">
        <v>759</v>
      </c>
      <c r="D64" s="4">
        <v>0.7</v>
      </c>
      <c r="E64" s="42">
        <v>2.15</v>
      </c>
      <c r="F64" s="45">
        <v>199</v>
      </c>
      <c r="G64" s="44">
        <v>1.3</v>
      </c>
      <c r="H64" s="21">
        <f t="shared" si="1"/>
        <v>389.34349999999995</v>
      </c>
      <c r="I64" s="6" t="s">
        <v>2095</v>
      </c>
      <c r="J64" s="17"/>
    </row>
    <row r="65" spans="1:10" ht="13.95" customHeight="1" x14ac:dyDescent="0.3">
      <c r="A65" s="3">
        <v>45721</v>
      </c>
      <c r="B65" s="3" t="s">
        <v>5</v>
      </c>
      <c r="C65" s="3" t="s">
        <v>759</v>
      </c>
      <c r="D65" s="4">
        <v>0.7</v>
      </c>
      <c r="E65" s="42">
        <v>2.15</v>
      </c>
      <c r="F65" s="45">
        <v>199</v>
      </c>
      <c r="G65" s="44">
        <v>1.3</v>
      </c>
      <c r="H65" s="21">
        <f t="shared" si="1"/>
        <v>389.34349999999995</v>
      </c>
      <c r="I65" s="6" t="s">
        <v>286</v>
      </c>
      <c r="J65" s="17"/>
    </row>
    <row r="66" spans="1:10" ht="13.95" customHeight="1" x14ac:dyDescent="0.3">
      <c r="A66" s="3">
        <v>45722</v>
      </c>
      <c r="B66" s="3" t="s">
        <v>8</v>
      </c>
      <c r="C66" s="3" t="s">
        <v>759</v>
      </c>
      <c r="D66" s="4">
        <v>0.75</v>
      </c>
      <c r="E66" s="42">
        <v>2.25</v>
      </c>
      <c r="F66" s="45">
        <v>199</v>
      </c>
      <c r="G66" s="44">
        <v>1.3</v>
      </c>
      <c r="H66" s="21">
        <f t="shared" si="1"/>
        <v>436.55625000000003</v>
      </c>
      <c r="I66" s="6" t="s">
        <v>2096</v>
      </c>
      <c r="J66" s="17"/>
    </row>
    <row r="67" spans="1:10" ht="13.95" customHeight="1" x14ac:dyDescent="0.3">
      <c r="A67" s="3">
        <v>45723</v>
      </c>
      <c r="B67" s="3" t="s">
        <v>11</v>
      </c>
      <c r="C67" s="3" t="s">
        <v>759</v>
      </c>
      <c r="D67" s="4">
        <v>0.7</v>
      </c>
      <c r="E67" s="42">
        <v>2.4</v>
      </c>
      <c r="F67" s="45">
        <v>199</v>
      </c>
      <c r="G67" s="44">
        <v>1.3</v>
      </c>
      <c r="H67" s="21">
        <f t="shared" si="1"/>
        <v>434.61599999999993</v>
      </c>
      <c r="I67" s="6" t="s">
        <v>2097</v>
      </c>
      <c r="J67" s="17"/>
    </row>
    <row r="68" spans="1:10" ht="13.95" customHeight="1" x14ac:dyDescent="0.3">
      <c r="A68" s="3">
        <v>45724</v>
      </c>
      <c r="B68" s="3" t="s">
        <v>13</v>
      </c>
      <c r="C68" s="3" t="s">
        <v>850</v>
      </c>
      <c r="D68" s="4">
        <v>0.8</v>
      </c>
      <c r="E68" s="42">
        <v>3.6</v>
      </c>
      <c r="F68" s="45">
        <v>199</v>
      </c>
      <c r="G68" s="44">
        <v>1.3</v>
      </c>
      <c r="H68" s="21">
        <f t="shared" si="1"/>
        <v>745.05600000000015</v>
      </c>
      <c r="I68" s="6" t="s">
        <v>1946</v>
      </c>
      <c r="J68" s="17"/>
    </row>
    <row r="69" spans="1:10" ht="13.95" customHeight="1" x14ac:dyDescent="0.3">
      <c r="A69" s="3">
        <v>45725</v>
      </c>
      <c r="B69" s="3" t="s">
        <v>16</v>
      </c>
      <c r="C69" s="3" t="s">
        <v>76</v>
      </c>
      <c r="D69" s="4">
        <v>0.6</v>
      </c>
      <c r="E69" s="42">
        <v>3.1</v>
      </c>
      <c r="F69" s="45">
        <v>199</v>
      </c>
      <c r="G69" s="44">
        <v>1.3</v>
      </c>
      <c r="H69" s="21">
        <f t="shared" ref="H69:H132" si="2">(F69*D69)*E69*G69</f>
        <v>481.18200000000002</v>
      </c>
      <c r="I69" s="6" t="s">
        <v>2098</v>
      </c>
      <c r="J69" s="17"/>
    </row>
    <row r="70" spans="1:10" ht="13.95" customHeight="1" x14ac:dyDescent="0.3">
      <c r="A70" s="3">
        <v>45726</v>
      </c>
      <c r="B70" s="3" t="s">
        <v>18</v>
      </c>
      <c r="C70" s="3" t="s">
        <v>759</v>
      </c>
      <c r="D70" s="4">
        <v>0.65</v>
      </c>
      <c r="E70" s="42">
        <v>2.15</v>
      </c>
      <c r="F70" s="45">
        <v>199</v>
      </c>
      <c r="G70" s="44">
        <v>1.3</v>
      </c>
      <c r="H70" s="21">
        <f t="shared" si="2"/>
        <v>361.53324999999995</v>
      </c>
      <c r="I70" s="6" t="s">
        <v>286</v>
      </c>
      <c r="J70" s="17"/>
    </row>
    <row r="71" spans="1:10" ht="13.95" customHeight="1" x14ac:dyDescent="0.3">
      <c r="A71" s="3">
        <v>45727</v>
      </c>
      <c r="B71" s="3" t="s">
        <v>20</v>
      </c>
      <c r="C71" s="3" t="s">
        <v>759</v>
      </c>
      <c r="D71" s="4">
        <v>0.65</v>
      </c>
      <c r="E71" s="42">
        <v>2.15</v>
      </c>
      <c r="F71" s="45">
        <v>199</v>
      </c>
      <c r="G71" s="44">
        <v>1.3</v>
      </c>
      <c r="H71" s="21">
        <f t="shared" si="2"/>
        <v>361.53324999999995</v>
      </c>
      <c r="I71" s="6" t="s">
        <v>286</v>
      </c>
      <c r="J71" s="17"/>
    </row>
    <row r="72" spans="1:10" ht="13.95" customHeight="1" x14ac:dyDescent="0.3">
      <c r="A72" s="3">
        <v>45728</v>
      </c>
      <c r="B72" s="3" t="s">
        <v>5</v>
      </c>
      <c r="C72" s="3" t="s">
        <v>759</v>
      </c>
      <c r="D72" s="4">
        <v>0.7</v>
      </c>
      <c r="E72" s="42">
        <v>2.2000000000000002</v>
      </c>
      <c r="F72" s="45">
        <v>199</v>
      </c>
      <c r="G72" s="44">
        <v>1.3</v>
      </c>
      <c r="H72" s="21">
        <f t="shared" si="2"/>
        <v>398.39799999999997</v>
      </c>
      <c r="I72" s="6" t="s">
        <v>286</v>
      </c>
      <c r="J72" s="17"/>
    </row>
    <row r="73" spans="1:10" ht="13.95" customHeight="1" x14ac:dyDescent="0.3">
      <c r="A73" s="3">
        <v>45729</v>
      </c>
      <c r="B73" s="3" t="s">
        <v>8</v>
      </c>
      <c r="C73" s="3" t="s">
        <v>903</v>
      </c>
      <c r="D73" s="4">
        <v>0.85</v>
      </c>
      <c r="E73" s="42">
        <v>2.65</v>
      </c>
      <c r="F73" s="45">
        <v>199</v>
      </c>
      <c r="G73" s="44">
        <v>1.3</v>
      </c>
      <c r="H73" s="21">
        <f t="shared" si="2"/>
        <v>582.72175000000004</v>
      </c>
      <c r="I73" s="6" t="s">
        <v>2099</v>
      </c>
      <c r="J73" s="17"/>
    </row>
    <row r="74" spans="1:10" ht="13.95" customHeight="1" x14ac:dyDescent="0.3">
      <c r="A74" s="3">
        <v>45730</v>
      </c>
      <c r="B74" s="3" t="s">
        <v>11</v>
      </c>
      <c r="C74" s="3" t="s">
        <v>903</v>
      </c>
      <c r="D74" s="4">
        <v>0.8</v>
      </c>
      <c r="E74" s="42">
        <v>2.7</v>
      </c>
      <c r="F74" s="45">
        <v>199</v>
      </c>
      <c r="G74" s="44">
        <v>1.3</v>
      </c>
      <c r="H74" s="21">
        <f t="shared" si="2"/>
        <v>558.79200000000014</v>
      </c>
      <c r="I74" s="6" t="s">
        <v>2100</v>
      </c>
      <c r="J74" s="17"/>
    </row>
    <row r="75" spans="1:10" ht="13.95" customHeight="1" x14ac:dyDescent="0.3">
      <c r="A75" s="3">
        <v>45731</v>
      </c>
      <c r="B75" s="3" t="s">
        <v>13</v>
      </c>
      <c r="C75" s="3" t="s">
        <v>14</v>
      </c>
      <c r="D75" s="4">
        <v>0.65</v>
      </c>
      <c r="E75" s="42">
        <v>3.55</v>
      </c>
      <c r="F75" s="45">
        <v>199</v>
      </c>
      <c r="G75" s="44">
        <v>1.3</v>
      </c>
      <c r="H75" s="21">
        <f t="shared" si="2"/>
        <v>596.95024999999998</v>
      </c>
      <c r="I75" s="6" t="s">
        <v>1535</v>
      </c>
      <c r="J75" s="17"/>
    </row>
    <row r="76" spans="1:10" ht="13.95" customHeight="1" x14ac:dyDescent="0.3">
      <c r="A76" s="3">
        <v>45732</v>
      </c>
      <c r="B76" s="3" t="s">
        <v>16</v>
      </c>
      <c r="C76" s="3" t="s">
        <v>76</v>
      </c>
      <c r="D76" s="4">
        <v>0.6</v>
      </c>
      <c r="E76" s="42">
        <v>3.15</v>
      </c>
      <c r="F76" s="45">
        <v>199</v>
      </c>
      <c r="G76" s="44">
        <v>1.3</v>
      </c>
      <c r="H76" s="21">
        <f t="shared" si="2"/>
        <v>488.94299999999998</v>
      </c>
      <c r="I76" s="6" t="s">
        <v>2101</v>
      </c>
      <c r="J76" s="17"/>
    </row>
    <row r="77" spans="1:10" ht="13.95" customHeight="1" x14ac:dyDescent="0.3">
      <c r="A77" s="3">
        <v>45733</v>
      </c>
      <c r="B77" s="3" t="s">
        <v>18</v>
      </c>
      <c r="C77" s="3" t="s">
        <v>759</v>
      </c>
      <c r="D77" s="4">
        <v>0.6</v>
      </c>
      <c r="E77" s="42">
        <v>2.15</v>
      </c>
      <c r="F77" s="45">
        <v>199</v>
      </c>
      <c r="G77" s="44">
        <v>1.3</v>
      </c>
      <c r="H77" s="21">
        <f t="shared" si="2"/>
        <v>333.72300000000001</v>
      </c>
      <c r="I77" s="6" t="s">
        <v>150</v>
      </c>
      <c r="J77" s="17"/>
    </row>
    <row r="78" spans="1:10" ht="13.95" customHeight="1" x14ac:dyDescent="0.3">
      <c r="A78" s="3">
        <v>45734</v>
      </c>
      <c r="B78" s="3" t="s">
        <v>20</v>
      </c>
      <c r="C78" s="3" t="s">
        <v>759</v>
      </c>
      <c r="D78" s="4">
        <v>0.6</v>
      </c>
      <c r="E78" s="42">
        <v>2.15</v>
      </c>
      <c r="F78" s="45">
        <v>199</v>
      </c>
      <c r="G78" s="44">
        <v>1.3</v>
      </c>
      <c r="H78" s="21">
        <f t="shared" si="2"/>
        <v>333.72300000000001</v>
      </c>
      <c r="I78" s="6" t="s">
        <v>150</v>
      </c>
      <c r="J78" s="17"/>
    </row>
    <row r="79" spans="1:10" ht="13.95" customHeight="1" x14ac:dyDescent="0.3">
      <c r="A79" s="3">
        <v>45735</v>
      </c>
      <c r="B79" s="3" t="s">
        <v>5</v>
      </c>
      <c r="C79" s="3" t="s">
        <v>994</v>
      </c>
      <c r="D79" s="4">
        <v>0.75</v>
      </c>
      <c r="E79" s="42">
        <v>2.5</v>
      </c>
      <c r="F79" s="45">
        <v>199</v>
      </c>
      <c r="G79" s="44">
        <v>1.3</v>
      </c>
      <c r="H79" s="21">
        <f t="shared" si="2"/>
        <v>485.0625</v>
      </c>
      <c r="I79" s="6" t="s">
        <v>1305</v>
      </c>
      <c r="J79" s="17"/>
    </row>
    <row r="80" spans="1:10" ht="13.95" customHeight="1" x14ac:dyDescent="0.3">
      <c r="A80" s="3">
        <v>45736</v>
      </c>
      <c r="B80" s="3" t="s">
        <v>8</v>
      </c>
      <c r="C80" s="3" t="s">
        <v>383</v>
      </c>
      <c r="D80" s="4">
        <v>0.85</v>
      </c>
      <c r="E80" s="42">
        <v>3.2</v>
      </c>
      <c r="F80" s="45">
        <v>199</v>
      </c>
      <c r="G80" s="44">
        <v>1.3</v>
      </c>
      <c r="H80" s="21">
        <f t="shared" si="2"/>
        <v>703.6640000000001</v>
      </c>
      <c r="I80" s="6" t="s">
        <v>2102</v>
      </c>
      <c r="J80" s="17"/>
    </row>
    <row r="81" spans="1:10" ht="13.95" customHeight="1" x14ac:dyDescent="0.3">
      <c r="A81" s="3">
        <v>45737</v>
      </c>
      <c r="B81" s="3" t="s">
        <v>11</v>
      </c>
      <c r="C81" s="3" t="s">
        <v>760</v>
      </c>
      <c r="D81" s="4">
        <v>0.8</v>
      </c>
      <c r="E81" s="42">
        <v>2.8</v>
      </c>
      <c r="F81" s="45">
        <v>199</v>
      </c>
      <c r="G81" s="44">
        <v>1.3</v>
      </c>
      <c r="H81" s="21">
        <f t="shared" si="2"/>
        <v>579.48800000000006</v>
      </c>
      <c r="I81" s="6" t="s">
        <v>1463</v>
      </c>
      <c r="J81" s="17"/>
    </row>
    <row r="82" spans="1:10" ht="13.95" customHeight="1" x14ac:dyDescent="0.3">
      <c r="A82" s="3">
        <v>45738</v>
      </c>
      <c r="B82" s="3" t="s">
        <v>13</v>
      </c>
      <c r="C82" s="3" t="s">
        <v>760</v>
      </c>
      <c r="D82" s="4">
        <v>0.9</v>
      </c>
      <c r="E82" s="42">
        <v>3.65</v>
      </c>
      <c r="F82" s="45">
        <v>199</v>
      </c>
      <c r="G82" s="44">
        <v>1.3</v>
      </c>
      <c r="H82" s="21">
        <f t="shared" si="2"/>
        <v>849.82949999999994</v>
      </c>
      <c r="I82" s="6" t="s">
        <v>2103</v>
      </c>
      <c r="J82" s="17"/>
    </row>
    <row r="83" spans="1:10" ht="13.95" customHeight="1" x14ac:dyDescent="0.3">
      <c r="A83" s="3">
        <v>45739</v>
      </c>
      <c r="B83" s="3" t="s">
        <v>16</v>
      </c>
      <c r="C83" s="3" t="s">
        <v>760</v>
      </c>
      <c r="D83" s="4">
        <v>0.75</v>
      </c>
      <c r="E83" s="42">
        <v>3.25</v>
      </c>
      <c r="F83" s="45">
        <v>199</v>
      </c>
      <c r="G83" s="44">
        <v>1.3</v>
      </c>
      <c r="H83" s="21">
        <f t="shared" si="2"/>
        <v>630.58125000000007</v>
      </c>
      <c r="I83" s="6" t="s">
        <v>2029</v>
      </c>
      <c r="J83" s="17"/>
    </row>
    <row r="84" spans="1:10" ht="13.95" customHeight="1" x14ac:dyDescent="0.3">
      <c r="A84" s="3">
        <v>45740</v>
      </c>
      <c r="B84" s="3" t="s">
        <v>18</v>
      </c>
      <c r="C84" s="3" t="s">
        <v>76</v>
      </c>
      <c r="D84" s="4">
        <v>0.65</v>
      </c>
      <c r="E84" s="42">
        <v>2.25</v>
      </c>
      <c r="F84" s="45">
        <v>199</v>
      </c>
      <c r="G84" s="44">
        <v>1.3</v>
      </c>
      <c r="H84" s="21">
        <f t="shared" si="2"/>
        <v>378.34875</v>
      </c>
      <c r="I84" s="6" t="s">
        <v>150</v>
      </c>
      <c r="J84" s="17"/>
    </row>
    <row r="85" spans="1:10" ht="13.95" customHeight="1" x14ac:dyDescent="0.3">
      <c r="A85" s="3">
        <v>45741</v>
      </c>
      <c r="B85" s="3" t="s">
        <v>20</v>
      </c>
      <c r="C85" s="3" t="s">
        <v>76</v>
      </c>
      <c r="D85" s="4">
        <v>0.65</v>
      </c>
      <c r="E85" s="42">
        <v>2.25</v>
      </c>
      <c r="F85" s="45">
        <v>199</v>
      </c>
      <c r="G85" s="44">
        <v>1.3</v>
      </c>
      <c r="H85" s="21">
        <f t="shared" si="2"/>
        <v>378.34875</v>
      </c>
      <c r="I85" s="6" t="s">
        <v>150</v>
      </c>
      <c r="J85" s="17"/>
    </row>
    <row r="86" spans="1:10" ht="13.95" customHeight="1" x14ac:dyDescent="0.3">
      <c r="A86" s="3">
        <v>45742</v>
      </c>
      <c r="B86" s="3" t="s">
        <v>5</v>
      </c>
      <c r="C86" s="3" t="s">
        <v>764</v>
      </c>
      <c r="D86" s="4">
        <v>0.75</v>
      </c>
      <c r="E86" s="42">
        <v>2.4</v>
      </c>
      <c r="F86" s="45">
        <v>199</v>
      </c>
      <c r="G86" s="44">
        <v>1.3</v>
      </c>
      <c r="H86" s="21">
        <f t="shared" si="2"/>
        <v>465.66</v>
      </c>
      <c r="I86" s="6" t="s">
        <v>1440</v>
      </c>
      <c r="J86" s="17"/>
    </row>
    <row r="87" spans="1:10" ht="13.95" customHeight="1" x14ac:dyDescent="0.3">
      <c r="A87" s="3">
        <v>45743</v>
      </c>
      <c r="B87" s="3" t="s">
        <v>8</v>
      </c>
      <c r="C87" s="3" t="s">
        <v>764</v>
      </c>
      <c r="D87" s="4">
        <v>0.8</v>
      </c>
      <c r="E87" s="42">
        <v>2.6</v>
      </c>
      <c r="F87" s="45">
        <v>199</v>
      </c>
      <c r="G87" s="44">
        <v>1.3</v>
      </c>
      <c r="H87" s="21">
        <f t="shared" si="2"/>
        <v>538.09600000000012</v>
      </c>
      <c r="I87" s="6" t="s">
        <v>1665</v>
      </c>
      <c r="J87" s="17"/>
    </row>
    <row r="88" spans="1:10" ht="13.95" customHeight="1" x14ac:dyDescent="0.3">
      <c r="A88" s="3">
        <v>45744</v>
      </c>
      <c r="B88" s="3" t="s">
        <v>11</v>
      </c>
      <c r="C88" s="3" t="s">
        <v>1310</v>
      </c>
      <c r="D88" s="4">
        <v>0.95</v>
      </c>
      <c r="E88" s="42">
        <v>3.8</v>
      </c>
      <c r="F88" s="45">
        <v>199</v>
      </c>
      <c r="G88" s="44">
        <v>1.3</v>
      </c>
      <c r="H88" s="21">
        <f t="shared" si="2"/>
        <v>933.90699999999981</v>
      </c>
      <c r="I88" s="6" t="s">
        <v>2104</v>
      </c>
      <c r="J88" s="17"/>
    </row>
    <row r="89" spans="1:10" ht="13.95" customHeight="1" x14ac:dyDescent="0.3">
      <c r="A89" s="3">
        <v>45745</v>
      </c>
      <c r="B89" s="3" t="s">
        <v>13</v>
      </c>
      <c r="C89" s="3" t="s">
        <v>904</v>
      </c>
      <c r="D89" s="4">
        <v>1</v>
      </c>
      <c r="E89" s="42">
        <v>3.9</v>
      </c>
      <c r="F89" s="45">
        <v>199</v>
      </c>
      <c r="G89" s="44">
        <v>1.3</v>
      </c>
      <c r="H89" s="21">
        <f t="shared" si="2"/>
        <v>1008.9300000000001</v>
      </c>
      <c r="I89" s="6" t="s">
        <v>1763</v>
      </c>
      <c r="J89" s="17"/>
    </row>
    <row r="90" spans="1:10" ht="13.95" customHeight="1" x14ac:dyDescent="0.3">
      <c r="A90" s="3">
        <v>45746</v>
      </c>
      <c r="B90" s="3" t="s">
        <v>16</v>
      </c>
      <c r="C90" s="3" t="s">
        <v>574</v>
      </c>
      <c r="D90" s="4">
        <v>1</v>
      </c>
      <c r="E90" s="42">
        <v>4.2</v>
      </c>
      <c r="F90" s="45">
        <v>199</v>
      </c>
      <c r="G90" s="44">
        <v>1.3</v>
      </c>
      <c r="H90" s="21">
        <f t="shared" si="2"/>
        <v>1086.5400000000002</v>
      </c>
      <c r="I90" s="6" t="s">
        <v>2105</v>
      </c>
      <c r="J90" s="17"/>
    </row>
    <row r="91" spans="1:10" ht="13.95" customHeight="1" x14ac:dyDescent="0.3">
      <c r="A91" s="3">
        <v>45747</v>
      </c>
      <c r="B91" s="3" t="s">
        <v>18</v>
      </c>
      <c r="C91" s="3" t="s">
        <v>574</v>
      </c>
      <c r="D91" s="4">
        <v>0.9</v>
      </c>
      <c r="E91" s="42">
        <v>3.6</v>
      </c>
      <c r="F91" s="45">
        <v>199</v>
      </c>
      <c r="G91" s="44">
        <v>1.3</v>
      </c>
      <c r="H91" s="21">
        <f t="shared" si="2"/>
        <v>838.18799999999999</v>
      </c>
      <c r="I91" s="6" t="s">
        <v>750</v>
      </c>
      <c r="J91" s="17"/>
    </row>
    <row r="92" spans="1:10" ht="13.95" customHeight="1" x14ac:dyDescent="0.3">
      <c r="A92" s="3">
        <v>45748</v>
      </c>
      <c r="B92" s="3" t="s">
        <v>20</v>
      </c>
      <c r="C92" s="3" t="s">
        <v>1314</v>
      </c>
      <c r="D92" s="4">
        <v>0.6</v>
      </c>
      <c r="E92" s="42">
        <v>2.8</v>
      </c>
      <c r="F92" s="45">
        <v>199</v>
      </c>
      <c r="G92" s="44">
        <v>1.3</v>
      </c>
      <c r="H92" s="21">
        <f t="shared" si="2"/>
        <v>434.61599999999993</v>
      </c>
      <c r="I92" s="6" t="s">
        <v>398</v>
      </c>
      <c r="J92" s="17"/>
    </row>
    <row r="93" spans="1:10" ht="13.95" customHeight="1" x14ac:dyDescent="0.3">
      <c r="A93" s="3">
        <v>45749</v>
      </c>
      <c r="B93" s="3" t="s">
        <v>5</v>
      </c>
      <c r="C93" s="3" t="s">
        <v>706</v>
      </c>
      <c r="D93" s="4">
        <v>0.85</v>
      </c>
      <c r="E93" s="42">
        <v>2.4500000000000002</v>
      </c>
      <c r="F93" s="45">
        <v>199</v>
      </c>
      <c r="G93" s="44">
        <v>1.3</v>
      </c>
      <c r="H93" s="21">
        <f t="shared" si="2"/>
        <v>538.74275</v>
      </c>
      <c r="I93" s="6" t="s">
        <v>1956</v>
      </c>
      <c r="J93" s="17"/>
    </row>
    <row r="94" spans="1:10" ht="13.95" customHeight="1" x14ac:dyDescent="0.3">
      <c r="A94" s="3">
        <v>45750</v>
      </c>
      <c r="B94" s="3" t="s">
        <v>8</v>
      </c>
      <c r="C94" s="3" t="s">
        <v>706</v>
      </c>
      <c r="D94" s="4">
        <v>0.9</v>
      </c>
      <c r="E94" s="42">
        <v>2.4500000000000002</v>
      </c>
      <c r="F94" s="45">
        <v>199</v>
      </c>
      <c r="G94" s="44">
        <v>1.3</v>
      </c>
      <c r="H94" s="21">
        <f t="shared" si="2"/>
        <v>570.43350000000009</v>
      </c>
      <c r="I94" s="6" t="s">
        <v>2106</v>
      </c>
      <c r="J94" s="17"/>
    </row>
    <row r="95" spans="1:10" ht="13.95" customHeight="1" x14ac:dyDescent="0.3">
      <c r="A95" s="3">
        <v>45751</v>
      </c>
      <c r="B95" s="3" t="s">
        <v>11</v>
      </c>
      <c r="C95" s="3" t="s">
        <v>706</v>
      </c>
      <c r="D95" s="4">
        <v>0.8</v>
      </c>
      <c r="E95" s="42">
        <v>2.5</v>
      </c>
      <c r="F95" s="45">
        <v>199</v>
      </c>
      <c r="G95" s="44">
        <v>1.3</v>
      </c>
      <c r="H95" s="21">
        <f t="shared" si="2"/>
        <v>517.40000000000009</v>
      </c>
      <c r="I95" s="6" t="s">
        <v>2081</v>
      </c>
      <c r="J95" s="17"/>
    </row>
    <row r="96" spans="1:10" ht="13.95" customHeight="1" x14ac:dyDescent="0.3">
      <c r="A96" s="3">
        <v>45752</v>
      </c>
      <c r="B96" s="3" t="s">
        <v>13</v>
      </c>
      <c r="C96" s="3" t="s">
        <v>14</v>
      </c>
      <c r="D96" s="4">
        <v>0.65</v>
      </c>
      <c r="E96" s="42">
        <v>3.7</v>
      </c>
      <c r="F96" s="45">
        <v>199</v>
      </c>
      <c r="G96" s="44">
        <v>1.3</v>
      </c>
      <c r="H96" s="21">
        <f t="shared" si="2"/>
        <v>622.1735000000001</v>
      </c>
      <c r="I96" s="6" t="s">
        <v>1535</v>
      </c>
      <c r="J96" s="17"/>
    </row>
    <row r="97" spans="1:10" ht="13.95" customHeight="1" x14ac:dyDescent="0.3">
      <c r="A97" s="3">
        <v>45753</v>
      </c>
      <c r="B97" s="3" t="s">
        <v>16</v>
      </c>
      <c r="C97" s="3" t="s">
        <v>14</v>
      </c>
      <c r="D97" s="4">
        <v>0.6</v>
      </c>
      <c r="E97" s="42">
        <v>3.25</v>
      </c>
      <c r="F97" s="45">
        <v>199</v>
      </c>
      <c r="G97" s="44">
        <v>1.3</v>
      </c>
      <c r="H97" s="21">
        <f t="shared" si="2"/>
        <v>504.46499999999997</v>
      </c>
      <c r="I97" s="6" t="s">
        <v>238</v>
      </c>
      <c r="J97" s="17"/>
    </row>
    <row r="98" spans="1:10" ht="13.95" customHeight="1" x14ac:dyDescent="0.3">
      <c r="A98" s="3">
        <v>45754</v>
      </c>
      <c r="B98" s="3" t="s">
        <v>18</v>
      </c>
      <c r="C98" s="3" t="s">
        <v>706</v>
      </c>
      <c r="D98" s="4">
        <v>0.85</v>
      </c>
      <c r="E98" s="42">
        <v>2.4</v>
      </c>
      <c r="F98" s="45">
        <v>199</v>
      </c>
      <c r="G98" s="44">
        <v>1.3</v>
      </c>
      <c r="H98" s="21">
        <f t="shared" si="2"/>
        <v>527.74800000000005</v>
      </c>
      <c r="I98" s="6" t="s">
        <v>286</v>
      </c>
      <c r="J98" s="17"/>
    </row>
    <row r="99" spans="1:10" ht="13.95" customHeight="1" x14ac:dyDescent="0.3">
      <c r="A99" s="3">
        <v>45755</v>
      </c>
      <c r="B99" s="3" t="s">
        <v>20</v>
      </c>
      <c r="C99" s="3" t="s">
        <v>994</v>
      </c>
      <c r="D99" s="4">
        <v>0.8</v>
      </c>
      <c r="E99" s="42">
        <v>2.6</v>
      </c>
      <c r="F99" s="45">
        <v>199</v>
      </c>
      <c r="G99" s="44">
        <v>1.3</v>
      </c>
      <c r="H99" s="21">
        <f t="shared" si="2"/>
        <v>538.09600000000012</v>
      </c>
      <c r="I99" s="6" t="s">
        <v>2107</v>
      </c>
      <c r="J99" s="17"/>
    </row>
    <row r="100" spans="1:10" ht="13.95" customHeight="1" x14ac:dyDescent="0.3">
      <c r="A100" s="3">
        <v>45756</v>
      </c>
      <c r="B100" s="3" t="s">
        <v>5</v>
      </c>
      <c r="C100" s="3" t="s">
        <v>1112</v>
      </c>
      <c r="D100" s="4">
        <v>0.55000000000000004</v>
      </c>
      <c r="E100" s="42">
        <v>3.1</v>
      </c>
      <c r="F100" s="45">
        <v>199</v>
      </c>
      <c r="G100" s="44">
        <v>1.3</v>
      </c>
      <c r="H100" s="21">
        <f t="shared" si="2"/>
        <v>441.08350000000002</v>
      </c>
      <c r="I100" s="6" t="s">
        <v>2108</v>
      </c>
      <c r="J100" s="17"/>
    </row>
    <row r="101" spans="1:10" ht="13.95" customHeight="1" x14ac:dyDescent="0.3">
      <c r="A101" s="3">
        <v>45757</v>
      </c>
      <c r="B101" s="3" t="s">
        <v>8</v>
      </c>
      <c r="C101" s="3" t="s">
        <v>706</v>
      </c>
      <c r="D101" s="4">
        <v>0.85</v>
      </c>
      <c r="E101" s="42">
        <v>2.4</v>
      </c>
      <c r="F101" s="45">
        <v>199</v>
      </c>
      <c r="G101" s="44">
        <v>1.3</v>
      </c>
      <c r="H101" s="21">
        <f t="shared" si="2"/>
        <v>527.74800000000005</v>
      </c>
      <c r="I101" s="6" t="s">
        <v>603</v>
      </c>
      <c r="J101" s="17"/>
    </row>
    <row r="102" spans="1:10" ht="13.95" customHeight="1" x14ac:dyDescent="0.3">
      <c r="A102" s="3">
        <v>45758</v>
      </c>
      <c r="B102" s="3" t="s">
        <v>11</v>
      </c>
      <c r="C102" s="3" t="s">
        <v>706</v>
      </c>
      <c r="D102" s="4">
        <v>0.85</v>
      </c>
      <c r="E102" s="42">
        <v>2.4500000000000002</v>
      </c>
      <c r="F102" s="45">
        <v>199</v>
      </c>
      <c r="G102" s="44">
        <v>1.3</v>
      </c>
      <c r="H102" s="21">
        <f t="shared" si="2"/>
        <v>538.74275</v>
      </c>
      <c r="I102" s="6" t="s">
        <v>286</v>
      </c>
      <c r="J102" s="17"/>
    </row>
    <row r="103" spans="1:10" ht="13.95" customHeight="1" x14ac:dyDescent="0.3">
      <c r="A103" s="3">
        <v>45759</v>
      </c>
      <c r="B103" s="3" t="s">
        <v>13</v>
      </c>
      <c r="C103" s="3" t="s">
        <v>14</v>
      </c>
      <c r="D103" s="4">
        <v>0.7</v>
      </c>
      <c r="E103" s="42">
        <v>3.75</v>
      </c>
      <c r="F103" s="45">
        <v>199</v>
      </c>
      <c r="G103" s="44">
        <v>1.3</v>
      </c>
      <c r="H103" s="21">
        <f t="shared" si="2"/>
        <v>679.08749999999986</v>
      </c>
      <c r="I103" s="6" t="s">
        <v>2076</v>
      </c>
      <c r="J103" s="17"/>
    </row>
    <row r="104" spans="1:10" ht="13.95" customHeight="1" x14ac:dyDescent="0.3">
      <c r="A104" s="3">
        <v>45760</v>
      </c>
      <c r="B104" s="3" t="s">
        <v>16</v>
      </c>
      <c r="C104" s="3" t="s">
        <v>14</v>
      </c>
      <c r="D104" s="4">
        <v>0.65</v>
      </c>
      <c r="E104" s="42">
        <v>3.3</v>
      </c>
      <c r="F104" s="45">
        <v>199</v>
      </c>
      <c r="G104" s="44">
        <v>1.3</v>
      </c>
      <c r="H104" s="21">
        <f t="shared" si="2"/>
        <v>554.91149999999993</v>
      </c>
      <c r="I104" s="6" t="s">
        <v>238</v>
      </c>
      <c r="J104" s="17"/>
    </row>
    <row r="105" spans="1:10" ht="13.95" customHeight="1" x14ac:dyDescent="0.3">
      <c r="A105" s="3">
        <v>45761</v>
      </c>
      <c r="B105" s="3" t="s">
        <v>18</v>
      </c>
      <c r="C105" s="3" t="s">
        <v>706</v>
      </c>
      <c r="D105" s="4">
        <v>0.9</v>
      </c>
      <c r="E105" s="42">
        <v>2.4500000000000002</v>
      </c>
      <c r="F105" s="45">
        <v>199</v>
      </c>
      <c r="G105" s="44">
        <v>1.3</v>
      </c>
      <c r="H105" s="21">
        <f t="shared" si="2"/>
        <v>570.43350000000009</v>
      </c>
      <c r="I105" s="6" t="s">
        <v>1814</v>
      </c>
      <c r="J105" s="17"/>
    </row>
    <row r="106" spans="1:10" ht="13.95" customHeight="1" x14ac:dyDescent="0.3">
      <c r="A106" s="3">
        <v>45762</v>
      </c>
      <c r="B106" s="3" t="s">
        <v>20</v>
      </c>
      <c r="C106" s="3" t="s">
        <v>706</v>
      </c>
      <c r="D106" s="4">
        <v>0.9</v>
      </c>
      <c r="E106" s="42">
        <v>2.4500000000000002</v>
      </c>
      <c r="F106" s="45">
        <v>199</v>
      </c>
      <c r="G106" s="44">
        <v>1.3</v>
      </c>
      <c r="H106" s="21">
        <f t="shared" si="2"/>
        <v>570.43350000000009</v>
      </c>
      <c r="I106" s="6" t="s">
        <v>286</v>
      </c>
      <c r="J106" s="17"/>
    </row>
    <row r="107" spans="1:10" ht="13.95" customHeight="1" x14ac:dyDescent="0.3">
      <c r="A107" s="3">
        <v>45763</v>
      </c>
      <c r="B107" s="3" t="s">
        <v>5</v>
      </c>
      <c r="C107" s="3" t="s">
        <v>706</v>
      </c>
      <c r="D107" s="4">
        <v>0.85</v>
      </c>
      <c r="E107" s="42">
        <v>2.4</v>
      </c>
      <c r="F107" s="45">
        <v>199</v>
      </c>
      <c r="G107" s="44">
        <v>1.3</v>
      </c>
      <c r="H107" s="21">
        <f t="shared" si="2"/>
        <v>527.74800000000005</v>
      </c>
      <c r="I107" s="6" t="s">
        <v>286</v>
      </c>
      <c r="J107" s="17"/>
    </row>
    <row r="108" spans="1:10" ht="13.95" customHeight="1" x14ac:dyDescent="0.3">
      <c r="A108" s="3">
        <v>45764</v>
      </c>
      <c r="B108" s="3" t="s">
        <v>8</v>
      </c>
      <c r="C108" s="3" t="s">
        <v>706</v>
      </c>
      <c r="D108" s="4">
        <v>0.8</v>
      </c>
      <c r="E108" s="42">
        <v>2.4500000000000002</v>
      </c>
      <c r="F108" s="45">
        <v>199</v>
      </c>
      <c r="G108" s="44">
        <v>1.3</v>
      </c>
      <c r="H108" s="21">
        <f t="shared" si="2"/>
        <v>507.05200000000013</v>
      </c>
      <c r="I108" s="6" t="s">
        <v>767</v>
      </c>
      <c r="J108" s="17"/>
    </row>
    <row r="109" spans="1:10" ht="13.95" customHeight="1" x14ac:dyDescent="0.3">
      <c r="A109" s="3">
        <v>45765</v>
      </c>
      <c r="B109" s="3" t="s">
        <v>11</v>
      </c>
      <c r="C109" s="3" t="s">
        <v>14</v>
      </c>
      <c r="D109" s="4">
        <v>0.75</v>
      </c>
      <c r="E109" s="42">
        <v>2.6</v>
      </c>
      <c r="F109" s="45">
        <v>199</v>
      </c>
      <c r="G109" s="44">
        <v>1.3</v>
      </c>
      <c r="H109" s="21">
        <f t="shared" si="2"/>
        <v>504.46500000000003</v>
      </c>
      <c r="I109" s="6" t="s">
        <v>2109</v>
      </c>
      <c r="J109" s="17"/>
    </row>
    <row r="110" spans="1:10" ht="13.95" customHeight="1" x14ac:dyDescent="0.3">
      <c r="A110" s="3">
        <v>45766</v>
      </c>
      <c r="B110" s="3" t="s">
        <v>13</v>
      </c>
      <c r="C110" s="3" t="s">
        <v>14</v>
      </c>
      <c r="D110" s="4">
        <v>0.7</v>
      </c>
      <c r="E110" s="42">
        <v>3.85</v>
      </c>
      <c r="F110" s="45">
        <v>199</v>
      </c>
      <c r="G110" s="44">
        <v>1.3</v>
      </c>
      <c r="H110" s="21">
        <f t="shared" si="2"/>
        <v>697.19650000000001</v>
      </c>
      <c r="I110" s="6" t="s">
        <v>2110</v>
      </c>
      <c r="J110" s="17"/>
    </row>
    <row r="111" spans="1:10" ht="13.95" customHeight="1" x14ac:dyDescent="0.3">
      <c r="A111" s="3">
        <v>45767</v>
      </c>
      <c r="B111" s="3" t="s">
        <v>16</v>
      </c>
      <c r="C111" s="3" t="s">
        <v>905</v>
      </c>
      <c r="D111" s="4">
        <v>0.85</v>
      </c>
      <c r="E111" s="42">
        <v>3.9</v>
      </c>
      <c r="F111" s="45">
        <v>199</v>
      </c>
      <c r="G111" s="44">
        <v>1.3</v>
      </c>
      <c r="H111" s="21">
        <f t="shared" si="2"/>
        <v>857.59050000000013</v>
      </c>
      <c r="I111" s="6" t="s">
        <v>2111</v>
      </c>
      <c r="J111" s="17"/>
    </row>
    <row r="112" spans="1:10" ht="13.95" customHeight="1" x14ac:dyDescent="0.3">
      <c r="A112" s="3">
        <v>45768</v>
      </c>
      <c r="B112" s="3" t="s">
        <v>18</v>
      </c>
      <c r="C112" s="3" t="s">
        <v>706</v>
      </c>
      <c r="D112" s="4">
        <v>0.8</v>
      </c>
      <c r="E112" s="42">
        <v>2.5</v>
      </c>
      <c r="F112" s="45">
        <v>199</v>
      </c>
      <c r="G112" s="44">
        <v>1.3</v>
      </c>
      <c r="H112" s="21">
        <f t="shared" si="2"/>
        <v>517.40000000000009</v>
      </c>
      <c r="I112" s="6" t="s">
        <v>645</v>
      </c>
      <c r="J112" s="17"/>
    </row>
    <row r="113" spans="1:10" ht="13.95" customHeight="1" x14ac:dyDescent="0.3">
      <c r="A113" s="3">
        <v>45769</v>
      </c>
      <c r="B113" s="3" t="s">
        <v>20</v>
      </c>
      <c r="C113" s="3" t="s">
        <v>706</v>
      </c>
      <c r="D113" s="4">
        <v>0.85</v>
      </c>
      <c r="E113" s="42">
        <v>2.4500000000000002</v>
      </c>
      <c r="F113" s="45">
        <v>199</v>
      </c>
      <c r="G113" s="44">
        <v>1.3</v>
      </c>
      <c r="H113" s="21">
        <f t="shared" si="2"/>
        <v>538.74275</v>
      </c>
      <c r="I113" s="6" t="s">
        <v>286</v>
      </c>
      <c r="J113" s="17"/>
    </row>
    <row r="114" spans="1:10" ht="13.95" customHeight="1" x14ac:dyDescent="0.3">
      <c r="A114" s="3">
        <v>45770</v>
      </c>
      <c r="B114" s="3" t="s">
        <v>5</v>
      </c>
      <c r="C114" s="3" t="s">
        <v>706</v>
      </c>
      <c r="D114" s="4">
        <v>0.85</v>
      </c>
      <c r="E114" s="42">
        <v>2.4500000000000002</v>
      </c>
      <c r="F114" s="45">
        <v>199</v>
      </c>
      <c r="G114" s="44">
        <v>1.3</v>
      </c>
      <c r="H114" s="21">
        <f t="shared" si="2"/>
        <v>538.74275</v>
      </c>
      <c r="I114" s="6" t="s">
        <v>286</v>
      </c>
      <c r="J114" s="17"/>
    </row>
    <row r="115" spans="1:10" ht="13.95" customHeight="1" x14ac:dyDescent="0.3">
      <c r="A115" s="3">
        <v>45771</v>
      </c>
      <c r="B115" s="3" t="s">
        <v>8</v>
      </c>
      <c r="C115" s="3" t="s">
        <v>706</v>
      </c>
      <c r="D115" s="4">
        <v>0.9</v>
      </c>
      <c r="E115" s="42">
        <v>2.4500000000000002</v>
      </c>
      <c r="F115" s="45">
        <v>199</v>
      </c>
      <c r="G115" s="44">
        <v>1.3</v>
      </c>
      <c r="H115" s="21">
        <f t="shared" si="2"/>
        <v>570.43350000000009</v>
      </c>
      <c r="I115" s="6" t="s">
        <v>2039</v>
      </c>
      <c r="J115" s="17"/>
    </row>
    <row r="116" spans="1:10" ht="13.95" customHeight="1" x14ac:dyDescent="0.3">
      <c r="A116" s="3">
        <v>45772</v>
      </c>
      <c r="B116" s="3" t="s">
        <v>11</v>
      </c>
      <c r="C116" s="3" t="s">
        <v>706</v>
      </c>
      <c r="D116" s="4">
        <v>0.8</v>
      </c>
      <c r="E116" s="42">
        <v>2.5499999999999998</v>
      </c>
      <c r="F116" s="45">
        <v>199</v>
      </c>
      <c r="G116" s="44">
        <v>1.3</v>
      </c>
      <c r="H116" s="21">
        <f t="shared" si="2"/>
        <v>527.74800000000005</v>
      </c>
      <c r="I116" s="6" t="s">
        <v>2081</v>
      </c>
      <c r="J116" s="17"/>
    </row>
    <row r="117" spans="1:10" ht="13.95" customHeight="1" x14ac:dyDescent="0.3">
      <c r="A117" s="3">
        <v>45773</v>
      </c>
      <c r="B117" s="3" t="s">
        <v>13</v>
      </c>
      <c r="C117" s="3" t="s">
        <v>14</v>
      </c>
      <c r="D117" s="4">
        <v>0.7</v>
      </c>
      <c r="E117" s="42">
        <v>3.8</v>
      </c>
      <c r="F117" s="45">
        <v>199</v>
      </c>
      <c r="G117" s="44">
        <v>1.3</v>
      </c>
      <c r="H117" s="21">
        <f t="shared" si="2"/>
        <v>688.14199999999994</v>
      </c>
      <c r="I117" s="6" t="s">
        <v>1525</v>
      </c>
      <c r="J117" s="17"/>
    </row>
    <row r="118" spans="1:10" ht="13.95" customHeight="1" x14ac:dyDescent="0.3">
      <c r="A118" s="3">
        <v>45774</v>
      </c>
      <c r="B118" s="3" t="s">
        <v>16</v>
      </c>
      <c r="C118" s="3" t="s">
        <v>14</v>
      </c>
      <c r="D118" s="4">
        <v>0.65</v>
      </c>
      <c r="E118" s="42">
        <v>3.3</v>
      </c>
      <c r="F118" s="45">
        <v>199</v>
      </c>
      <c r="G118" s="44">
        <v>1.3</v>
      </c>
      <c r="H118" s="21">
        <f t="shared" si="2"/>
        <v>554.91149999999993</v>
      </c>
      <c r="I118" s="6" t="s">
        <v>238</v>
      </c>
      <c r="J118" s="17"/>
    </row>
    <row r="119" spans="1:10" ht="13.95" customHeight="1" x14ac:dyDescent="0.3">
      <c r="A119" s="3">
        <v>45775</v>
      </c>
      <c r="B119" s="3" t="s">
        <v>18</v>
      </c>
      <c r="C119" s="3" t="s">
        <v>706</v>
      </c>
      <c r="D119" s="4">
        <v>0.85</v>
      </c>
      <c r="E119" s="42">
        <v>2.4</v>
      </c>
      <c r="F119" s="45">
        <v>199</v>
      </c>
      <c r="G119" s="44">
        <v>1.3</v>
      </c>
      <c r="H119" s="21">
        <f t="shared" si="2"/>
        <v>527.74800000000005</v>
      </c>
      <c r="I119" s="6" t="s">
        <v>717</v>
      </c>
      <c r="J119" s="17"/>
    </row>
    <row r="120" spans="1:10" ht="13.95" customHeight="1" x14ac:dyDescent="0.3">
      <c r="A120" s="3">
        <v>45776</v>
      </c>
      <c r="B120" s="3" t="s">
        <v>20</v>
      </c>
      <c r="C120" s="3" t="s">
        <v>706</v>
      </c>
      <c r="D120" s="4">
        <v>0.9</v>
      </c>
      <c r="E120" s="42">
        <v>2.4500000000000002</v>
      </c>
      <c r="F120" s="45">
        <v>199</v>
      </c>
      <c r="G120" s="44">
        <v>1.3</v>
      </c>
      <c r="H120" s="21">
        <f t="shared" si="2"/>
        <v>570.43350000000009</v>
      </c>
      <c r="I120" s="6" t="s">
        <v>286</v>
      </c>
      <c r="J120" s="17"/>
    </row>
    <row r="121" spans="1:10" ht="13.95" customHeight="1" x14ac:dyDescent="0.3">
      <c r="A121" s="3">
        <v>45777</v>
      </c>
      <c r="B121" s="3" t="s">
        <v>5</v>
      </c>
      <c r="C121" s="3" t="s">
        <v>994</v>
      </c>
      <c r="D121" s="4">
        <v>0.85</v>
      </c>
      <c r="E121" s="42">
        <v>2.7</v>
      </c>
      <c r="F121" s="45">
        <v>199</v>
      </c>
      <c r="G121" s="44">
        <v>1.3</v>
      </c>
      <c r="H121" s="21">
        <f t="shared" si="2"/>
        <v>593.71650000000011</v>
      </c>
      <c r="I121" s="6" t="s">
        <v>1438</v>
      </c>
      <c r="J121" s="17"/>
    </row>
    <row r="122" spans="1:10" ht="13.95" customHeight="1" x14ac:dyDescent="0.3">
      <c r="A122" s="3">
        <v>45778</v>
      </c>
      <c r="B122" s="3" t="s">
        <v>8</v>
      </c>
      <c r="C122" s="3" t="s">
        <v>742</v>
      </c>
      <c r="D122" s="4">
        <v>0.6</v>
      </c>
      <c r="E122" s="42">
        <v>3.1</v>
      </c>
      <c r="F122" s="45">
        <v>199</v>
      </c>
      <c r="G122" s="44">
        <v>1.3</v>
      </c>
      <c r="H122" s="21">
        <f t="shared" si="2"/>
        <v>481.18200000000002</v>
      </c>
      <c r="I122" s="6" t="s">
        <v>2112</v>
      </c>
      <c r="J122" s="17"/>
    </row>
    <row r="123" spans="1:10" ht="13.95" customHeight="1" x14ac:dyDescent="0.3">
      <c r="A123" s="3">
        <v>45779</v>
      </c>
      <c r="B123" s="3" t="s">
        <v>11</v>
      </c>
      <c r="C123" s="3" t="s">
        <v>706</v>
      </c>
      <c r="D123" s="4">
        <v>0.75</v>
      </c>
      <c r="E123" s="42">
        <v>2.5499999999999998</v>
      </c>
      <c r="F123" s="45">
        <v>199</v>
      </c>
      <c r="G123" s="44">
        <v>1.3</v>
      </c>
      <c r="H123" s="21">
        <f t="shared" si="2"/>
        <v>494.76374999999996</v>
      </c>
      <c r="I123" s="6" t="s">
        <v>197</v>
      </c>
      <c r="J123" s="17"/>
    </row>
    <row r="124" spans="1:10" ht="13.95" customHeight="1" x14ac:dyDescent="0.3">
      <c r="A124" s="3">
        <v>45780</v>
      </c>
      <c r="B124" s="3" t="s">
        <v>13</v>
      </c>
      <c r="C124" s="3" t="s">
        <v>14</v>
      </c>
      <c r="D124" s="4">
        <v>0.7</v>
      </c>
      <c r="E124" s="42">
        <v>3.85</v>
      </c>
      <c r="F124" s="45">
        <v>199</v>
      </c>
      <c r="G124" s="44">
        <v>1.3</v>
      </c>
      <c r="H124" s="21">
        <f t="shared" si="2"/>
        <v>697.19650000000001</v>
      </c>
      <c r="I124" s="6" t="s">
        <v>1531</v>
      </c>
      <c r="J124" s="17"/>
    </row>
    <row r="125" spans="1:10" ht="13.95" customHeight="1" x14ac:dyDescent="0.3">
      <c r="A125" s="3">
        <v>45781</v>
      </c>
      <c r="B125" s="3" t="s">
        <v>16</v>
      </c>
      <c r="C125" s="3" t="s">
        <v>14</v>
      </c>
      <c r="D125" s="4">
        <v>0.65</v>
      </c>
      <c r="E125" s="42">
        <v>3.35</v>
      </c>
      <c r="F125" s="45">
        <v>199</v>
      </c>
      <c r="G125" s="44">
        <v>1.3</v>
      </c>
      <c r="H125" s="21">
        <f t="shared" si="2"/>
        <v>563.31925000000001</v>
      </c>
      <c r="I125" s="6" t="s">
        <v>238</v>
      </c>
      <c r="J125" s="17"/>
    </row>
    <row r="126" spans="1:10" ht="13.95" customHeight="1" x14ac:dyDescent="0.3">
      <c r="A126" s="3">
        <v>45782</v>
      </c>
      <c r="B126" s="3" t="s">
        <v>18</v>
      </c>
      <c r="C126" s="3" t="s">
        <v>706</v>
      </c>
      <c r="D126" s="4">
        <v>0.9</v>
      </c>
      <c r="E126" s="42">
        <v>2.4500000000000002</v>
      </c>
      <c r="F126" s="45">
        <v>199</v>
      </c>
      <c r="G126" s="44">
        <v>1.3</v>
      </c>
      <c r="H126" s="21">
        <f t="shared" si="2"/>
        <v>570.43350000000009</v>
      </c>
      <c r="I126" s="6" t="s">
        <v>2113</v>
      </c>
      <c r="J126" s="17"/>
    </row>
    <row r="127" spans="1:10" ht="13.95" customHeight="1" x14ac:dyDescent="0.3">
      <c r="A127" s="3">
        <v>45783</v>
      </c>
      <c r="B127" s="3" t="s">
        <v>20</v>
      </c>
      <c r="C127" s="3" t="s">
        <v>706</v>
      </c>
      <c r="D127" s="4">
        <v>0.95</v>
      </c>
      <c r="E127" s="42">
        <v>2.4500000000000002</v>
      </c>
      <c r="F127" s="45">
        <v>199</v>
      </c>
      <c r="G127" s="44">
        <v>1.3</v>
      </c>
      <c r="H127" s="21">
        <f t="shared" si="2"/>
        <v>602.12425000000007</v>
      </c>
      <c r="I127" s="6" t="s">
        <v>2113</v>
      </c>
      <c r="J127" s="17"/>
    </row>
    <row r="128" spans="1:10" ht="13.95" customHeight="1" x14ac:dyDescent="0.3">
      <c r="A128" s="3">
        <v>45784</v>
      </c>
      <c r="B128" s="3" t="s">
        <v>5</v>
      </c>
      <c r="C128" s="3" t="s">
        <v>706</v>
      </c>
      <c r="D128" s="4">
        <v>0.9</v>
      </c>
      <c r="E128" s="42">
        <v>2.4</v>
      </c>
      <c r="F128" s="45">
        <v>199</v>
      </c>
      <c r="G128" s="44">
        <v>1.3</v>
      </c>
      <c r="H128" s="21">
        <f t="shared" si="2"/>
        <v>558.79200000000003</v>
      </c>
      <c r="I128" s="6" t="s">
        <v>2114</v>
      </c>
      <c r="J128" s="17"/>
    </row>
    <row r="129" spans="1:10" ht="13.95" customHeight="1" x14ac:dyDescent="0.3">
      <c r="A129" s="3">
        <v>45785</v>
      </c>
      <c r="B129" s="3" t="s">
        <v>8</v>
      </c>
      <c r="C129" s="3" t="s">
        <v>706</v>
      </c>
      <c r="D129" s="4">
        <v>0.9</v>
      </c>
      <c r="E129" s="42">
        <v>2.4500000000000002</v>
      </c>
      <c r="F129" s="45">
        <v>199</v>
      </c>
      <c r="G129" s="44">
        <v>1.3</v>
      </c>
      <c r="H129" s="21">
        <f t="shared" si="2"/>
        <v>570.43350000000009</v>
      </c>
      <c r="I129" s="6" t="s">
        <v>2106</v>
      </c>
      <c r="J129" s="17"/>
    </row>
    <row r="130" spans="1:10" ht="13.95" customHeight="1" x14ac:dyDescent="0.3">
      <c r="A130" s="3">
        <v>45786</v>
      </c>
      <c r="B130" s="3" t="s">
        <v>11</v>
      </c>
      <c r="C130" s="3" t="s">
        <v>706</v>
      </c>
      <c r="D130" s="4">
        <v>0.85</v>
      </c>
      <c r="E130" s="42">
        <v>2.5</v>
      </c>
      <c r="F130" s="45">
        <v>199</v>
      </c>
      <c r="G130" s="44">
        <v>1.3</v>
      </c>
      <c r="H130" s="21">
        <f t="shared" si="2"/>
        <v>549.73750000000007</v>
      </c>
      <c r="I130" s="6" t="s">
        <v>2115</v>
      </c>
      <c r="J130" s="17"/>
    </row>
    <row r="131" spans="1:10" ht="13.95" customHeight="1" x14ac:dyDescent="0.3">
      <c r="A131" s="3">
        <v>45787</v>
      </c>
      <c r="B131" s="3" t="s">
        <v>13</v>
      </c>
      <c r="C131" s="3" t="s">
        <v>14</v>
      </c>
      <c r="D131" s="4">
        <v>0.75</v>
      </c>
      <c r="E131" s="42">
        <v>3.9</v>
      </c>
      <c r="F131" s="45">
        <v>199</v>
      </c>
      <c r="G131" s="44">
        <v>1.3</v>
      </c>
      <c r="H131" s="21">
        <f t="shared" si="2"/>
        <v>756.69749999999999</v>
      </c>
      <c r="I131" s="6" t="s">
        <v>2116</v>
      </c>
      <c r="J131" s="17"/>
    </row>
    <row r="132" spans="1:10" ht="13.95" customHeight="1" x14ac:dyDescent="0.3">
      <c r="A132" s="3">
        <v>45788</v>
      </c>
      <c r="B132" s="3" t="s">
        <v>16</v>
      </c>
      <c r="C132" s="3" t="s">
        <v>14</v>
      </c>
      <c r="D132" s="4">
        <v>0.65</v>
      </c>
      <c r="E132" s="42">
        <v>3.35</v>
      </c>
      <c r="F132" s="45">
        <v>199</v>
      </c>
      <c r="G132" s="44">
        <v>1.3</v>
      </c>
      <c r="H132" s="21">
        <f t="shared" si="2"/>
        <v>563.31925000000001</v>
      </c>
      <c r="I132" s="6" t="s">
        <v>69</v>
      </c>
      <c r="J132" s="17"/>
    </row>
    <row r="133" spans="1:10" ht="13.95" customHeight="1" x14ac:dyDescent="0.3">
      <c r="A133" s="3">
        <v>45789</v>
      </c>
      <c r="B133" s="3" t="s">
        <v>18</v>
      </c>
      <c r="C133" s="3" t="s">
        <v>706</v>
      </c>
      <c r="D133" s="4">
        <v>0.9</v>
      </c>
      <c r="E133" s="42">
        <v>2.4500000000000002</v>
      </c>
      <c r="F133" s="45">
        <v>199</v>
      </c>
      <c r="G133" s="44">
        <v>1.3</v>
      </c>
      <c r="H133" s="21">
        <f t="shared" ref="H133:H196" si="3">(F133*D133)*E133*G133</f>
        <v>570.43350000000009</v>
      </c>
      <c r="I133" s="6" t="s">
        <v>2000</v>
      </c>
      <c r="J133" s="17"/>
    </row>
    <row r="134" spans="1:10" ht="13.95" customHeight="1" x14ac:dyDescent="0.3">
      <c r="A134" s="3">
        <v>45790</v>
      </c>
      <c r="B134" s="3" t="s">
        <v>20</v>
      </c>
      <c r="C134" s="3" t="s">
        <v>706</v>
      </c>
      <c r="D134" s="4">
        <v>0.95</v>
      </c>
      <c r="E134" s="42">
        <v>2.4500000000000002</v>
      </c>
      <c r="F134" s="45">
        <v>199</v>
      </c>
      <c r="G134" s="44">
        <v>1.3</v>
      </c>
      <c r="H134" s="21">
        <f t="shared" si="3"/>
        <v>602.12425000000007</v>
      </c>
      <c r="I134" s="6" t="s">
        <v>2000</v>
      </c>
      <c r="J134" s="17"/>
    </row>
    <row r="135" spans="1:10" ht="13.95" customHeight="1" x14ac:dyDescent="0.3">
      <c r="A135" s="3">
        <v>45791</v>
      </c>
      <c r="B135" s="3" t="s">
        <v>5</v>
      </c>
      <c r="C135" s="3" t="s">
        <v>706</v>
      </c>
      <c r="D135" s="4">
        <v>0.9</v>
      </c>
      <c r="E135" s="42">
        <v>2.4</v>
      </c>
      <c r="F135" s="45">
        <v>199</v>
      </c>
      <c r="G135" s="44">
        <v>1.3</v>
      </c>
      <c r="H135" s="21">
        <f t="shared" si="3"/>
        <v>558.79200000000003</v>
      </c>
      <c r="I135" s="6" t="s">
        <v>717</v>
      </c>
      <c r="J135" s="17"/>
    </row>
    <row r="136" spans="1:10" ht="13.95" customHeight="1" x14ac:dyDescent="0.3">
      <c r="A136" s="3">
        <v>45792</v>
      </c>
      <c r="B136" s="3" t="s">
        <v>8</v>
      </c>
      <c r="C136" s="3" t="s">
        <v>706</v>
      </c>
      <c r="D136" s="4">
        <v>0.9</v>
      </c>
      <c r="E136" s="42">
        <v>2.4500000000000002</v>
      </c>
      <c r="F136" s="45">
        <v>199</v>
      </c>
      <c r="G136" s="44">
        <v>1.3</v>
      </c>
      <c r="H136" s="21">
        <f t="shared" si="3"/>
        <v>570.43350000000009</v>
      </c>
      <c r="I136" s="6" t="s">
        <v>717</v>
      </c>
      <c r="J136" s="17"/>
    </row>
    <row r="137" spans="1:10" ht="13.95" customHeight="1" x14ac:dyDescent="0.3">
      <c r="A137" s="3">
        <v>45793</v>
      </c>
      <c r="B137" s="3" t="s">
        <v>11</v>
      </c>
      <c r="C137" s="3" t="s">
        <v>706</v>
      </c>
      <c r="D137" s="4">
        <v>0.85</v>
      </c>
      <c r="E137" s="42">
        <v>2.5499999999999998</v>
      </c>
      <c r="F137" s="45">
        <v>199</v>
      </c>
      <c r="G137" s="44">
        <v>1.3</v>
      </c>
      <c r="H137" s="21">
        <f t="shared" si="3"/>
        <v>560.73225000000002</v>
      </c>
      <c r="I137" s="6" t="s">
        <v>2086</v>
      </c>
      <c r="J137" s="17"/>
    </row>
    <row r="138" spans="1:10" ht="13.95" customHeight="1" x14ac:dyDescent="0.3">
      <c r="A138" s="3">
        <v>45794</v>
      </c>
      <c r="B138" s="3" t="s">
        <v>13</v>
      </c>
      <c r="C138" s="3" t="s">
        <v>14</v>
      </c>
      <c r="D138" s="4">
        <v>0.75</v>
      </c>
      <c r="E138" s="42">
        <v>3.95</v>
      </c>
      <c r="F138" s="45">
        <v>199</v>
      </c>
      <c r="G138" s="44">
        <v>1.3</v>
      </c>
      <c r="H138" s="21">
        <f t="shared" si="3"/>
        <v>766.39875000000006</v>
      </c>
      <c r="I138" s="6" t="s">
        <v>2117</v>
      </c>
      <c r="J138" s="17"/>
    </row>
    <row r="139" spans="1:10" ht="13.95" customHeight="1" x14ac:dyDescent="0.3">
      <c r="A139" s="3">
        <v>45795</v>
      </c>
      <c r="B139" s="3" t="s">
        <v>16</v>
      </c>
      <c r="C139" s="3" t="s">
        <v>14</v>
      </c>
      <c r="D139" s="4">
        <v>0.7</v>
      </c>
      <c r="E139" s="42">
        <v>3.4</v>
      </c>
      <c r="F139" s="45">
        <v>199</v>
      </c>
      <c r="G139" s="44">
        <v>1.3</v>
      </c>
      <c r="H139" s="21">
        <f t="shared" si="3"/>
        <v>615.7059999999999</v>
      </c>
      <c r="I139" s="6" t="s">
        <v>2118</v>
      </c>
      <c r="J139" s="17"/>
    </row>
    <row r="140" spans="1:10" ht="13.95" customHeight="1" x14ac:dyDescent="0.3">
      <c r="A140" s="3">
        <v>45796</v>
      </c>
      <c r="B140" s="3" t="s">
        <v>18</v>
      </c>
      <c r="C140" s="3" t="s">
        <v>706</v>
      </c>
      <c r="D140" s="4">
        <v>0.9</v>
      </c>
      <c r="E140" s="42">
        <v>2.4500000000000002</v>
      </c>
      <c r="F140" s="45">
        <v>199</v>
      </c>
      <c r="G140" s="44">
        <v>1.3</v>
      </c>
      <c r="H140" s="21">
        <f t="shared" si="3"/>
        <v>570.43350000000009</v>
      </c>
      <c r="I140" s="6" t="s">
        <v>286</v>
      </c>
      <c r="J140" s="17"/>
    </row>
    <row r="141" spans="1:10" ht="13.95" customHeight="1" x14ac:dyDescent="0.3">
      <c r="A141" s="3">
        <v>45797</v>
      </c>
      <c r="B141" s="3" t="s">
        <v>20</v>
      </c>
      <c r="C141" s="3" t="s">
        <v>706</v>
      </c>
      <c r="D141" s="4">
        <v>0.95</v>
      </c>
      <c r="E141" s="42">
        <v>2.4500000000000002</v>
      </c>
      <c r="F141" s="45">
        <v>199</v>
      </c>
      <c r="G141" s="44">
        <v>1.3</v>
      </c>
      <c r="H141" s="21">
        <f t="shared" si="3"/>
        <v>602.12425000000007</v>
      </c>
      <c r="I141" s="6" t="s">
        <v>2119</v>
      </c>
      <c r="J141" s="17"/>
    </row>
    <row r="142" spans="1:10" ht="13.95" customHeight="1" x14ac:dyDescent="0.3">
      <c r="A142" s="3">
        <v>45798</v>
      </c>
      <c r="B142" s="3" t="s">
        <v>5</v>
      </c>
      <c r="C142" s="3" t="s">
        <v>706</v>
      </c>
      <c r="D142" s="4">
        <v>0.9</v>
      </c>
      <c r="E142" s="42">
        <v>2.4500000000000002</v>
      </c>
      <c r="F142" s="45">
        <v>199</v>
      </c>
      <c r="G142" s="44">
        <v>1.3</v>
      </c>
      <c r="H142" s="21">
        <f t="shared" si="3"/>
        <v>570.43350000000009</v>
      </c>
      <c r="I142" s="6" t="s">
        <v>286</v>
      </c>
      <c r="J142" s="17"/>
    </row>
    <row r="143" spans="1:10" ht="13.95" customHeight="1" x14ac:dyDescent="0.3">
      <c r="A143" s="3">
        <v>45799</v>
      </c>
      <c r="B143" s="3" t="s">
        <v>8</v>
      </c>
      <c r="C143" s="3" t="s">
        <v>706</v>
      </c>
      <c r="D143" s="4">
        <v>0.9</v>
      </c>
      <c r="E143" s="42">
        <v>2.4500000000000002</v>
      </c>
      <c r="F143" s="45">
        <v>199</v>
      </c>
      <c r="G143" s="44">
        <v>1.3</v>
      </c>
      <c r="H143" s="21">
        <f t="shared" si="3"/>
        <v>570.43350000000009</v>
      </c>
      <c r="I143" s="6" t="s">
        <v>286</v>
      </c>
      <c r="J143" s="17"/>
    </row>
    <row r="144" spans="1:10" ht="13.95" customHeight="1" x14ac:dyDescent="0.3">
      <c r="A144" s="3">
        <v>45800</v>
      </c>
      <c r="B144" s="3" t="s">
        <v>11</v>
      </c>
      <c r="C144" s="3" t="s">
        <v>706</v>
      </c>
      <c r="D144" s="4">
        <v>0.85</v>
      </c>
      <c r="E144" s="42">
        <v>2.5499999999999998</v>
      </c>
      <c r="F144" s="45">
        <v>199</v>
      </c>
      <c r="G144" s="44">
        <v>1.3</v>
      </c>
      <c r="H144" s="21">
        <f t="shared" si="3"/>
        <v>560.73225000000002</v>
      </c>
      <c r="I144" s="6" t="s">
        <v>82</v>
      </c>
      <c r="J144" s="17"/>
    </row>
    <row r="145" spans="1:10" ht="13.95" customHeight="1" x14ac:dyDescent="0.3">
      <c r="A145" s="3">
        <v>45801</v>
      </c>
      <c r="B145" s="3" t="s">
        <v>13</v>
      </c>
      <c r="C145" s="3" t="s">
        <v>14</v>
      </c>
      <c r="D145" s="4">
        <v>0.8</v>
      </c>
      <c r="E145" s="42">
        <v>4.0999999999999996</v>
      </c>
      <c r="F145" s="45">
        <v>199</v>
      </c>
      <c r="G145" s="44">
        <v>1.3</v>
      </c>
      <c r="H145" s="21">
        <f t="shared" si="3"/>
        <v>848.53600000000006</v>
      </c>
      <c r="I145" s="6" t="s">
        <v>2120</v>
      </c>
      <c r="J145" s="17"/>
    </row>
    <row r="146" spans="1:10" ht="13.95" customHeight="1" x14ac:dyDescent="0.3">
      <c r="A146" s="3">
        <v>45802</v>
      </c>
      <c r="B146" s="3" t="s">
        <v>16</v>
      </c>
      <c r="C146" s="3" t="s">
        <v>14</v>
      </c>
      <c r="D146" s="4">
        <v>0.7</v>
      </c>
      <c r="E146" s="42">
        <v>3.45</v>
      </c>
      <c r="F146" s="45">
        <v>199</v>
      </c>
      <c r="G146" s="44">
        <v>1.3</v>
      </c>
      <c r="H146" s="21">
        <f t="shared" si="3"/>
        <v>624.76049999999998</v>
      </c>
      <c r="I146" s="6" t="s">
        <v>238</v>
      </c>
      <c r="J146" s="17"/>
    </row>
    <row r="147" spans="1:10" ht="13.95" customHeight="1" x14ac:dyDescent="0.3">
      <c r="A147" s="3">
        <v>45803</v>
      </c>
      <c r="B147" s="3" t="s">
        <v>18</v>
      </c>
      <c r="C147" s="3" t="s">
        <v>706</v>
      </c>
      <c r="D147" s="4">
        <v>0.85</v>
      </c>
      <c r="E147" s="42">
        <v>2.4500000000000002</v>
      </c>
      <c r="F147" s="45">
        <v>199</v>
      </c>
      <c r="G147" s="44">
        <v>1.3</v>
      </c>
      <c r="H147" s="21">
        <f t="shared" si="3"/>
        <v>538.74275</v>
      </c>
      <c r="I147" s="6" t="s">
        <v>286</v>
      </c>
      <c r="J147" s="17"/>
    </row>
    <row r="148" spans="1:10" ht="13.95" customHeight="1" x14ac:dyDescent="0.3">
      <c r="A148" s="3">
        <v>45804</v>
      </c>
      <c r="B148" s="3" t="s">
        <v>20</v>
      </c>
      <c r="C148" s="3" t="s">
        <v>706</v>
      </c>
      <c r="D148" s="4">
        <v>0.9</v>
      </c>
      <c r="E148" s="42">
        <v>2.4500000000000002</v>
      </c>
      <c r="F148" s="45">
        <v>199</v>
      </c>
      <c r="G148" s="44">
        <v>1.3</v>
      </c>
      <c r="H148" s="21">
        <f t="shared" si="3"/>
        <v>570.43350000000009</v>
      </c>
      <c r="I148" s="6" t="s">
        <v>286</v>
      </c>
      <c r="J148" s="17"/>
    </row>
    <row r="149" spans="1:10" ht="13.95" customHeight="1" x14ac:dyDescent="0.3">
      <c r="A149" s="3">
        <v>45805</v>
      </c>
      <c r="B149" s="3" t="s">
        <v>5</v>
      </c>
      <c r="C149" s="3" t="s">
        <v>706</v>
      </c>
      <c r="D149" s="4">
        <v>0.9</v>
      </c>
      <c r="E149" s="42">
        <v>2.4500000000000002</v>
      </c>
      <c r="F149" s="45">
        <v>199</v>
      </c>
      <c r="G149" s="44">
        <v>1.3</v>
      </c>
      <c r="H149" s="21">
        <f t="shared" si="3"/>
        <v>570.43350000000009</v>
      </c>
      <c r="I149" s="6" t="s">
        <v>286</v>
      </c>
      <c r="J149" s="17"/>
    </row>
    <row r="150" spans="1:10" ht="13.95" customHeight="1" x14ac:dyDescent="0.3">
      <c r="A150" s="3">
        <v>45806</v>
      </c>
      <c r="B150" s="3" t="s">
        <v>8</v>
      </c>
      <c r="C150" s="3" t="s">
        <v>706</v>
      </c>
      <c r="D150" s="4">
        <v>0.85</v>
      </c>
      <c r="E150" s="42">
        <v>2.5</v>
      </c>
      <c r="F150" s="45">
        <v>199</v>
      </c>
      <c r="G150" s="44">
        <v>1.3</v>
      </c>
      <c r="H150" s="21">
        <f t="shared" si="3"/>
        <v>549.73750000000007</v>
      </c>
      <c r="I150" s="6" t="s">
        <v>286</v>
      </c>
      <c r="J150" s="17"/>
    </row>
    <row r="151" spans="1:10" ht="13.95" customHeight="1" x14ac:dyDescent="0.3">
      <c r="A151" s="3">
        <v>45807</v>
      </c>
      <c r="B151" s="3" t="s">
        <v>11</v>
      </c>
      <c r="C151" s="3" t="s">
        <v>706</v>
      </c>
      <c r="D151" s="4">
        <v>0.85</v>
      </c>
      <c r="E151" s="42">
        <v>2.6</v>
      </c>
      <c r="F151" s="45">
        <v>199</v>
      </c>
      <c r="G151" s="44">
        <v>1.3</v>
      </c>
      <c r="H151" s="21">
        <f t="shared" si="3"/>
        <v>571.72700000000009</v>
      </c>
      <c r="I151" s="6" t="s">
        <v>2092</v>
      </c>
      <c r="J151" s="17"/>
    </row>
    <row r="152" spans="1:10" ht="13.95" customHeight="1" x14ac:dyDescent="0.3">
      <c r="A152" s="3">
        <v>45808</v>
      </c>
      <c r="B152" s="3" t="s">
        <v>13</v>
      </c>
      <c r="C152" s="3" t="s">
        <v>14</v>
      </c>
      <c r="D152" s="4">
        <v>0.8</v>
      </c>
      <c r="E152" s="42">
        <v>4</v>
      </c>
      <c r="F152" s="45">
        <v>199</v>
      </c>
      <c r="G152" s="44">
        <v>1.3</v>
      </c>
      <c r="H152" s="21">
        <f t="shared" si="3"/>
        <v>827.84000000000015</v>
      </c>
      <c r="I152" s="6" t="s">
        <v>1535</v>
      </c>
      <c r="J152" s="17"/>
    </row>
    <row r="153" spans="1:10" ht="13.95" customHeight="1" x14ac:dyDescent="0.3">
      <c r="A153" s="3">
        <v>45809</v>
      </c>
      <c r="B153" s="3" t="s">
        <v>16</v>
      </c>
      <c r="C153" s="3" t="s">
        <v>14</v>
      </c>
      <c r="D153" s="4">
        <v>0.7</v>
      </c>
      <c r="E153" s="42">
        <v>3.45</v>
      </c>
      <c r="F153" s="45">
        <v>199</v>
      </c>
      <c r="G153" s="44">
        <v>1.3</v>
      </c>
      <c r="H153" s="21">
        <f t="shared" si="3"/>
        <v>624.76049999999998</v>
      </c>
      <c r="I153" s="6" t="s">
        <v>238</v>
      </c>
      <c r="J153" s="17"/>
    </row>
    <row r="154" spans="1:10" ht="13.95" customHeight="1" x14ac:dyDescent="0.3">
      <c r="A154" s="3">
        <v>45810</v>
      </c>
      <c r="B154" s="3" t="s">
        <v>18</v>
      </c>
      <c r="C154" s="3" t="s">
        <v>706</v>
      </c>
      <c r="D154" s="4">
        <v>0.9</v>
      </c>
      <c r="E154" s="42">
        <v>2.4500000000000002</v>
      </c>
      <c r="F154" s="45">
        <v>199</v>
      </c>
      <c r="G154" s="44">
        <v>1.3</v>
      </c>
      <c r="H154" s="21">
        <f t="shared" si="3"/>
        <v>570.43350000000009</v>
      </c>
      <c r="I154" s="6" t="s">
        <v>579</v>
      </c>
      <c r="J154" s="17"/>
    </row>
    <row r="155" spans="1:10" ht="13.95" customHeight="1" x14ac:dyDescent="0.3">
      <c r="A155" s="3">
        <v>45811</v>
      </c>
      <c r="B155" s="3" t="s">
        <v>20</v>
      </c>
      <c r="C155" s="3" t="s">
        <v>706</v>
      </c>
      <c r="D155" s="4">
        <v>0.95</v>
      </c>
      <c r="E155" s="42">
        <v>2.4500000000000002</v>
      </c>
      <c r="F155" s="45">
        <v>199</v>
      </c>
      <c r="G155" s="44">
        <v>1.3</v>
      </c>
      <c r="H155" s="21">
        <f t="shared" si="3"/>
        <v>602.12425000000007</v>
      </c>
      <c r="I155" s="6" t="s">
        <v>579</v>
      </c>
      <c r="J155" s="17"/>
    </row>
    <row r="156" spans="1:10" ht="13.95" customHeight="1" x14ac:dyDescent="0.3">
      <c r="A156" s="3">
        <v>45812</v>
      </c>
      <c r="B156" s="3" t="s">
        <v>5</v>
      </c>
      <c r="C156" s="3" t="s">
        <v>706</v>
      </c>
      <c r="D156" s="4">
        <v>0.85</v>
      </c>
      <c r="E156" s="42">
        <v>2.5</v>
      </c>
      <c r="F156" s="45">
        <v>199</v>
      </c>
      <c r="G156" s="44">
        <v>1.3</v>
      </c>
      <c r="H156" s="21">
        <f t="shared" si="3"/>
        <v>549.73750000000007</v>
      </c>
      <c r="I156" s="6" t="s">
        <v>1440</v>
      </c>
      <c r="J156" s="17"/>
    </row>
    <row r="157" spans="1:10" ht="13.95" customHeight="1" x14ac:dyDescent="0.3">
      <c r="A157" s="3">
        <v>45813</v>
      </c>
      <c r="B157" s="3" t="s">
        <v>8</v>
      </c>
      <c r="C157" s="3" t="s">
        <v>904</v>
      </c>
      <c r="D157" s="4">
        <v>0.75</v>
      </c>
      <c r="E157" s="42">
        <v>2.8</v>
      </c>
      <c r="F157" s="45">
        <v>199</v>
      </c>
      <c r="G157" s="44">
        <v>1.3</v>
      </c>
      <c r="H157" s="21">
        <f t="shared" si="3"/>
        <v>543.27</v>
      </c>
      <c r="I157" s="6" t="s">
        <v>2121</v>
      </c>
      <c r="J157" s="17"/>
    </row>
    <row r="158" spans="1:10" ht="13.95" customHeight="1" x14ac:dyDescent="0.3">
      <c r="A158" s="3">
        <v>45814</v>
      </c>
      <c r="B158" s="3" t="s">
        <v>11</v>
      </c>
      <c r="C158" s="3" t="s">
        <v>1142</v>
      </c>
      <c r="D158" s="4">
        <v>0.85</v>
      </c>
      <c r="E158" s="42">
        <v>3.8</v>
      </c>
      <c r="F158" s="45">
        <v>199</v>
      </c>
      <c r="G158" s="44">
        <v>1.3</v>
      </c>
      <c r="H158" s="21">
        <f t="shared" si="3"/>
        <v>835.601</v>
      </c>
      <c r="I158" s="6" t="s">
        <v>2122</v>
      </c>
      <c r="J158" s="17"/>
    </row>
    <row r="159" spans="1:10" ht="13.95" customHeight="1" x14ac:dyDescent="0.3">
      <c r="A159" s="3">
        <v>45815</v>
      </c>
      <c r="B159" s="3" t="s">
        <v>13</v>
      </c>
      <c r="C159" s="3" t="s">
        <v>1142</v>
      </c>
      <c r="D159" s="4">
        <v>0.9</v>
      </c>
      <c r="E159" s="42">
        <v>4.0999999999999996</v>
      </c>
      <c r="F159" s="45">
        <v>199</v>
      </c>
      <c r="G159" s="44">
        <v>1.3</v>
      </c>
      <c r="H159" s="21">
        <f t="shared" si="3"/>
        <v>954.60299999999995</v>
      </c>
      <c r="I159" s="6" t="s">
        <v>2123</v>
      </c>
      <c r="J159" s="17"/>
    </row>
    <row r="160" spans="1:10" ht="13.95" customHeight="1" x14ac:dyDescent="0.3">
      <c r="A160" s="3">
        <v>45816</v>
      </c>
      <c r="B160" s="3" t="s">
        <v>16</v>
      </c>
      <c r="C160" s="3" t="s">
        <v>1344</v>
      </c>
      <c r="D160" s="4">
        <v>0.8</v>
      </c>
      <c r="E160" s="42">
        <v>3.6</v>
      </c>
      <c r="F160" s="45">
        <v>199</v>
      </c>
      <c r="G160" s="44">
        <v>1.3</v>
      </c>
      <c r="H160" s="21">
        <f t="shared" si="3"/>
        <v>745.05600000000015</v>
      </c>
      <c r="I160" s="6" t="s">
        <v>576</v>
      </c>
      <c r="J160" s="17"/>
    </row>
    <row r="161" spans="1:10" ht="13.95" customHeight="1" x14ac:dyDescent="0.3">
      <c r="A161" s="3">
        <v>45817</v>
      </c>
      <c r="B161" s="3" t="s">
        <v>18</v>
      </c>
      <c r="C161" s="3" t="s">
        <v>706</v>
      </c>
      <c r="D161" s="4">
        <v>0.7</v>
      </c>
      <c r="E161" s="42">
        <v>2.4</v>
      </c>
      <c r="F161" s="45">
        <v>199</v>
      </c>
      <c r="G161" s="44">
        <v>1.3</v>
      </c>
      <c r="H161" s="21">
        <f t="shared" si="3"/>
        <v>434.61599999999993</v>
      </c>
      <c r="I161" s="6" t="s">
        <v>726</v>
      </c>
      <c r="J161" s="17"/>
    </row>
    <row r="162" spans="1:10" ht="13.95" customHeight="1" x14ac:dyDescent="0.3">
      <c r="A162" s="3">
        <v>45818</v>
      </c>
      <c r="B162" s="3" t="s">
        <v>20</v>
      </c>
      <c r="C162" s="3" t="s">
        <v>706</v>
      </c>
      <c r="D162" s="4">
        <v>0.85</v>
      </c>
      <c r="E162" s="42">
        <v>2.4500000000000002</v>
      </c>
      <c r="F162" s="45">
        <v>199</v>
      </c>
      <c r="G162" s="44">
        <v>1.3</v>
      </c>
      <c r="H162" s="21">
        <f t="shared" si="3"/>
        <v>538.74275</v>
      </c>
      <c r="I162" s="6" t="s">
        <v>286</v>
      </c>
      <c r="J162" s="17"/>
    </row>
    <row r="163" spans="1:10" ht="13.95" customHeight="1" x14ac:dyDescent="0.3">
      <c r="A163" s="3">
        <v>45819</v>
      </c>
      <c r="B163" s="3" t="s">
        <v>5</v>
      </c>
      <c r="C163" s="3" t="s">
        <v>706</v>
      </c>
      <c r="D163" s="4">
        <v>0.9</v>
      </c>
      <c r="E163" s="42">
        <v>2.4500000000000002</v>
      </c>
      <c r="F163" s="45">
        <v>199</v>
      </c>
      <c r="G163" s="44">
        <v>1.3</v>
      </c>
      <c r="H163" s="21">
        <f t="shared" si="3"/>
        <v>570.43350000000009</v>
      </c>
      <c r="I163" s="6" t="s">
        <v>286</v>
      </c>
      <c r="J163" s="17"/>
    </row>
    <row r="164" spans="1:10" ht="13.95" customHeight="1" x14ac:dyDescent="0.3">
      <c r="A164" s="3">
        <v>45820</v>
      </c>
      <c r="B164" s="3" t="s">
        <v>8</v>
      </c>
      <c r="C164" s="3" t="s">
        <v>706</v>
      </c>
      <c r="D164" s="4">
        <v>0.9</v>
      </c>
      <c r="E164" s="42">
        <v>2.4500000000000002</v>
      </c>
      <c r="F164" s="45">
        <v>199</v>
      </c>
      <c r="G164" s="44">
        <v>1.3</v>
      </c>
      <c r="H164" s="21">
        <f t="shared" si="3"/>
        <v>570.43350000000009</v>
      </c>
      <c r="I164" s="6" t="s">
        <v>339</v>
      </c>
      <c r="J164" s="17"/>
    </row>
    <row r="165" spans="1:10" ht="13.95" customHeight="1" x14ac:dyDescent="0.3">
      <c r="A165" s="3">
        <v>45821</v>
      </c>
      <c r="B165" s="3" t="s">
        <v>11</v>
      </c>
      <c r="C165" s="3" t="s">
        <v>706</v>
      </c>
      <c r="D165" s="4">
        <v>0.85</v>
      </c>
      <c r="E165" s="42">
        <v>2.6</v>
      </c>
      <c r="F165" s="45">
        <v>199</v>
      </c>
      <c r="G165" s="44">
        <v>1.3</v>
      </c>
      <c r="H165" s="21">
        <f t="shared" si="3"/>
        <v>571.72700000000009</v>
      </c>
      <c r="I165" s="6" t="s">
        <v>2081</v>
      </c>
      <c r="J165" s="17"/>
    </row>
    <row r="166" spans="1:10" ht="13.95" customHeight="1" x14ac:dyDescent="0.3">
      <c r="A166" s="3">
        <v>45822</v>
      </c>
      <c r="B166" s="3" t="s">
        <v>13</v>
      </c>
      <c r="C166" s="3" t="s">
        <v>14</v>
      </c>
      <c r="D166" s="4">
        <v>0.75</v>
      </c>
      <c r="E166" s="42">
        <v>4.1500000000000004</v>
      </c>
      <c r="F166" s="45">
        <v>199</v>
      </c>
      <c r="G166" s="44">
        <v>1.3</v>
      </c>
      <c r="H166" s="21">
        <f t="shared" si="3"/>
        <v>805.20375000000013</v>
      </c>
      <c r="I166" s="6" t="s">
        <v>1803</v>
      </c>
      <c r="J166" s="17"/>
    </row>
    <row r="167" spans="1:10" ht="13.95" customHeight="1" x14ac:dyDescent="0.3">
      <c r="A167" s="3">
        <v>45823</v>
      </c>
      <c r="B167" s="3" t="s">
        <v>16</v>
      </c>
      <c r="C167" s="3" t="s">
        <v>14</v>
      </c>
      <c r="D167" s="4">
        <v>0.7</v>
      </c>
      <c r="E167" s="42">
        <v>3.5</v>
      </c>
      <c r="F167" s="45">
        <v>199</v>
      </c>
      <c r="G167" s="44">
        <v>1.3</v>
      </c>
      <c r="H167" s="21">
        <f t="shared" si="3"/>
        <v>633.81499999999994</v>
      </c>
      <c r="I167" s="6" t="s">
        <v>2118</v>
      </c>
      <c r="J167" s="17"/>
    </row>
    <row r="168" spans="1:10" ht="13.95" customHeight="1" x14ac:dyDescent="0.3">
      <c r="A168" s="3">
        <v>45824</v>
      </c>
      <c r="B168" s="3" t="s">
        <v>18</v>
      </c>
      <c r="C168" s="3" t="s">
        <v>706</v>
      </c>
      <c r="D168" s="4">
        <v>0.85</v>
      </c>
      <c r="E168" s="42">
        <v>2.4500000000000002</v>
      </c>
      <c r="F168" s="45">
        <v>199</v>
      </c>
      <c r="G168" s="44">
        <v>1.3</v>
      </c>
      <c r="H168" s="21">
        <f t="shared" si="3"/>
        <v>538.74275</v>
      </c>
      <c r="I168" s="6" t="s">
        <v>286</v>
      </c>
      <c r="J168" s="17"/>
    </row>
    <row r="169" spans="1:10" ht="13.95" customHeight="1" x14ac:dyDescent="0.3">
      <c r="A169" s="3">
        <v>45825</v>
      </c>
      <c r="B169" s="3" t="s">
        <v>20</v>
      </c>
      <c r="C169" s="3" t="s">
        <v>706</v>
      </c>
      <c r="D169" s="4">
        <v>0.9</v>
      </c>
      <c r="E169" s="42">
        <v>2.4500000000000002</v>
      </c>
      <c r="F169" s="45">
        <v>199</v>
      </c>
      <c r="G169" s="44">
        <v>1.3</v>
      </c>
      <c r="H169" s="21">
        <f t="shared" si="3"/>
        <v>570.43350000000009</v>
      </c>
      <c r="I169" s="6" t="s">
        <v>286</v>
      </c>
      <c r="J169" s="17"/>
    </row>
    <row r="170" spans="1:10" ht="13.95" customHeight="1" x14ac:dyDescent="0.3">
      <c r="A170" s="3">
        <v>45826</v>
      </c>
      <c r="B170" s="3" t="s">
        <v>5</v>
      </c>
      <c r="C170" s="3" t="s">
        <v>706</v>
      </c>
      <c r="D170" s="4">
        <v>0.9</v>
      </c>
      <c r="E170" s="42">
        <v>2.4500000000000002</v>
      </c>
      <c r="F170" s="45">
        <v>199</v>
      </c>
      <c r="G170" s="44">
        <v>1.3</v>
      </c>
      <c r="H170" s="21">
        <f t="shared" si="3"/>
        <v>570.43350000000009</v>
      </c>
      <c r="I170" s="6" t="s">
        <v>286</v>
      </c>
      <c r="J170" s="17"/>
    </row>
    <row r="171" spans="1:10" ht="13.95" customHeight="1" x14ac:dyDescent="0.3">
      <c r="A171" s="3">
        <v>45827</v>
      </c>
      <c r="B171" s="3" t="s">
        <v>8</v>
      </c>
      <c r="C171" s="3" t="s">
        <v>706</v>
      </c>
      <c r="D171" s="4">
        <v>0.85</v>
      </c>
      <c r="E171" s="42">
        <v>2.5</v>
      </c>
      <c r="F171" s="45">
        <v>199</v>
      </c>
      <c r="G171" s="44">
        <v>1.3</v>
      </c>
      <c r="H171" s="21">
        <f t="shared" si="3"/>
        <v>549.73750000000007</v>
      </c>
      <c r="I171" s="6" t="s">
        <v>286</v>
      </c>
      <c r="J171" s="17"/>
    </row>
    <row r="172" spans="1:10" ht="13.95" customHeight="1" x14ac:dyDescent="0.3">
      <c r="A172" s="3">
        <v>45828</v>
      </c>
      <c r="B172" s="3" t="s">
        <v>11</v>
      </c>
      <c r="C172" s="3" t="s">
        <v>706</v>
      </c>
      <c r="D172" s="4">
        <v>0.8</v>
      </c>
      <c r="E172" s="42">
        <v>2.65</v>
      </c>
      <c r="F172" s="45">
        <v>199</v>
      </c>
      <c r="G172" s="44">
        <v>1.3</v>
      </c>
      <c r="H172" s="21">
        <f t="shared" si="3"/>
        <v>548.44400000000007</v>
      </c>
      <c r="I172" s="6" t="s">
        <v>2092</v>
      </c>
      <c r="J172" s="17"/>
    </row>
    <row r="173" spans="1:10" ht="13.95" customHeight="1" x14ac:dyDescent="0.3">
      <c r="A173" s="3">
        <v>45829</v>
      </c>
      <c r="B173" s="3" t="s">
        <v>13</v>
      </c>
      <c r="C173" s="3" t="s">
        <v>14</v>
      </c>
      <c r="D173" s="4">
        <v>0.8</v>
      </c>
      <c r="E173" s="42">
        <v>4.2</v>
      </c>
      <c r="F173" s="45">
        <v>199</v>
      </c>
      <c r="G173" s="44">
        <v>1.3</v>
      </c>
      <c r="H173" s="21">
        <f t="shared" si="3"/>
        <v>869.2320000000002</v>
      </c>
      <c r="I173" s="6" t="s">
        <v>2124</v>
      </c>
      <c r="J173" s="17"/>
    </row>
    <row r="174" spans="1:10" ht="13.95" customHeight="1" x14ac:dyDescent="0.3">
      <c r="A174" s="3">
        <v>45830</v>
      </c>
      <c r="B174" s="3" t="s">
        <v>16</v>
      </c>
      <c r="C174" s="3" t="s">
        <v>14</v>
      </c>
      <c r="D174" s="4">
        <v>0.75</v>
      </c>
      <c r="E174" s="42">
        <v>3.55</v>
      </c>
      <c r="F174" s="45">
        <v>199</v>
      </c>
      <c r="G174" s="44">
        <v>1.3</v>
      </c>
      <c r="H174" s="21">
        <f t="shared" si="3"/>
        <v>688.78875000000005</v>
      </c>
      <c r="I174" s="6" t="s">
        <v>238</v>
      </c>
      <c r="J174" s="17"/>
    </row>
    <row r="175" spans="1:10" ht="13.95" customHeight="1" x14ac:dyDescent="0.3">
      <c r="A175" s="3">
        <v>45831</v>
      </c>
      <c r="B175" s="3" t="s">
        <v>18</v>
      </c>
      <c r="C175" s="3" t="s">
        <v>706</v>
      </c>
      <c r="D175" s="4">
        <v>0.85</v>
      </c>
      <c r="E175" s="42">
        <v>2.4500000000000002</v>
      </c>
      <c r="F175" s="45">
        <v>199</v>
      </c>
      <c r="G175" s="44">
        <v>1.3</v>
      </c>
      <c r="H175" s="21">
        <f t="shared" si="3"/>
        <v>538.74275</v>
      </c>
      <c r="I175" s="6" t="s">
        <v>286</v>
      </c>
      <c r="J175" s="17"/>
    </row>
    <row r="176" spans="1:10" ht="13.95" customHeight="1" x14ac:dyDescent="0.3">
      <c r="A176" s="3">
        <v>45832</v>
      </c>
      <c r="B176" s="3" t="s">
        <v>20</v>
      </c>
      <c r="C176" s="3" t="s">
        <v>706</v>
      </c>
      <c r="D176" s="4">
        <v>0.9</v>
      </c>
      <c r="E176" s="42">
        <v>2.4500000000000002</v>
      </c>
      <c r="F176" s="45">
        <v>199</v>
      </c>
      <c r="G176" s="44">
        <v>1.3</v>
      </c>
      <c r="H176" s="21">
        <f t="shared" si="3"/>
        <v>570.43350000000009</v>
      </c>
      <c r="I176" s="6" t="s">
        <v>286</v>
      </c>
      <c r="J176" s="17"/>
    </row>
    <row r="177" spans="1:10" ht="13.95" customHeight="1" x14ac:dyDescent="0.3">
      <c r="A177" s="3">
        <v>45833</v>
      </c>
      <c r="B177" s="3" t="s">
        <v>5</v>
      </c>
      <c r="C177" s="3" t="s">
        <v>706</v>
      </c>
      <c r="D177" s="4">
        <v>0.85</v>
      </c>
      <c r="E177" s="42">
        <v>2.4500000000000002</v>
      </c>
      <c r="F177" s="45">
        <v>199</v>
      </c>
      <c r="G177" s="44">
        <v>1.3</v>
      </c>
      <c r="H177" s="21">
        <f t="shared" si="3"/>
        <v>538.74275</v>
      </c>
      <c r="I177" s="6" t="s">
        <v>286</v>
      </c>
      <c r="J177" s="17"/>
    </row>
    <row r="178" spans="1:10" ht="13.95" customHeight="1" x14ac:dyDescent="0.3">
      <c r="A178" s="3">
        <v>45834</v>
      </c>
      <c r="B178" s="3" t="s">
        <v>8</v>
      </c>
      <c r="C178" s="3" t="s">
        <v>706</v>
      </c>
      <c r="D178" s="4">
        <v>0.85</v>
      </c>
      <c r="E178" s="42">
        <v>2.5</v>
      </c>
      <c r="F178" s="45">
        <v>199</v>
      </c>
      <c r="G178" s="44">
        <v>1.3</v>
      </c>
      <c r="H178" s="21">
        <f t="shared" si="3"/>
        <v>549.73750000000007</v>
      </c>
      <c r="I178" s="6" t="s">
        <v>286</v>
      </c>
      <c r="J178" s="17"/>
    </row>
    <row r="179" spans="1:10" ht="13.95" customHeight="1" x14ac:dyDescent="0.3">
      <c r="A179" s="3">
        <v>45835</v>
      </c>
      <c r="B179" s="3" t="s">
        <v>11</v>
      </c>
      <c r="C179" s="3" t="s">
        <v>706</v>
      </c>
      <c r="D179" s="4">
        <v>0.8</v>
      </c>
      <c r="E179" s="42">
        <v>2.7</v>
      </c>
      <c r="F179" s="45">
        <v>199</v>
      </c>
      <c r="G179" s="44">
        <v>1.3</v>
      </c>
      <c r="H179" s="21">
        <f t="shared" si="3"/>
        <v>558.79200000000014</v>
      </c>
      <c r="I179" s="6" t="s">
        <v>2125</v>
      </c>
      <c r="J179" s="17"/>
    </row>
    <row r="180" spans="1:10" ht="13.95" customHeight="1" x14ac:dyDescent="0.3">
      <c r="A180" s="3">
        <v>45836</v>
      </c>
      <c r="B180" s="3" t="s">
        <v>13</v>
      </c>
      <c r="C180" s="3" t="s">
        <v>995</v>
      </c>
      <c r="D180" s="4">
        <v>0.85</v>
      </c>
      <c r="E180" s="42">
        <v>4.25</v>
      </c>
      <c r="F180" s="45">
        <v>199</v>
      </c>
      <c r="G180" s="44">
        <v>1.3</v>
      </c>
      <c r="H180" s="21">
        <f t="shared" si="3"/>
        <v>934.55375000000004</v>
      </c>
      <c r="I180" s="6" t="s">
        <v>1811</v>
      </c>
      <c r="J180" s="17"/>
    </row>
    <row r="181" spans="1:10" ht="13.95" customHeight="1" x14ac:dyDescent="0.3">
      <c r="A181" s="3">
        <v>45837</v>
      </c>
      <c r="B181" s="3" t="s">
        <v>16</v>
      </c>
      <c r="C181" s="3" t="s">
        <v>14</v>
      </c>
      <c r="D181" s="4">
        <v>0.75</v>
      </c>
      <c r="E181" s="42">
        <v>3.6</v>
      </c>
      <c r="F181" s="45">
        <v>199</v>
      </c>
      <c r="G181" s="44">
        <v>1.3</v>
      </c>
      <c r="H181" s="21">
        <f t="shared" si="3"/>
        <v>698.49000000000012</v>
      </c>
      <c r="I181" s="6" t="s">
        <v>69</v>
      </c>
      <c r="J181" s="17"/>
    </row>
    <row r="182" spans="1:10" ht="13.95" customHeight="1" x14ac:dyDescent="0.3">
      <c r="A182" s="3">
        <v>45838</v>
      </c>
      <c r="B182" s="3" t="s">
        <v>18</v>
      </c>
      <c r="C182" s="3" t="s">
        <v>706</v>
      </c>
      <c r="D182" s="4">
        <v>0.85</v>
      </c>
      <c r="E182" s="42">
        <v>2.5</v>
      </c>
      <c r="F182" s="45">
        <v>199</v>
      </c>
      <c r="G182" s="44">
        <v>1.3</v>
      </c>
      <c r="H182" s="21">
        <f t="shared" si="3"/>
        <v>549.73750000000007</v>
      </c>
      <c r="I182" s="6" t="s">
        <v>1607</v>
      </c>
      <c r="J182" s="17"/>
    </row>
    <row r="183" spans="1:10" ht="13.95" customHeight="1" x14ac:dyDescent="0.3">
      <c r="A183" s="3">
        <v>45839</v>
      </c>
      <c r="B183" s="3" t="s">
        <v>20</v>
      </c>
      <c r="C183" s="3" t="s">
        <v>1347</v>
      </c>
      <c r="D183" s="4">
        <v>0.8</v>
      </c>
      <c r="E183" s="42">
        <v>2.4500000000000002</v>
      </c>
      <c r="F183" s="45">
        <v>199</v>
      </c>
      <c r="G183" s="44">
        <v>1.4</v>
      </c>
      <c r="H183" s="21">
        <f t="shared" si="3"/>
        <v>546.05600000000004</v>
      </c>
      <c r="I183" s="6" t="s">
        <v>2126</v>
      </c>
      <c r="J183" s="17"/>
    </row>
    <row r="184" spans="1:10" ht="13.95" customHeight="1" x14ac:dyDescent="0.3">
      <c r="A184" s="3">
        <v>45840</v>
      </c>
      <c r="B184" s="3" t="s">
        <v>5</v>
      </c>
      <c r="C184" s="3" t="s">
        <v>1347</v>
      </c>
      <c r="D184" s="4">
        <v>0.8</v>
      </c>
      <c r="E184" s="42">
        <v>2.4</v>
      </c>
      <c r="F184" s="45">
        <v>199</v>
      </c>
      <c r="G184" s="44">
        <v>1.4</v>
      </c>
      <c r="H184" s="21">
        <f t="shared" si="3"/>
        <v>534.91200000000003</v>
      </c>
      <c r="I184" s="6" t="s">
        <v>2081</v>
      </c>
      <c r="J184" s="17"/>
    </row>
    <row r="185" spans="1:10" ht="13.95" customHeight="1" x14ac:dyDescent="0.3">
      <c r="A185" s="3">
        <v>45841</v>
      </c>
      <c r="B185" s="3" t="s">
        <v>8</v>
      </c>
      <c r="C185" s="3" t="s">
        <v>1347</v>
      </c>
      <c r="D185" s="4">
        <v>0.85</v>
      </c>
      <c r="E185" s="42">
        <v>2.5</v>
      </c>
      <c r="F185" s="45">
        <v>199</v>
      </c>
      <c r="G185" s="44">
        <v>1.4</v>
      </c>
      <c r="H185" s="21">
        <f t="shared" si="3"/>
        <v>592.02499999999998</v>
      </c>
      <c r="I185" s="6" t="s">
        <v>339</v>
      </c>
      <c r="J185" s="17"/>
    </row>
    <row r="186" spans="1:10" ht="13.95" customHeight="1" x14ac:dyDescent="0.3">
      <c r="A186" s="3">
        <v>45842</v>
      </c>
      <c r="B186" s="3" t="s">
        <v>11</v>
      </c>
      <c r="C186" s="3" t="s">
        <v>829</v>
      </c>
      <c r="D186" s="4">
        <v>0.8</v>
      </c>
      <c r="E186" s="42">
        <v>2.75</v>
      </c>
      <c r="F186" s="45">
        <v>199</v>
      </c>
      <c r="G186" s="44">
        <v>1.4</v>
      </c>
      <c r="H186" s="21">
        <f t="shared" si="3"/>
        <v>612.92000000000007</v>
      </c>
      <c r="I186" s="6" t="s">
        <v>2127</v>
      </c>
      <c r="J186" s="17"/>
    </row>
    <row r="187" spans="1:10" ht="13.95" customHeight="1" x14ac:dyDescent="0.3">
      <c r="A187" s="3">
        <v>45843</v>
      </c>
      <c r="B187" s="3" t="s">
        <v>13</v>
      </c>
      <c r="C187" s="3" t="s">
        <v>829</v>
      </c>
      <c r="D187" s="4">
        <v>0.85</v>
      </c>
      <c r="E187" s="42">
        <v>4.3499999999999996</v>
      </c>
      <c r="F187" s="45">
        <v>199</v>
      </c>
      <c r="G187" s="44">
        <v>1.4</v>
      </c>
      <c r="H187" s="21">
        <f t="shared" si="3"/>
        <v>1030.1234999999999</v>
      </c>
      <c r="I187" s="6" t="s">
        <v>2128</v>
      </c>
      <c r="J187" s="17"/>
    </row>
    <row r="188" spans="1:10" ht="13.95" customHeight="1" x14ac:dyDescent="0.3">
      <c r="A188" s="3">
        <v>45844</v>
      </c>
      <c r="B188" s="3" t="s">
        <v>16</v>
      </c>
      <c r="C188" s="3" t="s">
        <v>829</v>
      </c>
      <c r="D188" s="4">
        <v>0.75</v>
      </c>
      <c r="E188" s="42">
        <v>3.6</v>
      </c>
      <c r="F188" s="45">
        <v>199</v>
      </c>
      <c r="G188" s="44">
        <v>1.4</v>
      </c>
      <c r="H188" s="21">
        <f t="shared" si="3"/>
        <v>752.22</v>
      </c>
      <c r="I188" s="6" t="s">
        <v>238</v>
      </c>
      <c r="J188" s="17"/>
    </row>
    <row r="189" spans="1:10" ht="13.95" customHeight="1" x14ac:dyDescent="0.3">
      <c r="A189" s="3">
        <v>45845</v>
      </c>
      <c r="B189" s="3" t="s">
        <v>18</v>
      </c>
      <c r="C189" s="3" t="s">
        <v>1347</v>
      </c>
      <c r="D189" s="4">
        <v>0.75</v>
      </c>
      <c r="E189" s="42">
        <v>2.4</v>
      </c>
      <c r="F189" s="45">
        <v>199</v>
      </c>
      <c r="G189" s="44">
        <v>1.4</v>
      </c>
      <c r="H189" s="21">
        <f t="shared" si="3"/>
        <v>501.47999999999996</v>
      </c>
      <c r="I189" s="6" t="s">
        <v>603</v>
      </c>
      <c r="J189" s="17"/>
    </row>
    <row r="190" spans="1:10" ht="13.95" customHeight="1" x14ac:dyDescent="0.3">
      <c r="A190" s="3">
        <v>45846</v>
      </c>
      <c r="B190" s="3" t="s">
        <v>20</v>
      </c>
      <c r="C190" s="3" t="s">
        <v>1347</v>
      </c>
      <c r="D190" s="4">
        <v>0.8</v>
      </c>
      <c r="E190" s="42">
        <v>2.4500000000000002</v>
      </c>
      <c r="F190" s="45">
        <v>199</v>
      </c>
      <c r="G190" s="44">
        <v>1.4</v>
      </c>
      <c r="H190" s="21">
        <f t="shared" si="3"/>
        <v>546.05600000000004</v>
      </c>
      <c r="I190" s="6" t="s">
        <v>605</v>
      </c>
      <c r="J190" s="17"/>
    </row>
    <row r="191" spans="1:10" ht="13.95" customHeight="1" x14ac:dyDescent="0.3">
      <c r="A191" s="3">
        <v>45847</v>
      </c>
      <c r="B191" s="3" t="s">
        <v>5</v>
      </c>
      <c r="C191" s="3" t="s">
        <v>1347</v>
      </c>
      <c r="D191" s="4">
        <v>0.8</v>
      </c>
      <c r="E191" s="42">
        <v>2.4500000000000002</v>
      </c>
      <c r="F191" s="45">
        <v>199</v>
      </c>
      <c r="G191" s="44">
        <v>1.4</v>
      </c>
      <c r="H191" s="21">
        <f t="shared" si="3"/>
        <v>546.05600000000004</v>
      </c>
      <c r="I191" s="6" t="s">
        <v>286</v>
      </c>
      <c r="J191" s="17"/>
    </row>
    <row r="192" spans="1:10" ht="13.95" customHeight="1" x14ac:dyDescent="0.3">
      <c r="A192" s="3">
        <v>45848</v>
      </c>
      <c r="B192" s="3" t="s">
        <v>8</v>
      </c>
      <c r="C192" s="3" t="s">
        <v>1347</v>
      </c>
      <c r="D192" s="4">
        <v>0.85</v>
      </c>
      <c r="E192" s="42">
        <v>2.5499999999999998</v>
      </c>
      <c r="F192" s="45">
        <v>199</v>
      </c>
      <c r="G192" s="44">
        <v>1.4</v>
      </c>
      <c r="H192" s="21">
        <f t="shared" si="3"/>
        <v>603.86549999999988</v>
      </c>
      <c r="I192" s="6" t="s">
        <v>717</v>
      </c>
      <c r="J192" s="17"/>
    </row>
    <row r="193" spans="1:10" ht="13.95" customHeight="1" x14ac:dyDescent="0.3">
      <c r="A193" s="3">
        <v>45849</v>
      </c>
      <c r="B193" s="3" t="s">
        <v>11</v>
      </c>
      <c r="C193" s="3" t="s">
        <v>829</v>
      </c>
      <c r="D193" s="4">
        <v>0.8</v>
      </c>
      <c r="E193" s="42">
        <v>2.8</v>
      </c>
      <c r="F193" s="45">
        <v>199</v>
      </c>
      <c r="G193" s="44">
        <v>1.4</v>
      </c>
      <c r="H193" s="21">
        <f t="shared" si="3"/>
        <v>624.06400000000008</v>
      </c>
      <c r="I193" s="6" t="s">
        <v>2081</v>
      </c>
      <c r="J193" s="17"/>
    </row>
    <row r="194" spans="1:10" ht="13.95" customHeight="1" x14ac:dyDescent="0.3">
      <c r="A194" s="3">
        <v>45850</v>
      </c>
      <c r="B194" s="3" t="s">
        <v>13</v>
      </c>
      <c r="C194" s="3" t="s">
        <v>829</v>
      </c>
      <c r="D194" s="4">
        <v>0.9</v>
      </c>
      <c r="E194" s="42">
        <v>4.4000000000000004</v>
      </c>
      <c r="F194" s="45">
        <v>199</v>
      </c>
      <c r="G194" s="44">
        <v>1.4</v>
      </c>
      <c r="H194" s="21">
        <f t="shared" si="3"/>
        <v>1103.2560000000001</v>
      </c>
      <c r="I194" s="6" t="s">
        <v>2129</v>
      </c>
      <c r="J194" s="17"/>
    </row>
    <row r="195" spans="1:10" ht="13.95" customHeight="1" x14ac:dyDescent="0.3">
      <c r="A195" s="3">
        <v>45851</v>
      </c>
      <c r="B195" s="3" t="s">
        <v>16</v>
      </c>
      <c r="C195" s="3" t="s">
        <v>829</v>
      </c>
      <c r="D195" s="4">
        <v>0.8</v>
      </c>
      <c r="E195" s="42">
        <v>3.65</v>
      </c>
      <c r="F195" s="45">
        <v>199</v>
      </c>
      <c r="G195" s="44">
        <v>1.4</v>
      </c>
      <c r="H195" s="21">
        <f t="shared" si="3"/>
        <v>813.51200000000006</v>
      </c>
      <c r="I195" s="6" t="s">
        <v>181</v>
      </c>
      <c r="J195" s="17"/>
    </row>
    <row r="196" spans="1:10" ht="13.95" customHeight="1" x14ac:dyDescent="0.3">
      <c r="A196" s="3">
        <v>45852</v>
      </c>
      <c r="B196" s="3" t="s">
        <v>18</v>
      </c>
      <c r="C196" s="3" t="s">
        <v>1347</v>
      </c>
      <c r="D196" s="4">
        <v>0.85</v>
      </c>
      <c r="E196" s="42">
        <v>2.5</v>
      </c>
      <c r="F196" s="45">
        <v>199</v>
      </c>
      <c r="G196" s="44">
        <v>1.4</v>
      </c>
      <c r="H196" s="21">
        <f t="shared" si="3"/>
        <v>592.02499999999998</v>
      </c>
      <c r="I196" s="6" t="s">
        <v>609</v>
      </c>
      <c r="J196" s="17"/>
    </row>
    <row r="197" spans="1:10" ht="13.95" customHeight="1" x14ac:dyDescent="0.3">
      <c r="A197" s="3">
        <v>45853</v>
      </c>
      <c r="B197" s="3" t="s">
        <v>20</v>
      </c>
      <c r="C197" s="3" t="s">
        <v>1347</v>
      </c>
      <c r="D197" s="4">
        <v>0.85</v>
      </c>
      <c r="E197" s="42">
        <v>2.4500000000000002</v>
      </c>
      <c r="F197" s="45">
        <v>199</v>
      </c>
      <c r="G197" s="44">
        <v>1.4</v>
      </c>
      <c r="H197" s="21">
        <f t="shared" ref="H197:H260" si="4">(F197*D197)*E197*G197</f>
        <v>580.18449999999996</v>
      </c>
      <c r="I197" s="6" t="s">
        <v>717</v>
      </c>
      <c r="J197" s="17"/>
    </row>
    <row r="198" spans="1:10" ht="13.95" customHeight="1" x14ac:dyDescent="0.3">
      <c r="A198" s="3">
        <v>45854</v>
      </c>
      <c r="B198" s="3" t="s">
        <v>5</v>
      </c>
      <c r="C198" s="3" t="s">
        <v>1347</v>
      </c>
      <c r="D198" s="4">
        <v>0.8</v>
      </c>
      <c r="E198" s="42">
        <v>2.4500000000000002</v>
      </c>
      <c r="F198" s="45">
        <v>199</v>
      </c>
      <c r="G198" s="44">
        <v>1.4</v>
      </c>
      <c r="H198" s="21">
        <f t="shared" si="4"/>
        <v>546.05600000000004</v>
      </c>
      <c r="I198" s="6" t="s">
        <v>717</v>
      </c>
      <c r="J198" s="17"/>
    </row>
    <row r="199" spans="1:10" ht="13.95" customHeight="1" x14ac:dyDescent="0.3">
      <c r="A199" s="3">
        <v>45855</v>
      </c>
      <c r="B199" s="3" t="s">
        <v>8</v>
      </c>
      <c r="C199" s="3" t="s">
        <v>1347</v>
      </c>
      <c r="D199" s="4">
        <v>0.85</v>
      </c>
      <c r="E199" s="42">
        <v>2.6</v>
      </c>
      <c r="F199" s="45">
        <v>199</v>
      </c>
      <c r="G199" s="44">
        <v>1.4</v>
      </c>
      <c r="H199" s="21">
        <f t="shared" si="4"/>
        <v>615.70600000000002</v>
      </c>
      <c r="I199" s="6" t="s">
        <v>67</v>
      </c>
      <c r="J199" s="17"/>
    </row>
    <row r="200" spans="1:10" ht="13.95" customHeight="1" x14ac:dyDescent="0.3">
      <c r="A200" s="3">
        <v>45856</v>
      </c>
      <c r="B200" s="3" t="s">
        <v>11</v>
      </c>
      <c r="C200" s="3" t="s">
        <v>829</v>
      </c>
      <c r="D200" s="4">
        <v>0.85</v>
      </c>
      <c r="E200" s="42">
        <v>2.85</v>
      </c>
      <c r="F200" s="45">
        <v>199</v>
      </c>
      <c r="G200" s="44">
        <v>1.4</v>
      </c>
      <c r="H200" s="21">
        <f t="shared" si="4"/>
        <v>674.9085</v>
      </c>
      <c r="I200" s="6" t="s">
        <v>2130</v>
      </c>
      <c r="J200" s="17"/>
    </row>
    <row r="201" spans="1:10" ht="13.95" customHeight="1" x14ac:dyDescent="0.3">
      <c r="A201" s="3">
        <v>45857</v>
      </c>
      <c r="B201" s="3" t="s">
        <v>13</v>
      </c>
      <c r="C201" s="3" t="s">
        <v>829</v>
      </c>
      <c r="D201" s="4">
        <v>0.95</v>
      </c>
      <c r="E201" s="42">
        <v>4.45</v>
      </c>
      <c r="F201" s="45">
        <v>199</v>
      </c>
      <c r="G201" s="44">
        <v>1.4</v>
      </c>
      <c r="H201" s="21">
        <f t="shared" si="4"/>
        <v>1177.7814999999998</v>
      </c>
      <c r="I201" s="6" t="s">
        <v>1525</v>
      </c>
      <c r="J201" s="17"/>
    </row>
    <row r="202" spans="1:10" ht="13.95" customHeight="1" x14ac:dyDescent="0.3">
      <c r="A202" s="3">
        <v>45858</v>
      </c>
      <c r="B202" s="3" t="s">
        <v>16</v>
      </c>
      <c r="C202" s="3" t="s">
        <v>829</v>
      </c>
      <c r="D202" s="4">
        <v>0.85</v>
      </c>
      <c r="E202" s="42">
        <v>3.7</v>
      </c>
      <c r="F202" s="45">
        <v>199</v>
      </c>
      <c r="G202" s="44">
        <v>1.4</v>
      </c>
      <c r="H202" s="21">
        <f t="shared" si="4"/>
        <v>876.197</v>
      </c>
      <c r="I202" s="6" t="s">
        <v>159</v>
      </c>
      <c r="J202" s="17"/>
    </row>
    <row r="203" spans="1:10" ht="13.95" customHeight="1" x14ac:dyDescent="0.3">
      <c r="A203" s="3">
        <v>45859</v>
      </c>
      <c r="B203" s="3" t="s">
        <v>18</v>
      </c>
      <c r="C203" s="3" t="s">
        <v>1347</v>
      </c>
      <c r="D203" s="4">
        <v>0.8</v>
      </c>
      <c r="E203" s="42">
        <v>2.5</v>
      </c>
      <c r="F203" s="45">
        <v>199</v>
      </c>
      <c r="G203" s="44">
        <v>1.4</v>
      </c>
      <c r="H203" s="21">
        <f t="shared" si="4"/>
        <v>557.20000000000005</v>
      </c>
      <c r="I203" s="6" t="s">
        <v>1449</v>
      </c>
      <c r="J203" s="17"/>
    </row>
    <row r="204" spans="1:10" ht="13.95" customHeight="1" x14ac:dyDescent="0.3">
      <c r="A204" s="3">
        <v>45860</v>
      </c>
      <c r="B204" s="3" t="s">
        <v>20</v>
      </c>
      <c r="C204" s="3" t="s">
        <v>1347</v>
      </c>
      <c r="D204" s="4">
        <v>0.8</v>
      </c>
      <c r="E204" s="42">
        <v>2.5</v>
      </c>
      <c r="F204" s="45">
        <v>199</v>
      </c>
      <c r="G204" s="44">
        <v>1.4</v>
      </c>
      <c r="H204" s="21">
        <f t="shared" si="4"/>
        <v>557.20000000000005</v>
      </c>
      <c r="I204" s="6" t="s">
        <v>1449</v>
      </c>
      <c r="J204" s="17"/>
    </row>
    <row r="205" spans="1:10" ht="13.95" customHeight="1" x14ac:dyDescent="0.3">
      <c r="A205" s="3">
        <v>45861</v>
      </c>
      <c r="B205" s="3" t="s">
        <v>5</v>
      </c>
      <c r="C205" s="3" t="s">
        <v>1347</v>
      </c>
      <c r="D205" s="4">
        <v>0.8</v>
      </c>
      <c r="E205" s="42">
        <v>2.5</v>
      </c>
      <c r="F205" s="45">
        <v>199</v>
      </c>
      <c r="G205" s="44">
        <v>1.4</v>
      </c>
      <c r="H205" s="21">
        <f t="shared" si="4"/>
        <v>557.20000000000005</v>
      </c>
      <c r="I205" s="6" t="s">
        <v>1449</v>
      </c>
      <c r="J205" s="17"/>
    </row>
    <row r="206" spans="1:10" ht="13.95" customHeight="1" x14ac:dyDescent="0.3">
      <c r="A206" s="3">
        <v>45862</v>
      </c>
      <c r="B206" s="3" t="s">
        <v>8</v>
      </c>
      <c r="C206" s="3" t="s">
        <v>994</v>
      </c>
      <c r="D206" s="4">
        <v>0.85</v>
      </c>
      <c r="E206" s="42">
        <v>2.8</v>
      </c>
      <c r="F206" s="45">
        <v>199</v>
      </c>
      <c r="G206" s="44">
        <v>1.4</v>
      </c>
      <c r="H206" s="21">
        <f t="shared" si="4"/>
        <v>663.06799999999998</v>
      </c>
      <c r="I206" s="6" t="s">
        <v>1451</v>
      </c>
      <c r="J206" s="17"/>
    </row>
    <row r="207" spans="1:10" ht="13.95" customHeight="1" x14ac:dyDescent="0.3">
      <c r="A207" s="3">
        <v>45863</v>
      </c>
      <c r="B207" s="3" t="s">
        <v>11</v>
      </c>
      <c r="C207" s="3" t="s">
        <v>1010</v>
      </c>
      <c r="D207" s="4">
        <v>0.9</v>
      </c>
      <c r="E207" s="42">
        <v>3.9</v>
      </c>
      <c r="F207" s="45">
        <v>199</v>
      </c>
      <c r="G207" s="44">
        <v>1.4</v>
      </c>
      <c r="H207" s="21">
        <f t="shared" si="4"/>
        <v>977.88599999999997</v>
      </c>
      <c r="I207" s="6" t="s">
        <v>2131</v>
      </c>
      <c r="J207" s="17"/>
    </row>
    <row r="208" spans="1:10" ht="13.95" customHeight="1" x14ac:dyDescent="0.3">
      <c r="A208" s="3">
        <v>45864</v>
      </c>
      <c r="B208" s="3" t="s">
        <v>13</v>
      </c>
      <c r="C208" s="3" t="s">
        <v>829</v>
      </c>
      <c r="D208" s="4">
        <v>1</v>
      </c>
      <c r="E208" s="42">
        <v>4.5</v>
      </c>
      <c r="F208" s="45">
        <v>199</v>
      </c>
      <c r="G208" s="44">
        <v>1.4</v>
      </c>
      <c r="H208" s="21">
        <f t="shared" si="4"/>
        <v>1253.6999999999998</v>
      </c>
      <c r="I208" s="6" t="s">
        <v>1981</v>
      </c>
      <c r="J208" s="17"/>
    </row>
    <row r="209" spans="1:10" ht="13.95" customHeight="1" x14ac:dyDescent="0.3">
      <c r="A209" s="3">
        <v>45865</v>
      </c>
      <c r="B209" s="3" t="s">
        <v>16</v>
      </c>
      <c r="C209" s="3" t="s">
        <v>829</v>
      </c>
      <c r="D209" s="4">
        <v>0.85</v>
      </c>
      <c r="E209" s="42">
        <v>3.75</v>
      </c>
      <c r="F209" s="45">
        <v>199</v>
      </c>
      <c r="G209" s="44">
        <v>1.4</v>
      </c>
      <c r="H209" s="21">
        <f t="shared" si="4"/>
        <v>888.03749999999991</v>
      </c>
      <c r="I209" s="6" t="s">
        <v>69</v>
      </c>
      <c r="J209" s="17"/>
    </row>
    <row r="210" spans="1:10" ht="13.95" customHeight="1" x14ac:dyDescent="0.3">
      <c r="A210" s="3">
        <v>45866</v>
      </c>
      <c r="B210" s="3" t="s">
        <v>18</v>
      </c>
      <c r="C210" s="3" t="s">
        <v>1347</v>
      </c>
      <c r="D210" s="4">
        <v>0.8</v>
      </c>
      <c r="E210" s="42">
        <v>2.5499999999999998</v>
      </c>
      <c r="F210" s="45">
        <v>199</v>
      </c>
      <c r="G210" s="44">
        <v>1.4</v>
      </c>
      <c r="H210" s="21">
        <f t="shared" si="4"/>
        <v>568.34400000000005</v>
      </c>
      <c r="I210" s="6" t="s">
        <v>99</v>
      </c>
      <c r="J210" s="17"/>
    </row>
    <row r="211" spans="1:10" ht="13.95" customHeight="1" x14ac:dyDescent="0.3">
      <c r="A211" s="3">
        <v>45867</v>
      </c>
      <c r="B211" s="3" t="s">
        <v>20</v>
      </c>
      <c r="C211" s="3" t="s">
        <v>1347</v>
      </c>
      <c r="D211" s="4">
        <v>0.8</v>
      </c>
      <c r="E211" s="42">
        <v>2.5</v>
      </c>
      <c r="F211" s="45">
        <v>199</v>
      </c>
      <c r="G211" s="44">
        <v>1.4</v>
      </c>
      <c r="H211" s="21">
        <f t="shared" si="4"/>
        <v>557.20000000000005</v>
      </c>
      <c r="I211" s="6" t="s">
        <v>99</v>
      </c>
      <c r="J211" s="17"/>
    </row>
    <row r="212" spans="1:10" ht="13.95" customHeight="1" x14ac:dyDescent="0.3">
      <c r="A212" s="3">
        <v>45868</v>
      </c>
      <c r="B212" s="3" t="s">
        <v>5</v>
      </c>
      <c r="C212" s="3" t="s">
        <v>1347</v>
      </c>
      <c r="D212" s="4">
        <v>0.8</v>
      </c>
      <c r="E212" s="42">
        <v>2.5</v>
      </c>
      <c r="F212" s="45">
        <v>199</v>
      </c>
      <c r="G212" s="44">
        <v>1.4</v>
      </c>
      <c r="H212" s="21">
        <f t="shared" si="4"/>
        <v>557.20000000000005</v>
      </c>
      <c r="I212" s="6" t="s">
        <v>99</v>
      </c>
      <c r="J212" s="17"/>
    </row>
    <row r="213" spans="1:10" ht="13.95" customHeight="1" x14ac:dyDescent="0.3">
      <c r="A213" s="3">
        <v>45869</v>
      </c>
      <c r="B213" s="3" t="s">
        <v>8</v>
      </c>
      <c r="C213" s="3" t="s">
        <v>1538</v>
      </c>
      <c r="D213" s="4">
        <v>0.85</v>
      </c>
      <c r="E213" s="42">
        <v>2.7</v>
      </c>
      <c r="F213" s="45">
        <v>199</v>
      </c>
      <c r="G213" s="44">
        <v>1.4</v>
      </c>
      <c r="H213" s="21">
        <f t="shared" si="4"/>
        <v>639.38700000000006</v>
      </c>
      <c r="I213" s="6" t="s">
        <v>828</v>
      </c>
      <c r="J213" s="17"/>
    </row>
    <row r="214" spans="1:10" ht="13.95" customHeight="1" x14ac:dyDescent="0.3">
      <c r="A214" s="3">
        <v>45870</v>
      </c>
      <c r="B214" s="3" t="s">
        <v>11</v>
      </c>
      <c r="C214" s="3" t="s">
        <v>829</v>
      </c>
      <c r="D214" s="4">
        <v>0.8</v>
      </c>
      <c r="E214" s="42">
        <v>2.8</v>
      </c>
      <c r="F214" s="45">
        <v>199</v>
      </c>
      <c r="G214" s="44">
        <v>1.4</v>
      </c>
      <c r="H214" s="21">
        <f t="shared" si="4"/>
        <v>624.06400000000008</v>
      </c>
      <c r="I214" s="6" t="s">
        <v>2132</v>
      </c>
      <c r="J214" s="17"/>
    </row>
    <row r="215" spans="1:10" ht="13.95" customHeight="1" x14ac:dyDescent="0.3">
      <c r="A215" s="3">
        <v>45871</v>
      </c>
      <c r="B215" s="3" t="s">
        <v>13</v>
      </c>
      <c r="C215" s="3" t="s">
        <v>829</v>
      </c>
      <c r="D215" s="4">
        <v>0.9</v>
      </c>
      <c r="E215" s="42">
        <v>4.4000000000000004</v>
      </c>
      <c r="F215" s="45">
        <v>199</v>
      </c>
      <c r="G215" s="44">
        <v>1.4</v>
      </c>
      <c r="H215" s="21">
        <f t="shared" si="4"/>
        <v>1103.2560000000001</v>
      </c>
      <c r="I215" s="6" t="s">
        <v>1525</v>
      </c>
      <c r="J215" s="17"/>
    </row>
    <row r="216" spans="1:10" ht="13.95" customHeight="1" x14ac:dyDescent="0.3">
      <c r="A216" s="3">
        <v>45872</v>
      </c>
      <c r="B216" s="3" t="s">
        <v>16</v>
      </c>
      <c r="C216" s="3" t="s">
        <v>829</v>
      </c>
      <c r="D216" s="4">
        <v>0.85</v>
      </c>
      <c r="E216" s="42">
        <v>3.7</v>
      </c>
      <c r="F216" s="45">
        <v>199</v>
      </c>
      <c r="G216" s="44">
        <v>1.4</v>
      </c>
      <c r="H216" s="21">
        <f t="shared" si="4"/>
        <v>876.197</v>
      </c>
      <c r="I216" s="6" t="s">
        <v>238</v>
      </c>
      <c r="J216" s="17"/>
    </row>
    <row r="217" spans="1:10" ht="13.95" customHeight="1" x14ac:dyDescent="0.3">
      <c r="A217" s="3">
        <v>45873</v>
      </c>
      <c r="B217" s="3" t="s">
        <v>18</v>
      </c>
      <c r="C217" s="3" t="s">
        <v>1347</v>
      </c>
      <c r="D217" s="4">
        <v>0.7</v>
      </c>
      <c r="E217" s="42">
        <v>2.5</v>
      </c>
      <c r="F217" s="45">
        <v>199</v>
      </c>
      <c r="G217" s="44">
        <v>1.4</v>
      </c>
      <c r="H217" s="21">
        <f t="shared" si="4"/>
        <v>487.5499999999999</v>
      </c>
      <c r="I217" s="6" t="s">
        <v>2133</v>
      </c>
      <c r="J217" s="17"/>
    </row>
    <row r="218" spans="1:10" ht="13.95" customHeight="1" x14ac:dyDescent="0.3">
      <c r="A218" s="3">
        <v>45874</v>
      </c>
      <c r="B218" s="3" t="s">
        <v>20</v>
      </c>
      <c r="C218" s="3" t="s">
        <v>1347</v>
      </c>
      <c r="D218" s="4">
        <v>0.7</v>
      </c>
      <c r="E218" s="42">
        <v>2.4500000000000002</v>
      </c>
      <c r="F218" s="45">
        <v>199</v>
      </c>
      <c r="G218" s="44">
        <v>1.4</v>
      </c>
      <c r="H218" s="21">
        <f t="shared" si="4"/>
        <v>477.79899999999992</v>
      </c>
      <c r="I218" s="6" t="s">
        <v>603</v>
      </c>
      <c r="J218" s="17"/>
    </row>
    <row r="219" spans="1:10" ht="13.95" customHeight="1" x14ac:dyDescent="0.3">
      <c r="A219" s="3">
        <v>45875</v>
      </c>
      <c r="B219" s="3" t="s">
        <v>5</v>
      </c>
      <c r="C219" s="3" t="s">
        <v>1347</v>
      </c>
      <c r="D219" s="4">
        <v>0.75</v>
      </c>
      <c r="E219" s="42">
        <v>2.4500000000000002</v>
      </c>
      <c r="F219" s="45">
        <v>199</v>
      </c>
      <c r="G219" s="44">
        <v>1.4</v>
      </c>
      <c r="H219" s="21">
        <f t="shared" si="4"/>
        <v>511.92750000000001</v>
      </c>
      <c r="I219" s="6" t="s">
        <v>603</v>
      </c>
      <c r="J219" s="17"/>
    </row>
    <row r="220" spans="1:10" ht="13.95" customHeight="1" x14ac:dyDescent="0.3">
      <c r="A220" s="3">
        <v>45876</v>
      </c>
      <c r="B220" s="3" t="s">
        <v>8</v>
      </c>
      <c r="C220" s="3" t="s">
        <v>1347</v>
      </c>
      <c r="D220" s="4">
        <v>0.8</v>
      </c>
      <c r="E220" s="42">
        <v>2.6</v>
      </c>
      <c r="F220" s="45">
        <v>199</v>
      </c>
      <c r="G220" s="44">
        <v>1.4</v>
      </c>
      <c r="H220" s="21">
        <f t="shared" si="4"/>
        <v>579.48800000000006</v>
      </c>
      <c r="I220" s="6" t="s">
        <v>67</v>
      </c>
      <c r="J220" s="17"/>
    </row>
    <row r="221" spans="1:10" ht="13.95" customHeight="1" x14ac:dyDescent="0.3">
      <c r="A221" s="3">
        <v>45877</v>
      </c>
      <c r="B221" s="3" t="s">
        <v>11</v>
      </c>
      <c r="C221" s="3" t="s">
        <v>829</v>
      </c>
      <c r="D221" s="4">
        <v>0.85</v>
      </c>
      <c r="E221" s="42">
        <v>2.9</v>
      </c>
      <c r="F221" s="45">
        <v>199</v>
      </c>
      <c r="G221" s="44">
        <v>1.4</v>
      </c>
      <c r="H221" s="21">
        <f t="shared" si="4"/>
        <v>686.74900000000002</v>
      </c>
      <c r="I221" s="6" t="s">
        <v>2134</v>
      </c>
      <c r="J221" s="17"/>
    </row>
    <row r="222" spans="1:10" ht="13.95" customHeight="1" x14ac:dyDescent="0.3">
      <c r="A222" s="3">
        <v>45878</v>
      </c>
      <c r="B222" s="3" t="s">
        <v>13</v>
      </c>
      <c r="C222" s="3" t="s">
        <v>829</v>
      </c>
      <c r="D222" s="4">
        <v>1</v>
      </c>
      <c r="E222" s="42">
        <v>4.55</v>
      </c>
      <c r="F222" s="45">
        <v>199</v>
      </c>
      <c r="G222" s="44">
        <v>1.4</v>
      </c>
      <c r="H222" s="21">
        <f t="shared" si="4"/>
        <v>1267.6299999999999</v>
      </c>
      <c r="I222" s="6" t="s">
        <v>2135</v>
      </c>
      <c r="J222" s="17"/>
    </row>
    <row r="223" spans="1:10" ht="13.95" customHeight="1" x14ac:dyDescent="0.3">
      <c r="A223" s="3">
        <v>45879</v>
      </c>
      <c r="B223" s="3" t="s">
        <v>16</v>
      </c>
      <c r="C223" s="3" t="s">
        <v>829</v>
      </c>
      <c r="D223" s="4">
        <v>0.9</v>
      </c>
      <c r="E223" s="42">
        <v>3.75</v>
      </c>
      <c r="F223" s="45">
        <v>199</v>
      </c>
      <c r="G223" s="44">
        <v>1.4</v>
      </c>
      <c r="H223" s="21">
        <f t="shared" si="4"/>
        <v>940.27499999999998</v>
      </c>
      <c r="I223" s="6" t="s">
        <v>181</v>
      </c>
      <c r="J223" s="17"/>
    </row>
    <row r="224" spans="1:10" ht="13.95" customHeight="1" x14ac:dyDescent="0.3">
      <c r="A224" s="3">
        <v>45880</v>
      </c>
      <c r="B224" s="3" t="s">
        <v>18</v>
      </c>
      <c r="C224" s="3" t="s">
        <v>1347</v>
      </c>
      <c r="D224" s="4">
        <v>0.75</v>
      </c>
      <c r="E224" s="42">
        <v>2.5499999999999998</v>
      </c>
      <c r="F224" s="45">
        <v>199</v>
      </c>
      <c r="G224" s="44">
        <v>1.4</v>
      </c>
      <c r="H224" s="21">
        <f t="shared" si="4"/>
        <v>532.82249999999999</v>
      </c>
      <c r="I224" s="6" t="s">
        <v>717</v>
      </c>
      <c r="J224" s="17"/>
    </row>
    <row r="225" spans="1:10" ht="13.95" customHeight="1" x14ac:dyDescent="0.3">
      <c r="A225" s="3">
        <v>45881</v>
      </c>
      <c r="B225" s="3" t="s">
        <v>20</v>
      </c>
      <c r="C225" s="3" t="s">
        <v>994</v>
      </c>
      <c r="D225" s="4">
        <v>0.85</v>
      </c>
      <c r="E225" s="42">
        <v>2.85</v>
      </c>
      <c r="F225" s="45">
        <v>199</v>
      </c>
      <c r="G225" s="44">
        <v>1.4</v>
      </c>
      <c r="H225" s="21">
        <f t="shared" si="4"/>
        <v>674.9085</v>
      </c>
      <c r="I225" s="6" t="s">
        <v>1453</v>
      </c>
      <c r="J225" s="17"/>
    </row>
    <row r="226" spans="1:10" ht="13.95" customHeight="1" x14ac:dyDescent="0.3">
      <c r="A226" s="3">
        <v>45882</v>
      </c>
      <c r="B226" s="3" t="s">
        <v>5</v>
      </c>
      <c r="C226" s="3" t="s">
        <v>850</v>
      </c>
      <c r="D226" s="4">
        <v>0.95</v>
      </c>
      <c r="E226" s="42">
        <v>4.0999999999999996</v>
      </c>
      <c r="F226" s="45">
        <v>199</v>
      </c>
      <c r="G226" s="44">
        <v>1.4</v>
      </c>
      <c r="H226" s="21">
        <f t="shared" si="4"/>
        <v>1085.1469999999997</v>
      </c>
      <c r="I226" s="6" t="s">
        <v>1985</v>
      </c>
      <c r="J226" s="17"/>
    </row>
    <row r="227" spans="1:10" ht="13.95" customHeight="1" x14ac:dyDescent="0.3">
      <c r="A227" s="3">
        <v>45883</v>
      </c>
      <c r="B227" s="3" t="s">
        <v>8</v>
      </c>
      <c r="C227" s="3" t="s">
        <v>1347</v>
      </c>
      <c r="D227" s="4">
        <v>0.8</v>
      </c>
      <c r="E227" s="42">
        <v>2.65</v>
      </c>
      <c r="F227" s="45">
        <v>199</v>
      </c>
      <c r="G227" s="44">
        <v>1.4</v>
      </c>
      <c r="H227" s="21">
        <f t="shared" si="4"/>
        <v>590.63200000000006</v>
      </c>
      <c r="I227" s="6" t="s">
        <v>1449</v>
      </c>
      <c r="J227" s="17"/>
    </row>
    <row r="228" spans="1:10" ht="13.95" customHeight="1" x14ac:dyDescent="0.3">
      <c r="A228" s="3">
        <v>45884</v>
      </c>
      <c r="B228" s="3" t="s">
        <v>11</v>
      </c>
      <c r="C228" s="3" t="s">
        <v>829</v>
      </c>
      <c r="D228" s="4">
        <v>0.85</v>
      </c>
      <c r="E228" s="42">
        <v>2.95</v>
      </c>
      <c r="F228" s="45">
        <v>199</v>
      </c>
      <c r="G228" s="44">
        <v>1.4</v>
      </c>
      <c r="H228" s="21">
        <f t="shared" si="4"/>
        <v>698.58950000000004</v>
      </c>
      <c r="I228" s="6" t="s">
        <v>2136</v>
      </c>
      <c r="J228" s="17"/>
    </row>
    <row r="229" spans="1:10" ht="13.95" customHeight="1" x14ac:dyDescent="0.3">
      <c r="A229" s="3">
        <v>45885</v>
      </c>
      <c r="B229" s="3" t="s">
        <v>13</v>
      </c>
      <c r="C229" s="3" t="s">
        <v>829</v>
      </c>
      <c r="D229" s="4">
        <v>0.95</v>
      </c>
      <c r="E229" s="42">
        <v>4.45</v>
      </c>
      <c r="F229" s="45">
        <v>199</v>
      </c>
      <c r="G229" s="44">
        <v>1.4</v>
      </c>
      <c r="H229" s="21">
        <f t="shared" si="4"/>
        <v>1177.7814999999998</v>
      </c>
      <c r="I229" s="6" t="s">
        <v>1525</v>
      </c>
      <c r="J229" s="17"/>
    </row>
    <row r="230" spans="1:10" ht="13.95" customHeight="1" x14ac:dyDescent="0.3">
      <c r="A230" s="3">
        <v>45886</v>
      </c>
      <c r="B230" s="3" t="s">
        <v>16</v>
      </c>
      <c r="C230" s="3" t="s">
        <v>829</v>
      </c>
      <c r="D230" s="4">
        <v>0.85</v>
      </c>
      <c r="E230" s="42">
        <v>3.7</v>
      </c>
      <c r="F230" s="45">
        <v>199</v>
      </c>
      <c r="G230" s="44">
        <v>1.4</v>
      </c>
      <c r="H230" s="21">
        <f t="shared" si="4"/>
        <v>876.197</v>
      </c>
      <c r="I230" s="6" t="s">
        <v>2118</v>
      </c>
      <c r="J230" s="17"/>
    </row>
    <row r="231" spans="1:10" ht="13.95" customHeight="1" x14ac:dyDescent="0.3">
      <c r="A231" s="3">
        <v>45887</v>
      </c>
      <c r="B231" s="3" t="s">
        <v>18</v>
      </c>
      <c r="C231" s="3" t="s">
        <v>1347</v>
      </c>
      <c r="D231" s="4">
        <v>0.7</v>
      </c>
      <c r="E231" s="42">
        <v>2.5499999999999998</v>
      </c>
      <c r="F231" s="45">
        <v>199</v>
      </c>
      <c r="G231" s="44">
        <v>1.4</v>
      </c>
      <c r="H231" s="21">
        <f t="shared" si="4"/>
        <v>497.30099999999987</v>
      </c>
      <c r="I231" s="6" t="s">
        <v>1449</v>
      </c>
      <c r="J231" s="17"/>
    </row>
    <row r="232" spans="1:10" ht="13.95" customHeight="1" x14ac:dyDescent="0.3">
      <c r="A232" s="3">
        <v>45888</v>
      </c>
      <c r="B232" s="3" t="s">
        <v>20</v>
      </c>
      <c r="C232" s="3" t="s">
        <v>1347</v>
      </c>
      <c r="D232" s="4">
        <v>0.7</v>
      </c>
      <c r="E232" s="42">
        <v>2.5</v>
      </c>
      <c r="F232" s="45">
        <v>199</v>
      </c>
      <c r="G232" s="44">
        <v>1.4</v>
      </c>
      <c r="H232" s="21">
        <f t="shared" si="4"/>
        <v>487.5499999999999</v>
      </c>
      <c r="I232" s="6" t="s">
        <v>1449</v>
      </c>
      <c r="J232" s="17"/>
    </row>
    <row r="233" spans="1:10" ht="13.95" customHeight="1" x14ac:dyDescent="0.3">
      <c r="A233" s="3">
        <v>45889</v>
      </c>
      <c r="B233" s="3" t="s">
        <v>5</v>
      </c>
      <c r="C233" s="3" t="s">
        <v>1347</v>
      </c>
      <c r="D233" s="4">
        <v>0.7</v>
      </c>
      <c r="E233" s="42">
        <v>2.5</v>
      </c>
      <c r="F233" s="45">
        <v>199</v>
      </c>
      <c r="G233" s="44">
        <v>1.4</v>
      </c>
      <c r="H233" s="21">
        <f t="shared" si="4"/>
        <v>487.5499999999999</v>
      </c>
      <c r="I233" s="6" t="s">
        <v>1449</v>
      </c>
      <c r="J233" s="17"/>
    </row>
    <row r="234" spans="1:10" ht="13.95" customHeight="1" x14ac:dyDescent="0.3">
      <c r="A234" s="3">
        <v>45890</v>
      </c>
      <c r="B234" s="3" t="s">
        <v>8</v>
      </c>
      <c r="C234" s="3" t="s">
        <v>1347</v>
      </c>
      <c r="D234" s="4">
        <v>0.8</v>
      </c>
      <c r="E234" s="42">
        <v>2.7</v>
      </c>
      <c r="F234" s="45">
        <v>199</v>
      </c>
      <c r="G234" s="44">
        <v>1.4</v>
      </c>
      <c r="H234" s="21">
        <f t="shared" si="4"/>
        <v>601.77600000000007</v>
      </c>
      <c r="I234" s="6" t="s">
        <v>82</v>
      </c>
      <c r="J234" s="17"/>
    </row>
    <row r="235" spans="1:10" ht="13.95" customHeight="1" x14ac:dyDescent="0.3">
      <c r="A235" s="3">
        <v>45891</v>
      </c>
      <c r="B235" s="3" t="s">
        <v>11</v>
      </c>
      <c r="C235" s="3" t="s">
        <v>829</v>
      </c>
      <c r="D235" s="4">
        <v>0.85</v>
      </c>
      <c r="E235" s="42">
        <v>3</v>
      </c>
      <c r="F235" s="45">
        <v>199</v>
      </c>
      <c r="G235" s="44">
        <v>1.4</v>
      </c>
      <c r="H235" s="21">
        <f t="shared" si="4"/>
        <v>710.43000000000006</v>
      </c>
      <c r="I235" s="6" t="s">
        <v>2137</v>
      </c>
      <c r="J235" s="17"/>
    </row>
    <row r="236" spans="1:10" ht="13.95" customHeight="1" x14ac:dyDescent="0.3">
      <c r="A236" s="3">
        <v>45892</v>
      </c>
      <c r="B236" s="3" t="s">
        <v>13</v>
      </c>
      <c r="C236" s="3" t="s">
        <v>829</v>
      </c>
      <c r="D236" s="4">
        <v>1</v>
      </c>
      <c r="E236" s="42">
        <v>4.5</v>
      </c>
      <c r="F236" s="45">
        <v>199</v>
      </c>
      <c r="G236" s="44">
        <v>1.4</v>
      </c>
      <c r="H236" s="21">
        <f t="shared" si="4"/>
        <v>1253.6999999999998</v>
      </c>
      <c r="I236" s="6" t="s">
        <v>1346</v>
      </c>
      <c r="J236" s="17"/>
    </row>
    <row r="237" spans="1:10" ht="13.95" customHeight="1" x14ac:dyDescent="0.3">
      <c r="A237" s="3">
        <v>45893</v>
      </c>
      <c r="B237" s="3" t="s">
        <v>16</v>
      </c>
      <c r="C237" s="3" t="s">
        <v>829</v>
      </c>
      <c r="D237" s="4">
        <v>0.9</v>
      </c>
      <c r="E237" s="42">
        <v>3.75</v>
      </c>
      <c r="F237" s="45">
        <v>199</v>
      </c>
      <c r="G237" s="44">
        <v>1.4</v>
      </c>
      <c r="H237" s="21">
        <f t="shared" si="4"/>
        <v>940.27499999999998</v>
      </c>
      <c r="I237" s="6" t="s">
        <v>69</v>
      </c>
      <c r="J237" s="17"/>
    </row>
    <row r="238" spans="1:10" ht="13.95" customHeight="1" x14ac:dyDescent="0.3">
      <c r="A238" s="3">
        <v>45894</v>
      </c>
      <c r="B238" s="3" t="s">
        <v>18</v>
      </c>
      <c r="C238" s="3" t="s">
        <v>1347</v>
      </c>
      <c r="D238" s="4">
        <v>0.75</v>
      </c>
      <c r="E238" s="42">
        <v>2.6</v>
      </c>
      <c r="F238" s="45">
        <v>199</v>
      </c>
      <c r="G238" s="44">
        <v>1.4</v>
      </c>
      <c r="H238" s="21">
        <f t="shared" si="4"/>
        <v>543.27</v>
      </c>
      <c r="I238" s="6" t="s">
        <v>2138</v>
      </c>
      <c r="J238" s="17"/>
    </row>
    <row r="239" spans="1:10" ht="13.95" customHeight="1" x14ac:dyDescent="0.3">
      <c r="A239" s="3">
        <v>45895</v>
      </c>
      <c r="B239" s="3" t="s">
        <v>20</v>
      </c>
      <c r="C239" s="3" t="s">
        <v>1347</v>
      </c>
      <c r="D239" s="4">
        <v>0.75</v>
      </c>
      <c r="E239" s="42">
        <v>2.5499999999999998</v>
      </c>
      <c r="F239" s="45">
        <v>199</v>
      </c>
      <c r="G239" s="44">
        <v>1.4</v>
      </c>
      <c r="H239" s="21">
        <f t="shared" si="4"/>
        <v>532.82249999999999</v>
      </c>
      <c r="I239" s="6" t="s">
        <v>717</v>
      </c>
      <c r="J239" s="17"/>
    </row>
    <row r="240" spans="1:10" ht="13.95" customHeight="1" x14ac:dyDescent="0.3">
      <c r="A240" s="3">
        <v>45896</v>
      </c>
      <c r="B240" s="3" t="s">
        <v>5</v>
      </c>
      <c r="C240" s="3" t="s">
        <v>1347</v>
      </c>
      <c r="D240" s="4">
        <v>0.75</v>
      </c>
      <c r="E240" s="42">
        <v>2.5499999999999998</v>
      </c>
      <c r="F240" s="45">
        <v>199</v>
      </c>
      <c r="G240" s="44">
        <v>1.4</v>
      </c>
      <c r="H240" s="21">
        <f t="shared" si="4"/>
        <v>532.82249999999999</v>
      </c>
      <c r="I240" s="6" t="s">
        <v>717</v>
      </c>
      <c r="J240" s="17"/>
    </row>
    <row r="241" spans="1:10" ht="13.95" customHeight="1" x14ac:dyDescent="0.3">
      <c r="A241" s="3">
        <v>45897</v>
      </c>
      <c r="B241" s="3" t="s">
        <v>8</v>
      </c>
      <c r="C241" s="3" t="s">
        <v>1347</v>
      </c>
      <c r="D241" s="4">
        <v>0.8</v>
      </c>
      <c r="E241" s="42">
        <v>2.75</v>
      </c>
      <c r="F241" s="45">
        <v>199</v>
      </c>
      <c r="G241" s="44">
        <v>1.4</v>
      </c>
      <c r="H241" s="21">
        <f t="shared" si="4"/>
        <v>612.92000000000007</v>
      </c>
      <c r="I241" s="6" t="s">
        <v>717</v>
      </c>
      <c r="J241" s="17"/>
    </row>
    <row r="242" spans="1:10" ht="13.95" customHeight="1" x14ac:dyDescent="0.3">
      <c r="A242" s="3">
        <v>45898</v>
      </c>
      <c r="B242" s="3" t="s">
        <v>11</v>
      </c>
      <c r="C242" s="3" t="s">
        <v>14</v>
      </c>
      <c r="D242" s="4">
        <v>0.85</v>
      </c>
      <c r="E242" s="42">
        <v>3.05</v>
      </c>
      <c r="F242" s="45">
        <v>199</v>
      </c>
      <c r="G242" s="44">
        <v>1.4</v>
      </c>
      <c r="H242" s="21">
        <f t="shared" si="4"/>
        <v>722.27049999999997</v>
      </c>
      <c r="I242" s="6" t="s">
        <v>480</v>
      </c>
      <c r="J242" s="17"/>
    </row>
    <row r="243" spans="1:10" ht="13.95" customHeight="1" x14ac:dyDescent="0.3">
      <c r="A243" s="3">
        <v>45899</v>
      </c>
      <c r="B243" s="3" t="s">
        <v>13</v>
      </c>
      <c r="C243" s="3" t="s">
        <v>14</v>
      </c>
      <c r="D243" s="4">
        <v>1</v>
      </c>
      <c r="E243" s="42">
        <v>4.5999999999999996</v>
      </c>
      <c r="F243" s="45">
        <v>199</v>
      </c>
      <c r="G243" s="44">
        <v>1.4</v>
      </c>
      <c r="H243" s="21">
        <f t="shared" si="4"/>
        <v>1281.56</v>
      </c>
      <c r="I243" s="6" t="s">
        <v>1981</v>
      </c>
      <c r="J243" s="17"/>
    </row>
    <row r="244" spans="1:10" ht="13.95" customHeight="1" x14ac:dyDescent="0.3">
      <c r="A244" s="3">
        <v>45900</v>
      </c>
      <c r="B244" s="3" t="s">
        <v>16</v>
      </c>
      <c r="C244" s="3" t="s">
        <v>14</v>
      </c>
      <c r="D244" s="4">
        <v>0.9</v>
      </c>
      <c r="E244" s="42">
        <v>3.85</v>
      </c>
      <c r="F244" s="45">
        <v>199</v>
      </c>
      <c r="G244" s="44">
        <v>1.4</v>
      </c>
      <c r="H244" s="21">
        <f t="shared" si="4"/>
        <v>965.34899999999993</v>
      </c>
      <c r="I244" s="6" t="s">
        <v>625</v>
      </c>
      <c r="J244" s="17"/>
    </row>
    <row r="245" spans="1:10" ht="13.95" customHeight="1" x14ac:dyDescent="0.3">
      <c r="A245" s="3">
        <v>45901</v>
      </c>
      <c r="B245" s="3" t="s">
        <v>18</v>
      </c>
      <c r="C245" s="3" t="s">
        <v>2139</v>
      </c>
      <c r="D245" s="4">
        <v>0.85</v>
      </c>
      <c r="E245" s="42">
        <v>2.4500000000000002</v>
      </c>
      <c r="F245" s="45">
        <v>199</v>
      </c>
      <c r="G245" s="44">
        <v>1.3</v>
      </c>
      <c r="H245" s="21">
        <f t="shared" si="4"/>
        <v>538.74275</v>
      </c>
      <c r="I245" s="6" t="s">
        <v>2140</v>
      </c>
      <c r="J245" s="17"/>
    </row>
    <row r="246" spans="1:10" ht="13.95" customHeight="1" x14ac:dyDescent="0.3">
      <c r="A246" s="3">
        <v>45902</v>
      </c>
      <c r="B246" s="3" t="s">
        <v>20</v>
      </c>
      <c r="C246" s="3" t="s">
        <v>706</v>
      </c>
      <c r="D246" s="4">
        <v>0.95</v>
      </c>
      <c r="E246" s="42">
        <v>2.5</v>
      </c>
      <c r="F246" s="45">
        <v>199</v>
      </c>
      <c r="G246" s="44">
        <v>1.3</v>
      </c>
      <c r="H246" s="21">
        <f t="shared" si="4"/>
        <v>614.41249999999991</v>
      </c>
      <c r="I246" s="6" t="s">
        <v>2141</v>
      </c>
      <c r="J246" s="17"/>
    </row>
    <row r="247" spans="1:10" ht="13.95" customHeight="1" x14ac:dyDescent="0.3">
      <c r="A247" s="3">
        <v>45903</v>
      </c>
      <c r="B247" s="3" t="s">
        <v>5</v>
      </c>
      <c r="C247" s="3" t="s">
        <v>706</v>
      </c>
      <c r="D247" s="4">
        <v>0.95</v>
      </c>
      <c r="E247" s="42">
        <v>2.5</v>
      </c>
      <c r="F247" s="45">
        <v>199</v>
      </c>
      <c r="G247" s="44">
        <v>1.3</v>
      </c>
      <c r="H247" s="21">
        <f t="shared" si="4"/>
        <v>614.41249999999991</v>
      </c>
      <c r="I247" s="6" t="s">
        <v>2141</v>
      </c>
      <c r="J247" s="17"/>
    </row>
    <row r="248" spans="1:10" ht="13.95" customHeight="1" x14ac:dyDescent="0.3">
      <c r="A248" s="3">
        <v>45904</v>
      </c>
      <c r="B248" s="3" t="s">
        <v>8</v>
      </c>
      <c r="C248" s="3" t="s">
        <v>706</v>
      </c>
      <c r="D248" s="4">
        <v>0.9</v>
      </c>
      <c r="E248" s="42">
        <v>2.4500000000000002</v>
      </c>
      <c r="F248" s="45">
        <v>199</v>
      </c>
      <c r="G248" s="44">
        <v>1.3</v>
      </c>
      <c r="H248" s="21">
        <f t="shared" si="4"/>
        <v>570.43350000000009</v>
      </c>
      <c r="I248" s="6" t="s">
        <v>65</v>
      </c>
      <c r="J248" s="17"/>
    </row>
    <row r="249" spans="1:10" ht="13.95" customHeight="1" x14ac:dyDescent="0.3">
      <c r="A249" s="3">
        <v>45905</v>
      </c>
      <c r="B249" s="3" t="s">
        <v>11</v>
      </c>
      <c r="C249" s="3" t="s">
        <v>706</v>
      </c>
      <c r="D249" s="4">
        <v>0.85</v>
      </c>
      <c r="E249" s="42">
        <v>2.5499999999999998</v>
      </c>
      <c r="F249" s="45">
        <v>199</v>
      </c>
      <c r="G249" s="44">
        <v>1.3</v>
      </c>
      <c r="H249" s="21">
        <f t="shared" si="4"/>
        <v>560.73225000000002</v>
      </c>
      <c r="I249" s="6" t="s">
        <v>2142</v>
      </c>
      <c r="J249" s="17"/>
    </row>
    <row r="250" spans="1:10" ht="13.95" customHeight="1" x14ac:dyDescent="0.3">
      <c r="A250" s="3">
        <v>45906</v>
      </c>
      <c r="B250" s="3" t="s">
        <v>13</v>
      </c>
      <c r="C250" s="3" t="s">
        <v>14</v>
      </c>
      <c r="D250" s="4">
        <v>0.75</v>
      </c>
      <c r="E250" s="42">
        <v>3.9</v>
      </c>
      <c r="F250" s="45">
        <v>199</v>
      </c>
      <c r="G250" s="44">
        <v>1.3</v>
      </c>
      <c r="H250" s="21">
        <f t="shared" si="4"/>
        <v>756.69749999999999</v>
      </c>
      <c r="I250" s="6" t="s">
        <v>1992</v>
      </c>
      <c r="J250" s="17"/>
    </row>
    <row r="251" spans="1:10" ht="13.95" customHeight="1" x14ac:dyDescent="0.3">
      <c r="A251" s="3">
        <v>45907</v>
      </c>
      <c r="B251" s="3" t="s">
        <v>16</v>
      </c>
      <c r="C251" s="3" t="s">
        <v>14</v>
      </c>
      <c r="D251" s="4">
        <v>0.65</v>
      </c>
      <c r="E251" s="42">
        <v>3.3</v>
      </c>
      <c r="F251" s="45">
        <v>199</v>
      </c>
      <c r="G251" s="44">
        <v>1.3</v>
      </c>
      <c r="H251" s="21">
        <f t="shared" si="4"/>
        <v>554.91149999999993</v>
      </c>
      <c r="I251" s="6" t="s">
        <v>238</v>
      </c>
      <c r="J251" s="17"/>
    </row>
    <row r="252" spans="1:10" ht="13.95" customHeight="1" x14ac:dyDescent="0.3">
      <c r="A252" s="3">
        <v>45908</v>
      </c>
      <c r="B252" s="3" t="s">
        <v>18</v>
      </c>
      <c r="C252" s="3" t="s">
        <v>706</v>
      </c>
      <c r="D252" s="4">
        <v>0.9</v>
      </c>
      <c r="E252" s="42">
        <v>2.4</v>
      </c>
      <c r="F252" s="45">
        <v>199</v>
      </c>
      <c r="G252" s="44">
        <v>1.3</v>
      </c>
      <c r="H252" s="21">
        <f t="shared" si="4"/>
        <v>558.79200000000003</v>
      </c>
      <c r="I252" s="6" t="s">
        <v>2143</v>
      </c>
      <c r="J252" s="17"/>
    </row>
    <row r="253" spans="1:10" ht="13.95" customHeight="1" x14ac:dyDescent="0.3">
      <c r="A253" s="3">
        <v>45909</v>
      </c>
      <c r="B253" s="3" t="s">
        <v>20</v>
      </c>
      <c r="C253" s="3" t="s">
        <v>706</v>
      </c>
      <c r="D253" s="4">
        <v>1</v>
      </c>
      <c r="E253" s="42">
        <v>2.4500000000000002</v>
      </c>
      <c r="F253" s="45">
        <v>199</v>
      </c>
      <c r="G253" s="44">
        <v>1.3</v>
      </c>
      <c r="H253" s="21">
        <f t="shared" si="4"/>
        <v>633.81500000000005</v>
      </c>
      <c r="I253" s="6" t="s">
        <v>2144</v>
      </c>
      <c r="J253" s="17"/>
    </row>
    <row r="254" spans="1:10" ht="13.95" customHeight="1" x14ac:dyDescent="0.3">
      <c r="A254" s="3">
        <v>45910</v>
      </c>
      <c r="B254" s="3" t="s">
        <v>5</v>
      </c>
      <c r="C254" s="3" t="s">
        <v>706</v>
      </c>
      <c r="D254" s="4">
        <v>1</v>
      </c>
      <c r="E254" s="42">
        <v>2.4500000000000002</v>
      </c>
      <c r="F254" s="45">
        <v>199</v>
      </c>
      <c r="G254" s="44">
        <v>1.3</v>
      </c>
      <c r="H254" s="21">
        <f t="shared" si="4"/>
        <v>633.81500000000005</v>
      </c>
      <c r="I254" s="6" t="s">
        <v>2144</v>
      </c>
      <c r="J254" s="17"/>
    </row>
    <row r="255" spans="1:10" ht="13.95" customHeight="1" x14ac:dyDescent="0.3">
      <c r="A255" s="3">
        <v>45911</v>
      </c>
      <c r="B255" s="3" t="s">
        <v>8</v>
      </c>
      <c r="C255" s="3" t="s">
        <v>706</v>
      </c>
      <c r="D255" s="4">
        <v>0.95</v>
      </c>
      <c r="E255" s="42">
        <v>2.4500000000000002</v>
      </c>
      <c r="F255" s="45">
        <v>199</v>
      </c>
      <c r="G255" s="44">
        <v>1.3</v>
      </c>
      <c r="H255" s="21">
        <f t="shared" si="4"/>
        <v>602.12425000000007</v>
      </c>
      <c r="I255" s="6" t="s">
        <v>65</v>
      </c>
      <c r="J255" s="17"/>
    </row>
    <row r="256" spans="1:10" ht="13.95" customHeight="1" x14ac:dyDescent="0.3">
      <c r="A256" s="3">
        <v>45912</v>
      </c>
      <c r="B256" s="3" t="s">
        <v>11</v>
      </c>
      <c r="C256" s="3" t="s">
        <v>706</v>
      </c>
      <c r="D256" s="4">
        <v>0.85</v>
      </c>
      <c r="E256" s="42">
        <v>2.5</v>
      </c>
      <c r="F256" s="45">
        <v>199</v>
      </c>
      <c r="G256" s="44">
        <v>1.3</v>
      </c>
      <c r="H256" s="21">
        <f t="shared" si="4"/>
        <v>549.73750000000007</v>
      </c>
      <c r="I256" s="6" t="s">
        <v>286</v>
      </c>
      <c r="J256" s="17"/>
    </row>
    <row r="257" spans="1:10" ht="13.95" customHeight="1" x14ac:dyDescent="0.3">
      <c r="A257" s="3">
        <v>45913</v>
      </c>
      <c r="B257" s="3" t="s">
        <v>13</v>
      </c>
      <c r="C257" s="3" t="s">
        <v>14</v>
      </c>
      <c r="D257" s="4">
        <v>0.7</v>
      </c>
      <c r="E257" s="42">
        <v>3.85</v>
      </c>
      <c r="F257" s="45">
        <v>199</v>
      </c>
      <c r="G257" s="44">
        <v>1.3</v>
      </c>
      <c r="H257" s="21">
        <f t="shared" si="4"/>
        <v>697.19650000000001</v>
      </c>
      <c r="I257" s="6" t="s">
        <v>1535</v>
      </c>
      <c r="J257" s="17"/>
    </row>
    <row r="258" spans="1:10" ht="13.95" customHeight="1" x14ac:dyDescent="0.3">
      <c r="A258" s="3">
        <v>45914</v>
      </c>
      <c r="B258" s="3" t="s">
        <v>16</v>
      </c>
      <c r="C258" s="3" t="s">
        <v>14</v>
      </c>
      <c r="D258" s="4">
        <v>0.6</v>
      </c>
      <c r="E258" s="42">
        <v>3.25</v>
      </c>
      <c r="F258" s="45">
        <v>199</v>
      </c>
      <c r="G258" s="44">
        <v>1.3</v>
      </c>
      <c r="H258" s="21">
        <f t="shared" si="4"/>
        <v>504.46499999999997</v>
      </c>
      <c r="I258" s="6" t="s">
        <v>69</v>
      </c>
      <c r="J258" s="17"/>
    </row>
    <row r="259" spans="1:10" ht="13.95" customHeight="1" x14ac:dyDescent="0.3">
      <c r="A259" s="3">
        <v>45915</v>
      </c>
      <c r="B259" s="3" t="s">
        <v>18</v>
      </c>
      <c r="C259" s="3" t="s">
        <v>706</v>
      </c>
      <c r="D259" s="4">
        <v>0.9</v>
      </c>
      <c r="E259" s="42">
        <v>2.4</v>
      </c>
      <c r="F259" s="45">
        <v>199</v>
      </c>
      <c r="G259" s="44">
        <v>1.3</v>
      </c>
      <c r="H259" s="21">
        <f t="shared" si="4"/>
        <v>558.79200000000003</v>
      </c>
      <c r="I259" s="6" t="s">
        <v>286</v>
      </c>
      <c r="J259" s="17"/>
    </row>
    <row r="260" spans="1:10" ht="13.95" customHeight="1" x14ac:dyDescent="0.3">
      <c r="A260" s="3">
        <v>45916</v>
      </c>
      <c r="B260" s="3" t="s">
        <v>20</v>
      </c>
      <c r="C260" s="3" t="s">
        <v>706</v>
      </c>
      <c r="D260" s="4">
        <v>0.95</v>
      </c>
      <c r="E260" s="42">
        <v>2.4500000000000002</v>
      </c>
      <c r="F260" s="45">
        <v>199</v>
      </c>
      <c r="G260" s="44">
        <v>1.3</v>
      </c>
      <c r="H260" s="21">
        <f t="shared" si="4"/>
        <v>602.12425000000007</v>
      </c>
      <c r="I260" s="6" t="s">
        <v>2145</v>
      </c>
      <c r="J260" s="17"/>
    </row>
    <row r="261" spans="1:10" ht="13.95" customHeight="1" x14ac:dyDescent="0.3">
      <c r="A261" s="3">
        <v>45917</v>
      </c>
      <c r="B261" s="3" t="s">
        <v>5</v>
      </c>
      <c r="C261" s="3" t="s">
        <v>706</v>
      </c>
      <c r="D261" s="4">
        <v>0.95</v>
      </c>
      <c r="E261" s="42">
        <v>2.4500000000000002</v>
      </c>
      <c r="F261" s="45">
        <v>199</v>
      </c>
      <c r="G261" s="44">
        <v>1.3</v>
      </c>
      <c r="H261" s="21">
        <f t="shared" ref="H261:H324" si="5">(F261*D261)*E261*G261</f>
        <v>602.12425000000007</v>
      </c>
      <c r="I261" s="6" t="s">
        <v>2145</v>
      </c>
      <c r="J261" s="17"/>
    </row>
    <row r="262" spans="1:10" ht="13.95" customHeight="1" x14ac:dyDescent="0.3">
      <c r="A262" s="3">
        <v>45918</v>
      </c>
      <c r="B262" s="3" t="s">
        <v>8</v>
      </c>
      <c r="C262" s="3" t="s">
        <v>706</v>
      </c>
      <c r="D262" s="4">
        <v>0.9</v>
      </c>
      <c r="E262" s="42">
        <v>2.4</v>
      </c>
      <c r="F262" s="45">
        <v>199</v>
      </c>
      <c r="G262" s="44">
        <v>1.3</v>
      </c>
      <c r="H262" s="21">
        <f t="shared" si="5"/>
        <v>558.79200000000003</v>
      </c>
      <c r="I262" s="6" t="s">
        <v>286</v>
      </c>
      <c r="J262" s="17"/>
    </row>
    <row r="263" spans="1:10" ht="13.95" customHeight="1" x14ac:dyDescent="0.3">
      <c r="A263" s="3">
        <v>45919</v>
      </c>
      <c r="B263" s="3" t="s">
        <v>11</v>
      </c>
      <c r="C263" s="3" t="s">
        <v>706</v>
      </c>
      <c r="D263" s="4">
        <v>0.85</v>
      </c>
      <c r="E263" s="42">
        <v>2.5</v>
      </c>
      <c r="F263" s="45">
        <v>199</v>
      </c>
      <c r="G263" s="44">
        <v>1.3</v>
      </c>
      <c r="H263" s="21">
        <f t="shared" si="5"/>
        <v>549.73750000000007</v>
      </c>
      <c r="I263" s="6" t="s">
        <v>286</v>
      </c>
      <c r="J263" s="17"/>
    </row>
    <row r="264" spans="1:10" ht="13.95" customHeight="1" x14ac:dyDescent="0.3">
      <c r="A264" s="3">
        <v>45920</v>
      </c>
      <c r="B264" s="3" t="s">
        <v>13</v>
      </c>
      <c r="C264" s="3" t="s">
        <v>14</v>
      </c>
      <c r="D264" s="4">
        <v>0.7</v>
      </c>
      <c r="E264" s="42">
        <v>3.8</v>
      </c>
      <c r="F264" s="45">
        <v>199</v>
      </c>
      <c r="G264" s="44">
        <v>1.3</v>
      </c>
      <c r="H264" s="21">
        <f t="shared" si="5"/>
        <v>688.14199999999994</v>
      </c>
      <c r="I264" s="6" t="s">
        <v>1525</v>
      </c>
      <c r="J264" s="17"/>
    </row>
    <row r="265" spans="1:10" ht="13.95" customHeight="1" x14ac:dyDescent="0.3">
      <c r="A265" s="3">
        <v>45921</v>
      </c>
      <c r="B265" s="3" t="s">
        <v>16</v>
      </c>
      <c r="C265" s="3" t="s">
        <v>14</v>
      </c>
      <c r="D265" s="4">
        <v>0.6</v>
      </c>
      <c r="E265" s="42">
        <v>3.3</v>
      </c>
      <c r="F265" s="45">
        <v>199</v>
      </c>
      <c r="G265" s="44">
        <v>1.3</v>
      </c>
      <c r="H265" s="21">
        <f t="shared" si="5"/>
        <v>512.22599999999989</v>
      </c>
      <c r="I265" s="6" t="s">
        <v>69</v>
      </c>
      <c r="J265" s="17"/>
    </row>
    <row r="266" spans="1:10" ht="13.95" customHeight="1" x14ac:dyDescent="0.3">
      <c r="A266" s="3">
        <v>45922</v>
      </c>
      <c r="B266" s="3" t="s">
        <v>18</v>
      </c>
      <c r="C266" s="3" t="s">
        <v>706</v>
      </c>
      <c r="D266" s="4">
        <v>0.9</v>
      </c>
      <c r="E266" s="42">
        <v>2.4</v>
      </c>
      <c r="F266" s="45">
        <v>199</v>
      </c>
      <c r="G266" s="44">
        <v>1.3</v>
      </c>
      <c r="H266" s="21">
        <f t="shared" si="5"/>
        <v>558.79200000000003</v>
      </c>
      <c r="I266" s="6" t="s">
        <v>2146</v>
      </c>
      <c r="J266" s="17"/>
    </row>
    <row r="267" spans="1:10" ht="13.95" customHeight="1" x14ac:dyDescent="0.3">
      <c r="A267" s="3">
        <v>45923</v>
      </c>
      <c r="B267" s="3" t="s">
        <v>20</v>
      </c>
      <c r="C267" s="3" t="s">
        <v>706</v>
      </c>
      <c r="D267" s="4">
        <v>0.95</v>
      </c>
      <c r="E267" s="42">
        <v>2.4500000000000002</v>
      </c>
      <c r="F267" s="45">
        <v>199</v>
      </c>
      <c r="G267" s="44">
        <v>1.3</v>
      </c>
      <c r="H267" s="21">
        <f t="shared" si="5"/>
        <v>602.12425000000007</v>
      </c>
      <c r="I267" s="6" t="s">
        <v>286</v>
      </c>
      <c r="J267" s="17"/>
    </row>
    <row r="268" spans="1:10" ht="13.95" customHeight="1" x14ac:dyDescent="0.3">
      <c r="A268" s="3">
        <v>45924</v>
      </c>
      <c r="B268" s="3" t="s">
        <v>5</v>
      </c>
      <c r="C268" s="3" t="s">
        <v>706</v>
      </c>
      <c r="D268" s="4">
        <v>0.9</v>
      </c>
      <c r="E268" s="42">
        <v>2.4</v>
      </c>
      <c r="F268" s="45">
        <v>199</v>
      </c>
      <c r="G268" s="44">
        <v>1.3</v>
      </c>
      <c r="H268" s="21">
        <f t="shared" si="5"/>
        <v>558.79200000000003</v>
      </c>
      <c r="I268" s="6" t="s">
        <v>286</v>
      </c>
      <c r="J268" s="17"/>
    </row>
    <row r="269" spans="1:10" ht="13.95" customHeight="1" x14ac:dyDescent="0.3">
      <c r="A269" s="3">
        <v>45925</v>
      </c>
      <c r="B269" s="3" t="s">
        <v>8</v>
      </c>
      <c r="C269" s="3" t="s">
        <v>706</v>
      </c>
      <c r="D269" s="4">
        <v>0.9</v>
      </c>
      <c r="E269" s="42">
        <v>2.4500000000000002</v>
      </c>
      <c r="F269" s="45">
        <v>199</v>
      </c>
      <c r="G269" s="44">
        <v>1.3</v>
      </c>
      <c r="H269" s="21">
        <f t="shared" si="5"/>
        <v>570.43350000000009</v>
      </c>
      <c r="I269" s="6" t="s">
        <v>286</v>
      </c>
      <c r="J269" s="17"/>
    </row>
    <row r="270" spans="1:10" ht="13.95" customHeight="1" x14ac:dyDescent="0.3">
      <c r="A270" s="3">
        <v>45926</v>
      </c>
      <c r="B270" s="3" t="s">
        <v>11</v>
      </c>
      <c r="C270" s="3" t="s">
        <v>706</v>
      </c>
      <c r="D270" s="4">
        <v>0.85</v>
      </c>
      <c r="E270" s="42">
        <v>2.5499999999999998</v>
      </c>
      <c r="F270" s="45">
        <v>199</v>
      </c>
      <c r="G270" s="44">
        <v>1.3</v>
      </c>
      <c r="H270" s="21">
        <f t="shared" si="5"/>
        <v>560.73225000000002</v>
      </c>
      <c r="I270" s="6" t="s">
        <v>2092</v>
      </c>
      <c r="J270" s="17"/>
    </row>
    <row r="271" spans="1:10" ht="13.95" customHeight="1" x14ac:dyDescent="0.3">
      <c r="A271" s="3">
        <v>45927</v>
      </c>
      <c r="B271" s="3" t="s">
        <v>13</v>
      </c>
      <c r="C271" s="3" t="s">
        <v>14</v>
      </c>
      <c r="D271" s="4">
        <v>0.65</v>
      </c>
      <c r="E271" s="42">
        <v>3.75</v>
      </c>
      <c r="F271" s="45">
        <v>199</v>
      </c>
      <c r="G271" s="44">
        <v>1.3</v>
      </c>
      <c r="H271" s="21">
        <f t="shared" si="5"/>
        <v>630.58125000000007</v>
      </c>
      <c r="I271" s="6" t="s">
        <v>2087</v>
      </c>
      <c r="J271" s="17"/>
    </row>
    <row r="272" spans="1:10" ht="13.95" customHeight="1" x14ac:dyDescent="0.3">
      <c r="A272" s="3">
        <v>45928</v>
      </c>
      <c r="B272" s="3" t="s">
        <v>16</v>
      </c>
      <c r="C272" s="3" t="s">
        <v>14</v>
      </c>
      <c r="D272" s="4">
        <v>0.6</v>
      </c>
      <c r="E272" s="42">
        <v>3.35</v>
      </c>
      <c r="F272" s="45">
        <v>199</v>
      </c>
      <c r="G272" s="44">
        <v>1.3</v>
      </c>
      <c r="H272" s="21">
        <f t="shared" si="5"/>
        <v>519.98700000000008</v>
      </c>
      <c r="I272" s="6" t="s">
        <v>2118</v>
      </c>
      <c r="J272" s="17"/>
    </row>
    <row r="273" spans="1:10" ht="13.95" customHeight="1" x14ac:dyDescent="0.3">
      <c r="A273" s="3">
        <v>45929</v>
      </c>
      <c r="B273" s="3" t="s">
        <v>18</v>
      </c>
      <c r="C273" s="3" t="s">
        <v>706</v>
      </c>
      <c r="D273" s="4">
        <v>0.9</v>
      </c>
      <c r="E273" s="42">
        <v>2.4</v>
      </c>
      <c r="F273" s="45">
        <v>199</v>
      </c>
      <c r="G273" s="44">
        <v>1.3</v>
      </c>
      <c r="H273" s="21">
        <f t="shared" si="5"/>
        <v>558.79200000000003</v>
      </c>
      <c r="I273" s="6" t="s">
        <v>99</v>
      </c>
      <c r="J273" s="17"/>
    </row>
    <row r="274" spans="1:10" ht="13.95" customHeight="1" x14ac:dyDescent="0.3">
      <c r="A274" s="3">
        <v>45930</v>
      </c>
      <c r="B274" s="3" t="s">
        <v>20</v>
      </c>
      <c r="C274" s="3" t="s">
        <v>706</v>
      </c>
      <c r="D274" s="4">
        <v>0.95</v>
      </c>
      <c r="E274" s="42">
        <v>2.4500000000000002</v>
      </c>
      <c r="F274" s="45">
        <v>199</v>
      </c>
      <c r="G274" s="44">
        <v>1.3</v>
      </c>
      <c r="H274" s="21">
        <f t="shared" si="5"/>
        <v>602.12425000000007</v>
      </c>
      <c r="I274" s="6" t="s">
        <v>99</v>
      </c>
      <c r="J274" s="17"/>
    </row>
    <row r="275" spans="1:10" ht="13.95" customHeight="1" x14ac:dyDescent="0.3">
      <c r="A275" s="3">
        <v>45931</v>
      </c>
      <c r="B275" s="3" t="s">
        <v>5</v>
      </c>
      <c r="C275" s="3" t="s">
        <v>706</v>
      </c>
      <c r="D275" s="4">
        <v>0.95</v>
      </c>
      <c r="E275" s="42">
        <v>2.4500000000000002</v>
      </c>
      <c r="F275" s="45">
        <v>199</v>
      </c>
      <c r="G275" s="44">
        <v>1.3</v>
      </c>
      <c r="H275" s="21">
        <f t="shared" si="5"/>
        <v>602.12425000000007</v>
      </c>
      <c r="I275" s="6" t="s">
        <v>2147</v>
      </c>
      <c r="J275" s="17"/>
    </row>
    <row r="276" spans="1:10" ht="13.95" customHeight="1" x14ac:dyDescent="0.3">
      <c r="A276" s="3">
        <v>45932</v>
      </c>
      <c r="B276" s="3" t="s">
        <v>8</v>
      </c>
      <c r="C276" s="3" t="s">
        <v>706</v>
      </c>
      <c r="D276" s="4">
        <v>0.95</v>
      </c>
      <c r="E276" s="42">
        <v>2.4500000000000002</v>
      </c>
      <c r="F276" s="45">
        <v>199</v>
      </c>
      <c r="G276" s="44">
        <v>1.3</v>
      </c>
      <c r="H276" s="21">
        <f t="shared" si="5"/>
        <v>602.12425000000007</v>
      </c>
      <c r="I276" s="6" t="s">
        <v>2147</v>
      </c>
      <c r="J276" s="17"/>
    </row>
    <row r="277" spans="1:10" ht="13.95" customHeight="1" x14ac:dyDescent="0.3">
      <c r="A277" s="3">
        <v>45933</v>
      </c>
      <c r="B277" s="3" t="s">
        <v>11</v>
      </c>
      <c r="C277" s="3" t="s">
        <v>706</v>
      </c>
      <c r="D277" s="4">
        <v>0.9</v>
      </c>
      <c r="E277" s="42">
        <v>2.5499999999999998</v>
      </c>
      <c r="F277" s="45">
        <v>199</v>
      </c>
      <c r="G277" s="44">
        <v>1.3</v>
      </c>
      <c r="H277" s="21">
        <f t="shared" si="5"/>
        <v>593.71649999999988</v>
      </c>
      <c r="I277" s="6" t="s">
        <v>2148</v>
      </c>
      <c r="J277" s="17"/>
    </row>
    <row r="278" spans="1:10" ht="13.95" customHeight="1" x14ac:dyDescent="0.3">
      <c r="A278" s="3">
        <v>45934</v>
      </c>
      <c r="B278" s="3" t="s">
        <v>13</v>
      </c>
      <c r="C278" s="3" t="s">
        <v>14</v>
      </c>
      <c r="D278" s="4">
        <v>0.75</v>
      </c>
      <c r="E278" s="42">
        <v>3.8</v>
      </c>
      <c r="F278" s="45">
        <v>199</v>
      </c>
      <c r="G278" s="44">
        <v>1.3</v>
      </c>
      <c r="H278" s="21">
        <f t="shared" si="5"/>
        <v>737.29499999999996</v>
      </c>
      <c r="I278" s="6" t="s">
        <v>1535</v>
      </c>
      <c r="J278" s="17"/>
    </row>
    <row r="279" spans="1:10" ht="13.95" customHeight="1" x14ac:dyDescent="0.3">
      <c r="A279" s="3">
        <v>45935</v>
      </c>
      <c r="B279" s="3" t="s">
        <v>16</v>
      </c>
      <c r="C279" s="3" t="s">
        <v>14</v>
      </c>
      <c r="D279" s="4">
        <v>0.65</v>
      </c>
      <c r="E279" s="42">
        <v>3.35</v>
      </c>
      <c r="F279" s="45">
        <v>199</v>
      </c>
      <c r="G279" s="44">
        <v>1.3</v>
      </c>
      <c r="H279" s="21">
        <f t="shared" si="5"/>
        <v>563.31925000000001</v>
      </c>
      <c r="I279" s="6" t="s">
        <v>238</v>
      </c>
      <c r="J279" s="17"/>
    </row>
    <row r="280" spans="1:10" ht="13.95" customHeight="1" x14ac:dyDescent="0.3">
      <c r="A280" s="3">
        <v>45936</v>
      </c>
      <c r="B280" s="3" t="s">
        <v>18</v>
      </c>
      <c r="C280" s="3" t="s">
        <v>706</v>
      </c>
      <c r="D280" s="4">
        <v>0.9</v>
      </c>
      <c r="E280" s="42">
        <v>2.4</v>
      </c>
      <c r="F280" s="45">
        <v>199</v>
      </c>
      <c r="G280" s="44">
        <v>1.3</v>
      </c>
      <c r="H280" s="21">
        <f t="shared" si="5"/>
        <v>558.79200000000003</v>
      </c>
      <c r="I280" s="6" t="s">
        <v>65</v>
      </c>
      <c r="J280" s="17"/>
    </row>
    <row r="281" spans="1:10" ht="13.95" customHeight="1" x14ac:dyDescent="0.3">
      <c r="A281" s="3">
        <v>45937</v>
      </c>
      <c r="B281" s="3" t="s">
        <v>20</v>
      </c>
      <c r="C281" s="3" t="s">
        <v>706</v>
      </c>
      <c r="D281" s="4">
        <v>1</v>
      </c>
      <c r="E281" s="42">
        <v>2.4500000000000002</v>
      </c>
      <c r="F281" s="45">
        <v>199</v>
      </c>
      <c r="G281" s="44">
        <v>1.3</v>
      </c>
      <c r="H281" s="21">
        <f t="shared" si="5"/>
        <v>633.81500000000005</v>
      </c>
      <c r="I281" s="6" t="s">
        <v>2149</v>
      </c>
      <c r="J281" s="17"/>
    </row>
    <row r="282" spans="1:10" ht="13.95" customHeight="1" x14ac:dyDescent="0.3">
      <c r="A282" s="3">
        <v>45938</v>
      </c>
      <c r="B282" s="3" t="s">
        <v>5</v>
      </c>
      <c r="C282" s="3" t="s">
        <v>706</v>
      </c>
      <c r="D282" s="4">
        <v>0.95</v>
      </c>
      <c r="E282" s="42">
        <v>2.4</v>
      </c>
      <c r="F282" s="45">
        <v>199</v>
      </c>
      <c r="G282" s="44">
        <v>1.3</v>
      </c>
      <c r="H282" s="21">
        <f t="shared" si="5"/>
        <v>589.83600000000001</v>
      </c>
      <c r="I282" s="6" t="s">
        <v>2143</v>
      </c>
      <c r="J282" s="17"/>
    </row>
    <row r="283" spans="1:10" ht="13.95" customHeight="1" x14ac:dyDescent="0.3">
      <c r="A283" s="3">
        <v>45939</v>
      </c>
      <c r="B283" s="3" t="s">
        <v>8</v>
      </c>
      <c r="C283" s="3" t="s">
        <v>706</v>
      </c>
      <c r="D283" s="4">
        <v>0.9</v>
      </c>
      <c r="E283" s="42">
        <v>2.4500000000000002</v>
      </c>
      <c r="F283" s="45">
        <v>199</v>
      </c>
      <c r="G283" s="44">
        <v>1.3</v>
      </c>
      <c r="H283" s="21">
        <f t="shared" si="5"/>
        <v>570.43350000000009</v>
      </c>
      <c r="I283" s="6" t="s">
        <v>286</v>
      </c>
      <c r="J283" s="17"/>
    </row>
    <row r="284" spans="1:10" ht="13.95" customHeight="1" x14ac:dyDescent="0.3">
      <c r="A284" s="3">
        <v>45940</v>
      </c>
      <c r="B284" s="3" t="s">
        <v>11</v>
      </c>
      <c r="C284" s="3" t="s">
        <v>706</v>
      </c>
      <c r="D284" s="4">
        <v>0.85</v>
      </c>
      <c r="E284" s="42">
        <v>2.5499999999999998</v>
      </c>
      <c r="F284" s="45">
        <v>199</v>
      </c>
      <c r="G284" s="44">
        <v>1.3</v>
      </c>
      <c r="H284" s="21">
        <f t="shared" si="5"/>
        <v>560.73225000000002</v>
      </c>
      <c r="I284" s="6" t="s">
        <v>2092</v>
      </c>
      <c r="J284" s="17"/>
    </row>
    <row r="285" spans="1:10" ht="13.95" customHeight="1" x14ac:dyDescent="0.3">
      <c r="A285" s="3">
        <v>45941</v>
      </c>
      <c r="B285" s="3" t="s">
        <v>13</v>
      </c>
      <c r="C285" s="3" t="s">
        <v>14</v>
      </c>
      <c r="D285" s="4">
        <v>0.7</v>
      </c>
      <c r="E285" s="42">
        <v>3.85</v>
      </c>
      <c r="F285" s="45">
        <v>199</v>
      </c>
      <c r="G285" s="44">
        <v>1.3</v>
      </c>
      <c r="H285" s="21">
        <f t="shared" si="5"/>
        <v>697.19650000000001</v>
      </c>
      <c r="I285" s="6" t="s">
        <v>2083</v>
      </c>
      <c r="J285" s="17"/>
    </row>
    <row r="286" spans="1:10" ht="13.95" customHeight="1" x14ac:dyDescent="0.3">
      <c r="A286" s="3">
        <v>45942</v>
      </c>
      <c r="B286" s="3" t="s">
        <v>16</v>
      </c>
      <c r="C286" s="3" t="s">
        <v>14</v>
      </c>
      <c r="D286" s="4">
        <v>0.65</v>
      </c>
      <c r="E286" s="42">
        <v>3.3</v>
      </c>
      <c r="F286" s="45">
        <v>199</v>
      </c>
      <c r="G286" s="44">
        <v>1.3</v>
      </c>
      <c r="H286" s="21">
        <f t="shared" si="5"/>
        <v>554.91149999999993</v>
      </c>
      <c r="I286" s="6" t="s">
        <v>69</v>
      </c>
      <c r="J286" s="17"/>
    </row>
    <row r="287" spans="1:10" ht="13.95" customHeight="1" x14ac:dyDescent="0.3">
      <c r="A287" s="3">
        <v>45943</v>
      </c>
      <c r="B287" s="3" t="s">
        <v>18</v>
      </c>
      <c r="C287" s="3" t="s">
        <v>706</v>
      </c>
      <c r="D287" s="4">
        <v>0.9</v>
      </c>
      <c r="E287" s="42">
        <v>2.4</v>
      </c>
      <c r="F287" s="45">
        <v>199</v>
      </c>
      <c r="G287" s="44">
        <v>1.3</v>
      </c>
      <c r="H287" s="21">
        <f t="shared" si="5"/>
        <v>558.79200000000003</v>
      </c>
      <c r="I287" s="6" t="s">
        <v>65</v>
      </c>
      <c r="J287" s="17"/>
    </row>
    <row r="288" spans="1:10" ht="13.95" customHeight="1" x14ac:dyDescent="0.3">
      <c r="A288" s="3">
        <v>45944</v>
      </c>
      <c r="B288" s="3" t="s">
        <v>20</v>
      </c>
      <c r="C288" s="3" t="s">
        <v>994</v>
      </c>
      <c r="D288" s="4">
        <v>0.85</v>
      </c>
      <c r="E288" s="42">
        <v>2.65</v>
      </c>
      <c r="F288" s="45">
        <v>199</v>
      </c>
      <c r="G288" s="44">
        <v>1.3</v>
      </c>
      <c r="H288" s="21">
        <f t="shared" si="5"/>
        <v>582.72175000000004</v>
      </c>
      <c r="I288" s="6" t="s">
        <v>1706</v>
      </c>
      <c r="J288" s="17"/>
    </row>
    <row r="289" spans="1:10" ht="13.95" customHeight="1" x14ac:dyDescent="0.3">
      <c r="A289" s="3">
        <v>45945</v>
      </c>
      <c r="B289" s="3" t="s">
        <v>5</v>
      </c>
      <c r="C289" s="3" t="s">
        <v>865</v>
      </c>
      <c r="D289" s="4">
        <v>0.5</v>
      </c>
      <c r="E289" s="42">
        <v>3.15</v>
      </c>
      <c r="F289" s="45">
        <v>199</v>
      </c>
      <c r="G289" s="44">
        <v>1.3</v>
      </c>
      <c r="H289" s="21">
        <f t="shared" si="5"/>
        <v>407.45250000000004</v>
      </c>
      <c r="I289" s="6" t="s">
        <v>2108</v>
      </c>
      <c r="J289" s="17"/>
    </row>
    <row r="290" spans="1:10" ht="13.95" customHeight="1" x14ac:dyDescent="0.3">
      <c r="A290" s="3">
        <v>45946</v>
      </c>
      <c r="B290" s="3" t="s">
        <v>8</v>
      </c>
      <c r="C290" s="3" t="s">
        <v>706</v>
      </c>
      <c r="D290" s="4">
        <v>0.85</v>
      </c>
      <c r="E290" s="42">
        <v>2.4</v>
      </c>
      <c r="F290" s="45">
        <v>199</v>
      </c>
      <c r="G290" s="44">
        <v>1.3</v>
      </c>
      <c r="H290" s="21">
        <f t="shared" si="5"/>
        <v>527.74800000000005</v>
      </c>
      <c r="I290" s="6" t="s">
        <v>163</v>
      </c>
      <c r="J290" s="17"/>
    </row>
    <row r="291" spans="1:10" ht="13.95" customHeight="1" x14ac:dyDescent="0.3">
      <c r="A291" s="3">
        <v>45947</v>
      </c>
      <c r="B291" s="3" t="s">
        <v>11</v>
      </c>
      <c r="C291" s="3" t="s">
        <v>706</v>
      </c>
      <c r="D291" s="4">
        <v>0.8</v>
      </c>
      <c r="E291" s="42">
        <v>2.5</v>
      </c>
      <c r="F291" s="45">
        <v>199</v>
      </c>
      <c r="G291" s="44">
        <v>1.3</v>
      </c>
      <c r="H291" s="21">
        <f t="shared" si="5"/>
        <v>517.40000000000009</v>
      </c>
      <c r="I291" s="6" t="s">
        <v>286</v>
      </c>
      <c r="J291" s="17"/>
    </row>
    <row r="292" spans="1:10" ht="13.95" customHeight="1" x14ac:dyDescent="0.3">
      <c r="A292" s="3">
        <v>45948</v>
      </c>
      <c r="B292" s="3" t="s">
        <v>13</v>
      </c>
      <c r="C292" s="3" t="s">
        <v>14</v>
      </c>
      <c r="D292" s="4">
        <v>0.7</v>
      </c>
      <c r="E292" s="42">
        <v>3.8</v>
      </c>
      <c r="F292" s="45">
        <v>199</v>
      </c>
      <c r="G292" s="44">
        <v>1.3</v>
      </c>
      <c r="H292" s="21">
        <f t="shared" si="5"/>
        <v>688.14199999999994</v>
      </c>
      <c r="I292" s="6" t="s">
        <v>2150</v>
      </c>
      <c r="J292" s="17"/>
    </row>
    <row r="293" spans="1:10" ht="13.95" customHeight="1" x14ac:dyDescent="0.3">
      <c r="A293" s="3">
        <v>45949</v>
      </c>
      <c r="B293" s="3" t="s">
        <v>16</v>
      </c>
      <c r="C293" s="3" t="s">
        <v>14</v>
      </c>
      <c r="D293" s="4">
        <v>0.65</v>
      </c>
      <c r="E293" s="42">
        <v>3.35</v>
      </c>
      <c r="F293" s="45">
        <v>199</v>
      </c>
      <c r="G293" s="44">
        <v>1.3</v>
      </c>
      <c r="H293" s="21">
        <f t="shared" si="5"/>
        <v>563.31925000000001</v>
      </c>
      <c r="I293" s="6" t="s">
        <v>69</v>
      </c>
      <c r="J293" s="17"/>
    </row>
    <row r="294" spans="1:10" ht="13.95" customHeight="1" x14ac:dyDescent="0.3">
      <c r="A294" s="3">
        <v>45950</v>
      </c>
      <c r="B294" s="3" t="s">
        <v>18</v>
      </c>
      <c r="C294" s="3" t="s">
        <v>706</v>
      </c>
      <c r="D294" s="4">
        <v>0.9</v>
      </c>
      <c r="E294" s="42">
        <v>2.4</v>
      </c>
      <c r="F294" s="45">
        <v>199</v>
      </c>
      <c r="G294" s="44">
        <v>1.3</v>
      </c>
      <c r="H294" s="21">
        <f t="shared" si="5"/>
        <v>558.79200000000003</v>
      </c>
      <c r="I294" s="6" t="s">
        <v>65</v>
      </c>
      <c r="J294" s="17"/>
    </row>
    <row r="295" spans="1:10" ht="13.95" customHeight="1" x14ac:dyDescent="0.3">
      <c r="A295" s="3">
        <v>45951</v>
      </c>
      <c r="B295" s="3" t="s">
        <v>20</v>
      </c>
      <c r="C295" s="3" t="s">
        <v>706</v>
      </c>
      <c r="D295" s="4">
        <v>0.95</v>
      </c>
      <c r="E295" s="42">
        <v>2.4500000000000002</v>
      </c>
      <c r="F295" s="45">
        <v>199</v>
      </c>
      <c r="G295" s="44">
        <v>1.3</v>
      </c>
      <c r="H295" s="21">
        <f t="shared" si="5"/>
        <v>602.12425000000007</v>
      </c>
      <c r="I295" s="6" t="s">
        <v>2151</v>
      </c>
      <c r="J295" s="17"/>
    </row>
    <row r="296" spans="1:10" ht="13.95" customHeight="1" x14ac:dyDescent="0.3">
      <c r="A296" s="3">
        <v>45952</v>
      </c>
      <c r="B296" s="3" t="s">
        <v>5</v>
      </c>
      <c r="C296" s="3" t="s">
        <v>706</v>
      </c>
      <c r="D296" s="4">
        <v>0.95</v>
      </c>
      <c r="E296" s="42">
        <v>2.4500000000000002</v>
      </c>
      <c r="F296" s="45">
        <v>199</v>
      </c>
      <c r="G296" s="44">
        <v>1.3</v>
      </c>
      <c r="H296" s="21">
        <f t="shared" si="5"/>
        <v>602.12425000000007</v>
      </c>
      <c r="I296" s="6" t="s">
        <v>2151</v>
      </c>
      <c r="J296" s="17"/>
    </row>
    <row r="297" spans="1:10" ht="13.95" customHeight="1" x14ac:dyDescent="0.3">
      <c r="A297" s="3">
        <v>45953</v>
      </c>
      <c r="B297" s="3" t="s">
        <v>8</v>
      </c>
      <c r="C297" s="3" t="s">
        <v>706</v>
      </c>
      <c r="D297" s="4">
        <v>0.9</v>
      </c>
      <c r="E297" s="42">
        <v>2.4</v>
      </c>
      <c r="F297" s="45">
        <v>199</v>
      </c>
      <c r="G297" s="44">
        <v>1.3</v>
      </c>
      <c r="H297" s="21">
        <f t="shared" si="5"/>
        <v>558.79200000000003</v>
      </c>
      <c r="I297" s="6" t="s">
        <v>286</v>
      </c>
      <c r="J297" s="17"/>
    </row>
    <row r="298" spans="1:10" ht="13.95" customHeight="1" x14ac:dyDescent="0.3">
      <c r="A298" s="3">
        <v>45954</v>
      </c>
      <c r="B298" s="3" t="s">
        <v>11</v>
      </c>
      <c r="C298" s="3" t="s">
        <v>706</v>
      </c>
      <c r="D298" s="4">
        <v>0.85</v>
      </c>
      <c r="E298" s="42">
        <v>2.5499999999999998</v>
      </c>
      <c r="F298" s="45">
        <v>199</v>
      </c>
      <c r="G298" s="44">
        <v>1.3</v>
      </c>
      <c r="H298" s="21">
        <f t="shared" si="5"/>
        <v>560.73225000000002</v>
      </c>
      <c r="I298" s="6" t="s">
        <v>2086</v>
      </c>
      <c r="J298" s="17"/>
    </row>
    <row r="299" spans="1:10" ht="13.95" customHeight="1" x14ac:dyDescent="0.3">
      <c r="A299" s="3">
        <v>45955</v>
      </c>
      <c r="B299" s="3" t="s">
        <v>13</v>
      </c>
      <c r="C299" s="3" t="s">
        <v>14</v>
      </c>
      <c r="D299" s="4">
        <v>0.65</v>
      </c>
      <c r="E299" s="42">
        <v>3.75</v>
      </c>
      <c r="F299" s="45">
        <v>199</v>
      </c>
      <c r="G299" s="44">
        <v>1.3</v>
      </c>
      <c r="H299" s="21">
        <f t="shared" si="5"/>
        <v>630.58125000000007</v>
      </c>
      <c r="I299" s="6" t="s">
        <v>2087</v>
      </c>
      <c r="J299" s="17"/>
    </row>
    <row r="300" spans="1:10" ht="13.95" customHeight="1" x14ac:dyDescent="0.3">
      <c r="A300" s="3">
        <v>45956</v>
      </c>
      <c r="B300" s="3" t="s">
        <v>16</v>
      </c>
      <c r="C300" s="3" t="s">
        <v>14</v>
      </c>
      <c r="D300" s="4">
        <v>0.6</v>
      </c>
      <c r="E300" s="42">
        <v>3.35</v>
      </c>
      <c r="F300" s="45">
        <v>199</v>
      </c>
      <c r="G300" s="44">
        <v>1.3</v>
      </c>
      <c r="H300" s="21">
        <f t="shared" si="5"/>
        <v>519.98700000000008</v>
      </c>
      <c r="I300" s="6" t="s">
        <v>2118</v>
      </c>
      <c r="J300" s="17"/>
    </row>
    <row r="301" spans="1:10" ht="13.95" customHeight="1" x14ac:dyDescent="0.3">
      <c r="A301" s="3">
        <v>45957</v>
      </c>
      <c r="B301" s="3" t="s">
        <v>18</v>
      </c>
      <c r="C301" s="3" t="s">
        <v>706</v>
      </c>
      <c r="D301" s="4">
        <v>0.85</v>
      </c>
      <c r="E301" s="42">
        <v>2.4</v>
      </c>
      <c r="F301" s="45">
        <v>199</v>
      </c>
      <c r="G301" s="44">
        <v>1.3</v>
      </c>
      <c r="H301" s="21">
        <f t="shared" si="5"/>
        <v>527.74800000000005</v>
      </c>
      <c r="I301" s="6" t="s">
        <v>65</v>
      </c>
      <c r="J301" s="17"/>
    </row>
    <row r="302" spans="1:10" ht="13.95" customHeight="1" x14ac:dyDescent="0.3">
      <c r="A302" s="3">
        <v>45958</v>
      </c>
      <c r="B302" s="3" t="s">
        <v>20</v>
      </c>
      <c r="C302" s="3" t="s">
        <v>706</v>
      </c>
      <c r="D302" s="4">
        <v>0.9</v>
      </c>
      <c r="E302" s="42">
        <v>2.4500000000000002</v>
      </c>
      <c r="F302" s="45">
        <v>199</v>
      </c>
      <c r="G302" s="44">
        <v>1.3</v>
      </c>
      <c r="H302" s="21">
        <f t="shared" si="5"/>
        <v>570.43350000000009</v>
      </c>
      <c r="I302" s="6" t="s">
        <v>286</v>
      </c>
      <c r="J302" s="17"/>
    </row>
    <row r="303" spans="1:10" ht="13.95" customHeight="1" x14ac:dyDescent="0.3">
      <c r="A303" s="3">
        <v>45776</v>
      </c>
      <c r="B303" s="3" t="s">
        <v>5</v>
      </c>
      <c r="C303" s="3" t="s">
        <v>706</v>
      </c>
      <c r="D303" s="4">
        <v>0.9</v>
      </c>
      <c r="E303" s="42">
        <v>2.4500000000000002</v>
      </c>
      <c r="F303" s="45">
        <v>199</v>
      </c>
      <c r="G303" s="44">
        <v>1.3</v>
      </c>
      <c r="H303" s="21">
        <f t="shared" si="5"/>
        <v>570.43350000000009</v>
      </c>
      <c r="I303" s="6" t="s">
        <v>286</v>
      </c>
      <c r="J303" s="17"/>
    </row>
    <row r="304" spans="1:10" ht="13.95" customHeight="1" x14ac:dyDescent="0.3">
      <c r="A304" s="3">
        <v>45960</v>
      </c>
      <c r="B304" s="3" t="s">
        <v>8</v>
      </c>
      <c r="C304" s="3" t="s">
        <v>706</v>
      </c>
      <c r="D304" s="4">
        <v>0.85</v>
      </c>
      <c r="E304" s="42">
        <v>2.5</v>
      </c>
      <c r="F304" s="45">
        <v>199</v>
      </c>
      <c r="G304" s="44">
        <v>1.3</v>
      </c>
      <c r="H304" s="21">
        <f t="shared" si="5"/>
        <v>549.73750000000007</v>
      </c>
      <c r="I304" s="6" t="s">
        <v>2152</v>
      </c>
      <c r="J304" s="17"/>
    </row>
    <row r="305" spans="1:10" ht="13.95" customHeight="1" x14ac:dyDescent="0.3">
      <c r="A305" s="3">
        <v>45961</v>
      </c>
      <c r="B305" s="3" t="s">
        <v>11</v>
      </c>
      <c r="C305" s="3" t="s">
        <v>867</v>
      </c>
      <c r="D305" s="4">
        <v>0.85</v>
      </c>
      <c r="E305" s="42">
        <v>3.1</v>
      </c>
      <c r="F305" s="45">
        <v>199</v>
      </c>
      <c r="G305" s="44">
        <v>1.3</v>
      </c>
      <c r="H305" s="21">
        <f t="shared" si="5"/>
        <v>681.67450000000008</v>
      </c>
      <c r="I305" s="6" t="s">
        <v>1711</v>
      </c>
      <c r="J305" s="17"/>
    </row>
    <row r="306" spans="1:10" ht="13.95" customHeight="1" x14ac:dyDescent="0.3">
      <c r="A306" s="3">
        <v>45962</v>
      </c>
      <c r="B306" s="3" t="s">
        <v>13</v>
      </c>
      <c r="C306" s="3" t="s">
        <v>14</v>
      </c>
      <c r="D306" s="4">
        <v>0.65</v>
      </c>
      <c r="E306" s="42">
        <v>3.6</v>
      </c>
      <c r="F306" s="45">
        <v>199</v>
      </c>
      <c r="G306" s="44">
        <v>1.3</v>
      </c>
      <c r="H306" s="21">
        <f t="shared" si="5"/>
        <v>605.35799999999995</v>
      </c>
      <c r="I306" s="6" t="s">
        <v>2153</v>
      </c>
      <c r="J306" s="17"/>
    </row>
    <row r="307" spans="1:10" ht="13.95" customHeight="1" x14ac:dyDescent="0.3">
      <c r="A307" s="3">
        <v>45963</v>
      </c>
      <c r="B307" s="3" t="s">
        <v>16</v>
      </c>
      <c r="C307" s="3" t="s">
        <v>14</v>
      </c>
      <c r="D307" s="4">
        <v>0.55000000000000004</v>
      </c>
      <c r="E307" s="42">
        <v>3.3</v>
      </c>
      <c r="F307" s="45">
        <v>199</v>
      </c>
      <c r="G307" s="44">
        <v>1.3</v>
      </c>
      <c r="H307" s="21">
        <f t="shared" si="5"/>
        <v>469.54050000000001</v>
      </c>
      <c r="I307" s="6" t="s">
        <v>238</v>
      </c>
      <c r="J307" s="17"/>
    </row>
    <row r="308" spans="1:10" ht="13.95" customHeight="1" x14ac:dyDescent="0.3">
      <c r="A308" s="3">
        <v>45964</v>
      </c>
      <c r="B308" s="3" t="s">
        <v>18</v>
      </c>
      <c r="C308" s="3" t="s">
        <v>706</v>
      </c>
      <c r="D308" s="4">
        <v>0.9</v>
      </c>
      <c r="E308" s="42">
        <v>2.4</v>
      </c>
      <c r="F308" s="45">
        <v>199</v>
      </c>
      <c r="G308" s="44">
        <v>1.3</v>
      </c>
      <c r="H308" s="21">
        <f t="shared" si="5"/>
        <v>558.79200000000003</v>
      </c>
      <c r="I308" s="6" t="s">
        <v>2154</v>
      </c>
      <c r="J308" s="17"/>
    </row>
    <row r="309" spans="1:10" ht="13.95" customHeight="1" x14ac:dyDescent="0.3">
      <c r="A309" s="3">
        <v>45965</v>
      </c>
      <c r="B309" s="3" t="s">
        <v>20</v>
      </c>
      <c r="C309" s="3" t="s">
        <v>706</v>
      </c>
      <c r="D309" s="4">
        <v>1</v>
      </c>
      <c r="E309" s="42">
        <v>2.4500000000000002</v>
      </c>
      <c r="F309" s="45">
        <v>199</v>
      </c>
      <c r="G309" s="44">
        <v>1.3</v>
      </c>
      <c r="H309" s="21">
        <f t="shared" si="5"/>
        <v>633.81500000000005</v>
      </c>
      <c r="I309" s="6" t="s">
        <v>2155</v>
      </c>
      <c r="J309" s="17"/>
    </row>
    <row r="310" spans="1:10" ht="13.95" customHeight="1" x14ac:dyDescent="0.3">
      <c r="A310" s="3">
        <v>45966</v>
      </c>
      <c r="B310" s="3" t="s">
        <v>5</v>
      </c>
      <c r="C310" s="3" t="s">
        <v>706</v>
      </c>
      <c r="D310" s="4">
        <v>1</v>
      </c>
      <c r="E310" s="42">
        <v>2.4500000000000002</v>
      </c>
      <c r="F310" s="45">
        <v>199</v>
      </c>
      <c r="G310" s="44">
        <v>1.3</v>
      </c>
      <c r="H310" s="21">
        <f t="shared" si="5"/>
        <v>633.81500000000005</v>
      </c>
      <c r="I310" s="6" t="s">
        <v>2155</v>
      </c>
      <c r="J310" s="17"/>
    </row>
    <row r="311" spans="1:10" ht="13.95" customHeight="1" x14ac:dyDescent="0.3">
      <c r="A311" s="3">
        <v>45967</v>
      </c>
      <c r="B311" s="3" t="s">
        <v>8</v>
      </c>
      <c r="C311" s="3" t="s">
        <v>706</v>
      </c>
      <c r="D311" s="4">
        <v>0.95</v>
      </c>
      <c r="E311" s="42">
        <v>2.4</v>
      </c>
      <c r="F311" s="45">
        <v>199</v>
      </c>
      <c r="G311" s="44">
        <v>1.3</v>
      </c>
      <c r="H311" s="21">
        <f t="shared" si="5"/>
        <v>589.83600000000001</v>
      </c>
      <c r="I311" s="6" t="s">
        <v>579</v>
      </c>
      <c r="J311" s="17"/>
    </row>
    <row r="312" spans="1:10" ht="13.95" customHeight="1" x14ac:dyDescent="0.3">
      <c r="A312" s="3">
        <v>45968</v>
      </c>
      <c r="B312" s="3" t="s">
        <v>11</v>
      </c>
      <c r="C312" s="3" t="s">
        <v>706</v>
      </c>
      <c r="D312" s="4">
        <v>0.85</v>
      </c>
      <c r="E312" s="42">
        <v>2.5499999999999998</v>
      </c>
      <c r="F312" s="45">
        <v>199</v>
      </c>
      <c r="G312" s="44">
        <v>1.3</v>
      </c>
      <c r="H312" s="21">
        <f t="shared" si="5"/>
        <v>560.73225000000002</v>
      </c>
      <c r="I312" s="6" t="s">
        <v>2156</v>
      </c>
      <c r="J312" s="17"/>
    </row>
    <row r="313" spans="1:10" ht="13.95" customHeight="1" x14ac:dyDescent="0.3">
      <c r="A313" s="3">
        <v>45969</v>
      </c>
      <c r="B313" s="3" t="s">
        <v>13</v>
      </c>
      <c r="C313" s="3" t="s">
        <v>14</v>
      </c>
      <c r="D313" s="4">
        <v>0.75</v>
      </c>
      <c r="E313" s="42">
        <v>3.9</v>
      </c>
      <c r="F313" s="45">
        <v>199</v>
      </c>
      <c r="G313" s="44">
        <v>1.3</v>
      </c>
      <c r="H313" s="21">
        <f t="shared" si="5"/>
        <v>756.69749999999999</v>
      </c>
      <c r="I313" s="6" t="s">
        <v>2157</v>
      </c>
      <c r="J313" s="17"/>
    </row>
    <row r="314" spans="1:10" ht="13.95" customHeight="1" x14ac:dyDescent="0.3">
      <c r="A314" s="3">
        <v>45970</v>
      </c>
      <c r="B314" s="3" t="s">
        <v>16</v>
      </c>
      <c r="C314" s="3" t="s">
        <v>14</v>
      </c>
      <c r="D314" s="4">
        <v>0.6</v>
      </c>
      <c r="E314" s="42">
        <v>3.35</v>
      </c>
      <c r="F314" s="45">
        <v>199</v>
      </c>
      <c r="G314" s="44">
        <v>1.3</v>
      </c>
      <c r="H314" s="21">
        <f t="shared" si="5"/>
        <v>519.98700000000008</v>
      </c>
      <c r="I314" s="6" t="s">
        <v>69</v>
      </c>
      <c r="J314" s="17"/>
    </row>
    <row r="315" spans="1:10" ht="13.95" customHeight="1" x14ac:dyDescent="0.3">
      <c r="A315" s="3">
        <v>45971</v>
      </c>
      <c r="B315" s="3" t="s">
        <v>18</v>
      </c>
      <c r="C315" s="3" t="s">
        <v>706</v>
      </c>
      <c r="D315" s="4">
        <v>0.85</v>
      </c>
      <c r="E315" s="42">
        <v>2.4</v>
      </c>
      <c r="F315" s="45">
        <v>199</v>
      </c>
      <c r="G315" s="44">
        <v>1.3</v>
      </c>
      <c r="H315" s="21">
        <f t="shared" si="5"/>
        <v>527.74800000000005</v>
      </c>
      <c r="I315" s="6" t="s">
        <v>603</v>
      </c>
      <c r="J315" s="17"/>
    </row>
    <row r="316" spans="1:10" ht="13.95" customHeight="1" x14ac:dyDescent="0.3">
      <c r="A316" s="3">
        <v>45972</v>
      </c>
      <c r="B316" s="3" t="s">
        <v>20</v>
      </c>
      <c r="C316" s="3" t="s">
        <v>706</v>
      </c>
      <c r="D316" s="4">
        <v>0.9</v>
      </c>
      <c r="E316" s="42">
        <v>2.4500000000000002</v>
      </c>
      <c r="F316" s="45">
        <v>199</v>
      </c>
      <c r="G316" s="44">
        <v>1.3</v>
      </c>
      <c r="H316" s="21">
        <f t="shared" si="5"/>
        <v>570.43350000000009</v>
      </c>
      <c r="I316" s="6" t="s">
        <v>286</v>
      </c>
      <c r="J316" s="17"/>
    </row>
    <row r="317" spans="1:10" ht="13.95" customHeight="1" x14ac:dyDescent="0.3">
      <c r="A317" s="3">
        <v>45973</v>
      </c>
      <c r="B317" s="3" t="s">
        <v>5</v>
      </c>
      <c r="C317" s="3" t="s">
        <v>706</v>
      </c>
      <c r="D317" s="4">
        <v>0.9</v>
      </c>
      <c r="E317" s="42">
        <v>2.4500000000000002</v>
      </c>
      <c r="F317" s="45">
        <v>199</v>
      </c>
      <c r="G317" s="44">
        <v>1.3</v>
      </c>
      <c r="H317" s="21">
        <f t="shared" si="5"/>
        <v>570.43350000000009</v>
      </c>
      <c r="I317" s="6" t="s">
        <v>286</v>
      </c>
      <c r="J317" s="17"/>
    </row>
    <row r="318" spans="1:10" ht="13.95" customHeight="1" x14ac:dyDescent="0.3">
      <c r="A318" s="3">
        <v>45974</v>
      </c>
      <c r="B318" s="3" t="s">
        <v>8</v>
      </c>
      <c r="C318" s="3" t="s">
        <v>706</v>
      </c>
      <c r="D318" s="4">
        <v>0.95</v>
      </c>
      <c r="E318" s="42">
        <v>2.5</v>
      </c>
      <c r="F318" s="45">
        <v>199</v>
      </c>
      <c r="G318" s="44">
        <v>1.3</v>
      </c>
      <c r="H318" s="21">
        <f t="shared" si="5"/>
        <v>614.41249999999991</v>
      </c>
      <c r="I318" s="6" t="s">
        <v>2158</v>
      </c>
      <c r="J318" s="17"/>
    </row>
    <row r="319" spans="1:10" ht="13.95" customHeight="1" x14ac:dyDescent="0.3">
      <c r="A319" s="3">
        <v>45975</v>
      </c>
      <c r="B319" s="3" t="s">
        <v>11</v>
      </c>
      <c r="C319" s="3" t="s">
        <v>706</v>
      </c>
      <c r="D319" s="4">
        <v>0.9</v>
      </c>
      <c r="E319" s="42">
        <v>2.6</v>
      </c>
      <c r="F319" s="45">
        <v>199</v>
      </c>
      <c r="G319" s="44">
        <v>1.3</v>
      </c>
      <c r="H319" s="21">
        <f t="shared" si="5"/>
        <v>605.35800000000006</v>
      </c>
      <c r="I319" s="6" t="s">
        <v>2086</v>
      </c>
      <c r="J319" s="17"/>
    </row>
    <row r="320" spans="1:10" ht="13.95" customHeight="1" x14ac:dyDescent="0.3">
      <c r="A320" s="3">
        <v>45976</v>
      </c>
      <c r="B320" s="3" t="s">
        <v>13</v>
      </c>
      <c r="C320" s="3" t="s">
        <v>14</v>
      </c>
      <c r="D320" s="4">
        <v>0.8</v>
      </c>
      <c r="E320" s="42">
        <v>3.95</v>
      </c>
      <c r="F320" s="45">
        <v>199</v>
      </c>
      <c r="G320" s="44">
        <v>1.3</v>
      </c>
      <c r="H320" s="21">
        <f t="shared" si="5"/>
        <v>817.49200000000019</v>
      </c>
      <c r="I320" s="6" t="s">
        <v>1525</v>
      </c>
      <c r="J320" s="17"/>
    </row>
    <row r="321" spans="1:10" ht="13.95" customHeight="1" x14ac:dyDescent="0.3">
      <c r="A321" s="3">
        <v>45977</v>
      </c>
      <c r="B321" s="3" t="s">
        <v>16</v>
      </c>
      <c r="C321" s="3" t="s">
        <v>14</v>
      </c>
      <c r="D321" s="4">
        <v>0.65</v>
      </c>
      <c r="E321" s="42">
        <v>3.4</v>
      </c>
      <c r="F321" s="45">
        <v>199</v>
      </c>
      <c r="G321" s="44">
        <v>1.3</v>
      </c>
      <c r="H321" s="21">
        <f t="shared" si="5"/>
        <v>571.72699999999998</v>
      </c>
      <c r="I321" s="6" t="s">
        <v>238</v>
      </c>
      <c r="J321" s="17"/>
    </row>
    <row r="322" spans="1:10" ht="13.95" customHeight="1" x14ac:dyDescent="0.3">
      <c r="A322" s="3">
        <v>45978</v>
      </c>
      <c r="B322" s="3" t="s">
        <v>18</v>
      </c>
      <c r="C322" s="3" t="s">
        <v>706</v>
      </c>
      <c r="D322" s="4">
        <v>0.9</v>
      </c>
      <c r="E322" s="42">
        <v>2.4</v>
      </c>
      <c r="F322" s="45">
        <v>199</v>
      </c>
      <c r="G322" s="44">
        <v>1.3</v>
      </c>
      <c r="H322" s="21">
        <f t="shared" si="5"/>
        <v>558.79200000000003</v>
      </c>
      <c r="I322" s="6" t="s">
        <v>65</v>
      </c>
      <c r="J322" s="17"/>
    </row>
    <row r="323" spans="1:10" ht="13.95" customHeight="1" x14ac:dyDescent="0.3">
      <c r="A323" s="3">
        <v>45979</v>
      </c>
      <c r="B323" s="3" t="s">
        <v>20</v>
      </c>
      <c r="C323" s="3" t="s">
        <v>706</v>
      </c>
      <c r="D323" s="4">
        <v>0.95</v>
      </c>
      <c r="E323" s="42">
        <v>2.4500000000000002</v>
      </c>
      <c r="F323" s="45">
        <v>199</v>
      </c>
      <c r="G323" s="44">
        <v>1.3</v>
      </c>
      <c r="H323" s="21">
        <f t="shared" si="5"/>
        <v>602.12425000000007</v>
      </c>
      <c r="I323" s="6" t="s">
        <v>2159</v>
      </c>
      <c r="J323" s="17"/>
    </row>
    <row r="324" spans="1:10" ht="13.95" customHeight="1" x14ac:dyDescent="0.3">
      <c r="A324" s="3">
        <v>45980</v>
      </c>
      <c r="B324" s="3" t="s">
        <v>5</v>
      </c>
      <c r="C324" s="3" t="s">
        <v>706</v>
      </c>
      <c r="D324" s="4">
        <v>0.95</v>
      </c>
      <c r="E324" s="42">
        <v>2.4500000000000002</v>
      </c>
      <c r="F324" s="45">
        <v>199</v>
      </c>
      <c r="G324" s="44">
        <v>1.3</v>
      </c>
      <c r="H324" s="21">
        <f t="shared" si="5"/>
        <v>602.12425000000007</v>
      </c>
      <c r="I324" s="6" t="s">
        <v>2159</v>
      </c>
      <c r="J324" s="17"/>
    </row>
    <row r="325" spans="1:10" ht="13.95" customHeight="1" x14ac:dyDescent="0.3">
      <c r="A325" s="3">
        <v>45981</v>
      </c>
      <c r="B325" s="3" t="s">
        <v>8</v>
      </c>
      <c r="C325" s="3" t="s">
        <v>706</v>
      </c>
      <c r="D325" s="4">
        <v>0.9</v>
      </c>
      <c r="E325" s="42">
        <v>2.4500000000000002</v>
      </c>
      <c r="F325" s="45">
        <v>199</v>
      </c>
      <c r="G325" s="44">
        <v>1.3</v>
      </c>
      <c r="H325" s="21">
        <f t="shared" ref="H325:H366" si="6">(F325*D325)*E325*G325</f>
        <v>570.43350000000009</v>
      </c>
      <c r="I325" s="6" t="s">
        <v>286</v>
      </c>
      <c r="J325" s="17"/>
    </row>
    <row r="326" spans="1:10" ht="13.95" customHeight="1" x14ac:dyDescent="0.3">
      <c r="A326" s="3">
        <v>45982</v>
      </c>
      <c r="B326" s="3" t="s">
        <v>11</v>
      </c>
      <c r="C326" s="3" t="s">
        <v>706</v>
      </c>
      <c r="D326" s="4">
        <v>0.85</v>
      </c>
      <c r="E326" s="42">
        <v>2.65</v>
      </c>
      <c r="F326" s="45">
        <v>199</v>
      </c>
      <c r="G326" s="44">
        <v>1.3</v>
      </c>
      <c r="H326" s="21">
        <f t="shared" si="6"/>
        <v>582.72175000000004</v>
      </c>
      <c r="I326" s="6" t="s">
        <v>2160</v>
      </c>
      <c r="J326" s="17"/>
    </row>
    <row r="327" spans="1:10" ht="13.95" customHeight="1" x14ac:dyDescent="0.3">
      <c r="A327" s="3">
        <v>45983</v>
      </c>
      <c r="B327" s="3" t="s">
        <v>13</v>
      </c>
      <c r="C327" s="3" t="s">
        <v>14</v>
      </c>
      <c r="D327" s="4">
        <v>0.75</v>
      </c>
      <c r="E327" s="42">
        <v>3.85</v>
      </c>
      <c r="F327" s="45">
        <v>199</v>
      </c>
      <c r="G327" s="44">
        <v>1.3</v>
      </c>
      <c r="H327" s="21">
        <f t="shared" si="6"/>
        <v>746.99625000000015</v>
      </c>
      <c r="I327" s="6" t="s">
        <v>2161</v>
      </c>
      <c r="J327" s="17"/>
    </row>
    <row r="328" spans="1:10" ht="13.95" customHeight="1" x14ac:dyDescent="0.3">
      <c r="A328" s="3">
        <v>45984</v>
      </c>
      <c r="B328" s="3" t="s">
        <v>16</v>
      </c>
      <c r="C328" s="3" t="s">
        <v>14</v>
      </c>
      <c r="D328" s="4">
        <v>0.6</v>
      </c>
      <c r="E328" s="42">
        <v>3.35</v>
      </c>
      <c r="F328" s="45">
        <v>199</v>
      </c>
      <c r="G328" s="44">
        <v>1.3</v>
      </c>
      <c r="H328" s="21">
        <f t="shared" si="6"/>
        <v>519.98700000000008</v>
      </c>
      <c r="I328" s="6" t="s">
        <v>69</v>
      </c>
      <c r="J328" s="17"/>
    </row>
    <row r="329" spans="1:10" ht="13.95" customHeight="1" x14ac:dyDescent="0.3">
      <c r="A329" s="3">
        <v>45985</v>
      </c>
      <c r="B329" s="3" t="s">
        <v>18</v>
      </c>
      <c r="C329" s="3" t="s">
        <v>706</v>
      </c>
      <c r="D329" s="4">
        <v>0.9</v>
      </c>
      <c r="E329" s="42">
        <v>2.4</v>
      </c>
      <c r="F329" s="45">
        <v>199</v>
      </c>
      <c r="G329" s="44">
        <v>1.3</v>
      </c>
      <c r="H329" s="21">
        <f t="shared" si="6"/>
        <v>558.79200000000003</v>
      </c>
      <c r="I329" s="6" t="s">
        <v>65</v>
      </c>
      <c r="J329" s="17"/>
    </row>
    <row r="330" spans="1:10" ht="13.95" customHeight="1" x14ac:dyDescent="0.3">
      <c r="A330" s="3">
        <v>45986</v>
      </c>
      <c r="B330" s="3" t="s">
        <v>20</v>
      </c>
      <c r="C330" s="3" t="s">
        <v>706</v>
      </c>
      <c r="D330" s="4">
        <v>0.95</v>
      </c>
      <c r="E330" s="42">
        <v>2.4500000000000002</v>
      </c>
      <c r="F330" s="45">
        <v>199</v>
      </c>
      <c r="G330" s="44">
        <v>1.3</v>
      </c>
      <c r="H330" s="21">
        <f t="shared" si="6"/>
        <v>602.12425000000007</v>
      </c>
      <c r="I330" s="6" t="s">
        <v>2162</v>
      </c>
      <c r="J330" s="17"/>
    </row>
    <row r="331" spans="1:10" ht="13.95" customHeight="1" x14ac:dyDescent="0.3">
      <c r="A331" s="3">
        <v>45987</v>
      </c>
      <c r="B331" s="3" t="s">
        <v>5</v>
      </c>
      <c r="C331" s="3" t="s">
        <v>706</v>
      </c>
      <c r="D331" s="4">
        <v>0.9</v>
      </c>
      <c r="E331" s="42">
        <v>2.4500000000000002</v>
      </c>
      <c r="F331" s="45">
        <v>199</v>
      </c>
      <c r="G331" s="44">
        <v>1.3</v>
      </c>
      <c r="H331" s="21">
        <f t="shared" si="6"/>
        <v>570.43350000000009</v>
      </c>
      <c r="I331" s="6" t="s">
        <v>286</v>
      </c>
      <c r="J331" s="17"/>
    </row>
    <row r="332" spans="1:10" ht="13.95" customHeight="1" x14ac:dyDescent="0.3">
      <c r="A332" s="3">
        <v>45988</v>
      </c>
      <c r="B332" s="3" t="s">
        <v>8</v>
      </c>
      <c r="C332" s="3" t="s">
        <v>1183</v>
      </c>
      <c r="D332" s="4">
        <v>0.85</v>
      </c>
      <c r="E332" s="42">
        <v>2.8</v>
      </c>
      <c r="F332" s="45">
        <v>199</v>
      </c>
      <c r="G332" s="44">
        <v>1.3</v>
      </c>
      <c r="H332" s="21">
        <f t="shared" si="6"/>
        <v>615.70600000000002</v>
      </c>
      <c r="I332" s="6" t="s">
        <v>2163</v>
      </c>
      <c r="J332" s="17"/>
    </row>
    <row r="333" spans="1:10" ht="13.95" customHeight="1" x14ac:dyDescent="0.3">
      <c r="A333" s="3">
        <v>45989</v>
      </c>
      <c r="B333" s="3" t="s">
        <v>11</v>
      </c>
      <c r="C333" s="3" t="s">
        <v>706</v>
      </c>
      <c r="D333" s="4">
        <v>0.85</v>
      </c>
      <c r="E333" s="42">
        <v>2.6</v>
      </c>
      <c r="F333" s="45">
        <v>199</v>
      </c>
      <c r="G333" s="44">
        <v>1.3</v>
      </c>
      <c r="H333" s="21">
        <f t="shared" si="6"/>
        <v>571.72700000000009</v>
      </c>
      <c r="I333" s="6" t="s">
        <v>286</v>
      </c>
      <c r="J333" s="17"/>
    </row>
    <row r="334" spans="1:10" ht="13.95" customHeight="1" x14ac:dyDescent="0.3">
      <c r="A334" s="3">
        <v>45990</v>
      </c>
      <c r="B334" s="3" t="s">
        <v>13</v>
      </c>
      <c r="C334" s="3" t="s">
        <v>14</v>
      </c>
      <c r="D334" s="4">
        <v>0.8</v>
      </c>
      <c r="E334" s="42">
        <v>4.05</v>
      </c>
      <c r="F334" s="45">
        <v>199</v>
      </c>
      <c r="G334" s="44">
        <v>1.3</v>
      </c>
      <c r="H334" s="21">
        <f t="shared" si="6"/>
        <v>838.18799999999999</v>
      </c>
      <c r="I334" s="6" t="s">
        <v>2164</v>
      </c>
      <c r="J334" s="17"/>
    </row>
    <row r="335" spans="1:10" ht="13.95" customHeight="1" x14ac:dyDescent="0.3">
      <c r="A335" s="3">
        <v>45991</v>
      </c>
      <c r="B335" s="3" t="s">
        <v>16</v>
      </c>
      <c r="C335" s="3" t="s">
        <v>14</v>
      </c>
      <c r="D335" s="4">
        <v>0.7</v>
      </c>
      <c r="E335" s="42">
        <v>3.45</v>
      </c>
      <c r="F335" s="45">
        <v>199</v>
      </c>
      <c r="G335" s="44">
        <v>1.3</v>
      </c>
      <c r="H335" s="21">
        <f t="shared" si="6"/>
        <v>624.76049999999998</v>
      </c>
      <c r="I335" s="6" t="s">
        <v>783</v>
      </c>
      <c r="J335" s="17"/>
    </row>
    <row r="336" spans="1:10" ht="13.95" customHeight="1" x14ac:dyDescent="0.3">
      <c r="A336" s="3">
        <v>45992</v>
      </c>
      <c r="B336" s="3" t="s">
        <v>18</v>
      </c>
      <c r="C336" s="3" t="s">
        <v>706</v>
      </c>
      <c r="D336" s="4">
        <v>0.85</v>
      </c>
      <c r="E336" s="42">
        <v>2.4</v>
      </c>
      <c r="F336" s="45">
        <v>199</v>
      </c>
      <c r="G336" s="44">
        <v>1.3</v>
      </c>
      <c r="H336" s="21">
        <f t="shared" si="6"/>
        <v>527.74800000000005</v>
      </c>
      <c r="I336" s="6" t="s">
        <v>2165</v>
      </c>
      <c r="J336" s="17"/>
    </row>
    <row r="337" spans="1:10" ht="13.95" customHeight="1" x14ac:dyDescent="0.3">
      <c r="A337" s="3">
        <v>45993</v>
      </c>
      <c r="B337" s="3" t="s">
        <v>20</v>
      </c>
      <c r="C337" s="3" t="s">
        <v>706</v>
      </c>
      <c r="D337" s="4">
        <v>0.9</v>
      </c>
      <c r="E337" s="42">
        <v>2.4500000000000002</v>
      </c>
      <c r="F337" s="45">
        <v>199</v>
      </c>
      <c r="G337" s="44">
        <v>1.3</v>
      </c>
      <c r="H337" s="21">
        <f t="shared" si="6"/>
        <v>570.43350000000009</v>
      </c>
      <c r="I337" s="6" t="s">
        <v>2166</v>
      </c>
      <c r="J337" s="17"/>
    </row>
    <row r="338" spans="1:10" ht="13.95" customHeight="1" x14ac:dyDescent="0.3">
      <c r="A338" s="3">
        <v>45994</v>
      </c>
      <c r="B338" s="3" t="s">
        <v>5</v>
      </c>
      <c r="C338" s="3" t="s">
        <v>706</v>
      </c>
      <c r="D338" s="4">
        <v>0.9</v>
      </c>
      <c r="E338" s="42">
        <v>2.4500000000000002</v>
      </c>
      <c r="F338" s="45">
        <v>199</v>
      </c>
      <c r="G338" s="44">
        <v>1.3</v>
      </c>
      <c r="H338" s="21">
        <f t="shared" si="6"/>
        <v>570.43350000000009</v>
      </c>
      <c r="I338" s="6" t="s">
        <v>2166</v>
      </c>
      <c r="J338" s="17"/>
    </row>
    <row r="339" spans="1:10" ht="13.95" customHeight="1" x14ac:dyDescent="0.3">
      <c r="A339" s="3">
        <v>45995</v>
      </c>
      <c r="B339" s="3" t="s">
        <v>8</v>
      </c>
      <c r="C339" s="3" t="s">
        <v>706</v>
      </c>
      <c r="D339" s="4">
        <v>0.85</v>
      </c>
      <c r="E339" s="42">
        <v>2.4</v>
      </c>
      <c r="F339" s="45">
        <v>199</v>
      </c>
      <c r="G339" s="44">
        <v>1.3</v>
      </c>
      <c r="H339" s="21">
        <f t="shared" si="6"/>
        <v>527.74800000000005</v>
      </c>
      <c r="I339" s="6" t="s">
        <v>65</v>
      </c>
      <c r="J339" s="17"/>
    </row>
    <row r="340" spans="1:10" ht="13.95" customHeight="1" x14ac:dyDescent="0.3">
      <c r="A340" s="3">
        <v>45996</v>
      </c>
      <c r="B340" s="3" t="s">
        <v>11</v>
      </c>
      <c r="C340" s="3" t="s">
        <v>706</v>
      </c>
      <c r="D340" s="4">
        <v>0.8</v>
      </c>
      <c r="E340" s="42">
        <v>2.6</v>
      </c>
      <c r="F340" s="45">
        <v>199</v>
      </c>
      <c r="G340" s="44">
        <v>1.3</v>
      </c>
      <c r="H340" s="21">
        <f t="shared" si="6"/>
        <v>538.09600000000012</v>
      </c>
      <c r="I340" s="6" t="s">
        <v>2092</v>
      </c>
      <c r="J340" s="17"/>
    </row>
    <row r="341" spans="1:10" ht="13.95" customHeight="1" x14ac:dyDescent="0.3">
      <c r="A341" s="3">
        <v>45997</v>
      </c>
      <c r="B341" s="3" t="s">
        <v>13</v>
      </c>
      <c r="C341" s="3" t="s">
        <v>14</v>
      </c>
      <c r="D341" s="4">
        <v>0.75</v>
      </c>
      <c r="E341" s="42">
        <v>3.9</v>
      </c>
      <c r="F341" s="45">
        <v>199</v>
      </c>
      <c r="G341" s="44">
        <v>1.3</v>
      </c>
      <c r="H341" s="21">
        <f t="shared" si="6"/>
        <v>756.69749999999999</v>
      </c>
      <c r="I341" s="6" t="s">
        <v>1830</v>
      </c>
      <c r="J341" s="17"/>
    </row>
    <row r="342" spans="1:10" ht="13.95" customHeight="1" x14ac:dyDescent="0.3">
      <c r="A342" s="3">
        <v>45998</v>
      </c>
      <c r="B342" s="3" t="s">
        <v>16</v>
      </c>
      <c r="C342" s="3" t="s">
        <v>14</v>
      </c>
      <c r="D342" s="4">
        <v>0.65</v>
      </c>
      <c r="E342" s="42">
        <v>3.35</v>
      </c>
      <c r="F342" s="45">
        <v>199</v>
      </c>
      <c r="G342" s="44">
        <v>1.3</v>
      </c>
      <c r="H342" s="21">
        <f t="shared" si="6"/>
        <v>563.31925000000001</v>
      </c>
      <c r="I342" s="6" t="s">
        <v>238</v>
      </c>
      <c r="J342" s="17"/>
    </row>
    <row r="343" spans="1:10" ht="13.95" customHeight="1" x14ac:dyDescent="0.3">
      <c r="A343" s="3">
        <v>45999</v>
      </c>
      <c r="B343" s="3" t="s">
        <v>18</v>
      </c>
      <c r="C343" s="3" t="s">
        <v>706</v>
      </c>
      <c r="D343" s="4">
        <v>0.9</v>
      </c>
      <c r="E343" s="42">
        <v>2.4</v>
      </c>
      <c r="F343" s="45">
        <v>199</v>
      </c>
      <c r="G343" s="44">
        <v>1.3</v>
      </c>
      <c r="H343" s="21">
        <f t="shared" si="6"/>
        <v>558.79200000000003</v>
      </c>
      <c r="I343" s="6" t="s">
        <v>65</v>
      </c>
      <c r="J343" s="17"/>
    </row>
    <row r="344" spans="1:10" ht="13.95" customHeight="1" x14ac:dyDescent="0.3">
      <c r="A344" s="3">
        <v>46000</v>
      </c>
      <c r="B344" s="3" t="s">
        <v>20</v>
      </c>
      <c r="C344" s="3" t="s">
        <v>706</v>
      </c>
      <c r="D344" s="4">
        <v>0.95</v>
      </c>
      <c r="E344" s="42">
        <v>2.4500000000000002</v>
      </c>
      <c r="F344" s="45">
        <v>199</v>
      </c>
      <c r="G344" s="44">
        <v>1.3</v>
      </c>
      <c r="H344" s="21">
        <f t="shared" si="6"/>
        <v>602.12425000000007</v>
      </c>
      <c r="I344" s="6" t="s">
        <v>2167</v>
      </c>
      <c r="J344" s="17"/>
    </row>
    <row r="345" spans="1:10" ht="13.95" customHeight="1" x14ac:dyDescent="0.3">
      <c r="A345" s="3">
        <v>46001</v>
      </c>
      <c r="B345" s="3" t="s">
        <v>5</v>
      </c>
      <c r="C345" s="3" t="s">
        <v>706</v>
      </c>
      <c r="D345" s="4">
        <v>0.95</v>
      </c>
      <c r="E345" s="42">
        <v>2.4500000000000002</v>
      </c>
      <c r="F345" s="45">
        <v>199</v>
      </c>
      <c r="G345" s="44">
        <v>1.3</v>
      </c>
      <c r="H345" s="21">
        <f t="shared" si="6"/>
        <v>602.12425000000007</v>
      </c>
      <c r="I345" s="6" t="s">
        <v>2167</v>
      </c>
      <c r="J345" s="17"/>
    </row>
    <row r="346" spans="1:10" ht="13.95" customHeight="1" x14ac:dyDescent="0.3">
      <c r="A346" s="3">
        <v>46002</v>
      </c>
      <c r="B346" s="3" t="s">
        <v>8</v>
      </c>
      <c r="C346" s="3" t="s">
        <v>706</v>
      </c>
      <c r="D346" s="4">
        <v>0.9</v>
      </c>
      <c r="E346" s="42">
        <v>2.4</v>
      </c>
      <c r="F346" s="45">
        <v>199</v>
      </c>
      <c r="G346" s="44">
        <v>1.3</v>
      </c>
      <c r="H346" s="21">
        <f t="shared" si="6"/>
        <v>558.79200000000003</v>
      </c>
      <c r="I346" s="6" t="s">
        <v>65</v>
      </c>
      <c r="J346" s="17"/>
    </row>
    <row r="347" spans="1:10" ht="13.95" customHeight="1" x14ac:dyDescent="0.3">
      <c r="A347" s="3">
        <v>46003</v>
      </c>
      <c r="B347" s="3" t="s">
        <v>11</v>
      </c>
      <c r="C347" s="3" t="s">
        <v>706</v>
      </c>
      <c r="D347" s="4">
        <v>0.85</v>
      </c>
      <c r="E347" s="42">
        <v>2.7</v>
      </c>
      <c r="F347" s="45">
        <v>199</v>
      </c>
      <c r="G347" s="44">
        <v>1.3</v>
      </c>
      <c r="H347" s="21">
        <f t="shared" si="6"/>
        <v>593.71650000000011</v>
      </c>
      <c r="I347" s="6" t="s">
        <v>2081</v>
      </c>
      <c r="J347" s="17"/>
    </row>
    <row r="348" spans="1:10" ht="13.95" customHeight="1" x14ac:dyDescent="0.3">
      <c r="A348" s="3">
        <v>46004</v>
      </c>
      <c r="B348" s="3" t="s">
        <v>13</v>
      </c>
      <c r="C348" s="3" t="s">
        <v>14</v>
      </c>
      <c r="D348" s="4">
        <v>0.8</v>
      </c>
      <c r="E348" s="42">
        <v>4</v>
      </c>
      <c r="F348" s="45">
        <v>199</v>
      </c>
      <c r="G348" s="44">
        <v>1.3</v>
      </c>
      <c r="H348" s="21">
        <f t="shared" si="6"/>
        <v>827.84000000000015</v>
      </c>
      <c r="I348" s="6" t="s">
        <v>2157</v>
      </c>
      <c r="J348" s="17"/>
    </row>
    <row r="349" spans="1:10" ht="13.95" customHeight="1" x14ac:dyDescent="0.3">
      <c r="A349" s="3">
        <v>46005</v>
      </c>
      <c r="B349" s="3" t="s">
        <v>16</v>
      </c>
      <c r="C349" s="3" t="s">
        <v>14</v>
      </c>
      <c r="D349" s="4">
        <v>0.7</v>
      </c>
      <c r="E349" s="42">
        <v>3.4</v>
      </c>
      <c r="F349" s="45">
        <v>199</v>
      </c>
      <c r="G349" s="44">
        <v>1.3</v>
      </c>
      <c r="H349" s="21">
        <f t="shared" si="6"/>
        <v>615.7059999999999</v>
      </c>
      <c r="I349" s="6" t="s">
        <v>69</v>
      </c>
      <c r="J349" s="17"/>
    </row>
    <row r="350" spans="1:10" ht="13.95" customHeight="1" x14ac:dyDescent="0.3">
      <c r="A350" s="3">
        <v>46006</v>
      </c>
      <c r="B350" s="3" t="s">
        <v>18</v>
      </c>
      <c r="C350" s="3" t="s">
        <v>706</v>
      </c>
      <c r="D350" s="4">
        <v>0.85</v>
      </c>
      <c r="E350" s="42">
        <v>2.4</v>
      </c>
      <c r="F350" s="45">
        <v>199</v>
      </c>
      <c r="G350" s="44">
        <v>1.3</v>
      </c>
      <c r="H350" s="21">
        <f t="shared" si="6"/>
        <v>527.74800000000005</v>
      </c>
      <c r="I350" s="6" t="s">
        <v>65</v>
      </c>
      <c r="J350" s="17"/>
    </row>
    <row r="351" spans="1:10" ht="13.95" customHeight="1" x14ac:dyDescent="0.3">
      <c r="A351" s="3">
        <v>46007</v>
      </c>
      <c r="B351" s="3" t="s">
        <v>20</v>
      </c>
      <c r="C351" s="3" t="s">
        <v>706</v>
      </c>
      <c r="D351" s="4">
        <v>0.8</v>
      </c>
      <c r="E351" s="42">
        <v>2.5</v>
      </c>
      <c r="F351" s="45">
        <v>199</v>
      </c>
      <c r="G351" s="44">
        <v>1.3</v>
      </c>
      <c r="H351" s="21">
        <f t="shared" si="6"/>
        <v>517.40000000000009</v>
      </c>
      <c r="I351" s="6" t="s">
        <v>2168</v>
      </c>
      <c r="J351" s="17"/>
    </row>
    <row r="352" spans="1:10" ht="13.95" customHeight="1" x14ac:dyDescent="0.3">
      <c r="A352" s="3">
        <v>46008</v>
      </c>
      <c r="B352" s="3" t="s">
        <v>5</v>
      </c>
      <c r="C352" s="3" t="s">
        <v>1269</v>
      </c>
      <c r="D352" s="4">
        <v>0.6</v>
      </c>
      <c r="E352" s="42">
        <v>3.15</v>
      </c>
      <c r="F352" s="45">
        <v>199</v>
      </c>
      <c r="G352" s="44">
        <v>1.3</v>
      </c>
      <c r="H352" s="21">
        <f t="shared" si="6"/>
        <v>488.94299999999998</v>
      </c>
      <c r="I352" s="6" t="s">
        <v>2108</v>
      </c>
      <c r="J352" s="17"/>
    </row>
    <row r="353" spans="1:10" ht="13.95" customHeight="1" x14ac:dyDescent="0.3">
      <c r="A353" s="3">
        <v>46009</v>
      </c>
      <c r="B353" s="3" t="s">
        <v>8</v>
      </c>
      <c r="C353" s="3" t="s">
        <v>706</v>
      </c>
      <c r="D353" s="4">
        <v>0.75</v>
      </c>
      <c r="E353" s="42">
        <v>2.4</v>
      </c>
      <c r="F353" s="45">
        <v>199</v>
      </c>
      <c r="G353" s="44">
        <v>1.3</v>
      </c>
      <c r="H353" s="21">
        <f t="shared" si="6"/>
        <v>465.66</v>
      </c>
      <c r="I353" s="6" t="s">
        <v>726</v>
      </c>
      <c r="J353" s="17"/>
    </row>
    <row r="354" spans="1:10" ht="13.95" customHeight="1" x14ac:dyDescent="0.3">
      <c r="A354" s="3">
        <v>46010</v>
      </c>
      <c r="B354" s="3" t="s">
        <v>11</v>
      </c>
      <c r="C354" s="3" t="s">
        <v>706</v>
      </c>
      <c r="D354" s="4">
        <v>0.75</v>
      </c>
      <c r="E354" s="42">
        <v>2.65</v>
      </c>
      <c r="F354" s="45">
        <v>199</v>
      </c>
      <c r="G354" s="44">
        <v>1.3</v>
      </c>
      <c r="H354" s="21">
        <f t="shared" si="6"/>
        <v>514.16624999999999</v>
      </c>
      <c r="I354" s="6" t="s">
        <v>2169</v>
      </c>
      <c r="J354" s="17"/>
    </row>
    <row r="355" spans="1:10" ht="13.95" customHeight="1" x14ac:dyDescent="0.3">
      <c r="A355" s="3">
        <v>46011</v>
      </c>
      <c r="B355" s="3" t="s">
        <v>13</v>
      </c>
      <c r="C355" s="3" t="s">
        <v>658</v>
      </c>
      <c r="D355" s="4">
        <v>0.7</v>
      </c>
      <c r="E355" s="42">
        <v>3.2</v>
      </c>
      <c r="F355" s="45">
        <v>199</v>
      </c>
      <c r="G355" s="44">
        <v>1.3</v>
      </c>
      <c r="H355" s="21">
        <f t="shared" si="6"/>
        <v>579.48800000000006</v>
      </c>
      <c r="I355" s="6" t="s">
        <v>2170</v>
      </c>
      <c r="J355" s="17"/>
    </row>
    <row r="356" spans="1:10" ht="13.95" customHeight="1" x14ac:dyDescent="0.3">
      <c r="A356" s="3">
        <v>46012</v>
      </c>
      <c r="B356" s="3" t="s">
        <v>16</v>
      </c>
      <c r="C356" s="3" t="s">
        <v>658</v>
      </c>
      <c r="D356" s="4">
        <v>0.65</v>
      </c>
      <c r="E356" s="42">
        <v>3.45</v>
      </c>
      <c r="F356" s="45">
        <v>199</v>
      </c>
      <c r="G356" s="44">
        <v>1.3</v>
      </c>
      <c r="H356" s="21">
        <f t="shared" si="6"/>
        <v>580.13475000000005</v>
      </c>
      <c r="I356" s="6" t="s">
        <v>69</v>
      </c>
      <c r="J356" s="17"/>
    </row>
    <row r="357" spans="1:10" ht="13.95" customHeight="1" x14ac:dyDescent="0.3">
      <c r="A357" s="3">
        <v>46013</v>
      </c>
      <c r="B357" s="3" t="s">
        <v>18</v>
      </c>
      <c r="C357" s="3" t="s">
        <v>658</v>
      </c>
      <c r="D357" s="4">
        <v>0.6</v>
      </c>
      <c r="E357" s="42">
        <v>2.35</v>
      </c>
      <c r="F357" s="45">
        <v>199</v>
      </c>
      <c r="G357" s="44">
        <v>1.3</v>
      </c>
      <c r="H357" s="21">
        <f t="shared" si="6"/>
        <v>364.767</v>
      </c>
      <c r="I357" s="6" t="s">
        <v>2171</v>
      </c>
      <c r="J357" s="17"/>
    </row>
    <row r="358" spans="1:10" ht="13.95" customHeight="1" x14ac:dyDescent="0.3">
      <c r="A358" s="3">
        <v>46014</v>
      </c>
      <c r="B358" s="3" t="s">
        <v>20</v>
      </c>
      <c r="C358" s="3" t="s">
        <v>658</v>
      </c>
      <c r="D358" s="4">
        <v>0.65</v>
      </c>
      <c r="E358" s="42">
        <v>2.4500000000000002</v>
      </c>
      <c r="F358" s="45">
        <v>199</v>
      </c>
      <c r="G358" s="44">
        <v>1.3</v>
      </c>
      <c r="H358" s="21">
        <f t="shared" si="6"/>
        <v>411.97975000000002</v>
      </c>
      <c r="I358" s="6" t="s">
        <v>1561</v>
      </c>
      <c r="J358" s="17"/>
    </row>
    <row r="359" spans="1:10" ht="13.95" customHeight="1" x14ac:dyDescent="0.3">
      <c r="A359" s="3">
        <v>46015</v>
      </c>
      <c r="B359" s="3" t="s">
        <v>5</v>
      </c>
      <c r="C359" s="3" t="s">
        <v>299</v>
      </c>
      <c r="D359" s="4">
        <v>0.85</v>
      </c>
      <c r="E359" s="42">
        <v>3.85</v>
      </c>
      <c r="F359" s="45">
        <v>199</v>
      </c>
      <c r="G359" s="44">
        <v>1.3</v>
      </c>
      <c r="H359" s="21">
        <f t="shared" si="6"/>
        <v>846.59575000000018</v>
      </c>
      <c r="I359" s="6" t="s">
        <v>2172</v>
      </c>
      <c r="J359" s="17"/>
    </row>
    <row r="360" spans="1:10" ht="13.95" customHeight="1" x14ac:dyDescent="0.3">
      <c r="A360" s="3">
        <v>46016</v>
      </c>
      <c r="B360" s="3" t="s">
        <v>8</v>
      </c>
      <c r="C360" s="3" t="s">
        <v>299</v>
      </c>
      <c r="D360" s="4">
        <v>0.75</v>
      </c>
      <c r="E360" s="42">
        <v>3.5</v>
      </c>
      <c r="F360" s="45">
        <v>199</v>
      </c>
      <c r="G360" s="44">
        <v>1.3</v>
      </c>
      <c r="H360" s="21">
        <f t="shared" si="6"/>
        <v>679.08749999999998</v>
      </c>
      <c r="I360" s="6" t="s">
        <v>1834</v>
      </c>
      <c r="J360" s="17"/>
    </row>
    <row r="361" spans="1:10" ht="13.95" customHeight="1" x14ac:dyDescent="0.3">
      <c r="A361" s="3">
        <v>46017</v>
      </c>
      <c r="B361" s="3" t="s">
        <v>11</v>
      </c>
      <c r="C361" s="3" t="s">
        <v>658</v>
      </c>
      <c r="D361" s="4">
        <v>0.8</v>
      </c>
      <c r="E361" s="42">
        <v>2.8</v>
      </c>
      <c r="F361" s="45">
        <v>199</v>
      </c>
      <c r="G361" s="44">
        <v>1.3</v>
      </c>
      <c r="H361" s="21">
        <f t="shared" si="6"/>
        <v>579.48800000000006</v>
      </c>
      <c r="I361" s="6" t="s">
        <v>197</v>
      </c>
      <c r="J361" s="17"/>
    </row>
    <row r="362" spans="1:10" ht="13.95" customHeight="1" x14ac:dyDescent="0.3">
      <c r="A362" s="3">
        <v>46018</v>
      </c>
      <c r="B362" s="3" t="s">
        <v>13</v>
      </c>
      <c r="C362" s="3" t="s">
        <v>658</v>
      </c>
      <c r="D362" s="4">
        <v>0.9</v>
      </c>
      <c r="E362" s="42">
        <v>4.1500000000000004</v>
      </c>
      <c r="F362" s="45">
        <v>199</v>
      </c>
      <c r="G362" s="44">
        <v>1.3</v>
      </c>
      <c r="H362" s="21">
        <f t="shared" si="6"/>
        <v>966.24450000000002</v>
      </c>
      <c r="I362" s="6" t="s">
        <v>2173</v>
      </c>
      <c r="J362" s="17"/>
    </row>
    <row r="363" spans="1:10" ht="13.95" customHeight="1" x14ac:dyDescent="0.3">
      <c r="A363" s="3">
        <v>46019</v>
      </c>
      <c r="B363" s="3" t="s">
        <v>16</v>
      </c>
      <c r="C363" s="3" t="s">
        <v>658</v>
      </c>
      <c r="D363" s="4">
        <v>0.85</v>
      </c>
      <c r="E363" s="42">
        <v>3.6</v>
      </c>
      <c r="F363" s="45">
        <v>199</v>
      </c>
      <c r="G363" s="44">
        <v>1.3</v>
      </c>
      <c r="H363" s="21">
        <f t="shared" si="6"/>
        <v>791.62200000000007</v>
      </c>
      <c r="I363" s="6" t="s">
        <v>69</v>
      </c>
      <c r="J363" s="17"/>
    </row>
    <row r="364" spans="1:10" ht="13.95" customHeight="1" x14ac:dyDescent="0.3">
      <c r="A364" s="3">
        <v>46020</v>
      </c>
      <c r="B364" s="3" t="s">
        <v>18</v>
      </c>
      <c r="C364" s="3" t="s">
        <v>2174</v>
      </c>
      <c r="D364" s="4">
        <v>0.9</v>
      </c>
      <c r="E364" s="42">
        <v>2.65</v>
      </c>
      <c r="F364" s="45">
        <v>199</v>
      </c>
      <c r="G364" s="44">
        <v>1.3</v>
      </c>
      <c r="H364" s="21">
        <f t="shared" si="6"/>
        <v>616.99950000000001</v>
      </c>
      <c r="I364" s="6" t="s">
        <v>531</v>
      </c>
      <c r="J364" s="17"/>
    </row>
    <row r="365" spans="1:10" ht="13.95" customHeight="1" x14ac:dyDescent="0.3">
      <c r="A365" s="3">
        <v>46021</v>
      </c>
      <c r="B365" s="3" t="s">
        <v>20</v>
      </c>
      <c r="C365" s="3" t="s">
        <v>2174</v>
      </c>
      <c r="D365" s="4">
        <v>0.95</v>
      </c>
      <c r="E365" s="42">
        <v>3.3</v>
      </c>
      <c r="F365" s="45">
        <v>199</v>
      </c>
      <c r="G365" s="44">
        <v>1.3</v>
      </c>
      <c r="H365" s="21">
        <f t="shared" si="6"/>
        <v>811.02449999999988</v>
      </c>
      <c r="I365" s="6" t="s">
        <v>1566</v>
      </c>
      <c r="J365" s="17"/>
    </row>
    <row r="366" spans="1:10" ht="13.95" customHeight="1" x14ac:dyDescent="0.3">
      <c r="A366" s="3">
        <v>46022</v>
      </c>
      <c r="B366" s="3" t="s">
        <v>5</v>
      </c>
      <c r="C366" s="3" t="s">
        <v>1567</v>
      </c>
      <c r="D366" s="4">
        <v>1</v>
      </c>
      <c r="E366" s="42">
        <v>4.5</v>
      </c>
      <c r="F366" s="45">
        <v>199</v>
      </c>
      <c r="G366" s="44">
        <v>1.3</v>
      </c>
      <c r="H366" s="21">
        <f t="shared" si="6"/>
        <v>1164.1500000000001</v>
      </c>
      <c r="I366" s="6" t="s">
        <v>2175</v>
      </c>
      <c r="J366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A70B1-7890-4515-95C0-C422DA9912F5}">
  <dimension ref="A1:Q455"/>
  <sheetViews>
    <sheetView workbookViewId="0">
      <selection sqref="A1:J1"/>
    </sheetView>
  </sheetViews>
  <sheetFormatPr baseColWidth="10" defaultRowHeight="14.4" x14ac:dyDescent="0.3"/>
  <cols>
    <col min="1" max="1" width="15.88671875" customWidth="1"/>
    <col min="2" max="2" width="22.88671875" customWidth="1"/>
    <col min="4" max="4" width="28.33203125" customWidth="1"/>
    <col min="5" max="5" width="11.5546875" style="38"/>
    <col min="6" max="6" width="11.5546875" style="36"/>
    <col min="7" max="7" width="11.5546875" style="50"/>
    <col min="8" max="8" width="11.5546875" style="36"/>
    <col min="10" max="10" width="28.33203125" style="26" customWidth="1"/>
  </cols>
  <sheetData>
    <row r="1" spans="1:17" ht="28.2" thickBot="1" x14ac:dyDescent="0.35">
      <c r="A1" s="1" t="s">
        <v>333</v>
      </c>
      <c r="B1" s="34" t="s">
        <v>670</v>
      </c>
      <c r="C1" s="34" t="s">
        <v>0</v>
      </c>
      <c r="D1" s="34" t="s">
        <v>1</v>
      </c>
      <c r="E1" s="37" t="s">
        <v>2</v>
      </c>
      <c r="F1" s="43" t="s">
        <v>3</v>
      </c>
      <c r="G1" s="47" t="s">
        <v>359</v>
      </c>
      <c r="H1" s="35" t="s">
        <v>360</v>
      </c>
      <c r="I1" s="47" t="s">
        <v>361</v>
      </c>
      <c r="J1" s="25" t="s">
        <v>4</v>
      </c>
      <c r="L1">
        <f>RSQ(I:I,E:E)</f>
        <v>0.34018211899086165</v>
      </c>
    </row>
    <row r="2" spans="1:17" ht="13.95" customHeight="1" thickBot="1" x14ac:dyDescent="0.35">
      <c r="A2" s="3">
        <v>45658</v>
      </c>
      <c r="B2" s="3" t="s">
        <v>679</v>
      </c>
      <c r="C2" s="3" t="s">
        <v>5</v>
      </c>
      <c r="D2" s="3" t="s">
        <v>735</v>
      </c>
      <c r="E2" s="4">
        <v>0.75</v>
      </c>
      <c r="F2" s="44">
        <v>2.5</v>
      </c>
      <c r="G2" s="21">
        <v>270</v>
      </c>
      <c r="H2" s="30">
        <v>1.3</v>
      </c>
      <c r="I2" s="6">
        <f t="shared" ref="I2:I32" si="0">(G2*E2)*F2*H2</f>
        <v>658.125</v>
      </c>
      <c r="J2" s="7" t="s">
        <v>891</v>
      </c>
      <c r="K2" s="17">
        <f>MONTH(A2)</f>
        <v>1</v>
      </c>
      <c r="L2" s="61" t="s">
        <v>309</v>
      </c>
      <c r="M2" s="61"/>
      <c r="N2" s="61"/>
      <c r="O2" s="9"/>
      <c r="P2" s="9"/>
      <c r="Q2" s="9"/>
    </row>
    <row r="3" spans="1:17" ht="13.95" customHeight="1" thickTop="1" thickBot="1" x14ac:dyDescent="0.35">
      <c r="A3" s="3">
        <v>45659</v>
      </c>
      <c r="B3" s="3" t="s">
        <v>679</v>
      </c>
      <c r="C3" s="3" t="s">
        <v>8</v>
      </c>
      <c r="D3" s="3" t="s">
        <v>706</v>
      </c>
      <c r="E3" s="4">
        <v>0.65</v>
      </c>
      <c r="F3" s="44">
        <v>2.0499999999999998</v>
      </c>
      <c r="G3" s="21">
        <v>270</v>
      </c>
      <c r="H3" s="30">
        <v>1.3</v>
      </c>
      <c r="I3" s="6">
        <f t="shared" si="0"/>
        <v>467.70749999999998</v>
      </c>
      <c r="J3" s="7" t="s">
        <v>726</v>
      </c>
      <c r="K3" s="17">
        <f t="shared" ref="K3:K66" si="1">MONTH(A3)</f>
        <v>1</v>
      </c>
      <c r="L3" s="10" t="s">
        <v>310</v>
      </c>
      <c r="M3" s="11" t="s">
        <v>311</v>
      </c>
      <c r="N3" s="12" t="s">
        <v>312</v>
      </c>
      <c r="O3" s="9"/>
      <c r="P3">
        <v>1</v>
      </c>
      <c r="Q3" t="s">
        <v>313</v>
      </c>
    </row>
    <row r="4" spans="1:17" ht="13.95" customHeight="1" thickTop="1" thickBot="1" x14ac:dyDescent="0.35">
      <c r="A4" s="3">
        <v>45660</v>
      </c>
      <c r="B4" s="3" t="s">
        <v>679</v>
      </c>
      <c r="C4" s="3" t="s">
        <v>11</v>
      </c>
      <c r="D4" s="3" t="s">
        <v>706</v>
      </c>
      <c r="E4" s="4">
        <v>0.7</v>
      </c>
      <c r="F4" s="44">
        <v>2.0499999999999998</v>
      </c>
      <c r="G4" s="21">
        <v>270</v>
      </c>
      <c r="H4" s="30">
        <v>1.3</v>
      </c>
      <c r="I4" s="6">
        <f t="shared" si="0"/>
        <v>503.685</v>
      </c>
      <c r="J4" s="7" t="s">
        <v>892</v>
      </c>
      <c r="K4" s="17">
        <f t="shared" si="1"/>
        <v>1</v>
      </c>
      <c r="L4" s="13" t="s">
        <v>313</v>
      </c>
      <c r="M4" s="14">
        <f t="shared" ref="M4:M15" si="2">SUMIFS(I:I,K:K,P3)</f>
        <v>17885.731499999998</v>
      </c>
      <c r="N4" s="15">
        <f>M4*0.054</f>
        <v>965.82950099999994</v>
      </c>
      <c r="O4" s="9"/>
      <c r="P4">
        <v>2</v>
      </c>
      <c r="Q4" t="s">
        <v>314</v>
      </c>
    </row>
    <row r="5" spans="1:17" ht="13.95" customHeight="1" thickTop="1" thickBot="1" x14ac:dyDescent="0.35">
      <c r="A5" s="3">
        <v>45661</v>
      </c>
      <c r="B5" s="3" t="s">
        <v>679</v>
      </c>
      <c r="C5" s="3" t="s">
        <v>13</v>
      </c>
      <c r="D5" s="3" t="s">
        <v>14</v>
      </c>
      <c r="E5" s="4">
        <v>0.55000000000000004</v>
      </c>
      <c r="F5" s="44">
        <v>2.2000000000000002</v>
      </c>
      <c r="G5" s="21">
        <v>270</v>
      </c>
      <c r="H5" s="30">
        <v>1.3</v>
      </c>
      <c r="I5" s="6">
        <f t="shared" si="0"/>
        <v>424.71000000000009</v>
      </c>
      <c r="J5" s="7" t="s">
        <v>893</v>
      </c>
      <c r="K5" s="17">
        <f t="shared" si="1"/>
        <v>1</v>
      </c>
      <c r="L5" s="13" t="s">
        <v>314</v>
      </c>
      <c r="M5" s="14">
        <f t="shared" si="2"/>
        <v>17773.937999999998</v>
      </c>
      <c r="N5" s="15">
        <f t="shared" ref="N5:N15" si="3">M5*0.054</f>
        <v>959.79265199999986</v>
      </c>
      <c r="O5" s="9"/>
      <c r="P5">
        <v>3</v>
      </c>
      <c r="Q5" t="s">
        <v>315</v>
      </c>
    </row>
    <row r="6" spans="1:17" ht="13.95" customHeight="1" thickTop="1" thickBot="1" x14ac:dyDescent="0.35">
      <c r="A6" s="3">
        <v>45662</v>
      </c>
      <c r="B6" s="3" t="s">
        <v>679</v>
      </c>
      <c r="C6" s="3" t="s">
        <v>16</v>
      </c>
      <c r="D6" s="3" t="s">
        <v>14</v>
      </c>
      <c r="E6" s="4">
        <v>0.5</v>
      </c>
      <c r="F6" s="44">
        <v>2.2999999999999998</v>
      </c>
      <c r="G6" s="21">
        <v>270</v>
      </c>
      <c r="H6" s="30">
        <v>1.3</v>
      </c>
      <c r="I6" s="6">
        <f t="shared" si="0"/>
        <v>403.65000000000003</v>
      </c>
      <c r="J6" s="7" t="s">
        <v>139</v>
      </c>
      <c r="K6" s="17">
        <f t="shared" si="1"/>
        <v>1</v>
      </c>
      <c r="L6" s="13" t="s">
        <v>315</v>
      </c>
      <c r="M6" s="14">
        <f t="shared" si="2"/>
        <v>15037.717500000001</v>
      </c>
      <c r="N6" s="15">
        <f t="shared" si="3"/>
        <v>812.036745</v>
      </c>
      <c r="O6" s="9"/>
      <c r="P6">
        <v>4</v>
      </c>
      <c r="Q6" t="s">
        <v>316</v>
      </c>
    </row>
    <row r="7" spans="1:17" ht="13.95" customHeight="1" thickTop="1" thickBot="1" x14ac:dyDescent="0.35">
      <c r="A7" s="3">
        <v>45663</v>
      </c>
      <c r="B7" s="3" t="s">
        <v>679</v>
      </c>
      <c r="C7" s="3" t="s">
        <v>18</v>
      </c>
      <c r="D7" s="3" t="s">
        <v>706</v>
      </c>
      <c r="E7" s="4">
        <v>0.8</v>
      </c>
      <c r="F7" s="44">
        <v>2.1</v>
      </c>
      <c r="G7" s="21">
        <v>270</v>
      </c>
      <c r="H7" s="30">
        <v>1.3</v>
      </c>
      <c r="I7" s="6">
        <f t="shared" si="0"/>
        <v>589.68000000000006</v>
      </c>
      <c r="J7" s="7" t="s">
        <v>894</v>
      </c>
      <c r="K7" s="17">
        <f t="shared" si="1"/>
        <v>1</v>
      </c>
      <c r="L7" s="13" t="s">
        <v>316</v>
      </c>
      <c r="M7" s="14">
        <f t="shared" si="2"/>
        <v>15881.346</v>
      </c>
      <c r="N7" s="15">
        <f t="shared" si="3"/>
        <v>857.59268399999996</v>
      </c>
      <c r="O7" s="9"/>
      <c r="P7">
        <v>5</v>
      </c>
      <c r="Q7" t="s">
        <v>317</v>
      </c>
    </row>
    <row r="8" spans="1:17" ht="13.95" customHeight="1" thickTop="1" thickBot="1" x14ac:dyDescent="0.35">
      <c r="A8" s="3">
        <v>45664</v>
      </c>
      <c r="B8" s="3" t="s">
        <v>679</v>
      </c>
      <c r="C8" s="3" t="s">
        <v>20</v>
      </c>
      <c r="D8" s="3" t="s">
        <v>707</v>
      </c>
      <c r="E8" s="4">
        <v>0.9</v>
      </c>
      <c r="F8" s="44">
        <v>2.15</v>
      </c>
      <c r="G8" s="21">
        <v>270</v>
      </c>
      <c r="H8" s="30">
        <v>1.3</v>
      </c>
      <c r="I8" s="6">
        <f t="shared" si="0"/>
        <v>679.18499999999995</v>
      </c>
      <c r="J8" s="7" t="s">
        <v>895</v>
      </c>
      <c r="K8" s="17">
        <f t="shared" si="1"/>
        <v>1</v>
      </c>
      <c r="L8" s="13" t="s">
        <v>317</v>
      </c>
      <c r="M8" s="14">
        <f t="shared" si="2"/>
        <v>17133.714</v>
      </c>
      <c r="N8" s="15">
        <f t="shared" si="3"/>
        <v>925.22055599999999</v>
      </c>
      <c r="O8" s="9"/>
      <c r="P8">
        <v>6</v>
      </c>
      <c r="Q8" t="s">
        <v>318</v>
      </c>
    </row>
    <row r="9" spans="1:17" ht="13.95" customHeight="1" thickTop="1" thickBot="1" x14ac:dyDescent="0.35">
      <c r="A9" s="3">
        <v>45665</v>
      </c>
      <c r="B9" s="3" t="s">
        <v>679</v>
      </c>
      <c r="C9" s="3" t="s">
        <v>5</v>
      </c>
      <c r="D9" s="3" t="s">
        <v>706</v>
      </c>
      <c r="E9" s="4">
        <v>0.85</v>
      </c>
      <c r="F9" s="44">
        <v>2.1</v>
      </c>
      <c r="G9" s="21">
        <v>270</v>
      </c>
      <c r="H9" s="30">
        <v>1.3</v>
      </c>
      <c r="I9" s="6">
        <f t="shared" si="0"/>
        <v>626.53500000000008</v>
      </c>
      <c r="J9" s="7" t="s">
        <v>896</v>
      </c>
      <c r="K9" s="17">
        <f t="shared" si="1"/>
        <v>1</v>
      </c>
      <c r="L9" s="13" t="s">
        <v>318</v>
      </c>
      <c r="M9" s="14">
        <f t="shared" si="2"/>
        <v>17536.1355</v>
      </c>
      <c r="N9" s="15">
        <f t="shared" si="3"/>
        <v>946.95131700000002</v>
      </c>
      <c r="O9" s="9"/>
      <c r="P9">
        <v>7</v>
      </c>
      <c r="Q9" t="s">
        <v>319</v>
      </c>
    </row>
    <row r="10" spans="1:17" ht="13.95" customHeight="1" thickTop="1" thickBot="1" x14ac:dyDescent="0.35">
      <c r="A10" s="3">
        <v>45666</v>
      </c>
      <c r="B10" s="3" t="s">
        <v>679</v>
      </c>
      <c r="C10" s="3" t="s">
        <v>8</v>
      </c>
      <c r="D10" s="3" t="s">
        <v>706</v>
      </c>
      <c r="E10" s="4">
        <v>0.82</v>
      </c>
      <c r="F10" s="44">
        <v>2.1</v>
      </c>
      <c r="G10" s="21">
        <v>270</v>
      </c>
      <c r="H10" s="30">
        <v>1.3</v>
      </c>
      <c r="I10" s="6">
        <f t="shared" si="0"/>
        <v>604.42200000000003</v>
      </c>
      <c r="J10" s="7" t="s">
        <v>71</v>
      </c>
      <c r="K10" s="17">
        <f t="shared" si="1"/>
        <v>1</v>
      </c>
      <c r="L10" s="13" t="s">
        <v>319</v>
      </c>
      <c r="M10" s="14">
        <f t="shared" si="2"/>
        <v>19645.996500000001</v>
      </c>
      <c r="N10" s="15">
        <f t="shared" si="3"/>
        <v>1060.8838110000002</v>
      </c>
      <c r="O10" s="9"/>
      <c r="P10">
        <v>8</v>
      </c>
      <c r="Q10" t="s">
        <v>320</v>
      </c>
    </row>
    <row r="11" spans="1:17" ht="13.95" customHeight="1" thickTop="1" thickBot="1" x14ac:dyDescent="0.35">
      <c r="A11" s="3">
        <v>45667</v>
      </c>
      <c r="B11" s="3" t="s">
        <v>679</v>
      </c>
      <c r="C11" s="3" t="s">
        <v>11</v>
      </c>
      <c r="D11" s="3" t="s">
        <v>44</v>
      </c>
      <c r="E11" s="4">
        <v>0.75</v>
      </c>
      <c r="F11" s="44">
        <v>2.0499999999999998</v>
      </c>
      <c r="G11" s="21">
        <v>270</v>
      </c>
      <c r="H11" s="30">
        <v>1.3</v>
      </c>
      <c r="I11" s="6">
        <f t="shared" si="0"/>
        <v>539.66249999999991</v>
      </c>
      <c r="J11" s="7" t="s">
        <v>729</v>
      </c>
      <c r="K11" s="17">
        <f t="shared" si="1"/>
        <v>1</v>
      </c>
      <c r="L11" s="13" t="s">
        <v>320</v>
      </c>
      <c r="M11" s="14">
        <f t="shared" si="2"/>
        <v>19803.595500000003</v>
      </c>
      <c r="N11" s="15">
        <f t="shared" si="3"/>
        <v>1069.3941570000002</v>
      </c>
      <c r="O11" s="9"/>
      <c r="P11">
        <v>9</v>
      </c>
      <c r="Q11" t="s">
        <v>321</v>
      </c>
    </row>
    <row r="12" spans="1:17" ht="13.95" customHeight="1" thickTop="1" thickBot="1" x14ac:dyDescent="0.35">
      <c r="A12" s="3">
        <v>45668</v>
      </c>
      <c r="B12" s="3" t="s">
        <v>679</v>
      </c>
      <c r="C12" s="3" t="s">
        <v>13</v>
      </c>
      <c r="D12" s="3" t="s">
        <v>14</v>
      </c>
      <c r="E12" s="4">
        <v>0.6</v>
      </c>
      <c r="F12" s="44">
        <v>2.25</v>
      </c>
      <c r="G12" s="21">
        <v>270</v>
      </c>
      <c r="H12" s="30">
        <v>1.3</v>
      </c>
      <c r="I12" s="6">
        <f t="shared" si="0"/>
        <v>473.85</v>
      </c>
      <c r="J12" s="7" t="s">
        <v>897</v>
      </c>
      <c r="K12" s="17">
        <f t="shared" si="1"/>
        <v>1</v>
      </c>
      <c r="L12" s="13" t="s">
        <v>321</v>
      </c>
      <c r="M12" s="14">
        <f t="shared" si="2"/>
        <v>16530.520500000002</v>
      </c>
      <c r="N12" s="15">
        <f t="shared" si="3"/>
        <v>892.6481070000001</v>
      </c>
      <c r="O12" s="9"/>
      <c r="P12">
        <v>10</v>
      </c>
      <c r="Q12" t="s">
        <v>322</v>
      </c>
    </row>
    <row r="13" spans="1:17" ht="13.95" customHeight="1" thickTop="1" thickBot="1" x14ac:dyDescent="0.35">
      <c r="A13" s="3">
        <v>45669</v>
      </c>
      <c r="B13" s="3" t="s">
        <v>679</v>
      </c>
      <c r="C13" s="3" t="s">
        <v>16</v>
      </c>
      <c r="D13" s="3" t="s">
        <v>14</v>
      </c>
      <c r="E13" s="4">
        <v>0.55000000000000004</v>
      </c>
      <c r="F13" s="44">
        <v>2.35</v>
      </c>
      <c r="G13" s="21">
        <v>270</v>
      </c>
      <c r="H13" s="30">
        <v>1.3</v>
      </c>
      <c r="I13" s="6">
        <f t="shared" si="0"/>
        <v>453.66750000000002</v>
      </c>
      <c r="J13" s="7" t="s">
        <v>237</v>
      </c>
      <c r="K13" s="17">
        <f t="shared" si="1"/>
        <v>1</v>
      </c>
      <c r="L13" s="13" t="s">
        <v>322</v>
      </c>
      <c r="M13" s="14">
        <f t="shared" si="2"/>
        <v>18335.538</v>
      </c>
      <c r="N13" s="15">
        <f t="shared" si="3"/>
        <v>990.11905200000001</v>
      </c>
      <c r="O13" s="9"/>
      <c r="P13">
        <v>11</v>
      </c>
      <c r="Q13" t="s">
        <v>323</v>
      </c>
    </row>
    <row r="14" spans="1:17" ht="13.95" customHeight="1" thickTop="1" thickBot="1" x14ac:dyDescent="0.35">
      <c r="A14" s="3">
        <v>45670</v>
      </c>
      <c r="B14" s="3" t="s">
        <v>679</v>
      </c>
      <c r="C14" s="3" t="s">
        <v>18</v>
      </c>
      <c r="D14" s="3" t="s">
        <v>706</v>
      </c>
      <c r="E14" s="4">
        <v>0.85</v>
      </c>
      <c r="F14" s="44">
        <v>2.1</v>
      </c>
      <c r="G14" s="21">
        <v>270</v>
      </c>
      <c r="H14" s="30">
        <v>1.3</v>
      </c>
      <c r="I14" s="6">
        <f t="shared" si="0"/>
        <v>626.53500000000008</v>
      </c>
      <c r="J14" s="7" t="s">
        <v>65</v>
      </c>
      <c r="K14" s="17">
        <f t="shared" si="1"/>
        <v>1</v>
      </c>
      <c r="L14" s="13" t="s">
        <v>323</v>
      </c>
      <c r="M14" s="14">
        <f t="shared" si="2"/>
        <v>35285.328000000009</v>
      </c>
      <c r="N14" s="15">
        <f t="shared" si="3"/>
        <v>1905.4077120000004</v>
      </c>
      <c r="O14" s="9"/>
      <c r="P14">
        <v>12</v>
      </c>
      <c r="Q14" t="s">
        <v>324</v>
      </c>
    </row>
    <row r="15" spans="1:17" ht="13.95" customHeight="1" thickTop="1" thickBot="1" x14ac:dyDescent="0.35">
      <c r="A15" s="3">
        <v>45671</v>
      </c>
      <c r="B15" s="3" t="s">
        <v>679</v>
      </c>
      <c r="C15" s="3" t="s">
        <v>20</v>
      </c>
      <c r="D15" s="3" t="s">
        <v>6</v>
      </c>
      <c r="E15" s="4">
        <v>0.6</v>
      </c>
      <c r="F15" s="44">
        <v>2.2000000000000002</v>
      </c>
      <c r="G15" s="21">
        <v>270</v>
      </c>
      <c r="H15" s="30">
        <v>1.3</v>
      </c>
      <c r="I15" s="6">
        <f t="shared" si="0"/>
        <v>463.32000000000005</v>
      </c>
      <c r="J15" s="7" t="s">
        <v>898</v>
      </c>
      <c r="K15" s="17">
        <f t="shared" si="1"/>
        <v>1</v>
      </c>
      <c r="L15" s="13" t="s">
        <v>324</v>
      </c>
      <c r="M15" s="14">
        <f t="shared" si="2"/>
        <v>20013.318000000003</v>
      </c>
      <c r="N15" s="15">
        <f t="shared" si="3"/>
        <v>1080.7191720000001</v>
      </c>
      <c r="O15" s="9"/>
      <c r="P15" s="9"/>
      <c r="Q15" s="9"/>
    </row>
    <row r="16" spans="1:17" ht="13.95" customHeight="1" thickTop="1" thickBot="1" x14ac:dyDescent="0.4">
      <c r="A16" s="3">
        <v>45672</v>
      </c>
      <c r="B16" s="3" t="s">
        <v>679</v>
      </c>
      <c r="C16" s="3" t="s">
        <v>5</v>
      </c>
      <c r="D16" s="3" t="s">
        <v>706</v>
      </c>
      <c r="E16" s="4">
        <v>0.88</v>
      </c>
      <c r="F16" s="44">
        <v>2.1</v>
      </c>
      <c r="G16" s="21">
        <v>270</v>
      </c>
      <c r="H16" s="30">
        <v>1.3</v>
      </c>
      <c r="I16" s="6">
        <f t="shared" si="0"/>
        <v>648.64800000000002</v>
      </c>
      <c r="J16" s="7" t="s">
        <v>713</v>
      </c>
      <c r="K16" s="17">
        <f t="shared" si="1"/>
        <v>1</v>
      </c>
      <c r="L16" s="10" t="s">
        <v>325</v>
      </c>
      <c r="M16" s="16">
        <f>SUM(M4:M15)</f>
        <v>230862.87900000002</v>
      </c>
      <c r="N16" s="16">
        <f>SUM(N4:N15)</f>
        <v>12466.595466000002</v>
      </c>
      <c r="O16" s="9"/>
      <c r="P16" s="9"/>
      <c r="Q16" s="9"/>
    </row>
    <row r="17" spans="1:11" ht="13.95" customHeight="1" thickTop="1" x14ac:dyDescent="0.3">
      <c r="A17" s="3">
        <v>45673</v>
      </c>
      <c r="B17" s="3" t="s">
        <v>679</v>
      </c>
      <c r="C17" s="3" t="s">
        <v>8</v>
      </c>
      <c r="D17" s="3" t="s">
        <v>706</v>
      </c>
      <c r="E17" s="4">
        <v>0.85</v>
      </c>
      <c r="F17" s="44">
        <v>2.1</v>
      </c>
      <c r="G17" s="21">
        <v>270</v>
      </c>
      <c r="H17" s="30">
        <v>1.3</v>
      </c>
      <c r="I17" s="6">
        <f t="shared" si="0"/>
        <v>626.53500000000008</v>
      </c>
      <c r="J17" s="7" t="s">
        <v>71</v>
      </c>
      <c r="K17" s="17">
        <f t="shared" si="1"/>
        <v>1</v>
      </c>
    </row>
    <row r="18" spans="1:11" ht="13.95" customHeight="1" x14ac:dyDescent="0.3">
      <c r="A18" s="3">
        <v>45674</v>
      </c>
      <c r="B18" s="3" t="s">
        <v>679</v>
      </c>
      <c r="C18" s="3" t="s">
        <v>11</v>
      </c>
      <c r="D18" s="3" t="s">
        <v>44</v>
      </c>
      <c r="E18" s="4">
        <v>0.8</v>
      </c>
      <c r="F18" s="44">
        <v>2.0499999999999998</v>
      </c>
      <c r="G18" s="21">
        <v>270</v>
      </c>
      <c r="H18" s="30">
        <v>1.3</v>
      </c>
      <c r="I18" s="6">
        <f t="shared" si="0"/>
        <v>575.64</v>
      </c>
      <c r="J18" s="7" t="s">
        <v>70</v>
      </c>
      <c r="K18" s="17">
        <f t="shared" si="1"/>
        <v>1</v>
      </c>
    </row>
    <row r="19" spans="1:11" ht="13.95" customHeight="1" x14ac:dyDescent="0.3">
      <c r="A19" s="3">
        <v>45675</v>
      </c>
      <c r="B19" s="3" t="s">
        <v>679</v>
      </c>
      <c r="C19" s="3" t="s">
        <v>13</v>
      </c>
      <c r="D19" s="3" t="s">
        <v>14</v>
      </c>
      <c r="E19" s="4">
        <v>0.65</v>
      </c>
      <c r="F19" s="44">
        <v>2.2999999999999998</v>
      </c>
      <c r="G19" s="21">
        <v>270</v>
      </c>
      <c r="H19" s="30">
        <v>1.3</v>
      </c>
      <c r="I19" s="6">
        <f t="shared" si="0"/>
        <v>524.745</v>
      </c>
      <c r="J19" s="7" t="s">
        <v>899</v>
      </c>
      <c r="K19" s="17">
        <f t="shared" si="1"/>
        <v>1</v>
      </c>
    </row>
    <row r="20" spans="1:11" ht="13.95" customHeight="1" x14ac:dyDescent="0.3">
      <c r="A20" s="3">
        <v>45676</v>
      </c>
      <c r="B20" s="3" t="s">
        <v>679</v>
      </c>
      <c r="C20" s="3" t="s">
        <v>16</v>
      </c>
      <c r="D20" s="3" t="s">
        <v>14</v>
      </c>
      <c r="E20" s="4">
        <v>0.6</v>
      </c>
      <c r="F20" s="44">
        <v>2.4</v>
      </c>
      <c r="G20" s="21">
        <v>270</v>
      </c>
      <c r="H20" s="30">
        <v>1.3</v>
      </c>
      <c r="I20" s="6">
        <f t="shared" si="0"/>
        <v>505.44000000000005</v>
      </c>
      <c r="J20" s="7" t="s">
        <v>900</v>
      </c>
      <c r="K20" s="17">
        <f t="shared" si="1"/>
        <v>1</v>
      </c>
    </row>
    <row r="21" spans="1:11" ht="13.95" customHeight="1" x14ac:dyDescent="0.3">
      <c r="A21" s="3">
        <v>45677</v>
      </c>
      <c r="B21" s="3" t="s">
        <v>679</v>
      </c>
      <c r="C21" s="3" t="s">
        <v>18</v>
      </c>
      <c r="D21" s="3" t="s">
        <v>706</v>
      </c>
      <c r="E21" s="4">
        <v>0.85</v>
      </c>
      <c r="F21" s="44">
        <v>2.1</v>
      </c>
      <c r="G21" s="21">
        <v>270</v>
      </c>
      <c r="H21" s="30">
        <v>1.3</v>
      </c>
      <c r="I21" s="6">
        <f t="shared" si="0"/>
        <v>626.53500000000008</v>
      </c>
      <c r="J21" s="7" t="s">
        <v>731</v>
      </c>
      <c r="K21" s="17">
        <f t="shared" si="1"/>
        <v>1</v>
      </c>
    </row>
    <row r="22" spans="1:11" ht="13.95" customHeight="1" x14ac:dyDescent="0.3">
      <c r="A22" s="3">
        <v>45678</v>
      </c>
      <c r="B22" s="3" t="s">
        <v>679</v>
      </c>
      <c r="C22" s="3" t="s">
        <v>20</v>
      </c>
      <c r="D22" s="3" t="s">
        <v>707</v>
      </c>
      <c r="E22" s="4">
        <v>0.92</v>
      </c>
      <c r="F22" s="44">
        <v>2.15</v>
      </c>
      <c r="G22" s="21">
        <v>270</v>
      </c>
      <c r="H22" s="30">
        <v>1.3</v>
      </c>
      <c r="I22" s="6">
        <f t="shared" si="0"/>
        <v>694.27799999999991</v>
      </c>
      <c r="J22" s="7" t="s">
        <v>771</v>
      </c>
      <c r="K22" s="17">
        <f t="shared" si="1"/>
        <v>1</v>
      </c>
    </row>
    <row r="23" spans="1:11" ht="13.95" customHeight="1" x14ac:dyDescent="0.3">
      <c r="A23" s="3">
        <v>45679</v>
      </c>
      <c r="B23" s="3" t="s">
        <v>679</v>
      </c>
      <c r="C23" s="3" t="s">
        <v>5</v>
      </c>
      <c r="D23" s="3" t="s">
        <v>706</v>
      </c>
      <c r="E23" s="4">
        <v>0.9</v>
      </c>
      <c r="F23" s="44">
        <v>2.1</v>
      </c>
      <c r="G23" s="21">
        <v>270</v>
      </c>
      <c r="H23" s="30">
        <v>1.3</v>
      </c>
      <c r="I23" s="6">
        <f t="shared" si="0"/>
        <v>663.39</v>
      </c>
      <c r="J23" s="7" t="s">
        <v>71</v>
      </c>
      <c r="K23" s="17">
        <f t="shared" si="1"/>
        <v>1</v>
      </c>
    </row>
    <row r="24" spans="1:11" ht="13.95" customHeight="1" x14ac:dyDescent="0.3">
      <c r="A24" s="3">
        <v>45680</v>
      </c>
      <c r="B24" s="3" t="s">
        <v>679</v>
      </c>
      <c r="C24" s="3" t="s">
        <v>8</v>
      </c>
      <c r="D24" s="3" t="s">
        <v>706</v>
      </c>
      <c r="E24" s="4">
        <v>0.88</v>
      </c>
      <c r="F24" s="44">
        <v>2.1</v>
      </c>
      <c r="G24" s="21">
        <v>270</v>
      </c>
      <c r="H24" s="30">
        <v>1.3</v>
      </c>
      <c r="I24" s="6">
        <f t="shared" si="0"/>
        <v>648.64800000000002</v>
      </c>
      <c r="J24" s="7" t="s">
        <v>71</v>
      </c>
      <c r="K24" s="17">
        <f t="shared" si="1"/>
        <v>1</v>
      </c>
    </row>
    <row r="25" spans="1:11" ht="13.95" customHeight="1" x14ac:dyDescent="0.3">
      <c r="A25" s="3">
        <v>45681</v>
      </c>
      <c r="B25" s="3" t="s">
        <v>679</v>
      </c>
      <c r="C25" s="3" t="s">
        <v>11</v>
      </c>
      <c r="D25" s="3" t="s">
        <v>44</v>
      </c>
      <c r="E25" s="4">
        <v>0.8</v>
      </c>
      <c r="F25" s="44">
        <v>2.0499999999999998</v>
      </c>
      <c r="G25" s="21">
        <v>270</v>
      </c>
      <c r="H25" s="30">
        <v>1.3</v>
      </c>
      <c r="I25" s="6">
        <f t="shared" si="0"/>
        <v>575.64</v>
      </c>
      <c r="J25" s="7" t="s">
        <v>70</v>
      </c>
      <c r="K25" s="17">
        <f t="shared" si="1"/>
        <v>1</v>
      </c>
    </row>
    <row r="26" spans="1:11" ht="13.95" customHeight="1" x14ac:dyDescent="0.3">
      <c r="A26" s="3">
        <v>45682</v>
      </c>
      <c r="B26" s="3" t="s">
        <v>679</v>
      </c>
      <c r="C26" s="3" t="s">
        <v>13</v>
      </c>
      <c r="D26" s="3" t="s">
        <v>14</v>
      </c>
      <c r="E26" s="4">
        <v>0.7</v>
      </c>
      <c r="F26" s="44">
        <v>2.35</v>
      </c>
      <c r="G26" s="21">
        <v>270</v>
      </c>
      <c r="H26" s="30">
        <v>1.3</v>
      </c>
      <c r="I26" s="6">
        <f t="shared" si="0"/>
        <v>577.3950000000001</v>
      </c>
      <c r="J26" s="7" t="s">
        <v>746</v>
      </c>
      <c r="K26" s="17">
        <f t="shared" si="1"/>
        <v>1</v>
      </c>
    </row>
    <row r="27" spans="1:11" ht="13.95" customHeight="1" x14ac:dyDescent="0.3">
      <c r="A27" s="3">
        <v>45683</v>
      </c>
      <c r="B27" s="3" t="s">
        <v>679</v>
      </c>
      <c r="C27" s="3" t="s">
        <v>16</v>
      </c>
      <c r="D27" s="3" t="s">
        <v>14</v>
      </c>
      <c r="E27" s="4">
        <v>0.65</v>
      </c>
      <c r="F27" s="44">
        <v>2.4</v>
      </c>
      <c r="G27" s="21">
        <v>270</v>
      </c>
      <c r="H27" s="30">
        <v>1.3</v>
      </c>
      <c r="I27" s="6">
        <f t="shared" si="0"/>
        <v>547.56000000000006</v>
      </c>
      <c r="J27" s="7" t="s">
        <v>758</v>
      </c>
      <c r="K27" s="17">
        <f t="shared" si="1"/>
        <v>1</v>
      </c>
    </row>
    <row r="28" spans="1:11" ht="13.95" customHeight="1" x14ac:dyDescent="0.3">
      <c r="A28" s="3">
        <v>45684</v>
      </c>
      <c r="B28" s="3" t="s">
        <v>679</v>
      </c>
      <c r="C28" s="3" t="s">
        <v>18</v>
      </c>
      <c r="D28" s="3" t="s">
        <v>706</v>
      </c>
      <c r="E28" s="4">
        <v>0.85</v>
      </c>
      <c r="F28" s="44">
        <v>2.1</v>
      </c>
      <c r="G28" s="21">
        <v>270</v>
      </c>
      <c r="H28" s="30">
        <v>1.3</v>
      </c>
      <c r="I28" s="6">
        <f t="shared" si="0"/>
        <v>626.53500000000008</v>
      </c>
      <c r="J28" s="7" t="s">
        <v>65</v>
      </c>
      <c r="K28" s="17">
        <f t="shared" si="1"/>
        <v>1</v>
      </c>
    </row>
    <row r="29" spans="1:11" ht="13.95" customHeight="1" x14ac:dyDescent="0.3">
      <c r="A29" s="3">
        <v>45685</v>
      </c>
      <c r="B29" s="3" t="s">
        <v>679</v>
      </c>
      <c r="C29" s="3" t="s">
        <v>20</v>
      </c>
      <c r="D29" s="3" t="s">
        <v>707</v>
      </c>
      <c r="E29" s="4">
        <v>0.9</v>
      </c>
      <c r="F29" s="44">
        <v>2.15</v>
      </c>
      <c r="G29" s="21">
        <v>270</v>
      </c>
      <c r="H29" s="30">
        <v>1.3</v>
      </c>
      <c r="I29" s="6">
        <f t="shared" si="0"/>
        <v>679.18499999999995</v>
      </c>
      <c r="J29" s="7" t="s">
        <v>901</v>
      </c>
      <c r="K29" s="17">
        <f t="shared" si="1"/>
        <v>1</v>
      </c>
    </row>
    <row r="30" spans="1:11" ht="13.95" customHeight="1" x14ac:dyDescent="0.3">
      <c r="A30" s="3">
        <v>45686</v>
      </c>
      <c r="B30" s="3" t="s">
        <v>679</v>
      </c>
      <c r="C30" s="3" t="s">
        <v>5</v>
      </c>
      <c r="D30" s="3" t="s">
        <v>706</v>
      </c>
      <c r="E30" s="4">
        <v>0.88</v>
      </c>
      <c r="F30" s="44">
        <v>2.1</v>
      </c>
      <c r="G30" s="21">
        <v>270</v>
      </c>
      <c r="H30" s="30">
        <v>1.3</v>
      </c>
      <c r="I30" s="6">
        <f t="shared" si="0"/>
        <v>648.64800000000002</v>
      </c>
      <c r="J30" s="7" t="s">
        <v>71</v>
      </c>
      <c r="K30" s="17">
        <f t="shared" si="1"/>
        <v>1</v>
      </c>
    </row>
    <row r="31" spans="1:11" ht="13.95" customHeight="1" x14ac:dyDescent="0.3">
      <c r="A31" s="3">
        <v>45687</v>
      </c>
      <c r="B31" s="3" t="s">
        <v>679</v>
      </c>
      <c r="C31" s="3" t="s">
        <v>8</v>
      </c>
      <c r="D31" s="3" t="s">
        <v>706</v>
      </c>
      <c r="E31" s="4">
        <v>0.85</v>
      </c>
      <c r="F31" s="44">
        <v>2.1</v>
      </c>
      <c r="G31" s="21">
        <v>270</v>
      </c>
      <c r="H31" s="30">
        <v>1.3</v>
      </c>
      <c r="I31" s="6">
        <f t="shared" si="0"/>
        <v>626.53500000000008</v>
      </c>
      <c r="J31" s="7" t="s">
        <v>71</v>
      </c>
      <c r="K31" s="17">
        <f t="shared" si="1"/>
        <v>1</v>
      </c>
    </row>
    <row r="32" spans="1:11" ht="13.95" customHeight="1" x14ac:dyDescent="0.3">
      <c r="A32" s="3">
        <v>45688</v>
      </c>
      <c r="B32" s="3" t="s">
        <v>679</v>
      </c>
      <c r="C32" s="3" t="s">
        <v>11</v>
      </c>
      <c r="D32" s="3" t="s">
        <v>44</v>
      </c>
      <c r="E32" s="4">
        <v>0.8</v>
      </c>
      <c r="F32" s="44">
        <v>2.0499999999999998</v>
      </c>
      <c r="G32" s="21">
        <v>270</v>
      </c>
      <c r="H32" s="30">
        <v>1.3</v>
      </c>
      <c r="I32" s="6">
        <f t="shared" si="0"/>
        <v>575.64</v>
      </c>
      <c r="J32" s="7" t="s">
        <v>783</v>
      </c>
      <c r="K32" s="17">
        <f t="shared" si="1"/>
        <v>1</v>
      </c>
    </row>
    <row r="33" spans="1:11" ht="13.95" customHeight="1" x14ac:dyDescent="0.3">
      <c r="A33" s="3">
        <v>45717</v>
      </c>
      <c r="B33" s="3" t="s">
        <v>679</v>
      </c>
      <c r="C33" s="3" t="s">
        <v>13</v>
      </c>
      <c r="D33" s="3" t="s">
        <v>708</v>
      </c>
      <c r="E33" s="4">
        <v>0.55000000000000004</v>
      </c>
      <c r="F33" s="44">
        <v>1.9</v>
      </c>
      <c r="G33" s="21">
        <v>270</v>
      </c>
      <c r="H33" s="30">
        <v>1.3</v>
      </c>
      <c r="I33" s="6">
        <f t="shared" ref="I33:I34" si="4">(G33*E33)*F33*H33</f>
        <v>366.79499999999996</v>
      </c>
      <c r="J33" s="7" t="s">
        <v>906</v>
      </c>
      <c r="K33" s="17">
        <f t="shared" si="1"/>
        <v>3</v>
      </c>
    </row>
    <row r="34" spans="1:11" ht="13.95" customHeight="1" x14ac:dyDescent="0.3">
      <c r="A34" s="3">
        <v>45718</v>
      </c>
      <c r="B34" s="3" t="s">
        <v>679</v>
      </c>
      <c r="C34" s="3" t="s">
        <v>16</v>
      </c>
      <c r="D34" s="3" t="s">
        <v>907</v>
      </c>
      <c r="E34" s="4">
        <v>0.5</v>
      </c>
      <c r="F34" s="44">
        <v>1.8</v>
      </c>
      <c r="G34" s="21">
        <v>270</v>
      </c>
      <c r="H34" s="30">
        <v>1.3</v>
      </c>
      <c r="I34" s="6">
        <f t="shared" si="4"/>
        <v>315.90000000000003</v>
      </c>
      <c r="J34" s="7" t="s">
        <v>908</v>
      </c>
      <c r="K34" s="17">
        <f t="shared" si="1"/>
        <v>3</v>
      </c>
    </row>
    <row r="35" spans="1:11" ht="13.95" customHeight="1" x14ac:dyDescent="0.3">
      <c r="A35" s="3">
        <v>45719</v>
      </c>
      <c r="B35" s="3" t="s">
        <v>679</v>
      </c>
      <c r="C35" s="3" t="s">
        <v>18</v>
      </c>
      <c r="D35" s="3" t="s">
        <v>759</v>
      </c>
      <c r="E35" s="4">
        <v>0.7</v>
      </c>
      <c r="F35" s="44">
        <v>1.6</v>
      </c>
      <c r="G35" s="21">
        <v>270</v>
      </c>
      <c r="H35" s="30">
        <v>1.3</v>
      </c>
      <c r="I35" s="6">
        <f t="shared" ref="I35:I63" si="5">(G35*E35)*F35*H35</f>
        <v>393.12000000000006</v>
      </c>
      <c r="J35" s="7" t="s">
        <v>909</v>
      </c>
      <c r="K35" s="17">
        <f t="shared" si="1"/>
        <v>3</v>
      </c>
    </row>
    <row r="36" spans="1:11" ht="13.95" customHeight="1" x14ac:dyDescent="0.3">
      <c r="A36" s="3">
        <v>45720</v>
      </c>
      <c r="B36" s="3" t="s">
        <v>679</v>
      </c>
      <c r="C36" s="3" t="s">
        <v>20</v>
      </c>
      <c r="D36" s="3" t="s">
        <v>903</v>
      </c>
      <c r="E36" s="4">
        <v>0.8</v>
      </c>
      <c r="F36" s="44">
        <v>1.85</v>
      </c>
      <c r="G36" s="21">
        <v>270</v>
      </c>
      <c r="H36" s="30">
        <v>1.3</v>
      </c>
      <c r="I36" s="6">
        <f t="shared" si="5"/>
        <v>519.48</v>
      </c>
      <c r="J36" s="7" t="s">
        <v>910</v>
      </c>
      <c r="K36" s="17">
        <f t="shared" si="1"/>
        <v>3</v>
      </c>
    </row>
    <row r="37" spans="1:11" ht="13.95" customHeight="1" x14ac:dyDescent="0.3">
      <c r="A37" s="3">
        <v>45721</v>
      </c>
      <c r="B37" s="3" t="s">
        <v>679</v>
      </c>
      <c r="C37" s="3" t="s">
        <v>5</v>
      </c>
      <c r="D37" s="3" t="s">
        <v>903</v>
      </c>
      <c r="E37" s="4">
        <v>0.75</v>
      </c>
      <c r="F37" s="44">
        <v>1.8</v>
      </c>
      <c r="G37" s="21">
        <v>270</v>
      </c>
      <c r="H37" s="30">
        <v>1.3</v>
      </c>
      <c r="I37" s="6">
        <f t="shared" si="5"/>
        <v>473.85</v>
      </c>
      <c r="J37" s="7" t="s">
        <v>524</v>
      </c>
      <c r="K37" s="17">
        <f t="shared" si="1"/>
        <v>3</v>
      </c>
    </row>
    <row r="38" spans="1:11" ht="13.95" customHeight="1" x14ac:dyDescent="0.3">
      <c r="A38" s="3">
        <v>45722</v>
      </c>
      <c r="B38" s="3" t="s">
        <v>679</v>
      </c>
      <c r="C38" s="3" t="s">
        <v>8</v>
      </c>
      <c r="D38" s="3" t="s">
        <v>759</v>
      </c>
      <c r="E38" s="4">
        <v>0.72</v>
      </c>
      <c r="F38" s="44">
        <v>1.75</v>
      </c>
      <c r="G38" s="21">
        <v>270</v>
      </c>
      <c r="H38" s="30">
        <v>1.3</v>
      </c>
      <c r="I38" s="6">
        <f t="shared" si="5"/>
        <v>442.26</v>
      </c>
      <c r="J38" s="7" t="s">
        <v>712</v>
      </c>
      <c r="K38" s="17">
        <f t="shared" si="1"/>
        <v>3</v>
      </c>
    </row>
    <row r="39" spans="1:11" ht="13.95" customHeight="1" x14ac:dyDescent="0.3">
      <c r="A39" s="3">
        <v>45723</v>
      </c>
      <c r="B39" s="3" t="s">
        <v>679</v>
      </c>
      <c r="C39" s="3" t="s">
        <v>11</v>
      </c>
      <c r="D39" s="3" t="s">
        <v>760</v>
      </c>
      <c r="E39" s="4">
        <v>0.65</v>
      </c>
      <c r="F39" s="44">
        <v>1.9</v>
      </c>
      <c r="G39" s="21">
        <v>270</v>
      </c>
      <c r="H39" s="30">
        <v>1.3</v>
      </c>
      <c r="I39" s="6">
        <f t="shared" si="5"/>
        <v>433.48500000000001</v>
      </c>
      <c r="J39" s="7" t="s">
        <v>911</v>
      </c>
      <c r="K39" s="17">
        <f t="shared" si="1"/>
        <v>3</v>
      </c>
    </row>
    <row r="40" spans="1:11" ht="13.95" customHeight="1" x14ac:dyDescent="0.3">
      <c r="A40" s="3">
        <v>45724</v>
      </c>
      <c r="B40" s="3" t="s">
        <v>679</v>
      </c>
      <c r="C40" s="3" t="s">
        <v>13</v>
      </c>
      <c r="D40" s="3" t="s">
        <v>760</v>
      </c>
      <c r="E40" s="4">
        <v>0.68</v>
      </c>
      <c r="F40" s="44">
        <v>2.1</v>
      </c>
      <c r="G40" s="21">
        <v>270</v>
      </c>
      <c r="H40" s="30">
        <v>1.3</v>
      </c>
      <c r="I40" s="6">
        <f t="shared" si="5"/>
        <v>501.22800000000012</v>
      </c>
      <c r="J40" s="7" t="s">
        <v>912</v>
      </c>
      <c r="K40" s="17">
        <f t="shared" si="1"/>
        <v>3</v>
      </c>
    </row>
    <row r="41" spans="1:11" ht="13.95" customHeight="1" x14ac:dyDescent="0.3">
      <c r="A41" s="3">
        <v>45725</v>
      </c>
      <c r="B41" s="3" t="s">
        <v>679</v>
      </c>
      <c r="C41" s="3" t="s">
        <v>16</v>
      </c>
      <c r="D41" s="3" t="s">
        <v>761</v>
      </c>
      <c r="E41" s="4">
        <v>0.55000000000000004</v>
      </c>
      <c r="F41" s="44">
        <v>2</v>
      </c>
      <c r="G41" s="21">
        <v>270</v>
      </c>
      <c r="H41" s="30">
        <v>1.3</v>
      </c>
      <c r="I41" s="6">
        <f t="shared" si="5"/>
        <v>386.1</v>
      </c>
      <c r="J41" s="7" t="s">
        <v>913</v>
      </c>
      <c r="K41" s="17">
        <f t="shared" si="1"/>
        <v>3</v>
      </c>
    </row>
    <row r="42" spans="1:11" ht="13.95" customHeight="1" x14ac:dyDescent="0.3">
      <c r="A42" s="3">
        <v>45726</v>
      </c>
      <c r="B42" s="3" t="s">
        <v>679</v>
      </c>
      <c r="C42" s="3" t="s">
        <v>18</v>
      </c>
      <c r="D42" s="3" t="s">
        <v>759</v>
      </c>
      <c r="E42" s="4">
        <v>0.75</v>
      </c>
      <c r="F42" s="44">
        <v>1.6</v>
      </c>
      <c r="G42" s="21">
        <v>270</v>
      </c>
      <c r="H42" s="30">
        <v>1.3</v>
      </c>
      <c r="I42" s="6">
        <f t="shared" si="5"/>
        <v>421.2</v>
      </c>
      <c r="J42" s="7" t="s">
        <v>914</v>
      </c>
      <c r="K42" s="17">
        <f t="shared" si="1"/>
        <v>3</v>
      </c>
    </row>
    <row r="43" spans="1:11" ht="13.95" customHeight="1" x14ac:dyDescent="0.3">
      <c r="A43" s="3">
        <v>45727</v>
      </c>
      <c r="B43" s="3" t="s">
        <v>679</v>
      </c>
      <c r="C43" s="3" t="s">
        <v>20</v>
      </c>
      <c r="D43" s="3" t="s">
        <v>903</v>
      </c>
      <c r="E43" s="4">
        <v>0.85</v>
      </c>
      <c r="F43" s="44">
        <v>1.85</v>
      </c>
      <c r="G43" s="21">
        <v>270</v>
      </c>
      <c r="H43" s="30">
        <v>1.3</v>
      </c>
      <c r="I43" s="6">
        <f t="shared" si="5"/>
        <v>551.9475000000001</v>
      </c>
      <c r="J43" s="7" t="s">
        <v>915</v>
      </c>
      <c r="K43" s="17">
        <f t="shared" si="1"/>
        <v>3</v>
      </c>
    </row>
    <row r="44" spans="1:11" ht="13.95" customHeight="1" x14ac:dyDescent="0.3">
      <c r="A44" s="3">
        <v>45728</v>
      </c>
      <c r="B44" s="3" t="s">
        <v>679</v>
      </c>
      <c r="C44" s="3" t="s">
        <v>5</v>
      </c>
      <c r="D44" s="3" t="s">
        <v>903</v>
      </c>
      <c r="E44" s="4">
        <v>0.8</v>
      </c>
      <c r="F44" s="44">
        <v>1.8</v>
      </c>
      <c r="G44" s="21">
        <v>270</v>
      </c>
      <c r="H44" s="30">
        <v>1.3</v>
      </c>
      <c r="I44" s="6">
        <f t="shared" si="5"/>
        <v>505.44000000000005</v>
      </c>
      <c r="J44" s="7" t="s">
        <v>916</v>
      </c>
      <c r="K44" s="17">
        <f t="shared" si="1"/>
        <v>3</v>
      </c>
    </row>
    <row r="45" spans="1:11" ht="13.95" customHeight="1" x14ac:dyDescent="0.3">
      <c r="A45" s="3">
        <v>45729</v>
      </c>
      <c r="B45" s="3" t="s">
        <v>679</v>
      </c>
      <c r="C45" s="3" t="s">
        <v>8</v>
      </c>
      <c r="D45" s="3" t="s">
        <v>759</v>
      </c>
      <c r="E45" s="4">
        <v>0.75</v>
      </c>
      <c r="F45" s="44">
        <v>1.75</v>
      </c>
      <c r="G45" s="21">
        <v>270</v>
      </c>
      <c r="H45" s="30">
        <v>1.3</v>
      </c>
      <c r="I45" s="6">
        <f t="shared" si="5"/>
        <v>460.6875</v>
      </c>
      <c r="J45" s="7" t="s">
        <v>71</v>
      </c>
      <c r="K45" s="17">
        <f t="shared" si="1"/>
        <v>3</v>
      </c>
    </row>
    <row r="46" spans="1:11" ht="13.95" customHeight="1" x14ac:dyDescent="0.3">
      <c r="A46" s="3">
        <v>45730</v>
      </c>
      <c r="B46" s="3" t="s">
        <v>679</v>
      </c>
      <c r="C46" s="3" t="s">
        <v>11</v>
      </c>
      <c r="D46" s="3" t="s">
        <v>760</v>
      </c>
      <c r="E46" s="4">
        <v>0.7</v>
      </c>
      <c r="F46" s="44">
        <v>1.95</v>
      </c>
      <c r="G46" s="21">
        <v>270</v>
      </c>
      <c r="H46" s="30">
        <v>1.3</v>
      </c>
      <c r="I46" s="6">
        <f t="shared" si="5"/>
        <v>479.11500000000001</v>
      </c>
      <c r="J46" s="7" t="s">
        <v>917</v>
      </c>
      <c r="K46" s="17">
        <f t="shared" si="1"/>
        <v>3</v>
      </c>
    </row>
    <row r="47" spans="1:11" ht="13.95" customHeight="1" x14ac:dyDescent="0.3">
      <c r="A47" s="3">
        <v>45731</v>
      </c>
      <c r="B47" s="3" t="s">
        <v>679</v>
      </c>
      <c r="C47" s="3" t="s">
        <v>13</v>
      </c>
      <c r="D47" s="3" t="s">
        <v>760</v>
      </c>
      <c r="E47" s="4">
        <v>0.75</v>
      </c>
      <c r="F47" s="44">
        <v>2.15</v>
      </c>
      <c r="G47" s="21">
        <v>270</v>
      </c>
      <c r="H47" s="30">
        <v>1.3</v>
      </c>
      <c r="I47" s="6">
        <f t="shared" si="5"/>
        <v>565.98750000000007</v>
      </c>
      <c r="J47" s="7" t="s">
        <v>918</v>
      </c>
      <c r="K47" s="17">
        <f t="shared" si="1"/>
        <v>3</v>
      </c>
    </row>
    <row r="48" spans="1:11" ht="13.95" customHeight="1" x14ac:dyDescent="0.3">
      <c r="A48" s="3">
        <v>45732</v>
      </c>
      <c r="B48" s="3" t="s">
        <v>679</v>
      </c>
      <c r="C48" s="3" t="s">
        <v>16</v>
      </c>
      <c r="D48" s="3" t="s">
        <v>761</v>
      </c>
      <c r="E48" s="4">
        <v>0.6</v>
      </c>
      <c r="F48" s="44">
        <v>2.0499999999999998</v>
      </c>
      <c r="G48" s="21">
        <v>270</v>
      </c>
      <c r="H48" s="30">
        <v>1.3</v>
      </c>
      <c r="I48" s="6">
        <f t="shared" si="5"/>
        <v>431.72999999999996</v>
      </c>
      <c r="J48" s="7" t="s">
        <v>711</v>
      </c>
      <c r="K48" s="17">
        <f t="shared" si="1"/>
        <v>3</v>
      </c>
    </row>
    <row r="49" spans="1:11" ht="13.95" customHeight="1" x14ac:dyDescent="0.3">
      <c r="A49" s="3">
        <v>45733</v>
      </c>
      <c r="B49" s="3" t="s">
        <v>679</v>
      </c>
      <c r="C49" s="3" t="s">
        <v>18</v>
      </c>
      <c r="D49" s="3" t="s">
        <v>759</v>
      </c>
      <c r="E49" s="4">
        <v>0.78</v>
      </c>
      <c r="F49" s="44">
        <v>1.65</v>
      </c>
      <c r="G49" s="21">
        <v>270</v>
      </c>
      <c r="H49" s="30">
        <v>1.3</v>
      </c>
      <c r="I49" s="6">
        <f t="shared" si="5"/>
        <v>451.73699999999997</v>
      </c>
      <c r="J49" s="7" t="s">
        <v>286</v>
      </c>
      <c r="K49" s="17">
        <f t="shared" si="1"/>
        <v>3</v>
      </c>
    </row>
    <row r="50" spans="1:11" ht="13.95" customHeight="1" x14ac:dyDescent="0.3">
      <c r="A50" s="3">
        <v>45734</v>
      </c>
      <c r="B50" s="3" t="s">
        <v>679</v>
      </c>
      <c r="C50" s="3" t="s">
        <v>20</v>
      </c>
      <c r="D50" s="3" t="s">
        <v>903</v>
      </c>
      <c r="E50" s="4">
        <v>0.88</v>
      </c>
      <c r="F50" s="44">
        <v>1.9</v>
      </c>
      <c r="G50" s="21">
        <v>270</v>
      </c>
      <c r="H50" s="30">
        <v>1.3</v>
      </c>
      <c r="I50" s="6">
        <f t="shared" si="5"/>
        <v>586.87199999999996</v>
      </c>
      <c r="J50" s="7" t="s">
        <v>919</v>
      </c>
      <c r="K50" s="17">
        <f t="shared" si="1"/>
        <v>3</v>
      </c>
    </row>
    <row r="51" spans="1:11" ht="13.95" customHeight="1" x14ac:dyDescent="0.3">
      <c r="A51" s="3">
        <v>45735</v>
      </c>
      <c r="B51" s="3" t="s">
        <v>679</v>
      </c>
      <c r="C51" s="3" t="s">
        <v>5</v>
      </c>
      <c r="D51" s="3" t="s">
        <v>903</v>
      </c>
      <c r="E51" s="4">
        <v>0.82</v>
      </c>
      <c r="F51" s="44">
        <v>1.85</v>
      </c>
      <c r="G51" s="21">
        <v>270</v>
      </c>
      <c r="H51" s="30">
        <v>1.3</v>
      </c>
      <c r="I51" s="6">
        <f t="shared" si="5"/>
        <v>532.46699999999998</v>
      </c>
      <c r="J51" s="7" t="s">
        <v>195</v>
      </c>
      <c r="K51" s="17">
        <f t="shared" si="1"/>
        <v>3</v>
      </c>
    </row>
    <row r="52" spans="1:11" ht="13.95" customHeight="1" x14ac:dyDescent="0.3">
      <c r="A52" s="3">
        <v>45736</v>
      </c>
      <c r="B52" s="3" t="s">
        <v>679</v>
      </c>
      <c r="C52" s="3" t="s">
        <v>8</v>
      </c>
      <c r="D52" s="3" t="s">
        <v>383</v>
      </c>
      <c r="E52" s="4">
        <v>0.5</v>
      </c>
      <c r="F52" s="44">
        <v>2.2000000000000002</v>
      </c>
      <c r="G52" s="21">
        <v>270</v>
      </c>
      <c r="H52" s="30">
        <v>1.3</v>
      </c>
      <c r="I52" s="6">
        <f t="shared" si="5"/>
        <v>386.1</v>
      </c>
      <c r="J52" s="7" t="s">
        <v>920</v>
      </c>
      <c r="K52" s="17">
        <f t="shared" si="1"/>
        <v>3</v>
      </c>
    </row>
    <row r="53" spans="1:11" ht="13.95" customHeight="1" x14ac:dyDescent="0.3">
      <c r="A53" s="3">
        <v>45737</v>
      </c>
      <c r="B53" s="3" t="s">
        <v>679</v>
      </c>
      <c r="C53" s="3" t="s">
        <v>11</v>
      </c>
      <c r="D53" s="3" t="s">
        <v>76</v>
      </c>
      <c r="E53" s="4">
        <v>0.55000000000000004</v>
      </c>
      <c r="F53" s="44">
        <v>1.9</v>
      </c>
      <c r="G53" s="21">
        <v>270</v>
      </c>
      <c r="H53" s="30">
        <v>1.3</v>
      </c>
      <c r="I53" s="6">
        <f t="shared" si="5"/>
        <v>366.79499999999996</v>
      </c>
      <c r="J53" s="7" t="s">
        <v>728</v>
      </c>
      <c r="K53" s="17">
        <f t="shared" si="1"/>
        <v>3</v>
      </c>
    </row>
    <row r="54" spans="1:11" ht="13.95" customHeight="1" x14ac:dyDescent="0.3">
      <c r="A54" s="3">
        <v>45738</v>
      </c>
      <c r="B54" s="3" t="s">
        <v>679</v>
      </c>
      <c r="C54" s="3" t="s">
        <v>13</v>
      </c>
      <c r="D54" s="3" t="s">
        <v>760</v>
      </c>
      <c r="E54" s="4">
        <v>0.7</v>
      </c>
      <c r="F54" s="44">
        <v>2.2000000000000002</v>
      </c>
      <c r="G54" s="21">
        <v>270</v>
      </c>
      <c r="H54" s="30">
        <v>1.3</v>
      </c>
      <c r="I54" s="6">
        <f t="shared" si="5"/>
        <v>540.54000000000008</v>
      </c>
      <c r="J54" s="7" t="s">
        <v>921</v>
      </c>
      <c r="K54" s="17">
        <f t="shared" si="1"/>
        <v>3</v>
      </c>
    </row>
    <row r="55" spans="1:11" ht="13.95" customHeight="1" x14ac:dyDescent="0.3">
      <c r="A55" s="3">
        <v>45739</v>
      </c>
      <c r="B55" s="3" t="s">
        <v>679</v>
      </c>
      <c r="C55" s="3" t="s">
        <v>16</v>
      </c>
      <c r="D55" s="3" t="s">
        <v>761</v>
      </c>
      <c r="E55" s="4">
        <v>0.6</v>
      </c>
      <c r="F55" s="44">
        <v>2.1</v>
      </c>
      <c r="G55" s="21">
        <v>270</v>
      </c>
      <c r="H55" s="30">
        <v>1.3</v>
      </c>
      <c r="I55" s="6">
        <f t="shared" si="5"/>
        <v>442.26</v>
      </c>
      <c r="J55" s="7" t="s">
        <v>922</v>
      </c>
      <c r="K55" s="17">
        <f t="shared" si="1"/>
        <v>3</v>
      </c>
    </row>
    <row r="56" spans="1:11" ht="13.95" customHeight="1" x14ac:dyDescent="0.3">
      <c r="A56" s="3">
        <v>45740</v>
      </c>
      <c r="B56" s="3" t="s">
        <v>679</v>
      </c>
      <c r="C56" s="3" t="s">
        <v>18</v>
      </c>
      <c r="D56" s="3" t="s">
        <v>759</v>
      </c>
      <c r="E56" s="4">
        <v>0.75</v>
      </c>
      <c r="F56" s="44">
        <v>1.7</v>
      </c>
      <c r="G56" s="21">
        <v>270</v>
      </c>
      <c r="H56" s="30">
        <v>1.3</v>
      </c>
      <c r="I56" s="6">
        <f t="shared" si="5"/>
        <v>447.52500000000003</v>
      </c>
      <c r="J56" s="7" t="s">
        <v>923</v>
      </c>
      <c r="K56" s="17">
        <f t="shared" si="1"/>
        <v>3</v>
      </c>
    </row>
    <row r="57" spans="1:11" ht="13.95" customHeight="1" x14ac:dyDescent="0.3">
      <c r="A57" s="3">
        <v>45741</v>
      </c>
      <c r="B57" s="3" t="s">
        <v>679</v>
      </c>
      <c r="C57" s="3" t="s">
        <v>20</v>
      </c>
      <c r="D57" s="3" t="s">
        <v>763</v>
      </c>
      <c r="E57" s="4">
        <v>0.8</v>
      </c>
      <c r="F57" s="44">
        <v>2.2999999999999998</v>
      </c>
      <c r="G57" s="21">
        <v>270</v>
      </c>
      <c r="H57" s="30">
        <v>1.3</v>
      </c>
      <c r="I57" s="6">
        <f t="shared" si="5"/>
        <v>645.83999999999992</v>
      </c>
      <c r="J57" s="7" t="s">
        <v>924</v>
      </c>
      <c r="K57" s="17">
        <f t="shared" si="1"/>
        <v>3</v>
      </c>
    </row>
    <row r="58" spans="1:11" ht="13.95" customHeight="1" x14ac:dyDescent="0.3">
      <c r="A58" s="3">
        <v>45742</v>
      </c>
      <c r="B58" s="3" t="s">
        <v>679</v>
      </c>
      <c r="C58" s="3" t="s">
        <v>5</v>
      </c>
      <c r="D58" s="3" t="s">
        <v>76</v>
      </c>
      <c r="E58" s="4">
        <v>0.72</v>
      </c>
      <c r="F58" s="44">
        <v>1.8</v>
      </c>
      <c r="G58" s="21">
        <v>270</v>
      </c>
      <c r="H58" s="30">
        <v>1.3</v>
      </c>
      <c r="I58" s="6">
        <f t="shared" si="5"/>
        <v>454.89600000000002</v>
      </c>
      <c r="J58" s="7" t="s">
        <v>71</v>
      </c>
      <c r="K58" s="17">
        <f t="shared" si="1"/>
        <v>3</v>
      </c>
    </row>
    <row r="59" spans="1:11" ht="13.95" customHeight="1" x14ac:dyDescent="0.3">
      <c r="A59" s="3">
        <v>45743</v>
      </c>
      <c r="B59" s="3" t="s">
        <v>679</v>
      </c>
      <c r="C59" s="3" t="s">
        <v>8</v>
      </c>
      <c r="D59" s="3" t="s">
        <v>804</v>
      </c>
      <c r="E59" s="4">
        <v>0.65</v>
      </c>
      <c r="F59" s="44">
        <v>2.5</v>
      </c>
      <c r="G59" s="21">
        <v>270</v>
      </c>
      <c r="H59" s="30">
        <v>1.3</v>
      </c>
      <c r="I59" s="6">
        <f t="shared" si="5"/>
        <v>570.375</v>
      </c>
      <c r="J59" s="7" t="s">
        <v>925</v>
      </c>
      <c r="K59" s="17">
        <f t="shared" si="1"/>
        <v>3</v>
      </c>
    </row>
    <row r="60" spans="1:11" ht="13.95" customHeight="1" x14ac:dyDescent="0.3">
      <c r="A60" s="3">
        <v>45744</v>
      </c>
      <c r="B60" s="3" t="s">
        <v>679</v>
      </c>
      <c r="C60" s="3" t="s">
        <v>11</v>
      </c>
      <c r="D60" s="3" t="s">
        <v>764</v>
      </c>
      <c r="E60" s="4">
        <v>0.55000000000000004</v>
      </c>
      <c r="F60" s="44">
        <v>1.7</v>
      </c>
      <c r="G60" s="21">
        <v>270</v>
      </c>
      <c r="H60" s="30">
        <v>1.3</v>
      </c>
      <c r="I60" s="6">
        <f t="shared" si="5"/>
        <v>328.185</v>
      </c>
      <c r="J60" s="7" t="s">
        <v>926</v>
      </c>
      <c r="K60" s="17">
        <f t="shared" si="1"/>
        <v>3</v>
      </c>
    </row>
    <row r="61" spans="1:11" ht="13.95" customHeight="1" x14ac:dyDescent="0.3">
      <c r="A61" s="3">
        <v>45745</v>
      </c>
      <c r="B61" s="3" t="s">
        <v>679</v>
      </c>
      <c r="C61" s="3" t="s">
        <v>13</v>
      </c>
      <c r="D61" s="3" t="s">
        <v>904</v>
      </c>
      <c r="E61" s="4">
        <v>0.6</v>
      </c>
      <c r="F61" s="44">
        <v>1.8</v>
      </c>
      <c r="G61" s="21">
        <v>270</v>
      </c>
      <c r="H61" s="30">
        <v>1.3</v>
      </c>
      <c r="I61" s="6">
        <f t="shared" si="5"/>
        <v>379.08000000000004</v>
      </c>
      <c r="J61" s="7" t="s">
        <v>927</v>
      </c>
      <c r="K61" s="17">
        <f t="shared" si="1"/>
        <v>3</v>
      </c>
    </row>
    <row r="62" spans="1:11" ht="13.95" customHeight="1" x14ac:dyDescent="0.3">
      <c r="A62" s="3">
        <v>45746</v>
      </c>
      <c r="B62" s="3" t="s">
        <v>679</v>
      </c>
      <c r="C62" s="3" t="s">
        <v>16</v>
      </c>
      <c r="D62" s="3" t="s">
        <v>574</v>
      </c>
      <c r="E62" s="4">
        <v>0.85</v>
      </c>
      <c r="F62" s="44">
        <v>2.8</v>
      </c>
      <c r="G62" s="21">
        <v>270</v>
      </c>
      <c r="H62" s="30">
        <v>1.3</v>
      </c>
      <c r="I62" s="6">
        <f t="shared" si="5"/>
        <v>835.37999999999988</v>
      </c>
      <c r="J62" s="7" t="s">
        <v>928</v>
      </c>
      <c r="K62" s="17">
        <f t="shared" si="1"/>
        <v>3</v>
      </c>
    </row>
    <row r="63" spans="1:11" ht="13.95" customHeight="1" x14ac:dyDescent="0.3">
      <c r="A63" s="3">
        <v>45747</v>
      </c>
      <c r="B63" s="3" t="s">
        <v>679</v>
      </c>
      <c r="C63" s="3" t="s">
        <v>18</v>
      </c>
      <c r="D63" s="3" t="s">
        <v>574</v>
      </c>
      <c r="E63" s="4">
        <v>0.9</v>
      </c>
      <c r="F63" s="44">
        <v>2.6</v>
      </c>
      <c r="G63" s="21">
        <v>270</v>
      </c>
      <c r="H63" s="30">
        <v>1.3</v>
      </c>
      <c r="I63" s="6">
        <f t="shared" si="5"/>
        <v>821.34000000000015</v>
      </c>
      <c r="J63" s="7" t="s">
        <v>929</v>
      </c>
      <c r="K63" s="17">
        <f t="shared" si="1"/>
        <v>3</v>
      </c>
    </row>
    <row r="64" spans="1:11" ht="13.95" customHeight="1" x14ac:dyDescent="0.3">
      <c r="A64" s="3">
        <v>45689</v>
      </c>
      <c r="B64" s="3" t="s">
        <v>679</v>
      </c>
      <c r="C64" s="3" t="s">
        <v>13</v>
      </c>
      <c r="D64" s="3" t="s">
        <v>14</v>
      </c>
      <c r="E64" s="4">
        <v>0.65</v>
      </c>
      <c r="F64" s="44">
        <v>2.2999999999999998</v>
      </c>
      <c r="G64" s="21">
        <v>270</v>
      </c>
      <c r="H64" s="30">
        <v>1.3</v>
      </c>
      <c r="I64" s="6">
        <f t="shared" ref="I64:I91" si="6">(G64*E64)*F64*H64</f>
        <v>524.745</v>
      </c>
      <c r="J64" s="7" t="s">
        <v>930</v>
      </c>
      <c r="K64" s="17">
        <f t="shared" si="1"/>
        <v>2</v>
      </c>
    </row>
    <row r="65" spans="1:11" ht="13.95" customHeight="1" x14ac:dyDescent="0.3">
      <c r="A65" s="3">
        <v>45690</v>
      </c>
      <c r="B65" s="3" t="s">
        <v>679</v>
      </c>
      <c r="C65" s="3" t="s">
        <v>16</v>
      </c>
      <c r="D65" s="3" t="s">
        <v>14</v>
      </c>
      <c r="E65" s="4">
        <v>0.6</v>
      </c>
      <c r="F65" s="44">
        <v>2.4</v>
      </c>
      <c r="G65" s="21">
        <v>270</v>
      </c>
      <c r="H65" s="30">
        <v>1.3</v>
      </c>
      <c r="I65" s="6">
        <f t="shared" si="6"/>
        <v>505.44000000000005</v>
      </c>
      <c r="J65" s="7" t="s">
        <v>931</v>
      </c>
      <c r="K65" s="17">
        <f t="shared" si="1"/>
        <v>2</v>
      </c>
    </row>
    <row r="66" spans="1:11" ht="13.95" customHeight="1" x14ac:dyDescent="0.3">
      <c r="A66" s="3">
        <v>45691</v>
      </c>
      <c r="B66" s="3" t="s">
        <v>679</v>
      </c>
      <c r="C66" s="3" t="s">
        <v>18</v>
      </c>
      <c r="D66" s="3" t="s">
        <v>706</v>
      </c>
      <c r="E66" s="4">
        <v>0.85</v>
      </c>
      <c r="F66" s="44">
        <v>2.1</v>
      </c>
      <c r="G66" s="21">
        <v>270</v>
      </c>
      <c r="H66" s="30">
        <v>1.3</v>
      </c>
      <c r="I66" s="6">
        <f t="shared" si="6"/>
        <v>626.53500000000008</v>
      </c>
      <c r="J66" s="7" t="s">
        <v>932</v>
      </c>
      <c r="K66" s="17">
        <f t="shared" si="1"/>
        <v>2</v>
      </c>
    </row>
    <row r="67" spans="1:11" ht="13.95" customHeight="1" x14ac:dyDescent="0.3">
      <c r="A67" s="3">
        <v>45692</v>
      </c>
      <c r="B67" s="3" t="s">
        <v>679</v>
      </c>
      <c r="C67" s="3" t="s">
        <v>20</v>
      </c>
      <c r="D67" s="3" t="s">
        <v>707</v>
      </c>
      <c r="E67" s="4">
        <v>0.92</v>
      </c>
      <c r="F67" s="44">
        <v>2.15</v>
      </c>
      <c r="G67" s="21">
        <v>270</v>
      </c>
      <c r="H67" s="30">
        <v>1.3</v>
      </c>
      <c r="I67" s="6">
        <f t="shared" si="6"/>
        <v>694.27799999999991</v>
      </c>
      <c r="J67" s="7" t="s">
        <v>933</v>
      </c>
      <c r="K67" s="17">
        <f t="shared" ref="K67:K130" si="7">MONTH(A67)</f>
        <v>2</v>
      </c>
    </row>
    <row r="68" spans="1:11" ht="13.95" customHeight="1" x14ac:dyDescent="0.3">
      <c r="A68" s="3">
        <v>45693</v>
      </c>
      <c r="B68" s="3" t="s">
        <v>679</v>
      </c>
      <c r="C68" s="3" t="s">
        <v>5</v>
      </c>
      <c r="D68" s="3" t="s">
        <v>706</v>
      </c>
      <c r="E68" s="4">
        <v>0.9</v>
      </c>
      <c r="F68" s="44">
        <v>2.1</v>
      </c>
      <c r="G68" s="21">
        <v>270</v>
      </c>
      <c r="H68" s="30">
        <v>1.3</v>
      </c>
      <c r="I68" s="6">
        <f t="shared" si="6"/>
        <v>663.39</v>
      </c>
      <c r="J68" s="7" t="s">
        <v>934</v>
      </c>
      <c r="K68" s="17">
        <f t="shared" si="7"/>
        <v>2</v>
      </c>
    </row>
    <row r="69" spans="1:11" ht="13.95" customHeight="1" x14ac:dyDescent="0.3">
      <c r="A69" s="3">
        <v>45694</v>
      </c>
      <c r="B69" s="3" t="s">
        <v>679</v>
      </c>
      <c r="C69" s="3" t="s">
        <v>8</v>
      </c>
      <c r="D69" s="3" t="s">
        <v>706</v>
      </c>
      <c r="E69" s="4">
        <v>0.88</v>
      </c>
      <c r="F69" s="44">
        <v>2.1</v>
      </c>
      <c r="G69" s="21">
        <v>270</v>
      </c>
      <c r="H69" s="30">
        <v>1.3</v>
      </c>
      <c r="I69" s="6">
        <f t="shared" si="6"/>
        <v>648.64800000000002</v>
      </c>
      <c r="J69" s="7" t="s">
        <v>935</v>
      </c>
      <c r="K69" s="17">
        <f t="shared" si="7"/>
        <v>2</v>
      </c>
    </row>
    <row r="70" spans="1:11" ht="13.95" customHeight="1" x14ac:dyDescent="0.3">
      <c r="A70" s="3">
        <v>45695</v>
      </c>
      <c r="B70" s="3" t="s">
        <v>679</v>
      </c>
      <c r="C70" s="3" t="s">
        <v>11</v>
      </c>
      <c r="D70" s="3" t="s">
        <v>44</v>
      </c>
      <c r="E70" s="4">
        <v>0.8</v>
      </c>
      <c r="F70" s="44">
        <v>2.0499999999999998</v>
      </c>
      <c r="G70" s="21">
        <v>270</v>
      </c>
      <c r="H70" s="30">
        <v>1.3</v>
      </c>
      <c r="I70" s="6">
        <f t="shared" si="6"/>
        <v>575.64</v>
      </c>
      <c r="J70" s="7" t="s">
        <v>420</v>
      </c>
      <c r="K70" s="17">
        <f t="shared" si="7"/>
        <v>2</v>
      </c>
    </row>
    <row r="71" spans="1:11" ht="13.95" customHeight="1" x14ac:dyDescent="0.3">
      <c r="A71" s="3">
        <v>45696</v>
      </c>
      <c r="B71" s="3" t="s">
        <v>679</v>
      </c>
      <c r="C71" s="3" t="s">
        <v>13</v>
      </c>
      <c r="D71" s="3" t="s">
        <v>14</v>
      </c>
      <c r="E71" s="4">
        <v>0.68</v>
      </c>
      <c r="F71" s="44">
        <v>2.35</v>
      </c>
      <c r="G71" s="21">
        <v>270</v>
      </c>
      <c r="H71" s="30">
        <v>1.3</v>
      </c>
      <c r="I71" s="6">
        <f t="shared" si="6"/>
        <v>560.89800000000014</v>
      </c>
      <c r="J71" s="7" t="s">
        <v>936</v>
      </c>
      <c r="K71" s="17">
        <f t="shared" si="7"/>
        <v>2</v>
      </c>
    </row>
    <row r="72" spans="1:11" ht="13.95" customHeight="1" x14ac:dyDescent="0.3">
      <c r="A72" s="3">
        <v>45697</v>
      </c>
      <c r="B72" s="3" t="s">
        <v>679</v>
      </c>
      <c r="C72" s="3" t="s">
        <v>16</v>
      </c>
      <c r="D72" s="3" t="s">
        <v>14</v>
      </c>
      <c r="E72" s="4">
        <v>0.62</v>
      </c>
      <c r="F72" s="44">
        <v>2.4</v>
      </c>
      <c r="G72" s="21">
        <v>270</v>
      </c>
      <c r="H72" s="30">
        <v>1.3</v>
      </c>
      <c r="I72" s="6">
        <f t="shared" si="6"/>
        <v>522.28800000000001</v>
      </c>
      <c r="J72" s="7" t="s">
        <v>237</v>
      </c>
      <c r="K72" s="17">
        <f t="shared" si="7"/>
        <v>2</v>
      </c>
    </row>
    <row r="73" spans="1:11" ht="13.95" customHeight="1" x14ac:dyDescent="0.3">
      <c r="A73" s="3">
        <v>45698</v>
      </c>
      <c r="B73" s="3" t="s">
        <v>679</v>
      </c>
      <c r="C73" s="3" t="s">
        <v>18</v>
      </c>
      <c r="D73" s="3" t="s">
        <v>706</v>
      </c>
      <c r="E73" s="4">
        <v>0.85</v>
      </c>
      <c r="F73" s="44">
        <v>2.1</v>
      </c>
      <c r="G73" s="21">
        <v>270</v>
      </c>
      <c r="H73" s="30">
        <v>1.3</v>
      </c>
      <c r="I73" s="6">
        <f t="shared" si="6"/>
        <v>626.53500000000008</v>
      </c>
      <c r="J73" s="7" t="s">
        <v>937</v>
      </c>
      <c r="K73" s="17">
        <f t="shared" si="7"/>
        <v>2</v>
      </c>
    </row>
    <row r="74" spans="1:11" ht="13.95" customHeight="1" x14ac:dyDescent="0.3">
      <c r="A74" s="3">
        <v>45699</v>
      </c>
      <c r="B74" s="3" t="s">
        <v>679</v>
      </c>
      <c r="C74" s="3" t="s">
        <v>20</v>
      </c>
      <c r="D74" s="3" t="s">
        <v>707</v>
      </c>
      <c r="E74" s="4">
        <v>0.95</v>
      </c>
      <c r="F74" s="44">
        <v>2.2000000000000002</v>
      </c>
      <c r="G74" s="21">
        <v>270</v>
      </c>
      <c r="H74" s="30">
        <v>1.3</v>
      </c>
      <c r="I74" s="6">
        <f t="shared" si="6"/>
        <v>733.59000000000015</v>
      </c>
      <c r="J74" s="7" t="s">
        <v>938</v>
      </c>
      <c r="K74" s="17">
        <f t="shared" si="7"/>
        <v>2</v>
      </c>
    </row>
    <row r="75" spans="1:11" ht="13.95" customHeight="1" x14ac:dyDescent="0.3">
      <c r="A75" s="3">
        <v>45700</v>
      </c>
      <c r="B75" s="3" t="s">
        <v>679</v>
      </c>
      <c r="C75" s="3" t="s">
        <v>5</v>
      </c>
      <c r="D75" s="3" t="s">
        <v>706</v>
      </c>
      <c r="E75" s="4">
        <v>0.92</v>
      </c>
      <c r="F75" s="44">
        <v>2.15</v>
      </c>
      <c r="G75" s="21">
        <v>270</v>
      </c>
      <c r="H75" s="30">
        <v>1.3</v>
      </c>
      <c r="I75" s="6">
        <f t="shared" si="6"/>
        <v>694.27799999999991</v>
      </c>
      <c r="J75" s="7" t="s">
        <v>939</v>
      </c>
      <c r="K75" s="17">
        <f t="shared" si="7"/>
        <v>2</v>
      </c>
    </row>
    <row r="76" spans="1:11" ht="13.95" customHeight="1" x14ac:dyDescent="0.3">
      <c r="A76" s="3">
        <v>45701</v>
      </c>
      <c r="B76" s="3" t="s">
        <v>679</v>
      </c>
      <c r="C76" s="3" t="s">
        <v>8</v>
      </c>
      <c r="D76" s="3" t="s">
        <v>706</v>
      </c>
      <c r="E76" s="4">
        <v>0.88</v>
      </c>
      <c r="F76" s="44">
        <v>2.1</v>
      </c>
      <c r="G76" s="21">
        <v>270</v>
      </c>
      <c r="H76" s="30">
        <v>1.3</v>
      </c>
      <c r="I76" s="6">
        <f t="shared" si="6"/>
        <v>648.64800000000002</v>
      </c>
      <c r="J76" s="7" t="s">
        <v>940</v>
      </c>
      <c r="K76" s="17">
        <f t="shared" si="7"/>
        <v>2</v>
      </c>
    </row>
    <row r="77" spans="1:11" ht="13.95" customHeight="1" x14ac:dyDescent="0.3">
      <c r="A77" s="3">
        <v>45702</v>
      </c>
      <c r="B77" s="3" t="s">
        <v>679</v>
      </c>
      <c r="C77" s="3" t="s">
        <v>11</v>
      </c>
      <c r="D77" s="3" t="s">
        <v>557</v>
      </c>
      <c r="E77" s="4">
        <v>0.9</v>
      </c>
      <c r="F77" s="44">
        <v>2.6</v>
      </c>
      <c r="G77" s="21">
        <v>270</v>
      </c>
      <c r="H77" s="30">
        <v>1.3</v>
      </c>
      <c r="I77" s="6">
        <f t="shared" si="6"/>
        <v>821.34000000000015</v>
      </c>
      <c r="J77" s="7" t="s">
        <v>941</v>
      </c>
      <c r="K77" s="17">
        <f t="shared" si="7"/>
        <v>2</v>
      </c>
    </row>
    <row r="78" spans="1:11" ht="13.95" customHeight="1" x14ac:dyDescent="0.3">
      <c r="A78" s="3">
        <v>45703</v>
      </c>
      <c r="B78" s="3" t="s">
        <v>679</v>
      </c>
      <c r="C78" s="3" t="s">
        <v>13</v>
      </c>
      <c r="D78" s="3" t="s">
        <v>14</v>
      </c>
      <c r="E78" s="4">
        <v>0.85</v>
      </c>
      <c r="F78" s="44">
        <v>2.4</v>
      </c>
      <c r="G78" s="21">
        <v>270</v>
      </c>
      <c r="H78" s="30">
        <v>1.3</v>
      </c>
      <c r="I78" s="6">
        <f t="shared" si="6"/>
        <v>716.04</v>
      </c>
      <c r="J78" s="7" t="s">
        <v>942</v>
      </c>
      <c r="K78" s="17">
        <f t="shared" si="7"/>
        <v>2</v>
      </c>
    </row>
    <row r="79" spans="1:11" ht="13.95" customHeight="1" x14ac:dyDescent="0.3">
      <c r="A79" s="3">
        <v>45704</v>
      </c>
      <c r="B79" s="3" t="s">
        <v>679</v>
      </c>
      <c r="C79" s="3" t="s">
        <v>16</v>
      </c>
      <c r="D79" s="3" t="s">
        <v>14</v>
      </c>
      <c r="E79" s="4">
        <v>0.75</v>
      </c>
      <c r="F79" s="44">
        <v>2.4500000000000002</v>
      </c>
      <c r="G79" s="21">
        <v>270</v>
      </c>
      <c r="H79" s="30">
        <v>1.3</v>
      </c>
      <c r="I79" s="6">
        <f t="shared" si="6"/>
        <v>644.96250000000009</v>
      </c>
      <c r="J79" s="7" t="s">
        <v>943</v>
      </c>
      <c r="K79" s="17">
        <f t="shared" si="7"/>
        <v>2</v>
      </c>
    </row>
    <row r="80" spans="1:11" ht="13.95" customHeight="1" x14ac:dyDescent="0.3">
      <c r="A80" s="3">
        <v>45705</v>
      </c>
      <c r="B80" s="3" t="s">
        <v>679</v>
      </c>
      <c r="C80" s="3" t="s">
        <v>18</v>
      </c>
      <c r="D80" s="3" t="s">
        <v>706</v>
      </c>
      <c r="E80" s="4">
        <v>0.85</v>
      </c>
      <c r="F80" s="44">
        <v>2.1</v>
      </c>
      <c r="G80" s="21">
        <v>270</v>
      </c>
      <c r="H80" s="30">
        <v>1.3</v>
      </c>
      <c r="I80" s="6">
        <f t="shared" si="6"/>
        <v>626.53500000000008</v>
      </c>
      <c r="J80" s="7" t="s">
        <v>944</v>
      </c>
      <c r="K80" s="17">
        <f t="shared" si="7"/>
        <v>2</v>
      </c>
    </row>
    <row r="81" spans="1:11" ht="13.95" customHeight="1" x14ac:dyDescent="0.3">
      <c r="A81" s="3">
        <v>45706</v>
      </c>
      <c r="B81" s="3" t="s">
        <v>679</v>
      </c>
      <c r="C81" s="3" t="s">
        <v>20</v>
      </c>
      <c r="D81" s="3" t="s">
        <v>707</v>
      </c>
      <c r="E81" s="4">
        <v>0.92</v>
      </c>
      <c r="F81" s="44">
        <v>2.15</v>
      </c>
      <c r="G81" s="21">
        <v>270</v>
      </c>
      <c r="H81" s="30">
        <v>1.3</v>
      </c>
      <c r="I81" s="6">
        <f t="shared" si="6"/>
        <v>694.27799999999991</v>
      </c>
      <c r="J81" s="7" t="s">
        <v>945</v>
      </c>
      <c r="K81" s="17">
        <f t="shared" si="7"/>
        <v>2</v>
      </c>
    </row>
    <row r="82" spans="1:11" ht="13.95" customHeight="1" x14ac:dyDescent="0.3">
      <c r="A82" s="3">
        <v>45707</v>
      </c>
      <c r="B82" s="3" t="s">
        <v>679</v>
      </c>
      <c r="C82" s="3" t="s">
        <v>5</v>
      </c>
      <c r="D82" s="3" t="s">
        <v>706</v>
      </c>
      <c r="E82" s="4">
        <v>0.9</v>
      </c>
      <c r="F82" s="44">
        <v>2.1</v>
      </c>
      <c r="G82" s="21">
        <v>270</v>
      </c>
      <c r="H82" s="30">
        <v>1.3</v>
      </c>
      <c r="I82" s="6">
        <f t="shared" si="6"/>
        <v>663.39</v>
      </c>
      <c r="J82" s="7" t="s">
        <v>71</v>
      </c>
      <c r="K82" s="17">
        <f t="shared" si="7"/>
        <v>2</v>
      </c>
    </row>
    <row r="83" spans="1:11" ht="13.95" customHeight="1" x14ac:dyDescent="0.3">
      <c r="A83" s="3">
        <v>45708</v>
      </c>
      <c r="B83" s="3" t="s">
        <v>679</v>
      </c>
      <c r="C83" s="3" t="s">
        <v>8</v>
      </c>
      <c r="D83" s="3" t="s">
        <v>706</v>
      </c>
      <c r="E83" s="4">
        <v>0.88</v>
      </c>
      <c r="F83" s="44">
        <v>2.1</v>
      </c>
      <c r="G83" s="21">
        <v>270</v>
      </c>
      <c r="H83" s="30">
        <v>1.3</v>
      </c>
      <c r="I83" s="6">
        <f t="shared" si="6"/>
        <v>648.64800000000002</v>
      </c>
      <c r="J83" s="7" t="s">
        <v>71</v>
      </c>
      <c r="K83" s="17">
        <f t="shared" si="7"/>
        <v>2</v>
      </c>
    </row>
    <row r="84" spans="1:11" ht="13.95" customHeight="1" x14ac:dyDescent="0.3">
      <c r="A84" s="3">
        <v>45709</v>
      </c>
      <c r="B84" s="3" t="s">
        <v>679</v>
      </c>
      <c r="C84" s="3" t="s">
        <v>11</v>
      </c>
      <c r="D84" s="3" t="s">
        <v>44</v>
      </c>
      <c r="E84" s="4">
        <v>0.8</v>
      </c>
      <c r="F84" s="44">
        <v>2.0499999999999998</v>
      </c>
      <c r="G84" s="21">
        <v>270</v>
      </c>
      <c r="H84" s="30">
        <v>1.3</v>
      </c>
      <c r="I84" s="6">
        <f t="shared" si="6"/>
        <v>575.64</v>
      </c>
      <c r="J84" s="7" t="s">
        <v>70</v>
      </c>
      <c r="K84" s="17">
        <f t="shared" si="7"/>
        <v>2</v>
      </c>
    </row>
    <row r="85" spans="1:11" ht="13.95" customHeight="1" x14ac:dyDescent="0.3">
      <c r="A85" s="3">
        <v>45710</v>
      </c>
      <c r="B85" s="3" t="s">
        <v>679</v>
      </c>
      <c r="C85" s="3" t="s">
        <v>13</v>
      </c>
      <c r="D85" s="3" t="s">
        <v>14</v>
      </c>
      <c r="E85" s="4">
        <v>0.7</v>
      </c>
      <c r="F85" s="44">
        <v>2.2999999999999998</v>
      </c>
      <c r="G85" s="21">
        <v>270</v>
      </c>
      <c r="H85" s="30">
        <v>1.3</v>
      </c>
      <c r="I85" s="6">
        <f t="shared" si="6"/>
        <v>565.11</v>
      </c>
      <c r="J85" s="7" t="s">
        <v>946</v>
      </c>
      <c r="K85" s="17">
        <f t="shared" si="7"/>
        <v>2</v>
      </c>
    </row>
    <row r="86" spans="1:11" ht="13.95" customHeight="1" x14ac:dyDescent="0.3">
      <c r="A86" s="3">
        <v>45711</v>
      </c>
      <c r="B86" s="3" t="s">
        <v>679</v>
      </c>
      <c r="C86" s="3" t="s">
        <v>16</v>
      </c>
      <c r="D86" s="3" t="s">
        <v>14</v>
      </c>
      <c r="E86" s="4">
        <v>0.65</v>
      </c>
      <c r="F86" s="44">
        <v>2.4</v>
      </c>
      <c r="G86" s="21">
        <v>270</v>
      </c>
      <c r="H86" s="30">
        <v>1.3</v>
      </c>
      <c r="I86" s="6">
        <f t="shared" si="6"/>
        <v>547.56000000000006</v>
      </c>
      <c r="J86" s="7" t="s">
        <v>947</v>
      </c>
      <c r="K86" s="17">
        <f t="shared" si="7"/>
        <v>2</v>
      </c>
    </row>
    <row r="87" spans="1:11" ht="13.95" customHeight="1" x14ac:dyDescent="0.3">
      <c r="A87" s="3">
        <v>45712</v>
      </c>
      <c r="B87" s="3" t="s">
        <v>679</v>
      </c>
      <c r="C87" s="3" t="s">
        <v>18</v>
      </c>
      <c r="D87" s="3" t="s">
        <v>706</v>
      </c>
      <c r="E87" s="4">
        <v>0.85</v>
      </c>
      <c r="F87" s="44">
        <v>2.1</v>
      </c>
      <c r="G87" s="21">
        <v>270</v>
      </c>
      <c r="H87" s="30">
        <v>1.3</v>
      </c>
      <c r="I87" s="6">
        <f t="shared" si="6"/>
        <v>626.53500000000008</v>
      </c>
      <c r="J87" s="7" t="s">
        <v>65</v>
      </c>
      <c r="K87" s="17">
        <f t="shared" si="7"/>
        <v>2</v>
      </c>
    </row>
    <row r="88" spans="1:11" ht="13.95" customHeight="1" x14ac:dyDescent="0.3">
      <c r="A88" s="3">
        <v>45713</v>
      </c>
      <c r="B88" s="3" t="s">
        <v>679</v>
      </c>
      <c r="C88" s="3" t="s">
        <v>20</v>
      </c>
      <c r="D88" s="3" t="s">
        <v>707</v>
      </c>
      <c r="E88" s="4">
        <v>0.95</v>
      </c>
      <c r="F88" s="44">
        <v>2.15</v>
      </c>
      <c r="G88" s="21">
        <v>270</v>
      </c>
      <c r="H88" s="30">
        <v>1.3</v>
      </c>
      <c r="I88" s="6">
        <f t="shared" si="6"/>
        <v>716.91750000000002</v>
      </c>
      <c r="J88" s="7" t="s">
        <v>948</v>
      </c>
      <c r="K88" s="17">
        <f t="shared" si="7"/>
        <v>2</v>
      </c>
    </row>
    <row r="89" spans="1:11" ht="13.95" customHeight="1" x14ac:dyDescent="0.3">
      <c r="A89" s="3">
        <v>45714</v>
      </c>
      <c r="B89" s="3" t="s">
        <v>679</v>
      </c>
      <c r="C89" s="3" t="s">
        <v>5</v>
      </c>
      <c r="D89" s="3" t="s">
        <v>706</v>
      </c>
      <c r="E89" s="4">
        <v>0.9</v>
      </c>
      <c r="F89" s="44">
        <v>2.1</v>
      </c>
      <c r="G89" s="21">
        <v>270</v>
      </c>
      <c r="H89" s="30">
        <v>1.3</v>
      </c>
      <c r="I89" s="6">
        <f t="shared" si="6"/>
        <v>663.39</v>
      </c>
      <c r="J89" s="7" t="s">
        <v>71</v>
      </c>
      <c r="K89" s="17">
        <f t="shared" si="7"/>
        <v>2</v>
      </c>
    </row>
    <row r="90" spans="1:11" ht="13.95" customHeight="1" x14ac:dyDescent="0.3">
      <c r="A90" s="3">
        <v>45715</v>
      </c>
      <c r="B90" s="3" t="s">
        <v>679</v>
      </c>
      <c r="C90" s="3" t="s">
        <v>8</v>
      </c>
      <c r="D90" s="3" t="s">
        <v>706</v>
      </c>
      <c r="E90" s="4">
        <v>0.88</v>
      </c>
      <c r="F90" s="44">
        <v>2.1</v>
      </c>
      <c r="G90" s="21">
        <v>270</v>
      </c>
      <c r="H90" s="30">
        <v>1.3</v>
      </c>
      <c r="I90" s="6">
        <f t="shared" si="6"/>
        <v>648.64800000000002</v>
      </c>
      <c r="J90" s="7" t="s">
        <v>71</v>
      </c>
      <c r="K90" s="17">
        <f t="shared" si="7"/>
        <v>2</v>
      </c>
    </row>
    <row r="91" spans="1:11" ht="13.95" customHeight="1" x14ac:dyDescent="0.3">
      <c r="A91" s="3">
        <v>45716</v>
      </c>
      <c r="B91" s="3" t="s">
        <v>679</v>
      </c>
      <c r="C91" s="3" t="s">
        <v>11</v>
      </c>
      <c r="D91" s="3" t="s">
        <v>44</v>
      </c>
      <c r="E91" s="4">
        <v>0.82</v>
      </c>
      <c r="F91" s="44">
        <v>2.0499999999999998</v>
      </c>
      <c r="G91" s="21">
        <v>270</v>
      </c>
      <c r="H91" s="30">
        <v>1.3</v>
      </c>
      <c r="I91" s="6">
        <f t="shared" si="6"/>
        <v>590.03099999999984</v>
      </c>
      <c r="J91" s="7" t="s">
        <v>949</v>
      </c>
      <c r="K91" s="17">
        <f t="shared" si="7"/>
        <v>2</v>
      </c>
    </row>
    <row r="92" spans="1:11" ht="13.95" customHeight="1" x14ac:dyDescent="0.3">
      <c r="A92" s="3">
        <v>45748</v>
      </c>
      <c r="B92" s="3" t="s">
        <v>679</v>
      </c>
      <c r="C92" s="3" t="s">
        <v>20</v>
      </c>
      <c r="D92" s="3" t="s">
        <v>706</v>
      </c>
      <c r="E92" s="4">
        <v>0.82</v>
      </c>
      <c r="F92" s="44">
        <v>1.8</v>
      </c>
      <c r="G92" s="21">
        <v>270</v>
      </c>
      <c r="H92" s="30">
        <v>1.3</v>
      </c>
      <c r="I92" s="6">
        <f t="shared" ref="I92:I121" si="8">(G92*E92)*F92*H92</f>
        <v>518.07600000000002</v>
      </c>
      <c r="J92" s="7" t="s">
        <v>950</v>
      </c>
      <c r="K92" s="17">
        <f t="shared" si="7"/>
        <v>4</v>
      </c>
    </row>
    <row r="93" spans="1:11" ht="13.95" customHeight="1" x14ac:dyDescent="0.3">
      <c r="A93" s="3">
        <v>45749</v>
      </c>
      <c r="B93" s="3" t="s">
        <v>679</v>
      </c>
      <c r="C93" s="3" t="s">
        <v>5</v>
      </c>
      <c r="D93" s="3" t="s">
        <v>706</v>
      </c>
      <c r="E93" s="4">
        <v>0.85</v>
      </c>
      <c r="F93" s="44">
        <v>1.8</v>
      </c>
      <c r="G93" s="21">
        <v>270</v>
      </c>
      <c r="H93" s="30">
        <v>1.3</v>
      </c>
      <c r="I93" s="6">
        <f t="shared" si="8"/>
        <v>537.03000000000009</v>
      </c>
      <c r="J93" s="7" t="s">
        <v>951</v>
      </c>
      <c r="K93" s="17">
        <f t="shared" si="7"/>
        <v>4</v>
      </c>
    </row>
    <row r="94" spans="1:11" ht="13.95" customHeight="1" x14ac:dyDescent="0.3">
      <c r="A94" s="3">
        <v>45750</v>
      </c>
      <c r="B94" s="3" t="s">
        <v>679</v>
      </c>
      <c r="C94" s="3" t="s">
        <v>8</v>
      </c>
      <c r="D94" s="3" t="s">
        <v>706</v>
      </c>
      <c r="E94" s="4">
        <v>0.8</v>
      </c>
      <c r="F94" s="44">
        <v>1.75</v>
      </c>
      <c r="G94" s="21">
        <v>270</v>
      </c>
      <c r="H94" s="30">
        <v>1.3</v>
      </c>
      <c r="I94" s="6">
        <f t="shared" si="8"/>
        <v>491.40000000000003</v>
      </c>
      <c r="J94" s="7" t="s">
        <v>952</v>
      </c>
      <c r="K94" s="17">
        <f t="shared" si="7"/>
        <v>4</v>
      </c>
    </row>
    <row r="95" spans="1:11" ht="13.95" customHeight="1" x14ac:dyDescent="0.3">
      <c r="A95" s="3">
        <v>45751</v>
      </c>
      <c r="B95" s="3" t="s">
        <v>679</v>
      </c>
      <c r="C95" s="3" t="s">
        <v>11</v>
      </c>
      <c r="D95" s="3" t="s">
        <v>44</v>
      </c>
      <c r="E95" s="4">
        <v>0.75</v>
      </c>
      <c r="F95" s="44">
        <v>1.75</v>
      </c>
      <c r="G95" s="21">
        <v>270</v>
      </c>
      <c r="H95" s="30">
        <v>1.3</v>
      </c>
      <c r="I95" s="6">
        <f t="shared" si="8"/>
        <v>460.6875</v>
      </c>
      <c r="J95" s="7" t="s">
        <v>729</v>
      </c>
      <c r="K95" s="17">
        <f t="shared" si="7"/>
        <v>4</v>
      </c>
    </row>
    <row r="96" spans="1:11" ht="13.95" customHeight="1" x14ac:dyDescent="0.3">
      <c r="A96" s="3">
        <v>45752</v>
      </c>
      <c r="B96" s="3" t="s">
        <v>679</v>
      </c>
      <c r="C96" s="3" t="s">
        <v>13</v>
      </c>
      <c r="D96" s="3" t="s">
        <v>14</v>
      </c>
      <c r="E96" s="4">
        <v>0.65</v>
      </c>
      <c r="F96" s="44">
        <v>2.1</v>
      </c>
      <c r="G96" s="21">
        <v>270</v>
      </c>
      <c r="H96" s="30">
        <v>1.3</v>
      </c>
      <c r="I96" s="6">
        <f t="shared" si="8"/>
        <v>479.11500000000001</v>
      </c>
      <c r="J96" s="7" t="s">
        <v>953</v>
      </c>
      <c r="K96" s="17">
        <f t="shared" si="7"/>
        <v>4</v>
      </c>
    </row>
    <row r="97" spans="1:11" ht="13.95" customHeight="1" x14ac:dyDescent="0.3">
      <c r="A97" s="3">
        <v>45753</v>
      </c>
      <c r="B97" s="3" t="s">
        <v>679</v>
      </c>
      <c r="C97" s="3" t="s">
        <v>16</v>
      </c>
      <c r="D97" s="3" t="s">
        <v>14</v>
      </c>
      <c r="E97" s="4">
        <v>0.6</v>
      </c>
      <c r="F97" s="44">
        <v>2.2000000000000002</v>
      </c>
      <c r="G97" s="21">
        <v>270</v>
      </c>
      <c r="H97" s="30">
        <v>1.3</v>
      </c>
      <c r="I97" s="6">
        <f t="shared" si="8"/>
        <v>463.32000000000005</v>
      </c>
      <c r="J97" s="7" t="s">
        <v>931</v>
      </c>
      <c r="K97" s="17">
        <f t="shared" si="7"/>
        <v>4</v>
      </c>
    </row>
    <row r="98" spans="1:11" ht="13.95" customHeight="1" x14ac:dyDescent="0.3">
      <c r="A98" s="3">
        <v>45754</v>
      </c>
      <c r="B98" s="3" t="s">
        <v>679</v>
      </c>
      <c r="C98" s="3" t="s">
        <v>18</v>
      </c>
      <c r="D98" s="3" t="s">
        <v>706</v>
      </c>
      <c r="E98" s="4">
        <v>0.85</v>
      </c>
      <c r="F98" s="44">
        <v>1.8</v>
      </c>
      <c r="G98" s="21">
        <v>270</v>
      </c>
      <c r="H98" s="30">
        <v>1.3</v>
      </c>
      <c r="I98" s="6">
        <f t="shared" si="8"/>
        <v>537.03000000000009</v>
      </c>
      <c r="J98" s="7" t="s">
        <v>954</v>
      </c>
      <c r="K98" s="17">
        <f t="shared" si="7"/>
        <v>4</v>
      </c>
    </row>
    <row r="99" spans="1:11" ht="13.95" customHeight="1" x14ac:dyDescent="0.3">
      <c r="A99" s="3">
        <v>45755</v>
      </c>
      <c r="B99" s="3" t="s">
        <v>679</v>
      </c>
      <c r="C99" s="3" t="s">
        <v>20</v>
      </c>
      <c r="D99" s="3" t="s">
        <v>707</v>
      </c>
      <c r="E99" s="4">
        <v>0.92</v>
      </c>
      <c r="F99" s="44">
        <v>1.85</v>
      </c>
      <c r="G99" s="21">
        <v>270</v>
      </c>
      <c r="H99" s="30">
        <v>1.3</v>
      </c>
      <c r="I99" s="6">
        <f t="shared" si="8"/>
        <v>597.40200000000004</v>
      </c>
      <c r="J99" s="7" t="s">
        <v>955</v>
      </c>
      <c r="K99" s="17">
        <f t="shared" si="7"/>
        <v>4</v>
      </c>
    </row>
    <row r="100" spans="1:11" ht="13.95" customHeight="1" x14ac:dyDescent="0.3">
      <c r="A100" s="3">
        <v>45756</v>
      </c>
      <c r="B100" s="3" t="s">
        <v>679</v>
      </c>
      <c r="C100" s="3" t="s">
        <v>5</v>
      </c>
      <c r="D100" s="3" t="s">
        <v>6</v>
      </c>
      <c r="E100" s="4">
        <v>0.65</v>
      </c>
      <c r="F100" s="44">
        <v>2.2000000000000002</v>
      </c>
      <c r="G100" s="21">
        <v>270</v>
      </c>
      <c r="H100" s="30">
        <v>1.3</v>
      </c>
      <c r="I100" s="6">
        <f t="shared" si="8"/>
        <v>501.93000000000006</v>
      </c>
      <c r="J100" s="7" t="s">
        <v>956</v>
      </c>
      <c r="K100" s="17">
        <f t="shared" si="7"/>
        <v>4</v>
      </c>
    </row>
    <row r="101" spans="1:11" ht="13.95" customHeight="1" x14ac:dyDescent="0.3">
      <c r="A101" s="3">
        <v>45757</v>
      </c>
      <c r="B101" s="3" t="s">
        <v>679</v>
      </c>
      <c r="C101" s="3" t="s">
        <v>8</v>
      </c>
      <c r="D101" s="3" t="s">
        <v>706</v>
      </c>
      <c r="E101" s="4">
        <v>0.8</v>
      </c>
      <c r="F101" s="44">
        <v>1.8</v>
      </c>
      <c r="G101" s="21">
        <v>270</v>
      </c>
      <c r="H101" s="30">
        <v>1.3</v>
      </c>
      <c r="I101" s="6">
        <f t="shared" si="8"/>
        <v>505.44000000000005</v>
      </c>
      <c r="J101" s="7" t="s">
        <v>957</v>
      </c>
      <c r="K101" s="17">
        <f t="shared" si="7"/>
        <v>4</v>
      </c>
    </row>
    <row r="102" spans="1:11" ht="13.95" customHeight="1" x14ac:dyDescent="0.3">
      <c r="A102" s="3">
        <v>45758</v>
      </c>
      <c r="B102" s="3" t="s">
        <v>679</v>
      </c>
      <c r="C102" s="3" t="s">
        <v>11</v>
      </c>
      <c r="D102" s="3" t="s">
        <v>44</v>
      </c>
      <c r="E102" s="4">
        <v>0.78</v>
      </c>
      <c r="F102" s="44">
        <v>1.75</v>
      </c>
      <c r="G102" s="21">
        <v>270</v>
      </c>
      <c r="H102" s="30">
        <v>1.3</v>
      </c>
      <c r="I102" s="6">
        <f t="shared" si="8"/>
        <v>479.11500000000001</v>
      </c>
      <c r="J102" s="7" t="s">
        <v>485</v>
      </c>
      <c r="K102" s="17">
        <f t="shared" si="7"/>
        <v>4</v>
      </c>
    </row>
    <row r="103" spans="1:11" ht="13.95" customHeight="1" x14ac:dyDescent="0.3">
      <c r="A103" s="3">
        <v>45759</v>
      </c>
      <c r="B103" s="3" t="s">
        <v>679</v>
      </c>
      <c r="C103" s="3" t="s">
        <v>13</v>
      </c>
      <c r="D103" s="3" t="s">
        <v>14</v>
      </c>
      <c r="E103" s="4">
        <v>0.7</v>
      </c>
      <c r="F103" s="44">
        <v>2.15</v>
      </c>
      <c r="G103" s="21">
        <v>270</v>
      </c>
      <c r="H103" s="30">
        <v>1.3</v>
      </c>
      <c r="I103" s="6">
        <f t="shared" si="8"/>
        <v>528.255</v>
      </c>
      <c r="J103" s="7" t="s">
        <v>899</v>
      </c>
      <c r="K103" s="17">
        <f t="shared" si="7"/>
        <v>4</v>
      </c>
    </row>
    <row r="104" spans="1:11" ht="13.95" customHeight="1" x14ac:dyDescent="0.3">
      <c r="A104" s="3">
        <v>45760</v>
      </c>
      <c r="B104" s="3" t="s">
        <v>679</v>
      </c>
      <c r="C104" s="3" t="s">
        <v>16</v>
      </c>
      <c r="D104" s="3" t="s">
        <v>14</v>
      </c>
      <c r="E104" s="4">
        <v>0.65</v>
      </c>
      <c r="F104" s="44">
        <v>2.25</v>
      </c>
      <c r="G104" s="21">
        <v>270</v>
      </c>
      <c r="H104" s="30">
        <v>1.3</v>
      </c>
      <c r="I104" s="6">
        <f t="shared" si="8"/>
        <v>513.33749999999998</v>
      </c>
      <c r="J104" s="7" t="s">
        <v>958</v>
      </c>
      <c r="K104" s="17">
        <f t="shared" si="7"/>
        <v>4</v>
      </c>
    </row>
    <row r="105" spans="1:11" ht="13.95" customHeight="1" x14ac:dyDescent="0.3">
      <c r="A105" s="3">
        <v>45761</v>
      </c>
      <c r="B105" s="3" t="s">
        <v>679</v>
      </c>
      <c r="C105" s="3" t="s">
        <v>18</v>
      </c>
      <c r="D105" s="3" t="s">
        <v>706</v>
      </c>
      <c r="E105" s="4">
        <v>0.85</v>
      </c>
      <c r="F105" s="44">
        <v>1.8</v>
      </c>
      <c r="G105" s="21">
        <v>270</v>
      </c>
      <c r="H105" s="30">
        <v>1.3</v>
      </c>
      <c r="I105" s="6">
        <f t="shared" si="8"/>
        <v>537.03000000000009</v>
      </c>
      <c r="J105" s="7" t="s">
        <v>65</v>
      </c>
      <c r="K105" s="17">
        <f t="shared" si="7"/>
        <v>4</v>
      </c>
    </row>
    <row r="106" spans="1:11" ht="13.95" customHeight="1" x14ac:dyDescent="0.3">
      <c r="A106" s="3">
        <v>45762</v>
      </c>
      <c r="B106" s="3" t="s">
        <v>679</v>
      </c>
      <c r="C106" s="3" t="s">
        <v>20</v>
      </c>
      <c r="D106" s="3" t="s">
        <v>707</v>
      </c>
      <c r="E106" s="4">
        <v>0.9</v>
      </c>
      <c r="F106" s="44">
        <v>1.85</v>
      </c>
      <c r="G106" s="21">
        <v>270</v>
      </c>
      <c r="H106" s="30">
        <v>1.3</v>
      </c>
      <c r="I106" s="6">
        <f t="shared" si="8"/>
        <v>584.41500000000008</v>
      </c>
      <c r="J106" s="7" t="s">
        <v>959</v>
      </c>
      <c r="K106" s="17">
        <f t="shared" si="7"/>
        <v>4</v>
      </c>
    </row>
    <row r="107" spans="1:11" ht="13.95" customHeight="1" x14ac:dyDescent="0.3">
      <c r="A107" s="3">
        <v>45763</v>
      </c>
      <c r="B107" s="3" t="s">
        <v>679</v>
      </c>
      <c r="C107" s="3" t="s">
        <v>5</v>
      </c>
      <c r="D107" s="3" t="s">
        <v>706</v>
      </c>
      <c r="E107" s="4">
        <v>0.88</v>
      </c>
      <c r="F107" s="44">
        <v>1.8</v>
      </c>
      <c r="G107" s="21">
        <v>270</v>
      </c>
      <c r="H107" s="30">
        <v>1.3</v>
      </c>
      <c r="I107" s="6">
        <f t="shared" si="8"/>
        <v>555.98400000000004</v>
      </c>
      <c r="J107" s="7" t="s">
        <v>71</v>
      </c>
      <c r="K107" s="17">
        <f t="shared" si="7"/>
        <v>4</v>
      </c>
    </row>
    <row r="108" spans="1:11" ht="13.95" customHeight="1" x14ac:dyDescent="0.3">
      <c r="A108" s="3">
        <v>45764</v>
      </c>
      <c r="B108" s="3" t="s">
        <v>679</v>
      </c>
      <c r="C108" s="3" t="s">
        <v>8</v>
      </c>
      <c r="D108" s="3" t="s">
        <v>706</v>
      </c>
      <c r="E108" s="4">
        <v>0.82</v>
      </c>
      <c r="F108" s="44">
        <v>1.75</v>
      </c>
      <c r="G108" s="21">
        <v>270</v>
      </c>
      <c r="H108" s="30">
        <v>1.3</v>
      </c>
      <c r="I108" s="6">
        <f t="shared" si="8"/>
        <v>503.68499999999995</v>
      </c>
      <c r="J108" s="7" t="s">
        <v>71</v>
      </c>
      <c r="K108" s="17">
        <f t="shared" si="7"/>
        <v>4</v>
      </c>
    </row>
    <row r="109" spans="1:11" ht="13.95" customHeight="1" x14ac:dyDescent="0.3">
      <c r="A109" s="3">
        <v>45765</v>
      </c>
      <c r="B109" s="3" t="s">
        <v>679</v>
      </c>
      <c r="C109" s="3" t="s">
        <v>11</v>
      </c>
      <c r="D109" s="3" t="s">
        <v>44</v>
      </c>
      <c r="E109" s="4">
        <v>0.75</v>
      </c>
      <c r="F109" s="44">
        <v>1.85</v>
      </c>
      <c r="G109" s="21">
        <v>270</v>
      </c>
      <c r="H109" s="30">
        <v>1.3</v>
      </c>
      <c r="I109" s="6">
        <f t="shared" si="8"/>
        <v>487.01249999999999</v>
      </c>
      <c r="J109" s="7" t="s">
        <v>960</v>
      </c>
      <c r="K109" s="17">
        <f t="shared" si="7"/>
        <v>4</v>
      </c>
    </row>
    <row r="110" spans="1:11" ht="13.95" customHeight="1" x14ac:dyDescent="0.3">
      <c r="A110" s="3">
        <v>45766</v>
      </c>
      <c r="B110" s="3" t="s">
        <v>679</v>
      </c>
      <c r="C110" s="3" t="s">
        <v>13</v>
      </c>
      <c r="D110" s="3" t="s">
        <v>14</v>
      </c>
      <c r="E110" s="4">
        <v>0.72</v>
      </c>
      <c r="F110" s="44">
        <v>2.2000000000000002</v>
      </c>
      <c r="G110" s="21">
        <v>270</v>
      </c>
      <c r="H110" s="30">
        <v>1.3</v>
      </c>
      <c r="I110" s="6">
        <f t="shared" si="8"/>
        <v>555.98400000000015</v>
      </c>
      <c r="J110" s="7" t="s">
        <v>961</v>
      </c>
      <c r="K110" s="17">
        <f t="shared" si="7"/>
        <v>4</v>
      </c>
    </row>
    <row r="111" spans="1:11" ht="13.95" customHeight="1" x14ac:dyDescent="0.3">
      <c r="A111" s="3">
        <v>45767</v>
      </c>
      <c r="B111" s="3" t="s">
        <v>679</v>
      </c>
      <c r="C111" s="3" t="s">
        <v>16</v>
      </c>
      <c r="D111" s="3" t="s">
        <v>905</v>
      </c>
      <c r="E111" s="4">
        <v>0.8</v>
      </c>
      <c r="F111" s="44">
        <v>2.6</v>
      </c>
      <c r="G111" s="21">
        <v>270</v>
      </c>
      <c r="H111" s="30">
        <v>1.3</v>
      </c>
      <c r="I111" s="6">
        <f t="shared" si="8"/>
        <v>730.08</v>
      </c>
      <c r="J111" s="7" t="s">
        <v>962</v>
      </c>
      <c r="K111" s="17">
        <f t="shared" si="7"/>
        <v>4</v>
      </c>
    </row>
    <row r="112" spans="1:11" ht="13.95" customHeight="1" x14ac:dyDescent="0.3">
      <c r="A112" s="3">
        <v>45768</v>
      </c>
      <c r="B112" s="3" t="s">
        <v>679</v>
      </c>
      <c r="C112" s="3" t="s">
        <v>18</v>
      </c>
      <c r="D112" s="3" t="s">
        <v>706</v>
      </c>
      <c r="E112" s="4">
        <v>0.78</v>
      </c>
      <c r="F112" s="44">
        <v>1.8</v>
      </c>
      <c r="G112" s="21">
        <v>270</v>
      </c>
      <c r="H112" s="30">
        <v>1.3</v>
      </c>
      <c r="I112" s="6">
        <f t="shared" si="8"/>
        <v>492.80399999999997</v>
      </c>
      <c r="J112" s="7" t="s">
        <v>726</v>
      </c>
      <c r="K112" s="17">
        <f t="shared" si="7"/>
        <v>4</v>
      </c>
    </row>
    <row r="113" spans="1:11" ht="13.95" customHeight="1" x14ac:dyDescent="0.3">
      <c r="A113" s="3">
        <v>45769</v>
      </c>
      <c r="B113" s="3" t="s">
        <v>679</v>
      </c>
      <c r="C113" s="3" t="s">
        <v>20</v>
      </c>
      <c r="D113" s="3" t="s">
        <v>707</v>
      </c>
      <c r="E113" s="4">
        <v>0.92</v>
      </c>
      <c r="F113" s="44">
        <v>1.85</v>
      </c>
      <c r="G113" s="21">
        <v>270</v>
      </c>
      <c r="H113" s="30">
        <v>1.3</v>
      </c>
      <c r="I113" s="6">
        <f t="shared" si="8"/>
        <v>597.40200000000004</v>
      </c>
      <c r="J113" s="7" t="s">
        <v>963</v>
      </c>
      <c r="K113" s="17">
        <f t="shared" si="7"/>
        <v>4</v>
      </c>
    </row>
    <row r="114" spans="1:11" ht="13.95" customHeight="1" x14ac:dyDescent="0.3">
      <c r="A114" s="3">
        <v>45770</v>
      </c>
      <c r="B114" s="3" t="s">
        <v>679</v>
      </c>
      <c r="C114" s="3" t="s">
        <v>5</v>
      </c>
      <c r="D114" s="3" t="s">
        <v>706</v>
      </c>
      <c r="E114" s="4">
        <v>0.88</v>
      </c>
      <c r="F114" s="44">
        <v>1.8</v>
      </c>
      <c r="G114" s="21">
        <v>270</v>
      </c>
      <c r="H114" s="30">
        <v>1.3</v>
      </c>
      <c r="I114" s="6">
        <f t="shared" si="8"/>
        <v>555.98400000000004</v>
      </c>
      <c r="J114" s="7" t="s">
        <v>71</v>
      </c>
      <c r="K114" s="17">
        <f t="shared" si="7"/>
        <v>4</v>
      </c>
    </row>
    <row r="115" spans="1:11" ht="13.95" customHeight="1" x14ac:dyDescent="0.3">
      <c r="A115" s="3">
        <v>45771</v>
      </c>
      <c r="B115" s="3" t="s">
        <v>679</v>
      </c>
      <c r="C115" s="3" t="s">
        <v>8</v>
      </c>
      <c r="D115" s="3" t="s">
        <v>706</v>
      </c>
      <c r="E115" s="4">
        <v>0.85</v>
      </c>
      <c r="F115" s="44">
        <v>1.75</v>
      </c>
      <c r="G115" s="21">
        <v>270</v>
      </c>
      <c r="H115" s="30">
        <v>1.3</v>
      </c>
      <c r="I115" s="6">
        <f t="shared" si="8"/>
        <v>522.11250000000007</v>
      </c>
      <c r="J115" s="7" t="s">
        <v>71</v>
      </c>
      <c r="K115" s="17">
        <f t="shared" si="7"/>
        <v>4</v>
      </c>
    </row>
    <row r="116" spans="1:11" ht="13.95" customHeight="1" x14ac:dyDescent="0.3">
      <c r="A116" s="3">
        <v>45772</v>
      </c>
      <c r="B116" s="3" t="s">
        <v>679</v>
      </c>
      <c r="C116" s="3" t="s">
        <v>11</v>
      </c>
      <c r="D116" s="3" t="s">
        <v>44</v>
      </c>
      <c r="E116" s="4">
        <v>0.78</v>
      </c>
      <c r="F116" s="44">
        <v>1.75</v>
      </c>
      <c r="G116" s="21">
        <v>270</v>
      </c>
      <c r="H116" s="30">
        <v>1.3</v>
      </c>
      <c r="I116" s="6">
        <f t="shared" si="8"/>
        <v>479.11500000000001</v>
      </c>
      <c r="J116" s="7" t="s">
        <v>540</v>
      </c>
      <c r="K116" s="17">
        <f t="shared" si="7"/>
        <v>4</v>
      </c>
    </row>
    <row r="117" spans="1:11" ht="13.95" customHeight="1" x14ac:dyDescent="0.3">
      <c r="A117" s="3">
        <v>45773</v>
      </c>
      <c r="B117" s="3" t="s">
        <v>679</v>
      </c>
      <c r="C117" s="3" t="s">
        <v>13</v>
      </c>
      <c r="D117" s="3" t="s">
        <v>14</v>
      </c>
      <c r="E117" s="4">
        <v>0.7</v>
      </c>
      <c r="F117" s="44">
        <v>2.15</v>
      </c>
      <c r="G117" s="21">
        <v>270</v>
      </c>
      <c r="H117" s="30">
        <v>1.3</v>
      </c>
      <c r="I117" s="6">
        <f t="shared" si="8"/>
        <v>528.255</v>
      </c>
      <c r="J117" s="7" t="s">
        <v>815</v>
      </c>
      <c r="K117" s="17">
        <f t="shared" si="7"/>
        <v>4</v>
      </c>
    </row>
    <row r="118" spans="1:11" ht="13.95" customHeight="1" x14ac:dyDescent="0.3">
      <c r="A118" s="3">
        <v>45774</v>
      </c>
      <c r="B118" s="3" t="s">
        <v>679</v>
      </c>
      <c r="C118" s="3" t="s">
        <v>16</v>
      </c>
      <c r="D118" s="3" t="s">
        <v>14</v>
      </c>
      <c r="E118" s="4">
        <v>0.65</v>
      </c>
      <c r="F118" s="44">
        <v>2.25</v>
      </c>
      <c r="G118" s="21">
        <v>270</v>
      </c>
      <c r="H118" s="30">
        <v>1.3</v>
      </c>
      <c r="I118" s="6">
        <f t="shared" si="8"/>
        <v>513.33749999999998</v>
      </c>
      <c r="J118" s="7" t="s">
        <v>947</v>
      </c>
      <c r="K118" s="17">
        <f t="shared" si="7"/>
        <v>4</v>
      </c>
    </row>
    <row r="119" spans="1:11" ht="13.95" customHeight="1" x14ac:dyDescent="0.3">
      <c r="A119" s="3">
        <v>45775</v>
      </c>
      <c r="B119" s="3" t="s">
        <v>679</v>
      </c>
      <c r="C119" s="3" t="s">
        <v>18</v>
      </c>
      <c r="D119" s="3" t="s">
        <v>706</v>
      </c>
      <c r="E119" s="4">
        <v>0.82</v>
      </c>
      <c r="F119" s="44">
        <v>1.8</v>
      </c>
      <c r="G119" s="21">
        <v>270</v>
      </c>
      <c r="H119" s="30">
        <v>1.3</v>
      </c>
      <c r="I119" s="6">
        <f t="shared" si="8"/>
        <v>518.07600000000002</v>
      </c>
      <c r="J119" s="7" t="s">
        <v>99</v>
      </c>
      <c r="K119" s="17">
        <f t="shared" si="7"/>
        <v>4</v>
      </c>
    </row>
    <row r="120" spans="1:11" ht="13.95" customHeight="1" x14ac:dyDescent="0.3">
      <c r="A120" s="3">
        <v>45776</v>
      </c>
      <c r="B120" s="3" t="s">
        <v>679</v>
      </c>
      <c r="C120" s="3" t="s">
        <v>20</v>
      </c>
      <c r="D120" s="3" t="s">
        <v>706</v>
      </c>
      <c r="E120" s="4">
        <v>0.88</v>
      </c>
      <c r="F120" s="44">
        <v>1.8</v>
      </c>
      <c r="G120" s="21">
        <v>270</v>
      </c>
      <c r="H120" s="30">
        <v>1.3</v>
      </c>
      <c r="I120" s="6">
        <f t="shared" si="8"/>
        <v>555.98400000000004</v>
      </c>
      <c r="J120" s="7" t="s">
        <v>71</v>
      </c>
      <c r="K120" s="17">
        <f t="shared" si="7"/>
        <v>4</v>
      </c>
    </row>
    <row r="121" spans="1:11" ht="13.95" customHeight="1" x14ac:dyDescent="0.3">
      <c r="A121" s="3">
        <v>45777</v>
      </c>
      <c r="B121" s="3" t="s">
        <v>679</v>
      </c>
      <c r="C121" s="3" t="s">
        <v>5</v>
      </c>
      <c r="D121" s="3" t="s">
        <v>706</v>
      </c>
      <c r="E121" s="4">
        <v>0.85</v>
      </c>
      <c r="F121" s="44">
        <v>1.85</v>
      </c>
      <c r="G121" s="21">
        <v>270</v>
      </c>
      <c r="H121" s="30">
        <v>1.3</v>
      </c>
      <c r="I121" s="6">
        <f t="shared" si="8"/>
        <v>551.9475000000001</v>
      </c>
      <c r="J121" s="7" t="s">
        <v>816</v>
      </c>
      <c r="K121" s="17">
        <f t="shared" si="7"/>
        <v>4</v>
      </c>
    </row>
    <row r="122" spans="1:11" ht="13.95" customHeight="1" x14ac:dyDescent="0.3">
      <c r="A122" s="3">
        <v>45778</v>
      </c>
      <c r="B122" s="3" t="s">
        <v>679</v>
      </c>
      <c r="C122" s="3" t="s">
        <v>8</v>
      </c>
      <c r="D122" s="3" t="s">
        <v>742</v>
      </c>
      <c r="E122" s="4">
        <v>0.6</v>
      </c>
      <c r="F122" s="44">
        <v>2.4</v>
      </c>
      <c r="G122" s="21">
        <v>270</v>
      </c>
      <c r="H122" s="30">
        <v>1.3</v>
      </c>
      <c r="I122" s="6">
        <f t="shared" ref="I122:I152" si="9">(G122*E122)*F122*H122</f>
        <v>505.44000000000005</v>
      </c>
      <c r="J122" s="7" t="s">
        <v>964</v>
      </c>
      <c r="K122" s="17">
        <f t="shared" si="7"/>
        <v>5</v>
      </c>
    </row>
    <row r="123" spans="1:11" ht="13.95" customHeight="1" x14ac:dyDescent="0.3">
      <c r="A123" s="3">
        <v>45779</v>
      </c>
      <c r="B123" s="3" t="s">
        <v>679</v>
      </c>
      <c r="C123" s="3" t="s">
        <v>11</v>
      </c>
      <c r="D123" s="3" t="s">
        <v>44</v>
      </c>
      <c r="E123" s="4">
        <v>0.7</v>
      </c>
      <c r="F123" s="44">
        <v>1.85</v>
      </c>
      <c r="G123" s="21">
        <v>270</v>
      </c>
      <c r="H123" s="30">
        <v>1.3</v>
      </c>
      <c r="I123" s="6">
        <f t="shared" si="9"/>
        <v>454.54500000000007</v>
      </c>
      <c r="J123" s="7" t="s">
        <v>965</v>
      </c>
      <c r="K123" s="17">
        <f t="shared" si="7"/>
        <v>5</v>
      </c>
    </row>
    <row r="124" spans="1:11" ht="13.95" customHeight="1" x14ac:dyDescent="0.3">
      <c r="A124" s="3">
        <v>45780</v>
      </c>
      <c r="B124" s="3" t="s">
        <v>679</v>
      </c>
      <c r="C124" s="3" t="s">
        <v>13</v>
      </c>
      <c r="D124" s="3" t="s">
        <v>14</v>
      </c>
      <c r="E124" s="4">
        <v>0.75</v>
      </c>
      <c r="F124" s="44">
        <v>2.2000000000000002</v>
      </c>
      <c r="G124" s="21">
        <v>270</v>
      </c>
      <c r="H124" s="30">
        <v>1.3</v>
      </c>
      <c r="I124" s="6">
        <f t="shared" si="9"/>
        <v>579.15000000000009</v>
      </c>
      <c r="J124" s="7" t="s">
        <v>966</v>
      </c>
      <c r="K124" s="17">
        <f t="shared" si="7"/>
        <v>5</v>
      </c>
    </row>
    <row r="125" spans="1:11" ht="13.95" customHeight="1" x14ac:dyDescent="0.3">
      <c r="A125" s="3">
        <v>45781</v>
      </c>
      <c r="B125" s="3" t="s">
        <v>679</v>
      </c>
      <c r="C125" s="3" t="s">
        <v>16</v>
      </c>
      <c r="D125" s="3" t="s">
        <v>14</v>
      </c>
      <c r="E125" s="4">
        <v>0.65</v>
      </c>
      <c r="F125" s="44">
        <v>2.25</v>
      </c>
      <c r="G125" s="21">
        <v>270</v>
      </c>
      <c r="H125" s="30">
        <v>1.3</v>
      </c>
      <c r="I125" s="6">
        <f t="shared" si="9"/>
        <v>513.33749999999998</v>
      </c>
      <c r="J125" s="7" t="s">
        <v>967</v>
      </c>
      <c r="K125" s="17">
        <f t="shared" si="7"/>
        <v>5</v>
      </c>
    </row>
    <row r="126" spans="1:11" ht="13.95" customHeight="1" x14ac:dyDescent="0.3">
      <c r="A126" s="3">
        <v>45782</v>
      </c>
      <c r="B126" s="3" t="s">
        <v>679</v>
      </c>
      <c r="C126" s="3" t="s">
        <v>18</v>
      </c>
      <c r="D126" s="3" t="s">
        <v>706</v>
      </c>
      <c r="E126" s="4">
        <v>0.85</v>
      </c>
      <c r="F126" s="44">
        <v>1.8</v>
      </c>
      <c r="G126" s="21">
        <v>270</v>
      </c>
      <c r="H126" s="30">
        <v>1.3</v>
      </c>
      <c r="I126" s="6">
        <f t="shared" si="9"/>
        <v>537.03000000000009</v>
      </c>
      <c r="J126" s="7" t="s">
        <v>765</v>
      </c>
      <c r="K126" s="17">
        <f t="shared" si="7"/>
        <v>5</v>
      </c>
    </row>
    <row r="127" spans="1:11" ht="13.95" customHeight="1" x14ac:dyDescent="0.3">
      <c r="A127" s="3">
        <v>45783</v>
      </c>
      <c r="B127" s="3" t="s">
        <v>679</v>
      </c>
      <c r="C127" s="3" t="s">
        <v>20</v>
      </c>
      <c r="D127" s="3" t="s">
        <v>707</v>
      </c>
      <c r="E127" s="4">
        <v>0.92</v>
      </c>
      <c r="F127" s="44">
        <v>1.85</v>
      </c>
      <c r="G127" s="21">
        <v>270</v>
      </c>
      <c r="H127" s="30">
        <v>1.3</v>
      </c>
      <c r="I127" s="6">
        <f t="shared" si="9"/>
        <v>597.40200000000004</v>
      </c>
      <c r="J127" s="7" t="s">
        <v>968</v>
      </c>
      <c r="K127" s="17">
        <f t="shared" si="7"/>
        <v>5</v>
      </c>
    </row>
    <row r="128" spans="1:11" ht="13.95" customHeight="1" x14ac:dyDescent="0.3">
      <c r="A128" s="3">
        <v>45784</v>
      </c>
      <c r="B128" s="3" t="s">
        <v>679</v>
      </c>
      <c r="C128" s="3" t="s">
        <v>5</v>
      </c>
      <c r="D128" s="3" t="s">
        <v>706</v>
      </c>
      <c r="E128" s="4">
        <v>0.88</v>
      </c>
      <c r="F128" s="44">
        <v>1.8</v>
      </c>
      <c r="G128" s="21">
        <v>270</v>
      </c>
      <c r="H128" s="30">
        <v>1.3</v>
      </c>
      <c r="I128" s="6">
        <f t="shared" si="9"/>
        <v>555.98400000000004</v>
      </c>
      <c r="J128" s="7" t="s">
        <v>718</v>
      </c>
      <c r="K128" s="17">
        <f t="shared" si="7"/>
        <v>5</v>
      </c>
    </row>
    <row r="129" spans="1:11" ht="13.95" customHeight="1" x14ac:dyDescent="0.3">
      <c r="A129" s="3">
        <v>45785</v>
      </c>
      <c r="B129" s="3" t="s">
        <v>679</v>
      </c>
      <c r="C129" s="3" t="s">
        <v>8</v>
      </c>
      <c r="D129" s="3" t="s">
        <v>706</v>
      </c>
      <c r="E129" s="4">
        <v>0.85</v>
      </c>
      <c r="F129" s="44">
        <v>1.75</v>
      </c>
      <c r="G129" s="21">
        <v>270</v>
      </c>
      <c r="H129" s="30">
        <v>1.3</v>
      </c>
      <c r="I129" s="6">
        <f t="shared" si="9"/>
        <v>522.11250000000007</v>
      </c>
      <c r="J129" s="7" t="s">
        <v>969</v>
      </c>
      <c r="K129" s="17">
        <f t="shared" si="7"/>
        <v>5</v>
      </c>
    </row>
    <row r="130" spans="1:11" ht="13.95" customHeight="1" x14ac:dyDescent="0.3">
      <c r="A130" s="3">
        <v>45786</v>
      </c>
      <c r="B130" s="3" t="s">
        <v>679</v>
      </c>
      <c r="C130" s="3" t="s">
        <v>11</v>
      </c>
      <c r="D130" s="3" t="s">
        <v>44</v>
      </c>
      <c r="E130" s="4">
        <v>0.8</v>
      </c>
      <c r="F130" s="44">
        <v>1.75</v>
      </c>
      <c r="G130" s="21">
        <v>270</v>
      </c>
      <c r="H130" s="30">
        <v>1.3</v>
      </c>
      <c r="I130" s="6">
        <f t="shared" si="9"/>
        <v>491.40000000000003</v>
      </c>
      <c r="J130" s="7" t="s">
        <v>485</v>
      </c>
      <c r="K130" s="17">
        <f t="shared" si="7"/>
        <v>5</v>
      </c>
    </row>
    <row r="131" spans="1:11" ht="13.95" customHeight="1" x14ac:dyDescent="0.3">
      <c r="A131" s="3">
        <v>45787</v>
      </c>
      <c r="B131" s="3" t="s">
        <v>679</v>
      </c>
      <c r="C131" s="3" t="s">
        <v>13</v>
      </c>
      <c r="D131" s="3" t="s">
        <v>14</v>
      </c>
      <c r="E131" s="4">
        <v>0.72</v>
      </c>
      <c r="F131" s="44">
        <v>2.15</v>
      </c>
      <c r="G131" s="21">
        <v>270</v>
      </c>
      <c r="H131" s="30">
        <v>1.3</v>
      </c>
      <c r="I131" s="6">
        <f t="shared" si="9"/>
        <v>543.34799999999996</v>
      </c>
      <c r="J131" s="7" t="s">
        <v>970</v>
      </c>
      <c r="K131" s="17">
        <f t="shared" ref="K131:K194" si="10">MONTH(A131)</f>
        <v>5</v>
      </c>
    </row>
    <row r="132" spans="1:11" ht="13.95" customHeight="1" x14ac:dyDescent="0.3">
      <c r="A132" s="3">
        <v>45788</v>
      </c>
      <c r="B132" s="3" t="s">
        <v>679</v>
      </c>
      <c r="C132" s="3" t="s">
        <v>16</v>
      </c>
      <c r="D132" s="3" t="s">
        <v>14</v>
      </c>
      <c r="E132" s="4">
        <v>0.68</v>
      </c>
      <c r="F132" s="44">
        <v>2.2000000000000002</v>
      </c>
      <c r="G132" s="21">
        <v>270</v>
      </c>
      <c r="H132" s="30">
        <v>1.3</v>
      </c>
      <c r="I132" s="6">
        <f t="shared" si="9"/>
        <v>525.09600000000012</v>
      </c>
      <c r="J132" s="7" t="s">
        <v>758</v>
      </c>
      <c r="K132" s="17">
        <f t="shared" si="10"/>
        <v>5</v>
      </c>
    </row>
    <row r="133" spans="1:11" ht="13.95" customHeight="1" x14ac:dyDescent="0.3">
      <c r="A133" s="3">
        <v>45789</v>
      </c>
      <c r="B133" s="3" t="s">
        <v>679</v>
      </c>
      <c r="C133" s="3" t="s">
        <v>18</v>
      </c>
      <c r="D133" s="3" t="s">
        <v>706</v>
      </c>
      <c r="E133" s="4">
        <v>0.88</v>
      </c>
      <c r="F133" s="44">
        <v>1.8</v>
      </c>
      <c r="G133" s="21">
        <v>270</v>
      </c>
      <c r="H133" s="30">
        <v>1.3</v>
      </c>
      <c r="I133" s="6">
        <f t="shared" si="9"/>
        <v>555.98400000000004</v>
      </c>
      <c r="J133" s="7" t="s">
        <v>784</v>
      </c>
      <c r="K133" s="17">
        <f t="shared" si="10"/>
        <v>5</v>
      </c>
    </row>
    <row r="134" spans="1:11" ht="13.95" customHeight="1" x14ac:dyDescent="0.3">
      <c r="A134" s="3">
        <v>45790</v>
      </c>
      <c r="B134" s="3" t="s">
        <v>679</v>
      </c>
      <c r="C134" s="3" t="s">
        <v>20</v>
      </c>
      <c r="D134" s="3" t="s">
        <v>707</v>
      </c>
      <c r="E134" s="4">
        <v>0.95</v>
      </c>
      <c r="F134" s="44">
        <v>1.9</v>
      </c>
      <c r="G134" s="21">
        <v>270</v>
      </c>
      <c r="H134" s="30">
        <v>1.3</v>
      </c>
      <c r="I134" s="6">
        <f t="shared" si="9"/>
        <v>633.55499999999995</v>
      </c>
      <c r="J134" s="7" t="s">
        <v>971</v>
      </c>
      <c r="K134" s="17">
        <f t="shared" si="10"/>
        <v>5</v>
      </c>
    </row>
    <row r="135" spans="1:11" ht="13.95" customHeight="1" x14ac:dyDescent="0.3">
      <c r="A135" s="3">
        <v>45791</v>
      </c>
      <c r="B135" s="3" t="s">
        <v>679</v>
      </c>
      <c r="C135" s="3" t="s">
        <v>5</v>
      </c>
      <c r="D135" s="3" t="s">
        <v>706</v>
      </c>
      <c r="E135" s="4">
        <v>0.9</v>
      </c>
      <c r="F135" s="44">
        <v>1.8</v>
      </c>
      <c r="G135" s="21">
        <v>270</v>
      </c>
      <c r="H135" s="30">
        <v>1.3</v>
      </c>
      <c r="I135" s="6">
        <f t="shared" si="9"/>
        <v>568.62000000000012</v>
      </c>
      <c r="J135" s="7" t="s">
        <v>71</v>
      </c>
      <c r="K135" s="17">
        <f t="shared" si="10"/>
        <v>5</v>
      </c>
    </row>
    <row r="136" spans="1:11" ht="13.95" customHeight="1" x14ac:dyDescent="0.3">
      <c r="A136" s="3">
        <v>45792</v>
      </c>
      <c r="B136" s="3" t="s">
        <v>679</v>
      </c>
      <c r="C136" s="3" t="s">
        <v>8</v>
      </c>
      <c r="D136" s="3" t="s">
        <v>706</v>
      </c>
      <c r="E136" s="4">
        <v>0.85</v>
      </c>
      <c r="F136" s="44">
        <v>1.75</v>
      </c>
      <c r="G136" s="21">
        <v>270</v>
      </c>
      <c r="H136" s="30">
        <v>1.3</v>
      </c>
      <c r="I136" s="6">
        <f t="shared" si="9"/>
        <v>522.11250000000007</v>
      </c>
      <c r="J136" s="7" t="s">
        <v>71</v>
      </c>
      <c r="K136" s="17">
        <f t="shared" si="10"/>
        <v>5</v>
      </c>
    </row>
    <row r="137" spans="1:11" ht="13.95" customHeight="1" x14ac:dyDescent="0.3">
      <c r="A137" s="3">
        <v>45793</v>
      </c>
      <c r="B137" s="3" t="s">
        <v>679</v>
      </c>
      <c r="C137" s="3" t="s">
        <v>11</v>
      </c>
      <c r="D137" s="3" t="s">
        <v>44</v>
      </c>
      <c r="E137" s="4">
        <v>0.78</v>
      </c>
      <c r="F137" s="44">
        <v>1.75</v>
      </c>
      <c r="G137" s="21">
        <v>270</v>
      </c>
      <c r="H137" s="30">
        <v>1.3</v>
      </c>
      <c r="I137" s="6">
        <f t="shared" si="9"/>
        <v>479.11500000000001</v>
      </c>
      <c r="J137" s="7" t="s">
        <v>70</v>
      </c>
      <c r="K137" s="17">
        <f t="shared" si="10"/>
        <v>5</v>
      </c>
    </row>
    <row r="138" spans="1:11" ht="13.95" customHeight="1" x14ac:dyDescent="0.3">
      <c r="A138" s="3">
        <v>45794</v>
      </c>
      <c r="B138" s="3" t="s">
        <v>679</v>
      </c>
      <c r="C138" s="3" t="s">
        <v>13</v>
      </c>
      <c r="D138" s="3" t="s">
        <v>14</v>
      </c>
      <c r="E138" s="4">
        <v>0.75</v>
      </c>
      <c r="F138" s="44">
        <v>2.2000000000000002</v>
      </c>
      <c r="G138" s="21">
        <v>270</v>
      </c>
      <c r="H138" s="30">
        <v>1.3</v>
      </c>
      <c r="I138" s="6">
        <f t="shared" si="9"/>
        <v>579.15000000000009</v>
      </c>
      <c r="J138" s="7" t="s">
        <v>408</v>
      </c>
      <c r="K138" s="17">
        <f t="shared" si="10"/>
        <v>5</v>
      </c>
    </row>
    <row r="139" spans="1:11" ht="13.95" customHeight="1" x14ac:dyDescent="0.3">
      <c r="A139" s="3">
        <v>45795</v>
      </c>
      <c r="B139" s="3" t="s">
        <v>679</v>
      </c>
      <c r="C139" s="3" t="s">
        <v>16</v>
      </c>
      <c r="D139" s="3" t="s">
        <v>14</v>
      </c>
      <c r="E139" s="4">
        <v>0.7</v>
      </c>
      <c r="F139" s="44">
        <v>2.25</v>
      </c>
      <c r="G139" s="21">
        <v>270</v>
      </c>
      <c r="H139" s="30">
        <v>1.3</v>
      </c>
      <c r="I139" s="6">
        <f t="shared" si="9"/>
        <v>552.82500000000005</v>
      </c>
      <c r="J139" s="7" t="s">
        <v>972</v>
      </c>
      <c r="K139" s="17">
        <f t="shared" si="10"/>
        <v>5</v>
      </c>
    </row>
    <row r="140" spans="1:11" ht="13.95" customHeight="1" x14ac:dyDescent="0.3">
      <c r="A140" s="3">
        <v>45796</v>
      </c>
      <c r="B140" s="3" t="s">
        <v>679</v>
      </c>
      <c r="C140" s="3" t="s">
        <v>18</v>
      </c>
      <c r="D140" s="3" t="s">
        <v>706</v>
      </c>
      <c r="E140" s="4">
        <v>0.85</v>
      </c>
      <c r="F140" s="44">
        <v>1.8</v>
      </c>
      <c r="G140" s="21">
        <v>270</v>
      </c>
      <c r="H140" s="30">
        <v>1.3</v>
      </c>
      <c r="I140" s="6">
        <f t="shared" si="9"/>
        <v>537.03000000000009</v>
      </c>
      <c r="J140" s="7" t="s">
        <v>65</v>
      </c>
      <c r="K140" s="17">
        <f t="shared" si="10"/>
        <v>5</v>
      </c>
    </row>
    <row r="141" spans="1:11" ht="13.95" customHeight="1" x14ac:dyDescent="0.3">
      <c r="A141" s="3">
        <v>45797</v>
      </c>
      <c r="B141" s="3" t="s">
        <v>679</v>
      </c>
      <c r="C141" s="3" t="s">
        <v>20</v>
      </c>
      <c r="D141" s="3" t="s">
        <v>707</v>
      </c>
      <c r="E141" s="4">
        <v>0.92</v>
      </c>
      <c r="F141" s="44">
        <v>1.85</v>
      </c>
      <c r="G141" s="21">
        <v>270</v>
      </c>
      <c r="H141" s="30">
        <v>1.3</v>
      </c>
      <c r="I141" s="6">
        <f t="shared" si="9"/>
        <v>597.40200000000004</v>
      </c>
      <c r="J141" s="7" t="s">
        <v>973</v>
      </c>
      <c r="K141" s="17">
        <f t="shared" si="10"/>
        <v>5</v>
      </c>
    </row>
    <row r="142" spans="1:11" ht="13.95" customHeight="1" x14ac:dyDescent="0.3">
      <c r="A142" s="3">
        <v>45798</v>
      </c>
      <c r="B142" s="3" t="s">
        <v>679</v>
      </c>
      <c r="C142" s="3" t="s">
        <v>5</v>
      </c>
      <c r="D142" s="3" t="s">
        <v>706</v>
      </c>
      <c r="E142" s="4">
        <v>0.88</v>
      </c>
      <c r="F142" s="44">
        <v>1.8</v>
      </c>
      <c r="G142" s="21">
        <v>270</v>
      </c>
      <c r="H142" s="30">
        <v>1.3</v>
      </c>
      <c r="I142" s="6">
        <f t="shared" si="9"/>
        <v>555.98400000000004</v>
      </c>
      <c r="J142" s="7" t="s">
        <v>71</v>
      </c>
      <c r="K142" s="17">
        <f t="shared" si="10"/>
        <v>5</v>
      </c>
    </row>
    <row r="143" spans="1:11" ht="13.95" customHeight="1" x14ac:dyDescent="0.3">
      <c r="A143" s="3">
        <v>45799</v>
      </c>
      <c r="B143" s="3" t="s">
        <v>679</v>
      </c>
      <c r="C143" s="3" t="s">
        <v>8</v>
      </c>
      <c r="D143" s="3" t="s">
        <v>706</v>
      </c>
      <c r="E143" s="4">
        <v>0.85</v>
      </c>
      <c r="F143" s="44">
        <v>1.75</v>
      </c>
      <c r="G143" s="21">
        <v>270</v>
      </c>
      <c r="H143" s="30">
        <v>1.3</v>
      </c>
      <c r="I143" s="6">
        <f t="shared" si="9"/>
        <v>522.11250000000007</v>
      </c>
      <c r="J143" s="7" t="s">
        <v>71</v>
      </c>
      <c r="K143" s="17">
        <f t="shared" si="10"/>
        <v>5</v>
      </c>
    </row>
    <row r="144" spans="1:11" ht="13.95" customHeight="1" x14ac:dyDescent="0.3">
      <c r="A144" s="3">
        <v>45800</v>
      </c>
      <c r="B144" s="3" t="s">
        <v>679</v>
      </c>
      <c r="C144" s="3" t="s">
        <v>11</v>
      </c>
      <c r="D144" s="3" t="s">
        <v>44</v>
      </c>
      <c r="E144" s="4">
        <v>0.8</v>
      </c>
      <c r="F144" s="44">
        <v>1.75</v>
      </c>
      <c r="G144" s="21">
        <v>270</v>
      </c>
      <c r="H144" s="30">
        <v>1.3</v>
      </c>
      <c r="I144" s="6">
        <f t="shared" si="9"/>
        <v>491.40000000000003</v>
      </c>
      <c r="J144" s="7" t="s">
        <v>485</v>
      </c>
      <c r="K144" s="17">
        <f t="shared" si="10"/>
        <v>5</v>
      </c>
    </row>
    <row r="145" spans="1:11" ht="13.95" customHeight="1" x14ac:dyDescent="0.3">
      <c r="A145" s="3">
        <v>45801</v>
      </c>
      <c r="B145" s="3" t="s">
        <v>679</v>
      </c>
      <c r="C145" s="3" t="s">
        <v>13</v>
      </c>
      <c r="D145" s="3" t="s">
        <v>14</v>
      </c>
      <c r="E145" s="4">
        <v>0.78</v>
      </c>
      <c r="F145" s="44">
        <v>2.2999999999999998</v>
      </c>
      <c r="G145" s="21">
        <v>270</v>
      </c>
      <c r="H145" s="30">
        <v>1.3</v>
      </c>
      <c r="I145" s="6">
        <f t="shared" si="9"/>
        <v>629.69399999999996</v>
      </c>
      <c r="J145" s="7" t="s">
        <v>974</v>
      </c>
      <c r="K145" s="17">
        <f t="shared" si="10"/>
        <v>5</v>
      </c>
    </row>
    <row r="146" spans="1:11" ht="13.95" customHeight="1" x14ac:dyDescent="0.3">
      <c r="A146" s="3">
        <v>45802</v>
      </c>
      <c r="B146" s="3" t="s">
        <v>679</v>
      </c>
      <c r="C146" s="3" t="s">
        <v>16</v>
      </c>
      <c r="D146" s="3" t="s">
        <v>975</v>
      </c>
      <c r="E146" s="4">
        <v>0.85</v>
      </c>
      <c r="F146" s="44">
        <v>2.7</v>
      </c>
      <c r="G146" s="21">
        <v>270</v>
      </c>
      <c r="H146" s="30">
        <v>1.3</v>
      </c>
      <c r="I146" s="6">
        <f t="shared" si="9"/>
        <v>805.54500000000019</v>
      </c>
      <c r="J146" s="7" t="s">
        <v>976</v>
      </c>
      <c r="K146" s="17">
        <f t="shared" si="10"/>
        <v>5</v>
      </c>
    </row>
    <row r="147" spans="1:11" ht="13.95" customHeight="1" x14ac:dyDescent="0.3">
      <c r="A147" s="3">
        <v>45803</v>
      </c>
      <c r="B147" s="3" t="s">
        <v>679</v>
      </c>
      <c r="C147" s="3" t="s">
        <v>18</v>
      </c>
      <c r="D147" s="3" t="s">
        <v>706</v>
      </c>
      <c r="E147" s="4">
        <v>0.82</v>
      </c>
      <c r="F147" s="44">
        <v>1.8</v>
      </c>
      <c r="G147" s="21">
        <v>270</v>
      </c>
      <c r="H147" s="30">
        <v>1.3</v>
      </c>
      <c r="I147" s="6">
        <f t="shared" si="9"/>
        <v>518.07600000000002</v>
      </c>
      <c r="J147" s="7" t="s">
        <v>977</v>
      </c>
      <c r="K147" s="17">
        <f t="shared" si="10"/>
        <v>5</v>
      </c>
    </row>
    <row r="148" spans="1:11" ht="13.95" customHeight="1" x14ac:dyDescent="0.3">
      <c r="A148" s="3">
        <v>45804</v>
      </c>
      <c r="B148" s="3" t="s">
        <v>679</v>
      </c>
      <c r="C148" s="3" t="s">
        <v>20</v>
      </c>
      <c r="D148" s="3" t="s">
        <v>707</v>
      </c>
      <c r="E148" s="4">
        <v>0.9</v>
      </c>
      <c r="F148" s="44">
        <v>1.85</v>
      </c>
      <c r="G148" s="21">
        <v>270</v>
      </c>
      <c r="H148" s="30">
        <v>1.3</v>
      </c>
      <c r="I148" s="6">
        <f t="shared" si="9"/>
        <v>584.41500000000008</v>
      </c>
      <c r="J148" s="7" t="s">
        <v>151</v>
      </c>
      <c r="K148" s="17">
        <f t="shared" si="10"/>
        <v>5</v>
      </c>
    </row>
    <row r="149" spans="1:11" ht="13.95" customHeight="1" x14ac:dyDescent="0.3">
      <c r="A149" s="3">
        <v>45805</v>
      </c>
      <c r="B149" s="3" t="s">
        <v>679</v>
      </c>
      <c r="C149" s="3" t="s">
        <v>5</v>
      </c>
      <c r="D149" s="3" t="s">
        <v>706</v>
      </c>
      <c r="E149" s="4">
        <v>0.88</v>
      </c>
      <c r="F149" s="44">
        <v>1.8</v>
      </c>
      <c r="G149" s="21">
        <v>270</v>
      </c>
      <c r="H149" s="30">
        <v>1.3</v>
      </c>
      <c r="I149" s="6">
        <f t="shared" si="9"/>
        <v>555.98400000000004</v>
      </c>
      <c r="J149" s="7" t="s">
        <v>71</v>
      </c>
      <c r="K149" s="17">
        <f t="shared" si="10"/>
        <v>5</v>
      </c>
    </row>
    <row r="150" spans="1:11" ht="13.95" customHeight="1" x14ac:dyDescent="0.3">
      <c r="A150" s="3">
        <v>45806</v>
      </c>
      <c r="B150" s="3" t="s">
        <v>679</v>
      </c>
      <c r="C150" s="3" t="s">
        <v>8</v>
      </c>
      <c r="D150" s="3" t="s">
        <v>706</v>
      </c>
      <c r="E150" s="4">
        <v>0.85</v>
      </c>
      <c r="F150" s="44">
        <v>1.75</v>
      </c>
      <c r="G150" s="21">
        <v>270</v>
      </c>
      <c r="H150" s="30">
        <v>1.3</v>
      </c>
      <c r="I150" s="6">
        <f t="shared" si="9"/>
        <v>522.11250000000007</v>
      </c>
      <c r="J150" s="7" t="s">
        <v>71</v>
      </c>
      <c r="K150" s="17">
        <f t="shared" si="10"/>
        <v>5</v>
      </c>
    </row>
    <row r="151" spans="1:11" ht="13.95" customHeight="1" x14ac:dyDescent="0.3">
      <c r="A151" s="3">
        <v>45807</v>
      </c>
      <c r="B151" s="3" t="s">
        <v>679</v>
      </c>
      <c r="C151" s="3" t="s">
        <v>11</v>
      </c>
      <c r="D151" s="3" t="s">
        <v>44</v>
      </c>
      <c r="E151" s="4">
        <v>0.8</v>
      </c>
      <c r="F151" s="44">
        <v>1.8</v>
      </c>
      <c r="G151" s="21">
        <v>270</v>
      </c>
      <c r="H151" s="30">
        <v>1.3</v>
      </c>
      <c r="I151" s="6">
        <f t="shared" si="9"/>
        <v>505.44000000000005</v>
      </c>
      <c r="J151" s="7" t="s">
        <v>978</v>
      </c>
      <c r="K151" s="17">
        <f t="shared" si="10"/>
        <v>5</v>
      </c>
    </row>
    <row r="152" spans="1:11" ht="13.95" customHeight="1" x14ac:dyDescent="0.3">
      <c r="A152" s="3">
        <v>45808</v>
      </c>
      <c r="B152" s="3" t="s">
        <v>679</v>
      </c>
      <c r="C152" s="3" t="s">
        <v>13</v>
      </c>
      <c r="D152" s="3" t="s">
        <v>14</v>
      </c>
      <c r="E152" s="4">
        <v>0.75</v>
      </c>
      <c r="F152" s="44">
        <v>2.25</v>
      </c>
      <c r="G152" s="21">
        <v>270</v>
      </c>
      <c r="H152" s="30">
        <v>1.3</v>
      </c>
      <c r="I152" s="6">
        <f t="shared" si="9"/>
        <v>592.3125</v>
      </c>
      <c r="J152" s="7" t="s">
        <v>746</v>
      </c>
      <c r="K152" s="17">
        <f t="shared" si="10"/>
        <v>5</v>
      </c>
    </row>
    <row r="153" spans="1:11" ht="13.95" customHeight="1" x14ac:dyDescent="0.3">
      <c r="A153" s="3">
        <v>45809</v>
      </c>
      <c r="B153" s="3" t="s">
        <v>679</v>
      </c>
      <c r="C153" s="3" t="s">
        <v>16</v>
      </c>
      <c r="D153" s="3" t="s">
        <v>14</v>
      </c>
      <c r="E153" s="4">
        <v>0.7</v>
      </c>
      <c r="F153" s="44">
        <v>2.2999999999999998</v>
      </c>
      <c r="G153" s="21">
        <v>270</v>
      </c>
      <c r="H153" s="30">
        <v>1.3</v>
      </c>
      <c r="I153" s="6">
        <f t="shared" ref="I153:I182" si="11">(G153*E153)*F153*H153</f>
        <v>565.11</v>
      </c>
      <c r="J153" s="7" t="s">
        <v>979</v>
      </c>
      <c r="K153" s="17">
        <f t="shared" si="10"/>
        <v>6</v>
      </c>
    </row>
    <row r="154" spans="1:11" ht="13.95" customHeight="1" x14ac:dyDescent="0.3">
      <c r="A154" s="3">
        <v>45810</v>
      </c>
      <c r="B154" s="3" t="s">
        <v>679</v>
      </c>
      <c r="C154" s="3" t="s">
        <v>18</v>
      </c>
      <c r="D154" s="3" t="s">
        <v>706</v>
      </c>
      <c r="E154" s="4">
        <v>0.85</v>
      </c>
      <c r="F154" s="44">
        <v>1.85</v>
      </c>
      <c r="G154" s="21">
        <v>270</v>
      </c>
      <c r="H154" s="30">
        <v>1.3</v>
      </c>
      <c r="I154" s="6">
        <f t="shared" si="11"/>
        <v>551.9475000000001</v>
      </c>
      <c r="J154" s="7" t="s">
        <v>980</v>
      </c>
      <c r="K154" s="17">
        <f t="shared" si="10"/>
        <v>6</v>
      </c>
    </row>
    <row r="155" spans="1:11" ht="13.95" customHeight="1" x14ac:dyDescent="0.3">
      <c r="A155" s="3">
        <v>45811</v>
      </c>
      <c r="B155" s="3" t="s">
        <v>679</v>
      </c>
      <c r="C155" s="3" t="s">
        <v>20</v>
      </c>
      <c r="D155" s="3" t="s">
        <v>707</v>
      </c>
      <c r="E155" s="4">
        <v>0.92</v>
      </c>
      <c r="F155" s="44">
        <v>1.9</v>
      </c>
      <c r="G155" s="21">
        <v>270</v>
      </c>
      <c r="H155" s="30">
        <v>1.3</v>
      </c>
      <c r="I155" s="6">
        <f t="shared" si="11"/>
        <v>613.548</v>
      </c>
      <c r="J155" s="7" t="s">
        <v>981</v>
      </c>
      <c r="K155" s="17">
        <f t="shared" si="10"/>
        <v>6</v>
      </c>
    </row>
    <row r="156" spans="1:11" ht="13.95" customHeight="1" x14ac:dyDescent="0.3">
      <c r="A156" s="3">
        <v>45812</v>
      </c>
      <c r="B156" s="3" t="s">
        <v>679</v>
      </c>
      <c r="C156" s="3" t="s">
        <v>5</v>
      </c>
      <c r="D156" s="3" t="s">
        <v>706</v>
      </c>
      <c r="E156" s="4">
        <v>0.9</v>
      </c>
      <c r="F156" s="44">
        <v>1.85</v>
      </c>
      <c r="G156" s="21">
        <v>270</v>
      </c>
      <c r="H156" s="30">
        <v>1.3</v>
      </c>
      <c r="I156" s="6">
        <f t="shared" si="11"/>
        <v>584.41500000000008</v>
      </c>
      <c r="J156" s="7" t="s">
        <v>545</v>
      </c>
      <c r="K156" s="17">
        <f t="shared" si="10"/>
        <v>6</v>
      </c>
    </row>
    <row r="157" spans="1:11" ht="13.95" customHeight="1" x14ac:dyDescent="0.3">
      <c r="A157" s="3">
        <v>45813</v>
      </c>
      <c r="B157" s="3" t="s">
        <v>679</v>
      </c>
      <c r="C157" s="3" t="s">
        <v>8</v>
      </c>
      <c r="D157" s="3" t="s">
        <v>706</v>
      </c>
      <c r="E157" s="4">
        <v>0.88</v>
      </c>
      <c r="F157" s="44">
        <v>1.8</v>
      </c>
      <c r="G157" s="21">
        <v>270</v>
      </c>
      <c r="H157" s="30">
        <v>1.3</v>
      </c>
      <c r="I157" s="6">
        <f t="shared" si="11"/>
        <v>555.98400000000004</v>
      </c>
      <c r="J157" s="7" t="s">
        <v>71</v>
      </c>
      <c r="K157" s="17">
        <f t="shared" si="10"/>
        <v>6</v>
      </c>
    </row>
    <row r="158" spans="1:11" ht="13.95" customHeight="1" x14ac:dyDescent="0.3">
      <c r="A158" s="3">
        <v>45814</v>
      </c>
      <c r="B158" s="3" t="s">
        <v>679</v>
      </c>
      <c r="C158" s="3" t="s">
        <v>11</v>
      </c>
      <c r="D158" s="3" t="s">
        <v>982</v>
      </c>
      <c r="E158" s="4">
        <v>0.6</v>
      </c>
      <c r="F158" s="44">
        <v>2.8</v>
      </c>
      <c r="G158" s="21">
        <v>270</v>
      </c>
      <c r="H158" s="30">
        <v>1.3</v>
      </c>
      <c r="I158" s="6">
        <f t="shared" si="11"/>
        <v>589.67999999999995</v>
      </c>
      <c r="J158" s="7" t="s">
        <v>983</v>
      </c>
      <c r="K158" s="17">
        <f t="shared" si="10"/>
        <v>6</v>
      </c>
    </row>
    <row r="159" spans="1:11" ht="13.95" customHeight="1" x14ac:dyDescent="0.3">
      <c r="A159" s="3">
        <v>45815</v>
      </c>
      <c r="B159" s="3" t="s">
        <v>679</v>
      </c>
      <c r="C159" s="3" t="s">
        <v>13</v>
      </c>
      <c r="D159" s="3" t="s">
        <v>982</v>
      </c>
      <c r="E159" s="4">
        <v>0.55000000000000004</v>
      </c>
      <c r="F159" s="44">
        <v>2.6</v>
      </c>
      <c r="G159" s="21">
        <v>270</v>
      </c>
      <c r="H159" s="30">
        <v>1.3</v>
      </c>
      <c r="I159" s="6">
        <f t="shared" si="11"/>
        <v>501.93000000000006</v>
      </c>
      <c r="J159" s="7" t="s">
        <v>984</v>
      </c>
      <c r="K159" s="17">
        <f t="shared" si="10"/>
        <v>6</v>
      </c>
    </row>
    <row r="160" spans="1:11" ht="13.95" customHeight="1" x14ac:dyDescent="0.3">
      <c r="A160" s="3">
        <v>45816</v>
      </c>
      <c r="B160" s="3" t="s">
        <v>679</v>
      </c>
      <c r="C160" s="3" t="s">
        <v>16</v>
      </c>
      <c r="D160" s="3" t="s">
        <v>14</v>
      </c>
      <c r="E160" s="4">
        <v>0.65</v>
      </c>
      <c r="F160" s="44">
        <v>2.4</v>
      </c>
      <c r="G160" s="21">
        <v>270</v>
      </c>
      <c r="H160" s="30">
        <v>1.3</v>
      </c>
      <c r="I160" s="6">
        <f t="shared" si="11"/>
        <v>547.56000000000006</v>
      </c>
      <c r="J160" s="7" t="s">
        <v>985</v>
      </c>
      <c r="K160" s="17">
        <f t="shared" si="10"/>
        <v>6</v>
      </c>
    </row>
    <row r="161" spans="1:11" ht="13.95" customHeight="1" x14ac:dyDescent="0.3">
      <c r="A161" s="3">
        <v>45817</v>
      </c>
      <c r="B161" s="3" t="s">
        <v>679</v>
      </c>
      <c r="C161" s="3" t="s">
        <v>18</v>
      </c>
      <c r="D161" s="3" t="s">
        <v>706</v>
      </c>
      <c r="E161" s="4">
        <v>0.8</v>
      </c>
      <c r="F161" s="44">
        <v>1.85</v>
      </c>
      <c r="G161" s="21">
        <v>270</v>
      </c>
      <c r="H161" s="30">
        <v>1.3</v>
      </c>
      <c r="I161" s="6">
        <f t="shared" si="11"/>
        <v>519.48</v>
      </c>
      <c r="J161" s="7" t="s">
        <v>986</v>
      </c>
      <c r="K161" s="17">
        <f t="shared" si="10"/>
        <v>6</v>
      </c>
    </row>
    <row r="162" spans="1:11" ht="13.95" customHeight="1" x14ac:dyDescent="0.3">
      <c r="A162" s="3">
        <v>45818</v>
      </c>
      <c r="B162" s="3" t="s">
        <v>679</v>
      </c>
      <c r="C162" s="3" t="s">
        <v>20</v>
      </c>
      <c r="D162" s="3" t="s">
        <v>707</v>
      </c>
      <c r="E162" s="4">
        <v>0.95</v>
      </c>
      <c r="F162" s="44">
        <v>1.95</v>
      </c>
      <c r="G162" s="21">
        <v>270</v>
      </c>
      <c r="H162" s="30">
        <v>1.3</v>
      </c>
      <c r="I162" s="6">
        <f t="shared" si="11"/>
        <v>650.22750000000008</v>
      </c>
      <c r="J162" s="7" t="s">
        <v>987</v>
      </c>
      <c r="K162" s="17">
        <f t="shared" si="10"/>
        <v>6</v>
      </c>
    </row>
    <row r="163" spans="1:11" ht="13.95" customHeight="1" x14ac:dyDescent="0.3">
      <c r="A163" s="3">
        <v>45819</v>
      </c>
      <c r="B163" s="3" t="s">
        <v>679</v>
      </c>
      <c r="C163" s="3" t="s">
        <v>5</v>
      </c>
      <c r="D163" s="3" t="s">
        <v>706</v>
      </c>
      <c r="E163" s="4">
        <v>0.9</v>
      </c>
      <c r="F163" s="44">
        <v>1.85</v>
      </c>
      <c r="G163" s="21">
        <v>270</v>
      </c>
      <c r="H163" s="30">
        <v>1.3</v>
      </c>
      <c r="I163" s="6">
        <f t="shared" si="11"/>
        <v>584.41500000000008</v>
      </c>
      <c r="J163" s="7" t="s">
        <v>71</v>
      </c>
      <c r="K163" s="17">
        <f t="shared" si="10"/>
        <v>6</v>
      </c>
    </row>
    <row r="164" spans="1:11" ht="13.95" customHeight="1" x14ac:dyDescent="0.3">
      <c r="A164" s="3">
        <v>45820</v>
      </c>
      <c r="B164" s="3" t="s">
        <v>679</v>
      </c>
      <c r="C164" s="3" t="s">
        <v>8</v>
      </c>
      <c r="D164" s="3" t="s">
        <v>706</v>
      </c>
      <c r="E164" s="4">
        <v>0.85</v>
      </c>
      <c r="F164" s="44">
        <v>1.8</v>
      </c>
      <c r="G164" s="21">
        <v>270</v>
      </c>
      <c r="H164" s="30">
        <v>1.3</v>
      </c>
      <c r="I164" s="6">
        <f t="shared" si="11"/>
        <v>537.03000000000009</v>
      </c>
      <c r="J164" s="7" t="s">
        <v>71</v>
      </c>
      <c r="K164" s="17">
        <f t="shared" si="10"/>
        <v>6</v>
      </c>
    </row>
    <row r="165" spans="1:11" ht="13.95" customHeight="1" x14ac:dyDescent="0.3">
      <c r="A165" s="3">
        <v>45821</v>
      </c>
      <c r="B165" s="3" t="s">
        <v>679</v>
      </c>
      <c r="C165" s="3" t="s">
        <v>11</v>
      </c>
      <c r="D165" s="3" t="s">
        <v>44</v>
      </c>
      <c r="E165" s="4">
        <v>0.82</v>
      </c>
      <c r="F165" s="44">
        <v>1.85</v>
      </c>
      <c r="G165" s="21">
        <v>270</v>
      </c>
      <c r="H165" s="30">
        <v>1.3</v>
      </c>
      <c r="I165" s="6">
        <f t="shared" si="11"/>
        <v>532.46699999999998</v>
      </c>
      <c r="J165" s="7" t="s">
        <v>988</v>
      </c>
      <c r="K165" s="17">
        <f t="shared" si="10"/>
        <v>6</v>
      </c>
    </row>
    <row r="166" spans="1:11" ht="13.95" customHeight="1" x14ac:dyDescent="0.3">
      <c r="A166" s="3">
        <v>45822</v>
      </c>
      <c r="B166" s="3" t="s">
        <v>679</v>
      </c>
      <c r="C166" s="3" t="s">
        <v>13</v>
      </c>
      <c r="D166" s="3" t="s">
        <v>840</v>
      </c>
      <c r="E166" s="4">
        <v>0.8</v>
      </c>
      <c r="F166" s="44">
        <v>2.6</v>
      </c>
      <c r="G166" s="21">
        <v>270</v>
      </c>
      <c r="H166" s="30">
        <v>1.3</v>
      </c>
      <c r="I166" s="6">
        <f t="shared" si="11"/>
        <v>730.08</v>
      </c>
      <c r="J166" s="7" t="s">
        <v>989</v>
      </c>
      <c r="K166" s="17">
        <f t="shared" si="10"/>
        <v>6</v>
      </c>
    </row>
    <row r="167" spans="1:11" ht="13.95" customHeight="1" x14ac:dyDescent="0.3">
      <c r="A167" s="3">
        <v>45823</v>
      </c>
      <c r="B167" s="3" t="s">
        <v>679</v>
      </c>
      <c r="C167" s="3" t="s">
        <v>16</v>
      </c>
      <c r="D167" s="3" t="s">
        <v>14</v>
      </c>
      <c r="E167" s="4">
        <v>0.7</v>
      </c>
      <c r="F167" s="44">
        <v>2.35</v>
      </c>
      <c r="G167" s="21">
        <v>270</v>
      </c>
      <c r="H167" s="30">
        <v>1.3</v>
      </c>
      <c r="I167" s="6">
        <f t="shared" si="11"/>
        <v>577.3950000000001</v>
      </c>
      <c r="J167" s="7" t="s">
        <v>990</v>
      </c>
      <c r="K167" s="17">
        <f t="shared" si="10"/>
        <v>6</v>
      </c>
    </row>
    <row r="168" spans="1:11" ht="13.95" customHeight="1" x14ac:dyDescent="0.3">
      <c r="A168" s="3">
        <v>45824</v>
      </c>
      <c r="B168" s="3" t="s">
        <v>679</v>
      </c>
      <c r="C168" s="3" t="s">
        <v>18</v>
      </c>
      <c r="D168" s="3" t="s">
        <v>706</v>
      </c>
      <c r="E168" s="4">
        <v>0.88</v>
      </c>
      <c r="F168" s="44">
        <v>1.85</v>
      </c>
      <c r="G168" s="21">
        <v>270</v>
      </c>
      <c r="H168" s="30">
        <v>1.3</v>
      </c>
      <c r="I168" s="6">
        <f t="shared" si="11"/>
        <v>571.428</v>
      </c>
      <c r="J168" s="7" t="s">
        <v>65</v>
      </c>
      <c r="K168" s="17">
        <f t="shared" si="10"/>
        <v>6</v>
      </c>
    </row>
    <row r="169" spans="1:11" ht="13.95" customHeight="1" x14ac:dyDescent="0.3">
      <c r="A169" s="3">
        <v>45825</v>
      </c>
      <c r="B169" s="3" t="s">
        <v>679</v>
      </c>
      <c r="C169" s="3" t="s">
        <v>20</v>
      </c>
      <c r="D169" s="3" t="s">
        <v>707</v>
      </c>
      <c r="E169" s="4">
        <v>0.92</v>
      </c>
      <c r="F169" s="44">
        <v>1.9</v>
      </c>
      <c r="G169" s="21">
        <v>270</v>
      </c>
      <c r="H169" s="30">
        <v>1.3</v>
      </c>
      <c r="I169" s="6">
        <f t="shared" si="11"/>
        <v>613.548</v>
      </c>
      <c r="J169" s="7" t="s">
        <v>991</v>
      </c>
      <c r="K169" s="17">
        <f t="shared" si="10"/>
        <v>6</v>
      </c>
    </row>
    <row r="170" spans="1:11" ht="13.95" customHeight="1" x14ac:dyDescent="0.3">
      <c r="A170" s="3">
        <v>45826</v>
      </c>
      <c r="B170" s="3" t="s">
        <v>679</v>
      </c>
      <c r="C170" s="3" t="s">
        <v>5</v>
      </c>
      <c r="D170" s="3" t="s">
        <v>706</v>
      </c>
      <c r="E170" s="4">
        <v>0.9</v>
      </c>
      <c r="F170" s="44">
        <v>1.85</v>
      </c>
      <c r="G170" s="21">
        <v>270</v>
      </c>
      <c r="H170" s="30">
        <v>1.3</v>
      </c>
      <c r="I170" s="6">
        <f t="shared" si="11"/>
        <v>584.41500000000008</v>
      </c>
      <c r="J170" s="7" t="s">
        <v>71</v>
      </c>
      <c r="K170" s="17">
        <f t="shared" si="10"/>
        <v>6</v>
      </c>
    </row>
    <row r="171" spans="1:11" ht="13.95" customHeight="1" x14ac:dyDescent="0.3">
      <c r="A171" s="3">
        <v>45827</v>
      </c>
      <c r="B171" s="3" t="s">
        <v>679</v>
      </c>
      <c r="C171" s="3" t="s">
        <v>8</v>
      </c>
      <c r="D171" s="3" t="s">
        <v>706</v>
      </c>
      <c r="E171" s="4">
        <v>0.85</v>
      </c>
      <c r="F171" s="44">
        <v>1.8</v>
      </c>
      <c r="G171" s="21">
        <v>270</v>
      </c>
      <c r="H171" s="30">
        <v>1.3</v>
      </c>
      <c r="I171" s="6">
        <f t="shared" si="11"/>
        <v>537.03000000000009</v>
      </c>
      <c r="J171" s="7" t="s">
        <v>71</v>
      </c>
      <c r="K171" s="17">
        <f t="shared" si="10"/>
        <v>6</v>
      </c>
    </row>
    <row r="172" spans="1:11" ht="13.95" customHeight="1" x14ac:dyDescent="0.3">
      <c r="A172" s="3">
        <v>45828</v>
      </c>
      <c r="B172" s="3" t="s">
        <v>679</v>
      </c>
      <c r="C172" s="3" t="s">
        <v>11</v>
      </c>
      <c r="D172" s="3" t="s">
        <v>44</v>
      </c>
      <c r="E172" s="4">
        <v>0.8</v>
      </c>
      <c r="F172" s="44">
        <v>1.9</v>
      </c>
      <c r="G172" s="21">
        <v>270</v>
      </c>
      <c r="H172" s="30">
        <v>1.3</v>
      </c>
      <c r="I172" s="6">
        <f t="shared" si="11"/>
        <v>533.52</v>
      </c>
      <c r="J172" s="7" t="s">
        <v>992</v>
      </c>
      <c r="K172" s="17">
        <f t="shared" si="10"/>
        <v>6</v>
      </c>
    </row>
    <row r="173" spans="1:11" ht="13.95" customHeight="1" x14ac:dyDescent="0.3">
      <c r="A173" s="3">
        <v>45829</v>
      </c>
      <c r="B173" s="3" t="s">
        <v>679</v>
      </c>
      <c r="C173" s="3" t="s">
        <v>13</v>
      </c>
      <c r="D173" s="3" t="s">
        <v>840</v>
      </c>
      <c r="E173" s="4">
        <v>0.85</v>
      </c>
      <c r="F173" s="44">
        <v>2.7</v>
      </c>
      <c r="G173" s="21">
        <v>270</v>
      </c>
      <c r="H173" s="30">
        <v>1.3</v>
      </c>
      <c r="I173" s="6">
        <f t="shared" si="11"/>
        <v>805.54500000000019</v>
      </c>
      <c r="J173" s="7" t="s">
        <v>993</v>
      </c>
      <c r="K173" s="17">
        <f t="shared" si="10"/>
        <v>6</v>
      </c>
    </row>
    <row r="174" spans="1:11" ht="13.95" customHeight="1" x14ac:dyDescent="0.3">
      <c r="A174" s="3">
        <v>45830</v>
      </c>
      <c r="B174" s="3" t="s">
        <v>679</v>
      </c>
      <c r="C174" s="3" t="s">
        <v>16</v>
      </c>
      <c r="D174" s="3" t="s">
        <v>14</v>
      </c>
      <c r="E174" s="4">
        <v>0.75</v>
      </c>
      <c r="F174" s="44">
        <v>2.4</v>
      </c>
      <c r="G174" s="21">
        <v>270</v>
      </c>
      <c r="H174" s="30">
        <v>1.3</v>
      </c>
      <c r="I174" s="6">
        <f t="shared" si="11"/>
        <v>631.80000000000007</v>
      </c>
      <c r="J174" s="7" t="s">
        <v>758</v>
      </c>
      <c r="K174" s="17">
        <f t="shared" si="10"/>
        <v>6</v>
      </c>
    </row>
    <row r="175" spans="1:11" ht="13.95" customHeight="1" x14ac:dyDescent="0.3">
      <c r="A175" s="3">
        <v>45831</v>
      </c>
      <c r="B175" s="3" t="s">
        <v>679</v>
      </c>
      <c r="C175" s="3" t="s">
        <v>18</v>
      </c>
      <c r="D175" s="3" t="s">
        <v>706</v>
      </c>
      <c r="E175" s="4">
        <v>0.85</v>
      </c>
      <c r="F175" s="44">
        <v>1.85</v>
      </c>
      <c r="G175" s="21">
        <v>270</v>
      </c>
      <c r="H175" s="30">
        <v>1.3</v>
      </c>
      <c r="I175" s="6">
        <f t="shared" si="11"/>
        <v>551.9475000000001</v>
      </c>
      <c r="J175" s="7" t="s">
        <v>65</v>
      </c>
      <c r="K175" s="17">
        <f t="shared" si="10"/>
        <v>6</v>
      </c>
    </row>
    <row r="176" spans="1:11" ht="13.95" customHeight="1" x14ac:dyDescent="0.3">
      <c r="A176" s="3">
        <v>45832</v>
      </c>
      <c r="B176" s="3" t="s">
        <v>679</v>
      </c>
      <c r="C176" s="3" t="s">
        <v>20</v>
      </c>
      <c r="D176" s="3" t="s">
        <v>706</v>
      </c>
      <c r="E176" s="4">
        <v>0.9</v>
      </c>
      <c r="F176" s="44">
        <v>1.9</v>
      </c>
      <c r="G176" s="21">
        <v>270</v>
      </c>
      <c r="H176" s="30">
        <v>1.3</v>
      </c>
      <c r="I176" s="6">
        <f t="shared" si="11"/>
        <v>600.21</v>
      </c>
      <c r="J176" s="7" t="s">
        <v>71</v>
      </c>
      <c r="K176" s="17">
        <f t="shared" si="10"/>
        <v>6</v>
      </c>
    </row>
    <row r="177" spans="1:11" ht="13.95" customHeight="1" x14ac:dyDescent="0.3">
      <c r="A177" s="3">
        <v>45833</v>
      </c>
      <c r="B177" s="3" t="s">
        <v>679</v>
      </c>
      <c r="C177" s="3" t="s">
        <v>5</v>
      </c>
      <c r="D177" s="3" t="s">
        <v>706</v>
      </c>
      <c r="E177" s="4">
        <v>0.88</v>
      </c>
      <c r="F177" s="44">
        <v>1.85</v>
      </c>
      <c r="G177" s="21">
        <v>270</v>
      </c>
      <c r="H177" s="30">
        <v>1.3</v>
      </c>
      <c r="I177" s="6">
        <f t="shared" si="11"/>
        <v>571.428</v>
      </c>
      <c r="J177" s="7" t="s">
        <v>71</v>
      </c>
      <c r="K177" s="17">
        <f t="shared" si="10"/>
        <v>6</v>
      </c>
    </row>
    <row r="178" spans="1:11" ht="13.95" customHeight="1" x14ac:dyDescent="0.3">
      <c r="A178" s="3">
        <v>45834</v>
      </c>
      <c r="B178" s="3" t="s">
        <v>679</v>
      </c>
      <c r="C178" s="3" t="s">
        <v>8</v>
      </c>
      <c r="D178" s="3" t="s">
        <v>706</v>
      </c>
      <c r="E178" s="4">
        <v>0.85</v>
      </c>
      <c r="F178" s="44">
        <v>1.8</v>
      </c>
      <c r="G178" s="21">
        <v>270</v>
      </c>
      <c r="H178" s="30">
        <v>1.3</v>
      </c>
      <c r="I178" s="6">
        <f t="shared" si="11"/>
        <v>537.03000000000009</v>
      </c>
      <c r="J178" s="7" t="s">
        <v>151</v>
      </c>
      <c r="K178" s="17">
        <f t="shared" si="10"/>
        <v>6</v>
      </c>
    </row>
    <row r="179" spans="1:11" ht="13.95" customHeight="1" x14ac:dyDescent="0.3">
      <c r="A179" s="3">
        <v>45835</v>
      </c>
      <c r="B179" s="3" t="s">
        <v>679</v>
      </c>
      <c r="C179" s="3" t="s">
        <v>11</v>
      </c>
      <c r="D179" s="3" t="s">
        <v>994</v>
      </c>
      <c r="E179" s="4">
        <v>0.82</v>
      </c>
      <c r="F179" s="44">
        <v>2</v>
      </c>
      <c r="G179" s="21">
        <v>270</v>
      </c>
      <c r="H179" s="30">
        <v>1.3</v>
      </c>
      <c r="I179" s="6">
        <f t="shared" si="11"/>
        <v>575.64</v>
      </c>
      <c r="J179" s="7" t="s">
        <v>455</v>
      </c>
      <c r="K179" s="17">
        <f t="shared" si="10"/>
        <v>6</v>
      </c>
    </row>
    <row r="180" spans="1:11" ht="13.95" customHeight="1" x14ac:dyDescent="0.3">
      <c r="A180" s="3">
        <v>45836</v>
      </c>
      <c r="B180" s="3" t="s">
        <v>679</v>
      </c>
      <c r="C180" s="3" t="s">
        <v>13</v>
      </c>
      <c r="D180" s="3" t="s">
        <v>995</v>
      </c>
      <c r="E180" s="4">
        <v>0.75</v>
      </c>
      <c r="F180" s="44">
        <v>2.5</v>
      </c>
      <c r="G180" s="21">
        <v>270</v>
      </c>
      <c r="H180" s="30">
        <v>1.3</v>
      </c>
      <c r="I180" s="6">
        <f t="shared" si="11"/>
        <v>658.125</v>
      </c>
      <c r="J180" s="7" t="s">
        <v>996</v>
      </c>
      <c r="K180" s="17">
        <f t="shared" si="10"/>
        <v>6</v>
      </c>
    </row>
    <row r="181" spans="1:11" ht="13.95" customHeight="1" x14ac:dyDescent="0.3">
      <c r="A181" s="3">
        <v>45837</v>
      </c>
      <c r="B181" s="3" t="s">
        <v>679</v>
      </c>
      <c r="C181" s="3" t="s">
        <v>16</v>
      </c>
      <c r="D181" s="3" t="s">
        <v>14</v>
      </c>
      <c r="E181" s="4">
        <v>0.7</v>
      </c>
      <c r="F181" s="44">
        <v>2.4</v>
      </c>
      <c r="G181" s="21">
        <v>270</v>
      </c>
      <c r="H181" s="30">
        <v>1.3</v>
      </c>
      <c r="I181" s="6">
        <f t="shared" si="11"/>
        <v>589.67999999999995</v>
      </c>
      <c r="J181" s="7" t="s">
        <v>997</v>
      </c>
      <c r="K181" s="17">
        <f t="shared" si="10"/>
        <v>6</v>
      </c>
    </row>
    <row r="182" spans="1:11" ht="13.95" customHeight="1" x14ac:dyDescent="0.3">
      <c r="A182" s="3">
        <v>45838</v>
      </c>
      <c r="B182" s="3" t="s">
        <v>679</v>
      </c>
      <c r="C182" s="3" t="s">
        <v>18</v>
      </c>
      <c r="D182" s="3" t="s">
        <v>706</v>
      </c>
      <c r="E182" s="4">
        <v>0.8</v>
      </c>
      <c r="F182" s="44">
        <v>1.9</v>
      </c>
      <c r="G182" s="21">
        <v>270</v>
      </c>
      <c r="H182" s="30">
        <v>1.3</v>
      </c>
      <c r="I182" s="6">
        <f t="shared" si="11"/>
        <v>533.52</v>
      </c>
      <c r="J182" s="7" t="s">
        <v>998</v>
      </c>
      <c r="K182" s="17">
        <f t="shared" si="10"/>
        <v>6</v>
      </c>
    </row>
    <row r="183" spans="1:11" ht="13.95" customHeight="1" x14ac:dyDescent="0.3">
      <c r="A183" s="3">
        <v>45839</v>
      </c>
      <c r="B183" s="3" t="s">
        <v>679</v>
      </c>
      <c r="C183" s="3" t="s">
        <v>20</v>
      </c>
      <c r="D183" s="3" t="s">
        <v>706</v>
      </c>
      <c r="E183" s="4">
        <v>0.85</v>
      </c>
      <c r="F183" s="44">
        <v>1.9</v>
      </c>
      <c r="G183" s="21">
        <v>270</v>
      </c>
      <c r="H183" s="30">
        <v>1.3</v>
      </c>
      <c r="I183" s="6">
        <f t="shared" ref="I183:I213" si="12">(G183*E183)*F183*H183</f>
        <v>566.86500000000001</v>
      </c>
      <c r="J183" s="7" t="s">
        <v>999</v>
      </c>
      <c r="K183" s="17">
        <f t="shared" si="10"/>
        <v>7</v>
      </c>
    </row>
    <row r="184" spans="1:11" ht="13.95" customHeight="1" x14ac:dyDescent="0.3">
      <c r="A184" s="3">
        <v>45840</v>
      </c>
      <c r="B184" s="3" t="s">
        <v>679</v>
      </c>
      <c r="C184" s="3" t="s">
        <v>5</v>
      </c>
      <c r="D184" s="3" t="s">
        <v>706</v>
      </c>
      <c r="E184" s="4">
        <v>0.82</v>
      </c>
      <c r="F184" s="44">
        <v>1.85</v>
      </c>
      <c r="G184" s="21">
        <v>270</v>
      </c>
      <c r="H184" s="30">
        <v>1.3</v>
      </c>
      <c r="I184" s="6">
        <f t="shared" si="12"/>
        <v>532.46699999999998</v>
      </c>
      <c r="J184" s="7" t="s">
        <v>712</v>
      </c>
      <c r="K184" s="17">
        <f t="shared" si="10"/>
        <v>7</v>
      </c>
    </row>
    <row r="185" spans="1:11" ht="13.95" customHeight="1" x14ac:dyDescent="0.3">
      <c r="A185" s="3">
        <v>45841</v>
      </c>
      <c r="B185" s="3" t="s">
        <v>679</v>
      </c>
      <c r="C185" s="3" t="s">
        <v>8</v>
      </c>
      <c r="D185" s="3" t="s">
        <v>706</v>
      </c>
      <c r="E185" s="4">
        <v>0.8</v>
      </c>
      <c r="F185" s="44">
        <v>1.8</v>
      </c>
      <c r="G185" s="21">
        <v>270</v>
      </c>
      <c r="H185" s="30">
        <v>1.3</v>
      </c>
      <c r="I185" s="6">
        <f t="shared" si="12"/>
        <v>505.44000000000005</v>
      </c>
      <c r="J185" s="7" t="s">
        <v>1000</v>
      </c>
      <c r="K185" s="17">
        <f t="shared" si="10"/>
        <v>7</v>
      </c>
    </row>
    <row r="186" spans="1:11" ht="13.95" customHeight="1" x14ac:dyDescent="0.3">
      <c r="A186" s="3">
        <v>45842</v>
      </c>
      <c r="B186" s="3" t="s">
        <v>679</v>
      </c>
      <c r="C186" s="3" t="s">
        <v>11</v>
      </c>
      <c r="D186" s="3" t="s">
        <v>829</v>
      </c>
      <c r="E186" s="4">
        <v>0.78</v>
      </c>
      <c r="F186" s="44">
        <v>1.9</v>
      </c>
      <c r="G186" s="21">
        <v>270</v>
      </c>
      <c r="H186" s="30">
        <v>1.3</v>
      </c>
      <c r="I186" s="6">
        <f t="shared" si="12"/>
        <v>520.18200000000002</v>
      </c>
      <c r="J186" s="7" t="s">
        <v>1001</v>
      </c>
      <c r="K186" s="17">
        <f t="shared" si="10"/>
        <v>7</v>
      </c>
    </row>
    <row r="187" spans="1:11" ht="13.95" customHeight="1" x14ac:dyDescent="0.3">
      <c r="A187" s="3">
        <v>45843</v>
      </c>
      <c r="B187" s="3" t="s">
        <v>679</v>
      </c>
      <c r="C187" s="3" t="s">
        <v>13</v>
      </c>
      <c r="D187" s="3" t="s">
        <v>840</v>
      </c>
      <c r="E187" s="4">
        <v>0.85</v>
      </c>
      <c r="F187" s="44">
        <v>2.75</v>
      </c>
      <c r="G187" s="21">
        <v>270</v>
      </c>
      <c r="H187" s="30">
        <v>1.3</v>
      </c>
      <c r="I187" s="6">
        <f t="shared" si="12"/>
        <v>820.46249999999998</v>
      </c>
      <c r="J187" s="7" t="s">
        <v>1002</v>
      </c>
      <c r="K187" s="17">
        <f t="shared" si="10"/>
        <v>7</v>
      </c>
    </row>
    <row r="188" spans="1:11" ht="13.95" customHeight="1" x14ac:dyDescent="0.3">
      <c r="A188" s="3">
        <v>45844</v>
      </c>
      <c r="B188" s="3" t="s">
        <v>679</v>
      </c>
      <c r="C188" s="3" t="s">
        <v>16</v>
      </c>
      <c r="D188" s="3" t="s">
        <v>757</v>
      </c>
      <c r="E188" s="4">
        <v>0.9</v>
      </c>
      <c r="F188" s="44">
        <v>2.5</v>
      </c>
      <c r="G188" s="21">
        <v>270</v>
      </c>
      <c r="H188" s="30">
        <v>1.3</v>
      </c>
      <c r="I188" s="6">
        <f t="shared" si="12"/>
        <v>789.75</v>
      </c>
      <c r="J188" s="7" t="s">
        <v>1003</v>
      </c>
      <c r="K188" s="17">
        <f t="shared" si="10"/>
        <v>7</v>
      </c>
    </row>
    <row r="189" spans="1:11" ht="13.95" customHeight="1" x14ac:dyDescent="0.3">
      <c r="A189" s="3">
        <v>45845</v>
      </c>
      <c r="B189" s="3" t="s">
        <v>679</v>
      </c>
      <c r="C189" s="3" t="s">
        <v>18</v>
      </c>
      <c r="D189" s="3" t="s">
        <v>824</v>
      </c>
      <c r="E189" s="4">
        <v>0.82</v>
      </c>
      <c r="F189" s="44">
        <v>1.85</v>
      </c>
      <c r="G189" s="21">
        <v>270</v>
      </c>
      <c r="H189" s="30">
        <v>1.3</v>
      </c>
      <c r="I189" s="6">
        <f t="shared" si="12"/>
        <v>532.46699999999998</v>
      </c>
      <c r="J189" s="7" t="s">
        <v>1004</v>
      </c>
      <c r="K189" s="17">
        <f t="shared" si="10"/>
        <v>7</v>
      </c>
    </row>
    <row r="190" spans="1:11" ht="13.95" customHeight="1" x14ac:dyDescent="0.3">
      <c r="A190" s="3">
        <v>45846</v>
      </c>
      <c r="B190" s="3" t="s">
        <v>679</v>
      </c>
      <c r="C190" s="3" t="s">
        <v>20</v>
      </c>
      <c r="D190" s="3" t="s">
        <v>707</v>
      </c>
      <c r="E190" s="4">
        <v>0.88</v>
      </c>
      <c r="F190" s="44">
        <v>1.95</v>
      </c>
      <c r="G190" s="21">
        <v>270</v>
      </c>
      <c r="H190" s="30">
        <v>1.3</v>
      </c>
      <c r="I190" s="6">
        <f t="shared" si="12"/>
        <v>602.31600000000003</v>
      </c>
      <c r="J190" s="7" t="s">
        <v>968</v>
      </c>
      <c r="K190" s="17">
        <f t="shared" si="10"/>
        <v>7</v>
      </c>
    </row>
    <row r="191" spans="1:11" ht="13.95" customHeight="1" x14ac:dyDescent="0.3">
      <c r="A191" s="3">
        <v>45847</v>
      </c>
      <c r="B191" s="3" t="s">
        <v>679</v>
      </c>
      <c r="C191" s="3" t="s">
        <v>5</v>
      </c>
      <c r="D191" s="3" t="s">
        <v>706</v>
      </c>
      <c r="E191" s="4">
        <v>0.85</v>
      </c>
      <c r="F191" s="44">
        <v>1.85</v>
      </c>
      <c r="G191" s="21">
        <v>270</v>
      </c>
      <c r="H191" s="30">
        <v>1.3</v>
      </c>
      <c r="I191" s="6">
        <f t="shared" si="12"/>
        <v>551.9475000000001</v>
      </c>
      <c r="J191" s="7" t="s">
        <v>71</v>
      </c>
      <c r="K191" s="17">
        <f t="shared" si="10"/>
        <v>7</v>
      </c>
    </row>
    <row r="192" spans="1:11" ht="13.95" customHeight="1" x14ac:dyDescent="0.3">
      <c r="A192" s="3">
        <v>45848</v>
      </c>
      <c r="B192" s="3" t="s">
        <v>679</v>
      </c>
      <c r="C192" s="3" t="s">
        <v>8</v>
      </c>
      <c r="D192" s="3" t="s">
        <v>706</v>
      </c>
      <c r="E192" s="4">
        <v>0.82</v>
      </c>
      <c r="F192" s="44">
        <v>1.8</v>
      </c>
      <c r="G192" s="21">
        <v>270</v>
      </c>
      <c r="H192" s="30">
        <v>1.3</v>
      </c>
      <c r="I192" s="6">
        <f t="shared" si="12"/>
        <v>518.07600000000002</v>
      </c>
      <c r="J192" s="7" t="s">
        <v>71</v>
      </c>
      <c r="K192" s="17">
        <f t="shared" si="10"/>
        <v>7</v>
      </c>
    </row>
    <row r="193" spans="1:11" ht="13.95" customHeight="1" x14ac:dyDescent="0.3">
      <c r="A193" s="3">
        <v>45849</v>
      </c>
      <c r="B193" s="3" t="s">
        <v>679</v>
      </c>
      <c r="C193" s="3" t="s">
        <v>11</v>
      </c>
      <c r="D193" s="3" t="s">
        <v>829</v>
      </c>
      <c r="E193" s="4">
        <v>0.8</v>
      </c>
      <c r="F193" s="44">
        <v>1.95</v>
      </c>
      <c r="G193" s="21">
        <v>270</v>
      </c>
      <c r="H193" s="30">
        <v>1.3</v>
      </c>
      <c r="I193" s="6">
        <f t="shared" si="12"/>
        <v>547.56000000000006</v>
      </c>
      <c r="J193" s="7" t="s">
        <v>830</v>
      </c>
      <c r="K193" s="17">
        <f t="shared" si="10"/>
        <v>7</v>
      </c>
    </row>
    <row r="194" spans="1:11" ht="13.95" customHeight="1" x14ac:dyDescent="0.3">
      <c r="A194" s="3">
        <v>45850</v>
      </c>
      <c r="B194" s="3" t="s">
        <v>679</v>
      </c>
      <c r="C194" s="3" t="s">
        <v>13</v>
      </c>
      <c r="D194" s="3" t="s">
        <v>840</v>
      </c>
      <c r="E194" s="4">
        <v>0.88</v>
      </c>
      <c r="F194" s="44">
        <v>2.8</v>
      </c>
      <c r="G194" s="21">
        <v>270</v>
      </c>
      <c r="H194" s="30">
        <v>1.3</v>
      </c>
      <c r="I194" s="6">
        <f t="shared" si="12"/>
        <v>864.86400000000003</v>
      </c>
      <c r="J194" s="7" t="s">
        <v>1005</v>
      </c>
      <c r="K194" s="17">
        <f t="shared" si="10"/>
        <v>7</v>
      </c>
    </row>
    <row r="195" spans="1:11" ht="13.95" customHeight="1" x14ac:dyDescent="0.3">
      <c r="A195" s="3">
        <v>45851</v>
      </c>
      <c r="B195" s="3" t="s">
        <v>679</v>
      </c>
      <c r="C195" s="3" t="s">
        <v>16</v>
      </c>
      <c r="D195" s="3" t="s">
        <v>757</v>
      </c>
      <c r="E195" s="4">
        <v>0.92</v>
      </c>
      <c r="F195" s="44">
        <v>2.5499999999999998</v>
      </c>
      <c r="G195" s="21">
        <v>270</v>
      </c>
      <c r="H195" s="30">
        <v>1.3</v>
      </c>
      <c r="I195" s="6">
        <f t="shared" si="12"/>
        <v>823.44600000000003</v>
      </c>
      <c r="J195" s="7" t="s">
        <v>1006</v>
      </c>
      <c r="K195" s="17">
        <f t="shared" ref="K195:K258" si="13">MONTH(A195)</f>
        <v>7</v>
      </c>
    </row>
    <row r="196" spans="1:11" ht="13.95" customHeight="1" x14ac:dyDescent="0.3">
      <c r="A196" s="3">
        <v>45852</v>
      </c>
      <c r="B196" s="3" t="s">
        <v>679</v>
      </c>
      <c r="C196" s="3" t="s">
        <v>18</v>
      </c>
      <c r="D196" s="3" t="s">
        <v>824</v>
      </c>
      <c r="E196" s="4">
        <v>0.85</v>
      </c>
      <c r="F196" s="44">
        <v>1.85</v>
      </c>
      <c r="G196" s="21">
        <v>270</v>
      </c>
      <c r="H196" s="30">
        <v>1.3</v>
      </c>
      <c r="I196" s="6">
        <f t="shared" si="12"/>
        <v>551.9475000000001</v>
      </c>
      <c r="J196" s="7" t="s">
        <v>828</v>
      </c>
      <c r="K196" s="17">
        <f t="shared" si="13"/>
        <v>7</v>
      </c>
    </row>
    <row r="197" spans="1:11" ht="13.95" customHeight="1" x14ac:dyDescent="0.3">
      <c r="A197" s="3">
        <v>45853</v>
      </c>
      <c r="B197" s="3" t="s">
        <v>679</v>
      </c>
      <c r="C197" s="3" t="s">
        <v>20</v>
      </c>
      <c r="D197" s="3" t="s">
        <v>706</v>
      </c>
      <c r="E197" s="4">
        <v>0.88</v>
      </c>
      <c r="F197" s="44">
        <v>1.9</v>
      </c>
      <c r="G197" s="21">
        <v>270</v>
      </c>
      <c r="H197" s="30">
        <v>1.3</v>
      </c>
      <c r="I197" s="6">
        <f t="shared" si="12"/>
        <v>586.87199999999996</v>
      </c>
      <c r="J197" s="7" t="s">
        <v>143</v>
      </c>
      <c r="K197" s="17">
        <f t="shared" si="13"/>
        <v>7</v>
      </c>
    </row>
    <row r="198" spans="1:11" ht="13.95" customHeight="1" x14ac:dyDescent="0.3">
      <c r="A198" s="3">
        <v>45854</v>
      </c>
      <c r="B198" s="3" t="s">
        <v>679</v>
      </c>
      <c r="C198" s="3" t="s">
        <v>5</v>
      </c>
      <c r="D198" s="3" t="s">
        <v>706</v>
      </c>
      <c r="E198" s="4">
        <v>0.85</v>
      </c>
      <c r="F198" s="44">
        <v>1.85</v>
      </c>
      <c r="G198" s="21">
        <v>270</v>
      </c>
      <c r="H198" s="30">
        <v>1.3</v>
      </c>
      <c r="I198" s="6">
        <f t="shared" si="12"/>
        <v>551.9475000000001</v>
      </c>
      <c r="J198" s="7" t="s">
        <v>71</v>
      </c>
      <c r="K198" s="17">
        <f t="shared" si="13"/>
        <v>7</v>
      </c>
    </row>
    <row r="199" spans="1:11" ht="13.95" customHeight="1" x14ac:dyDescent="0.3">
      <c r="A199" s="3">
        <v>45855</v>
      </c>
      <c r="B199" s="3" t="s">
        <v>679</v>
      </c>
      <c r="C199" s="3" t="s">
        <v>8</v>
      </c>
      <c r="D199" s="3" t="s">
        <v>706</v>
      </c>
      <c r="E199" s="4">
        <v>0.82</v>
      </c>
      <c r="F199" s="44">
        <v>1.8</v>
      </c>
      <c r="G199" s="21">
        <v>270</v>
      </c>
      <c r="H199" s="30">
        <v>1.3</v>
      </c>
      <c r="I199" s="6">
        <f t="shared" si="12"/>
        <v>518.07600000000002</v>
      </c>
      <c r="J199" s="7" t="s">
        <v>71</v>
      </c>
      <c r="K199" s="17">
        <f t="shared" si="13"/>
        <v>7</v>
      </c>
    </row>
    <row r="200" spans="1:11" ht="13.95" customHeight="1" x14ac:dyDescent="0.3">
      <c r="A200" s="3">
        <v>45856</v>
      </c>
      <c r="B200" s="3" t="s">
        <v>679</v>
      </c>
      <c r="C200" s="3" t="s">
        <v>11</v>
      </c>
      <c r="D200" s="3" t="s">
        <v>829</v>
      </c>
      <c r="E200" s="4">
        <v>0.85</v>
      </c>
      <c r="F200" s="44">
        <v>1.95</v>
      </c>
      <c r="G200" s="21">
        <v>270</v>
      </c>
      <c r="H200" s="30">
        <v>1.3</v>
      </c>
      <c r="I200" s="6">
        <f t="shared" si="12"/>
        <v>581.78250000000003</v>
      </c>
      <c r="J200" s="7" t="s">
        <v>1007</v>
      </c>
      <c r="K200" s="17">
        <f t="shared" si="13"/>
        <v>7</v>
      </c>
    </row>
    <row r="201" spans="1:11" ht="13.95" customHeight="1" x14ac:dyDescent="0.3">
      <c r="A201" s="3">
        <v>45857</v>
      </c>
      <c r="B201" s="3" t="s">
        <v>679</v>
      </c>
      <c r="C201" s="3" t="s">
        <v>13</v>
      </c>
      <c r="D201" s="3" t="s">
        <v>840</v>
      </c>
      <c r="E201" s="4">
        <v>0.9</v>
      </c>
      <c r="F201" s="44">
        <v>2.75</v>
      </c>
      <c r="G201" s="21">
        <v>270</v>
      </c>
      <c r="H201" s="30">
        <v>1.3</v>
      </c>
      <c r="I201" s="6">
        <f t="shared" si="12"/>
        <v>868.72500000000002</v>
      </c>
      <c r="J201" s="7" t="s">
        <v>1008</v>
      </c>
      <c r="K201" s="17">
        <f t="shared" si="13"/>
        <v>7</v>
      </c>
    </row>
    <row r="202" spans="1:11" ht="13.95" customHeight="1" x14ac:dyDescent="0.3">
      <c r="A202" s="3">
        <v>45858</v>
      </c>
      <c r="B202" s="3" t="s">
        <v>679</v>
      </c>
      <c r="C202" s="3" t="s">
        <v>16</v>
      </c>
      <c r="D202" s="3" t="s">
        <v>757</v>
      </c>
      <c r="E202" s="4">
        <v>0.95</v>
      </c>
      <c r="F202" s="44">
        <v>2.6</v>
      </c>
      <c r="G202" s="21">
        <v>270</v>
      </c>
      <c r="H202" s="30">
        <v>1.3</v>
      </c>
      <c r="I202" s="6">
        <f t="shared" si="12"/>
        <v>866.97</v>
      </c>
      <c r="J202" s="7" t="s">
        <v>1009</v>
      </c>
      <c r="K202" s="17">
        <f t="shared" si="13"/>
        <v>7</v>
      </c>
    </row>
    <row r="203" spans="1:11" ht="13.95" customHeight="1" x14ac:dyDescent="0.3">
      <c r="A203" s="3">
        <v>45859</v>
      </c>
      <c r="B203" s="3" t="s">
        <v>679</v>
      </c>
      <c r="C203" s="3" t="s">
        <v>18</v>
      </c>
      <c r="D203" s="3" t="s">
        <v>824</v>
      </c>
      <c r="E203" s="4">
        <v>0.88</v>
      </c>
      <c r="F203" s="44">
        <v>1.85</v>
      </c>
      <c r="G203" s="21">
        <v>270</v>
      </c>
      <c r="H203" s="30">
        <v>1.3</v>
      </c>
      <c r="I203" s="6">
        <f t="shared" si="12"/>
        <v>571.428</v>
      </c>
      <c r="J203" s="7" t="s">
        <v>838</v>
      </c>
      <c r="K203" s="17">
        <f t="shared" si="13"/>
        <v>7</v>
      </c>
    </row>
    <row r="204" spans="1:11" ht="13.95" customHeight="1" x14ac:dyDescent="0.3">
      <c r="A204" s="3">
        <v>45860</v>
      </c>
      <c r="B204" s="3" t="s">
        <v>679</v>
      </c>
      <c r="C204" s="3" t="s">
        <v>20</v>
      </c>
      <c r="D204" s="3" t="s">
        <v>707</v>
      </c>
      <c r="E204" s="4">
        <v>0.92</v>
      </c>
      <c r="F204" s="44">
        <v>1.95</v>
      </c>
      <c r="G204" s="21">
        <v>270</v>
      </c>
      <c r="H204" s="30">
        <v>1.3</v>
      </c>
      <c r="I204" s="6">
        <f t="shared" si="12"/>
        <v>629.69399999999996</v>
      </c>
      <c r="J204" s="7" t="s">
        <v>65</v>
      </c>
      <c r="K204" s="17">
        <f t="shared" si="13"/>
        <v>7</v>
      </c>
    </row>
    <row r="205" spans="1:11" ht="13.95" customHeight="1" x14ac:dyDescent="0.3">
      <c r="A205" s="3">
        <v>45861</v>
      </c>
      <c r="B205" s="3" t="s">
        <v>679</v>
      </c>
      <c r="C205" s="3" t="s">
        <v>5</v>
      </c>
      <c r="D205" s="3" t="s">
        <v>706</v>
      </c>
      <c r="E205" s="4">
        <v>0.85</v>
      </c>
      <c r="F205" s="44">
        <v>1.85</v>
      </c>
      <c r="G205" s="21">
        <v>270</v>
      </c>
      <c r="H205" s="30">
        <v>1.3</v>
      </c>
      <c r="I205" s="6">
        <f t="shared" si="12"/>
        <v>551.9475000000001</v>
      </c>
      <c r="J205" s="7" t="s">
        <v>71</v>
      </c>
      <c r="K205" s="17">
        <f t="shared" si="13"/>
        <v>7</v>
      </c>
    </row>
    <row r="206" spans="1:11" ht="13.95" customHeight="1" x14ac:dyDescent="0.3">
      <c r="A206" s="3">
        <v>45862</v>
      </c>
      <c r="B206" s="3" t="s">
        <v>679</v>
      </c>
      <c r="C206" s="3" t="s">
        <v>8</v>
      </c>
      <c r="D206" s="3" t="s">
        <v>994</v>
      </c>
      <c r="E206" s="4">
        <v>0.88</v>
      </c>
      <c r="F206" s="44">
        <v>2</v>
      </c>
      <c r="G206" s="21">
        <v>270</v>
      </c>
      <c r="H206" s="30">
        <v>1.3</v>
      </c>
      <c r="I206" s="6">
        <f t="shared" si="12"/>
        <v>617.76</v>
      </c>
      <c r="J206" s="7" t="s">
        <v>455</v>
      </c>
      <c r="K206" s="17">
        <f t="shared" si="13"/>
        <v>7</v>
      </c>
    </row>
    <row r="207" spans="1:11" ht="13.95" customHeight="1" x14ac:dyDescent="0.3">
      <c r="A207" s="3">
        <v>45863</v>
      </c>
      <c r="B207" s="3" t="s">
        <v>679</v>
      </c>
      <c r="C207" s="3" t="s">
        <v>11</v>
      </c>
      <c r="D207" s="3" t="s">
        <v>1010</v>
      </c>
      <c r="E207" s="4">
        <v>0.92</v>
      </c>
      <c r="F207" s="44">
        <v>2.6</v>
      </c>
      <c r="G207" s="21">
        <v>270</v>
      </c>
      <c r="H207" s="30">
        <v>1.3</v>
      </c>
      <c r="I207" s="6">
        <f t="shared" si="12"/>
        <v>839.5920000000001</v>
      </c>
      <c r="J207" s="7" t="s">
        <v>1011</v>
      </c>
      <c r="K207" s="17">
        <f t="shared" si="13"/>
        <v>7</v>
      </c>
    </row>
    <row r="208" spans="1:11" ht="13.95" customHeight="1" x14ac:dyDescent="0.3">
      <c r="A208" s="3">
        <v>45864</v>
      </c>
      <c r="B208" s="3" t="s">
        <v>679</v>
      </c>
      <c r="C208" s="3" t="s">
        <v>13</v>
      </c>
      <c r="D208" s="3" t="s">
        <v>829</v>
      </c>
      <c r="E208" s="4">
        <v>0.85</v>
      </c>
      <c r="F208" s="44">
        <v>2.4</v>
      </c>
      <c r="G208" s="21">
        <v>270</v>
      </c>
      <c r="H208" s="30">
        <v>1.3</v>
      </c>
      <c r="I208" s="6">
        <f t="shared" si="12"/>
        <v>716.04</v>
      </c>
      <c r="J208" s="7" t="s">
        <v>1012</v>
      </c>
      <c r="K208" s="17">
        <f t="shared" si="13"/>
        <v>7</v>
      </c>
    </row>
    <row r="209" spans="1:11" ht="13.95" customHeight="1" x14ac:dyDescent="0.3">
      <c r="A209" s="3">
        <v>45865</v>
      </c>
      <c r="B209" s="3" t="s">
        <v>679</v>
      </c>
      <c r="C209" s="3" t="s">
        <v>16</v>
      </c>
      <c r="D209" s="3" t="s">
        <v>757</v>
      </c>
      <c r="E209" s="4">
        <v>0.95</v>
      </c>
      <c r="F209" s="44">
        <v>2.5</v>
      </c>
      <c r="G209" s="21">
        <v>270</v>
      </c>
      <c r="H209" s="30">
        <v>1.3</v>
      </c>
      <c r="I209" s="6">
        <f t="shared" si="12"/>
        <v>833.625</v>
      </c>
      <c r="J209" s="7" t="s">
        <v>733</v>
      </c>
      <c r="K209" s="17">
        <f t="shared" si="13"/>
        <v>7</v>
      </c>
    </row>
    <row r="210" spans="1:11" ht="13.95" customHeight="1" x14ac:dyDescent="0.3">
      <c r="A210" s="3">
        <v>45866</v>
      </c>
      <c r="B210" s="3" t="s">
        <v>679</v>
      </c>
      <c r="C210" s="3" t="s">
        <v>18</v>
      </c>
      <c r="D210" s="3" t="s">
        <v>824</v>
      </c>
      <c r="E210" s="4">
        <v>0.82</v>
      </c>
      <c r="F210" s="44">
        <v>1.85</v>
      </c>
      <c r="G210" s="21">
        <v>270</v>
      </c>
      <c r="H210" s="30">
        <v>1.3</v>
      </c>
      <c r="I210" s="6">
        <f t="shared" si="12"/>
        <v>532.46699999999998</v>
      </c>
      <c r="J210" s="7" t="s">
        <v>99</v>
      </c>
      <c r="K210" s="17">
        <f t="shared" si="13"/>
        <v>7</v>
      </c>
    </row>
    <row r="211" spans="1:11" ht="13.95" customHeight="1" x14ac:dyDescent="0.3">
      <c r="A211" s="3">
        <v>45867</v>
      </c>
      <c r="B211" s="3" t="s">
        <v>679</v>
      </c>
      <c r="C211" s="3" t="s">
        <v>20</v>
      </c>
      <c r="D211" s="3" t="s">
        <v>706</v>
      </c>
      <c r="E211" s="4">
        <v>0.85</v>
      </c>
      <c r="F211" s="44">
        <v>1.9</v>
      </c>
      <c r="G211" s="21">
        <v>270</v>
      </c>
      <c r="H211" s="30">
        <v>1.3</v>
      </c>
      <c r="I211" s="6">
        <f t="shared" si="12"/>
        <v>566.86500000000001</v>
      </c>
      <c r="J211" s="7" t="s">
        <v>71</v>
      </c>
      <c r="K211" s="17">
        <f t="shared" si="13"/>
        <v>7</v>
      </c>
    </row>
    <row r="212" spans="1:11" ht="13.95" customHeight="1" x14ac:dyDescent="0.3">
      <c r="A212" s="3">
        <v>45868</v>
      </c>
      <c r="B212" s="3" t="s">
        <v>679</v>
      </c>
      <c r="C212" s="3" t="s">
        <v>5</v>
      </c>
      <c r="D212" s="3" t="s">
        <v>706</v>
      </c>
      <c r="E212" s="4">
        <v>0.82</v>
      </c>
      <c r="F212" s="44">
        <v>1.85</v>
      </c>
      <c r="G212" s="21">
        <v>270</v>
      </c>
      <c r="H212" s="30">
        <v>1.3</v>
      </c>
      <c r="I212" s="6">
        <f t="shared" si="12"/>
        <v>532.46699999999998</v>
      </c>
      <c r="J212" s="7" t="s">
        <v>71</v>
      </c>
      <c r="K212" s="17">
        <f t="shared" si="13"/>
        <v>7</v>
      </c>
    </row>
    <row r="213" spans="1:11" ht="13.95" customHeight="1" x14ac:dyDescent="0.3">
      <c r="A213" s="3">
        <v>45869</v>
      </c>
      <c r="B213" s="3" t="s">
        <v>679</v>
      </c>
      <c r="C213" s="3" t="s">
        <v>8</v>
      </c>
      <c r="D213" s="3" t="s">
        <v>706</v>
      </c>
      <c r="E213" s="4">
        <v>0.85</v>
      </c>
      <c r="F213" s="44">
        <v>1.85</v>
      </c>
      <c r="G213" s="21">
        <v>270</v>
      </c>
      <c r="H213" s="30">
        <v>1.3</v>
      </c>
      <c r="I213" s="6">
        <f t="shared" si="12"/>
        <v>551.9475000000001</v>
      </c>
      <c r="J213" s="7" t="s">
        <v>463</v>
      </c>
      <c r="K213" s="17">
        <f t="shared" si="13"/>
        <v>7</v>
      </c>
    </row>
    <row r="214" spans="1:11" ht="13.95" customHeight="1" x14ac:dyDescent="0.3">
      <c r="A214" s="3">
        <v>45870</v>
      </c>
      <c r="B214" s="3" t="s">
        <v>679</v>
      </c>
      <c r="C214" s="3" t="s">
        <v>11</v>
      </c>
      <c r="D214" s="3" t="s">
        <v>829</v>
      </c>
      <c r="E214" s="4">
        <v>0.82</v>
      </c>
      <c r="F214" s="44">
        <v>1.95</v>
      </c>
      <c r="G214" s="21">
        <v>270</v>
      </c>
      <c r="H214" s="30">
        <v>1.3</v>
      </c>
      <c r="I214" s="6">
        <f t="shared" ref="I214:I277" si="14">(G214*E214)*F214*H214</f>
        <v>561.24900000000002</v>
      </c>
      <c r="J214" s="7" t="s">
        <v>1013</v>
      </c>
      <c r="K214" s="17">
        <f t="shared" si="13"/>
        <v>8</v>
      </c>
    </row>
    <row r="215" spans="1:11" ht="13.95" customHeight="1" x14ac:dyDescent="0.3">
      <c r="A215" s="3">
        <v>45871</v>
      </c>
      <c r="B215" s="3" t="s">
        <v>679</v>
      </c>
      <c r="C215" s="3" t="s">
        <v>13</v>
      </c>
      <c r="D215" s="3" t="s">
        <v>831</v>
      </c>
      <c r="E215" s="4">
        <v>0.88</v>
      </c>
      <c r="F215" s="44">
        <v>2.85</v>
      </c>
      <c r="G215" s="21">
        <v>270</v>
      </c>
      <c r="H215" s="30">
        <v>1.3</v>
      </c>
      <c r="I215" s="6">
        <f t="shared" si="14"/>
        <v>880.30799999999999</v>
      </c>
      <c r="J215" s="7" t="s">
        <v>1014</v>
      </c>
      <c r="K215" s="17">
        <f t="shared" si="13"/>
        <v>8</v>
      </c>
    </row>
    <row r="216" spans="1:11" ht="13.95" customHeight="1" x14ac:dyDescent="0.3">
      <c r="A216" s="3">
        <v>45872</v>
      </c>
      <c r="B216" s="3" t="s">
        <v>679</v>
      </c>
      <c r="C216" s="3" t="s">
        <v>16</v>
      </c>
      <c r="D216" s="3" t="s">
        <v>757</v>
      </c>
      <c r="E216" s="4">
        <v>0.92</v>
      </c>
      <c r="F216" s="44">
        <v>2.6</v>
      </c>
      <c r="G216" s="21">
        <v>270</v>
      </c>
      <c r="H216" s="30">
        <v>1.3</v>
      </c>
      <c r="I216" s="6">
        <f t="shared" si="14"/>
        <v>839.5920000000001</v>
      </c>
      <c r="J216" s="7" t="s">
        <v>721</v>
      </c>
      <c r="K216" s="17">
        <f t="shared" si="13"/>
        <v>8</v>
      </c>
    </row>
    <row r="217" spans="1:11" ht="13.95" customHeight="1" x14ac:dyDescent="0.3">
      <c r="A217" s="3">
        <v>45873</v>
      </c>
      <c r="B217" s="3" t="s">
        <v>679</v>
      </c>
      <c r="C217" s="3" t="s">
        <v>18</v>
      </c>
      <c r="D217" s="3" t="s">
        <v>751</v>
      </c>
      <c r="E217" s="4">
        <v>0.8</v>
      </c>
      <c r="F217" s="44">
        <v>1.85</v>
      </c>
      <c r="G217" s="21">
        <v>270</v>
      </c>
      <c r="H217" s="30">
        <v>1.3</v>
      </c>
      <c r="I217" s="6">
        <f t="shared" si="14"/>
        <v>519.48</v>
      </c>
      <c r="J217" s="7" t="s">
        <v>1015</v>
      </c>
      <c r="K217" s="17">
        <f t="shared" si="13"/>
        <v>8</v>
      </c>
    </row>
    <row r="218" spans="1:11" ht="13.95" customHeight="1" x14ac:dyDescent="0.3">
      <c r="A218" s="3">
        <v>45874</v>
      </c>
      <c r="B218" s="3" t="s">
        <v>679</v>
      </c>
      <c r="C218" s="3" t="s">
        <v>20</v>
      </c>
      <c r="D218" s="3" t="s">
        <v>751</v>
      </c>
      <c r="E218" s="4">
        <v>0.78</v>
      </c>
      <c r="F218" s="44">
        <v>1.9</v>
      </c>
      <c r="G218" s="21">
        <v>270</v>
      </c>
      <c r="H218" s="30">
        <v>1.3</v>
      </c>
      <c r="I218" s="6">
        <f t="shared" si="14"/>
        <v>520.18200000000002</v>
      </c>
      <c r="J218" s="7" t="s">
        <v>1016</v>
      </c>
      <c r="K218" s="17">
        <f t="shared" si="13"/>
        <v>8</v>
      </c>
    </row>
    <row r="219" spans="1:11" ht="13.95" customHeight="1" x14ac:dyDescent="0.3">
      <c r="A219" s="3">
        <v>45875</v>
      </c>
      <c r="B219" s="3" t="s">
        <v>679</v>
      </c>
      <c r="C219" s="3" t="s">
        <v>5</v>
      </c>
      <c r="D219" s="3" t="s">
        <v>751</v>
      </c>
      <c r="E219" s="4">
        <v>0.75</v>
      </c>
      <c r="F219" s="44">
        <v>1.85</v>
      </c>
      <c r="G219" s="21">
        <v>270</v>
      </c>
      <c r="H219" s="30">
        <v>1.3</v>
      </c>
      <c r="I219" s="6">
        <f t="shared" si="14"/>
        <v>487.01249999999999</v>
      </c>
      <c r="J219" s="7" t="s">
        <v>476</v>
      </c>
      <c r="K219" s="17">
        <f t="shared" si="13"/>
        <v>8</v>
      </c>
    </row>
    <row r="220" spans="1:11" ht="13.95" customHeight="1" x14ac:dyDescent="0.3">
      <c r="A220" s="3">
        <v>45876</v>
      </c>
      <c r="B220" s="3" t="s">
        <v>679</v>
      </c>
      <c r="C220" s="3" t="s">
        <v>8</v>
      </c>
      <c r="D220" s="3" t="s">
        <v>751</v>
      </c>
      <c r="E220" s="4">
        <v>0.78</v>
      </c>
      <c r="F220" s="44">
        <v>1.85</v>
      </c>
      <c r="G220" s="21">
        <v>270</v>
      </c>
      <c r="H220" s="30">
        <v>1.3</v>
      </c>
      <c r="I220" s="6">
        <f t="shared" si="14"/>
        <v>506.49300000000005</v>
      </c>
      <c r="J220" s="7" t="s">
        <v>476</v>
      </c>
      <c r="K220" s="17">
        <f t="shared" si="13"/>
        <v>8</v>
      </c>
    </row>
    <row r="221" spans="1:11" ht="13.95" customHeight="1" x14ac:dyDescent="0.3">
      <c r="A221" s="3">
        <v>45877</v>
      </c>
      <c r="B221" s="3" t="s">
        <v>679</v>
      </c>
      <c r="C221" s="3" t="s">
        <v>11</v>
      </c>
      <c r="D221" s="3" t="s">
        <v>829</v>
      </c>
      <c r="E221" s="4">
        <v>0.82</v>
      </c>
      <c r="F221" s="44">
        <v>1.95</v>
      </c>
      <c r="G221" s="21">
        <v>270</v>
      </c>
      <c r="H221" s="30">
        <v>1.3</v>
      </c>
      <c r="I221" s="6">
        <f t="shared" si="14"/>
        <v>561.24900000000002</v>
      </c>
      <c r="J221" s="7" t="s">
        <v>67</v>
      </c>
      <c r="K221" s="17">
        <f t="shared" si="13"/>
        <v>8</v>
      </c>
    </row>
    <row r="222" spans="1:11" ht="13.95" customHeight="1" x14ac:dyDescent="0.3">
      <c r="A222" s="3">
        <v>45878</v>
      </c>
      <c r="B222" s="3" t="s">
        <v>679</v>
      </c>
      <c r="C222" s="3" t="s">
        <v>13</v>
      </c>
      <c r="D222" s="3" t="s">
        <v>840</v>
      </c>
      <c r="E222" s="4">
        <v>0.9</v>
      </c>
      <c r="F222" s="44">
        <v>2.8</v>
      </c>
      <c r="G222" s="21">
        <v>270</v>
      </c>
      <c r="H222" s="30">
        <v>1.3</v>
      </c>
      <c r="I222" s="6">
        <f t="shared" si="14"/>
        <v>884.52</v>
      </c>
      <c r="J222" s="7" t="s">
        <v>1017</v>
      </c>
      <c r="K222" s="17">
        <f t="shared" si="13"/>
        <v>8</v>
      </c>
    </row>
    <row r="223" spans="1:11" ht="13.95" customHeight="1" x14ac:dyDescent="0.3">
      <c r="A223" s="3">
        <v>45879</v>
      </c>
      <c r="B223" s="3" t="s">
        <v>679</v>
      </c>
      <c r="C223" s="3" t="s">
        <v>16</v>
      </c>
      <c r="D223" s="3" t="s">
        <v>757</v>
      </c>
      <c r="E223" s="4">
        <v>0.92</v>
      </c>
      <c r="F223" s="44">
        <v>2.5499999999999998</v>
      </c>
      <c r="G223" s="21">
        <v>270</v>
      </c>
      <c r="H223" s="30">
        <v>1.3</v>
      </c>
      <c r="I223" s="6">
        <f t="shared" si="14"/>
        <v>823.44600000000003</v>
      </c>
      <c r="J223" s="7" t="s">
        <v>238</v>
      </c>
      <c r="K223" s="17">
        <f t="shared" si="13"/>
        <v>8</v>
      </c>
    </row>
    <row r="224" spans="1:11" ht="13.95" customHeight="1" x14ac:dyDescent="0.3">
      <c r="A224" s="3">
        <v>45880</v>
      </c>
      <c r="B224" s="3" t="s">
        <v>679</v>
      </c>
      <c r="C224" s="3" t="s">
        <v>18</v>
      </c>
      <c r="D224" s="3" t="s">
        <v>751</v>
      </c>
      <c r="E224" s="4">
        <v>0.8</v>
      </c>
      <c r="F224" s="44">
        <v>1.85</v>
      </c>
      <c r="G224" s="21">
        <v>270</v>
      </c>
      <c r="H224" s="30">
        <v>1.3</v>
      </c>
      <c r="I224" s="6">
        <f t="shared" si="14"/>
        <v>519.48</v>
      </c>
      <c r="J224" s="7" t="s">
        <v>828</v>
      </c>
      <c r="K224" s="17">
        <f t="shared" si="13"/>
        <v>8</v>
      </c>
    </row>
    <row r="225" spans="1:11" ht="13.95" customHeight="1" x14ac:dyDescent="0.3">
      <c r="A225" s="3">
        <v>45881</v>
      </c>
      <c r="B225" s="3" t="s">
        <v>679</v>
      </c>
      <c r="C225" s="3" t="s">
        <v>20</v>
      </c>
      <c r="D225" s="3" t="s">
        <v>843</v>
      </c>
      <c r="E225" s="4">
        <v>0.82</v>
      </c>
      <c r="F225" s="44">
        <v>1.95</v>
      </c>
      <c r="G225" s="21">
        <v>270</v>
      </c>
      <c r="H225" s="30">
        <v>1.3</v>
      </c>
      <c r="I225" s="6">
        <f t="shared" si="14"/>
        <v>561.24900000000002</v>
      </c>
      <c r="J225" s="7" t="s">
        <v>1018</v>
      </c>
      <c r="K225" s="17">
        <f t="shared" si="13"/>
        <v>8</v>
      </c>
    </row>
    <row r="226" spans="1:11" ht="13.95" customHeight="1" x14ac:dyDescent="0.3">
      <c r="A226" s="3">
        <v>45882</v>
      </c>
      <c r="B226" s="3" t="s">
        <v>679</v>
      </c>
      <c r="C226" s="3" t="s">
        <v>5</v>
      </c>
      <c r="D226" s="3" t="s">
        <v>850</v>
      </c>
      <c r="E226" s="4">
        <v>0.9</v>
      </c>
      <c r="F226" s="44">
        <v>2.5</v>
      </c>
      <c r="G226" s="21">
        <v>270</v>
      </c>
      <c r="H226" s="30">
        <v>1.3</v>
      </c>
      <c r="I226" s="6">
        <f t="shared" si="14"/>
        <v>789.75</v>
      </c>
      <c r="J226" s="7" t="s">
        <v>1019</v>
      </c>
      <c r="K226" s="17">
        <f t="shared" si="13"/>
        <v>8</v>
      </c>
    </row>
    <row r="227" spans="1:11" ht="13.95" customHeight="1" x14ac:dyDescent="0.3">
      <c r="A227" s="3">
        <v>45883</v>
      </c>
      <c r="B227" s="3" t="s">
        <v>679</v>
      </c>
      <c r="C227" s="3" t="s">
        <v>8</v>
      </c>
      <c r="D227" s="3" t="s">
        <v>834</v>
      </c>
      <c r="E227" s="4">
        <v>0.78</v>
      </c>
      <c r="F227" s="44">
        <v>1.85</v>
      </c>
      <c r="G227" s="21">
        <v>270</v>
      </c>
      <c r="H227" s="30">
        <v>1.3</v>
      </c>
      <c r="I227" s="6">
        <f t="shared" si="14"/>
        <v>506.49300000000005</v>
      </c>
      <c r="J227" s="7" t="s">
        <v>70</v>
      </c>
      <c r="K227" s="17">
        <f t="shared" si="13"/>
        <v>8</v>
      </c>
    </row>
    <row r="228" spans="1:11" ht="13.95" customHeight="1" x14ac:dyDescent="0.3">
      <c r="A228" s="3">
        <v>45884</v>
      </c>
      <c r="B228" s="3" t="s">
        <v>679</v>
      </c>
      <c r="C228" s="3" t="s">
        <v>11</v>
      </c>
      <c r="D228" s="3" t="s">
        <v>829</v>
      </c>
      <c r="E228" s="4">
        <v>0.85</v>
      </c>
      <c r="F228" s="44">
        <v>1.95</v>
      </c>
      <c r="G228" s="21">
        <v>270</v>
      </c>
      <c r="H228" s="30">
        <v>1.3</v>
      </c>
      <c r="I228" s="6">
        <f t="shared" si="14"/>
        <v>581.78250000000003</v>
      </c>
      <c r="J228" s="7" t="s">
        <v>1020</v>
      </c>
      <c r="K228" s="17">
        <f t="shared" si="13"/>
        <v>8</v>
      </c>
    </row>
    <row r="229" spans="1:11" ht="13.95" customHeight="1" x14ac:dyDescent="0.3">
      <c r="A229" s="3">
        <v>45885</v>
      </c>
      <c r="B229" s="3" t="s">
        <v>679</v>
      </c>
      <c r="C229" s="3" t="s">
        <v>13</v>
      </c>
      <c r="D229" s="3" t="s">
        <v>840</v>
      </c>
      <c r="E229" s="4">
        <v>0.92</v>
      </c>
      <c r="F229" s="44">
        <v>2.8</v>
      </c>
      <c r="G229" s="21">
        <v>270</v>
      </c>
      <c r="H229" s="30">
        <v>1.3</v>
      </c>
      <c r="I229" s="6">
        <f t="shared" si="14"/>
        <v>904.17600000000004</v>
      </c>
      <c r="J229" s="7" t="s">
        <v>1021</v>
      </c>
      <c r="K229" s="17">
        <f t="shared" si="13"/>
        <v>8</v>
      </c>
    </row>
    <row r="230" spans="1:11" ht="13.95" customHeight="1" x14ac:dyDescent="0.3">
      <c r="A230" s="3">
        <v>45886</v>
      </c>
      <c r="B230" s="3" t="s">
        <v>679</v>
      </c>
      <c r="C230" s="3" t="s">
        <v>16</v>
      </c>
      <c r="D230" s="3" t="s">
        <v>757</v>
      </c>
      <c r="E230" s="4">
        <v>0.95</v>
      </c>
      <c r="F230" s="44">
        <v>2.6</v>
      </c>
      <c r="G230" s="21">
        <v>270</v>
      </c>
      <c r="H230" s="30">
        <v>1.3</v>
      </c>
      <c r="I230" s="6">
        <f t="shared" si="14"/>
        <v>866.97</v>
      </c>
      <c r="J230" s="7" t="s">
        <v>737</v>
      </c>
      <c r="K230" s="17">
        <f t="shared" si="13"/>
        <v>8</v>
      </c>
    </row>
    <row r="231" spans="1:11" ht="13.95" customHeight="1" x14ac:dyDescent="0.3">
      <c r="A231" s="3">
        <v>45887</v>
      </c>
      <c r="B231" s="3" t="s">
        <v>679</v>
      </c>
      <c r="C231" s="3" t="s">
        <v>18</v>
      </c>
      <c r="D231" s="3" t="s">
        <v>834</v>
      </c>
      <c r="E231" s="4">
        <v>0.78</v>
      </c>
      <c r="F231" s="44">
        <v>1.85</v>
      </c>
      <c r="G231" s="21">
        <v>270</v>
      </c>
      <c r="H231" s="30">
        <v>1.3</v>
      </c>
      <c r="I231" s="6">
        <f t="shared" si="14"/>
        <v>506.49300000000005</v>
      </c>
      <c r="J231" s="7" t="s">
        <v>476</v>
      </c>
      <c r="K231" s="17">
        <f t="shared" si="13"/>
        <v>8</v>
      </c>
    </row>
    <row r="232" spans="1:11" ht="13.95" customHeight="1" x14ac:dyDescent="0.3">
      <c r="A232" s="3">
        <v>45888</v>
      </c>
      <c r="B232" s="3" t="s">
        <v>679</v>
      </c>
      <c r="C232" s="3" t="s">
        <v>20</v>
      </c>
      <c r="D232" s="3" t="s">
        <v>834</v>
      </c>
      <c r="E232" s="4">
        <v>0.75</v>
      </c>
      <c r="F232" s="44">
        <v>1.85</v>
      </c>
      <c r="G232" s="21">
        <v>270</v>
      </c>
      <c r="H232" s="30">
        <v>1.3</v>
      </c>
      <c r="I232" s="6">
        <f t="shared" si="14"/>
        <v>487.01249999999999</v>
      </c>
      <c r="J232" s="7" t="s">
        <v>476</v>
      </c>
      <c r="K232" s="17">
        <f t="shared" si="13"/>
        <v>8</v>
      </c>
    </row>
    <row r="233" spans="1:11" ht="13.95" customHeight="1" x14ac:dyDescent="0.3">
      <c r="A233" s="3">
        <v>45889</v>
      </c>
      <c r="B233" s="3" t="s">
        <v>679</v>
      </c>
      <c r="C233" s="3" t="s">
        <v>5</v>
      </c>
      <c r="D233" s="3" t="s">
        <v>834</v>
      </c>
      <c r="E233" s="4">
        <v>0.75</v>
      </c>
      <c r="F233" s="44">
        <v>1.85</v>
      </c>
      <c r="G233" s="21">
        <v>270</v>
      </c>
      <c r="H233" s="30">
        <v>1.3</v>
      </c>
      <c r="I233" s="6">
        <f t="shared" si="14"/>
        <v>487.01249999999999</v>
      </c>
      <c r="J233" s="7" t="s">
        <v>476</v>
      </c>
      <c r="K233" s="17">
        <f t="shared" si="13"/>
        <v>8</v>
      </c>
    </row>
    <row r="234" spans="1:11" ht="13.95" customHeight="1" x14ac:dyDescent="0.3">
      <c r="A234" s="3">
        <v>45890</v>
      </c>
      <c r="B234" s="3" t="s">
        <v>679</v>
      </c>
      <c r="C234" s="3" t="s">
        <v>8</v>
      </c>
      <c r="D234" s="3" t="s">
        <v>834</v>
      </c>
      <c r="E234" s="4">
        <v>0.78</v>
      </c>
      <c r="F234" s="44">
        <v>1.85</v>
      </c>
      <c r="G234" s="21">
        <v>270</v>
      </c>
      <c r="H234" s="30">
        <v>1.3</v>
      </c>
      <c r="I234" s="6">
        <f t="shared" si="14"/>
        <v>506.49300000000005</v>
      </c>
      <c r="J234" s="7" t="s">
        <v>476</v>
      </c>
      <c r="K234" s="17">
        <f t="shared" si="13"/>
        <v>8</v>
      </c>
    </row>
    <row r="235" spans="1:11" ht="13.95" customHeight="1" x14ac:dyDescent="0.3">
      <c r="A235" s="3">
        <v>45891</v>
      </c>
      <c r="B235" s="3" t="s">
        <v>679</v>
      </c>
      <c r="C235" s="3" t="s">
        <v>11</v>
      </c>
      <c r="D235" s="3" t="s">
        <v>829</v>
      </c>
      <c r="E235" s="4">
        <v>0.82</v>
      </c>
      <c r="F235" s="44">
        <v>1.95</v>
      </c>
      <c r="G235" s="21">
        <v>270</v>
      </c>
      <c r="H235" s="30">
        <v>1.3</v>
      </c>
      <c r="I235" s="6">
        <f t="shared" si="14"/>
        <v>561.24900000000002</v>
      </c>
      <c r="J235" s="7" t="s">
        <v>540</v>
      </c>
      <c r="K235" s="17">
        <f t="shared" si="13"/>
        <v>8</v>
      </c>
    </row>
    <row r="236" spans="1:11" ht="13.95" customHeight="1" x14ac:dyDescent="0.3">
      <c r="A236" s="3">
        <v>45892</v>
      </c>
      <c r="B236" s="3" t="s">
        <v>679</v>
      </c>
      <c r="C236" s="3" t="s">
        <v>13</v>
      </c>
      <c r="D236" s="3" t="s">
        <v>840</v>
      </c>
      <c r="E236" s="4">
        <v>0.9</v>
      </c>
      <c r="F236" s="44">
        <v>2.85</v>
      </c>
      <c r="G236" s="21">
        <v>270</v>
      </c>
      <c r="H236" s="30">
        <v>1.3</v>
      </c>
      <c r="I236" s="6">
        <f t="shared" si="14"/>
        <v>900.31500000000017</v>
      </c>
      <c r="J236" s="7" t="s">
        <v>1008</v>
      </c>
      <c r="K236" s="17">
        <f t="shared" si="13"/>
        <v>8</v>
      </c>
    </row>
    <row r="237" spans="1:11" ht="13.95" customHeight="1" x14ac:dyDescent="0.3">
      <c r="A237" s="3">
        <v>45893</v>
      </c>
      <c r="B237" s="3" t="s">
        <v>679</v>
      </c>
      <c r="C237" s="3" t="s">
        <v>16</v>
      </c>
      <c r="D237" s="3" t="s">
        <v>757</v>
      </c>
      <c r="E237" s="4">
        <v>0.95</v>
      </c>
      <c r="F237" s="44">
        <v>2.65</v>
      </c>
      <c r="G237" s="21">
        <v>270</v>
      </c>
      <c r="H237" s="30">
        <v>1.3</v>
      </c>
      <c r="I237" s="6">
        <f t="shared" si="14"/>
        <v>883.64250000000004</v>
      </c>
      <c r="J237" s="7" t="s">
        <v>1022</v>
      </c>
      <c r="K237" s="17">
        <f t="shared" si="13"/>
        <v>8</v>
      </c>
    </row>
    <row r="238" spans="1:11" ht="13.95" customHeight="1" x14ac:dyDescent="0.3">
      <c r="A238" s="3">
        <v>45894</v>
      </c>
      <c r="B238" s="3" t="s">
        <v>679</v>
      </c>
      <c r="C238" s="3" t="s">
        <v>18</v>
      </c>
      <c r="D238" s="3" t="s">
        <v>834</v>
      </c>
      <c r="E238" s="4">
        <v>0.78</v>
      </c>
      <c r="F238" s="44">
        <v>1.85</v>
      </c>
      <c r="G238" s="21">
        <v>270</v>
      </c>
      <c r="H238" s="30">
        <v>1.3</v>
      </c>
      <c r="I238" s="6">
        <f t="shared" si="14"/>
        <v>506.49300000000005</v>
      </c>
      <c r="J238" s="7" t="s">
        <v>755</v>
      </c>
      <c r="K238" s="17">
        <f t="shared" si="13"/>
        <v>8</v>
      </c>
    </row>
    <row r="239" spans="1:11" ht="13.95" customHeight="1" x14ac:dyDescent="0.3">
      <c r="A239" s="3">
        <v>45895</v>
      </c>
      <c r="B239" s="3" t="s">
        <v>679</v>
      </c>
      <c r="C239" s="3" t="s">
        <v>20</v>
      </c>
      <c r="D239" s="3" t="s">
        <v>834</v>
      </c>
      <c r="E239" s="4">
        <v>0.75</v>
      </c>
      <c r="F239" s="44">
        <v>1.85</v>
      </c>
      <c r="G239" s="21">
        <v>270</v>
      </c>
      <c r="H239" s="30">
        <v>1.3</v>
      </c>
      <c r="I239" s="6">
        <f t="shared" si="14"/>
        <v>487.01249999999999</v>
      </c>
      <c r="J239" s="7" t="s">
        <v>476</v>
      </c>
      <c r="K239" s="17">
        <f t="shared" si="13"/>
        <v>8</v>
      </c>
    </row>
    <row r="240" spans="1:11" ht="13.95" customHeight="1" x14ac:dyDescent="0.3">
      <c r="A240" s="3">
        <v>45896</v>
      </c>
      <c r="B240" s="3" t="s">
        <v>679</v>
      </c>
      <c r="C240" s="3" t="s">
        <v>5</v>
      </c>
      <c r="D240" s="3" t="s">
        <v>834</v>
      </c>
      <c r="E240" s="4">
        <v>0.72</v>
      </c>
      <c r="F240" s="44">
        <v>1.8</v>
      </c>
      <c r="G240" s="21">
        <v>270</v>
      </c>
      <c r="H240" s="30">
        <v>1.3</v>
      </c>
      <c r="I240" s="6">
        <f t="shared" si="14"/>
        <v>454.89600000000002</v>
      </c>
      <c r="J240" s="7" t="s">
        <v>70</v>
      </c>
      <c r="K240" s="17">
        <f t="shared" si="13"/>
        <v>8</v>
      </c>
    </row>
    <row r="241" spans="1:11" ht="13.95" customHeight="1" x14ac:dyDescent="0.3">
      <c r="A241" s="3">
        <v>45897</v>
      </c>
      <c r="B241" s="3" t="s">
        <v>679</v>
      </c>
      <c r="C241" s="3" t="s">
        <v>8</v>
      </c>
      <c r="D241" s="3" t="s">
        <v>834</v>
      </c>
      <c r="E241" s="4">
        <v>0.75</v>
      </c>
      <c r="F241" s="44">
        <v>1.85</v>
      </c>
      <c r="G241" s="21">
        <v>270</v>
      </c>
      <c r="H241" s="30">
        <v>1.3</v>
      </c>
      <c r="I241" s="6">
        <f t="shared" si="14"/>
        <v>487.01249999999999</v>
      </c>
      <c r="J241" s="7" t="s">
        <v>476</v>
      </c>
      <c r="K241" s="17">
        <f t="shared" si="13"/>
        <v>8</v>
      </c>
    </row>
    <row r="242" spans="1:11" ht="13.95" customHeight="1" x14ac:dyDescent="0.3">
      <c r="A242" s="3">
        <v>45898</v>
      </c>
      <c r="B242" s="3" t="s">
        <v>679</v>
      </c>
      <c r="C242" s="3" t="s">
        <v>11</v>
      </c>
      <c r="D242" s="3" t="s">
        <v>44</v>
      </c>
      <c r="E242" s="4">
        <v>0.8</v>
      </c>
      <c r="F242" s="44">
        <v>1.9</v>
      </c>
      <c r="G242" s="21">
        <v>270</v>
      </c>
      <c r="H242" s="30">
        <v>1.3</v>
      </c>
      <c r="I242" s="6">
        <f t="shared" si="14"/>
        <v>533.52</v>
      </c>
      <c r="J242" s="7" t="s">
        <v>854</v>
      </c>
      <c r="K242" s="17">
        <f t="shared" si="13"/>
        <v>8</v>
      </c>
    </row>
    <row r="243" spans="1:11" ht="13.95" customHeight="1" x14ac:dyDescent="0.3">
      <c r="A243" s="3">
        <v>45899</v>
      </c>
      <c r="B243" s="3" t="s">
        <v>679</v>
      </c>
      <c r="C243" s="3" t="s">
        <v>13</v>
      </c>
      <c r="D243" s="3" t="s">
        <v>855</v>
      </c>
      <c r="E243" s="4">
        <v>0.88</v>
      </c>
      <c r="F243" s="44">
        <v>2.75</v>
      </c>
      <c r="G243" s="21">
        <v>270</v>
      </c>
      <c r="H243" s="30">
        <v>1.3</v>
      </c>
      <c r="I243" s="6">
        <f t="shared" si="14"/>
        <v>849.42</v>
      </c>
      <c r="J243" s="7" t="s">
        <v>1023</v>
      </c>
      <c r="K243" s="17">
        <f t="shared" si="13"/>
        <v>8</v>
      </c>
    </row>
    <row r="244" spans="1:11" ht="13.95" customHeight="1" x14ac:dyDescent="0.3">
      <c r="A244" s="3">
        <v>45900</v>
      </c>
      <c r="B244" s="3" t="s">
        <v>679</v>
      </c>
      <c r="C244" s="3" t="s">
        <v>16</v>
      </c>
      <c r="D244" s="3" t="s">
        <v>757</v>
      </c>
      <c r="E244" s="4">
        <v>0.92</v>
      </c>
      <c r="F244" s="44">
        <v>2.6</v>
      </c>
      <c r="G244" s="21">
        <v>270</v>
      </c>
      <c r="H244" s="30">
        <v>1.3</v>
      </c>
      <c r="I244" s="6">
        <f t="shared" si="14"/>
        <v>839.5920000000001</v>
      </c>
      <c r="J244" s="7" t="s">
        <v>857</v>
      </c>
      <c r="K244" s="17">
        <f t="shared" si="13"/>
        <v>8</v>
      </c>
    </row>
    <row r="245" spans="1:11" ht="13.95" customHeight="1" x14ac:dyDescent="0.3">
      <c r="A245" s="3">
        <v>45901</v>
      </c>
      <c r="B245" s="3" t="s">
        <v>679</v>
      </c>
      <c r="C245" s="3" t="s">
        <v>18</v>
      </c>
      <c r="D245" s="3" t="s">
        <v>706</v>
      </c>
      <c r="E245" s="4">
        <v>0.85</v>
      </c>
      <c r="F245" s="44">
        <v>1.8</v>
      </c>
      <c r="G245" s="21">
        <v>270</v>
      </c>
      <c r="H245" s="30">
        <v>1.3</v>
      </c>
      <c r="I245" s="6">
        <f t="shared" si="14"/>
        <v>537.03000000000009</v>
      </c>
      <c r="J245" s="7" t="s">
        <v>1024</v>
      </c>
      <c r="K245" s="17">
        <f t="shared" si="13"/>
        <v>9</v>
      </c>
    </row>
    <row r="246" spans="1:11" ht="13.95" customHeight="1" x14ac:dyDescent="0.3">
      <c r="A246" s="3">
        <v>45902</v>
      </c>
      <c r="B246" s="3" t="s">
        <v>679</v>
      </c>
      <c r="C246" s="3" t="s">
        <v>20</v>
      </c>
      <c r="D246" s="3" t="s">
        <v>707</v>
      </c>
      <c r="E246" s="4">
        <v>0.92</v>
      </c>
      <c r="F246" s="44">
        <v>1.85</v>
      </c>
      <c r="G246" s="21">
        <v>270</v>
      </c>
      <c r="H246" s="30">
        <v>1.3</v>
      </c>
      <c r="I246" s="6">
        <f t="shared" si="14"/>
        <v>597.40200000000004</v>
      </c>
      <c r="J246" s="7" t="s">
        <v>1025</v>
      </c>
      <c r="K246" s="17">
        <f t="shared" si="13"/>
        <v>9</v>
      </c>
    </row>
    <row r="247" spans="1:11" ht="13.95" customHeight="1" x14ac:dyDescent="0.3">
      <c r="A247" s="3">
        <v>45903</v>
      </c>
      <c r="B247" s="3" t="s">
        <v>679</v>
      </c>
      <c r="C247" s="3" t="s">
        <v>5</v>
      </c>
      <c r="D247" s="3" t="s">
        <v>706</v>
      </c>
      <c r="E247" s="4">
        <v>0.9</v>
      </c>
      <c r="F247" s="44">
        <v>1.8</v>
      </c>
      <c r="G247" s="21">
        <v>270</v>
      </c>
      <c r="H247" s="30">
        <v>1.3</v>
      </c>
      <c r="I247" s="6">
        <f t="shared" si="14"/>
        <v>568.62000000000012</v>
      </c>
      <c r="J247" s="7" t="s">
        <v>1026</v>
      </c>
      <c r="K247" s="17">
        <f t="shared" si="13"/>
        <v>9</v>
      </c>
    </row>
    <row r="248" spans="1:11" ht="13.95" customHeight="1" x14ac:dyDescent="0.3">
      <c r="A248" s="3">
        <v>45904</v>
      </c>
      <c r="B248" s="3" t="s">
        <v>679</v>
      </c>
      <c r="C248" s="3" t="s">
        <v>8</v>
      </c>
      <c r="D248" s="3" t="s">
        <v>706</v>
      </c>
      <c r="E248" s="4">
        <v>0.88</v>
      </c>
      <c r="F248" s="44">
        <v>1.75</v>
      </c>
      <c r="G248" s="21">
        <v>270</v>
      </c>
      <c r="H248" s="30">
        <v>1.3</v>
      </c>
      <c r="I248" s="6">
        <f t="shared" si="14"/>
        <v>540.54000000000008</v>
      </c>
      <c r="J248" s="7" t="s">
        <v>71</v>
      </c>
      <c r="K248" s="17">
        <f t="shared" si="13"/>
        <v>9</v>
      </c>
    </row>
    <row r="249" spans="1:11" ht="13.95" customHeight="1" x14ac:dyDescent="0.3">
      <c r="A249" s="3">
        <v>45905</v>
      </c>
      <c r="B249" s="3" t="s">
        <v>679</v>
      </c>
      <c r="C249" s="3" t="s">
        <v>11</v>
      </c>
      <c r="D249" s="3" t="s">
        <v>44</v>
      </c>
      <c r="E249" s="4">
        <v>0.8</v>
      </c>
      <c r="F249" s="44">
        <v>1.75</v>
      </c>
      <c r="G249" s="21">
        <v>270</v>
      </c>
      <c r="H249" s="30">
        <v>1.3</v>
      </c>
      <c r="I249" s="6">
        <f t="shared" si="14"/>
        <v>491.40000000000003</v>
      </c>
      <c r="J249" s="7" t="s">
        <v>420</v>
      </c>
      <c r="K249" s="17">
        <f t="shared" si="13"/>
        <v>9</v>
      </c>
    </row>
    <row r="250" spans="1:11" ht="13.95" customHeight="1" x14ac:dyDescent="0.3">
      <c r="A250" s="3">
        <v>45906</v>
      </c>
      <c r="B250" s="3" t="s">
        <v>679</v>
      </c>
      <c r="C250" s="3" t="s">
        <v>13</v>
      </c>
      <c r="D250" s="3" t="s">
        <v>14</v>
      </c>
      <c r="E250" s="4">
        <v>0.75</v>
      </c>
      <c r="F250" s="44">
        <v>2.2000000000000002</v>
      </c>
      <c r="G250" s="21">
        <v>270</v>
      </c>
      <c r="H250" s="30">
        <v>1.3</v>
      </c>
      <c r="I250" s="6">
        <f t="shared" si="14"/>
        <v>579.15000000000009</v>
      </c>
      <c r="J250" s="7" t="s">
        <v>1027</v>
      </c>
      <c r="K250" s="17">
        <f t="shared" si="13"/>
        <v>9</v>
      </c>
    </row>
    <row r="251" spans="1:11" ht="13.95" customHeight="1" x14ac:dyDescent="0.3">
      <c r="A251" s="3">
        <v>45907</v>
      </c>
      <c r="B251" s="3" t="s">
        <v>679</v>
      </c>
      <c r="C251" s="3" t="s">
        <v>16</v>
      </c>
      <c r="D251" s="3" t="s">
        <v>14</v>
      </c>
      <c r="E251" s="4">
        <v>0.7</v>
      </c>
      <c r="F251" s="44">
        <v>2.25</v>
      </c>
      <c r="G251" s="21">
        <v>270</v>
      </c>
      <c r="H251" s="30">
        <v>1.3</v>
      </c>
      <c r="I251" s="6">
        <f t="shared" si="14"/>
        <v>552.82500000000005</v>
      </c>
      <c r="J251" s="7" t="s">
        <v>967</v>
      </c>
      <c r="K251" s="17">
        <f t="shared" si="13"/>
        <v>9</v>
      </c>
    </row>
    <row r="252" spans="1:11" ht="13.95" customHeight="1" x14ac:dyDescent="0.3">
      <c r="A252" s="3">
        <v>45908</v>
      </c>
      <c r="B252" s="3" t="s">
        <v>679</v>
      </c>
      <c r="C252" s="3" t="s">
        <v>18</v>
      </c>
      <c r="D252" s="3" t="s">
        <v>706</v>
      </c>
      <c r="E252" s="4">
        <v>0.88</v>
      </c>
      <c r="F252" s="44">
        <v>1.8</v>
      </c>
      <c r="G252" s="21">
        <v>270</v>
      </c>
      <c r="H252" s="30">
        <v>1.3</v>
      </c>
      <c r="I252" s="6">
        <f t="shared" si="14"/>
        <v>555.98400000000004</v>
      </c>
      <c r="J252" s="7" t="s">
        <v>1028</v>
      </c>
      <c r="K252" s="17">
        <f t="shared" si="13"/>
        <v>9</v>
      </c>
    </row>
    <row r="253" spans="1:11" ht="13.95" customHeight="1" x14ac:dyDescent="0.3">
      <c r="A253" s="3">
        <v>45909</v>
      </c>
      <c r="B253" s="3" t="s">
        <v>679</v>
      </c>
      <c r="C253" s="3" t="s">
        <v>20</v>
      </c>
      <c r="D253" s="3" t="s">
        <v>707</v>
      </c>
      <c r="E253" s="4">
        <v>0.95</v>
      </c>
      <c r="F253" s="44">
        <v>1.9</v>
      </c>
      <c r="G253" s="21">
        <v>270</v>
      </c>
      <c r="H253" s="30">
        <v>1.3</v>
      </c>
      <c r="I253" s="6">
        <f t="shared" si="14"/>
        <v>633.55499999999995</v>
      </c>
      <c r="J253" s="7" t="s">
        <v>1029</v>
      </c>
      <c r="K253" s="17">
        <f t="shared" si="13"/>
        <v>9</v>
      </c>
    </row>
    <row r="254" spans="1:11" ht="13.95" customHeight="1" x14ac:dyDescent="0.3">
      <c r="A254" s="3">
        <v>45910</v>
      </c>
      <c r="B254" s="3" t="s">
        <v>679</v>
      </c>
      <c r="C254" s="3" t="s">
        <v>5</v>
      </c>
      <c r="D254" s="3" t="s">
        <v>706</v>
      </c>
      <c r="E254" s="4">
        <v>0.92</v>
      </c>
      <c r="F254" s="44">
        <v>1.8</v>
      </c>
      <c r="G254" s="21">
        <v>270</v>
      </c>
      <c r="H254" s="30">
        <v>1.3</v>
      </c>
      <c r="I254" s="6">
        <f t="shared" si="14"/>
        <v>581.25599999999997</v>
      </c>
      <c r="J254" s="7" t="s">
        <v>71</v>
      </c>
      <c r="K254" s="17">
        <f t="shared" si="13"/>
        <v>9</v>
      </c>
    </row>
    <row r="255" spans="1:11" ht="13.95" customHeight="1" x14ac:dyDescent="0.3">
      <c r="A255" s="3">
        <v>45911</v>
      </c>
      <c r="B255" s="3" t="s">
        <v>679</v>
      </c>
      <c r="C255" s="3" t="s">
        <v>8</v>
      </c>
      <c r="D255" s="3" t="s">
        <v>706</v>
      </c>
      <c r="E255" s="4">
        <v>0.85</v>
      </c>
      <c r="F255" s="44">
        <v>1.75</v>
      </c>
      <c r="G255" s="21">
        <v>270</v>
      </c>
      <c r="H255" s="30">
        <v>1.3</v>
      </c>
      <c r="I255" s="6">
        <f t="shared" si="14"/>
        <v>522.11250000000007</v>
      </c>
      <c r="J255" s="7" t="s">
        <v>71</v>
      </c>
      <c r="K255" s="17">
        <f t="shared" si="13"/>
        <v>9</v>
      </c>
    </row>
    <row r="256" spans="1:11" ht="13.95" customHeight="1" x14ac:dyDescent="0.3">
      <c r="A256" s="3">
        <v>45912</v>
      </c>
      <c r="B256" s="3" t="s">
        <v>679</v>
      </c>
      <c r="C256" s="3" t="s">
        <v>11</v>
      </c>
      <c r="D256" s="3" t="s">
        <v>44</v>
      </c>
      <c r="E256" s="4">
        <v>0.8</v>
      </c>
      <c r="F256" s="44">
        <v>1.8</v>
      </c>
      <c r="G256" s="21">
        <v>270</v>
      </c>
      <c r="H256" s="30">
        <v>1.3</v>
      </c>
      <c r="I256" s="6">
        <f t="shared" si="14"/>
        <v>505.44000000000005</v>
      </c>
      <c r="J256" s="7" t="s">
        <v>756</v>
      </c>
      <c r="K256" s="17">
        <f t="shared" si="13"/>
        <v>9</v>
      </c>
    </row>
    <row r="257" spans="1:11" ht="13.95" customHeight="1" x14ac:dyDescent="0.3">
      <c r="A257" s="3">
        <v>45913</v>
      </c>
      <c r="B257" s="3" t="s">
        <v>679</v>
      </c>
      <c r="C257" s="3" t="s">
        <v>13</v>
      </c>
      <c r="D257" s="3" t="s">
        <v>14</v>
      </c>
      <c r="E257" s="4">
        <v>0.72</v>
      </c>
      <c r="F257" s="44">
        <v>2.15</v>
      </c>
      <c r="G257" s="21">
        <v>270</v>
      </c>
      <c r="H257" s="30">
        <v>1.3</v>
      </c>
      <c r="I257" s="6">
        <f t="shared" si="14"/>
        <v>543.34799999999996</v>
      </c>
      <c r="J257" s="7" t="s">
        <v>739</v>
      </c>
      <c r="K257" s="17">
        <f t="shared" si="13"/>
        <v>9</v>
      </c>
    </row>
    <row r="258" spans="1:11" ht="13.95" customHeight="1" x14ac:dyDescent="0.3">
      <c r="A258" s="3">
        <v>45914</v>
      </c>
      <c r="B258" s="3" t="s">
        <v>679</v>
      </c>
      <c r="C258" s="3" t="s">
        <v>16</v>
      </c>
      <c r="D258" s="3" t="s">
        <v>14</v>
      </c>
      <c r="E258" s="4">
        <v>0.68</v>
      </c>
      <c r="F258" s="44">
        <v>2.2000000000000002</v>
      </c>
      <c r="G258" s="21">
        <v>270</v>
      </c>
      <c r="H258" s="30">
        <v>1.3</v>
      </c>
      <c r="I258" s="6">
        <f t="shared" si="14"/>
        <v>525.09600000000012</v>
      </c>
      <c r="J258" s="7" t="s">
        <v>758</v>
      </c>
      <c r="K258" s="17">
        <f t="shared" si="13"/>
        <v>9</v>
      </c>
    </row>
    <row r="259" spans="1:11" ht="13.95" customHeight="1" x14ac:dyDescent="0.3">
      <c r="A259" s="3">
        <v>45915</v>
      </c>
      <c r="B259" s="3" t="s">
        <v>679</v>
      </c>
      <c r="C259" s="3" t="s">
        <v>18</v>
      </c>
      <c r="D259" s="3" t="s">
        <v>706</v>
      </c>
      <c r="E259" s="4">
        <v>0.88</v>
      </c>
      <c r="F259" s="44">
        <v>1.8</v>
      </c>
      <c r="G259" s="21">
        <v>270</v>
      </c>
      <c r="H259" s="30">
        <v>1.3</v>
      </c>
      <c r="I259" s="6">
        <f t="shared" si="14"/>
        <v>555.98400000000004</v>
      </c>
      <c r="J259" s="7" t="s">
        <v>65</v>
      </c>
      <c r="K259" s="17">
        <f t="shared" ref="K259:K322" si="15">MONTH(A259)</f>
        <v>9</v>
      </c>
    </row>
    <row r="260" spans="1:11" ht="13.95" customHeight="1" x14ac:dyDescent="0.3">
      <c r="A260" s="3">
        <v>45916</v>
      </c>
      <c r="B260" s="3" t="s">
        <v>679</v>
      </c>
      <c r="C260" s="3" t="s">
        <v>20</v>
      </c>
      <c r="D260" s="3" t="s">
        <v>707</v>
      </c>
      <c r="E260" s="4">
        <v>0.92</v>
      </c>
      <c r="F260" s="44">
        <v>1.85</v>
      </c>
      <c r="G260" s="21">
        <v>270</v>
      </c>
      <c r="H260" s="30">
        <v>1.3</v>
      </c>
      <c r="I260" s="6">
        <f t="shared" si="14"/>
        <v>597.40200000000004</v>
      </c>
      <c r="J260" s="7" t="s">
        <v>959</v>
      </c>
      <c r="K260" s="17">
        <f t="shared" si="15"/>
        <v>9</v>
      </c>
    </row>
    <row r="261" spans="1:11" ht="13.95" customHeight="1" x14ac:dyDescent="0.3">
      <c r="A261" s="3">
        <v>45917</v>
      </c>
      <c r="B261" s="3" t="s">
        <v>679</v>
      </c>
      <c r="C261" s="3" t="s">
        <v>5</v>
      </c>
      <c r="D261" s="3" t="s">
        <v>706</v>
      </c>
      <c r="E261" s="4">
        <v>0.9</v>
      </c>
      <c r="F261" s="44">
        <v>1.8</v>
      </c>
      <c r="G261" s="21">
        <v>270</v>
      </c>
      <c r="H261" s="30">
        <v>1.3</v>
      </c>
      <c r="I261" s="6">
        <f t="shared" si="14"/>
        <v>568.62000000000012</v>
      </c>
      <c r="J261" s="7" t="s">
        <v>71</v>
      </c>
      <c r="K261" s="17">
        <f t="shared" si="15"/>
        <v>9</v>
      </c>
    </row>
    <row r="262" spans="1:11" ht="13.95" customHeight="1" x14ac:dyDescent="0.3">
      <c r="A262" s="3">
        <v>45918</v>
      </c>
      <c r="B262" s="3" t="s">
        <v>679</v>
      </c>
      <c r="C262" s="3" t="s">
        <v>8</v>
      </c>
      <c r="D262" s="3" t="s">
        <v>706</v>
      </c>
      <c r="E262" s="4">
        <v>0.85</v>
      </c>
      <c r="F262" s="44">
        <v>1.75</v>
      </c>
      <c r="G262" s="21">
        <v>270</v>
      </c>
      <c r="H262" s="30">
        <v>1.3</v>
      </c>
      <c r="I262" s="6">
        <f t="shared" si="14"/>
        <v>522.11250000000007</v>
      </c>
      <c r="J262" s="7" t="s">
        <v>71</v>
      </c>
      <c r="K262" s="17">
        <f t="shared" si="15"/>
        <v>9</v>
      </c>
    </row>
    <row r="263" spans="1:11" ht="13.95" customHeight="1" x14ac:dyDescent="0.3">
      <c r="A263" s="3">
        <v>45919</v>
      </c>
      <c r="B263" s="3" t="s">
        <v>679</v>
      </c>
      <c r="C263" s="3" t="s">
        <v>11</v>
      </c>
      <c r="D263" s="3" t="s">
        <v>44</v>
      </c>
      <c r="E263" s="4">
        <v>0.78</v>
      </c>
      <c r="F263" s="44">
        <v>1.75</v>
      </c>
      <c r="G263" s="21">
        <v>270</v>
      </c>
      <c r="H263" s="30">
        <v>1.3</v>
      </c>
      <c r="I263" s="6">
        <f t="shared" si="14"/>
        <v>479.11500000000001</v>
      </c>
      <c r="J263" s="7" t="s">
        <v>70</v>
      </c>
      <c r="K263" s="17">
        <f t="shared" si="15"/>
        <v>9</v>
      </c>
    </row>
    <row r="264" spans="1:11" ht="13.95" customHeight="1" x14ac:dyDescent="0.3">
      <c r="A264" s="3">
        <v>45920</v>
      </c>
      <c r="B264" s="3" t="s">
        <v>679</v>
      </c>
      <c r="C264" s="3" t="s">
        <v>13</v>
      </c>
      <c r="D264" s="3" t="s">
        <v>14</v>
      </c>
      <c r="E264" s="4">
        <v>0.75</v>
      </c>
      <c r="F264" s="44">
        <v>2.2000000000000002</v>
      </c>
      <c r="G264" s="21">
        <v>270</v>
      </c>
      <c r="H264" s="30">
        <v>1.3</v>
      </c>
      <c r="I264" s="6">
        <f t="shared" si="14"/>
        <v>579.15000000000009</v>
      </c>
      <c r="J264" s="7" t="s">
        <v>746</v>
      </c>
      <c r="K264" s="17">
        <f t="shared" si="15"/>
        <v>9</v>
      </c>
    </row>
    <row r="265" spans="1:11" ht="13.95" customHeight="1" x14ac:dyDescent="0.3">
      <c r="A265" s="3">
        <v>45921</v>
      </c>
      <c r="B265" s="3" t="s">
        <v>679</v>
      </c>
      <c r="C265" s="3" t="s">
        <v>16</v>
      </c>
      <c r="D265" s="3" t="s">
        <v>14</v>
      </c>
      <c r="E265" s="4">
        <v>0.7</v>
      </c>
      <c r="F265" s="44">
        <v>2.25</v>
      </c>
      <c r="G265" s="21">
        <v>270</v>
      </c>
      <c r="H265" s="30">
        <v>1.3</v>
      </c>
      <c r="I265" s="6">
        <f t="shared" si="14"/>
        <v>552.82500000000005</v>
      </c>
      <c r="J265" s="7" t="s">
        <v>1030</v>
      </c>
      <c r="K265" s="17">
        <f t="shared" si="15"/>
        <v>9</v>
      </c>
    </row>
    <row r="266" spans="1:11" ht="13.95" customHeight="1" x14ac:dyDescent="0.3">
      <c r="A266" s="3">
        <v>45922</v>
      </c>
      <c r="B266" s="3" t="s">
        <v>679</v>
      </c>
      <c r="C266" s="3" t="s">
        <v>18</v>
      </c>
      <c r="D266" s="3" t="s">
        <v>706</v>
      </c>
      <c r="E266" s="4">
        <v>0.85</v>
      </c>
      <c r="F266" s="44">
        <v>1.8</v>
      </c>
      <c r="G266" s="21">
        <v>270</v>
      </c>
      <c r="H266" s="30">
        <v>1.3</v>
      </c>
      <c r="I266" s="6">
        <f t="shared" si="14"/>
        <v>537.03000000000009</v>
      </c>
      <c r="J266" s="7" t="s">
        <v>65</v>
      </c>
      <c r="K266" s="17">
        <f t="shared" si="15"/>
        <v>9</v>
      </c>
    </row>
    <row r="267" spans="1:11" ht="13.95" customHeight="1" x14ac:dyDescent="0.3">
      <c r="A267" s="3">
        <v>45923</v>
      </c>
      <c r="B267" s="3" t="s">
        <v>679</v>
      </c>
      <c r="C267" s="3" t="s">
        <v>20</v>
      </c>
      <c r="D267" s="3" t="s">
        <v>707</v>
      </c>
      <c r="E267" s="4">
        <v>0.92</v>
      </c>
      <c r="F267" s="44">
        <v>1.85</v>
      </c>
      <c r="G267" s="21">
        <v>270</v>
      </c>
      <c r="H267" s="30">
        <v>1.3</v>
      </c>
      <c r="I267" s="6">
        <f t="shared" si="14"/>
        <v>597.40200000000004</v>
      </c>
      <c r="J267" s="7" t="s">
        <v>1031</v>
      </c>
      <c r="K267" s="17">
        <f t="shared" si="15"/>
        <v>9</v>
      </c>
    </row>
    <row r="268" spans="1:11" ht="13.95" customHeight="1" x14ac:dyDescent="0.3">
      <c r="A268" s="3">
        <v>45924</v>
      </c>
      <c r="B268" s="3" t="s">
        <v>679</v>
      </c>
      <c r="C268" s="3" t="s">
        <v>5</v>
      </c>
      <c r="D268" s="3" t="s">
        <v>706</v>
      </c>
      <c r="E268" s="4">
        <v>0.88</v>
      </c>
      <c r="F268" s="44">
        <v>1.8</v>
      </c>
      <c r="G268" s="21">
        <v>270</v>
      </c>
      <c r="H268" s="30">
        <v>1.3</v>
      </c>
      <c r="I268" s="6">
        <f t="shared" si="14"/>
        <v>555.98400000000004</v>
      </c>
      <c r="J268" s="7" t="s">
        <v>71</v>
      </c>
      <c r="K268" s="17">
        <f t="shared" si="15"/>
        <v>9</v>
      </c>
    </row>
    <row r="269" spans="1:11" ht="13.95" customHeight="1" x14ac:dyDescent="0.3">
      <c r="A269" s="3">
        <v>45925</v>
      </c>
      <c r="B269" s="3" t="s">
        <v>679</v>
      </c>
      <c r="C269" s="3" t="s">
        <v>8</v>
      </c>
      <c r="D269" s="3" t="s">
        <v>706</v>
      </c>
      <c r="E269" s="4">
        <v>0.85</v>
      </c>
      <c r="F269" s="44">
        <v>1.75</v>
      </c>
      <c r="G269" s="21">
        <v>270</v>
      </c>
      <c r="H269" s="30">
        <v>1.3</v>
      </c>
      <c r="I269" s="6">
        <f t="shared" si="14"/>
        <v>522.11250000000007</v>
      </c>
      <c r="J269" s="7" t="s">
        <v>71</v>
      </c>
      <c r="K269" s="17">
        <f t="shared" si="15"/>
        <v>9</v>
      </c>
    </row>
    <row r="270" spans="1:11" ht="13.95" customHeight="1" x14ac:dyDescent="0.3">
      <c r="A270" s="3">
        <v>45926</v>
      </c>
      <c r="B270" s="3" t="s">
        <v>679</v>
      </c>
      <c r="C270" s="3" t="s">
        <v>11</v>
      </c>
      <c r="D270" s="3" t="s">
        <v>44</v>
      </c>
      <c r="E270" s="4">
        <v>0.8</v>
      </c>
      <c r="F270" s="44">
        <v>1.75</v>
      </c>
      <c r="G270" s="21">
        <v>270</v>
      </c>
      <c r="H270" s="30">
        <v>1.3</v>
      </c>
      <c r="I270" s="6">
        <f t="shared" si="14"/>
        <v>491.40000000000003</v>
      </c>
      <c r="J270" s="7" t="s">
        <v>70</v>
      </c>
      <c r="K270" s="17">
        <f t="shared" si="15"/>
        <v>9</v>
      </c>
    </row>
    <row r="271" spans="1:11" ht="13.95" customHeight="1" x14ac:dyDescent="0.3">
      <c r="A271" s="3">
        <v>45927</v>
      </c>
      <c r="B271" s="3" t="s">
        <v>679</v>
      </c>
      <c r="C271" s="3" t="s">
        <v>13</v>
      </c>
      <c r="D271" s="3" t="s">
        <v>14</v>
      </c>
      <c r="E271" s="4">
        <v>0.75</v>
      </c>
      <c r="F271" s="44">
        <v>2.2000000000000002</v>
      </c>
      <c r="G271" s="21">
        <v>270</v>
      </c>
      <c r="H271" s="30">
        <v>1.3</v>
      </c>
      <c r="I271" s="6">
        <f t="shared" si="14"/>
        <v>579.15000000000009</v>
      </c>
      <c r="J271" s="7" t="s">
        <v>815</v>
      </c>
      <c r="K271" s="17">
        <f t="shared" si="15"/>
        <v>9</v>
      </c>
    </row>
    <row r="272" spans="1:11" ht="13.95" customHeight="1" x14ac:dyDescent="0.3">
      <c r="A272" s="3">
        <v>45928</v>
      </c>
      <c r="B272" s="3" t="s">
        <v>679</v>
      </c>
      <c r="C272" s="3" t="s">
        <v>16</v>
      </c>
      <c r="D272" s="3" t="s">
        <v>14</v>
      </c>
      <c r="E272" s="4">
        <v>0.68</v>
      </c>
      <c r="F272" s="44">
        <v>2.25</v>
      </c>
      <c r="G272" s="21">
        <v>270</v>
      </c>
      <c r="H272" s="30">
        <v>1.3</v>
      </c>
      <c r="I272" s="6">
        <f t="shared" si="14"/>
        <v>537.03000000000009</v>
      </c>
      <c r="J272" s="7" t="s">
        <v>758</v>
      </c>
      <c r="K272" s="17">
        <f t="shared" si="15"/>
        <v>9</v>
      </c>
    </row>
    <row r="273" spans="1:11" ht="13.95" customHeight="1" x14ac:dyDescent="0.3">
      <c r="A273" s="3">
        <v>45929</v>
      </c>
      <c r="B273" s="3" t="s">
        <v>679</v>
      </c>
      <c r="C273" s="3" t="s">
        <v>18</v>
      </c>
      <c r="D273" s="3" t="s">
        <v>706</v>
      </c>
      <c r="E273" s="4">
        <v>0.85</v>
      </c>
      <c r="F273" s="44">
        <v>1.8</v>
      </c>
      <c r="G273" s="21">
        <v>270</v>
      </c>
      <c r="H273" s="30">
        <v>1.3</v>
      </c>
      <c r="I273" s="6">
        <f t="shared" si="14"/>
        <v>537.03000000000009</v>
      </c>
      <c r="J273" s="7" t="s">
        <v>151</v>
      </c>
      <c r="K273" s="17">
        <f t="shared" si="15"/>
        <v>9</v>
      </c>
    </row>
    <row r="274" spans="1:11" ht="13.95" customHeight="1" x14ac:dyDescent="0.3">
      <c r="A274" s="3">
        <v>45930</v>
      </c>
      <c r="B274" s="3" t="s">
        <v>679</v>
      </c>
      <c r="C274" s="3" t="s">
        <v>20</v>
      </c>
      <c r="D274" s="3" t="s">
        <v>706</v>
      </c>
      <c r="E274" s="4">
        <v>0.9</v>
      </c>
      <c r="F274" s="44">
        <v>1.85</v>
      </c>
      <c r="G274" s="21">
        <v>270</v>
      </c>
      <c r="H274" s="30">
        <v>1.3</v>
      </c>
      <c r="I274" s="6">
        <f t="shared" si="14"/>
        <v>584.41500000000008</v>
      </c>
      <c r="J274" s="7" t="s">
        <v>1032</v>
      </c>
      <c r="K274" s="17">
        <f t="shared" si="15"/>
        <v>9</v>
      </c>
    </row>
    <row r="275" spans="1:11" ht="13.95" customHeight="1" x14ac:dyDescent="0.3">
      <c r="A275" s="3">
        <v>45931</v>
      </c>
      <c r="B275" s="3" t="s">
        <v>679</v>
      </c>
      <c r="C275" s="3" t="s">
        <v>5</v>
      </c>
      <c r="D275" s="3" t="s">
        <v>706</v>
      </c>
      <c r="E275" s="4">
        <v>0.9</v>
      </c>
      <c r="F275" s="44">
        <v>1.85</v>
      </c>
      <c r="G275" s="21">
        <v>270</v>
      </c>
      <c r="H275" s="30">
        <v>1.3</v>
      </c>
      <c r="I275" s="6">
        <f t="shared" si="14"/>
        <v>584.41500000000008</v>
      </c>
      <c r="J275" s="7" t="s">
        <v>1033</v>
      </c>
      <c r="K275" s="17">
        <f t="shared" si="15"/>
        <v>10</v>
      </c>
    </row>
    <row r="276" spans="1:11" ht="13.95" customHeight="1" x14ac:dyDescent="0.3">
      <c r="A276" s="3">
        <v>45932</v>
      </c>
      <c r="B276" s="3" t="s">
        <v>679</v>
      </c>
      <c r="C276" s="3" t="s">
        <v>8</v>
      </c>
      <c r="D276" s="3" t="s">
        <v>706</v>
      </c>
      <c r="E276" s="4">
        <v>0.88</v>
      </c>
      <c r="F276" s="44">
        <v>1.8</v>
      </c>
      <c r="G276" s="21">
        <v>270</v>
      </c>
      <c r="H276" s="30">
        <v>1.3</v>
      </c>
      <c r="I276" s="6">
        <f t="shared" si="14"/>
        <v>555.98400000000004</v>
      </c>
      <c r="J276" s="7" t="s">
        <v>952</v>
      </c>
      <c r="K276" s="17">
        <f t="shared" si="15"/>
        <v>10</v>
      </c>
    </row>
    <row r="277" spans="1:11" ht="13.95" customHeight="1" x14ac:dyDescent="0.3">
      <c r="A277" s="3">
        <v>45933</v>
      </c>
      <c r="B277" s="3" t="s">
        <v>679</v>
      </c>
      <c r="C277" s="3" t="s">
        <v>11</v>
      </c>
      <c r="D277" s="3" t="s">
        <v>44</v>
      </c>
      <c r="E277" s="4">
        <v>0.82</v>
      </c>
      <c r="F277" s="44">
        <v>1.8</v>
      </c>
      <c r="G277" s="21">
        <v>270</v>
      </c>
      <c r="H277" s="30">
        <v>1.3</v>
      </c>
      <c r="I277" s="6">
        <f t="shared" si="14"/>
        <v>518.07600000000002</v>
      </c>
      <c r="J277" s="7" t="s">
        <v>485</v>
      </c>
      <c r="K277" s="17">
        <f t="shared" si="15"/>
        <v>10</v>
      </c>
    </row>
    <row r="278" spans="1:11" ht="13.95" customHeight="1" x14ac:dyDescent="0.3">
      <c r="A278" s="3">
        <v>45934</v>
      </c>
      <c r="B278" s="3" t="s">
        <v>679</v>
      </c>
      <c r="C278" s="3" t="s">
        <v>13</v>
      </c>
      <c r="D278" s="3" t="s">
        <v>14</v>
      </c>
      <c r="E278" s="4">
        <v>0.75</v>
      </c>
      <c r="F278" s="44">
        <v>2.25</v>
      </c>
      <c r="G278" s="21">
        <v>270</v>
      </c>
      <c r="H278" s="30">
        <v>1.3</v>
      </c>
      <c r="I278" s="6">
        <f t="shared" ref="I278:I341" si="16">(G278*E278)*F278*H278</f>
        <v>592.3125</v>
      </c>
      <c r="J278" s="7" t="s">
        <v>1034</v>
      </c>
      <c r="K278" s="17">
        <f t="shared" si="15"/>
        <v>10</v>
      </c>
    </row>
    <row r="279" spans="1:11" ht="13.95" customHeight="1" x14ac:dyDescent="0.3">
      <c r="A279" s="3">
        <v>45935</v>
      </c>
      <c r="B279" s="3" t="s">
        <v>679</v>
      </c>
      <c r="C279" s="3" t="s">
        <v>16</v>
      </c>
      <c r="D279" s="3" t="s">
        <v>14</v>
      </c>
      <c r="E279" s="4">
        <v>0.7</v>
      </c>
      <c r="F279" s="44">
        <v>2.2999999999999998</v>
      </c>
      <c r="G279" s="21">
        <v>270</v>
      </c>
      <c r="H279" s="30">
        <v>1.3</v>
      </c>
      <c r="I279" s="6">
        <f t="shared" si="16"/>
        <v>565.11</v>
      </c>
      <c r="J279" s="7" t="s">
        <v>1035</v>
      </c>
      <c r="K279" s="17">
        <f t="shared" si="15"/>
        <v>10</v>
      </c>
    </row>
    <row r="280" spans="1:11" ht="13.95" customHeight="1" x14ac:dyDescent="0.3">
      <c r="A280" s="3">
        <v>45936</v>
      </c>
      <c r="B280" s="3" t="s">
        <v>679</v>
      </c>
      <c r="C280" s="3" t="s">
        <v>18</v>
      </c>
      <c r="D280" s="3" t="s">
        <v>706</v>
      </c>
      <c r="E280" s="4">
        <v>0.92</v>
      </c>
      <c r="F280" s="44">
        <v>1.85</v>
      </c>
      <c r="G280" s="21">
        <v>270</v>
      </c>
      <c r="H280" s="30">
        <v>1.3</v>
      </c>
      <c r="I280" s="6">
        <f t="shared" si="16"/>
        <v>597.40200000000004</v>
      </c>
      <c r="J280" s="7" t="s">
        <v>1036</v>
      </c>
      <c r="K280" s="17">
        <f t="shared" si="15"/>
        <v>10</v>
      </c>
    </row>
    <row r="281" spans="1:11" ht="13.95" customHeight="1" x14ac:dyDescent="0.3">
      <c r="A281" s="3">
        <v>45937</v>
      </c>
      <c r="B281" s="3" t="s">
        <v>679</v>
      </c>
      <c r="C281" s="3" t="s">
        <v>20</v>
      </c>
      <c r="D281" s="3" t="s">
        <v>707</v>
      </c>
      <c r="E281" s="4">
        <v>0.96</v>
      </c>
      <c r="F281" s="44">
        <v>1.9</v>
      </c>
      <c r="G281" s="21">
        <v>270</v>
      </c>
      <c r="H281" s="30">
        <v>1.3</v>
      </c>
      <c r="I281" s="6">
        <f t="shared" si="16"/>
        <v>640.22399999999993</v>
      </c>
      <c r="J281" s="7" t="s">
        <v>1037</v>
      </c>
      <c r="K281" s="17">
        <f t="shared" si="15"/>
        <v>10</v>
      </c>
    </row>
    <row r="282" spans="1:11" ht="13.95" customHeight="1" x14ac:dyDescent="0.3">
      <c r="A282" s="3">
        <v>45938</v>
      </c>
      <c r="B282" s="3" t="s">
        <v>679</v>
      </c>
      <c r="C282" s="3" t="s">
        <v>5</v>
      </c>
      <c r="D282" s="3" t="s">
        <v>706</v>
      </c>
      <c r="E282" s="4">
        <v>0.94</v>
      </c>
      <c r="F282" s="44">
        <v>1.85</v>
      </c>
      <c r="G282" s="21">
        <v>270</v>
      </c>
      <c r="H282" s="30">
        <v>1.3</v>
      </c>
      <c r="I282" s="6">
        <f t="shared" si="16"/>
        <v>610.38900000000001</v>
      </c>
      <c r="J282" s="7" t="s">
        <v>1038</v>
      </c>
      <c r="K282" s="17">
        <f t="shared" si="15"/>
        <v>10</v>
      </c>
    </row>
    <row r="283" spans="1:11" ht="13.95" customHeight="1" x14ac:dyDescent="0.3">
      <c r="A283" s="3">
        <v>45939</v>
      </c>
      <c r="B283" s="3" t="s">
        <v>679</v>
      </c>
      <c r="C283" s="3" t="s">
        <v>8</v>
      </c>
      <c r="D283" s="3" t="s">
        <v>706</v>
      </c>
      <c r="E283" s="4">
        <v>0.9</v>
      </c>
      <c r="F283" s="44">
        <v>1.8</v>
      </c>
      <c r="G283" s="21">
        <v>270</v>
      </c>
      <c r="H283" s="30">
        <v>1.3</v>
      </c>
      <c r="I283" s="6">
        <f t="shared" si="16"/>
        <v>568.62000000000012</v>
      </c>
      <c r="J283" s="7" t="s">
        <v>71</v>
      </c>
      <c r="K283" s="17">
        <f t="shared" si="15"/>
        <v>10</v>
      </c>
    </row>
    <row r="284" spans="1:11" ht="13.95" customHeight="1" x14ac:dyDescent="0.3">
      <c r="A284" s="3">
        <v>45940</v>
      </c>
      <c r="B284" s="3" t="s">
        <v>679</v>
      </c>
      <c r="C284" s="3" t="s">
        <v>11</v>
      </c>
      <c r="D284" s="3" t="s">
        <v>44</v>
      </c>
      <c r="E284" s="4">
        <v>0.85</v>
      </c>
      <c r="F284" s="44">
        <v>1.85</v>
      </c>
      <c r="G284" s="21">
        <v>270</v>
      </c>
      <c r="H284" s="30">
        <v>1.3</v>
      </c>
      <c r="I284" s="6">
        <f t="shared" si="16"/>
        <v>551.9475000000001</v>
      </c>
      <c r="J284" s="7" t="s">
        <v>756</v>
      </c>
      <c r="K284" s="17">
        <f t="shared" si="15"/>
        <v>10</v>
      </c>
    </row>
    <row r="285" spans="1:11" ht="13.95" customHeight="1" x14ac:dyDescent="0.3">
      <c r="A285" s="3">
        <v>45941</v>
      </c>
      <c r="B285" s="3" t="s">
        <v>679</v>
      </c>
      <c r="C285" s="3" t="s">
        <v>13</v>
      </c>
      <c r="D285" s="3" t="s">
        <v>14</v>
      </c>
      <c r="E285" s="4">
        <v>0.78</v>
      </c>
      <c r="F285" s="44">
        <v>2.2999999999999998</v>
      </c>
      <c r="G285" s="21">
        <v>270</v>
      </c>
      <c r="H285" s="30">
        <v>1.3</v>
      </c>
      <c r="I285" s="6">
        <f t="shared" si="16"/>
        <v>629.69399999999996</v>
      </c>
      <c r="J285" s="7" t="s">
        <v>739</v>
      </c>
      <c r="K285" s="17">
        <f t="shared" si="15"/>
        <v>10</v>
      </c>
    </row>
    <row r="286" spans="1:11" ht="13.95" customHeight="1" x14ac:dyDescent="0.3">
      <c r="A286" s="3">
        <v>45942</v>
      </c>
      <c r="B286" s="3" t="s">
        <v>679</v>
      </c>
      <c r="C286" s="3" t="s">
        <v>16</v>
      </c>
      <c r="D286" s="3" t="s">
        <v>14</v>
      </c>
      <c r="E286" s="4">
        <v>0.72</v>
      </c>
      <c r="F286" s="44">
        <v>2.35</v>
      </c>
      <c r="G286" s="21">
        <v>270</v>
      </c>
      <c r="H286" s="30">
        <v>1.3</v>
      </c>
      <c r="I286" s="6">
        <f t="shared" si="16"/>
        <v>593.89200000000005</v>
      </c>
      <c r="J286" s="7" t="s">
        <v>947</v>
      </c>
      <c r="K286" s="17">
        <f t="shared" si="15"/>
        <v>10</v>
      </c>
    </row>
    <row r="287" spans="1:11" ht="13.95" customHeight="1" x14ac:dyDescent="0.3">
      <c r="A287" s="3">
        <v>45943</v>
      </c>
      <c r="B287" s="3" t="s">
        <v>679</v>
      </c>
      <c r="C287" s="3" t="s">
        <v>18</v>
      </c>
      <c r="D287" s="3" t="s">
        <v>706</v>
      </c>
      <c r="E287" s="4">
        <v>0.9</v>
      </c>
      <c r="F287" s="44">
        <v>1.85</v>
      </c>
      <c r="G287" s="21">
        <v>270</v>
      </c>
      <c r="H287" s="30">
        <v>1.3</v>
      </c>
      <c r="I287" s="6">
        <f t="shared" si="16"/>
        <v>584.41500000000008</v>
      </c>
      <c r="J287" s="7" t="s">
        <v>579</v>
      </c>
      <c r="K287" s="17">
        <f t="shared" si="15"/>
        <v>10</v>
      </c>
    </row>
    <row r="288" spans="1:11" ht="13.95" customHeight="1" x14ac:dyDescent="0.3">
      <c r="A288" s="3">
        <v>45944</v>
      </c>
      <c r="B288" s="3" t="s">
        <v>679</v>
      </c>
      <c r="C288" s="3" t="s">
        <v>20</v>
      </c>
      <c r="D288" s="3" t="s">
        <v>707</v>
      </c>
      <c r="E288" s="4">
        <v>0.95</v>
      </c>
      <c r="F288" s="44">
        <v>1.9</v>
      </c>
      <c r="G288" s="21">
        <v>270</v>
      </c>
      <c r="H288" s="30">
        <v>1.3</v>
      </c>
      <c r="I288" s="6">
        <f t="shared" si="16"/>
        <v>633.55499999999995</v>
      </c>
      <c r="J288" s="7" t="s">
        <v>1039</v>
      </c>
      <c r="K288" s="17">
        <f t="shared" si="15"/>
        <v>10</v>
      </c>
    </row>
    <row r="289" spans="1:11" ht="13.95" customHeight="1" x14ac:dyDescent="0.3">
      <c r="A289" s="3">
        <v>45945</v>
      </c>
      <c r="B289" s="3" t="s">
        <v>679</v>
      </c>
      <c r="C289" s="3" t="s">
        <v>5</v>
      </c>
      <c r="D289" s="3" t="s">
        <v>865</v>
      </c>
      <c r="E289" s="4">
        <v>0.75</v>
      </c>
      <c r="F289" s="44">
        <v>2.2000000000000002</v>
      </c>
      <c r="G289" s="21">
        <v>270</v>
      </c>
      <c r="H289" s="30">
        <v>1.3</v>
      </c>
      <c r="I289" s="6">
        <f t="shared" si="16"/>
        <v>579.15000000000009</v>
      </c>
      <c r="J289" s="7" t="s">
        <v>1040</v>
      </c>
      <c r="K289" s="17">
        <f t="shared" si="15"/>
        <v>10</v>
      </c>
    </row>
    <row r="290" spans="1:11" ht="13.95" customHeight="1" x14ac:dyDescent="0.3">
      <c r="A290" s="3">
        <v>45946</v>
      </c>
      <c r="B290" s="3" t="s">
        <v>679</v>
      </c>
      <c r="C290" s="3" t="s">
        <v>8</v>
      </c>
      <c r="D290" s="3" t="s">
        <v>706</v>
      </c>
      <c r="E290" s="4">
        <v>0.88</v>
      </c>
      <c r="F290" s="44">
        <v>1.8</v>
      </c>
      <c r="G290" s="21">
        <v>270</v>
      </c>
      <c r="H290" s="30">
        <v>1.3</v>
      </c>
      <c r="I290" s="6">
        <f t="shared" si="16"/>
        <v>555.98400000000004</v>
      </c>
      <c r="J290" s="7" t="s">
        <v>957</v>
      </c>
      <c r="K290" s="17">
        <f t="shared" si="15"/>
        <v>10</v>
      </c>
    </row>
    <row r="291" spans="1:11" ht="13.95" customHeight="1" x14ac:dyDescent="0.3">
      <c r="A291" s="3">
        <v>45947</v>
      </c>
      <c r="B291" s="3" t="s">
        <v>679</v>
      </c>
      <c r="C291" s="3" t="s">
        <v>11</v>
      </c>
      <c r="D291" s="3" t="s">
        <v>44</v>
      </c>
      <c r="E291" s="4">
        <v>0.82</v>
      </c>
      <c r="F291" s="44">
        <v>1.8</v>
      </c>
      <c r="G291" s="21">
        <v>270</v>
      </c>
      <c r="H291" s="30">
        <v>1.3</v>
      </c>
      <c r="I291" s="6">
        <f t="shared" si="16"/>
        <v>518.07600000000002</v>
      </c>
      <c r="J291" s="7" t="s">
        <v>70</v>
      </c>
      <c r="K291" s="17">
        <f t="shared" si="15"/>
        <v>10</v>
      </c>
    </row>
    <row r="292" spans="1:11" ht="13.95" customHeight="1" x14ac:dyDescent="0.3">
      <c r="A292" s="3">
        <v>45948</v>
      </c>
      <c r="B292" s="3" t="s">
        <v>679</v>
      </c>
      <c r="C292" s="3" t="s">
        <v>13</v>
      </c>
      <c r="D292" s="3" t="s">
        <v>14</v>
      </c>
      <c r="E292" s="4">
        <v>0.8</v>
      </c>
      <c r="F292" s="44">
        <v>2.2999999999999998</v>
      </c>
      <c r="G292" s="21">
        <v>270</v>
      </c>
      <c r="H292" s="30">
        <v>1.3</v>
      </c>
      <c r="I292" s="6">
        <f t="shared" si="16"/>
        <v>645.83999999999992</v>
      </c>
      <c r="J292" s="7" t="s">
        <v>746</v>
      </c>
      <c r="K292" s="17">
        <f t="shared" si="15"/>
        <v>10</v>
      </c>
    </row>
    <row r="293" spans="1:11" ht="13.95" customHeight="1" x14ac:dyDescent="0.3">
      <c r="A293" s="3">
        <v>45949</v>
      </c>
      <c r="B293" s="3" t="s">
        <v>679</v>
      </c>
      <c r="C293" s="3" t="s">
        <v>16</v>
      </c>
      <c r="D293" s="3" t="s">
        <v>14</v>
      </c>
      <c r="E293" s="4">
        <v>0.75</v>
      </c>
      <c r="F293" s="44">
        <v>2.35</v>
      </c>
      <c r="G293" s="21">
        <v>270</v>
      </c>
      <c r="H293" s="30">
        <v>1.3</v>
      </c>
      <c r="I293" s="6">
        <f t="shared" si="16"/>
        <v>618.63750000000005</v>
      </c>
      <c r="J293" s="7" t="s">
        <v>1030</v>
      </c>
      <c r="K293" s="17">
        <f t="shared" si="15"/>
        <v>10</v>
      </c>
    </row>
    <row r="294" spans="1:11" ht="13.95" customHeight="1" x14ac:dyDescent="0.3">
      <c r="A294" s="3">
        <v>45950</v>
      </c>
      <c r="B294" s="3" t="s">
        <v>679</v>
      </c>
      <c r="C294" s="3" t="s">
        <v>18</v>
      </c>
      <c r="D294" s="3" t="s">
        <v>706</v>
      </c>
      <c r="E294" s="4">
        <v>0.92</v>
      </c>
      <c r="F294" s="44">
        <v>1.85</v>
      </c>
      <c r="G294" s="21">
        <v>270</v>
      </c>
      <c r="H294" s="30">
        <v>1.3</v>
      </c>
      <c r="I294" s="6">
        <f t="shared" si="16"/>
        <v>597.40200000000004</v>
      </c>
      <c r="J294" s="7" t="s">
        <v>65</v>
      </c>
      <c r="K294" s="17">
        <f t="shared" si="15"/>
        <v>10</v>
      </c>
    </row>
    <row r="295" spans="1:11" ht="13.95" customHeight="1" x14ac:dyDescent="0.3">
      <c r="A295" s="3">
        <v>45951</v>
      </c>
      <c r="B295" s="3" t="s">
        <v>679</v>
      </c>
      <c r="C295" s="3" t="s">
        <v>20</v>
      </c>
      <c r="D295" s="3" t="s">
        <v>707</v>
      </c>
      <c r="E295" s="4">
        <v>0.96</v>
      </c>
      <c r="F295" s="44">
        <v>1.9</v>
      </c>
      <c r="G295" s="21">
        <v>270</v>
      </c>
      <c r="H295" s="30">
        <v>1.3</v>
      </c>
      <c r="I295" s="6">
        <f t="shared" si="16"/>
        <v>640.22399999999993</v>
      </c>
      <c r="J295" s="7" t="s">
        <v>1041</v>
      </c>
      <c r="K295" s="17">
        <f t="shared" si="15"/>
        <v>10</v>
      </c>
    </row>
    <row r="296" spans="1:11" ht="13.95" customHeight="1" x14ac:dyDescent="0.3">
      <c r="A296" s="3">
        <v>45952</v>
      </c>
      <c r="B296" s="3" t="s">
        <v>679</v>
      </c>
      <c r="C296" s="3" t="s">
        <v>5</v>
      </c>
      <c r="D296" s="3" t="s">
        <v>706</v>
      </c>
      <c r="E296" s="4">
        <v>0.94</v>
      </c>
      <c r="F296" s="44">
        <v>1.85</v>
      </c>
      <c r="G296" s="21">
        <v>270</v>
      </c>
      <c r="H296" s="30">
        <v>1.3</v>
      </c>
      <c r="I296" s="6">
        <f t="shared" si="16"/>
        <v>610.38900000000001</v>
      </c>
      <c r="J296" s="7" t="s">
        <v>71</v>
      </c>
      <c r="K296" s="17">
        <f t="shared" si="15"/>
        <v>10</v>
      </c>
    </row>
    <row r="297" spans="1:11" ht="13.95" customHeight="1" x14ac:dyDescent="0.3">
      <c r="A297" s="3">
        <v>45953</v>
      </c>
      <c r="B297" s="3" t="s">
        <v>679</v>
      </c>
      <c r="C297" s="3" t="s">
        <v>8</v>
      </c>
      <c r="D297" s="3" t="s">
        <v>706</v>
      </c>
      <c r="E297" s="4">
        <v>0.9</v>
      </c>
      <c r="F297" s="44">
        <v>1.8</v>
      </c>
      <c r="G297" s="21">
        <v>270</v>
      </c>
      <c r="H297" s="30">
        <v>1.3</v>
      </c>
      <c r="I297" s="6">
        <f t="shared" si="16"/>
        <v>568.62000000000012</v>
      </c>
      <c r="J297" s="7" t="s">
        <v>71</v>
      </c>
      <c r="K297" s="17">
        <f t="shared" si="15"/>
        <v>10</v>
      </c>
    </row>
    <row r="298" spans="1:11" ht="13.95" customHeight="1" x14ac:dyDescent="0.3">
      <c r="A298" s="3">
        <v>45954</v>
      </c>
      <c r="B298" s="3" t="s">
        <v>679</v>
      </c>
      <c r="C298" s="3" t="s">
        <v>11</v>
      </c>
      <c r="D298" s="3" t="s">
        <v>44</v>
      </c>
      <c r="E298" s="4">
        <v>0.85</v>
      </c>
      <c r="F298" s="44">
        <v>1.85</v>
      </c>
      <c r="G298" s="21">
        <v>270</v>
      </c>
      <c r="H298" s="30">
        <v>1.3</v>
      </c>
      <c r="I298" s="6">
        <f t="shared" si="16"/>
        <v>551.9475000000001</v>
      </c>
      <c r="J298" s="7" t="s">
        <v>729</v>
      </c>
      <c r="K298" s="17">
        <f t="shared" si="15"/>
        <v>10</v>
      </c>
    </row>
    <row r="299" spans="1:11" ht="13.95" customHeight="1" x14ac:dyDescent="0.3">
      <c r="A299" s="3">
        <v>45955</v>
      </c>
      <c r="B299" s="3" t="s">
        <v>679</v>
      </c>
      <c r="C299" s="3" t="s">
        <v>13</v>
      </c>
      <c r="D299" s="3" t="s">
        <v>14</v>
      </c>
      <c r="E299" s="4">
        <v>0.8</v>
      </c>
      <c r="F299" s="44">
        <v>2.35</v>
      </c>
      <c r="G299" s="21">
        <v>270</v>
      </c>
      <c r="H299" s="30">
        <v>1.3</v>
      </c>
      <c r="I299" s="6">
        <f t="shared" si="16"/>
        <v>659.88</v>
      </c>
      <c r="J299" s="7" t="s">
        <v>899</v>
      </c>
      <c r="K299" s="17">
        <f t="shared" si="15"/>
        <v>10</v>
      </c>
    </row>
    <row r="300" spans="1:11" ht="13.95" customHeight="1" x14ac:dyDescent="0.3">
      <c r="A300" s="3">
        <v>45956</v>
      </c>
      <c r="B300" s="3" t="s">
        <v>679</v>
      </c>
      <c r="C300" s="3" t="s">
        <v>16</v>
      </c>
      <c r="D300" s="3" t="s">
        <v>14</v>
      </c>
      <c r="E300" s="4">
        <v>0.75</v>
      </c>
      <c r="F300" s="44">
        <v>2.4</v>
      </c>
      <c r="G300" s="21">
        <v>270</v>
      </c>
      <c r="H300" s="30">
        <v>1.3</v>
      </c>
      <c r="I300" s="6">
        <f t="shared" si="16"/>
        <v>631.80000000000007</v>
      </c>
      <c r="J300" s="7" t="s">
        <v>238</v>
      </c>
      <c r="K300" s="17">
        <f t="shared" si="15"/>
        <v>10</v>
      </c>
    </row>
    <row r="301" spans="1:11" ht="13.95" customHeight="1" x14ac:dyDescent="0.3">
      <c r="A301" s="3">
        <v>45957</v>
      </c>
      <c r="B301" s="3" t="s">
        <v>679</v>
      </c>
      <c r="C301" s="3" t="s">
        <v>18</v>
      </c>
      <c r="D301" s="3" t="s">
        <v>706</v>
      </c>
      <c r="E301" s="4">
        <v>0.9</v>
      </c>
      <c r="F301" s="44">
        <v>1.85</v>
      </c>
      <c r="G301" s="21">
        <v>270</v>
      </c>
      <c r="H301" s="30">
        <v>1.3</v>
      </c>
      <c r="I301" s="6">
        <f t="shared" si="16"/>
        <v>584.41500000000008</v>
      </c>
      <c r="J301" s="7" t="s">
        <v>65</v>
      </c>
      <c r="K301" s="17">
        <f t="shared" si="15"/>
        <v>10</v>
      </c>
    </row>
    <row r="302" spans="1:11" ht="13.95" customHeight="1" x14ac:dyDescent="0.3">
      <c r="A302" s="3">
        <v>45958</v>
      </c>
      <c r="B302" s="3" t="s">
        <v>679</v>
      </c>
      <c r="C302" s="3" t="s">
        <v>20</v>
      </c>
      <c r="D302" s="3" t="s">
        <v>707</v>
      </c>
      <c r="E302" s="4">
        <v>0.94</v>
      </c>
      <c r="F302" s="44">
        <v>1.9</v>
      </c>
      <c r="G302" s="21">
        <v>270</v>
      </c>
      <c r="H302" s="30">
        <v>1.3</v>
      </c>
      <c r="I302" s="6">
        <f t="shared" si="16"/>
        <v>626.88599999999997</v>
      </c>
      <c r="J302" s="7" t="s">
        <v>1042</v>
      </c>
      <c r="K302" s="17">
        <f t="shared" si="15"/>
        <v>10</v>
      </c>
    </row>
    <row r="303" spans="1:11" ht="13.95" customHeight="1" x14ac:dyDescent="0.3">
      <c r="A303" s="3">
        <v>45959</v>
      </c>
      <c r="B303" s="3" t="s">
        <v>679</v>
      </c>
      <c r="C303" s="3" t="s">
        <v>5</v>
      </c>
      <c r="D303" s="3" t="s">
        <v>706</v>
      </c>
      <c r="E303" s="4">
        <v>0.92</v>
      </c>
      <c r="F303" s="44">
        <v>1.85</v>
      </c>
      <c r="G303" s="21">
        <v>270</v>
      </c>
      <c r="H303" s="30">
        <v>1.3</v>
      </c>
      <c r="I303" s="6">
        <f t="shared" si="16"/>
        <v>597.40200000000004</v>
      </c>
      <c r="J303" s="7" t="s">
        <v>71</v>
      </c>
      <c r="K303" s="17">
        <f t="shared" si="15"/>
        <v>10</v>
      </c>
    </row>
    <row r="304" spans="1:11" ht="13.95" customHeight="1" x14ac:dyDescent="0.3">
      <c r="A304" s="3">
        <v>45960</v>
      </c>
      <c r="B304" s="3" t="s">
        <v>679</v>
      </c>
      <c r="C304" s="3" t="s">
        <v>8</v>
      </c>
      <c r="D304" s="3" t="s">
        <v>706</v>
      </c>
      <c r="E304" s="4">
        <v>0.88</v>
      </c>
      <c r="F304" s="44">
        <v>1.8</v>
      </c>
      <c r="G304" s="21">
        <v>270</v>
      </c>
      <c r="H304" s="30">
        <v>1.3</v>
      </c>
      <c r="I304" s="6">
        <f t="shared" si="16"/>
        <v>555.98400000000004</v>
      </c>
      <c r="J304" s="7" t="s">
        <v>71</v>
      </c>
      <c r="K304" s="17">
        <f t="shared" si="15"/>
        <v>10</v>
      </c>
    </row>
    <row r="305" spans="1:11" ht="13.95" customHeight="1" x14ac:dyDescent="0.3">
      <c r="A305" s="3">
        <v>45961</v>
      </c>
      <c r="B305" s="3" t="s">
        <v>679</v>
      </c>
      <c r="C305" s="3" t="s">
        <v>11</v>
      </c>
      <c r="D305" s="3" t="s">
        <v>44</v>
      </c>
      <c r="E305" s="4">
        <v>0.85</v>
      </c>
      <c r="F305" s="44">
        <v>1.9</v>
      </c>
      <c r="G305" s="21">
        <v>270</v>
      </c>
      <c r="H305" s="30">
        <v>1.3</v>
      </c>
      <c r="I305" s="6">
        <f t="shared" si="16"/>
        <v>566.86500000000001</v>
      </c>
      <c r="J305" s="7" t="s">
        <v>1043</v>
      </c>
      <c r="K305" s="17">
        <f t="shared" si="15"/>
        <v>10</v>
      </c>
    </row>
    <row r="306" spans="1:11" ht="13.95" customHeight="1" x14ac:dyDescent="0.3">
      <c r="A306" s="3">
        <v>45962</v>
      </c>
      <c r="B306" s="3" t="s">
        <v>679</v>
      </c>
      <c r="C306" s="3" t="s">
        <v>13</v>
      </c>
      <c r="D306" s="3" t="s">
        <v>14</v>
      </c>
      <c r="E306" s="4">
        <v>0.75</v>
      </c>
      <c r="F306" s="44">
        <v>2.25</v>
      </c>
      <c r="G306" s="21">
        <v>270</v>
      </c>
      <c r="H306" s="30">
        <v>1.3</v>
      </c>
      <c r="I306" s="6">
        <f t="shared" si="16"/>
        <v>592.3125</v>
      </c>
      <c r="J306" s="7" t="s">
        <v>1044</v>
      </c>
      <c r="K306" s="17">
        <f t="shared" si="15"/>
        <v>11</v>
      </c>
    </row>
    <row r="307" spans="1:11" ht="13.95" customHeight="1" x14ac:dyDescent="0.3">
      <c r="A307" s="3">
        <v>45963</v>
      </c>
      <c r="B307" s="3" t="s">
        <v>679</v>
      </c>
      <c r="C307" s="3" t="s">
        <v>16</v>
      </c>
      <c r="D307" s="3" t="s">
        <v>14</v>
      </c>
      <c r="E307" s="4">
        <v>0.7</v>
      </c>
      <c r="F307" s="44">
        <v>2.35</v>
      </c>
      <c r="G307" s="21">
        <v>270</v>
      </c>
      <c r="H307" s="30">
        <v>1.3</v>
      </c>
      <c r="I307" s="6">
        <f t="shared" si="16"/>
        <v>577.3950000000001</v>
      </c>
      <c r="J307" s="7" t="s">
        <v>1035</v>
      </c>
      <c r="K307" s="17">
        <f t="shared" si="15"/>
        <v>11</v>
      </c>
    </row>
    <row r="308" spans="1:11" ht="13.95" customHeight="1" x14ac:dyDescent="0.3">
      <c r="A308" s="3">
        <v>45964</v>
      </c>
      <c r="B308" s="3" t="s">
        <v>679</v>
      </c>
      <c r="C308" s="3" t="s">
        <v>18</v>
      </c>
      <c r="D308" s="3" t="s">
        <v>706</v>
      </c>
      <c r="E308" s="4">
        <v>0.88</v>
      </c>
      <c r="F308" s="44">
        <v>1.85</v>
      </c>
      <c r="G308" s="21">
        <v>270</v>
      </c>
      <c r="H308" s="30">
        <v>1.3</v>
      </c>
      <c r="I308" s="6">
        <f t="shared" si="16"/>
        <v>571.428</v>
      </c>
      <c r="J308" s="7" t="s">
        <v>1036</v>
      </c>
      <c r="K308" s="17">
        <f t="shared" si="15"/>
        <v>11</v>
      </c>
    </row>
    <row r="309" spans="1:11" ht="13.95" customHeight="1" x14ac:dyDescent="0.3">
      <c r="A309" s="3">
        <v>45965</v>
      </c>
      <c r="B309" s="3" t="s">
        <v>679</v>
      </c>
      <c r="C309" s="3" t="s">
        <v>20</v>
      </c>
      <c r="D309" s="3" t="s">
        <v>707</v>
      </c>
      <c r="E309" s="4">
        <v>0.94</v>
      </c>
      <c r="F309" s="44">
        <v>1.9</v>
      </c>
      <c r="G309" s="21">
        <v>270</v>
      </c>
      <c r="H309" s="30">
        <v>1.3</v>
      </c>
      <c r="I309" s="6">
        <f t="shared" si="16"/>
        <v>626.88599999999997</v>
      </c>
      <c r="J309" s="7" t="s">
        <v>1045</v>
      </c>
      <c r="K309" s="17">
        <f t="shared" si="15"/>
        <v>11</v>
      </c>
    </row>
    <row r="310" spans="1:11" ht="13.95" customHeight="1" x14ac:dyDescent="0.3">
      <c r="A310" s="3">
        <v>45966</v>
      </c>
      <c r="B310" s="3" t="s">
        <v>679</v>
      </c>
      <c r="C310" s="3" t="s">
        <v>5</v>
      </c>
      <c r="D310" s="3" t="s">
        <v>706</v>
      </c>
      <c r="E310" s="4">
        <v>0.92</v>
      </c>
      <c r="F310" s="44">
        <v>1.85</v>
      </c>
      <c r="G310" s="21">
        <v>270</v>
      </c>
      <c r="H310" s="30">
        <v>1.3</v>
      </c>
      <c r="I310" s="6">
        <f t="shared" si="16"/>
        <v>597.40200000000004</v>
      </c>
      <c r="J310" s="7" t="s">
        <v>1038</v>
      </c>
      <c r="K310" s="17">
        <f t="shared" si="15"/>
        <v>11</v>
      </c>
    </row>
    <row r="311" spans="1:11" ht="13.95" customHeight="1" x14ac:dyDescent="0.3">
      <c r="A311" s="3">
        <v>45967</v>
      </c>
      <c r="B311" s="3" t="s">
        <v>679</v>
      </c>
      <c r="C311" s="3" t="s">
        <v>8</v>
      </c>
      <c r="D311" s="3" t="s">
        <v>706</v>
      </c>
      <c r="E311" s="4">
        <v>0.85</v>
      </c>
      <c r="F311" s="44">
        <v>1.8</v>
      </c>
      <c r="G311" s="21">
        <v>270</v>
      </c>
      <c r="H311" s="30">
        <v>1.3</v>
      </c>
      <c r="I311" s="6">
        <f t="shared" si="16"/>
        <v>537.03000000000009</v>
      </c>
      <c r="J311" s="7" t="s">
        <v>712</v>
      </c>
      <c r="K311" s="17">
        <f t="shared" si="15"/>
        <v>11</v>
      </c>
    </row>
    <row r="312" spans="1:11" ht="13.95" customHeight="1" x14ac:dyDescent="0.3">
      <c r="A312" s="3">
        <v>45968</v>
      </c>
      <c r="B312" s="3" t="s">
        <v>679</v>
      </c>
      <c r="C312" s="3" t="s">
        <v>11</v>
      </c>
      <c r="D312" s="3" t="s">
        <v>44</v>
      </c>
      <c r="E312" s="4">
        <v>0.8</v>
      </c>
      <c r="F312" s="44">
        <v>1.8</v>
      </c>
      <c r="G312" s="21">
        <v>270</v>
      </c>
      <c r="H312" s="30">
        <v>1.3</v>
      </c>
      <c r="I312" s="6">
        <f t="shared" si="16"/>
        <v>505.44000000000005</v>
      </c>
      <c r="J312" s="7" t="s">
        <v>756</v>
      </c>
      <c r="K312" s="17">
        <f t="shared" si="15"/>
        <v>11</v>
      </c>
    </row>
    <row r="313" spans="1:11" ht="13.95" customHeight="1" x14ac:dyDescent="0.3">
      <c r="A313" s="3">
        <v>45969</v>
      </c>
      <c r="B313" s="3" t="s">
        <v>679</v>
      </c>
      <c r="C313" s="3" t="s">
        <v>13</v>
      </c>
      <c r="D313" s="3" t="s">
        <v>14</v>
      </c>
      <c r="E313" s="4">
        <v>0.72</v>
      </c>
      <c r="F313" s="44">
        <v>2.2999999999999998</v>
      </c>
      <c r="G313" s="21">
        <v>270</v>
      </c>
      <c r="H313" s="30">
        <v>1.3</v>
      </c>
      <c r="I313" s="6">
        <f t="shared" si="16"/>
        <v>581.25599999999997</v>
      </c>
      <c r="J313" s="7" t="s">
        <v>739</v>
      </c>
      <c r="K313" s="17">
        <f t="shared" si="15"/>
        <v>11</v>
      </c>
    </row>
    <row r="314" spans="1:11" ht="13.95" customHeight="1" x14ac:dyDescent="0.3">
      <c r="A314" s="3">
        <v>45970</v>
      </c>
      <c r="B314" s="3" t="s">
        <v>679</v>
      </c>
      <c r="C314" s="3" t="s">
        <v>16</v>
      </c>
      <c r="D314" s="3" t="s">
        <v>14</v>
      </c>
      <c r="E314" s="4">
        <v>0.68</v>
      </c>
      <c r="F314" s="44">
        <v>2.35</v>
      </c>
      <c r="G314" s="21">
        <v>270</v>
      </c>
      <c r="H314" s="30">
        <v>1.3</v>
      </c>
      <c r="I314" s="6">
        <f t="shared" si="16"/>
        <v>560.89800000000014</v>
      </c>
      <c r="J314" s="7" t="s">
        <v>947</v>
      </c>
      <c r="K314" s="17">
        <f t="shared" si="15"/>
        <v>11</v>
      </c>
    </row>
    <row r="315" spans="1:11" ht="13.95" customHeight="1" x14ac:dyDescent="0.3">
      <c r="A315" s="3">
        <v>45971</v>
      </c>
      <c r="B315" s="3" t="s">
        <v>679</v>
      </c>
      <c r="C315" s="3" t="s">
        <v>18</v>
      </c>
      <c r="D315" s="3" t="s">
        <v>706</v>
      </c>
      <c r="E315" s="4">
        <v>0.9</v>
      </c>
      <c r="F315" s="44">
        <v>1.85</v>
      </c>
      <c r="G315" s="21">
        <v>270</v>
      </c>
      <c r="H315" s="30">
        <v>1.3</v>
      </c>
      <c r="I315" s="6">
        <f t="shared" si="16"/>
        <v>584.41500000000008</v>
      </c>
      <c r="J315" s="7" t="s">
        <v>579</v>
      </c>
      <c r="K315" s="17">
        <f t="shared" si="15"/>
        <v>11</v>
      </c>
    </row>
    <row r="316" spans="1:11" ht="13.95" customHeight="1" x14ac:dyDescent="0.3">
      <c r="A316" s="3">
        <v>45972</v>
      </c>
      <c r="B316" s="3" t="s">
        <v>679</v>
      </c>
      <c r="C316" s="3" t="s">
        <v>20</v>
      </c>
      <c r="D316" s="3" t="s">
        <v>707</v>
      </c>
      <c r="E316" s="4">
        <v>0.96</v>
      </c>
      <c r="F316" s="44">
        <v>1.9</v>
      </c>
      <c r="G316" s="21">
        <v>270</v>
      </c>
      <c r="H316" s="30">
        <v>1.3</v>
      </c>
      <c r="I316" s="6">
        <f t="shared" si="16"/>
        <v>640.22399999999993</v>
      </c>
      <c r="J316" s="7" t="s">
        <v>1046</v>
      </c>
      <c r="K316" s="17">
        <f t="shared" si="15"/>
        <v>11</v>
      </c>
    </row>
    <row r="317" spans="1:11" ht="13.95" customHeight="1" x14ac:dyDescent="0.3">
      <c r="A317" s="3">
        <v>45973</v>
      </c>
      <c r="B317" s="3" t="s">
        <v>679</v>
      </c>
      <c r="C317" s="3" t="s">
        <v>5</v>
      </c>
      <c r="D317" s="3" t="s">
        <v>706</v>
      </c>
      <c r="E317" s="4">
        <v>0.92</v>
      </c>
      <c r="F317" s="44">
        <v>1.85</v>
      </c>
      <c r="G317" s="21">
        <v>270</v>
      </c>
      <c r="H317" s="30">
        <v>1.3</v>
      </c>
      <c r="I317" s="6">
        <f t="shared" si="16"/>
        <v>597.40200000000004</v>
      </c>
      <c r="J317" s="7" t="s">
        <v>1047</v>
      </c>
      <c r="K317" s="17">
        <f t="shared" si="15"/>
        <v>11</v>
      </c>
    </row>
    <row r="318" spans="1:11" ht="13.95" customHeight="1" x14ac:dyDescent="0.3">
      <c r="A318" s="3">
        <v>45974</v>
      </c>
      <c r="B318" s="3" t="s">
        <v>679</v>
      </c>
      <c r="C318" s="3" t="s">
        <v>8</v>
      </c>
      <c r="D318" s="3" t="s">
        <v>706</v>
      </c>
      <c r="E318" s="4">
        <v>0.88</v>
      </c>
      <c r="F318" s="44">
        <v>1.8</v>
      </c>
      <c r="G318" s="21">
        <v>270</v>
      </c>
      <c r="H318" s="30">
        <v>1.3</v>
      </c>
      <c r="I318" s="6">
        <f t="shared" si="16"/>
        <v>555.98400000000004</v>
      </c>
      <c r="J318" s="7" t="s">
        <v>603</v>
      </c>
      <c r="K318" s="17">
        <f t="shared" si="15"/>
        <v>11</v>
      </c>
    </row>
    <row r="319" spans="1:11" ht="13.95" customHeight="1" x14ac:dyDescent="0.3">
      <c r="A319" s="3">
        <v>45975</v>
      </c>
      <c r="B319" s="3" t="s">
        <v>679</v>
      </c>
      <c r="C319" s="3" t="s">
        <v>11</v>
      </c>
      <c r="D319" s="3" t="s">
        <v>44</v>
      </c>
      <c r="E319" s="4">
        <v>0.82</v>
      </c>
      <c r="F319" s="44">
        <v>1.8</v>
      </c>
      <c r="G319" s="21">
        <v>270</v>
      </c>
      <c r="H319" s="30">
        <v>1.3</v>
      </c>
      <c r="I319" s="6">
        <f t="shared" si="16"/>
        <v>518.07600000000002</v>
      </c>
      <c r="J319" s="7" t="s">
        <v>485</v>
      </c>
      <c r="K319" s="17">
        <f t="shared" si="15"/>
        <v>11</v>
      </c>
    </row>
    <row r="320" spans="1:11" ht="13.95" customHeight="1" x14ac:dyDescent="0.3">
      <c r="A320" s="3">
        <v>45976</v>
      </c>
      <c r="B320" s="3" t="s">
        <v>679</v>
      </c>
      <c r="C320" s="3" t="s">
        <v>13</v>
      </c>
      <c r="D320" s="3" t="s">
        <v>14</v>
      </c>
      <c r="E320" s="4">
        <v>0.78</v>
      </c>
      <c r="F320" s="44">
        <v>2.35</v>
      </c>
      <c r="G320" s="21">
        <v>270</v>
      </c>
      <c r="H320" s="30">
        <v>1.3</v>
      </c>
      <c r="I320" s="6">
        <f t="shared" si="16"/>
        <v>643.38300000000004</v>
      </c>
      <c r="J320" s="7" t="s">
        <v>746</v>
      </c>
      <c r="K320" s="17">
        <f t="shared" si="15"/>
        <v>11</v>
      </c>
    </row>
    <row r="321" spans="1:11" ht="13.95" customHeight="1" x14ac:dyDescent="0.3">
      <c r="A321" s="3">
        <v>45977</v>
      </c>
      <c r="B321" s="3" t="s">
        <v>679</v>
      </c>
      <c r="C321" s="3" t="s">
        <v>16</v>
      </c>
      <c r="D321" s="3" t="s">
        <v>14</v>
      </c>
      <c r="E321" s="4">
        <v>0.72</v>
      </c>
      <c r="F321" s="44">
        <v>2.4</v>
      </c>
      <c r="G321" s="21">
        <v>270</v>
      </c>
      <c r="H321" s="30">
        <v>1.3</v>
      </c>
      <c r="I321" s="6">
        <f t="shared" si="16"/>
        <v>606.52800000000002</v>
      </c>
      <c r="J321" s="7" t="s">
        <v>1030</v>
      </c>
      <c r="K321" s="17">
        <f t="shared" si="15"/>
        <v>11</v>
      </c>
    </row>
    <row r="322" spans="1:11" ht="13.95" customHeight="1" x14ac:dyDescent="0.3">
      <c r="A322" s="3">
        <v>45978</v>
      </c>
      <c r="B322" s="3" t="s">
        <v>679</v>
      </c>
      <c r="C322" s="3" t="s">
        <v>18</v>
      </c>
      <c r="D322" s="3" t="s">
        <v>706</v>
      </c>
      <c r="E322" s="4">
        <v>0.9</v>
      </c>
      <c r="F322" s="44">
        <v>1.85</v>
      </c>
      <c r="G322" s="21">
        <v>270</v>
      </c>
      <c r="H322" s="30">
        <v>1.3</v>
      </c>
      <c r="I322" s="6">
        <f t="shared" si="16"/>
        <v>584.41500000000008</v>
      </c>
      <c r="J322" s="7" t="s">
        <v>65</v>
      </c>
      <c r="K322" s="17">
        <f t="shared" si="15"/>
        <v>11</v>
      </c>
    </row>
    <row r="323" spans="1:11" ht="13.95" customHeight="1" x14ac:dyDescent="0.3">
      <c r="A323" s="3">
        <v>45979</v>
      </c>
      <c r="B323" s="3" t="s">
        <v>679</v>
      </c>
      <c r="C323" s="3" t="s">
        <v>20</v>
      </c>
      <c r="D323" s="3" t="s">
        <v>707</v>
      </c>
      <c r="E323" s="4">
        <v>0.95</v>
      </c>
      <c r="F323" s="44">
        <v>1.9</v>
      </c>
      <c r="G323" s="21">
        <v>270</v>
      </c>
      <c r="H323" s="30">
        <v>1.3</v>
      </c>
      <c r="I323" s="6">
        <f t="shared" si="16"/>
        <v>633.55499999999995</v>
      </c>
      <c r="J323" s="7" t="s">
        <v>1039</v>
      </c>
      <c r="K323" s="17">
        <f t="shared" ref="K323:K386" si="17">MONTH(A323)</f>
        <v>11</v>
      </c>
    </row>
    <row r="324" spans="1:11" ht="13.95" customHeight="1" x14ac:dyDescent="0.3">
      <c r="A324" s="3">
        <v>45980</v>
      </c>
      <c r="B324" s="3" t="s">
        <v>679</v>
      </c>
      <c r="C324" s="3" t="s">
        <v>5</v>
      </c>
      <c r="D324" s="3" t="s">
        <v>706</v>
      </c>
      <c r="E324" s="4">
        <v>0.92</v>
      </c>
      <c r="F324" s="44">
        <v>1.85</v>
      </c>
      <c r="G324" s="21">
        <v>270</v>
      </c>
      <c r="H324" s="30">
        <v>1.3</v>
      </c>
      <c r="I324" s="6">
        <f t="shared" si="16"/>
        <v>597.40200000000004</v>
      </c>
      <c r="J324" s="7" t="s">
        <v>71</v>
      </c>
      <c r="K324" s="17">
        <f t="shared" si="17"/>
        <v>11</v>
      </c>
    </row>
    <row r="325" spans="1:11" ht="13.95" customHeight="1" x14ac:dyDescent="0.3">
      <c r="A325" s="3">
        <v>45981</v>
      </c>
      <c r="B325" s="3" t="s">
        <v>679</v>
      </c>
      <c r="C325" s="3" t="s">
        <v>8</v>
      </c>
      <c r="D325" s="3" t="s">
        <v>706</v>
      </c>
      <c r="E325" s="4">
        <v>0.88</v>
      </c>
      <c r="F325" s="44">
        <v>1.8</v>
      </c>
      <c r="G325" s="21">
        <v>270</v>
      </c>
      <c r="H325" s="30">
        <v>1.3</v>
      </c>
      <c r="I325" s="6">
        <f t="shared" si="16"/>
        <v>555.98400000000004</v>
      </c>
      <c r="J325" s="7" t="s">
        <v>71</v>
      </c>
      <c r="K325" s="17">
        <f t="shared" si="17"/>
        <v>11</v>
      </c>
    </row>
    <row r="326" spans="1:11" ht="13.95" customHeight="1" x14ac:dyDescent="0.3">
      <c r="A326" s="3">
        <v>45982</v>
      </c>
      <c r="B326" s="3" t="s">
        <v>679</v>
      </c>
      <c r="C326" s="3" t="s">
        <v>11</v>
      </c>
      <c r="D326" s="3" t="s">
        <v>44</v>
      </c>
      <c r="E326" s="4">
        <v>0.82</v>
      </c>
      <c r="F326" s="44">
        <v>1.8</v>
      </c>
      <c r="G326" s="21">
        <v>270</v>
      </c>
      <c r="H326" s="30">
        <v>1.3</v>
      </c>
      <c r="I326" s="6">
        <f t="shared" si="16"/>
        <v>518.07600000000002</v>
      </c>
      <c r="J326" s="7" t="s">
        <v>70</v>
      </c>
      <c r="K326" s="17">
        <f t="shared" si="17"/>
        <v>11</v>
      </c>
    </row>
    <row r="327" spans="1:11" ht="13.95" customHeight="1" x14ac:dyDescent="0.3">
      <c r="A327" s="3">
        <v>45983</v>
      </c>
      <c r="B327" s="3" t="s">
        <v>679</v>
      </c>
      <c r="C327" s="3" t="s">
        <v>13</v>
      </c>
      <c r="D327" s="3" t="s">
        <v>14</v>
      </c>
      <c r="E327" s="4">
        <v>0.75</v>
      </c>
      <c r="F327" s="44">
        <v>2.35</v>
      </c>
      <c r="G327" s="21">
        <v>270</v>
      </c>
      <c r="H327" s="30">
        <v>1.3</v>
      </c>
      <c r="I327" s="6">
        <f t="shared" si="16"/>
        <v>618.63750000000005</v>
      </c>
      <c r="J327" s="7" t="s">
        <v>815</v>
      </c>
      <c r="K327" s="17">
        <f t="shared" si="17"/>
        <v>11</v>
      </c>
    </row>
    <row r="328" spans="1:11" ht="13.95" customHeight="1" x14ac:dyDescent="0.3">
      <c r="A328" s="3">
        <v>45984</v>
      </c>
      <c r="B328" s="3" t="s">
        <v>679</v>
      </c>
      <c r="C328" s="3" t="s">
        <v>16</v>
      </c>
      <c r="D328" s="3" t="s">
        <v>14</v>
      </c>
      <c r="E328" s="4">
        <v>0.7</v>
      </c>
      <c r="F328" s="44">
        <v>2.4</v>
      </c>
      <c r="G328" s="21">
        <v>270</v>
      </c>
      <c r="H328" s="30">
        <v>1.3</v>
      </c>
      <c r="I328" s="6">
        <f t="shared" si="16"/>
        <v>589.67999999999995</v>
      </c>
      <c r="J328" s="7" t="s">
        <v>238</v>
      </c>
      <c r="K328" s="17">
        <f t="shared" si="17"/>
        <v>11</v>
      </c>
    </row>
    <row r="329" spans="1:11" ht="13.95" customHeight="1" x14ac:dyDescent="0.3">
      <c r="A329" s="3">
        <v>45985</v>
      </c>
      <c r="B329" s="3" t="s">
        <v>679</v>
      </c>
      <c r="C329" s="3" t="s">
        <v>18</v>
      </c>
      <c r="D329" s="3" t="s">
        <v>706</v>
      </c>
      <c r="E329" s="4">
        <v>0.9</v>
      </c>
      <c r="F329" s="44">
        <v>1.85</v>
      </c>
      <c r="G329" s="21">
        <v>270</v>
      </c>
      <c r="H329" s="30">
        <v>1.3</v>
      </c>
      <c r="I329" s="6">
        <f t="shared" si="16"/>
        <v>584.41500000000008</v>
      </c>
      <c r="J329" s="7" t="s">
        <v>65</v>
      </c>
      <c r="K329" s="17">
        <f t="shared" si="17"/>
        <v>11</v>
      </c>
    </row>
    <row r="330" spans="1:11" ht="13.95" customHeight="1" x14ac:dyDescent="0.3">
      <c r="A330" s="3">
        <v>45986</v>
      </c>
      <c r="B330" s="3" t="s">
        <v>679</v>
      </c>
      <c r="C330" s="3" t="s">
        <v>20</v>
      </c>
      <c r="D330" s="3" t="s">
        <v>707</v>
      </c>
      <c r="E330" s="4">
        <v>0.96</v>
      </c>
      <c r="F330" s="44">
        <v>1.9</v>
      </c>
      <c r="G330" s="21">
        <v>270</v>
      </c>
      <c r="H330" s="30">
        <v>1.3</v>
      </c>
      <c r="I330" s="6">
        <f t="shared" si="16"/>
        <v>640.22399999999993</v>
      </c>
      <c r="J330" s="7" t="s">
        <v>1048</v>
      </c>
      <c r="K330" s="17">
        <f t="shared" si="17"/>
        <v>11</v>
      </c>
    </row>
    <row r="331" spans="1:11" ht="13.95" customHeight="1" x14ac:dyDescent="0.3">
      <c r="A331" s="3">
        <v>45987</v>
      </c>
      <c r="B331" s="3" t="s">
        <v>679</v>
      </c>
      <c r="C331" s="3" t="s">
        <v>5</v>
      </c>
      <c r="D331" s="3" t="s">
        <v>706</v>
      </c>
      <c r="E331" s="4">
        <v>0.92</v>
      </c>
      <c r="F331" s="44">
        <v>1.85</v>
      </c>
      <c r="G331" s="21">
        <v>270</v>
      </c>
      <c r="H331" s="30">
        <v>1.3</v>
      </c>
      <c r="I331" s="6">
        <f t="shared" si="16"/>
        <v>597.40200000000004</v>
      </c>
      <c r="J331" s="7" t="s">
        <v>71</v>
      </c>
      <c r="K331" s="17">
        <f t="shared" si="17"/>
        <v>11</v>
      </c>
    </row>
    <row r="332" spans="1:11" ht="13.95" customHeight="1" x14ac:dyDescent="0.3">
      <c r="A332" s="3">
        <v>45988</v>
      </c>
      <c r="B332" s="3" t="s">
        <v>679</v>
      </c>
      <c r="C332" s="3" t="s">
        <v>8</v>
      </c>
      <c r="D332" s="3" t="s">
        <v>706</v>
      </c>
      <c r="E332" s="4">
        <v>0.88</v>
      </c>
      <c r="F332" s="44">
        <v>1.8</v>
      </c>
      <c r="G332" s="21">
        <v>270</v>
      </c>
      <c r="H332" s="30">
        <v>1.3</v>
      </c>
      <c r="I332" s="6">
        <f t="shared" si="16"/>
        <v>555.98400000000004</v>
      </c>
      <c r="J332" s="7" t="s">
        <v>71</v>
      </c>
      <c r="K332" s="17">
        <f t="shared" si="17"/>
        <v>11</v>
      </c>
    </row>
    <row r="333" spans="1:11" ht="13.95" customHeight="1" x14ac:dyDescent="0.3">
      <c r="A333" s="3">
        <v>45989</v>
      </c>
      <c r="B333" s="3" t="s">
        <v>679</v>
      </c>
      <c r="C333" s="3" t="s">
        <v>11</v>
      </c>
      <c r="D333" s="3" t="s">
        <v>44</v>
      </c>
      <c r="E333" s="4">
        <v>0.85</v>
      </c>
      <c r="F333" s="44">
        <v>1.85</v>
      </c>
      <c r="G333" s="21">
        <v>270</v>
      </c>
      <c r="H333" s="30">
        <v>1.3</v>
      </c>
      <c r="I333" s="6">
        <f t="shared" si="16"/>
        <v>551.9475000000001</v>
      </c>
      <c r="J333" s="7" t="s">
        <v>978</v>
      </c>
      <c r="K333" s="17">
        <f t="shared" si="17"/>
        <v>11</v>
      </c>
    </row>
    <row r="334" spans="1:11" ht="13.95" customHeight="1" x14ac:dyDescent="0.3">
      <c r="A334" s="3">
        <v>45990</v>
      </c>
      <c r="B334" s="3" t="s">
        <v>679</v>
      </c>
      <c r="C334" s="3" t="s">
        <v>13</v>
      </c>
      <c r="D334" s="3" t="s">
        <v>14</v>
      </c>
      <c r="E334" s="4">
        <v>0.8</v>
      </c>
      <c r="F334" s="44">
        <v>2.4</v>
      </c>
      <c r="G334" s="21">
        <v>270</v>
      </c>
      <c r="H334" s="30">
        <v>1.3</v>
      </c>
      <c r="I334" s="6">
        <f t="shared" si="16"/>
        <v>673.92</v>
      </c>
      <c r="J334" s="7" t="s">
        <v>1049</v>
      </c>
      <c r="K334" s="17">
        <f t="shared" si="17"/>
        <v>11</v>
      </c>
    </row>
    <row r="335" spans="1:11" ht="13.95" customHeight="1" x14ac:dyDescent="0.3">
      <c r="A335" s="3">
        <v>45991</v>
      </c>
      <c r="B335" s="3" t="s">
        <v>679</v>
      </c>
      <c r="C335" s="3" t="s">
        <v>16</v>
      </c>
      <c r="D335" s="3" t="s">
        <v>14</v>
      </c>
      <c r="E335" s="4">
        <v>0.75</v>
      </c>
      <c r="F335" s="44">
        <v>2.4500000000000002</v>
      </c>
      <c r="G335" s="21">
        <v>270</v>
      </c>
      <c r="H335" s="30">
        <v>1.3</v>
      </c>
      <c r="I335" s="6">
        <f t="shared" si="16"/>
        <v>644.96250000000009</v>
      </c>
      <c r="J335" s="7" t="s">
        <v>1050</v>
      </c>
      <c r="K335" s="17">
        <f t="shared" si="17"/>
        <v>11</v>
      </c>
    </row>
    <row r="336" spans="1:11" ht="13.95" customHeight="1" x14ac:dyDescent="0.3">
      <c r="A336" s="3">
        <v>45962</v>
      </c>
      <c r="B336" s="3" t="s">
        <v>679</v>
      </c>
      <c r="C336" s="3" t="s">
        <v>13</v>
      </c>
      <c r="D336" s="3" t="s">
        <v>14</v>
      </c>
      <c r="E336" s="4">
        <v>0.75</v>
      </c>
      <c r="F336" s="44">
        <v>2.25</v>
      </c>
      <c r="G336" s="21">
        <v>270</v>
      </c>
      <c r="H336" s="30">
        <v>1.3</v>
      </c>
      <c r="I336" s="6">
        <f t="shared" si="16"/>
        <v>592.3125</v>
      </c>
      <c r="J336" s="7" t="s">
        <v>1044</v>
      </c>
      <c r="K336" s="17">
        <f t="shared" si="17"/>
        <v>11</v>
      </c>
    </row>
    <row r="337" spans="1:11" ht="13.95" customHeight="1" x14ac:dyDescent="0.3">
      <c r="A337" s="3">
        <v>45963</v>
      </c>
      <c r="B337" s="3" t="s">
        <v>679</v>
      </c>
      <c r="C337" s="3" t="s">
        <v>16</v>
      </c>
      <c r="D337" s="3" t="s">
        <v>14</v>
      </c>
      <c r="E337" s="4">
        <v>0.7</v>
      </c>
      <c r="F337" s="44">
        <v>2.35</v>
      </c>
      <c r="G337" s="21">
        <v>270</v>
      </c>
      <c r="H337" s="30">
        <v>1.3</v>
      </c>
      <c r="I337" s="6">
        <f t="shared" si="16"/>
        <v>577.3950000000001</v>
      </c>
      <c r="J337" s="7" t="s">
        <v>1035</v>
      </c>
      <c r="K337" s="17">
        <f t="shared" si="17"/>
        <v>11</v>
      </c>
    </row>
    <row r="338" spans="1:11" ht="13.95" customHeight="1" x14ac:dyDescent="0.3">
      <c r="A338" s="3">
        <v>45964</v>
      </c>
      <c r="B338" s="3" t="s">
        <v>679</v>
      </c>
      <c r="C338" s="3" t="s">
        <v>18</v>
      </c>
      <c r="D338" s="3" t="s">
        <v>706</v>
      </c>
      <c r="E338" s="4">
        <v>0.88</v>
      </c>
      <c r="F338" s="44">
        <v>1.85</v>
      </c>
      <c r="G338" s="21">
        <v>270</v>
      </c>
      <c r="H338" s="30">
        <v>1.3</v>
      </c>
      <c r="I338" s="6">
        <f t="shared" si="16"/>
        <v>571.428</v>
      </c>
      <c r="J338" s="7" t="s">
        <v>1036</v>
      </c>
      <c r="K338" s="17">
        <f t="shared" si="17"/>
        <v>11</v>
      </c>
    </row>
    <row r="339" spans="1:11" ht="13.95" customHeight="1" x14ac:dyDescent="0.3">
      <c r="A339" s="3">
        <v>45965</v>
      </c>
      <c r="B339" s="3" t="s">
        <v>679</v>
      </c>
      <c r="C339" s="3" t="s">
        <v>20</v>
      </c>
      <c r="D339" s="3" t="s">
        <v>707</v>
      </c>
      <c r="E339" s="4">
        <v>0.94</v>
      </c>
      <c r="F339" s="44">
        <v>1.9</v>
      </c>
      <c r="G339" s="21">
        <v>270</v>
      </c>
      <c r="H339" s="30">
        <v>1.3</v>
      </c>
      <c r="I339" s="6">
        <f t="shared" si="16"/>
        <v>626.88599999999997</v>
      </c>
      <c r="J339" s="7" t="s">
        <v>1045</v>
      </c>
      <c r="K339" s="17">
        <f t="shared" si="17"/>
        <v>11</v>
      </c>
    </row>
    <row r="340" spans="1:11" ht="13.95" customHeight="1" x14ac:dyDescent="0.3">
      <c r="A340" s="3">
        <v>45966</v>
      </c>
      <c r="B340" s="3" t="s">
        <v>679</v>
      </c>
      <c r="C340" s="3" t="s">
        <v>5</v>
      </c>
      <c r="D340" s="3" t="s">
        <v>706</v>
      </c>
      <c r="E340" s="4">
        <v>0.92</v>
      </c>
      <c r="F340" s="44">
        <v>1.85</v>
      </c>
      <c r="G340" s="21">
        <v>270</v>
      </c>
      <c r="H340" s="30">
        <v>1.3</v>
      </c>
      <c r="I340" s="6">
        <f t="shared" si="16"/>
        <v>597.40200000000004</v>
      </c>
      <c r="J340" s="7" t="s">
        <v>1038</v>
      </c>
      <c r="K340" s="17">
        <f t="shared" si="17"/>
        <v>11</v>
      </c>
    </row>
    <row r="341" spans="1:11" ht="13.95" customHeight="1" x14ac:dyDescent="0.3">
      <c r="A341" s="3">
        <v>45967</v>
      </c>
      <c r="B341" s="3" t="s">
        <v>679</v>
      </c>
      <c r="C341" s="3" t="s">
        <v>8</v>
      </c>
      <c r="D341" s="3" t="s">
        <v>706</v>
      </c>
      <c r="E341" s="4">
        <v>0.85</v>
      </c>
      <c r="F341" s="44">
        <v>1.8</v>
      </c>
      <c r="G341" s="21">
        <v>270</v>
      </c>
      <c r="H341" s="30">
        <v>1.3</v>
      </c>
      <c r="I341" s="6">
        <f t="shared" si="16"/>
        <v>537.03000000000009</v>
      </c>
      <c r="J341" s="7" t="s">
        <v>712</v>
      </c>
      <c r="K341" s="17">
        <f t="shared" si="17"/>
        <v>11</v>
      </c>
    </row>
    <row r="342" spans="1:11" ht="13.95" customHeight="1" x14ac:dyDescent="0.3">
      <c r="A342" s="3">
        <v>45968</v>
      </c>
      <c r="B342" s="3" t="s">
        <v>679</v>
      </c>
      <c r="C342" s="3" t="s">
        <v>11</v>
      </c>
      <c r="D342" s="3" t="s">
        <v>44</v>
      </c>
      <c r="E342" s="4">
        <v>0.8</v>
      </c>
      <c r="F342" s="44">
        <v>1.8</v>
      </c>
      <c r="G342" s="21">
        <v>270</v>
      </c>
      <c r="H342" s="30">
        <v>1.3</v>
      </c>
      <c r="I342" s="6">
        <f t="shared" ref="I342:I365" si="18">(G342*E342)*F342*H342</f>
        <v>505.44000000000005</v>
      </c>
      <c r="J342" s="7" t="s">
        <v>756</v>
      </c>
      <c r="K342" s="17">
        <f t="shared" si="17"/>
        <v>11</v>
      </c>
    </row>
    <row r="343" spans="1:11" ht="13.95" customHeight="1" x14ac:dyDescent="0.3">
      <c r="A343" s="3">
        <v>45969</v>
      </c>
      <c r="B343" s="3" t="s">
        <v>679</v>
      </c>
      <c r="C343" s="3" t="s">
        <v>13</v>
      </c>
      <c r="D343" s="3" t="s">
        <v>14</v>
      </c>
      <c r="E343" s="4">
        <v>0.72</v>
      </c>
      <c r="F343" s="44">
        <v>2.2999999999999998</v>
      </c>
      <c r="G343" s="21">
        <v>270</v>
      </c>
      <c r="H343" s="30">
        <v>1.3</v>
      </c>
      <c r="I343" s="6">
        <f t="shared" si="18"/>
        <v>581.25599999999997</v>
      </c>
      <c r="J343" s="7" t="s">
        <v>739</v>
      </c>
      <c r="K343" s="17">
        <f t="shared" si="17"/>
        <v>11</v>
      </c>
    </row>
    <row r="344" spans="1:11" ht="13.95" customHeight="1" x14ac:dyDescent="0.3">
      <c r="A344" s="3">
        <v>45970</v>
      </c>
      <c r="B344" s="3" t="s">
        <v>679</v>
      </c>
      <c r="C344" s="3" t="s">
        <v>16</v>
      </c>
      <c r="D344" s="3" t="s">
        <v>14</v>
      </c>
      <c r="E344" s="4">
        <v>0.68</v>
      </c>
      <c r="F344" s="44">
        <v>2.35</v>
      </c>
      <c r="G344" s="21">
        <v>270</v>
      </c>
      <c r="H344" s="30">
        <v>1.3</v>
      </c>
      <c r="I344" s="6">
        <f t="shared" si="18"/>
        <v>560.89800000000014</v>
      </c>
      <c r="J344" s="7" t="s">
        <v>947</v>
      </c>
      <c r="K344" s="17">
        <f t="shared" si="17"/>
        <v>11</v>
      </c>
    </row>
    <row r="345" spans="1:11" ht="13.95" customHeight="1" x14ac:dyDescent="0.3">
      <c r="A345" s="3">
        <v>45971</v>
      </c>
      <c r="B345" s="3" t="s">
        <v>679</v>
      </c>
      <c r="C345" s="3" t="s">
        <v>18</v>
      </c>
      <c r="D345" s="3" t="s">
        <v>706</v>
      </c>
      <c r="E345" s="4">
        <v>0.9</v>
      </c>
      <c r="F345" s="44">
        <v>1.85</v>
      </c>
      <c r="G345" s="21">
        <v>270</v>
      </c>
      <c r="H345" s="30">
        <v>1.3</v>
      </c>
      <c r="I345" s="6">
        <f t="shared" si="18"/>
        <v>584.41500000000008</v>
      </c>
      <c r="J345" s="7" t="s">
        <v>579</v>
      </c>
      <c r="K345" s="17">
        <f t="shared" si="17"/>
        <v>11</v>
      </c>
    </row>
    <row r="346" spans="1:11" ht="13.95" customHeight="1" x14ac:dyDescent="0.3">
      <c r="A346" s="3">
        <v>45972</v>
      </c>
      <c r="B346" s="3" t="s">
        <v>679</v>
      </c>
      <c r="C346" s="3" t="s">
        <v>20</v>
      </c>
      <c r="D346" s="3" t="s">
        <v>707</v>
      </c>
      <c r="E346" s="4">
        <v>0.96</v>
      </c>
      <c r="F346" s="44">
        <v>1.9</v>
      </c>
      <c r="G346" s="21">
        <v>270</v>
      </c>
      <c r="H346" s="30">
        <v>1.3</v>
      </c>
      <c r="I346" s="6">
        <f t="shared" si="18"/>
        <v>640.22399999999993</v>
      </c>
      <c r="J346" s="7" t="s">
        <v>1046</v>
      </c>
      <c r="K346" s="17">
        <f t="shared" si="17"/>
        <v>11</v>
      </c>
    </row>
    <row r="347" spans="1:11" ht="13.95" customHeight="1" x14ac:dyDescent="0.3">
      <c r="A347" s="3">
        <v>45973</v>
      </c>
      <c r="B347" s="3" t="s">
        <v>679</v>
      </c>
      <c r="C347" s="3" t="s">
        <v>5</v>
      </c>
      <c r="D347" s="3" t="s">
        <v>706</v>
      </c>
      <c r="E347" s="4">
        <v>0.92</v>
      </c>
      <c r="F347" s="44">
        <v>1.85</v>
      </c>
      <c r="G347" s="21">
        <v>270</v>
      </c>
      <c r="H347" s="30">
        <v>1.3</v>
      </c>
      <c r="I347" s="6">
        <f t="shared" si="18"/>
        <v>597.40200000000004</v>
      </c>
      <c r="J347" s="7" t="s">
        <v>1047</v>
      </c>
      <c r="K347" s="17">
        <f t="shared" si="17"/>
        <v>11</v>
      </c>
    </row>
    <row r="348" spans="1:11" ht="13.95" customHeight="1" x14ac:dyDescent="0.3">
      <c r="A348" s="3">
        <v>45974</v>
      </c>
      <c r="B348" s="3" t="s">
        <v>679</v>
      </c>
      <c r="C348" s="3" t="s">
        <v>8</v>
      </c>
      <c r="D348" s="3" t="s">
        <v>706</v>
      </c>
      <c r="E348" s="4">
        <v>0.88</v>
      </c>
      <c r="F348" s="44">
        <v>1.8</v>
      </c>
      <c r="G348" s="21">
        <v>270</v>
      </c>
      <c r="H348" s="30">
        <v>1.3</v>
      </c>
      <c r="I348" s="6">
        <f t="shared" si="18"/>
        <v>555.98400000000004</v>
      </c>
      <c r="J348" s="7" t="s">
        <v>603</v>
      </c>
      <c r="K348" s="17">
        <f t="shared" si="17"/>
        <v>11</v>
      </c>
    </row>
    <row r="349" spans="1:11" ht="13.95" customHeight="1" x14ac:dyDescent="0.3">
      <c r="A349" s="3">
        <v>45975</v>
      </c>
      <c r="B349" s="3" t="s">
        <v>679</v>
      </c>
      <c r="C349" s="3" t="s">
        <v>11</v>
      </c>
      <c r="D349" s="3" t="s">
        <v>44</v>
      </c>
      <c r="E349" s="4">
        <v>0.82</v>
      </c>
      <c r="F349" s="44">
        <v>1.8</v>
      </c>
      <c r="G349" s="21">
        <v>270</v>
      </c>
      <c r="H349" s="30">
        <v>1.3</v>
      </c>
      <c r="I349" s="6">
        <f t="shared" si="18"/>
        <v>518.07600000000002</v>
      </c>
      <c r="J349" s="7" t="s">
        <v>485</v>
      </c>
      <c r="K349" s="17">
        <f t="shared" si="17"/>
        <v>11</v>
      </c>
    </row>
    <row r="350" spans="1:11" ht="13.95" customHeight="1" x14ac:dyDescent="0.3">
      <c r="A350" s="3">
        <v>45976</v>
      </c>
      <c r="B350" s="3" t="s">
        <v>679</v>
      </c>
      <c r="C350" s="3" t="s">
        <v>13</v>
      </c>
      <c r="D350" s="3" t="s">
        <v>14</v>
      </c>
      <c r="E350" s="4">
        <v>0.78</v>
      </c>
      <c r="F350" s="44">
        <v>2.35</v>
      </c>
      <c r="G350" s="21">
        <v>270</v>
      </c>
      <c r="H350" s="30">
        <v>1.3</v>
      </c>
      <c r="I350" s="6">
        <f t="shared" si="18"/>
        <v>643.38300000000004</v>
      </c>
      <c r="J350" s="7" t="s">
        <v>746</v>
      </c>
      <c r="K350" s="17">
        <f t="shared" si="17"/>
        <v>11</v>
      </c>
    </row>
    <row r="351" spans="1:11" ht="13.95" customHeight="1" x14ac:dyDescent="0.3">
      <c r="A351" s="3">
        <v>45977</v>
      </c>
      <c r="B351" s="3" t="s">
        <v>679</v>
      </c>
      <c r="C351" s="3" t="s">
        <v>16</v>
      </c>
      <c r="D351" s="3" t="s">
        <v>14</v>
      </c>
      <c r="E351" s="4">
        <v>0.72</v>
      </c>
      <c r="F351" s="44">
        <v>2.4</v>
      </c>
      <c r="G351" s="21">
        <v>270</v>
      </c>
      <c r="H351" s="30">
        <v>1.3</v>
      </c>
      <c r="I351" s="6">
        <f t="shared" si="18"/>
        <v>606.52800000000002</v>
      </c>
      <c r="J351" s="7" t="s">
        <v>1030</v>
      </c>
      <c r="K351" s="17">
        <f t="shared" si="17"/>
        <v>11</v>
      </c>
    </row>
    <row r="352" spans="1:11" ht="13.95" customHeight="1" x14ac:dyDescent="0.3">
      <c r="A352" s="3">
        <v>45978</v>
      </c>
      <c r="B352" s="3" t="s">
        <v>679</v>
      </c>
      <c r="C352" s="3" t="s">
        <v>18</v>
      </c>
      <c r="D352" s="3" t="s">
        <v>706</v>
      </c>
      <c r="E352" s="4">
        <v>0.9</v>
      </c>
      <c r="F352" s="44">
        <v>1.85</v>
      </c>
      <c r="G352" s="21">
        <v>270</v>
      </c>
      <c r="H352" s="30">
        <v>1.3</v>
      </c>
      <c r="I352" s="6">
        <f t="shared" si="18"/>
        <v>584.41500000000008</v>
      </c>
      <c r="J352" s="7" t="s">
        <v>65</v>
      </c>
      <c r="K352" s="17">
        <f t="shared" si="17"/>
        <v>11</v>
      </c>
    </row>
    <row r="353" spans="1:11" ht="13.95" customHeight="1" x14ac:dyDescent="0.3">
      <c r="A353" s="3">
        <v>45979</v>
      </c>
      <c r="B353" s="3" t="s">
        <v>679</v>
      </c>
      <c r="C353" s="3" t="s">
        <v>20</v>
      </c>
      <c r="D353" s="3" t="s">
        <v>707</v>
      </c>
      <c r="E353" s="4">
        <v>0.95</v>
      </c>
      <c r="F353" s="44">
        <v>1.9</v>
      </c>
      <c r="G353" s="21">
        <v>270</v>
      </c>
      <c r="H353" s="30">
        <v>1.3</v>
      </c>
      <c r="I353" s="6">
        <f t="shared" si="18"/>
        <v>633.55499999999995</v>
      </c>
      <c r="J353" s="7" t="s">
        <v>1039</v>
      </c>
      <c r="K353" s="17">
        <f t="shared" si="17"/>
        <v>11</v>
      </c>
    </row>
    <row r="354" spans="1:11" ht="13.95" customHeight="1" x14ac:dyDescent="0.3">
      <c r="A354" s="3">
        <v>45980</v>
      </c>
      <c r="B354" s="3" t="s">
        <v>679</v>
      </c>
      <c r="C354" s="3" t="s">
        <v>5</v>
      </c>
      <c r="D354" s="3" t="s">
        <v>706</v>
      </c>
      <c r="E354" s="4">
        <v>0.92</v>
      </c>
      <c r="F354" s="44">
        <v>1.85</v>
      </c>
      <c r="G354" s="21">
        <v>270</v>
      </c>
      <c r="H354" s="30">
        <v>1.3</v>
      </c>
      <c r="I354" s="6">
        <f t="shared" si="18"/>
        <v>597.40200000000004</v>
      </c>
      <c r="J354" s="7" t="s">
        <v>71</v>
      </c>
      <c r="K354" s="17">
        <f t="shared" si="17"/>
        <v>11</v>
      </c>
    </row>
    <row r="355" spans="1:11" ht="13.95" customHeight="1" x14ac:dyDescent="0.3">
      <c r="A355" s="3">
        <v>45981</v>
      </c>
      <c r="B355" s="3" t="s">
        <v>679</v>
      </c>
      <c r="C355" s="3" t="s">
        <v>8</v>
      </c>
      <c r="D355" s="3" t="s">
        <v>706</v>
      </c>
      <c r="E355" s="4">
        <v>0.88</v>
      </c>
      <c r="F355" s="44">
        <v>1.8</v>
      </c>
      <c r="G355" s="21">
        <v>270</v>
      </c>
      <c r="H355" s="30">
        <v>1.3</v>
      </c>
      <c r="I355" s="6">
        <f t="shared" si="18"/>
        <v>555.98400000000004</v>
      </c>
      <c r="J355" s="7" t="s">
        <v>71</v>
      </c>
      <c r="K355" s="17">
        <f t="shared" si="17"/>
        <v>11</v>
      </c>
    </row>
    <row r="356" spans="1:11" ht="13.95" customHeight="1" x14ac:dyDescent="0.3">
      <c r="A356" s="3">
        <v>45982</v>
      </c>
      <c r="B356" s="3" t="s">
        <v>679</v>
      </c>
      <c r="C356" s="3" t="s">
        <v>11</v>
      </c>
      <c r="D356" s="3" t="s">
        <v>44</v>
      </c>
      <c r="E356" s="4">
        <v>0.82</v>
      </c>
      <c r="F356" s="44">
        <v>1.8</v>
      </c>
      <c r="G356" s="21">
        <v>270</v>
      </c>
      <c r="H356" s="30">
        <v>1.3</v>
      </c>
      <c r="I356" s="6">
        <f t="shared" si="18"/>
        <v>518.07600000000002</v>
      </c>
      <c r="J356" s="7" t="s">
        <v>70</v>
      </c>
      <c r="K356" s="17">
        <f t="shared" si="17"/>
        <v>11</v>
      </c>
    </row>
    <row r="357" spans="1:11" ht="13.95" customHeight="1" x14ac:dyDescent="0.3">
      <c r="A357" s="3">
        <v>45983</v>
      </c>
      <c r="B357" s="3" t="s">
        <v>679</v>
      </c>
      <c r="C357" s="3" t="s">
        <v>13</v>
      </c>
      <c r="D357" s="3" t="s">
        <v>14</v>
      </c>
      <c r="E357" s="4">
        <v>0.75</v>
      </c>
      <c r="F357" s="44">
        <v>2.35</v>
      </c>
      <c r="G357" s="21">
        <v>270</v>
      </c>
      <c r="H357" s="30">
        <v>1.3</v>
      </c>
      <c r="I357" s="6">
        <f t="shared" si="18"/>
        <v>618.63750000000005</v>
      </c>
      <c r="J357" s="7" t="s">
        <v>815</v>
      </c>
      <c r="K357" s="17">
        <f t="shared" si="17"/>
        <v>11</v>
      </c>
    </row>
    <row r="358" spans="1:11" ht="13.95" customHeight="1" x14ac:dyDescent="0.3">
      <c r="A358" s="3">
        <v>45984</v>
      </c>
      <c r="B358" s="3" t="s">
        <v>679</v>
      </c>
      <c r="C358" s="3" t="s">
        <v>16</v>
      </c>
      <c r="D358" s="3" t="s">
        <v>14</v>
      </c>
      <c r="E358" s="4">
        <v>0.7</v>
      </c>
      <c r="F358" s="44">
        <v>2.4</v>
      </c>
      <c r="G358" s="21">
        <v>270</v>
      </c>
      <c r="H358" s="30">
        <v>1.3</v>
      </c>
      <c r="I358" s="6">
        <f t="shared" si="18"/>
        <v>589.67999999999995</v>
      </c>
      <c r="J358" s="7" t="s">
        <v>238</v>
      </c>
      <c r="K358" s="17">
        <f t="shared" si="17"/>
        <v>11</v>
      </c>
    </row>
    <row r="359" spans="1:11" ht="13.95" customHeight="1" x14ac:dyDescent="0.3">
      <c r="A359" s="3">
        <v>45985</v>
      </c>
      <c r="B359" s="3" t="s">
        <v>679</v>
      </c>
      <c r="C359" s="3" t="s">
        <v>18</v>
      </c>
      <c r="D359" s="3" t="s">
        <v>706</v>
      </c>
      <c r="E359" s="4">
        <v>0.9</v>
      </c>
      <c r="F359" s="44">
        <v>1.85</v>
      </c>
      <c r="G359" s="21">
        <v>270</v>
      </c>
      <c r="H359" s="30">
        <v>1.3</v>
      </c>
      <c r="I359" s="6">
        <f t="shared" si="18"/>
        <v>584.41500000000008</v>
      </c>
      <c r="J359" s="7" t="s">
        <v>65</v>
      </c>
      <c r="K359" s="17">
        <f t="shared" si="17"/>
        <v>11</v>
      </c>
    </row>
    <row r="360" spans="1:11" ht="13.95" customHeight="1" x14ac:dyDescent="0.3">
      <c r="A360" s="3">
        <v>45986</v>
      </c>
      <c r="B360" s="3" t="s">
        <v>679</v>
      </c>
      <c r="C360" s="3" t="s">
        <v>20</v>
      </c>
      <c r="D360" s="3" t="s">
        <v>707</v>
      </c>
      <c r="E360" s="4">
        <v>0.96</v>
      </c>
      <c r="F360" s="44">
        <v>1.9</v>
      </c>
      <c r="G360" s="21">
        <v>270</v>
      </c>
      <c r="H360" s="30">
        <v>1.3</v>
      </c>
      <c r="I360" s="6">
        <f t="shared" si="18"/>
        <v>640.22399999999993</v>
      </c>
      <c r="J360" s="7" t="s">
        <v>1048</v>
      </c>
      <c r="K360" s="17">
        <f t="shared" si="17"/>
        <v>11</v>
      </c>
    </row>
    <row r="361" spans="1:11" ht="13.95" customHeight="1" x14ac:dyDescent="0.3">
      <c r="A361" s="3">
        <v>45987</v>
      </c>
      <c r="B361" s="3" t="s">
        <v>679</v>
      </c>
      <c r="C361" s="3" t="s">
        <v>5</v>
      </c>
      <c r="D361" s="3" t="s">
        <v>706</v>
      </c>
      <c r="E361" s="4">
        <v>0.92</v>
      </c>
      <c r="F361" s="44">
        <v>1.85</v>
      </c>
      <c r="G361" s="21">
        <v>270</v>
      </c>
      <c r="H361" s="30">
        <v>1.3</v>
      </c>
      <c r="I361" s="6">
        <f t="shared" si="18"/>
        <v>597.40200000000004</v>
      </c>
      <c r="J361" s="7" t="s">
        <v>71</v>
      </c>
      <c r="K361" s="17">
        <f t="shared" si="17"/>
        <v>11</v>
      </c>
    </row>
    <row r="362" spans="1:11" ht="13.95" customHeight="1" x14ac:dyDescent="0.3">
      <c r="A362" s="3">
        <v>45988</v>
      </c>
      <c r="B362" s="3" t="s">
        <v>679</v>
      </c>
      <c r="C362" s="3" t="s">
        <v>8</v>
      </c>
      <c r="D362" s="3" t="s">
        <v>706</v>
      </c>
      <c r="E362" s="4">
        <v>0.88</v>
      </c>
      <c r="F362" s="44">
        <v>1.8</v>
      </c>
      <c r="G362" s="21">
        <v>270</v>
      </c>
      <c r="H362" s="30">
        <v>1.3</v>
      </c>
      <c r="I362" s="6">
        <f t="shared" si="18"/>
        <v>555.98400000000004</v>
      </c>
      <c r="J362" s="7" t="s">
        <v>71</v>
      </c>
      <c r="K362" s="17">
        <f t="shared" si="17"/>
        <v>11</v>
      </c>
    </row>
    <row r="363" spans="1:11" ht="13.95" customHeight="1" x14ac:dyDescent="0.3">
      <c r="A363" s="3">
        <v>45989</v>
      </c>
      <c r="B363" s="3" t="s">
        <v>679</v>
      </c>
      <c r="C363" s="3" t="s">
        <v>11</v>
      </c>
      <c r="D363" s="3" t="s">
        <v>44</v>
      </c>
      <c r="E363" s="4">
        <v>0.85</v>
      </c>
      <c r="F363" s="44">
        <v>1.85</v>
      </c>
      <c r="G363" s="21">
        <v>270</v>
      </c>
      <c r="H363" s="30">
        <v>1.3</v>
      </c>
      <c r="I363" s="6">
        <f t="shared" si="18"/>
        <v>551.9475000000001</v>
      </c>
      <c r="J363" s="7" t="s">
        <v>978</v>
      </c>
      <c r="K363" s="17">
        <f t="shared" si="17"/>
        <v>11</v>
      </c>
    </row>
    <row r="364" spans="1:11" ht="13.95" customHeight="1" x14ac:dyDescent="0.3">
      <c r="A364" s="3">
        <v>45990</v>
      </c>
      <c r="B364" s="3" t="s">
        <v>679</v>
      </c>
      <c r="C364" s="3" t="s">
        <v>13</v>
      </c>
      <c r="D364" s="3" t="s">
        <v>14</v>
      </c>
      <c r="E364" s="4">
        <v>0.8</v>
      </c>
      <c r="F364" s="44">
        <v>2.4</v>
      </c>
      <c r="G364" s="21">
        <v>270</v>
      </c>
      <c r="H364" s="30">
        <v>1.3</v>
      </c>
      <c r="I364" s="6">
        <f t="shared" si="18"/>
        <v>673.92</v>
      </c>
      <c r="J364" s="7" t="s">
        <v>1049</v>
      </c>
      <c r="K364" s="17">
        <f t="shared" si="17"/>
        <v>11</v>
      </c>
    </row>
    <row r="365" spans="1:11" ht="13.95" customHeight="1" x14ac:dyDescent="0.3">
      <c r="A365" s="3">
        <v>45991</v>
      </c>
      <c r="B365" s="3" t="s">
        <v>679</v>
      </c>
      <c r="C365" s="3" t="s">
        <v>16</v>
      </c>
      <c r="D365" s="3" t="s">
        <v>14</v>
      </c>
      <c r="E365" s="4">
        <v>0.75</v>
      </c>
      <c r="F365" s="44">
        <v>2.4500000000000002</v>
      </c>
      <c r="G365" s="21">
        <v>270</v>
      </c>
      <c r="H365" s="30">
        <v>1.3</v>
      </c>
      <c r="I365" s="6">
        <f t="shared" si="18"/>
        <v>644.96250000000009</v>
      </c>
      <c r="J365" s="7" t="s">
        <v>1050</v>
      </c>
      <c r="K365" s="17">
        <f t="shared" si="17"/>
        <v>11</v>
      </c>
    </row>
    <row r="366" spans="1:11" ht="13.95" customHeight="1" x14ac:dyDescent="0.3">
      <c r="A366" s="3">
        <v>45992</v>
      </c>
      <c r="B366" s="3" t="s">
        <v>679</v>
      </c>
      <c r="C366" s="3" t="s">
        <v>18</v>
      </c>
      <c r="D366" s="3" t="s">
        <v>706</v>
      </c>
      <c r="E366" s="4">
        <v>0.8</v>
      </c>
      <c r="F366" s="44">
        <v>1.8</v>
      </c>
      <c r="G366" s="21">
        <v>270</v>
      </c>
      <c r="H366" s="30">
        <v>1.3</v>
      </c>
      <c r="I366" s="6">
        <f t="shared" ref="I366:I396" si="19">(G366*E366)*F366*H366</f>
        <v>505.44000000000005</v>
      </c>
      <c r="J366" s="7" t="s">
        <v>427</v>
      </c>
      <c r="K366" s="17">
        <f t="shared" si="17"/>
        <v>12</v>
      </c>
    </row>
    <row r="367" spans="1:11" ht="13.95" customHeight="1" x14ac:dyDescent="0.3">
      <c r="A367" s="3">
        <v>45993</v>
      </c>
      <c r="B367" s="3" t="s">
        <v>679</v>
      </c>
      <c r="C367" s="3" t="s">
        <v>20</v>
      </c>
      <c r="D367" s="3" t="s">
        <v>706</v>
      </c>
      <c r="E367" s="4">
        <v>0.85</v>
      </c>
      <c r="F367" s="44">
        <v>1.85</v>
      </c>
      <c r="G367" s="21">
        <v>270</v>
      </c>
      <c r="H367" s="30">
        <v>1.3</v>
      </c>
      <c r="I367" s="6">
        <f t="shared" si="19"/>
        <v>551.9475000000001</v>
      </c>
      <c r="J367" s="7" t="s">
        <v>1236</v>
      </c>
      <c r="K367" s="17">
        <f t="shared" si="17"/>
        <v>12</v>
      </c>
    </row>
    <row r="368" spans="1:11" ht="13.95" customHeight="1" x14ac:dyDescent="0.3">
      <c r="A368" s="3">
        <v>45994</v>
      </c>
      <c r="B368" s="3" t="s">
        <v>679</v>
      </c>
      <c r="C368" s="3" t="s">
        <v>5</v>
      </c>
      <c r="D368" s="3" t="s">
        <v>706</v>
      </c>
      <c r="E368" s="4">
        <v>0.82</v>
      </c>
      <c r="F368" s="44">
        <v>1.8</v>
      </c>
      <c r="G368" s="21">
        <v>270</v>
      </c>
      <c r="H368" s="30">
        <v>1.3</v>
      </c>
      <c r="I368" s="6">
        <f t="shared" si="19"/>
        <v>518.07600000000002</v>
      </c>
      <c r="J368" s="7" t="s">
        <v>71</v>
      </c>
      <c r="K368" s="17">
        <f t="shared" si="17"/>
        <v>12</v>
      </c>
    </row>
    <row r="369" spans="1:11" ht="13.95" customHeight="1" x14ac:dyDescent="0.3">
      <c r="A369" s="3">
        <v>45995</v>
      </c>
      <c r="B369" s="3" t="s">
        <v>679</v>
      </c>
      <c r="C369" s="3" t="s">
        <v>8</v>
      </c>
      <c r="D369" s="3" t="s">
        <v>706</v>
      </c>
      <c r="E369" s="4">
        <v>0.75</v>
      </c>
      <c r="F369" s="44">
        <v>1.75</v>
      </c>
      <c r="G369" s="21">
        <v>270</v>
      </c>
      <c r="H369" s="30">
        <v>1.3</v>
      </c>
      <c r="I369" s="6">
        <f t="shared" si="19"/>
        <v>460.6875</v>
      </c>
      <c r="J369" s="7" t="s">
        <v>71</v>
      </c>
      <c r="K369" s="17">
        <f t="shared" si="17"/>
        <v>12</v>
      </c>
    </row>
    <row r="370" spans="1:11" ht="13.95" customHeight="1" x14ac:dyDescent="0.3">
      <c r="A370" s="3">
        <v>45996</v>
      </c>
      <c r="B370" s="3" t="s">
        <v>679</v>
      </c>
      <c r="C370" s="3" t="s">
        <v>11</v>
      </c>
      <c r="D370" s="3" t="s">
        <v>44</v>
      </c>
      <c r="E370" s="4">
        <v>0.7</v>
      </c>
      <c r="F370" s="44">
        <v>2.1</v>
      </c>
      <c r="G370" s="21">
        <v>270</v>
      </c>
      <c r="H370" s="30">
        <v>1.3</v>
      </c>
      <c r="I370" s="6">
        <f t="shared" si="19"/>
        <v>515.97</v>
      </c>
      <c r="J370" s="7" t="s">
        <v>390</v>
      </c>
      <c r="K370" s="17">
        <f t="shared" si="17"/>
        <v>12</v>
      </c>
    </row>
    <row r="371" spans="1:11" ht="13.95" customHeight="1" x14ac:dyDescent="0.3">
      <c r="A371" s="3">
        <v>45997</v>
      </c>
      <c r="B371" s="3" t="s">
        <v>679</v>
      </c>
      <c r="C371" s="3" t="s">
        <v>13</v>
      </c>
      <c r="D371" s="3" t="s">
        <v>1215</v>
      </c>
      <c r="E371" s="4">
        <v>0.75</v>
      </c>
      <c r="F371" s="44">
        <v>2.4</v>
      </c>
      <c r="G371" s="21">
        <v>270</v>
      </c>
      <c r="H371" s="30">
        <v>1.3</v>
      </c>
      <c r="I371" s="6">
        <f t="shared" si="19"/>
        <v>631.80000000000007</v>
      </c>
      <c r="J371" s="7" t="s">
        <v>1237</v>
      </c>
      <c r="K371" s="17">
        <f t="shared" si="17"/>
        <v>12</v>
      </c>
    </row>
    <row r="372" spans="1:11" ht="13.95" customHeight="1" x14ac:dyDescent="0.3">
      <c r="A372" s="3">
        <v>45998</v>
      </c>
      <c r="B372" s="3" t="s">
        <v>679</v>
      </c>
      <c r="C372" s="3" t="s">
        <v>16</v>
      </c>
      <c r="D372" s="3" t="s">
        <v>1238</v>
      </c>
      <c r="E372" s="4">
        <v>0.85</v>
      </c>
      <c r="F372" s="44">
        <v>2.7</v>
      </c>
      <c r="G372" s="21">
        <v>270</v>
      </c>
      <c r="H372" s="30">
        <v>1.3</v>
      </c>
      <c r="I372" s="6">
        <f t="shared" si="19"/>
        <v>805.54500000000019</v>
      </c>
      <c r="J372" s="7" t="s">
        <v>91</v>
      </c>
      <c r="K372" s="17">
        <f t="shared" si="17"/>
        <v>12</v>
      </c>
    </row>
    <row r="373" spans="1:11" ht="13.95" customHeight="1" x14ac:dyDescent="0.3">
      <c r="A373" s="3">
        <v>45999</v>
      </c>
      <c r="B373" s="3" t="s">
        <v>679</v>
      </c>
      <c r="C373" s="3" t="s">
        <v>18</v>
      </c>
      <c r="D373" s="3" t="s">
        <v>706</v>
      </c>
      <c r="E373" s="4">
        <v>0.78</v>
      </c>
      <c r="F373" s="44">
        <v>1.8</v>
      </c>
      <c r="G373" s="21">
        <v>270</v>
      </c>
      <c r="H373" s="30">
        <v>1.3</v>
      </c>
      <c r="I373" s="6">
        <f t="shared" si="19"/>
        <v>492.80399999999997</v>
      </c>
      <c r="J373" s="7" t="s">
        <v>71</v>
      </c>
      <c r="K373" s="17">
        <f t="shared" si="17"/>
        <v>12</v>
      </c>
    </row>
    <row r="374" spans="1:11" ht="13.95" customHeight="1" x14ac:dyDescent="0.3">
      <c r="A374" s="3">
        <v>46000</v>
      </c>
      <c r="B374" s="3" t="s">
        <v>679</v>
      </c>
      <c r="C374" s="3" t="s">
        <v>20</v>
      </c>
      <c r="D374" s="3" t="s">
        <v>706</v>
      </c>
      <c r="E374" s="4">
        <v>0.82</v>
      </c>
      <c r="F374" s="44">
        <v>1.8</v>
      </c>
      <c r="G374" s="21">
        <v>270</v>
      </c>
      <c r="H374" s="30">
        <v>1.3</v>
      </c>
      <c r="I374" s="6">
        <f t="shared" si="19"/>
        <v>518.07600000000002</v>
      </c>
      <c r="J374" s="7" t="s">
        <v>71</v>
      </c>
      <c r="K374" s="17">
        <f t="shared" si="17"/>
        <v>12</v>
      </c>
    </row>
    <row r="375" spans="1:11" ht="13.95" customHeight="1" x14ac:dyDescent="0.3">
      <c r="A375" s="3">
        <v>46001</v>
      </c>
      <c r="B375" s="3" t="s">
        <v>679</v>
      </c>
      <c r="C375" s="3" t="s">
        <v>5</v>
      </c>
      <c r="D375" s="3" t="s">
        <v>706</v>
      </c>
      <c r="E375" s="4">
        <v>0.8</v>
      </c>
      <c r="F375" s="44">
        <v>1.8</v>
      </c>
      <c r="G375" s="21">
        <v>270</v>
      </c>
      <c r="H375" s="30">
        <v>1.3</v>
      </c>
      <c r="I375" s="6">
        <f t="shared" si="19"/>
        <v>505.44000000000005</v>
      </c>
      <c r="J375" s="7" t="s">
        <v>71</v>
      </c>
      <c r="K375" s="17">
        <f t="shared" si="17"/>
        <v>12</v>
      </c>
    </row>
    <row r="376" spans="1:11" ht="13.95" customHeight="1" x14ac:dyDescent="0.3">
      <c r="A376" s="3">
        <v>46002</v>
      </c>
      <c r="B376" s="3" t="s">
        <v>679</v>
      </c>
      <c r="C376" s="3" t="s">
        <v>8</v>
      </c>
      <c r="D376" s="3" t="s">
        <v>706</v>
      </c>
      <c r="E376" s="4">
        <v>0.75</v>
      </c>
      <c r="F376" s="44">
        <v>1.75</v>
      </c>
      <c r="G376" s="21">
        <v>270</v>
      </c>
      <c r="H376" s="30">
        <v>1.3</v>
      </c>
      <c r="I376" s="6">
        <f t="shared" si="19"/>
        <v>460.6875</v>
      </c>
      <c r="J376" s="7" t="s">
        <v>71</v>
      </c>
      <c r="K376" s="17">
        <f t="shared" si="17"/>
        <v>12</v>
      </c>
    </row>
    <row r="377" spans="1:11" ht="13.95" customHeight="1" x14ac:dyDescent="0.3">
      <c r="A377" s="3">
        <v>46003</v>
      </c>
      <c r="B377" s="3" t="s">
        <v>679</v>
      </c>
      <c r="C377" s="3" t="s">
        <v>11</v>
      </c>
      <c r="D377" s="3" t="s">
        <v>44</v>
      </c>
      <c r="E377" s="4">
        <v>0.7</v>
      </c>
      <c r="F377" s="44">
        <v>2.1</v>
      </c>
      <c r="G377" s="21">
        <v>270</v>
      </c>
      <c r="H377" s="30">
        <v>1.3</v>
      </c>
      <c r="I377" s="6">
        <f t="shared" si="19"/>
        <v>515.97</v>
      </c>
      <c r="J377" s="7" t="s">
        <v>70</v>
      </c>
      <c r="K377" s="17">
        <f t="shared" si="17"/>
        <v>12</v>
      </c>
    </row>
    <row r="378" spans="1:11" ht="13.95" customHeight="1" x14ac:dyDescent="0.3">
      <c r="A378" s="3">
        <v>46004</v>
      </c>
      <c r="B378" s="3" t="s">
        <v>679</v>
      </c>
      <c r="C378" s="3" t="s">
        <v>13</v>
      </c>
      <c r="D378" s="3" t="s">
        <v>1215</v>
      </c>
      <c r="E378" s="4">
        <v>0.78</v>
      </c>
      <c r="F378" s="44">
        <v>2.4500000000000002</v>
      </c>
      <c r="G378" s="21">
        <v>270</v>
      </c>
      <c r="H378" s="30">
        <v>1.3</v>
      </c>
      <c r="I378" s="6">
        <f t="shared" si="19"/>
        <v>670.76100000000008</v>
      </c>
      <c r="J378" s="7" t="s">
        <v>508</v>
      </c>
      <c r="K378" s="17">
        <f t="shared" si="17"/>
        <v>12</v>
      </c>
    </row>
    <row r="379" spans="1:11" ht="13.95" customHeight="1" x14ac:dyDescent="0.3">
      <c r="A379" s="3">
        <v>46005</v>
      </c>
      <c r="B379" s="3" t="s">
        <v>679</v>
      </c>
      <c r="C379" s="3" t="s">
        <v>16</v>
      </c>
      <c r="D379" s="3" t="s">
        <v>1238</v>
      </c>
      <c r="E379" s="4">
        <v>0.88</v>
      </c>
      <c r="F379" s="44">
        <v>2.7</v>
      </c>
      <c r="G379" s="21">
        <v>270</v>
      </c>
      <c r="H379" s="30">
        <v>1.3</v>
      </c>
      <c r="I379" s="6">
        <f t="shared" si="19"/>
        <v>833.976</v>
      </c>
      <c r="J379" s="7" t="s">
        <v>238</v>
      </c>
      <c r="K379" s="17">
        <f t="shared" si="17"/>
        <v>12</v>
      </c>
    </row>
    <row r="380" spans="1:11" ht="13.95" customHeight="1" x14ac:dyDescent="0.3">
      <c r="A380" s="3">
        <v>46006</v>
      </c>
      <c r="B380" s="3" t="s">
        <v>679</v>
      </c>
      <c r="C380" s="3" t="s">
        <v>18</v>
      </c>
      <c r="D380" s="3" t="s">
        <v>706</v>
      </c>
      <c r="E380" s="4">
        <v>0.7</v>
      </c>
      <c r="F380" s="44">
        <v>1.8</v>
      </c>
      <c r="G380" s="21">
        <v>270</v>
      </c>
      <c r="H380" s="30">
        <v>1.3</v>
      </c>
      <c r="I380" s="6">
        <f t="shared" si="19"/>
        <v>442.26</v>
      </c>
      <c r="J380" s="7" t="s">
        <v>1239</v>
      </c>
      <c r="K380" s="17">
        <f t="shared" si="17"/>
        <v>12</v>
      </c>
    </row>
    <row r="381" spans="1:11" ht="13.95" customHeight="1" x14ac:dyDescent="0.3">
      <c r="A381" s="3">
        <v>46007</v>
      </c>
      <c r="B381" s="3" t="s">
        <v>679</v>
      </c>
      <c r="C381" s="3" t="s">
        <v>20</v>
      </c>
      <c r="D381" s="3" t="s">
        <v>706</v>
      </c>
      <c r="E381" s="4">
        <v>0.72</v>
      </c>
      <c r="F381" s="44">
        <v>1.8</v>
      </c>
      <c r="G381" s="21">
        <v>270</v>
      </c>
      <c r="H381" s="30">
        <v>1.3</v>
      </c>
      <c r="I381" s="6">
        <f t="shared" si="19"/>
        <v>454.89600000000002</v>
      </c>
      <c r="J381" s="7" t="s">
        <v>71</v>
      </c>
      <c r="K381" s="17">
        <f t="shared" si="17"/>
        <v>12</v>
      </c>
    </row>
    <row r="382" spans="1:11" ht="13.95" customHeight="1" x14ac:dyDescent="0.3">
      <c r="A382" s="3">
        <v>46008</v>
      </c>
      <c r="B382" s="3" t="s">
        <v>679</v>
      </c>
      <c r="C382" s="3" t="s">
        <v>5</v>
      </c>
      <c r="D382" s="3" t="s">
        <v>706</v>
      </c>
      <c r="E382" s="4">
        <v>0.7</v>
      </c>
      <c r="F382" s="44">
        <v>1.75</v>
      </c>
      <c r="G382" s="21">
        <v>270</v>
      </c>
      <c r="H382" s="30">
        <v>1.3</v>
      </c>
      <c r="I382" s="6">
        <f t="shared" si="19"/>
        <v>429.97500000000002</v>
      </c>
      <c r="J382" s="7" t="s">
        <v>71</v>
      </c>
      <c r="K382" s="17">
        <f t="shared" si="17"/>
        <v>12</v>
      </c>
    </row>
    <row r="383" spans="1:11" ht="13.95" customHeight="1" x14ac:dyDescent="0.3">
      <c r="A383" s="3">
        <v>46009</v>
      </c>
      <c r="B383" s="3" t="s">
        <v>679</v>
      </c>
      <c r="C383" s="3" t="s">
        <v>8</v>
      </c>
      <c r="D383" s="3" t="s">
        <v>706</v>
      </c>
      <c r="E383" s="4">
        <v>0.68</v>
      </c>
      <c r="F383" s="44">
        <v>1.75</v>
      </c>
      <c r="G383" s="21">
        <v>270</v>
      </c>
      <c r="H383" s="30">
        <v>1.3</v>
      </c>
      <c r="I383" s="6">
        <f t="shared" si="19"/>
        <v>417.69000000000011</v>
      </c>
      <c r="J383" s="7" t="s">
        <v>1240</v>
      </c>
      <c r="K383" s="17">
        <f t="shared" si="17"/>
        <v>12</v>
      </c>
    </row>
    <row r="384" spans="1:11" ht="13.95" customHeight="1" x14ac:dyDescent="0.3">
      <c r="A384" s="3">
        <v>46010</v>
      </c>
      <c r="B384" s="3" t="s">
        <v>679</v>
      </c>
      <c r="C384" s="3" t="s">
        <v>11</v>
      </c>
      <c r="D384" s="3" t="s">
        <v>658</v>
      </c>
      <c r="E384" s="4">
        <v>0.75</v>
      </c>
      <c r="F384" s="44">
        <v>2.1</v>
      </c>
      <c r="G384" s="21">
        <v>270</v>
      </c>
      <c r="H384" s="30">
        <v>1.3</v>
      </c>
      <c r="I384" s="6">
        <f t="shared" si="19"/>
        <v>552.82500000000005</v>
      </c>
      <c r="J384" s="7" t="s">
        <v>295</v>
      </c>
      <c r="K384" s="17">
        <f t="shared" si="17"/>
        <v>12</v>
      </c>
    </row>
    <row r="385" spans="1:12" ht="13.95" customHeight="1" x14ac:dyDescent="0.3">
      <c r="A385" s="3">
        <v>46011</v>
      </c>
      <c r="B385" s="3" t="s">
        <v>679</v>
      </c>
      <c r="C385" s="3" t="s">
        <v>13</v>
      </c>
      <c r="D385" s="3" t="s">
        <v>834</v>
      </c>
      <c r="E385" s="4">
        <v>0.8</v>
      </c>
      <c r="F385" s="44">
        <v>2.4</v>
      </c>
      <c r="G385" s="21">
        <v>270</v>
      </c>
      <c r="H385" s="30">
        <v>1.3</v>
      </c>
      <c r="I385" s="6">
        <f t="shared" si="19"/>
        <v>673.92</v>
      </c>
      <c r="J385" s="7" t="s">
        <v>296</v>
      </c>
      <c r="K385" s="17">
        <f t="shared" si="17"/>
        <v>12</v>
      </c>
    </row>
    <row r="386" spans="1:12" ht="13.95" customHeight="1" x14ac:dyDescent="0.3">
      <c r="A386" s="3">
        <v>46012</v>
      </c>
      <c r="B386" s="3" t="s">
        <v>679</v>
      </c>
      <c r="C386" s="3" t="s">
        <v>16</v>
      </c>
      <c r="D386" s="3" t="s">
        <v>879</v>
      </c>
      <c r="E386" s="4">
        <v>0.9</v>
      </c>
      <c r="F386" s="44">
        <v>2.8</v>
      </c>
      <c r="G386" s="21">
        <v>270</v>
      </c>
      <c r="H386" s="30">
        <v>1.3</v>
      </c>
      <c r="I386" s="6">
        <f t="shared" si="19"/>
        <v>884.52</v>
      </c>
      <c r="J386" s="7" t="s">
        <v>1241</v>
      </c>
      <c r="K386" s="17">
        <f t="shared" si="17"/>
        <v>12</v>
      </c>
    </row>
    <row r="387" spans="1:12" ht="13.95" customHeight="1" x14ac:dyDescent="0.3">
      <c r="A387" s="3">
        <v>46013</v>
      </c>
      <c r="B387" s="3" t="s">
        <v>679</v>
      </c>
      <c r="C387" s="3" t="s">
        <v>18</v>
      </c>
      <c r="D387" s="3" t="s">
        <v>658</v>
      </c>
      <c r="E387" s="4">
        <v>0.82</v>
      </c>
      <c r="F387" s="44">
        <v>2.1</v>
      </c>
      <c r="G387" s="21">
        <v>270</v>
      </c>
      <c r="H387" s="30">
        <v>1.3</v>
      </c>
      <c r="I387" s="6">
        <f t="shared" si="19"/>
        <v>604.42200000000003</v>
      </c>
      <c r="J387" s="7" t="s">
        <v>1242</v>
      </c>
      <c r="K387" s="17">
        <f t="shared" ref="K387:K396" si="20">MONTH(A387)</f>
        <v>12</v>
      </c>
    </row>
    <row r="388" spans="1:12" ht="13.95" customHeight="1" x14ac:dyDescent="0.3">
      <c r="A388" s="3">
        <v>46014</v>
      </c>
      <c r="B388" s="3" t="s">
        <v>679</v>
      </c>
      <c r="C388" s="3" t="s">
        <v>20</v>
      </c>
      <c r="D388" s="3" t="s">
        <v>658</v>
      </c>
      <c r="E388" s="4">
        <v>0.85</v>
      </c>
      <c r="F388" s="44">
        <v>2.2000000000000002</v>
      </c>
      <c r="G388" s="21">
        <v>270</v>
      </c>
      <c r="H388" s="30">
        <v>1.3</v>
      </c>
      <c r="I388" s="6">
        <f t="shared" si="19"/>
        <v>656.37000000000012</v>
      </c>
      <c r="J388" s="7" t="s">
        <v>661</v>
      </c>
      <c r="K388" s="17">
        <f t="shared" si="20"/>
        <v>12</v>
      </c>
    </row>
    <row r="389" spans="1:12" ht="13.95" customHeight="1" x14ac:dyDescent="0.3">
      <c r="A389" s="3">
        <v>46015</v>
      </c>
      <c r="B389" s="3" t="s">
        <v>679</v>
      </c>
      <c r="C389" s="3" t="s">
        <v>5</v>
      </c>
      <c r="D389" s="3" t="s">
        <v>662</v>
      </c>
      <c r="E389" s="4">
        <v>0.95</v>
      </c>
      <c r="F389" s="44">
        <v>3.1</v>
      </c>
      <c r="G389" s="21">
        <v>270</v>
      </c>
      <c r="H389" s="30">
        <v>1.3</v>
      </c>
      <c r="I389" s="6">
        <f t="shared" si="19"/>
        <v>1033.6949999999999</v>
      </c>
      <c r="J389" s="7" t="s">
        <v>1243</v>
      </c>
      <c r="K389" s="17">
        <f t="shared" si="20"/>
        <v>12</v>
      </c>
    </row>
    <row r="390" spans="1:12" ht="13.95" customHeight="1" x14ac:dyDescent="0.3">
      <c r="A390" s="3">
        <v>46016</v>
      </c>
      <c r="B390" s="3" t="s">
        <v>679</v>
      </c>
      <c r="C390" s="3" t="s">
        <v>8</v>
      </c>
      <c r="D390" s="3" t="s">
        <v>884</v>
      </c>
      <c r="E390" s="4">
        <v>0.88</v>
      </c>
      <c r="F390" s="44">
        <v>2.6</v>
      </c>
      <c r="G390" s="21">
        <v>270</v>
      </c>
      <c r="H390" s="30">
        <v>1.3</v>
      </c>
      <c r="I390" s="6">
        <f t="shared" si="19"/>
        <v>803.08799999999997</v>
      </c>
      <c r="J390" s="7" t="s">
        <v>1244</v>
      </c>
      <c r="K390" s="17">
        <f t="shared" si="20"/>
        <v>12</v>
      </c>
    </row>
    <row r="391" spans="1:12" ht="13.95" customHeight="1" x14ac:dyDescent="0.3">
      <c r="A391" s="3">
        <v>46017</v>
      </c>
      <c r="B391" s="3" t="s">
        <v>679</v>
      </c>
      <c r="C391" s="3" t="s">
        <v>11</v>
      </c>
      <c r="D391" s="3" t="s">
        <v>44</v>
      </c>
      <c r="E391" s="4">
        <v>0.85</v>
      </c>
      <c r="F391" s="44">
        <v>2.1</v>
      </c>
      <c r="G391" s="21">
        <v>270</v>
      </c>
      <c r="H391" s="30">
        <v>1.3</v>
      </c>
      <c r="I391" s="6">
        <f t="shared" si="19"/>
        <v>626.53500000000008</v>
      </c>
      <c r="J391" s="7" t="s">
        <v>1202</v>
      </c>
      <c r="K391" s="17">
        <f t="shared" si="20"/>
        <v>12</v>
      </c>
    </row>
    <row r="392" spans="1:12" ht="13.95" customHeight="1" x14ac:dyDescent="0.3">
      <c r="A392" s="3">
        <v>46018</v>
      </c>
      <c r="B392" s="3" t="s">
        <v>679</v>
      </c>
      <c r="C392" s="3" t="s">
        <v>13</v>
      </c>
      <c r="D392" s="3" t="s">
        <v>658</v>
      </c>
      <c r="E392" s="4">
        <v>0.9</v>
      </c>
      <c r="F392" s="44">
        <v>2.5</v>
      </c>
      <c r="G392" s="21">
        <v>270</v>
      </c>
      <c r="H392" s="30">
        <v>1.3</v>
      </c>
      <c r="I392" s="6">
        <f t="shared" si="19"/>
        <v>789.75</v>
      </c>
      <c r="J392" s="7" t="s">
        <v>1220</v>
      </c>
      <c r="K392" s="17">
        <f t="shared" si="20"/>
        <v>12</v>
      </c>
    </row>
    <row r="393" spans="1:12" ht="13.95" customHeight="1" x14ac:dyDescent="0.3">
      <c r="A393" s="3">
        <v>46019</v>
      </c>
      <c r="B393" s="3" t="s">
        <v>679</v>
      </c>
      <c r="C393" s="3" t="s">
        <v>16</v>
      </c>
      <c r="D393" s="3" t="s">
        <v>1245</v>
      </c>
      <c r="E393" s="4">
        <v>0.95</v>
      </c>
      <c r="F393" s="44">
        <v>2.85</v>
      </c>
      <c r="G393" s="21">
        <v>270</v>
      </c>
      <c r="H393" s="30">
        <v>1.3</v>
      </c>
      <c r="I393" s="6">
        <f t="shared" si="19"/>
        <v>950.33249999999998</v>
      </c>
      <c r="J393" s="7" t="s">
        <v>1246</v>
      </c>
      <c r="K393" s="17">
        <f t="shared" si="20"/>
        <v>12</v>
      </c>
    </row>
    <row r="394" spans="1:12" ht="13.95" customHeight="1" x14ac:dyDescent="0.3">
      <c r="A394" s="3">
        <v>46020</v>
      </c>
      <c r="B394" s="3" t="s">
        <v>679</v>
      </c>
      <c r="C394" s="3" t="s">
        <v>18</v>
      </c>
      <c r="D394" s="3" t="s">
        <v>658</v>
      </c>
      <c r="E394" s="4">
        <v>0.92</v>
      </c>
      <c r="F394" s="44">
        <v>2.2000000000000002</v>
      </c>
      <c r="G394" s="21">
        <v>270</v>
      </c>
      <c r="H394" s="30">
        <v>1.3</v>
      </c>
      <c r="I394" s="6">
        <f t="shared" si="19"/>
        <v>710.42400000000009</v>
      </c>
      <c r="J394" s="7" t="s">
        <v>887</v>
      </c>
      <c r="K394" s="17">
        <f t="shared" si="20"/>
        <v>12</v>
      </c>
    </row>
    <row r="395" spans="1:12" ht="13.95" customHeight="1" x14ac:dyDescent="0.3">
      <c r="A395" s="3">
        <v>46021</v>
      </c>
      <c r="B395" s="3" t="s">
        <v>679</v>
      </c>
      <c r="C395" s="3" t="s">
        <v>20</v>
      </c>
      <c r="D395" s="3" t="s">
        <v>658</v>
      </c>
      <c r="E395" s="4">
        <v>0.95</v>
      </c>
      <c r="F395" s="44">
        <v>2.2999999999999998</v>
      </c>
      <c r="G395" s="21">
        <v>270</v>
      </c>
      <c r="H395" s="30">
        <v>1.3</v>
      </c>
      <c r="I395" s="6">
        <f t="shared" si="19"/>
        <v>766.93499999999995</v>
      </c>
      <c r="J395" s="7" t="s">
        <v>1247</v>
      </c>
      <c r="K395" s="17">
        <f t="shared" si="20"/>
        <v>12</v>
      </c>
    </row>
    <row r="396" spans="1:12" ht="13.95" customHeight="1" x14ac:dyDescent="0.3">
      <c r="A396" s="3">
        <v>46022</v>
      </c>
      <c r="B396" s="3" t="s">
        <v>679</v>
      </c>
      <c r="C396" s="3" t="s">
        <v>5</v>
      </c>
      <c r="D396" s="3" t="s">
        <v>668</v>
      </c>
      <c r="E396" s="4">
        <v>1</v>
      </c>
      <c r="F396" s="44">
        <v>3.5</v>
      </c>
      <c r="G396" s="21">
        <v>270</v>
      </c>
      <c r="H396" s="30">
        <v>1.3</v>
      </c>
      <c r="I396" s="6">
        <f t="shared" si="19"/>
        <v>1228.5</v>
      </c>
      <c r="J396" s="7" t="s">
        <v>1248</v>
      </c>
      <c r="K396" s="17">
        <f t="shared" si="20"/>
        <v>12</v>
      </c>
    </row>
    <row r="397" spans="1:12" x14ac:dyDescent="0.3">
      <c r="K397" s="17"/>
      <c r="L397" s="17"/>
    </row>
    <row r="398" spans="1:12" x14ac:dyDescent="0.3">
      <c r="K398" s="17"/>
      <c r="L398" s="17"/>
    </row>
    <row r="399" spans="1:12" x14ac:dyDescent="0.3">
      <c r="K399" s="17"/>
      <c r="L399" s="17"/>
    </row>
    <row r="400" spans="1:12" x14ac:dyDescent="0.3">
      <c r="K400" s="17"/>
      <c r="L400" s="17"/>
    </row>
    <row r="401" spans="11:12" x14ac:dyDescent="0.3">
      <c r="K401" s="17"/>
      <c r="L401" s="17"/>
    </row>
    <row r="402" spans="11:12" x14ac:dyDescent="0.3">
      <c r="K402" s="17"/>
      <c r="L402" s="17"/>
    </row>
    <row r="403" spans="11:12" x14ac:dyDescent="0.3">
      <c r="K403" s="17"/>
      <c r="L403" s="17"/>
    </row>
    <row r="404" spans="11:12" x14ac:dyDescent="0.3">
      <c r="K404" s="17"/>
      <c r="L404" s="17"/>
    </row>
    <row r="405" spans="11:12" x14ac:dyDescent="0.3">
      <c r="K405" s="17"/>
      <c r="L405" s="17"/>
    </row>
    <row r="406" spans="11:12" x14ac:dyDescent="0.3">
      <c r="K406" s="17"/>
      <c r="L406" s="17"/>
    </row>
    <row r="407" spans="11:12" x14ac:dyDescent="0.3">
      <c r="K407" s="17"/>
      <c r="L407" s="17"/>
    </row>
    <row r="408" spans="11:12" x14ac:dyDescent="0.3">
      <c r="K408" s="17"/>
      <c r="L408" s="17"/>
    </row>
    <row r="409" spans="11:12" x14ac:dyDescent="0.3">
      <c r="K409" s="17"/>
      <c r="L409" s="17"/>
    </row>
    <row r="410" spans="11:12" x14ac:dyDescent="0.3">
      <c r="K410" s="17"/>
      <c r="L410" s="17"/>
    </row>
    <row r="411" spans="11:12" x14ac:dyDescent="0.3">
      <c r="K411" s="17"/>
      <c r="L411" s="17"/>
    </row>
    <row r="412" spans="11:12" x14ac:dyDescent="0.3">
      <c r="K412" s="17"/>
      <c r="L412" s="17"/>
    </row>
    <row r="413" spans="11:12" x14ac:dyDescent="0.3">
      <c r="K413" s="17"/>
      <c r="L413" s="17"/>
    </row>
    <row r="414" spans="11:12" x14ac:dyDescent="0.3">
      <c r="K414" s="17"/>
      <c r="L414" s="17"/>
    </row>
    <row r="415" spans="11:12" x14ac:dyDescent="0.3">
      <c r="K415" s="17"/>
      <c r="L415" s="17"/>
    </row>
    <row r="416" spans="11:12" x14ac:dyDescent="0.3">
      <c r="K416" s="17"/>
      <c r="L416" s="17"/>
    </row>
    <row r="417" spans="11:12" x14ac:dyDescent="0.3">
      <c r="K417" s="17"/>
      <c r="L417" s="17"/>
    </row>
    <row r="418" spans="11:12" x14ac:dyDescent="0.3">
      <c r="K418" s="17"/>
      <c r="L418" s="17"/>
    </row>
    <row r="419" spans="11:12" x14ac:dyDescent="0.3">
      <c r="K419" s="17"/>
      <c r="L419" s="17"/>
    </row>
    <row r="420" spans="11:12" x14ac:dyDescent="0.3">
      <c r="K420" s="17"/>
      <c r="L420" s="17"/>
    </row>
    <row r="421" spans="11:12" x14ac:dyDescent="0.3">
      <c r="K421" s="17"/>
      <c r="L421" s="17"/>
    </row>
    <row r="422" spans="11:12" x14ac:dyDescent="0.3">
      <c r="K422" s="17"/>
      <c r="L422" s="17"/>
    </row>
    <row r="423" spans="11:12" x14ac:dyDescent="0.3">
      <c r="K423" s="17"/>
      <c r="L423" s="17"/>
    </row>
    <row r="424" spans="11:12" x14ac:dyDescent="0.3">
      <c r="K424" s="17"/>
      <c r="L424" s="17"/>
    </row>
    <row r="425" spans="11:12" x14ac:dyDescent="0.3">
      <c r="K425" s="17"/>
    </row>
    <row r="426" spans="11:12" x14ac:dyDescent="0.3">
      <c r="K426" s="17"/>
    </row>
    <row r="427" spans="11:12" x14ac:dyDescent="0.3">
      <c r="K427" s="17"/>
    </row>
    <row r="428" spans="11:12" x14ac:dyDescent="0.3">
      <c r="K428" s="17"/>
    </row>
    <row r="429" spans="11:12" x14ac:dyDescent="0.3">
      <c r="K429" s="17"/>
    </row>
    <row r="430" spans="11:12" x14ac:dyDescent="0.3">
      <c r="K430" s="17"/>
    </row>
    <row r="431" spans="11:12" x14ac:dyDescent="0.3">
      <c r="K431" s="17"/>
    </row>
    <row r="432" spans="11:12" x14ac:dyDescent="0.3">
      <c r="K432" s="17"/>
    </row>
    <row r="433" spans="11:11" x14ac:dyDescent="0.3">
      <c r="K433" s="17"/>
    </row>
    <row r="434" spans="11:11" x14ac:dyDescent="0.3">
      <c r="K434" s="17"/>
    </row>
    <row r="435" spans="11:11" x14ac:dyDescent="0.3">
      <c r="K435" s="17"/>
    </row>
    <row r="436" spans="11:11" x14ac:dyDescent="0.3">
      <c r="K436" s="17"/>
    </row>
    <row r="437" spans="11:11" x14ac:dyDescent="0.3">
      <c r="K437" s="17"/>
    </row>
    <row r="438" spans="11:11" x14ac:dyDescent="0.3">
      <c r="K438" s="17"/>
    </row>
    <row r="439" spans="11:11" x14ac:dyDescent="0.3">
      <c r="K439" s="17"/>
    </row>
    <row r="440" spans="11:11" x14ac:dyDescent="0.3">
      <c r="K440" s="17"/>
    </row>
    <row r="441" spans="11:11" x14ac:dyDescent="0.3">
      <c r="K441" s="17"/>
    </row>
    <row r="442" spans="11:11" x14ac:dyDescent="0.3">
      <c r="K442" s="17"/>
    </row>
    <row r="443" spans="11:11" x14ac:dyDescent="0.3">
      <c r="K443" s="17"/>
    </row>
    <row r="444" spans="11:11" x14ac:dyDescent="0.3">
      <c r="K444" s="17"/>
    </row>
    <row r="445" spans="11:11" x14ac:dyDescent="0.3">
      <c r="K445" s="17"/>
    </row>
    <row r="446" spans="11:11" x14ac:dyDescent="0.3">
      <c r="K446" s="17"/>
    </row>
    <row r="447" spans="11:11" x14ac:dyDescent="0.3">
      <c r="K447" s="17"/>
    </row>
    <row r="448" spans="11:11" x14ac:dyDescent="0.3">
      <c r="K448" s="17"/>
    </row>
    <row r="449" spans="11:11" x14ac:dyDescent="0.3">
      <c r="K449" s="17"/>
    </row>
    <row r="450" spans="11:11" x14ac:dyDescent="0.3">
      <c r="K450" s="17"/>
    </row>
    <row r="451" spans="11:11" x14ac:dyDescent="0.3">
      <c r="K451" s="17"/>
    </row>
    <row r="452" spans="11:11" x14ac:dyDescent="0.3">
      <c r="K452" s="17"/>
    </row>
    <row r="453" spans="11:11" x14ac:dyDescent="0.3">
      <c r="K453" s="17"/>
    </row>
    <row r="454" spans="11:11" x14ac:dyDescent="0.3">
      <c r="K454" s="17"/>
    </row>
    <row r="455" spans="11:11" x14ac:dyDescent="0.3">
      <c r="K455" s="17"/>
    </row>
  </sheetData>
  <mergeCells count="1">
    <mergeCell ref="L2:N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A550C-9BA6-4C5B-BC0C-01DEA2B06B0C}">
  <dimension ref="A1:Q456"/>
  <sheetViews>
    <sheetView workbookViewId="0">
      <selection activeCell="I2" sqref="I2"/>
    </sheetView>
  </sheetViews>
  <sheetFormatPr baseColWidth="10" defaultRowHeight="14.4" x14ac:dyDescent="0.3"/>
  <cols>
    <col min="1" max="1" width="17" customWidth="1"/>
    <col min="2" max="2" width="21.5546875" customWidth="1"/>
    <col min="4" max="4" width="25.5546875" customWidth="1"/>
    <col min="5" max="5" width="11.5546875" style="38"/>
    <col min="6" max="6" width="11.5546875" style="36"/>
    <col min="9" max="9" width="15.5546875" customWidth="1"/>
    <col min="10" max="10" width="33.88671875" style="26" customWidth="1"/>
  </cols>
  <sheetData>
    <row r="1" spans="1:17" ht="28.2" thickBot="1" x14ac:dyDescent="0.35">
      <c r="A1" s="1" t="s">
        <v>333</v>
      </c>
      <c r="B1" s="34" t="s">
        <v>670</v>
      </c>
      <c r="C1" s="34" t="s">
        <v>0</v>
      </c>
      <c r="D1" s="34" t="s">
        <v>1</v>
      </c>
      <c r="E1" s="37" t="s">
        <v>2</v>
      </c>
      <c r="F1" s="43" t="s">
        <v>3</v>
      </c>
      <c r="G1" s="47" t="s">
        <v>359</v>
      </c>
      <c r="H1" s="35" t="s">
        <v>360</v>
      </c>
      <c r="I1" s="47" t="s">
        <v>361</v>
      </c>
      <c r="J1" s="27" t="s">
        <v>4</v>
      </c>
      <c r="L1">
        <f>RSQ(I:I,E:E)</f>
        <v>0.65881727281028624</v>
      </c>
    </row>
    <row r="2" spans="1:17" ht="13.95" customHeight="1" thickBot="1" x14ac:dyDescent="0.35">
      <c r="A2" s="3">
        <v>45658</v>
      </c>
      <c r="B2" s="19" t="s">
        <v>1235</v>
      </c>
      <c r="C2" s="3" t="s">
        <v>5</v>
      </c>
      <c r="D2" s="3" t="s">
        <v>735</v>
      </c>
      <c r="E2" s="4">
        <v>0.95</v>
      </c>
      <c r="F2" s="44">
        <v>3.8</v>
      </c>
      <c r="G2" s="21">
        <v>200</v>
      </c>
      <c r="H2" s="30">
        <v>1.6</v>
      </c>
      <c r="I2" s="6">
        <f t="shared" ref="I2" si="0">(G2*E2)*F2*H2</f>
        <v>1155.2</v>
      </c>
      <c r="J2" s="51" t="s">
        <v>1051</v>
      </c>
      <c r="K2" s="17">
        <f>MONTH(A2)</f>
        <v>1</v>
      </c>
      <c r="L2" s="61" t="s">
        <v>309</v>
      </c>
      <c r="M2" s="61"/>
      <c r="N2" s="61"/>
      <c r="O2" s="9"/>
      <c r="P2" s="9"/>
      <c r="Q2" s="9"/>
    </row>
    <row r="3" spans="1:17" ht="13.95" customHeight="1" thickTop="1" thickBot="1" x14ac:dyDescent="0.35">
      <c r="A3" s="3">
        <v>45659</v>
      </c>
      <c r="B3" s="19" t="s">
        <v>1235</v>
      </c>
      <c r="C3" s="3" t="s">
        <v>8</v>
      </c>
      <c r="D3" s="3" t="s">
        <v>1052</v>
      </c>
      <c r="E3" s="4">
        <v>0.7</v>
      </c>
      <c r="F3" s="44">
        <v>2.5</v>
      </c>
      <c r="G3" s="21">
        <v>200</v>
      </c>
      <c r="H3" s="30">
        <v>1.6</v>
      </c>
      <c r="I3" s="6">
        <f t="shared" ref="I3:I32" si="1">(G3*E3)*F3*H3</f>
        <v>560</v>
      </c>
      <c r="J3" s="51" t="s">
        <v>1053</v>
      </c>
      <c r="K3" s="17">
        <f t="shared" ref="K3:K66" si="2">MONTH(A3)</f>
        <v>1</v>
      </c>
      <c r="L3" s="10" t="s">
        <v>310</v>
      </c>
      <c r="M3" s="11" t="s">
        <v>311</v>
      </c>
      <c r="N3" s="12" t="s">
        <v>312</v>
      </c>
      <c r="O3" s="9"/>
      <c r="P3">
        <v>1</v>
      </c>
      <c r="Q3" t="s">
        <v>313</v>
      </c>
    </row>
    <row r="4" spans="1:17" ht="13.95" customHeight="1" thickTop="1" thickBot="1" x14ac:dyDescent="0.35">
      <c r="A4" s="3">
        <v>45660</v>
      </c>
      <c r="B4" s="19" t="s">
        <v>1235</v>
      </c>
      <c r="C4" s="3" t="s">
        <v>11</v>
      </c>
      <c r="D4" s="3" t="s">
        <v>14</v>
      </c>
      <c r="E4" s="4">
        <v>0.75</v>
      </c>
      <c r="F4" s="44">
        <v>2.6</v>
      </c>
      <c r="G4" s="21">
        <v>200</v>
      </c>
      <c r="H4" s="30">
        <v>1.6</v>
      </c>
      <c r="I4" s="6">
        <f t="shared" si="1"/>
        <v>624</v>
      </c>
      <c r="J4" s="51" t="s">
        <v>1054</v>
      </c>
      <c r="K4" s="17">
        <f t="shared" si="2"/>
        <v>1</v>
      </c>
      <c r="L4" s="13" t="s">
        <v>313</v>
      </c>
      <c r="M4" s="14">
        <f t="shared" ref="M4:M15" si="3">SUMIFS(I:I,K:K,P3)</f>
        <v>19827.84</v>
      </c>
      <c r="N4" s="15">
        <f>M4*0.054</f>
        <v>1070.70336</v>
      </c>
      <c r="O4" s="9"/>
      <c r="P4">
        <v>2</v>
      </c>
      <c r="Q4" t="s">
        <v>314</v>
      </c>
    </row>
    <row r="5" spans="1:17" ht="13.95" customHeight="1" thickTop="1" thickBot="1" x14ac:dyDescent="0.35">
      <c r="A5" s="3">
        <v>45661</v>
      </c>
      <c r="B5" s="19" t="s">
        <v>1235</v>
      </c>
      <c r="C5" s="3" t="s">
        <v>13</v>
      </c>
      <c r="D5" s="3" t="s">
        <v>14</v>
      </c>
      <c r="E5" s="4">
        <v>0.8</v>
      </c>
      <c r="F5" s="44">
        <v>3</v>
      </c>
      <c r="G5" s="21">
        <v>200</v>
      </c>
      <c r="H5" s="30">
        <v>1.6</v>
      </c>
      <c r="I5" s="6">
        <f t="shared" si="1"/>
        <v>768</v>
      </c>
      <c r="J5" s="51" t="s">
        <v>1055</v>
      </c>
      <c r="K5" s="17">
        <f t="shared" si="2"/>
        <v>1</v>
      </c>
      <c r="L5" s="13" t="s">
        <v>314</v>
      </c>
      <c r="M5" s="14">
        <f t="shared" si="3"/>
        <v>18965.440000000002</v>
      </c>
      <c r="N5" s="15">
        <f t="shared" ref="N5:N15" si="4">M5*0.054</f>
        <v>1024.1337600000002</v>
      </c>
      <c r="O5" s="9"/>
      <c r="P5">
        <v>3</v>
      </c>
      <c r="Q5" t="s">
        <v>315</v>
      </c>
    </row>
    <row r="6" spans="1:17" ht="13.95" customHeight="1" thickTop="1" thickBot="1" x14ac:dyDescent="0.35">
      <c r="A6" s="3">
        <v>45662</v>
      </c>
      <c r="B6" s="19" t="s">
        <v>1235</v>
      </c>
      <c r="C6" s="3" t="s">
        <v>16</v>
      </c>
      <c r="D6" s="3" t="s">
        <v>757</v>
      </c>
      <c r="E6" s="4">
        <v>0.85</v>
      </c>
      <c r="F6" s="44">
        <v>3.4</v>
      </c>
      <c r="G6" s="21">
        <v>200</v>
      </c>
      <c r="H6" s="30">
        <v>1.6</v>
      </c>
      <c r="I6" s="6">
        <f t="shared" si="1"/>
        <v>924.80000000000007</v>
      </c>
      <c r="J6" s="51" t="s">
        <v>1056</v>
      </c>
      <c r="K6" s="17">
        <f t="shared" si="2"/>
        <v>1</v>
      </c>
      <c r="L6" s="13" t="s">
        <v>315</v>
      </c>
      <c r="M6" s="14">
        <f t="shared" si="3"/>
        <v>20423.519999999997</v>
      </c>
      <c r="N6" s="15">
        <f t="shared" si="4"/>
        <v>1102.8700799999999</v>
      </c>
      <c r="O6" s="9"/>
      <c r="P6">
        <v>4</v>
      </c>
      <c r="Q6" t="s">
        <v>316</v>
      </c>
    </row>
    <row r="7" spans="1:17" ht="13.95" customHeight="1" thickTop="1" thickBot="1" x14ac:dyDescent="0.35">
      <c r="A7" s="3">
        <v>45663</v>
      </c>
      <c r="B7" s="19" t="s">
        <v>1235</v>
      </c>
      <c r="C7" s="3" t="s">
        <v>18</v>
      </c>
      <c r="D7" s="3" t="s">
        <v>1057</v>
      </c>
      <c r="E7" s="4">
        <v>0.65</v>
      </c>
      <c r="F7" s="44">
        <v>2.4</v>
      </c>
      <c r="G7" s="21">
        <v>200</v>
      </c>
      <c r="H7" s="30">
        <v>1.6</v>
      </c>
      <c r="I7" s="6">
        <f t="shared" si="1"/>
        <v>499.20000000000005</v>
      </c>
      <c r="J7" s="51" t="s">
        <v>784</v>
      </c>
      <c r="K7" s="17">
        <f t="shared" si="2"/>
        <v>1</v>
      </c>
      <c r="L7" s="13" t="s">
        <v>316</v>
      </c>
      <c r="M7" s="14">
        <f t="shared" si="3"/>
        <v>21431.52</v>
      </c>
      <c r="N7" s="15">
        <f t="shared" si="4"/>
        <v>1157.3020799999999</v>
      </c>
      <c r="O7" s="9"/>
      <c r="P7">
        <v>5</v>
      </c>
      <c r="Q7" t="s">
        <v>317</v>
      </c>
    </row>
    <row r="8" spans="1:17" ht="13.95" customHeight="1" thickTop="1" thickBot="1" x14ac:dyDescent="0.35">
      <c r="A8" s="3">
        <v>45664</v>
      </c>
      <c r="B8" s="19" t="s">
        <v>1235</v>
      </c>
      <c r="C8" s="3" t="s">
        <v>20</v>
      </c>
      <c r="D8" s="3" t="s">
        <v>1057</v>
      </c>
      <c r="E8" s="4">
        <v>0.6</v>
      </c>
      <c r="F8" s="44">
        <v>2.4</v>
      </c>
      <c r="G8" s="21">
        <v>200</v>
      </c>
      <c r="H8" s="30">
        <v>1.6</v>
      </c>
      <c r="I8" s="6">
        <f t="shared" si="1"/>
        <v>460.8</v>
      </c>
      <c r="J8" s="51" t="s">
        <v>704</v>
      </c>
      <c r="K8" s="17">
        <f t="shared" si="2"/>
        <v>1</v>
      </c>
      <c r="L8" s="13" t="s">
        <v>317</v>
      </c>
      <c r="M8" s="14">
        <f t="shared" si="3"/>
        <v>22596.16</v>
      </c>
      <c r="N8" s="15">
        <f t="shared" si="4"/>
        <v>1220.19264</v>
      </c>
      <c r="O8" s="9"/>
      <c r="P8">
        <v>6</v>
      </c>
      <c r="Q8" t="s">
        <v>318</v>
      </c>
    </row>
    <row r="9" spans="1:17" ht="13.95" customHeight="1" thickTop="1" thickBot="1" x14ac:dyDescent="0.35">
      <c r="A9" s="3">
        <v>45665</v>
      </c>
      <c r="B9" s="19" t="s">
        <v>1235</v>
      </c>
      <c r="C9" s="3" t="s">
        <v>5</v>
      </c>
      <c r="D9" s="3" t="s">
        <v>1057</v>
      </c>
      <c r="E9" s="4">
        <v>0.6</v>
      </c>
      <c r="F9" s="44">
        <v>2.4</v>
      </c>
      <c r="G9" s="21">
        <v>200</v>
      </c>
      <c r="H9" s="30">
        <v>1.6</v>
      </c>
      <c r="I9" s="6">
        <f t="shared" si="1"/>
        <v>460.8</v>
      </c>
      <c r="J9" s="51" t="s">
        <v>71</v>
      </c>
      <c r="K9" s="17">
        <f t="shared" si="2"/>
        <v>1</v>
      </c>
      <c r="L9" s="13" t="s">
        <v>318</v>
      </c>
      <c r="M9" s="14">
        <f t="shared" si="3"/>
        <v>47983.040000000008</v>
      </c>
      <c r="N9" s="15">
        <f t="shared" si="4"/>
        <v>2591.0841600000003</v>
      </c>
      <c r="O9" s="9"/>
      <c r="P9">
        <v>7</v>
      </c>
      <c r="Q9" t="s">
        <v>319</v>
      </c>
    </row>
    <row r="10" spans="1:17" ht="13.95" customHeight="1" thickTop="1" thickBot="1" x14ac:dyDescent="0.35">
      <c r="A10" s="3">
        <v>45666</v>
      </c>
      <c r="B10" s="19" t="s">
        <v>1235</v>
      </c>
      <c r="C10" s="3" t="s">
        <v>8</v>
      </c>
      <c r="D10" s="3" t="s">
        <v>1057</v>
      </c>
      <c r="E10" s="4">
        <v>0.65</v>
      </c>
      <c r="F10" s="44">
        <v>2.4</v>
      </c>
      <c r="G10" s="21">
        <v>200</v>
      </c>
      <c r="H10" s="30">
        <v>1.6</v>
      </c>
      <c r="I10" s="6">
        <f t="shared" si="1"/>
        <v>499.20000000000005</v>
      </c>
      <c r="J10" s="51" t="s">
        <v>71</v>
      </c>
      <c r="K10" s="17">
        <f t="shared" si="2"/>
        <v>1</v>
      </c>
      <c r="L10" s="13" t="s">
        <v>319</v>
      </c>
      <c r="M10" s="14">
        <f t="shared" si="3"/>
        <v>19167.359999999997</v>
      </c>
      <c r="N10" s="15">
        <f t="shared" si="4"/>
        <v>1035.0374399999998</v>
      </c>
      <c r="O10" s="9"/>
      <c r="P10">
        <v>8</v>
      </c>
      <c r="Q10" t="s">
        <v>320</v>
      </c>
    </row>
    <row r="11" spans="1:17" ht="13.95" customHeight="1" thickTop="1" thickBot="1" x14ac:dyDescent="0.35">
      <c r="A11" s="3">
        <v>45667</v>
      </c>
      <c r="B11" s="19" t="s">
        <v>1235</v>
      </c>
      <c r="C11" s="3" t="s">
        <v>11</v>
      </c>
      <c r="D11" s="3" t="s">
        <v>44</v>
      </c>
      <c r="E11" s="4">
        <v>0.7</v>
      </c>
      <c r="F11" s="44">
        <v>2.6</v>
      </c>
      <c r="G11" s="21">
        <v>200</v>
      </c>
      <c r="H11" s="30">
        <v>1.6</v>
      </c>
      <c r="I11" s="6">
        <f t="shared" si="1"/>
        <v>582.4</v>
      </c>
      <c r="J11" s="51" t="s">
        <v>1058</v>
      </c>
      <c r="K11" s="17">
        <f t="shared" si="2"/>
        <v>1</v>
      </c>
      <c r="L11" s="13" t="s">
        <v>320</v>
      </c>
      <c r="M11" s="14">
        <f t="shared" si="3"/>
        <v>29984.160000000003</v>
      </c>
      <c r="N11" s="15">
        <f t="shared" si="4"/>
        <v>1619.1446400000002</v>
      </c>
      <c r="O11" s="9"/>
      <c r="P11">
        <v>9</v>
      </c>
      <c r="Q11" t="s">
        <v>321</v>
      </c>
    </row>
    <row r="12" spans="1:17" ht="13.95" customHeight="1" thickTop="1" thickBot="1" x14ac:dyDescent="0.35">
      <c r="A12" s="3">
        <v>45668</v>
      </c>
      <c r="B12" s="19" t="s">
        <v>1235</v>
      </c>
      <c r="C12" s="3" t="s">
        <v>13</v>
      </c>
      <c r="D12" s="3" t="s">
        <v>14</v>
      </c>
      <c r="E12" s="4">
        <v>0.75</v>
      </c>
      <c r="F12" s="44">
        <v>3.1</v>
      </c>
      <c r="G12" s="21">
        <v>200</v>
      </c>
      <c r="H12" s="30">
        <v>1.6</v>
      </c>
      <c r="I12" s="6">
        <f t="shared" si="1"/>
        <v>744</v>
      </c>
      <c r="J12" s="51" t="s">
        <v>1059</v>
      </c>
      <c r="K12" s="17">
        <f t="shared" si="2"/>
        <v>1</v>
      </c>
      <c r="L12" s="13" t="s">
        <v>321</v>
      </c>
      <c r="M12" s="14">
        <f t="shared" si="3"/>
        <v>44446.080000000002</v>
      </c>
      <c r="N12" s="15">
        <f t="shared" si="4"/>
        <v>2400.0883200000003</v>
      </c>
      <c r="O12" s="9"/>
      <c r="P12">
        <v>10</v>
      </c>
      <c r="Q12" t="s">
        <v>322</v>
      </c>
    </row>
    <row r="13" spans="1:17" ht="13.95" customHeight="1" thickTop="1" thickBot="1" x14ac:dyDescent="0.35">
      <c r="A13" s="3">
        <v>45669</v>
      </c>
      <c r="B13" s="19" t="s">
        <v>1235</v>
      </c>
      <c r="C13" s="3" t="s">
        <v>16</v>
      </c>
      <c r="D13" s="3" t="s">
        <v>757</v>
      </c>
      <c r="E13" s="4">
        <v>0.85</v>
      </c>
      <c r="F13" s="44">
        <v>3.4</v>
      </c>
      <c r="G13" s="21">
        <v>200</v>
      </c>
      <c r="H13" s="30">
        <v>1.6</v>
      </c>
      <c r="I13" s="6">
        <f t="shared" si="1"/>
        <v>924.80000000000007</v>
      </c>
      <c r="J13" s="51" t="s">
        <v>238</v>
      </c>
      <c r="K13" s="17">
        <f t="shared" si="2"/>
        <v>1</v>
      </c>
      <c r="L13" s="13" t="s">
        <v>322</v>
      </c>
      <c r="M13" s="14">
        <f t="shared" si="3"/>
        <v>24598.559999999994</v>
      </c>
      <c r="N13" s="15">
        <f t="shared" si="4"/>
        <v>1328.3222399999997</v>
      </c>
      <c r="O13" s="9"/>
      <c r="P13">
        <v>11</v>
      </c>
      <c r="Q13" t="s">
        <v>323</v>
      </c>
    </row>
    <row r="14" spans="1:17" ht="13.95" customHeight="1" thickTop="1" thickBot="1" x14ac:dyDescent="0.35">
      <c r="A14" s="3">
        <v>45670</v>
      </c>
      <c r="B14" s="19" t="s">
        <v>1235</v>
      </c>
      <c r="C14" s="3" t="s">
        <v>18</v>
      </c>
      <c r="D14" s="3" t="s">
        <v>1057</v>
      </c>
      <c r="E14" s="4">
        <v>0.6</v>
      </c>
      <c r="F14" s="44">
        <v>2.4</v>
      </c>
      <c r="G14" s="21">
        <v>200</v>
      </c>
      <c r="H14" s="30">
        <v>1.6</v>
      </c>
      <c r="I14" s="6">
        <f t="shared" si="1"/>
        <v>460.8</v>
      </c>
      <c r="J14" s="51" t="s">
        <v>71</v>
      </c>
      <c r="K14" s="17">
        <f t="shared" si="2"/>
        <v>1</v>
      </c>
      <c r="L14" s="13" t="s">
        <v>323</v>
      </c>
      <c r="M14" s="14">
        <f t="shared" si="3"/>
        <v>49222.720000000016</v>
      </c>
      <c r="N14" s="15">
        <f t="shared" si="4"/>
        <v>2658.0268800000008</v>
      </c>
      <c r="O14" s="9"/>
      <c r="P14">
        <v>12</v>
      </c>
      <c r="Q14" t="s">
        <v>324</v>
      </c>
    </row>
    <row r="15" spans="1:17" ht="13.95" customHeight="1" thickTop="1" thickBot="1" x14ac:dyDescent="0.35">
      <c r="A15" s="3">
        <v>45671</v>
      </c>
      <c r="B15" s="19" t="s">
        <v>1235</v>
      </c>
      <c r="C15" s="3" t="s">
        <v>20</v>
      </c>
      <c r="D15" s="3" t="s">
        <v>6</v>
      </c>
      <c r="E15" s="4">
        <v>0.7</v>
      </c>
      <c r="F15" s="44">
        <v>2.8</v>
      </c>
      <c r="G15" s="21">
        <v>200</v>
      </c>
      <c r="H15" s="30">
        <v>1.6</v>
      </c>
      <c r="I15" s="6">
        <f t="shared" si="1"/>
        <v>627.20000000000005</v>
      </c>
      <c r="J15" s="51" t="s">
        <v>1060</v>
      </c>
      <c r="K15" s="17">
        <f t="shared" si="2"/>
        <v>1</v>
      </c>
      <c r="L15" s="13" t="s">
        <v>324</v>
      </c>
      <c r="M15" s="14">
        <f t="shared" si="3"/>
        <v>26858.879999999997</v>
      </c>
      <c r="N15" s="15">
        <f t="shared" si="4"/>
        <v>1450.3795199999997</v>
      </c>
      <c r="O15" s="9"/>
      <c r="P15" s="9"/>
      <c r="Q15" s="9"/>
    </row>
    <row r="16" spans="1:17" ht="13.95" customHeight="1" thickTop="1" thickBot="1" x14ac:dyDescent="0.4">
      <c r="A16" s="3">
        <v>45672</v>
      </c>
      <c r="B16" s="19" t="s">
        <v>1235</v>
      </c>
      <c r="C16" s="3" t="s">
        <v>5</v>
      </c>
      <c r="D16" s="3" t="s">
        <v>1057</v>
      </c>
      <c r="E16" s="4">
        <v>0.65</v>
      </c>
      <c r="F16" s="44">
        <v>2.4</v>
      </c>
      <c r="G16" s="21">
        <v>200</v>
      </c>
      <c r="H16" s="30">
        <v>1.6</v>
      </c>
      <c r="I16" s="6">
        <f t="shared" si="1"/>
        <v>499.20000000000005</v>
      </c>
      <c r="J16" s="51" t="s">
        <v>71</v>
      </c>
      <c r="K16" s="17">
        <f t="shared" si="2"/>
        <v>1</v>
      </c>
      <c r="L16" s="10" t="s">
        <v>325</v>
      </c>
      <c r="M16" s="16">
        <f>SUM(M4:M15)</f>
        <v>345505.28000000003</v>
      </c>
      <c r="N16" s="16">
        <f>SUM(N4:N15)</f>
        <v>18657.28512</v>
      </c>
      <c r="O16" s="9"/>
      <c r="P16" s="9"/>
      <c r="Q16" s="9"/>
    </row>
    <row r="17" spans="1:11" ht="13.95" customHeight="1" thickTop="1" x14ac:dyDescent="0.3">
      <c r="A17" s="3">
        <v>45673</v>
      </c>
      <c r="B17" s="19" t="s">
        <v>1235</v>
      </c>
      <c r="C17" s="3" t="s">
        <v>8</v>
      </c>
      <c r="D17" s="3" t="s">
        <v>1057</v>
      </c>
      <c r="E17" s="4">
        <v>0.68</v>
      </c>
      <c r="F17" s="44">
        <v>2.4</v>
      </c>
      <c r="G17" s="21">
        <v>200</v>
      </c>
      <c r="H17" s="30">
        <v>1.6</v>
      </c>
      <c r="I17" s="6">
        <f t="shared" si="1"/>
        <v>522.24</v>
      </c>
      <c r="J17" s="51" t="s">
        <v>71</v>
      </c>
      <c r="K17" s="17">
        <f t="shared" si="2"/>
        <v>1</v>
      </c>
    </row>
    <row r="18" spans="1:11" ht="13.95" customHeight="1" x14ac:dyDescent="0.3">
      <c r="A18" s="3">
        <v>45674</v>
      </c>
      <c r="B18" s="19" t="s">
        <v>1235</v>
      </c>
      <c r="C18" s="3" t="s">
        <v>11</v>
      </c>
      <c r="D18" s="3" t="s">
        <v>44</v>
      </c>
      <c r="E18" s="4">
        <v>0.72</v>
      </c>
      <c r="F18" s="44">
        <v>2.7</v>
      </c>
      <c r="G18" s="21">
        <v>200</v>
      </c>
      <c r="H18" s="30">
        <v>1.6</v>
      </c>
      <c r="I18" s="6">
        <f t="shared" si="1"/>
        <v>622.08000000000004</v>
      </c>
      <c r="J18" s="51" t="s">
        <v>70</v>
      </c>
      <c r="K18" s="17">
        <f t="shared" si="2"/>
        <v>1</v>
      </c>
    </row>
    <row r="19" spans="1:11" ht="13.95" customHeight="1" x14ac:dyDescent="0.3">
      <c r="A19" s="3">
        <v>45675</v>
      </c>
      <c r="B19" s="19" t="s">
        <v>1235</v>
      </c>
      <c r="C19" s="3" t="s">
        <v>13</v>
      </c>
      <c r="D19" s="3" t="s">
        <v>14</v>
      </c>
      <c r="E19" s="4">
        <v>0.78</v>
      </c>
      <c r="F19" s="44">
        <v>3.15</v>
      </c>
      <c r="G19" s="21">
        <v>200</v>
      </c>
      <c r="H19" s="30">
        <v>1.6</v>
      </c>
      <c r="I19" s="6">
        <f t="shared" si="1"/>
        <v>786.24</v>
      </c>
      <c r="J19" s="51" t="s">
        <v>1061</v>
      </c>
      <c r="K19" s="17">
        <f t="shared" si="2"/>
        <v>1</v>
      </c>
    </row>
    <row r="20" spans="1:11" ht="13.95" customHeight="1" x14ac:dyDescent="0.3">
      <c r="A20" s="3">
        <v>45676</v>
      </c>
      <c r="B20" s="19" t="s">
        <v>1235</v>
      </c>
      <c r="C20" s="3" t="s">
        <v>16</v>
      </c>
      <c r="D20" s="3" t="s">
        <v>757</v>
      </c>
      <c r="E20" s="4">
        <v>0.88</v>
      </c>
      <c r="F20" s="44">
        <v>3.5</v>
      </c>
      <c r="G20" s="21">
        <v>200</v>
      </c>
      <c r="H20" s="30">
        <v>1.6</v>
      </c>
      <c r="I20" s="6">
        <f t="shared" si="1"/>
        <v>985.6</v>
      </c>
      <c r="J20" s="51" t="s">
        <v>745</v>
      </c>
      <c r="K20" s="17">
        <f t="shared" si="2"/>
        <v>1</v>
      </c>
    </row>
    <row r="21" spans="1:11" ht="13.95" customHeight="1" x14ac:dyDescent="0.3">
      <c r="A21" s="3">
        <v>45677</v>
      </c>
      <c r="B21" s="19" t="s">
        <v>1235</v>
      </c>
      <c r="C21" s="3" t="s">
        <v>18</v>
      </c>
      <c r="D21" s="3" t="s">
        <v>1057</v>
      </c>
      <c r="E21" s="4">
        <v>0.62</v>
      </c>
      <c r="F21" s="44">
        <v>2.4</v>
      </c>
      <c r="G21" s="21">
        <v>200</v>
      </c>
      <c r="H21" s="30">
        <v>1.6</v>
      </c>
      <c r="I21" s="6">
        <f t="shared" si="1"/>
        <v>476.15999999999997</v>
      </c>
      <c r="J21" s="51" t="s">
        <v>71</v>
      </c>
      <c r="K21" s="17">
        <f t="shared" si="2"/>
        <v>1</v>
      </c>
    </row>
    <row r="22" spans="1:11" ht="13.95" customHeight="1" x14ac:dyDescent="0.3">
      <c r="A22" s="3">
        <v>45678</v>
      </c>
      <c r="B22" s="19" t="s">
        <v>1235</v>
      </c>
      <c r="C22" s="3" t="s">
        <v>20</v>
      </c>
      <c r="D22" s="3" t="s">
        <v>1057</v>
      </c>
      <c r="E22" s="4">
        <v>0.65</v>
      </c>
      <c r="F22" s="44">
        <v>2.4</v>
      </c>
      <c r="G22" s="21">
        <v>200</v>
      </c>
      <c r="H22" s="30">
        <v>1.6</v>
      </c>
      <c r="I22" s="6">
        <f t="shared" si="1"/>
        <v>499.20000000000005</v>
      </c>
      <c r="J22" s="51" t="s">
        <v>71</v>
      </c>
      <c r="K22" s="17">
        <f t="shared" si="2"/>
        <v>1</v>
      </c>
    </row>
    <row r="23" spans="1:11" ht="13.95" customHeight="1" x14ac:dyDescent="0.3">
      <c r="A23" s="3">
        <v>45679</v>
      </c>
      <c r="B23" s="19" t="s">
        <v>1235</v>
      </c>
      <c r="C23" s="3" t="s">
        <v>5</v>
      </c>
      <c r="D23" s="3" t="s">
        <v>1057</v>
      </c>
      <c r="E23" s="4">
        <v>0.6</v>
      </c>
      <c r="F23" s="44">
        <v>2.4</v>
      </c>
      <c r="G23" s="21">
        <v>200</v>
      </c>
      <c r="H23" s="30">
        <v>1.6</v>
      </c>
      <c r="I23" s="6">
        <f t="shared" si="1"/>
        <v>460.8</v>
      </c>
      <c r="J23" s="51" t="s">
        <v>71</v>
      </c>
      <c r="K23" s="17">
        <f t="shared" si="2"/>
        <v>1</v>
      </c>
    </row>
    <row r="24" spans="1:11" ht="13.95" customHeight="1" x14ac:dyDescent="0.3">
      <c r="A24" s="3">
        <v>45680</v>
      </c>
      <c r="B24" s="19" t="s">
        <v>1235</v>
      </c>
      <c r="C24" s="3" t="s">
        <v>8</v>
      </c>
      <c r="D24" s="3" t="s">
        <v>1057</v>
      </c>
      <c r="E24" s="4">
        <v>0.65</v>
      </c>
      <c r="F24" s="44">
        <v>2.4</v>
      </c>
      <c r="G24" s="21">
        <v>200</v>
      </c>
      <c r="H24" s="30">
        <v>1.6</v>
      </c>
      <c r="I24" s="6">
        <f t="shared" si="1"/>
        <v>499.20000000000005</v>
      </c>
      <c r="J24" s="51" t="s">
        <v>71</v>
      </c>
      <c r="K24" s="17">
        <f t="shared" si="2"/>
        <v>1</v>
      </c>
    </row>
    <row r="25" spans="1:11" ht="13.95" customHeight="1" x14ac:dyDescent="0.3">
      <c r="A25" s="3">
        <v>45681</v>
      </c>
      <c r="B25" s="19" t="s">
        <v>1235</v>
      </c>
      <c r="C25" s="3" t="s">
        <v>11</v>
      </c>
      <c r="D25" s="3" t="s">
        <v>44</v>
      </c>
      <c r="E25" s="4">
        <v>0.75</v>
      </c>
      <c r="F25" s="44">
        <v>2.7</v>
      </c>
      <c r="G25" s="21">
        <v>200</v>
      </c>
      <c r="H25" s="30">
        <v>1.6</v>
      </c>
      <c r="I25" s="6">
        <f t="shared" si="1"/>
        <v>648</v>
      </c>
      <c r="J25" s="51" t="s">
        <v>70</v>
      </c>
      <c r="K25" s="17">
        <f t="shared" si="2"/>
        <v>1</v>
      </c>
    </row>
    <row r="26" spans="1:11" ht="13.95" customHeight="1" x14ac:dyDescent="0.3">
      <c r="A26" s="3">
        <v>45682</v>
      </c>
      <c r="B26" s="19" t="s">
        <v>1235</v>
      </c>
      <c r="C26" s="3" t="s">
        <v>13</v>
      </c>
      <c r="D26" s="3" t="s">
        <v>14</v>
      </c>
      <c r="E26" s="4">
        <v>0.82</v>
      </c>
      <c r="F26" s="44">
        <v>3.2</v>
      </c>
      <c r="G26" s="21">
        <v>200</v>
      </c>
      <c r="H26" s="30">
        <v>1.6</v>
      </c>
      <c r="I26" s="6">
        <f t="shared" si="1"/>
        <v>839.68000000000018</v>
      </c>
      <c r="J26" s="51" t="s">
        <v>1062</v>
      </c>
      <c r="K26" s="17">
        <f t="shared" si="2"/>
        <v>1</v>
      </c>
    </row>
    <row r="27" spans="1:11" ht="13.95" customHeight="1" x14ac:dyDescent="0.3">
      <c r="A27" s="3">
        <v>45683</v>
      </c>
      <c r="B27" s="19" t="s">
        <v>1235</v>
      </c>
      <c r="C27" s="3" t="s">
        <v>16</v>
      </c>
      <c r="D27" s="3" t="s">
        <v>757</v>
      </c>
      <c r="E27" s="4">
        <v>0.92</v>
      </c>
      <c r="F27" s="44">
        <v>3.5</v>
      </c>
      <c r="G27" s="21">
        <v>200</v>
      </c>
      <c r="H27" s="30">
        <v>1.6</v>
      </c>
      <c r="I27" s="6">
        <f t="shared" si="1"/>
        <v>1030.4000000000001</v>
      </c>
      <c r="J27" s="51" t="s">
        <v>1063</v>
      </c>
      <c r="K27" s="17">
        <f t="shared" si="2"/>
        <v>1</v>
      </c>
    </row>
    <row r="28" spans="1:11" ht="13.95" customHeight="1" x14ac:dyDescent="0.3">
      <c r="A28" s="3">
        <v>45684</v>
      </c>
      <c r="B28" s="19" t="s">
        <v>1235</v>
      </c>
      <c r="C28" s="3" t="s">
        <v>18</v>
      </c>
      <c r="D28" s="3" t="s">
        <v>1057</v>
      </c>
      <c r="E28" s="4">
        <v>0.6</v>
      </c>
      <c r="F28" s="44">
        <v>2.4</v>
      </c>
      <c r="G28" s="21">
        <v>200</v>
      </c>
      <c r="H28" s="30">
        <v>1.6</v>
      </c>
      <c r="I28" s="6">
        <f t="shared" si="1"/>
        <v>460.8</v>
      </c>
      <c r="J28" s="51" t="s">
        <v>71</v>
      </c>
      <c r="K28" s="17">
        <f t="shared" si="2"/>
        <v>1</v>
      </c>
    </row>
    <row r="29" spans="1:11" ht="13.95" customHeight="1" x14ac:dyDescent="0.3">
      <c r="A29" s="3">
        <v>45685</v>
      </c>
      <c r="B29" s="19" t="s">
        <v>1235</v>
      </c>
      <c r="C29" s="3" t="s">
        <v>20</v>
      </c>
      <c r="D29" s="3" t="s">
        <v>1057</v>
      </c>
      <c r="E29" s="4">
        <v>0.65</v>
      </c>
      <c r="F29" s="44">
        <v>2.4</v>
      </c>
      <c r="G29" s="21">
        <v>200</v>
      </c>
      <c r="H29" s="30">
        <v>1.6</v>
      </c>
      <c r="I29" s="6">
        <f t="shared" si="1"/>
        <v>499.20000000000005</v>
      </c>
      <c r="J29" s="51" t="s">
        <v>71</v>
      </c>
      <c r="K29" s="17">
        <f t="shared" si="2"/>
        <v>1</v>
      </c>
    </row>
    <row r="30" spans="1:11" ht="13.95" customHeight="1" x14ac:dyDescent="0.3">
      <c r="A30" s="3">
        <v>45686</v>
      </c>
      <c r="B30" s="19" t="s">
        <v>1235</v>
      </c>
      <c r="C30" s="3" t="s">
        <v>5</v>
      </c>
      <c r="D30" s="3" t="s">
        <v>1057</v>
      </c>
      <c r="E30" s="4">
        <v>0.68</v>
      </c>
      <c r="F30" s="44">
        <v>2.4</v>
      </c>
      <c r="G30" s="21">
        <v>200</v>
      </c>
      <c r="H30" s="30">
        <v>1.6</v>
      </c>
      <c r="I30" s="6">
        <f t="shared" si="1"/>
        <v>522.24</v>
      </c>
      <c r="J30" s="51" t="s">
        <v>71</v>
      </c>
      <c r="K30" s="17">
        <f t="shared" si="2"/>
        <v>1</v>
      </c>
    </row>
    <row r="31" spans="1:11" ht="13.95" customHeight="1" x14ac:dyDescent="0.3">
      <c r="A31" s="3">
        <v>45687</v>
      </c>
      <c r="B31" s="19" t="s">
        <v>1235</v>
      </c>
      <c r="C31" s="3" t="s">
        <v>8</v>
      </c>
      <c r="D31" s="3" t="s">
        <v>1057</v>
      </c>
      <c r="E31" s="4">
        <v>0.7</v>
      </c>
      <c r="F31" s="44">
        <v>2.4</v>
      </c>
      <c r="G31" s="21">
        <v>200</v>
      </c>
      <c r="H31" s="30">
        <v>1.6</v>
      </c>
      <c r="I31" s="6">
        <f t="shared" si="1"/>
        <v>537.6</v>
      </c>
      <c r="J31" s="51" t="s">
        <v>71</v>
      </c>
      <c r="K31" s="17">
        <f t="shared" si="2"/>
        <v>1</v>
      </c>
    </row>
    <row r="32" spans="1:11" ht="13.95" customHeight="1" x14ac:dyDescent="0.3">
      <c r="A32" s="3">
        <v>45688</v>
      </c>
      <c r="B32" s="19" t="s">
        <v>1235</v>
      </c>
      <c r="C32" s="3" t="s">
        <v>11</v>
      </c>
      <c r="D32" s="3" t="s">
        <v>44</v>
      </c>
      <c r="E32" s="4">
        <v>0.75</v>
      </c>
      <c r="F32" s="44">
        <v>2.7</v>
      </c>
      <c r="G32" s="21">
        <v>200</v>
      </c>
      <c r="H32" s="30">
        <v>1.6</v>
      </c>
      <c r="I32" s="6">
        <f t="shared" si="1"/>
        <v>648</v>
      </c>
      <c r="J32" s="51" t="s">
        <v>99</v>
      </c>
      <c r="K32" s="17">
        <f t="shared" si="2"/>
        <v>1</v>
      </c>
    </row>
    <row r="33" spans="1:11" ht="13.95" customHeight="1" x14ac:dyDescent="0.3">
      <c r="A33" s="3">
        <v>45689</v>
      </c>
      <c r="B33" s="19" t="s">
        <v>1235</v>
      </c>
      <c r="C33" s="3" t="s">
        <v>13</v>
      </c>
      <c r="D33" s="3" t="s">
        <v>14</v>
      </c>
      <c r="E33" s="4">
        <v>0.75</v>
      </c>
      <c r="F33" s="44">
        <v>3.1</v>
      </c>
      <c r="G33" s="21">
        <v>200</v>
      </c>
      <c r="H33" s="30">
        <v>1.6</v>
      </c>
      <c r="I33" s="6">
        <f t="shared" ref="I33:I91" si="5">(G33*E33)*F33*H33</f>
        <v>744</v>
      </c>
      <c r="J33" s="51" t="s">
        <v>1064</v>
      </c>
      <c r="K33" s="17">
        <f t="shared" si="2"/>
        <v>2</v>
      </c>
    </row>
    <row r="34" spans="1:11" ht="13.95" customHeight="1" x14ac:dyDescent="0.3">
      <c r="A34" s="3">
        <v>45690</v>
      </c>
      <c r="B34" s="19" t="s">
        <v>1235</v>
      </c>
      <c r="C34" s="3" t="s">
        <v>16</v>
      </c>
      <c r="D34" s="3" t="s">
        <v>757</v>
      </c>
      <c r="E34" s="4">
        <v>0.85</v>
      </c>
      <c r="F34" s="44">
        <v>3.5</v>
      </c>
      <c r="G34" s="21">
        <v>200</v>
      </c>
      <c r="H34" s="30">
        <v>1.6</v>
      </c>
      <c r="I34" s="6">
        <f t="shared" si="5"/>
        <v>952</v>
      </c>
      <c r="J34" s="51" t="s">
        <v>1065</v>
      </c>
      <c r="K34" s="17">
        <f t="shared" si="2"/>
        <v>2</v>
      </c>
    </row>
    <row r="35" spans="1:11" ht="13.95" customHeight="1" x14ac:dyDescent="0.3">
      <c r="A35" s="3">
        <v>45691</v>
      </c>
      <c r="B35" s="19" t="s">
        <v>1235</v>
      </c>
      <c r="C35" s="3" t="s">
        <v>18</v>
      </c>
      <c r="D35" s="3" t="s">
        <v>1057</v>
      </c>
      <c r="E35" s="4">
        <v>0.65</v>
      </c>
      <c r="F35" s="44">
        <v>2.4</v>
      </c>
      <c r="G35" s="21">
        <v>200</v>
      </c>
      <c r="H35" s="30">
        <v>1.6</v>
      </c>
      <c r="I35" s="6">
        <f t="shared" si="5"/>
        <v>499.20000000000005</v>
      </c>
      <c r="J35" s="51" t="s">
        <v>731</v>
      </c>
      <c r="K35" s="17">
        <f t="shared" si="2"/>
        <v>2</v>
      </c>
    </row>
    <row r="36" spans="1:11" ht="13.95" customHeight="1" x14ac:dyDescent="0.3">
      <c r="A36" s="3">
        <v>45692</v>
      </c>
      <c r="B36" s="19" t="s">
        <v>1235</v>
      </c>
      <c r="C36" s="3" t="s">
        <v>20</v>
      </c>
      <c r="D36" s="3" t="s">
        <v>1057</v>
      </c>
      <c r="E36" s="4">
        <v>0.62</v>
      </c>
      <c r="F36" s="44">
        <v>2.4500000000000002</v>
      </c>
      <c r="G36" s="21">
        <v>200</v>
      </c>
      <c r="H36" s="30">
        <v>1.6</v>
      </c>
      <c r="I36" s="6">
        <f t="shared" si="5"/>
        <v>486.08000000000004</v>
      </c>
      <c r="J36" s="51" t="s">
        <v>1066</v>
      </c>
      <c r="K36" s="17">
        <f t="shared" si="2"/>
        <v>2</v>
      </c>
    </row>
    <row r="37" spans="1:11" ht="13.95" customHeight="1" x14ac:dyDescent="0.3">
      <c r="A37" s="3">
        <v>45693</v>
      </c>
      <c r="B37" s="19" t="s">
        <v>1235</v>
      </c>
      <c r="C37" s="3" t="s">
        <v>5</v>
      </c>
      <c r="D37" s="3" t="s">
        <v>1057</v>
      </c>
      <c r="E37" s="4">
        <v>0.6</v>
      </c>
      <c r="F37" s="44">
        <v>2.4</v>
      </c>
      <c r="G37" s="21">
        <v>200</v>
      </c>
      <c r="H37" s="30">
        <v>1.6</v>
      </c>
      <c r="I37" s="6">
        <f t="shared" si="5"/>
        <v>460.8</v>
      </c>
      <c r="J37" s="51" t="s">
        <v>71</v>
      </c>
      <c r="K37" s="17">
        <f t="shared" si="2"/>
        <v>2</v>
      </c>
    </row>
    <row r="38" spans="1:11" ht="13.95" customHeight="1" x14ac:dyDescent="0.3">
      <c r="A38" s="3">
        <v>45694</v>
      </c>
      <c r="B38" s="19" t="s">
        <v>1235</v>
      </c>
      <c r="C38" s="3" t="s">
        <v>8</v>
      </c>
      <c r="D38" s="3" t="s">
        <v>1057</v>
      </c>
      <c r="E38" s="4">
        <v>0.65</v>
      </c>
      <c r="F38" s="44">
        <v>2.4</v>
      </c>
      <c r="G38" s="21">
        <v>200</v>
      </c>
      <c r="H38" s="30">
        <v>1.6</v>
      </c>
      <c r="I38" s="6">
        <f t="shared" si="5"/>
        <v>499.20000000000005</v>
      </c>
      <c r="J38" s="51" t="s">
        <v>71</v>
      </c>
      <c r="K38" s="17">
        <f t="shared" si="2"/>
        <v>2</v>
      </c>
    </row>
    <row r="39" spans="1:11" ht="13.95" customHeight="1" x14ac:dyDescent="0.3">
      <c r="A39" s="3">
        <v>45695</v>
      </c>
      <c r="B39" s="19" t="s">
        <v>1235</v>
      </c>
      <c r="C39" s="3" t="s">
        <v>11</v>
      </c>
      <c r="D39" s="3" t="s">
        <v>14</v>
      </c>
      <c r="E39" s="4">
        <v>0.72</v>
      </c>
      <c r="F39" s="44">
        <v>2.8</v>
      </c>
      <c r="G39" s="21">
        <v>200</v>
      </c>
      <c r="H39" s="30">
        <v>1.6</v>
      </c>
      <c r="I39" s="6">
        <f t="shared" si="5"/>
        <v>645.12</v>
      </c>
      <c r="J39" s="51" t="s">
        <v>1067</v>
      </c>
      <c r="K39" s="17">
        <f t="shared" si="2"/>
        <v>2</v>
      </c>
    </row>
    <row r="40" spans="1:11" ht="13.95" customHeight="1" x14ac:dyDescent="0.3">
      <c r="A40" s="3">
        <v>45696</v>
      </c>
      <c r="B40" s="19" t="s">
        <v>1235</v>
      </c>
      <c r="C40" s="3" t="s">
        <v>13</v>
      </c>
      <c r="D40" s="3" t="s">
        <v>14</v>
      </c>
      <c r="E40" s="4">
        <v>0.78</v>
      </c>
      <c r="F40" s="44">
        <v>3.15</v>
      </c>
      <c r="G40" s="21">
        <v>200</v>
      </c>
      <c r="H40" s="30">
        <v>1.6</v>
      </c>
      <c r="I40" s="6">
        <f t="shared" si="5"/>
        <v>786.24</v>
      </c>
      <c r="J40" s="51" t="s">
        <v>1068</v>
      </c>
      <c r="K40" s="17">
        <f t="shared" si="2"/>
        <v>2</v>
      </c>
    </row>
    <row r="41" spans="1:11" ht="13.95" customHeight="1" x14ac:dyDescent="0.3">
      <c r="A41" s="3">
        <v>45697</v>
      </c>
      <c r="B41" s="19" t="s">
        <v>1235</v>
      </c>
      <c r="C41" s="3" t="s">
        <v>16</v>
      </c>
      <c r="D41" s="3" t="s">
        <v>757</v>
      </c>
      <c r="E41" s="4">
        <v>0.88</v>
      </c>
      <c r="F41" s="44">
        <v>3.5</v>
      </c>
      <c r="G41" s="21">
        <v>200</v>
      </c>
      <c r="H41" s="30">
        <v>1.6</v>
      </c>
      <c r="I41" s="6">
        <f t="shared" si="5"/>
        <v>985.6</v>
      </c>
      <c r="J41" s="51" t="s">
        <v>159</v>
      </c>
      <c r="K41" s="17">
        <f t="shared" si="2"/>
        <v>2</v>
      </c>
    </row>
    <row r="42" spans="1:11" ht="13.95" customHeight="1" x14ac:dyDescent="0.3">
      <c r="A42" s="3">
        <v>45698</v>
      </c>
      <c r="B42" s="19" t="s">
        <v>1235</v>
      </c>
      <c r="C42" s="3" t="s">
        <v>18</v>
      </c>
      <c r="D42" s="3" t="s">
        <v>1057</v>
      </c>
      <c r="E42" s="4">
        <v>0.65</v>
      </c>
      <c r="F42" s="44">
        <v>2.4500000000000002</v>
      </c>
      <c r="G42" s="21">
        <v>200</v>
      </c>
      <c r="H42" s="30">
        <v>1.6</v>
      </c>
      <c r="I42" s="6">
        <f t="shared" si="5"/>
        <v>509.6</v>
      </c>
      <c r="J42" s="51" t="s">
        <v>1069</v>
      </c>
      <c r="K42" s="17">
        <f t="shared" si="2"/>
        <v>2</v>
      </c>
    </row>
    <row r="43" spans="1:11" ht="13.95" customHeight="1" x14ac:dyDescent="0.3">
      <c r="A43" s="3">
        <v>45699</v>
      </c>
      <c r="B43" s="19" t="s">
        <v>1235</v>
      </c>
      <c r="C43" s="3" t="s">
        <v>20</v>
      </c>
      <c r="D43" s="3" t="s">
        <v>1057</v>
      </c>
      <c r="E43" s="4">
        <v>0.68</v>
      </c>
      <c r="F43" s="44">
        <v>2.4</v>
      </c>
      <c r="G43" s="21">
        <v>200</v>
      </c>
      <c r="H43" s="30">
        <v>1.6</v>
      </c>
      <c r="I43" s="6">
        <f t="shared" si="5"/>
        <v>522.24</v>
      </c>
      <c r="J43" s="51" t="s">
        <v>71</v>
      </c>
      <c r="K43" s="17">
        <f t="shared" si="2"/>
        <v>2</v>
      </c>
    </row>
    <row r="44" spans="1:11" ht="13.95" customHeight="1" x14ac:dyDescent="0.3">
      <c r="A44" s="3">
        <v>45700</v>
      </c>
      <c r="B44" s="19" t="s">
        <v>1235</v>
      </c>
      <c r="C44" s="3" t="s">
        <v>5</v>
      </c>
      <c r="D44" s="3" t="s">
        <v>1070</v>
      </c>
      <c r="E44" s="4">
        <v>0.7</v>
      </c>
      <c r="F44" s="44">
        <v>2.6</v>
      </c>
      <c r="G44" s="21">
        <v>200</v>
      </c>
      <c r="H44" s="30">
        <v>1.6</v>
      </c>
      <c r="I44" s="6">
        <f t="shared" si="5"/>
        <v>582.4</v>
      </c>
      <c r="J44" s="51" t="s">
        <v>1071</v>
      </c>
      <c r="K44" s="17">
        <f t="shared" si="2"/>
        <v>2</v>
      </c>
    </row>
    <row r="45" spans="1:11" ht="13.95" customHeight="1" x14ac:dyDescent="0.3">
      <c r="A45" s="3">
        <v>45701</v>
      </c>
      <c r="B45" s="19" t="s">
        <v>1235</v>
      </c>
      <c r="C45" s="3" t="s">
        <v>8</v>
      </c>
      <c r="D45" s="3" t="s">
        <v>1072</v>
      </c>
      <c r="E45" s="4">
        <v>0.8</v>
      </c>
      <c r="F45" s="44">
        <v>2.8</v>
      </c>
      <c r="G45" s="21">
        <v>200</v>
      </c>
      <c r="H45" s="30">
        <v>1.6</v>
      </c>
      <c r="I45" s="6">
        <f t="shared" si="5"/>
        <v>716.80000000000007</v>
      </c>
      <c r="J45" s="51" t="s">
        <v>1073</v>
      </c>
      <c r="K45" s="17">
        <f t="shared" si="2"/>
        <v>2</v>
      </c>
    </row>
    <row r="46" spans="1:11" ht="13.95" customHeight="1" x14ac:dyDescent="0.3">
      <c r="A46" s="3">
        <v>45702</v>
      </c>
      <c r="B46" s="19" t="s">
        <v>1235</v>
      </c>
      <c r="C46" s="3" t="s">
        <v>11</v>
      </c>
      <c r="D46" s="3" t="s">
        <v>557</v>
      </c>
      <c r="E46" s="4">
        <v>0.98</v>
      </c>
      <c r="F46" s="44">
        <v>4.2</v>
      </c>
      <c r="G46" s="21">
        <v>200</v>
      </c>
      <c r="H46" s="30">
        <v>1.6</v>
      </c>
      <c r="I46" s="6">
        <f t="shared" si="5"/>
        <v>1317.1200000000001</v>
      </c>
      <c r="J46" s="51" t="s">
        <v>1074</v>
      </c>
      <c r="K46" s="17">
        <f t="shared" si="2"/>
        <v>2</v>
      </c>
    </row>
    <row r="47" spans="1:11" ht="13.95" customHeight="1" x14ac:dyDescent="0.3">
      <c r="A47" s="3">
        <v>45703</v>
      </c>
      <c r="B47" s="19" t="s">
        <v>1235</v>
      </c>
      <c r="C47" s="3" t="s">
        <v>13</v>
      </c>
      <c r="D47" s="3" t="s">
        <v>1075</v>
      </c>
      <c r="E47" s="4">
        <v>0.9</v>
      </c>
      <c r="F47" s="44">
        <v>3.3</v>
      </c>
      <c r="G47" s="21">
        <v>200</v>
      </c>
      <c r="H47" s="30">
        <v>1.6</v>
      </c>
      <c r="I47" s="6">
        <f t="shared" si="5"/>
        <v>950.40000000000009</v>
      </c>
      <c r="J47" s="51" t="s">
        <v>1076</v>
      </c>
      <c r="K47" s="17">
        <f t="shared" si="2"/>
        <v>2</v>
      </c>
    </row>
    <row r="48" spans="1:11" ht="13.95" customHeight="1" x14ac:dyDescent="0.3">
      <c r="A48" s="3">
        <v>45704</v>
      </c>
      <c r="B48" s="19" t="s">
        <v>1235</v>
      </c>
      <c r="C48" s="3" t="s">
        <v>16</v>
      </c>
      <c r="D48" s="3" t="s">
        <v>757</v>
      </c>
      <c r="E48" s="4">
        <v>0.95</v>
      </c>
      <c r="F48" s="44">
        <v>3.6</v>
      </c>
      <c r="G48" s="21">
        <v>200</v>
      </c>
      <c r="H48" s="30">
        <v>1.6</v>
      </c>
      <c r="I48" s="6">
        <f t="shared" si="5"/>
        <v>1094.4000000000001</v>
      </c>
      <c r="J48" s="51" t="s">
        <v>369</v>
      </c>
      <c r="K48" s="17">
        <f t="shared" si="2"/>
        <v>2</v>
      </c>
    </row>
    <row r="49" spans="1:11" ht="13.95" customHeight="1" x14ac:dyDescent="0.3">
      <c r="A49" s="3">
        <v>45705</v>
      </c>
      <c r="B49" s="19" t="s">
        <v>1235</v>
      </c>
      <c r="C49" s="3" t="s">
        <v>18</v>
      </c>
      <c r="D49" s="3" t="s">
        <v>1057</v>
      </c>
      <c r="E49" s="4">
        <v>0.6</v>
      </c>
      <c r="F49" s="44">
        <v>2.4</v>
      </c>
      <c r="G49" s="21">
        <v>200</v>
      </c>
      <c r="H49" s="30">
        <v>1.6</v>
      </c>
      <c r="I49" s="6">
        <f t="shared" si="5"/>
        <v>460.8</v>
      </c>
      <c r="J49" s="51" t="s">
        <v>1077</v>
      </c>
      <c r="K49" s="17">
        <f t="shared" si="2"/>
        <v>2</v>
      </c>
    </row>
    <row r="50" spans="1:11" ht="13.95" customHeight="1" x14ac:dyDescent="0.3">
      <c r="A50" s="3">
        <v>45706</v>
      </c>
      <c r="B50" s="19" t="s">
        <v>1235</v>
      </c>
      <c r="C50" s="3" t="s">
        <v>20</v>
      </c>
      <c r="D50" s="3" t="s">
        <v>1057</v>
      </c>
      <c r="E50" s="4">
        <v>0.65</v>
      </c>
      <c r="F50" s="44">
        <v>2.4</v>
      </c>
      <c r="G50" s="21">
        <v>200</v>
      </c>
      <c r="H50" s="30">
        <v>1.6</v>
      </c>
      <c r="I50" s="6">
        <f t="shared" si="5"/>
        <v>499.20000000000005</v>
      </c>
      <c r="J50" s="51" t="s">
        <v>71</v>
      </c>
      <c r="K50" s="17">
        <f t="shared" si="2"/>
        <v>2</v>
      </c>
    </row>
    <row r="51" spans="1:11" ht="13.95" customHeight="1" x14ac:dyDescent="0.3">
      <c r="A51" s="3">
        <v>45707</v>
      </c>
      <c r="B51" s="19" t="s">
        <v>1235</v>
      </c>
      <c r="C51" s="3" t="s">
        <v>5</v>
      </c>
      <c r="D51" s="3" t="s">
        <v>1057</v>
      </c>
      <c r="E51" s="4">
        <v>0.68</v>
      </c>
      <c r="F51" s="44">
        <v>2.4</v>
      </c>
      <c r="G51" s="21">
        <v>200</v>
      </c>
      <c r="H51" s="30">
        <v>1.6</v>
      </c>
      <c r="I51" s="6">
        <f t="shared" si="5"/>
        <v>522.24</v>
      </c>
      <c r="J51" s="51" t="s">
        <v>71</v>
      </c>
      <c r="K51" s="17">
        <f t="shared" si="2"/>
        <v>2</v>
      </c>
    </row>
    <row r="52" spans="1:11" ht="13.95" customHeight="1" x14ac:dyDescent="0.3">
      <c r="A52" s="3">
        <v>45708</v>
      </c>
      <c r="B52" s="19" t="s">
        <v>1235</v>
      </c>
      <c r="C52" s="3" t="s">
        <v>8</v>
      </c>
      <c r="D52" s="3" t="s">
        <v>1057</v>
      </c>
      <c r="E52" s="4">
        <v>0.7</v>
      </c>
      <c r="F52" s="44">
        <v>2.4</v>
      </c>
      <c r="G52" s="21">
        <v>200</v>
      </c>
      <c r="H52" s="30">
        <v>1.6</v>
      </c>
      <c r="I52" s="6">
        <f t="shared" si="5"/>
        <v>537.6</v>
      </c>
      <c r="J52" s="51" t="s">
        <v>71</v>
      </c>
      <c r="K52" s="17">
        <f t="shared" si="2"/>
        <v>2</v>
      </c>
    </row>
    <row r="53" spans="1:11" ht="13.95" customHeight="1" x14ac:dyDescent="0.3">
      <c r="A53" s="3">
        <v>45709</v>
      </c>
      <c r="B53" s="19" t="s">
        <v>1235</v>
      </c>
      <c r="C53" s="3" t="s">
        <v>11</v>
      </c>
      <c r="D53" s="3" t="s">
        <v>44</v>
      </c>
      <c r="E53" s="4">
        <v>0.75</v>
      </c>
      <c r="F53" s="44">
        <v>2.75</v>
      </c>
      <c r="G53" s="21">
        <v>200</v>
      </c>
      <c r="H53" s="30">
        <v>1.6</v>
      </c>
      <c r="I53" s="6">
        <f t="shared" si="5"/>
        <v>660</v>
      </c>
      <c r="J53" s="51" t="s">
        <v>1078</v>
      </c>
      <c r="K53" s="17">
        <f t="shared" si="2"/>
        <v>2</v>
      </c>
    </row>
    <row r="54" spans="1:11" ht="13.95" customHeight="1" x14ac:dyDescent="0.3">
      <c r="A54" s="3">
        <v>45710</v>
      </c>
      <c r="B54" s="19" t="s">
        <v>1235</v>
      </c>
      <c r="C54" s="3" t="s">
        <v>13</v>
      </c>
      <c r="D54" s="3" t="s">
        <v>14</v>
      </c>
      <c r="E54" s="4">
        <v>0.8</v>
      </c>
      <c r="F54" s="44">
        <v>3.2</v>
      </c>
      <c r="G54" s="21">
        <v>200</v>
      </c>
      <c r="H54" s="30">
        <v>1.6</v>
      </c>
      <c r="I54" s="6">
        <f t="shared" si="5"/>
        <v>819.2</v>
      </c>
      <c r="J54" s="51" t="s">
        <v>1079</v>
      </c>
      <c r="K54" s="17">
        <f t="shared" si="2"/>
        <v>2</v>
      </c>
    </row>
    <row r="55" spans="1:11" ht="13.95" customHeight="1" x14ac:dyDescent="0.3">
      <c r="A55" s="3">
        <v>45711</v>
      </c>
      <c r="B55" s="19" t="s">
        <v>1235</v>
      </c>
      <c r="C55" s="3" t="s">
        <v>16</v>
      </c>
      <c r="D55" s="3" t="s">
        <v>757</v>
      </c>
      <c r="E55" s="4">
        <v>0.9</v>
      </c>
      <c r="F55" s="44">
        <v>3.5</v>
      </c>
      <c r="G55" s="21">
        <v>200</v>
      </c>
      <c r="H55" s="30">
        <v>1.6</v>
      </c>
      <c r="I55" s="6">
        <f t="shared" si="5"/>
        <v>1008</v>
      </c>
      <c r="J55" s="51" t="s">
        <v>1080</v>
      </c>
      <c r="K55" s="17">
        <f t="shared" si="2"/>
        <v>2</v>
      </c>
    </row>
    <row r="56" spans="1:11" ht="13.95" customHeight="1" x14ac:dyDescent="0.3">
      <c r="A56" s="3">
        <v>45712</v>
      </c>
      <c r="B56" s="19" t="s">
        <v>1235</v>
      </c>
      <c r="C56" s="3" t="s">
        <v>18</v>
      </c>
      <c r="D56" s="3" t="s">
        <v>1057</v>
      </c>
      <c r="E56" s="4">
        <v>0.62</v>
      </c>
      <c r="F56" s="44">
        <v>2.4</v>
      </c>
      <c r="G56" s="21">
        <v>200</v>
      </c>
      <c r="H56" s="30">
        <v>1.6</v>
      </c>
      <c r="I56" s="6">
        <f t="shared" si="5"/>
        <v>476.15999999999997</v>
      </c>
      <c r="J56" s="51" t="s">
        <v>71</v>
      </c>
      <c r="K56" s="17">
        <f t="shared" si="2"/>
        <v>2</v>
      </c>
    </row>
    <row r="57" spans="1:11" ht="13.95" customHeight="1" x14ac:dyDescent="0.3">
      <c r="A57" s="3">
        <v>45713</v>
      </c>
      <c r="B57" s="19" t="s">
        <v>1235</v>
      </c>
      <c r="C57" s="3" t="s">
        <v>20</v>
      </c>
      <c r="D57" s="3" t="s">
        <v>1057</v>
      </c>
      <c r="E57" s="4">
        <v>0.65</v>
      </c>
      <c r="F57" s="44">
        <v>2.4</v>
      </c>
      <c r="G57" s="21">
        <v>200</v>
      </c>
      <c r="H57" s="30">
        <v>1.6</v>
      </c>
      <c r="I57" s="6">
        <f t="shared" si="5"/>
        <v>499.20000000000005</v>
      </c>
      <c r="J57" s="51" t="s">
        <v>71</v>
      </c>
      <c r="K57" s="17">
        <f t="shared" si="2"/>
        <v>2</v>
      </c>
    </row>
    <row r="58" spans="1:11" ht="13.95" customHeight="1" x14ac:dyDescent="0.3">
      <c r="A58" s="3">
        <v>45714</v>
      </c>
      <c r="B58" s="19" t="s">
        <v>1235</v>
      </c>
      <c r="C58" s="3" t="s">
        <v>5</v>
      </c>
      <c r="D58" s="3" t="s">
        <v>1057</v>
      </c>
      <c r="E58" s="4">
        <v>0.68</v>
      </c>
      <c r="F58" s="44">
        <v>2.4</v>
      </c>
      <c r="G58" s="21">
        <v>200</v>
      </c>
      <c r="H58" s="30">
        <v>1.6</v>
      </c>
      <c r="I58" s="6">
        <f t="shared" si="5"/>
        <v>522.24</v>
      </c>
      <c r="J58" s="51" t="s">
        <v>71</v>
      </c>
      <c r="K58" s="17">
        <f t="shared" si="2"/>
        <v>2</v>
      </c>
    </row>
    <row r="59" spans="1:11" ht="13.95" customHeight="1" x14ac:dyDescent="0.3">
      <c r="A59" s="3">
        <v>45715</v>
      </c>
      <c r="B59" s="19" t="s">
        <v>1235</v>
      </c>
      <c r="C59" s="3" t="s">
        <v>8</v>
      </c>
      <c r="D59" s="3" t="s">
        <v>1057</v>
      </c>
      <c r="E59" s="4">
        <v>0.7</v>
      </c>
      <c r="F59" s="44">
        <v>2.4</v>
      </c>
      <c r="G59" s="21">
        <v>200</v>
      </c>
      <c r="H59" s="30">
        <v>1.6</v>
      </c>
      <c r="I59" s="6">
        <f t="shared" si="5"/>
        <v>537.6</v>
      </c>
      <c r="J59" s="51" t="s">
        <v>71</v>
      </c>
      <c r="K59" s="17">
        <f t="shared" si="2"/>
        <v>2</v>
      </c>
    </row>
    <row r="60" spans="1:11" ht="13.95" customHeight="1" x14ac:dyDescent="0.3">
      <c r="A60" s="3">
        <v>45716</v>
      </c>
      <c r="B60" s="19" t="s">
        <v>1235</v>
      </c>
      <c r="C60" s="3" t="s">
        <v>11</v>
      </c>
      <c r="D60" s="3" t="s">
        <v>44</v>
      </c>
      <c r="E60" s="4">
        <v>0.75</v>
      </c>
      <c r="F60" s="44">
        <v>2.8</v>
      </c>
      <c r="G60" s="21">
        <v>200</v>
      </c>
      <c r="H60" s="30">
        <v>1.6</v>
      </c>
      <c r="I60" s="6">
        <f t="shared" si="5"/>
        <v>672</v>
      </c>
      <c r="J60" s="51" t="s">
        <v>99</v>
      </c>
      <c r="K60" s="17">
        <f t="shared" si="2"/>
        <v>2</v>
      </c>
    </row>
    <row r="61" spans="1:11" ht="13.95" customHeight="1" x14ac:dyDescent="0.3">
      <c r="A61" s="3">
        <v>45717</v>
      </c>
      <c r="B61" s="19" t="s">
        <v>1235</v>
      </c>
      <c r="C61" s="3" t="s">
        <v>13</v>
      </c>
      <c r="D61" s="3" t="s">
        <v>708</v>
      </c>
      <c r="E61" s="4">
        <v>0.65</v>
      </c>
      <c r="F61" s="44">
        <v>2.7</v>
      </c>
      <c r="G61" s="21">
        <v>200</v>
      </c>
      <c r="H61" s="30">
        <v>1.6</v>
      </c>
      <c r="I61" s="6">
        <f t="shared" si="5"/>
        <v>561.6</v>
      </c>
      <c r="J61" s="51" t="s">
        <v>1081</v>
      </c>
      <c r="K61" s="17">
        <f t="shared" si="2"/>
        <v>3</v>
      </c>
    </row>
    <row r="62" spans="1:11" ht="13.95" customHeight="1" x14ac:dyDescent="0.3">
      <c r="A62" s="3">
        <v>45718</v>
      </c>
      <c r="B62" s="19" t="s">
        <v>1235</v>
      </c>
      <c r="C62" s="3" t="s">
        <v>16</v>
      </c>
      <c r="D62" s="3" t="s">
        <v>1082</v>
      </c>
      <c r="E62" s="4">
        <v>0.6</v>
      </c>
      <c r="F62" s="44">
        <v>2.6</v>
      </c>
      <c r="G62" s="21">
        <v>200</v>
      </c>
      <c r="H62" s="30">
        <v>1.6</v>
      </c>
      <c r="I62" s="6">
        <f t="shared" si="5"/>
        <v>499.20000000000005</v>
      </c>
      <c r="J62" s="51" t="s">
        <v>1083</v>
      </c>
      <c r="K62" s="17">
        <f t="shared" si="2"/>
        <v>3</v>
      </c>
    </row>
    <row r="63" spans="1:11" ht="13.95" customHeight="1" x14ac:dyDescent="0.3">
      <c r="A63" s="3">
        <v>45719</v>
      </c>
      <c r="B63" s="19" t="s">
        <v>1235</v>
      </c>
      <c r="C63" s="3" t="s">
        <v>18</v>
      </c>
      <c r="D63" s="3" t="s">
        <v>1084</v>
      </c>
      <c r="E63" s="4">
        <v>0.55000000000000004</v>
      </c>
      <c r="F63" s="44">
        <v>2.4</v>
      </c>
      <c r="G63" s="21">
        <v>200</v>
      </c>
      <c r="H63" s="30">
        <v>1.6</v>
      </c>
      <c r="I63" s="6">
        <f t="shared" si="5"/>
        <v>422.40000000000003</v>
      </c>
      <c r="J63" s="51" t="s">
        <v>1085</v>
      </c>
      <c r="K63" s="17">
        <f t="shared" si="2"/>
        <v>3</v>
      </c>
    </row>
    <row r="64" spans="1:11" ht="13.95" customHeight="1" x14ac:dyDescent="0.3">
      <c r="A64" s="3">
        <v>45720</v>
      </c>
      <c r="B64" s="19" t="s">
        <v>1235</v>
      </c>
      <c r="C64" s="3" t="s">
        <v>20</v>
      </c>
      <c r="D64" s="3" t="s">
        <v>794</v>
      </c>
      <c r="E64" s="4">
        <v>0.65</v>
      </c>
      <c r="F64" s="44">
        <v>2.8</v>
      </c>
      <c r="G64" s="21">
        <v>200</v>
      </c>
      <c r="H64" s="30">
        <v>1.6</v>
      </c>
      <c r="I64" s="6">
        <f t="shared" si="5"/>
        <v>582.4</v>
      </c>
      <c r="J64" s="51" t="s">
        <v>1086</v>
      </c>
      <c r="K64" s="17">
        <f t="shared" si="2"/>
        <v>3</v>
      </c>
    </row>
    <row r="65" spans="1:11" ht="13.95" customHeight="1" x14ac:dyDescent="0.3">
      <c r="A65" s="3">
        <v>45721</v>
      </c>
      <c r="B65" s="19" t="s">
        <v>1235</v>
      </c>
      <c r="C65" s="3" t="s">
        <v>5</v>
      </c>
      <c r="D65" s="3" t="s">
        <v>794</v>
      </c>
      <c r="E65" s="4">
        <v>0.6</v>
      </c>
      <c r="F65" s="44">
        <v>2.75</v>
      </c>
      <c r="G65" s="21">
        <v>200</v>
      </c>
      <c r="H65" s="30">
        <v>1.6</v>
      </c>
      <c r="I65" s="6">
        <f t="shared" si="5"/>
        <v>528</v>
      </c>
      <c r="J65" s="51" t="s">
        <v>1087</v>
      </c>
      <c r="K65" s="17">
        <f t="shared" si="2"/>
        <v>3</v>
      </c>
    </row>
    <row r="66" spans="1:11" ht="13.95" customHeight="1" x14ac:dyDescent="0.3">
      <c r="A66" s="3">
        <v>45722</v>
      </c>
      <c r="B66" s="19" t="s">
        <v>1235</v>
      </c>
      <c r="C66" s="3" t="s">
        <v>8</v>
      </c>
      <c r="D66" s="3" t="s">
        <v>1088</v>
      </c>
      <c r="E66" s="4">
        <v>0.57999999999999996</v>
      </c>
      <c r="F66" s="44">
        <v>2.6</v>
      </c>
      <c r="G66" s="21">
        <v>200</v>
      </c>
      <c r="H66" s="30">
        <v>1.6</v>
      </c>
      <c r="I66" s="6">
        <f t="shared" si="5"/>
        <v>482.55999999999995</v>
      </c>
      <c r="J66" s="51" t="s">
        <v>1089</v>
      </c>
      <c r="K66" s="17">
        <f t="shared" si="2"/>
        <v>3</v>
      </c>
    </row>
    <row r="67" spans="1:11" ht="13.95" customHeight="1" x14ac:dyDescent="0.3">
      <c r="A67" s="3">
        <v>45723</v>
      </c>
      <c r="B67" s="19" t="s">
        <v>1235</v>
      </c>
      <c r="C67" s="3" t="s">
        <v>11</v>
      </c>
      <c r="D67" s="3" t="s">
        <v>760</v>
      </c>
      <c r="E67" s="4">
        <v>0.68</v>
      </c>
      <c r="F67" s="44">
        <v>2.9</v>
      </c>
      <c r="G67" s="21">
        <v>200</v>
      </c>
      <c r="H67" s="30">
        <v>1.6</v>
      </c>
      <c r="I67" s="6">
        <f t="shared" si="5"/>
        <v>631.04</v>
      </c>
      <c r="J67" s="51" t="s">
        <v>1090</v>
      </c>
      <c r="K67" s="17">
        <f t="shared" ref="K67:K130" si="6">MONTH(A67)</f>
        <v>3</v>
      </c>
    </row>
    <row r="68" spans="1:11" ht="13.95" customHeight="1" x14ac:dyDescent="0.3">
      <c r="A68" s="3">
        <v>45724</v>
      </c>
      <c r="B68" s="19" t="s">
        <v>1235</v>
      </c>
      <c r="C68" s="3" t="s">
        <v>13</v>
      </c>
      <c r="D68" s="3" t="s">
        <v>760</v>
      </c>
      <c r="E68" s="4">
        <v>0.72</v>
      </c>
      <c r="F68" s="44">
        <v>3.1</v>
      </c>
      <c r="G68" s="21">
        <v>200</v>
      </c>
      <c r="H68" s="30">
        <v>1.6</v>
      </c>
      <c r="I68" s="6">
        <f t="shared" si="5"/>
        <v>714.24000000000012</v>
      </c>
      <c r="J68" s="51" t="s">
        <v>1091</v>
      </c>
      <c r="K68" s="17">
        <f t="shared" si="6"/>
        <v>3</v>
      </c>
    </row>
    <row r="69" spans="1:11" ht="13.95" customHeight="1" x14ac:dyDescent="0.3">
      <c r="A69" s="3">
        <v>45725</v>
      </c>
      <c r="B69" s="19" t="s">
        <v>1235</v>
      </c>
      <c r="C69" s="3" t="s">
        <v>16</v>
      </c>
      <c r="D69" s="3" t="s">
        <v>1092</v>
      </c>
      <c r="E69" s="4">
        <v>0.65</v>
      </c>
      <c r="F69" s="44">
        <v>3</v>
      </c>
      <c r="G69" s="21">
        <v>200</v>
      </c>
      <c r="H69" s="30">
        <v>1.6</v>
      </c>
      <c r="I69" s="6">
        <f t="shared" si="5"/>
        <v>624</v>
      </c>
      <c r="J69" s="51" t="s">
        <v>1093</v>
      </c>
      <c r="K69" s="17">
        <f t="shared" si="6"/>
        <v>3</v>
      </c>
    </row>
    <row r="70" spans="1:11" ht="13.95" customHeight="1" x14ac:dyDescent="0.3">
      <c r="A70" s="3">
        <v>45726</v>
      </c>
      <c r="B70" s="19" t="s">
        <v>1235</v>
      </c>
      <c r="C70" s="3" t="s">
        <v>18</v>
      </c>
      <c r="D70" s="3" t="s">
        <v>1084</v>
      </c>
      <c r="E70" s="4">
        <v>0.55000000000000004</v>
      </c>
      <c r="F70" s="44">
        <v>2.4</v>
      </c>
      <c r="G70" s="21">
        <v>200</v>
      </c>
      <c r="H70" s="30">
        <v>1.6</v>
      </c>
      <c r="I70" s="6">
        <f t="shared" si="5"/>
        <v>422.40000000000003</v>
      </c>
      <c r="J70" s="51" t="s">
        <v>71</v>
      </c>
      <c r="K70" s="17">
        <f t="shared" si="6"/>
        <v>3</v>
      </c>
    </row>
    <row r="71" spans="1:11" ht="13.95" customHeight="1" x14ac:dyDescent="0.3">
      <c r="A71" s="3">
        <v>45727</v>
      </c>
      <c r="B71" s="19" t="s">
        <v>1235</v>
      </c>
      <c r="C71" s="3" t="s">
        <v>20</v>
      </c>
      <c r="D71" s="3" t="s">
        <v>794</v>
      </c>
      <c r="E71" s="4">
        <v>0.68</v>
      </c>
      <c r="F71" s="44">
        <v>2.8</v>
      </c>
      <c r="G71" s="21">
        <v>200</v>
      </c>
      <c r="H71" s="30">
        <v>1.6</v>
      </c>
      <c r="I71" s="6">
        <f t="shared" si="5"/>
        <v>609.28</v>
      </c>
      <c r="J71" s="51" t="s">
        <v>1094</v>
      </c>
      <c r="K71" s="17">
        <f t="shared" si="6"/>
        <v>3</v>
      </c>
    </row>
    <row r="72" spans="1:11" ht="13.95" customHeight="1" x14ac:dyDescent="0.3">
      <c r="A72" s="3">
        <v>45728</v>
      </c>
      <c r="B72" s="19" t="s">
        <v>1235</v>
      </c>
      <c r="C72" s="3" t="s">
        <v>5</v>
      </c>
      <c r="D72" s="3" t="s">
        <v>794</v>
      </c>
      <c r="E72" s="4">
        <v>0.65</v>
      </c>
      <c r="F72" s="44">
        <v>2.75</v>
      </c>
      <c r="G72" s="21">
        <v>200</v>
      </c>
      <c r="H72" s="30">
        <v>1.6</v>
      </c>
      <c r="I72" s="6">
        <f t="shared" si="5"/>
        <v>572</v>
      </c>
      <c r="J72" s="51" t="s">
        <v>1069</v>
      </c>
      <c r="K72" s="17">
        <f t="shared" si="6"/>
        <v>3</v>
      </c>
    </row>
    <row r="73" spans="1:11" ht="13.95" customHeight="1" x14ac:dyDescent="0.3">
      <c r="A73" s="3">
        <v>45729</v>
      </c>
      <c r="B73" s="19" t="s">
        <v>1235</v>
      </c>
      <c r="C73" s="3" t="s">
        <v>8</v>
      </c>
      <c r="D73" s="3" t="s">
        <v>1088</v>
      </c>
      <c r="E73" s="4">
        <v>0.6</v>
      </c>
      <c r="F73" s="44">
        <v>2.6</v>
      </c>
      <c r="G73" s="21">
        <v>200</v>
      </c>
      <c r="H73" s="30">
        <v>1.6</v>
      </c>
      <c r="I73" s="6">
        <f t="shared" si="5"/>
        <v>499.20000000000005</v>
      </c>
      <c r="J73" s="51" t="s">
        <v>71</v>
      </c>
      <c r="K73" s="17">
        <f t="shared" si="6"/>
        <v>3</v>
      </c>
    </row>
    <row r="74" spans="1:11" ht="13.95" customHeight="1" x14ac:dyDescent="0.3">
      <c r="A74" s="3">
        <v>45730</v>
      </c>
      <c r="B74" s="19" t="s">
        <v>1235</v>
      </c>
      <c r="C74" s="3" t="s">
        <v>11</v>
      </c>
      <c r="D74" s="3" t="s">
        <v>760</v>
      </c>
      <c r="E74" s="4">
        <v>0.7</v>
      </c>
      <c r="F74" s="44">
        <v>2.9</v>
      </c>
      <c r="G74" s="21">
        <v>200</v>
      </c>
      <c r="H74" s="30">
        <v>1.6</v>
      </c>
      <c r="I74" s="6">
        <f t="shared" si="5"/>
        <v>649.6</v>
      </c>
      <c r="J74" s="51" t="s">
        <v>1095</v>
      </c>
      <c r="K74" s="17">
        <f t="shared" si="6"/>
        <v>3</v>
      </c>
    </row>
    <row r="75" spans="1:11" ht="13.95" customHeight="1" x14ac:dyDescent="0.3">
      <c r="A75" s="3">
        <v>45731</v>
      </c>
      <c r="B75" s="19" t="s">
        <v>1235</v>
      </c>
      <c r="C75" s="3" t="s">
        <v>13</v>
      </c>
      <c r="D75" s="3" t="s">
        <v>760</v>
      </c>
      <c r="E75" s="4">
        <v>0.75</v>
      </c>
      <c r="F75" s="44">
        <v>3.2</v>
      </c>
      <c r="G75" s="21">
        <v>200</v>
      </c>
      <c r="H75" s="30">
        <v>1.6</v>
      </c>
      <c r="I75" s="6">
        <f t="shared" si="5"/>
        <v>768</v>
      </c>
      <c r="J75" s="51" t="s">
        <v>1096</v>
      </c>
      <c r="K75" s="17">
        <f t="shared" si="6"/>
        <v>3</v>
      </c>
    </row>
    <row r="76" spans="1:11" ht="13.95" customHeight="1" x14ac:dyDescent="0.3">
      <c r="A76" s="3">
        <v>45732</v>
      </c>
      <c r="B76" s="19" t="s">
        <v>1235</v>
      </c>
      <c r="C76" s="3" t="s">
        <v>16</v>
      </c>
      <c r="D76" s="3" t="s">
        <v>1092</v>
      </c>
      <c r="E76" s="4">
        <v>0.68</v>
      </c>
      <c r="F76" s="44">
        <v>3.1</v>
      </c>
      <c r="G76" s="21">
        <v>200</v>
      </c>
      <c r="H76" s="30">
        <v>1.6</v>
      </c>
      <c r="I76" s="6">
        <f t="shared" si="5"/>
        <v>674.56000000000006</v>
      </c>
      <c r="J76" s="51" t="s">
        <v>1097</v>
      </c>
      <c r="K76" s="17">
        <f t="shared" si="6"/>
        <v>3</v>
      </c>
    </row>
    <row r="77" spans="1:11" ht="13.95" customHeight="1" x14ac:dyDescent="0.3">
      <c r="A77" s="3">
        <v>45733</v>
      </c>
      <c r="B77" s="19" t="s">
        <v>1235</v>
      </c>
      <c r="C77" s="3" t="s">
        <v>18</v>
      </c>
      <c r="D77" s="3" t="s">
        <v>1084</v>
      </c>
      <c r="E77" s="4">
        <v>0.55000000000000004</v>
      </c>
      <c r="F77" s="44">
        <v>2.4</v>
      </c>
      <c r="G77" s="21">
        <v>200</v>
      </c>
      <c r="H77" s="30">
        <v>1.6</v>
      </c>
      <c r="I77" s="6">
        <f t="shared" si="5"/>
        <v>422.40000000000003</v>
      </c>
      <c r="J77" s="51" t="s">
        <v>71</v>
      </c>
      <c r="K77" s="17">
        <f t="shared" si="6"/>
        <v>3</v>
      </c>
    </row>
    <row r="78" spans="1:11" ht="13.95" customHeight="1" x14ac:dyDescent="0.3">
      <c r="A78" s="3">
        <v>45734</v>
      </c>
      <c r="B78" s="19" t="s">
        <v>1235</v>
      </c>
      <c r="C78" s="3" t="s">
        <v>20</v>
      </c>
      <c r="D78" s="3" t="s">
        <v>794</v>
      </c>
      <c r="E78" s="4">
        <v>0.7</v>
      </c>
      <c r="F78" s="44">
        <v>2.85</v>
      </c>
      <c r="G78" s="21">
        <v>200</v>
      </c>
      <c r="H78" s="30">
        <v>1.6</v>
      </c>
      <c r="I78" s="6">
        <f t="shared" si="5"/>
        <v>638.40000000000009</v>
      </c>
      <c r="J78" s="51" t="s">
        <v>1098</v>
      </c>
      <c r="K78" s="17">
        <f t="shared" si="6"/>
        <v>3</v>
      </c>
    </row>
    <row r="79" spans="1:11" ht="13.95" customHeight="1" x14ac:dyDescent="0.3">
      <c r="A79" s="3">
        <v>45735</v>
      </c>
      <c r="B79" s="19" t="s">
        <v>1235</v>
      </c>
      <c r="C79" s="3" t="s">
        <v>5</v>
      </c>
      <c r="D79" s="3" t="s">
        <v>794</v>
      </c>
      <c r="E79" s="4">
        <v>0.65</v>
      </c>
      <c r="F79" s="44">
        <v>2.8</v>
      </c>
      <c r="G79" s="21">
        <v>200</v>
      </c>
      <c r="H79" s="30">
        <v>1.6</v>
      </c>
      <c r="I79" s="6">
        <f t="shared" si="5"/>
        <v>582.4</v>
      </c>
      <c r="J79" s="51" t="s">
        <v>195</v>
      </c>
      <c r="K79" s="17">
        <f t="shared" si="6"/>
        <v>3</v>
      </c>
    </row>
    <row r="80" spans="1:11" ht="13.95" customHeight="1" x14ac:dyDescent="0.3">
      <c r="A80" s="3">
        <v>45736</v>
      </c>
      <c r="B80" s="19" t="s">
        <v>1235</v>
      </c>
      <c r="C80" s="3" t="s">
        <v>8</v>
      </c>
      <c r="D80" s="3" t="s">
        <v>383</v>
      </c>
      <c r="E80" s="4">
        <v>0.75</v>
      </c>
      <c r="F80" s="44">
        <v>3.1</v>
      </c>
      <c r="G80" s="21">
        <v>200</v>
      </c>
      <c r="H80" s="30">
        <v>1.6</v>
      </c>
      <c r="I80" s="6">
        <f t="shared" si="5"/>
        <v>744</v>
      </c>
      <c r="J80" s="51" t="s">
        <v>1099</v>
      </c>
      <c r="K80" s="17">
        <f t="shared" si="6"/>
        <v>3</v>
      </c>
    </row>
    <row r="81" spans="1:11" ht="13.95" customHeight="1" x14ac:dyDescent="0.3">
      <c r="A81" s="3">
        <v>45737</v>
      </c>
      <c r="B81" s="19" t="s">
        <v>1235</v>
      </c>
      <c r="C81" s="3" t="s">
        <v>11</v>
      </c>
      <c r="D81" s="3" t="s">
        <v>760</v>
      </c>
      <c r="E81" s="4">
        <v>0.7</v>
      </c>
      <c r="F81" s="44">
        <v>2.9</v>
      </c>
      <c r="G81" s="21">
        <v>200</v>
      </c>
      <c r="H81" s="30">
        <v>1.6</v>
      </c>
      <c r="I81" s="6">
        <f t="shared" si="5"/>
        <v>649.6</v>
      </c>
      <c r="J81" s="51" t="s">
        <v>70</v>
      </c>
      <c r="K81" s="17">
        <f t="shared" si="6"/>
        <v>3</v>
      </c>
    </row>
    <row r="82" spans="1:11" ht="13.95" customHeight="1" x14ac:dyDescent="0.3">
      <c r="A82" s="3">
        <v>45738</v>
      </c>
      <c r="B82" s="19" t="s">
        <v>1235</v>
      </c>
      <c r="C82" s="3" t="s">
        <v>13</v>
      </c>
      <c r="D82" s="3" t="s">
        <v>760</v>
      </c>
      <c r="E82" s="4">
        <v>0.8</v>
      </c>
      <c r="F82" s="44">
        <v>3.3</v>
      </c>
      <c r="G82" s="21">
        <v>200</v>
      </c>
      <c r="H82" s="30">
        <v>1.6</v>
      </c>
      <c r="I82" s="6">
        <f t="shared" si="5"/>
        <v>844.80000000000007</v>
      </c>
      <c r="J82" s="51" t="s">
        <v>723</v>
      </c>
      <c r="K82" s="17">
        <f t="shared" si="6"/>
        <v>3</v>
      </c>
    </row>
    <row r="83" spans="1:11" ht="13.95" customHeight="1" x14ac:dyDescent="0.3">
      <c r="A83" s="3">
        <v>45739</v>
      </c>
      <c r="B83" s="19" t="s">
        <v>1235</v>
      </c>
      <c r="C83" s="3" t="s">
        <v>16</v>
      </c>
      <c r="D83" s="3" t="s">
        <v>1092</v>
      </c>
      <c r="E83" s="4">
        <v>0.72</v>
      </c>
      <c r="F83" s="44">
        <v>3.15</v>
      </c>
      <c r="G83" s="21">
        <v>200</v>
      </c>
      <c r="H83" s="30">
        <v>1.6</v>
      </c>
      <c r="I83" s="6">
        <f t="shared" si="5"/>
        <v>725.76</v>
      </c>
      <c r="J83" s="51" t="s">
        <v>1100</v>
      </c>
      <c r="K83" s="17">
        <f t="shared" si="6"/>
        <v>3</v>
      </c>
    </row>
    <row r="84" spans="1:11" ht="13.95" customHeight="1" x14ac:dyDescent="0.3">
      <c r="A84" s="3">
        <v>45740</v>
      </c>
      <c r="B84" s="19" t="s">
        <v>1235</v>
      </c>
      <c r="C84" s="3" t="s">
        <v>18</v>
      </c>
      <c r="D84" s="3" t="s">
        <v>764</v>
      </c>
      <c r="E84" s="4">
        <v>0.57999999999999996</v>
      </c>
      <c r="F84" s="44">
        <v>2.5</v>
      </c>
      <c r="G84" s="21">
        <v>200</v>
      </c>
      <c r="H84" s="30">
        <v>1.6</v>
      </c>
      <c r="I84" s="6">
        <f t="shared" si="5"/>
        <v>463.99999999999994</v>
      </c>
      <c r="J84" s="51" t="s">
        <v>714</v>
      </c>
      <c r="K84" s="17">
        <f t="shared" si="6"/>
        <v>3</v>
      </c>
    </row>
    <row r="85" spans="1:11" ht="13.95" customHeight="1" x14ac:dyDescent="0.3">
      <c r="A85" s="3">
        <v>45741</v>
      </c>
      <c r="B85" s="19" t="s">
        <v>1235</v>
      </c>
      <c r="C85" s="3" t="s">
        <v>20</v>
      </c>
      <c r="D85" s="3" t="s">
        <v>763</v>
      </c>
      <c r="E85" s="4">
        <v>0.75</v>
      </c>
      <c r="F85" s="44">
        <v>3.4</v>
      </c>
      <c r="G85" s="21">
        <v>200</v>
      </c>
      <c r="H85" s="30">
        <v>1.6</v>
      </c>
      <c r="I85" s="6">
        <f t="shared" si="5"/>
        <v>816</v>
      </c>
      <c r="J85" s="51" t="s">
        <v>1101</v>
      </c>
      <c r="K85" s="17">
        <f t="shared" si="6"/>
        <v>3</v>
      </c>
    </row>
    <row r="86" spans="1:11" ht="13.95" customHeight="1" x14ac:dyDescent="0.3">
      <c r="A86" s="3">
        <v>45742</v>
      </c>
      <c r="B86" s="19" t="s">
        <v>1235</v>
      </c>
      <c r="C86" s="3" t="s">
        <v>5</v>
      </c>
      <c r="D86" s="3" t="s">
        <v>764</v>
      </c>
      <c r="E86" s="4">
        <v>0.65</v>
      </c>
      <c r="F86" s="44">
        <v>2.8</v>
      </c>
      <c r="G86" s="21">
        <v>200</v>
      </c>
      <c r="H86" s="30">
        <v>1.6</v>
      </c>
      <c r="I86" s="6">
        <f t="shared" si="5"/>
        <v>582.4</v>
      </c>
      <c r="J86" s="51" t="s">
        <v>1102</v>
      </c>
      <c r="K86" s="17">
        <f t="shared" si="6"/>
        <v>3</v>
      </c>
    </row>
    <row r="87" spans="1:11" ht="13.95" customHeight="1" x14ac:dyDescent="0.3">
      <c r="A87" s="3">
        <v>45743</v>
      </c>
      <c r="B87" s="19" t="s">
        <v>1235</v>
      </c>
      <c r="C87" s="3" t="s">
        <v>8</v>
      </c>
      <c r="D87" s="3" t="s">
        <v>804</v>
      </c>
      <c r="E87" s="4">
        <v>0.7</v>
      </c>
      <c r="F87" s="44">
        <v>3.3</v>
      </c>
      <c r="G87" s="21">
        <v>200</v>
      </c>
      <c r="H87" s="30">
        <v>1.6</v>
      </c>
      <c r="I87" s="6">
        <f t="shared" si="5"/>
        <v>739.2</v>
      </c>
      <c r="J87" s="51" t="s">
        <v>1103</v>
      </c>
      <c r="K87" s="17">
        <f t="shared" si="6"/>
        <v>3</v>
      </c>
    </row>
    <row r="88" spans="1:11" ht="13.95" customHeight="1" x14ac:dyDescent="0.3">
      <c r="A88" s="3">
        <v>45744</v>
      </c>
      <c r="B88" s="19" t="s">
        <v>1235</v>
      </c>
      <c r="C88" s="3" t="s">
        <v>11</v>
      </c>
      <c r="D88" s="3" t="s">
        <v>44</v>
      </c>
      <c r="E88" s="4">
        <v>0.75</v>
      </c>
      <c r="F88" s="44">
        <v>2.6</v>
      </c>
      <c r="G88" s="21">
        <v>200</v>
      </c>
      <c r="H88" s="30">
        <v>1.6</v>
      </c>
      <c r="I88" s="6">
        <f t="shared" si="5"/>
        <v>624</v>
      </c>
      <c r="J88" s="51" t="s">
        <v>1104</v>
      </c>
      <c r="K88" s="17">
        <f t="shared" si="6"/>
        <v>3</v>
      </c>
    </row>
    <row r="89" spans="1:11" ht="13.95" customHeight="1" x14ac:dyDescent="0.3">
      <c r="A89" s="3">
        <v>45745</v>
      </c>
      <c r="B89" s="19" t="s">
        <v>1235</v>
      </c>
      <c r="C89" s="3" t="s">
        <v>13</v>
      </c>
      <c r="D89" s="3" t="s">
        <v>904</v>
      </c>
      <c r="E89" s="4">
        <v>0.85</v>
      </c>
      <c r="F89" s="44">
        <v>3</v>
      </c>
      <c r="G89" s="21">
        <v>200</v>
      </c>
      <c r="H89" s="30">
        <v>1.6</v>
      </c>
      <c r="I89" s="6">
        <f t="shared" si="5"/>
        <v>816</v>
      </c>
      <c r="J89" s="51" t="s">
        <v>531</v>
      </c>
      <c r="K89" s="17">
        <f t="shared" si="6"/>
        <v>3</v>
      </c>
    </row>
    <row r="90" spans="1:11" ht="13.95" customHeight="1" x14ac:dyDescent="0.3">
      <c r="A90" s="3">
        <v>45746</v>
      </c>
      <c r="B90" s="19" t="s">
        <v>1235</v>
      </c>
      <c r="C90" s="3" t="s">
        <v>16</v>
      </c>
      <c r="D90" s="3" t="s">
        <v>574</v>
      </c>
      <c r="E90" s="4">
        <v>0.98</v>
      </c>
      <c r="F90" s="44">
        <v>4.3</v>
      </c>
      <c r="G90" s="21">
        <v>200</v>
      </c>
      <c r="H90" s="30">
        <v>1.6</v>
      </c>
      <c r="I90" s="6">
        <f t="shared" si="5"/>
        <v>1348.48</v>
      </c>
      <c r="J90" s="51" t="s">
        <v>1105</v>
      </c>
      <c r="K90" s="17">
        <f t="shared" si="6"/>
        <v>3</v>
      </c>
    </row>
    <row r="91" spans="1:11" ht="13.95" customHeight="1" x14ac:dyDescent="0.3">
      <c r="A91" s="3">
        <v>45747</v>
      </c>
      <c r="B91" s="19" t="s">
        <v>1235</v>
      </c>
      <c r="C91" s="3" t="s">
        <v>18</v>
      </c>
      <c r="D91" s="3" t="s">
        <v>574</v>
      </c>
      <c r="E91" s="4">
        <v>0.95</v>
      </c>
      <c r="F91" s="44">
        <v>3.9</v>
      </c>
      <c r="G91" s="21">
        <v>200</v>
      </c>
      <c r="H91" s="30">
        <v>1.6</v>
      </c>
      <c r="I91" s="6">
        <f t="shared" si="5"/>
        <v>1185.6000000000001</v>
      </c>
      <c r="J91" s="51" t="s">
        <v>1106</v>
      </c>
      <c r="K91" s="17">
        <f t="shared" si="6"/>
        <v>3</v>
      </c>
    </row>
    <row r="92" spans="1:11" ht="13.95" customHeight="1" x14ac:dyDescent="0.3">
      <c r="A92" s="3">
        <v>45748</v>
      </c>
      <c r="B92" s="19" t="s">
        <v>1235</v>
      </c>
      <c r="C92" s="3" t="s">
        <v>20</v>
      </c>
      <c r="D92" s="3" t="s">
        <v>1107</v>
      </c>
      <c r="E92" s="4">
        <v>0.7</v>
      </c>
      <c r="F92" s="44">
        <v>2.5</v>
      </c>
      <c r="G92" s="21">
        <v>200</v>
      </c>
      <c r="H92" s="30">
        <v>1.6</v>
      </c>
      <c r="I92" s="6">
        <f t="shared" ref="I92:I155" si="7">(G92*E92)*F92*H92</f>
        <v>560</v>
      </c>
      <c r="J92" s="51" t="s">
        <v>1108</v>
      </c>
      <c r="K92" s="17">
        <f t="shared" si="6"/>
        <v>4</v>
      </c>
    </row>
    <row r="93" spans="1:11" ht="13.95" customHeight="1" x14ac:dyDescent="0.3">
      <c r="A93" s="3">
        <v>45749</v>
      </c>
      <c r="B93" s="19" t="s">
        <v>1235</v>
      </c>
      <c r="C93" s="3" t="s">
        <v>5</v>
      </c>
      <c r="D93" s="3" t="s">
        <v>1084</v>
      </c>
      <c r="E93" s="4">
        <v>0.72</v>
      </c>
      <c r="F93" s="44">
        <v>2.5</v>
      </c>
      <c r="G93" s="21">
        <v>200</v>
      </c>
      <c r="H93" s="30">
        <v>1.6</v>
      </c>
      <c r="I93" s="6">
        <f t="shared" si="7"/>
        <v>576</v>
      </c>
      <c r="J93" s="51" t="s">
        <v>1109</v>
      </c>
      <c r="K93" s="17">
        <f t="shared" si="6"/>
        <v>4</v>
      </c>
    </row>
    <row r="94" spans="1:11" ht="13.95" customHeight="1" x14ac:dyDescent="0.3">
      <c r="A94" s="3">
        <v>45750</v>
      </c>
      <c r="B94" s="19" t="s">
        <v>1235</v>
      </c>
      <c r="C94" s="3" t="s">
        <v>8</v>
      </c>
      <c r="D94" s="3" t="s">
        <v>1084</v>
      </c>
      <c r="E94" s="4">
        <v>0.68</v>
      </c>
      <c r="F94" s="44">
        <v>2.4</v>
      </c>
      <c r="G94" s="21">
        <v>200</v>
      </c>
      <c r="H94" s="30">
        <v>1.6</v>
      </c>
      <c r="I94" s="6">
        <f t="shared" si="7"/>
        <v>522.24</v>
      </c>
      <c r="J94" s="51" t="s">
        <v>71</v>
      </c>
      <c r="K94" s="17">
        <f t="shared" si="6"/>
        <v>4</v>
      </c>
    </row>
    <row r="95" spans="1:11" ht="13.95" customHeight="1" x14ac:dyDescent="0.3">
      <c r="A95" s="3">
        <v>45751</v>
      </c>
      <c r="B95" s="19" t="s">
        <v>1235</v>
      </c>
      <c r="C95" s="3" t="s">
        <v>11</v>
      </c>
      <c r="D95" s="3" t="s">
        <v>14</v>
      </c>
      <c r="E95" s="4">
        <v>0.75</v>
      </c>
      <c r="F95" s="44">
        <v>2.8</v>
      </c>
      <c r="G95" s="21">
        <v>200</v>
      </c>
      <c r="H95" s="30">
        <v>1.6</v>
      </c>
      <c r="I95" s="6">
        <f t="shared" si="7"/>
        <v>672</v>
      </c>
      <c r="J95" s="51" t="s">
        <v>53</v>
      </c>
      <c r="K95" s="17">
        <f t="shared" si="6"/>
        <v>4</v>
      </c>
    </row>
    <row r="96" spans="1:11" ht="13.95" customHeight="1" x14ac:dyDescent="0.3">
      <c r="A96" s="3">
        <v>45752</v>
      </c>
      <c r="B96" s="19" t="s">
        <v>1235</v>
      </c>
      <c r="C96" s="3" t="s">
        <v>13</v>
      </c>
      <c r="D96" s="3" t="s">
        <v>1075</v>
      </c>
      <c r="E96" s="4">
        <v>0.82</v>
      </c>
      <c r="F96" s="44">
        <v>3.2</v>
      </c>
      <c r="G96" s="21">
        <v>200</v>
      </c>
      <c r="H96" s="30">
        <v>1.6</v>
      </c>
      <c r="I96" s="6">
        <f t="shared" si="7"/>
        <v>839.68000000000018</v>
      </c>
      <c r="J96" s="51" t="s">
        <v>1110</v>
      </c>
      <c r="K96" s="17">
        <f t="shared" si="6"/>
        <v>4</v>
      </c>
    </row>
    <row r="97" spans="1:11" ht="13.95" customHeight="1" x14ac:dyDescent="0.3">
      <c r="A97" s="3">
        <v>45753</v>
      </c>
      <c r="B97" s="19" t="s">
        <v>1235</v>
      </c>
      <c r="C97" s="3" t="s">
        <v>16</v>
      </c>
      <c r="D97" s="3" t="s">
        <v>757</v>
      </c>
      <c r="E97" s="4">
        <v>0.9</v>
      </c>
      <c r="F97" s="44">
        <v>3.5</v>
      </c>
      <c r="G97" s="21">
        <v>200</v>
      </c>
      <c r="H97" s="30">
        <v>1.6</v>
      </c>
      <c r="I97" s="6">
        <f t="shared" si="7"/>
        <v>1008</v>
      </c>
      <c r="J97" s="51" t="s">
        <v>1111</v>
      </c>
      <c r="K97" s="17">
        <f t="shared" si="6"/>
        <v>4</v>
      </c>
    </row>
    <row r="98" spans="1:11" ht="13.95" customHeight="1" x14ac:dyDescent="0.3">
      <c r="A98" s="3">
        <v>45754</v>
      </c>
      <c r="B98" s="19" t="s">
        <v>1235</v>
      </c>
      <c r="C98" s="3" t="s">
        <v>18</v>
      </c>
      <c r="D98" s="3" t="s">
        <v>1057</v>
      </c>
      <c r="E98" s="4">
        <v>0.65</v>
      </c>
      <c r="F98" s="44">
        <v>2.4500000000000002</v>
      </c>
      <c r="G98" s="21">
        <v>200</v>
      </c>
      <c r="H98" s="30">
        <v>1.6</v>
      </c>
      <c r="I98" s="6">
        <f t="shared" si="7"/>
        <v>509.6</v>
      </c>
      <c r="J98" s="51" t="s">
        <v>1069</v>
      </c>
      <c r="K98" s="17">
        <f t="shared" si="6"/>
        <v>4</v>
      </c>
    </row>
    <row r="99" spans="1:11" ht="13.95" customHeight="1" x14ac:dyDescent="0.3">
      <c r="A99" s="3">
        <v>45755</v>
      </c>
      <c r="B99" s="19" t="s">
        <v>1235</v>
      </c>
      <c r="C99" s="3" t="s">
        <v>20</v>
      </c>
      <c r="D99" s="3" t="s">
        <v>1057</v>
      </c>
      <c r="E99" s="4">
        <v>0.7</v>
      </c>
      <c r="F99" s="44">
        <v>2.4</v>
      </c>
      <c r="G99" s="21">
        <v>200</v>
      </c>
      <c r="H99" s="30">
        <v>1.6</v>
      </c>
      <c r="I99" s="6">
        <f t="shared" si="7"/>
        <v>537.6</v>
      </c>
      <c r="J99" s="51" t="s">
        <v>71</v>
      </c>
      <c r="K99" s="17">
        <f t="shared" si="6"/>
        <v>4</v>
      </c>
    </row>
    <row r="100" spans="1:11" ht="13.95" customHeight="1" x14ac:dyDescent="0.3">
      <c r="A100" s="3">
        <v>45756</v>
      </c>
      <c r="B100" s="19" t="s">
        <v>1235</v>
      </c>
      <c r="C100" s="3" t="s">
        <v>5</v>
      </c>
      <c r="D100" s="3" t="s">
        <v>1112</v>
      </c>
      <c r="E100" s="4">
        <v>0.75</v>
      </c>
      <c r="F100" s="44">
        <v>2.9</v>
      </c>
      <c r="G100" s="21">
        <v>200</v>
      </c>
      <c r="H100" s="30">
        <v>1.6</v>
      </c>
      <c r="I100" s="6">
        <f t="shared" si="7"/>
        <v>696</v>
      </c>
      <c r="J100" s="51" t="s">
        <v>1113</v>
      </c>
      <c r="K100" s="17">
        <f t="shared" si="6"/>
        <v>4</v>
      </c>
    </row>
    <row r="101" spans="1:11" ht="13.95" customHeight="1" x14ac:dyDescent="0.3">
      <c r="A101" s="3">
        <v>45757</v>
      </c>
      <c r="B101" s="19" t="s">
        <v>1235</v>
      </c>
      <c r="C101" s="3" t="s">
        <v>8</v>
      </c>
      <c r="D101" s="3" t="s">
        <v>1057</v>
      </c>
      <c r="E101" s="4">
        <v>0.72</v>
      </c>
      <c r="F101" s="44">
        <v>2.4500000000000002</v>
      </c>
      <c r="G101" s="21">
        <v>200</v>
      </c>
      <c r="H101" s="30">
        <v>1.6</v>
      </c>
      <c r="I101" s="6">
        <f t="shared" si="7"/>
        <v>564.48</v>
      </c>
      <c r="J101" s="51" t="s">
        <v>71</v>
      </c>
      <c r="K101" s="17">
        <f t="shared" si="6"/>
        <v>4</v>
      </c>
    </row>
    <row r="102" spans="1:11" ht="13.95" customHeight="1" x14ac:dyDescent="0.3">
      <c r="A102" s="3">
        <v>45758</v>
      </c>
      <c r="B102" s="19" t="s">
        <v>1235</v>
      </c>
      <c r="C102" s="3" t="s">
        <v>11</v>
      </c>
      <c r="D102" s="3" t="s">
        <v>44</v>
      </c>
      <c r="E102" s="4">
        <v>0.78</v>
      </c>
      <c r="F102" s="44">
        <v>2.8</v>
      </c>
      <c r="G102" s="21">
        <v>200</v>
      </c>
      <c r="H102" s="30">
        <v>1.6</v>
      </c>
      <c r="I102" s="6">
        <f t="shared" si="7"/>
        <v>698.88</v>
      </c>
      <c r="J102" s="51" t="s">
        <v>485</v>
      </c>
      <c r="K102" s="17">
        <f t="shared" si="6"/>
        <v>4</v>
      </c>
    </row>
    <row r="103" spans="1:11" ht="13.95" customHeight="1" x14ac:dyDescent="0.3">
      <c r="A103" s="3">
        <v>45759</v>
      </c>
      <c r="B103" s="19" t="s">
        <v>1235</v>
      </c>
      <c r="C103" s="3" t="s">
        <v>13</v>
      </c>
      <c r="D103" s="3" t="s">
        <v>1075</v>
      </c>
      <c r="E103" s="4">
        <v>0.85</v>
      </c>
      <c r="F103" s="44">
        <v>3.25</v>
      </c>
      <c r="G103" s="21">
        <v>200</v>
      </c>
      <c r="H103" s="30">
        <v>1.6</v>
      </c>
      <c r="I103" s="6">
        <f t="shared" si="7"/>
        <v>884</v>
      </c>
      <c r="J103" s="51" t="s">
        <v>1114</v>
      </c>
      <c r="K103" s="17">
        <f t="shared" si="6"/>
        <v>4</v>
      </c>
    </row>
    <row r="104" spans="1:11" ht="13.95" customHeight="1" x14ac:dyDescent="0.3">
      <c r="A104" s="3">
        <v>45760</v>
      </c>
      <c r="B104" s="19" t="s">
        <v>1235</v>
      </c>
      <c r="C104" s="3" t="s">
        <v>16</v>
      </c>
      <c r="D104" s="3" t="s">
        <v>757</v>
      </c>
      <c r="E104" s="4">
        <v>0.92</v>
      </c>
      <c r="F104" s="44">
        <v>3.55</v>
      </c>
      <c r="G104" s="21">
        <v>200</v>
      </c>
      <c r="H104" s="30">
        <v>1.6</v>
      </c>
      <c r="I104" s="6">
        <f t="shared" si="7"/>
        <v>1045.1199999999999</v>
      </c>
      <c r="J104" s="51" t="s">
        <v>1115</v>
      </c>
      <c r="K104" s="17">
        <f t="shared" si="6"/>
        <v>4</v>
      </c>
    </row>
    <row r="105" spans="1:11" ht="13.95" customHeight="1" x14ac:dyDescent="0.3">
      <c r="A105" s="3">
        <v>45761</v>
      </c>
      <c r="B105" s="19" t="s">
        <v>1235</v>
      </c>
      <c r="C105" s="3" t="s">
        <v>18</v>
      </c>
      <c r="D105" s="3" t="s">
        <v>1057</v>
      </c>
      <c r="E105" s="4">
        <v>0.68</v>
      </c>
      <c r="F105" s="44">
        <v>2.4500000000000002</v>
      </c>
      <c r="G105" s="21">
        <v>200</v>
      </c>
      <c r="H105" s="30">
        <v>1.6</v>
      </c>
      <c r="I105" s="6">
        <f t="shared" si="7"/>
        <v>533.12000000000012</v>
      </c>
      <c r="J105" s="51" t="s">
        <v>71</v>
      </c>
      <c r="K105" s="17">
        <f t="shared" si="6"/>
        <v>4</v>
      </c>
    </row>
    <row r="106" spans="1:11" ht="13.95" customHeight="1" x14ac:dyDescent="0.3">
      <c r="A106" s="3">
        <v>45762</v>
      </c>
      <c r="B106" s="19" t="s">
        <v>1235</v>
      </c>
      <c r="C106" s="3" t="s">
        <v>20</v>
      </c>
      <c r="D106" s="3" t="s">
        <v>1057</v>
      </c>
      <c r="E106" s="4">
        <v>0.7</v>
      </c>
      <c r="F106" s="44">
        <v>2.4</v>
      </c>
      <c r="G106" s="21">
        <v>200</v>
      </c>
      <c r="H106" s="30">
        <v>1.6</v>
      </c>
      <c r="I106" s="6">
        <f t="shared" si="7"/>
        <v>537.6</v>
      </c>
      <c r="J106" s="51" t="s">
        <v>71</v>
      </c>
      <c r="K106" s="17">
        <f t="shared" si="6"/>
        <v>4</v>
      </c>
    </row>
    <row r="107" spans="1:11" ht="13.95" customHeight="1" x14ac:dyDescent="0.3">
      <c r="A107" s="3">
        <v>45763</v>
      </c>
      <c r="B107" s="19" t="s">
        <v>1235</v>
      </c>
      <c r="C107" s="3" t="s">
        <v>5</v>
      </c>
      <c r="D107" s="3" t="s">
        <v>1057</v>
      </c>
      <c r="E107" s="4">
        <v>0.75</v>
      </c>
      <c r="F107" s="44">
        <v>2.5</v>
      </c>
      <c r="G107" s="21">
        <v>200</v>
      </c>
      <c r="H107" s="30">
        <v>1.6</v>
      </c>
      <c r="I107" s="6">
        <f t="shared" si="7"/>
        <v>600</v>
      </c>
      <c r="J107" s="51" t="s">
        <v>1116</v>
      </c>
      <c r="K107" s="17">
        <f t="shared" si="6"/>
        <v>4</v>
      </c>
    </row>
    <row r="108" spans="1:11" ht="13.95" customHeight="1" x14ac:dyDescent="0.3">
      <c r="A108" s="3">
        <v>45764</v>
      </c>
      <c r="B108" s="19" t="s">
        <v>1235</v>
      </c>
      <c r="C108" s="3" t="s">
        <v>8</v>
      </c>
      <c r="D108" s="3" t="s">
        <v>1057</v>
      </c>
      <c r="E108" s="4">
        <v>0.78</v>
      </c>
      <c r="F108" s="44">
        <v>2.5499999999999998</v>
      </c>
      <c r="G108" s="21">
        <v>200</v>
      </c>
      <c r="H108" s="30">
        <v>1.6</v>
      </c>
      <c r="I108" s="6">
        <f t="shared" si="7"/>
        <v>636.48</v>
      </c>
      <c r="J108" s="51" t="s">
        <v>1117</v>
      </c>
      <c r="K108" s="17">
        <f t="shared" si="6"/>
        <v>4</v>
      </c>
    </row>
    <row r="109" spans="1:11" ht="13.95" customHeight="1" x14ac:dyDescent="0.3">
      <c r="A109" s="3">
        <v>45765</v>
      </c>
      <c r="B109" s="19" t="s">
        <v>1235</v>
      </c>
      <c r="C109" s="3" t="s">
        <v>11</v>
      </c>
      <c r="D109" s="3" t="s">
        <v>1118</v>
      </c>
      <c r="E109" s="4">
        <v>0.85</v>
      </c>
      <c r="F109" s="44">
        <v>2.9</v>
      </c>
      <c r="G109" s="21">
        <v>200</v>
      </c>
      <c r="H109" s="30">
        <v>1.6</v>
      </c>
      <c r="I109" s="6">
        <f t="shared" si="7"/>
        <v>788.80000000000007</v>
      </c>
      <c r="J109" s="51" t="s">
        <v>1119</v>
      </c>
      <c r="K109" s="17">
        <f t="shared" si="6"/>
        <v>4</v>
      </c>
    </row>
    <row r="110" spans="1:11" ht="13.95" customHeight="1" x14ac:dyDescent="0.3">
      <c r="A110" s="3">
        <v>45766</v>
      </c>
      <c r="B110" s="19" t="s">
        <v>1235</v>
      </c>
      <c r="C110" s="3" t="s">
        <v>13</v>
      </c>
      <c r="D110" s="3" t="s">
        <v>1120</v>
      </c>
      <c r="E110" s="4">
        <v>0.92</v>
      </c>
      <c r="F110" s="44">
        <v>3.5</v>
      </c>
      <c r="G110" s="21">
        <v>200</v>
      </c>
      <c r="H110" s="30">
        <v>1.6</v>
      </c>
      <c r="I110" s="6">
        <f t="shared" si="7"/>
        <v>1030.4000000000001</v>
      </c>
      <c r="J110" s="51" t="s">
        <v>1121</v>
      </c>
      <c r="K110" s="17">
        <f t="shared" si="6"/>
        <v>4</v>
      </c>
    </row>
    <row r="111" spans="1:11" ht="13.95" customHeight="1" x14ac:dyDescent="0.3">
      <c r="A111" s="3">
        <v>45767</v>
      </c>
      <c r="B111" s="19" t="s">
        <v>1235</v>
      </c>
      <c r="C111" s="3" t="s">
        <v>16</v>
      </c>
      <c r="D111" s="3" t="s">
        <v>905</v>
      </c>
      <c r="E111" s="4">
        <v>0.98</v>
      </c>
      <c r="F111" s="44">
        <v>4.5</v>
      </c>
      <c r="G111" s="21">
        <v>200</v>
      </c>
      <c r="H111" s="30">
        <v>1.6</v>
      </c>
      <c r="I111" s="6">
        <f t="shared" si="7"/>
        <v>1411.2</v>
      </c>
      <c r="J111" s="51" t="s">
        <v>1122</v>
      </c>
      <c r="K111" s="17">
        <f t="shared" si="6"/>
        <v>4</v>
      </c>
    </row>
    <row r="112" spans="1:11" ht="13.95" customHeight="1" x14ac:dyDescent="0.3">
      <c r="A112" s="3">
        <v>45768</v>
      </c>
      <c r="B112" s="19" t="s">
        <v>1235</v>
      </c>
      <c r="C112" s="3" t="s">
        <v>18</v>
      </c>
      <c r="D112" s="3" t="s">
        <v>1052</v>
      </c>
      <c r="E112" s="4">
        <v>0.75</v>
      </c>
      <c r="F112" s="44">
        <v>2.6</v>
      </c>
      <c r="G112" s="21">
        <v>200</v>
      </c>
      <c r="H112" s="30">
        <v>1.6</v>
      </c>
      <c r="I112" s="6">
        <f t="shared" si="7"/>
        <v>624</v>
      </c>
      <c r="J112" s="51" t="s">
        <v>536</v>
      </c>
      <c r="K112" s="17">
        <f t="shared" si="6"/>
        <v>4</v>
      </c>
    </row>
    <row r="113" spans="1:11" ht="13.95" customHeight="1" x14ac:dyDescent="0.3">
      <c r="A113" s="3">
        <v>45769</v>
      </c>
      <c r="B113" s="19" t="s">
        <v>1235</v>
      </c>
      <c r="C113" s="3" t="s">
        <v>20</v>
      </c>
      <c r="D113" s="3" t="s">
        <v>1057</v>
      </c>
      <c r="E113" s="4">
        <v>0.7</v>
      </c>
      <c r="F113" s="44">
        <v>2.4500000000000002</v>
      </c>
      <c r="G113" s="21">
        <v>200</v>
      </c>
      <c r="H113" s="30">
        <v>1.6</v>
      </c>
      <c r="I113" s="6">
        <f t="shared" si="7"/>
        <v>548.80000000000007</v>
      </c>
      <c r="J113" s="51" t="s">
        <v>1123</v>
      </c>
      <c r="K113" s="17">
        <f t="shared" si="6"/>
        <v>4</v>
      </c>
    </row>
    <row r="114" spans="1:11" ht="13.95" customHeight="1" x14ac:dyDescent="0.3">
      <c r="A114" s="3">
        <v>45770</v>
      </c>
      <c r="B114" s="19" t="s">
        <v>1235</v>
      </c>
      <c r="C114" s="3" t="s">
        <v>5</v>
      </c>
      <c r="D114" s="3" t="s">
        <v>1057</v>
      </c>
      <c r="E114" s="4">
        <v>0.75</v>
      </c>
      <c r="F114" s="44">
        <v>2.4</v>
      </c>
      <c r="G114" s="21">
        <v>200</v>
      </c>
      <c r="H114" s="30">
        <v>1.6</v>
      </c>
      <c r="I114" s="6">
        <f t="shared" si="7"/>
        <v>576</v>
      </c>
      <c r="J114" s="51" t="s">
        <v>71</v>
      </c>
      <c r="K114" s="17">
        <f t="shared" si="6"/>
        <v>4</v>
      </c>
    </row>
    <row r="115" spans="1:11" ht="13.95" customHeight="1" x14ac:dyDescent="0.3">
      <c r="A115" s="3">
        <v>45771</v>
      </c>
      <c r="B115" s="19" t="s">
        <v>1235</v>
      </c>
      <c r="C115" s="3" t="s">
        <v>8</v>
      </c>
      <c r="D115" s="3" t="s">
        <v>1057</v>
      </c>
      <c r="E115" s="4">
        <v>0.78</v>
      </c>
      <c r="F115" s="44">
        <v>2.4500000000000002</v>
      </c>
      <c r="G115" s="21">
        <v>200</v>
      </c>
      <c r="H115" s="30">
        <v>1.6</v>
      </c>
      <c r="I115" s="6">
        <f t="shared" si="7"/>
        <v>611.5200000000001</v>
      </c>
      <c r="J115" s="51" t="s">
        <v>71</v>
      </c>
      <c r="K115" s="17">
        <f t="shared" si="6"/>
        <v>4</v>
      </c>
    </row>
    <row r="116" spans="1:11" ht="13.95" customHeight="1" x14ac:dyDescent="0.3">
      <c r="A116" s="3">
        <v>45772</v>
      </c>
      <c r="B116" s="19" t="s">
        <v>1235</v>
      </c>
      <c r="C116" s="3" t="s">
        <v>11</v>
      </c>
      <c r="D116" s="3" t="s">
        <v>44</v>
      </c>
      <c r="E116" s="4">
        <v>0.8</v>
      </c>
      <c r="F116" s="44">
        <v>2.8</v>
      </c>
      <c r="G116" s="21">
        <v>200</v>
      </c>
      <c r="H116" s="30">
        <v>1.6</v>
      </c>
      <c r="I116" s="6">
        <f t="shared" si="7"/>
        <v>716.80000000000007</v>
      </c>
      <c r="J116" s="51" t="s">
        <v>1124</v>
      </c>
      <c r="K116" s="17">
        <f t="shared" si="6"/>
        <v>4</v>
      </c>
    </row>
    <row r="117" spans="1:11" ht="13.95" customHeight="1" x14ac:dyDescent="0.3">
      <c r="A117" s="3">
        <v>45773</v>
      </c>
      <c r="B117" s="19" t="s">
        <v>1235</v>
      </c>
      <c r="C117" s="3" t="s">
        <v>13</v>
      </c>
      <c r="D117" s="3" t="s">
        <v>1075</v>
      </c>
      <c r="E117" s="4">
        <v>0.85</v>
      </c>
      <c r="F117" s="44">
        <v>3.25</v>
      </c>
      <c r="G117" s="21">
        <v>200</v>
      </c>
      <c r="H117" s="30">
        <v>1.6</v>
      </c>
      <c r="I117" s="6">
        <f t="shared" si="7"/>
        <v>884</v>
      </c>
      <c r="J117" s="51" t="s">
        <v>1125</v>
      </c>
      <c r="K117" s="17">
        <f t="shared" si="6"/>
        <v>4</v>
      </c>
    </row>
    <row r="118" spans="1:11" ht="13.95" customHeight="1" x14ac:dyDescent="0.3">
      <c r="A118" s="3">
        <v>45774</v>
      </c>
      <c r="B118" s="19" t="s">
        <v>1235</v>
      </c>
      <c r="C118" s="3" t="s">
        <v>16</v>
      </c>
      <c r="D118" s="3" t="s">
        <v>757</v>
      </c>
      <c r="E118" s="4">
        <v>0.92</v>
      </c>
      <c r="F118" s="44">
        <v>3.5</v>
      </c>
      <c r="G118" s="21">
        <v>200</v>
      </c>
      <c r="H118" s="30">
        <v>1.6</v>
      </c>
      <c r="I118" s="6">
        <f t="shared" si="7"/>
        <v>1030.4000000000001</v>
      </c>
      <c r="J118" s="51" t="s">
        <v>1080</v>
      </c>
      <c r="K118" s="17">
        <f t="shared" si="6"/>
        <v>4</v>
      </c>
    </row>
    <row r="119" spans="1:11" ht="13.95" customHeight="1" x14ac:dyDescent="0.3">
      <c r="A119" s="3">
        <v>45775</v>
      </c>
      <c r="B119" s="19" t="s">
        <v>1235</v>
      </c>
      <c r="C119" s="3" t="s">
        <v>18</v>
      </c>
      <c r="D119" s="3" t="s">
        <v>1057</v>
      </c>
      <c r="E119" s="4">
        <v>0.68</v>
      </c>
      <c r="F119" s="44">
        <v>2.4500000000000002</v>
      </c>
      <c r="G119" s="21">
        <v>200</v>
      </c>
      <c r="H119" s="30">
        <v>1.6</v>
      </c>
      <c r="I119" s="6">
        <f t="shared" si="7"/>
        <v>533.12000000000012</v>
      </c>
      <c r="J119" s="51" t="s">
        <v>99</v>
      </c>
      <c r="K119" s="17">
        <f t="shared" si="6"/>
        <v>4</v>
      </c>
    </row>
    <row r="120" spans="1:11" ht="13.95" customHeight="1" x14ac:dyDescent="0.3">
      <c r="A120" s="3">
        <v>45776</v>
      </c>
      <c r="B120" s="19" t="s">
        <v>1235</v>
      </c>
      <c r="C120" s="3" t="s">
        <v>20</v>
      </c>
      <c r="D120" s="3" t="s">
        <v>1057</v>
      </c>
      <c r="E120" s="4">
        <v>0.72</v>
      </c>
      <c r="F120" s="44">
        <v>2.4500000000000002</v>
      </c>
      <c r="G120" s="21">
        <v>200</v>
      </c>
      <c r="H120" s="30">
        <v>1.6</v>
      </c>
      <c r="I120" s="6">
        <f t="shared" si="7"/>
        <v>564.48</v>
      </c>
      <c r="J120" s="51" t="s">
        <v>71</v>
      </c>
      <c r="K120" s="17">
        <f t="shared" si="6"/>
        <v>4</v>
      </c>
    </row>
    <row r="121" spans="1:11" ht="13.95" customHeight="1" x14ac:dyDescent="0.3">
      <c r="A121" s="3">
        <v>45777</v>
      </c>
      <c r="B121" s="19" t="s">
        <v>1235</v>
      </c>
      <c r="C121" s="3" t="s">
        <v>5</v>
      </c>
      <c r="D121" s="3" t="s">
        <v>1126</v>
      </c>
      <c r="E121" s="4">
        <v>0.8</v>
      </c>
      <c r="F121" s="44">
        <v>2.7</v>
      </c>
      <c r="G121" s="21">
        <v>200</v>
      </c>
      <c r="H121" s="30">
        <v>1.6</v>
      </c>
      <c r="I121" s="6">
        <f t="shared" si="7"/>
        <v>691.2</v>
      </c>
      <c r="J121" s="51" t="s">
        <v>1127</v>
      </c>
      <c r="K121" s="17">
        <f t="shared" si="6"/>
        <v>4</v>
      </c>
    </row>
    <row r="122" spans="1:11" ht="13.95" customHeight="1" x14ac:dyDescent="0.3">
      <c r="A122" s="3">
        <v>45778</v>
      </c>
      <c r="B122" s="19" t="s">
        <v>1235</v>
      </c>
      <c r="C122" s="3" t="s">
        <v>8</v>
      </c>
      <c r="D122" s="3" t="s">
        <v>742</v>
      </c>
      <c r="E122" s="4">
        <v>0.85</v>
      </c>
      <c r="F122" s="44">
        <v>3.1</v>
      </c>
      <c r="G122" s="21">
        <v>200</v>
      </c>
      <c r="H122" s="30">
        <v>1.6</v>
      </c>
      <c r="I122" s="6">
        <f t="shared" si="7"/>
        <v>843.2</v>
      </c>
      <c r="J122" s="51" t="s">
        <v>1128</v>
      </c>
      <c r="K122" s="17">
        <f t="shared" si="6"/>
        <v>5</v>
      </c>
    </row>
    <row r="123" spans="1:11" ht="13.95" customHeight="1" x14ac:dyDescent="0.3">
      <c r="A123" s="3">
        <v>45779</v>
      </c>
      <c r="B123" s="19" t="s">
        <v>1235</v>
      </c>
      <c r="C123" s="3" t="s">
        <v>11</v>
      </c>
      <c r="D123" s="3" t="s">
        <v>44</v>
      </c>
      <c r="E123" s="4">
        <v>0.75</v>
      </c>
      <c r="F123" s="44">
        <v>2.75</v>
      </c>
      <c r="G123" s="21">
        <v>200</v>
      </c>
      <c r="H123" s="30">
        <v>1.6</v>
      </c>
      <c r="I123" s="6">
        <f t="shared" si="7"/>
        <v>660</v>
      </c>
      <c r="J123" s="51" t="s">
        <v>1129</v>
      </c>
      <c r="K123" s="17">
        <f t="shared" si="6"/>
        <v>5</v>
      </c>
    </row>
    <row r="124" spans="1:11" ht="13.95" customHeight="1" x14ac:dyDescent="0.3">
      <c r="A124" s="3">
        <v>45780</v>
      </c>
      <c r="B124" s="19" t="s">
        <v>1235</v>
      </c>
      <c r="C124" s="3" t="s">
        <v>13</v>
      </c>
      <c r="D124" s="3" t="s">
        <v>1075</v>
      </c>
      <c r="E124" s="4">
        <v>0.82</v>
      </c>
      <c r="F124" s="44">
        <v>3.3</v>
      </c>
      <c r="G124" s="21">
        <v>200</v>
      </c>
      <c r="H124" s="30">
        <v>1.6</v>
      </c>
      <c r="I124" s="6">
        <f t="shared" si="7"/>
        <v>865.92</v>
      </c>
      <c r="J124" s="51" t="s">
        <v>1130</v>
      </c>
      <c r="K124" s="17">
        <f t="shared" si="6"/>
        <v>5</v>
      </c>
    </row>
    <row r="125" spans="1:11" ht="13.95" customHeight="1" x14ac:dyDescent="0.3">
      <c r="A125" s="3">
        <v>45781</v>
      </c>
      <c r="B125" s="19" t="s">
        <v>1235</v>
      </c>
      <c r="C125" s="3" t="s">
        <v>16</v>
      </c>
      <c r="D125" s="3" t="s">
        <v>757</v>
      </c>
      <c r="E125" s="4">
        <v>0.92</v>
      </c>
      <c r="F125" s="44">
        <v>3.55</v>
      </c>
      <c r="G125" s="21">
        <v>200</v>
      </c>
      <c r="H125" s="30">
        <v>1.6</v>
      </c>
      <c r="I125" s="6">
        <f t="shared" si="7"/>
        <v>1045.1199999999999</v>
      </c>
      <c r="J125" s="51" t="s">
        <v>1131</v>
      </c>
      <c r="K125" s="17">
        <f t="shared" si="6"/>
        <v>5</v>
      </c>
    </row>
    <row r="126" spans="1:11" ht="13.95" customHeight="1" x14ac:dyDescent="0.3">
      <c r="A126" s="3">
        <v>45782</v>
      </c>
      <c r="B126" s="19" t="s">
        <v>1235</v>
      </c>
      <c r="C126" s="3" t="s">
        <v>18</v>
      </c>
      <c r="D126" s="3" t="s">
        <v>1057</v>
      </c>
      <c r="E126" s="4">
        <v>0.68</v>
      </c>
      <c r="F126" s="44">
        <v>2.4500000000000002</v>
      </c>
      <c r="G126" s="21">
        <v>200</v>
      </c>
      <c r="H126" s="30">
        <v>1.6</v>
      </c>
      <c r="I126" s="6">
        <f t="shared" si="7"/>
        <v>533.12000000000012</v>
      </c>
      <c r="J126" s="51" t="s">
        <v>1132</v>
      </c>
      <c r="K126" s="17">
        <f t="shared" si="6"/>
        <v>5</v>
      </c>
    </row>
    <row r="127" spans="1:11" ht="13.95" customHeight="1" x14ac:dyDescent="0.3">
      <c r="A127" s="3">
        <v>45783</v>
      </c>
      <c r="B127" s="19" t="s">
        <v>1235</v>
      </c>
      <c r="C127" s="3" t="s">
        <v>20</v>
      </c>
      <c r="D127" s="3" t="s">
        <v>1057</v>
      </c>
      <c r="E127" s="4">
        <v>0.72</v>
      </c>
      <c r="F127" s="44">
        <v>2.4</v>
      </c>
      <c r="G127" s="21">
        <v>200</v>
      </c>
      <c r="H127" s="30">
        <v>1.6</v>
      </c>
      <c r="I127" s="6">
        <f t="shared" si="7"/>
        <v>552.95999999999992</v>
      </c>
      <c r="J127" s="51" t="s">
        <v>71</v>
      </c>
      <c r="K127" s="17">
        <f t="shared" si="6"/>
        <v>5</v>
      </c>
    </row>
    <row r="128" spans="1:11" ht="13.95" customHeight="1" x14ac:dyDescent="0.3">
      <c r="A128" s="3">
        <v>45784</v>
      </c>
      <c r="B128" s="19" t="s">
        <v>1235</v>
      </c>
      <c r="C128" s="3" t="s">
        <v>5</v>
      </c>
      <c r="D128" s="3" t="s">
        <v>1057</v>
      </c>
      <c r="E128" s="4">
        <v>0.7</v>
      </c>
      <c r="F128" s="44">
        <v>2.4</v>
      </c>
      <c r="G128" s="21">
        <v>200</v>
      </c>
      <c r="H128" s="30">
        <v>1.6</v>
      </c>
      <c r="I128" s="6">
        <f t="shared" si="7"/>
        <v>537.6</v>
      </c>
      <c r="J128" s="51" t="s">
        <v>71</v>
      </c>
      <c r="K128" s="17">
        <f t="shared" si="6"/>
        <v>5</v>
      </c>
    </row>
    <row r="129" spans="1:11" ht="13.95" customHeight="1" x14ac:dyDescent="0.3">
      <c r="A129" s="3">
        <v>45785</v>
      </c>
      <c r="B129" s="19" t="s">
        <v>1235</v>
      </c>
      <c r="C129" s="3" t="s">
        <v>8</v>
      </c>
      <c r="D129" s="3" t="s">
        <v>1057</v>
      </c>
      <c r="E129" s="4">
        <v>0.75</v>
      </c>
      <c r="F129" s="44">
        <v>2.5</v>
      </c>
      <c r="G129" s="21">
        <v>200</v>
      </c>
      <c r="H129" s="30">
        <v>1.6</v>
      </c>
      <c r="I129" s="6">
        <f t="shared" si="7"/>
        <v>600</v>
      </c>
      <c r="J129" s="51" t="s">
        <v>71</v>
      </c>
      <c r="K129" s="17">
        <f t="shared" si="6"/>
        <v>5</v>
      </c>
    </row>
    <row r="130" spans="1:11" ht="13.95" customHeight="1" x14ac:dyDescent="0.3">
      <c r="A130" s="3">
        <v>45786</v>
      </c>
      <c r="B130" s="19" t="s">
        <v>1235</v>
      </c>
      <c r="C130" s="3" t="s">
        <v>11</v>
      </c>
      <c r="D130" s="3" t="s">
        <v>44</v>
      </c>
      <c r="E130" s="4">
        <v>0.78</v>
      </c>
      <c r="F130" s="44">
        <v>2.8</v>
      </c>
      <c r="G130" s="21">
        <v>200</v>
      </c>
      <c r="H130" s="30">
        <v>1.6</v>
      </c>
      <c r="I130" s="6">
        <f t="shared" si="7"/>
        <v>698.88</v>
      </c>
      <c r="J130" s="51" t="s">
        <v>1124</v>
      </c>
      <c r="K130" s="17">
        <f t="shared" si="6"/>
        <v>5</v>
      </c>
    </row>
    <row r="131" spans="1:11" ht="13.95" customHeight="1" x14ac:dyDescent="0.3">
      <c r="A131" s="3">
        <v>45787</v>
      </c>
      <c r="B131" s="19" t="s">
        <v>1235</v>
      </c>
      <c r="C131" s="3" t="s">
        <v>13</v>
      </c>
      <c r="D131" s="3" t="s">
        <v>1075</v>
      </c>
      <c r="E131" s="4">
        <v>0.85</v>
      </c>
      <c r="F131" s="44">
        <v>3.3</v>
      </c>
      <c r="G131" s="21">
        <v>200</v>
      </c>
      <c r="H131" s="30">
        <v>1.6</v>
      </c>
      <c r="I131" s="6">
        <f t="shared" si="7"/>
        <v>897.6</v>
      </c>
      <c r="J131" s="51" t="s">
        <v>1133</v>
      </c>
      <c r="K131" s="17">
        <f t="shared" ref="K131:K194" si="8">MONTH(A131)</f>
        <v>5</v>
      </c>
    </row>
    <row r="132" spans="1:11" ht="13.95" customHeight="1" x14ac:dyDescent="0.3">
      <c r="A132" s="3">
        <v>45788</v>
      </c>
      <c r="B132" s="19" t="s">
        <v>1235</v>
      </c>
      <c r="C132" s="3" t="s">
        <v>16</v>
      </c>
      <c r="D132" s="3" t="s">
        <v>757</v>
      </c>
      <c r="E132" s="4">
        <v>0.9</v>
      </c>
      <c r="F132" s="44">
        <v>3.5</v>
      </c>
      <c r="G132" s="21">
        <v>200</v>
      </c>
      <c r="H132" s="30">
        <v>1.6</v>
      </c>
      <c r="I132" s="6">
        <f t="shared" si="7"/>
        <v>1008</v>
      </c>
      <c r="J132" s="51" t="s">
        <v>159</v>
      </c>
      <c r="K132" s="17">
        <f t="shared" si="8"/>
        <v>5</v>
      </c>
    </row>
    <row r="133" spans="1:11" ht="13.95" customHeight="1" x14ac:dyDescent="0.3">
      <c r="A133" s="3">
        <v>45789</v>
      </c>
      <c r="B133" s="19" t="s">
        <v>1235</v>
      </c>
      <c r="C133" s="3" t="s">
        <v>18</v>
      </c>
      <c r="D133" s="3" t="s">
        <v>1057</v>
      </c>
      <c r="E133" s="4">
        <v>0.7</v>
      </c>
      <c r="F133" s="44">
        <v>2.4500000000000002</v>
      </c>
      <c r="G133" s="21">
        <v>200</v>
      </c>
      <c r="H133" s="30">
        <v>1.6</v>
      </c>
      <c r="I133" s="6">
        <f t="shared" si="7"/>
        <v>548.80000000000007</v>
      </c>
      <c r="J133" s="51" t="s">
        <v>730</v>
      </c>
      <c r="K133" s="17">
        <f t="shared" si="8"/>
        <v>5</v>
      </c>
    </row>
    <row r="134" spans="1:11" ht="13.95" customHeight="1" x14ac:dyDescent="0.3">
      <c r="A134" s="3">
        <v>45790</v>
      </c>
      <c r="B134" s="19" t="s">
        <v>1235</v>
      </c>
      <c r="C134" s="3" t="s">
        <v>20</v>
      </c>
      <c r="D134" s="3" t="s">
        <v>1057</v>
      </c>
      <c r="E134" s="4">
        <v>0.75</v>
      </c>
      <c r="F134" s="44">
        <v>2.4</v>
      </c>
      <c r="G134" s="21">
        <v>200</v>
      </c>
      <c r="H134" s="30">
        <v>1.6</v>
      </c>
      <c r="I134" s="6">
        <f t="shared" si="7"/>
        <v>576</v>
      </c>
      <c r="J134" s="51" t="s">
        <v>71</v>
      </c>
      <c r="K134" s="17">
        <f t="shared" si="8"/>
        <v>5</v>
      </c>
    </row>
    <row r="135" spans="1:11" ht="13.95" customHeight="1" x14ac:dyDescent="0.3">
      <c r="A135" s="3">
        <v>45791</v>
      </c>
      <c r="B135" s="19" t="s">
        <v>1235</v>
      </c>
      <c r="C135" s="3" t="s">
        <v>5</v>
      </c>
      <c r="D135" s="3" t="s">
        <v>1057</v>
      </c>
      <c r="E135" s="4">
        <v>0.72</v>
      </c>
      <c r="F135" s="44">
        <v>2.4</v>
      </c>
      <c r="G135" s="21">
        <v>200</v>
      </c>
      <c r="H135" s="30">
        <v>1.6</v>
      </c>
      <c r="I135" s="6">
        <f t="shared" si="7"/>
        <v>552.95999999999992</v>
      </c>
      <c r="J135" s="51" t="s">
        <v>71</v>
      </c>
      <c r="K135" s="17">
        <f t="shared" si="8"/>
        <v>5</v>
      </c>
    </row>
    <row r="136" spans="1:11" ht="13.95" customHeight="1" x14ac:dyDescent="0.3">
      <c r="A136" s="3">
        <v>45792</v>
      </c>
      <c r="B136" s="19" t="s">
        <v>1235</v>
      </c>
      <c r="C136" s="3" t="s">
        <v>8</v>
      </c>
      <c r="D136" s="3" t="s">
        <v>1057</v>
      </c>
      <c r="E136" s="4">
        <v>0.75</v>
      </c>
      <c r="F136" s="44">
        <v>2.5</v>
      </c>
      <c r="G136" s="21">
        <v>200</v>
      </c>
      <c r="H136" s="30">
        <v>1.6</v>
      </c>
      <c r="I136" s="6">
        <f t="shared" si="7"/>
        <v>600</v>
      </c>
      <c r="J136" s="51" t="s">
        <v>71</v>
      </c>
      <c r="K136" s="17">
        <f t="shared" si="8"/>
        <v>5</v>
      </c>
    </row>
    <row r="137" spans="1:11" ht="13.95" customHeight="1" x14ac:dyDescent="0.3">
      <c r="A137" s="3">
        <v>45793</v>
      </c>
      <c r="B137" s="19" t="s">
        <v>1235</v>
      </c>
      <c r="C137" s="3" t="s">
        <v>11</v>
      </c>
      <c r="D137" s="3" t="s">
        <v>44</v>
      </c>
      <c r="E137" s="4">
        <v>0.8</v>
      </c>
      <c r="F137" s="44">
        <v>2.85</v>
      </c>
      <c r="G137" s="21">
        <v>200</v>
      </c>
      <c r="H137" s="30">
        <v>1.6</v>
      </c>
      <c r="I137" s="6">
        <f t="shared" si="7"/>
        <v>729.6</v>
      </c>
      <c r="J137" s="51" t="s">
        <v>485</v>
      </c>
      <c r="K137" s="17">
        <f t="shared" si="8"/>
        <v>5</v>
      </c>
    </row>
    <row r="138" spans="1:11" ht="13.95" customHeight="1" x14ac:dyDescent="0.3">
      <c r="A138" s="3">
        <v>45794</v>
      </c>
      <c r="B138" s="19" t="s">
        <v>1235</v>
      </c>
      <c r="C138" s="3" t="s">
        <v>13</v>
      </c>
      <c r="D138" s="3" t="s">
        <v>1075</v>
      </c>
      <c r="E138" s="4">
        <v>0.88</v>
      </c>
      <c r="F138" s="44">
        <v>3.4</v>
      </c>
      <c r="G138" s="21">
        <v>200</v>
      </c>
      <c r="H138" s="30">
        <v>1.6</v>
      </c>
      <c r="I138" s="6">
        <f t="shared" si="7"/>
        <v>957.44</v>
      </c>
      <c r="J138" s="51" t="s">
        <v>1008</v>
      </c>
      <c r="K138" s="17">
        <f t="shared" si="8"/>
        <v>5</v>
      </c>
    </row>
    <row r="139" spans="1:11" ht="13.95" customHeight="1" x14ac:dyDescent="0.3">
      <c r="A139" s="3">
        <v>45795</v>
      </c>
      <c r="B139" s="19" t="s">
        <v>1235</v>
      </c>
      <c r="C139" s="3" t="s">
        <v>16</v>
      </c>
      <c r="D139" s="3" t="s">
        <v>757</v>
      </c>
      <c r="E139" s="4">
        <v>0.94</v>
      </c>
      <c r="F139" s="44">
        <v>3.55</v>
      </c>
      <c r="G139" s="21">
        <v>200</v>
      </c>
      <c r="H139" s="30">
        <v>1.6</v>
      </c>
      <c r="I139" s="6">
        <f t="shared" si="7"/>
        <v>1067.8399999999999</v>
      </c>
      <c r="J139" s="51" t="s">
        <v>1134</v>
      </c>
      <c r="K139" s="17">
        <f t="shared" si="8"/>
        <v>5</v>
      </c>
    </row>
    <row r="140" spans="1:11" ht="13.95" customHeight="1" x14ac:dyDescent="0.3">
      <c r="A140" s="3">
        <v>45796</v>
      </c>
      <c r="B140" s="19" t="s">
        <v>1235</v>
      </c>
      <c r="C140" s="3" t="s">
        <v>18</v>
      </c>
      <c r="D140" s="3" t="s">
        <v>1057</v>
      </c>
      <c r="E140" s="4">
        <v>0.65</v>
      </c>
      <c r="F140" s="44">
        <v>2.4500000000000002</v>
      </c>
      <c r="G140" s="21">
        <v>200</v>
      </c>
      <c r="H140" s="30">
        <v>1.6</v>
      </c>
      <c r="I140" s="6">
        <f t="shared" si="7"/>
        <v>509.6</v>
      </c>
      <c r="J140" s="51" t="s">
        <v>150</v>
      </c>
      <c r="K140" s="17">
        <f t="shared" si="8"/>
        <v>5</v>
      </c>
    </row>
    <row r="141" spans="1:11" ht="13.95" customHeight="1" x14ac:dyDescent="0.3">
      <c r="A141" s="3">
        <v>45797</v>
      </c>
      <c r="B141" s="19" t="s">
        <v>1235</v>
      </c>
      <c r="C141" s="3" t="s">
        <v>20</v>
      </c>
      <c r="D141" s="3" t="s">
        <v>1057</v>
      </c>
      <c r="E141" s="4">
        <v>0.7</v>
      </c>
      <c r="F141" s="44">
        <v>2.4</v>
      </c>
      <c r="G141" s="21">
        <v>200</v>
      </c>
      <c r="H141" s="30">
        <v>1.6</v>
      </c>
      <c r="I141" s="6">
        <f t="shared" si="7"/>
        <v>537.6</v>
      </c>
      <c r="J141" s="51" t="s">
        <v>71</v>
      </c>
      <c r="K141" s="17">
        <f t="shared" si="8"/>
        <v>5</v>
      </c>
    </row>
    <row r="142" spans="1:11" ht="13.95" customHeight="1" x14ac:dyDescent="0.3">
      <c r="A142" s="3">
        <v>45798</v>
      </c>
      <c r="B142" s="19" t="s">
        <v>1235</v>
      </c>
      <c r="C142" s="3" t="s">
        <v>5</v>
      </c>
      <c r="D142" s="3" t="s">
        <v>1057</v>
      </c>
      <c r="E142" s="4">
        <v>0.72</v>
      </c>
      <c r="F142" s="44">
        <v>2.4500000000000002</v>
      </c>
      <c r="G142" s="21">
        <v>200</v>
      </c>
      <c r="H142" s="30">
        <v>1.6</v>
      </c>
      <c r="I142" s="6">
        <f t="shared" si="7"/>
        <v>564.48</v>
      </c>
      <c r="J142" s="51" t="s">
        <v>71</v>
      </c>
      <c r="K142" s="17">
        <f t="shared" si="8"/>
        <v>5</v>
      </c>
    </row>
    <row r="143" spans="1:11" ht="13.95" customHeight="1" x14ac:dyDescent="0.3">
      <c r="A143" s="3">
        <v>45799</v>
      </c>
      <c r="B143" s="19" t="s">
        <v>1235</v>
      </c>
      <c r="C143" s="3" t="s">
        <v>8</v>
      </c>
      <c r="D143" s="3" t="s">
        <v>1057</v>
      </c>
      <c r="E143" s="4">
        <v>0.75</v>
      </c>
      <c r="F143" s="44">
        <v>2.5</v>
      </c>
      <c r="G143" s="21">
        <v>200</v>
      </c>
      <c r="H143" s="30">
        <v>1.6</v>
      </c>
      <c r="I143" s="6">
        <f t="shared" si="7"/>
        <v>600</v>
      </c>
      <c r="J143" s="51" t="s">
        <v>71</v>
      </c>
      <c r="K143" s="17">
        <f t="shared" si="8"/>
        <v>5</v>
      </c>
    </row>
    <row r="144" spans="1:11" ht="13.95" customHeight="1" x14ac:dyDescent="0.3">
      <c r="A144" s="3">
        <v>45800</v>
      </c>
      <c r="B144" s="19" t="s">
        <v>1235</v>
      </c>
      <c r="C144" s="3" t="s">
        <v>11</v>
      </c>
      <c r="D144" s="3" t="s">
        <v>44</v>
      </c>
      <c r="E144" s="4">
        <v>0.82</v>
      </c>
      <c r="F144" s="44">
        <v>2.8</v>
      </c>
      <c r="G144" s="21">
        <v>200</v>
      </c>
      <c r="H144" s="30">
        <v>1.6</v>
      </c>
      <c r="I144" s="6">
        <f t="shared" si="7"/>
        <v>734.72</v>
      </c>
      <c r="J144" s="51" t="s">
        <v>1135</v>
      </c>
      <c r="K144" s="17">
        <f t="shared" si="8"/>
        <v>5</v>
      </c>
    </row>
    <row r="145" spans="1:11" ht="13.95" customHeight="1" x14ac:dyDescent="0.3">
      <c r="A145" s="3">
        <v>45801</v>
      </c>
      <c r="B145" s="19" t="s">
        <v>1235</v>
      </c>
      <c r="C145" s="3" t="s">
        <v>13</v>
      </c>
      <c r="D145" s="3" t="s">
        <v>843</v>
      </c>
      <c r="E145" s="4">
        <v>0.9</v>
      </c>
      <c r="F145" s="44">
        <v>3.5</v>
      </c>
      <c r="G145" s="21">
        <v>200</v>
      </c>
      <c r="H145" s="30">
        <v>1.6</v>
      </c>
      <c r="I145" s="6">
        <f t="shared" si="7"/>
        <v>1008</v>
      </c>
      <c r="J145" s="51" t="s">
        <v>1136</v>
      </c>
      <c r="K145" s="17">
        <f t="shared" si="8"/>
        <v>5</v>
      </c>
    </row>
    <row r="146" spans="1:11" ht="13.95" customHeight="1" x14ac:dyDescent="0.3">
      <c r="A146" s="3">
        <v>45802</v>
      </c>
      <c r="B146" s="19" t="s">
        <v>1235</v>
      </c>
      <c r="C146" s="3" t="s">
        <v>16</v>
      </c>
      <c r="D146" s="3" t="s">
        <v>975</v>
      </c>
      <c r="E146" s="4">
        <v>0.98</v>
      </c>
      <c r="F146" s="44">
        <v>4.2</v>
      </c>
      <c r="G146" s="21">
        <v>200</v>
      </c>
      <c r="H146" s="30">
        <v>1.6</v>
      </c>
      <c r="I146" s="6">
        <f t="shared" si="7"/>
        <v>1317.1200000000001</v>
      </c>
      <c r="J146" s="51" t="s">
        <v>1137</v>
      </c>
      <c r="K146" s="17">
        <f t="shared" si="8"/>
        <v>5</v>
      </c>
    </row>
    <row r="147" spans="1:11" ht="13.95" customHeight="1" x14ac:dyDescent="0.3">
      <c r="A147" s="3">
        <v>45803</v>
      </c>
      <c r="B147" s="19" t="s">
        <v>1235</v>
      </c>
      <c r="C147" s="3" t="s">
        <v>18</v>
      </c>
      <c r="D147" s="3" t="s">
        <v>1052</v>
      </c>
      <c r="E147" s="4">
        <v>0.68</v>
      </c>
      <c r="F147" s="44">
        <v>2.5</v>
      </c>
      <c r="G147" s="21">
        <v>200</v>
      </c>
      <c r="H147" s="30">
        <v>1.6</v>
      </c>
      <c r="I147" s="6">
        <f t="shared" si="7"/>
        <v>544</v>
      </c>
      <c r="J147" s="51" t="s">
        <v>1138</v>
      </c>
      <c r="K147" s="17">
        <f t="shared" si="8"/>
        <v>5</v>
      </c>
    </row>
    <row r="148" spans="1:11" ht="13.95" customHeight="1" x14ac:dyDescent="0.3">
      <c r="A148" s="3">
        <v>45804</v>
      </c>
      <c r="B148" s="19" t="s">
        <v>1235</v>
      </c>
      <c r="C148" s="3" t="s">
        <v>20</v>
      </c>
      <c r="D148" s="3" t="s">
        <v>1057</v>
      </c>
      <c r="E148" s="4">
        <v>0.72</v>
      </c>
      <c r="F148" s="44">
        <v>2.4500000000000002</v>
      </c>
      <c r="G148" s="21">
        <v>200</v>
      </c>
      <c r="H148" s="30">
        <v>1.6</v>
      </c>
      <c r="I148" s="6">
        <f t="shared" si="7"/>
        <v>564.48</v>
      </c>
      <c r="J148" s="51" t="s">
        <v>151</v>
      </c>
      <c r="K148" s="17">
        <f t="shared" si="8"/>
        <v>5</v>
      </c>
    </row>
    <row r="149" spans="1:11" ht="13.95" customHeight="1" x14ac:dyDescent="0.3">
      <c r="A149" s="3">
        <v>45805</v>
      </c>
      <c r="B149" s="19" t="s">
        <v>1235</v>
      </c>
      <c r="C149" s="3" t="s">
        <v>5</v>
      </c>
      <c r="D149" s="3" t="s">
        <v>1057</v>
      </c>
      <c r="E149" s="4">
        <v>0.75</v>
      </c>
      <c r="F149" s="44">
        <v>2.4</v>
      </c>
      <c r="G149" s="21">
        <v>200</v>
      </c>
      <c r="H149" s="30">
        <v>1.6</v>
      </c>
      <c r="I149" s="6">
        <f t="shared" si="7"/>
        <v>576</v>
      </c>
      <c r="J149" s="51" t="s">
        <v>71</v>
      </c>
      <c r="K149" s="17">
        <f t="shared" si="8"/>
        <v>5</v>
      </c>
    </row>
    <row r="150" spans="1:11" ht="13.95" customHeight="1" x14ac:dyDescent="0.3">
      <c r="A150" s="3">
        <v>45806</v>
      </c>
      <c r="B150" s="19" t="s">
        <v>1235</v>
      </c>
      <c r="C150" s="3" t="s">
        <v>8</v>
      </c>
      <c r="D150" s="3" t="s">
        <v>1057</v>
      </c>
      <c r="E150" s="4">
        <v>0.78</v>
      </c>
      <c r="F150" s="44">
        <v>2.4500000000000002</v>
      </c>
      <c r="G150" s="21">
        <v>200</v>
      </c>
      <c r="H150" s="30">
        <v>1.6</v>
      </c>
      <c r="I150" s="6">
        <f t="shared" si="7"/>
        <v>611.5200000000001</v>
      </c>
      <c r="J150" s="51" t="s">
        <v>71</v>
      </c>
      <c r="K150" s="17">
        <f t="shared" si="8"/>
        <v>5</v>
      </c>
    </row>
    <row r="151" spans="1:11" ht="13.95" customHeight="1" x14ac:dyDescent="0.3">
      <c r="A151" s="3">
        <v>45807</v>
      </c>
      <c r="B151" s="19" t="s">
        <v>1235</v>
      </c>
      <c r="C151" s="3" t="s">
        <v>11</v>
      </c>
      <c r="D151" s="3" t="s">
        <v>44</v>
      </c>
      <c r="E151" s="4">
        <v>0.85</v>
      </c>
      <c r="F151" s="44">
        <v>2.9</v>
      </c>
      <c r="G151" s="21">
        <v>200</v>
      </c>
      <c r="H151" s="30">
        <v>1.6</v>
      </c>
      <c r="I151" s="6">
        <f t="shared" si="7"/>
        <v>788.80000000000007</v>
      </c>
      <c r="J151" s="51" t="s">
        <v>1139</v>
      </c>
      <c r="K151" s="17">
        <f t="shared" si="8"/>
        <v>5</v>
      </c>
    </row>
    <row r="152" spans="1:11" ht="13.95" customHeight="1" x14ac:dyDescent="0.3">
      <c r="A152" s="3">
        <v>45808</v>
      </c>
      <c r="B152" s="19" t="s">
        <v>1235</v>
      </c>
      <c r="C152" s="3" t="s">
        <v>13</v>
      </c>
      <c r="D152" s="3" t="s">
        <v>1075</v>
      </c>
      <c r="E152" s="4">
        <v>0.9</v>
      </c>
      <c r="F152" s="44">
        <v>3.35</v>
      </c>
      <c r="G152" s="21">
        <v>200</v>
      </c>
      <c r="H152" s="30">
        <v>1.6</v>
      </c>
      <c r="I152" s="6">
        <f t="shared" si="7"/>
        <v>964.80000000000007</v>
      </c>
      <c r="J152" s="51" t="s">
        <v>1140</v>
      </c>
      <c r="K152" s="17">
        <f t="shared" si="8"/>
        <v>5</v>
      </c>
    </row>
    <row r="153" spans="1:11" ht="13.95" customHeight="1" x14ac:dyDescent="0.3">
      <c r="A153" s="3">
        <v>45809</v>
      </c>
      <c r="B153" s="19" t="s">
        <v>1235</v>
      </c>
      <c r="C153" s="3" t="s">
        <v>16</v>
      </c>
      <c r="D153" s="3" t="s">
        <v>757</v>
      </c>
      <c r="E153" s="4">
        <v>0.95</v>
      </c>
      <c r="F153" s="44">
        <v>3.6</v>
      </c>
      <c r="G153" s="21">
        <v>200</v>
      </c>
      <c r="H153" s="30">
        <v>1.6</v>
      </c>
      <c r="I153" s="6">
        <f t="shared" si="7"/>
        <v>1094.4000000000001</v>
      </c>
      <c r="J153" s="51" t="s">
        <v>1141</v>
      </c>
      <c r="K153" s="17">
        <f t="shared" si="8"/>
        <v>6</v>
      </c>
    </row>
    <row r="154" spans="1:11" ht="13.95" customHeight="1" x14ac:dyDescent="0.3">
      <c r="A154" s="3">
        <v>45810</v>
      </c>
      <c r="B154" s="19" t="s">
        <v>1235</v>
      </c>
      <c r="C154" s="3" t="s">
        <v>18</v>
      </c>
      <c r="D154" s="3" t="s">
        <v>1057</v>
      </c>
      <c r="E154" s="4">
        <v>0.75</v>
      </c>
      <c r="F154" s="44">
        <v>2.5</v>
      </c>
      <c r="G154" s="21">
        <v>200</v>
      </c>
      <c r="H154" s="30">
        <v>1.6</v>
      </c>
      <c r="I154" s="6">
        <f t="shared" si="7"/>
        <v>600</v>
      </c>
      <c r="J154" s="51" t="s">
        <v>154</v>
      </c>
      <c r="K154" s="17">
        <f t="shared" si="8"/>
        <v>6</v>
      </c>
    </row>
    <row r="155" spans="1:11" ht="13.95" customHeight="1" x14ac:dyDescent="0.3">
      <c r="A155" s="3">
        <v>45811</v>
      </c>
      <c r="B155" s="19" t="s">
        <v>1235</v>
      </c>
      <c r="C155" s="3" t="s">
        <v>20</v>
      </c>
      <c r="D155" s="3" t="s">
        <v>1057</v>
      </c>
      <c r="E155" s="4">
        <v>0.78</v>
      </c>
      <c r="F155" s="44">
        <v>2.4500000000000002</v>
      </c>
      <c r="G155" s="21">
        <v>200</v>
      </c>
      <c r="H155" s="30">
        <v>1.6</v>
      </c>
      <c r="I155" s="6">
        <f t="shared" si="7"/>
        <v>611.5200000000001</v>
      </c>
      <c r="J155" s="51" t="s">
        <v>71</v>
      </c>
      <c r="K155" s="17">
        <f t="shared" si="8"/>
        <v>6</v>
      </c>
    </row>
    <row r="156" spans="1:11" ht="13.95" customHeight="1" x14ac:dyDescent="0.3">
      <c r="A156" s="3">
        <v>45812</v>
      </c>
      <c r="B156" s="19" t="s">
        <v>1235</v>
      </c>
      <c r="C156" s="3" t="s">
        <v>5</v>
      </c>
      <c r="D156" s="3" t="s">
        <v>1057</v>
      </c>
      <c r="E156" s="4">
        <v>0.8</v>
      </c>
      <c r="F156" s="44">
        <v>2.4</v>
      </c>
      <c r="G156" s="21">
        <v>200</v>
      </c>
      <c r="H156" s="30">
        <v>1.6</v>
      </c>
      <c r="I156" s="6">
        <f t="shared" ref="I156:I219" si="9">(G156*E156)*F156*H156</f>
        <v>614.40000000000009</v>
      </c>
      <c r="J156" s="51" t="s">
        <v>71</v>
      </c>
      <c r="K156" s="17">
        <f t="shared" si="8"/>
        <v>6</v>
      </c>
    </row>
    <row r="157" spans="1:11" ht="13.95" customHeight="1" x14ac:dyDescent="0.3">
      <c r="A157" s="3">
        <v>45813</v>
      </c>
      <c r="B157" s="19" t="s">
        <v>1235</v>
      </c>
      <c r="C157" s="3" t="s">
        <v>8</v>
      </c>
      <c r="D157" s="3" t="s">
        <v>1072</v>
      </c>
      <c r="E157" s="4">
        <v>0.85</v>
      </c>
      <c r="F157" s="44">
        <v>2.8</v>
      </c>
      <c r="G157" s="21">
        <v>200</v>
      </c>
      <c r="H157" s="30">
        <v>1.6</v>
      </c>
      <c r="I157" s="6">
        <f t="shared" si="9"/>
        <v>761.59999999999991</v>
      </c>
      <c r="J157" s="51" t="s">
        <v>572</v>
      </c>
      <c r="K157" s="17">
        <f t="shared" si="8"/>
        <v>6</v>
      </c>
    </row>
    <row r="158" spans="1:11" ht="13.95" customHeight="1" x14ac:dyDescent="0.3">
      <c r="A158" s="3">
        <v>45814</v>
      </c>
      <c r="B158" s="19" t="s">
        <v>1235</v>
      </c>
      <c r="C158" s="3" t="s">
        <v>11</v>
      </c>
      <c r="D158" s="3" t="s">
        <v>1142</v>
      </c>
      <c r="E158" s="4">
        <v>0.9</v>
      </c>
      <c r="F158" s="44">
        <v>3.8</v>
      </c>
      <c r="G158" s="21">
        <v>200</v>
      </c>
      <c r="H158" s="30">
        <v>1.6</v>
      </c>
      <c r="I158" s="6">
        <f t="shared" si="9"/>
        <v>1094.4000000000001</v>
      </c>
      <c r="J158" s="51" t="s">
        <v>1143</v>
      </c>
      <c r="K158" s="17">
        <f t="shared" si="8"/>
        <v>6</v>
      </c>
    </row>
    <row r="159" spans="1:11" ht="13.95" customHeight="1" x14ac:dyDescent="0.3">
      <c r="A159" s="3">
        <v>45815</v>
      </c>
      <c r="B159" s="19" t="s">
        <v>1235</v>
      </c>
      <c r="C159" s="3" t="s">
        <v>13</v>
      </c>
      <c r="D159" s="3" t="s">
        <v>1142</v>
      </c>
      <c r="E159" s="4">
        <v>0.95</v>
      </c>
      <c r="F159" s="44">
        <v>3.5</v>
      </c>
      <c r="G159" s="21">
        <v>200</v>
      </c>
      <c r="H159" s="30">
        <v>1.6</v>
      </c>
      <c r="I159" s="6">
        <f t="shared" si="9"/>
        <v>1064</v>
      </c>
      <c r="J159" s="51" t="s">
        <v>1144</v>
      </c>
      <c r="K159" s="17">
        <f t="shared" si="8"/>
        <v>6</v>
      </c>
    </row>
    <row r="160" spans="1:11" ht="13.95" customHeight="1" x14ac:dyDescent="0.3">
      <c r="A160" s="3">
        <v>45816</v>
      </c>
      <c r="B160" s="19" t="s">
        <v>1235</v>
      </c>
      <c r="C160" s="3" t="s">
        <v>16</v>
      </c>
      <c r="D160" s="3" t="s">
        <v>829</v>
      </c>
      <c r="E160" s="4">
        <v>0.85</v>
      </c>
      <c r="F160" s="44">
        <v>3.2</v>
      </c>
      <c r="G160" s="21">
        <v>200</v>
      </c>
      <c r="H160" s="30">
        <v>1.6</v>
      </c>
      <c r="I160" s="6">
        <f t="shared" si="9"/>
        <v>870.40000000000009</v>
      </c>
      <c r="J160" s="51" t="s">
        <v>1145</v>
      </c>
      <c r="K160" s="17">
        <f t="shared" si="8"/>
        <v>6</v>
      </c>
    </row>
    <row r="161" spans="1:11" ht="13.95" customHeight="1" x14ac:dyDescent="0.3">
      <c r="A161" s="3">
        <v>45817</v>
      </c>
      <c r="B161" s="19" t="s">
        <v>1235</v>
      </c>
      <c r="C161" s="3" t="s">
        <v>18</v>
      </c>
      <c r="D161" s="3" t="s">
        <v>1057</v>
      </c>
      <c r="E161" s="4">
        <v>0.7</v>
      </c>
      <c r="F161" s="44">
        <v>2.5</v>
      </c>
      <c r="G161" s="21">
        <v>200</v>
      </c>
      <c r="H161" s="30">
        <v>1.6</v>
      </c>
      <c r="I161" s="6">
        <f t="shared" si="9"/>
        <v>560</v>
      </c>
      <c r="J161" s="51" t="s">
        <v>1146</v>
      </c>
      <c r="K161" s="17">
        <f t="shared" si="8"/>
        <v>6</v>
      </c>
    </row>
    <row r="162" spans="1:11" ht="13.95" customHeight="1" x14ac:dyDescent="0.3">
      <c r="A162" s="3">
        <v>45818</v>
      </c>
      <c r="B162" s="19" t="s">
        <v>1235</v>
      </c>
      <c r="C162" s="3" t="s">
        <v>20</v>
      </c>
      <c r="D162" s="3" t="s">
        <v>1057</v>
      </c>
      <c r="E162" s="4">
        <v>0.75</v>
      </c>
      <c r="F162" s="44">
        <v>2.4500000000000002</v>
      </c>
      <c r="G162" s="21">
        <v>200</v>
      </c>
      <c r="H162" s="30">
        <v>1.6</v>
      </c>
      <c r="I162" s="6">
        <f t="shared" si="9"/>
        <v>588</v>
      </c>
      <c r="J162" s="51" t="s">
        <v>71</v>
      </c>
      <c r="K162" s="17">
        <f t="shared" si="8"/>
        <v>6</v>
      </c>
    </row>
    <row r="163" spans="1:11" ht="13.95" customHeight="1" x14ac:dyDescent="0.3">
      <c r="A163" s="3">
        <v>45819</v>
      </c>
      <c r="B163" s="19" t="s">
        <v>1235</v>
      </c>
      <c r="C163" s="3" t="s">
        <v>5</v>
      </c>
      <c r="D163" s="3" t="s">
        <v>1057</v>
      </c>
      <c r="E163" s="4">
        <v>0.8</v>
      </c>
      <c r="F163" s="44">
        <v>2.4</v>
      </c>
      <c r="G163" s="21">
        <v>200</v>
      </c>
      <c r="H163" s="30">
        <v>1.6</v>
      </c>
      <c r="I163" s="6">
        <f t="shared" si="9"/>
        <v>614.40000000000009</v>
      </c>
      <c r="J163" s="51" t="s">
        <v>71</v>
      </c>
      <c r="K163" s="17">
        <f t="shared" si="8"/>
        <v>6</v>
      </c>
    </row>
    <row r="164" spans="1:11" ht="13.95" customHeight="1" x14ac:dyDescent="0.3">
      <c r="A164" s="3">
        <v>45820</v>
      </c>
      <c r="B164" s="19" t="s">
        <v>1235</v>
      </c>
      <c r="C164" s="3" t="s">
        <v>8</v>
      </c>
      <c r="D164" s="3" t="s">
        <v>1057</v>
      </c>
      <c r="E164" s="4">
        <v>0.82</v>
      </c>
      <c r="F164" s="44">
        <v>2.5</v>
      </c>
      <c r="G164" s="21">
        <v>200</v>
      </c>
      <c r="H164" s="30">
        <v>1.6</v>
      </c>
      <c r="I164" s="6">
        <f t="shared" si="9"/>
        <v>656</v>
      </c>
      <c r="J164" s="51" t="s">
        <v>71</v>
      </c>
      <c r="K164" s="17">
        <f t="shared" si="8"/>
        <v>6</v>
      </c>
    </row>
    <row r="165" spans="1:11" ht="13.95" customHeight="1" x14ac:dyDescent="0.3">
      <c r="A165" s="3">
        <v>45821</v>
      </c>
      <c r="B165" s="19" t="s">
        <v>1235</v>
      </c>
      <c r="C165" s="3" t="s">
        <v>11</v>
      </c>
      <c r="D165" s="3" t="s">
        <v>44</v>
      </c>
      <c r="E165" s="4">
        <v>0.85</v>
      </c>
      <c r="F165" s="44">
        <v>2.9</v>
      </c>
      <c r="G165" s="21">
        <v>200</v>
      </c>
      <c r="H165" s="30">
        <v>1.6</v>
      </c>
      <c r="I165" s="6">
        <f t="shared" si="9"/>
        <v>788.80000000000007</v>
      </c>
      <c r="J165" s="51" t="s">
        <v>1147</v>
      </c>
      <c r="K165" s="17">
        <f t="shared" si="8"/>
        <v>6</v>
      </c>
    </row>
    <row r="166" spans="1:11" ht="13.95" customHeight="1" x14ac:dyDescent="0.3">
      <c r="A166" s="3">
        <v>45822</v>
      </c>
      <c r="B166" s="19" t="s">
        <v>1235</v>
      </c>
      <c r="C166" s="3" t="s">
        <v>13</v>
      </c>
      <c r="D166" s="3" t="s">
        <v>840</v>
      </c>
      <c r="E166" s="4">
        <v>0.95</v>
      </c>
      <c r="F166" s="44">
        <v>3.8</v>
      </c>
      <c r="G166" s="21">
        <v>200</v>
      </c>
      <c r="H166" s="30">
        <v>1.6</v>
      </c>
      <c r="I166" s="6">
        <f t="shared" si="9"/>
        <v>1155.2</v>
      </c>
      <c r="J166" s="51" t="s">
        <v>1148</v>
      </c>
      <c r="K166" s="17">
        <f t="shared" si="8"/>
        <v>6</v>
      </c>
    </row>
    <row r="167" spans="1:11" ht="13.95" customHeight="1" x14ac:dyDescent="0.3">
      <c r="A167" s="3">
        <v>45823</v>
      </c>
      <c r="B167" s="19" t="s">
        <v>1235</v>
      </c>
      <c r="C167" s="3" t="s">
        <v>16</v>
      </c>
      <c r="D167" s="3" t="s">
        <v>757</v>
      </c>
      <c r="E167" s="4">
        <v>0.98</v>
      </c>
      <c r="F167" s="44">
        <v>3.6</v>
      </c>
      <c r="G167" s="21">
        <v>200</v>
      </c>
      <c r="H167" s="30">
        <v>1.6</v>
      </c>
      <c r="I167" s="6">
        <f t="shared" si="9"/>
        <v>1128.96</v>
      </c>
      <c r="J167" s="51" t="s">
        <v>159</v>
      </c>
      <c r="K167" s="17">
        <f t="shared" si="8"/>
        <v>6</v>
      </c>
    </row>
    <row r="168" spans="1:11" ht="13.95" customHeight="1" x14ac:dyDescent="0.3">
      <c r="A168" s="3">
        <v>45824</v>
      </c>
      <c r="B168" s="19" t="s">
        <v>1235</v>
      </c>
      <c r="C168" s="3" t="s">
        <v>18</v>
      </c>
      <c r="D168" s="3" t="s">
        <v>1057</v>
      </c>
      <c r="E168" s="4">
        <v>0.75</v>
      </c>
      <c r="F168" s="44">
        <v>2.5</v>
      </c>
      <c r="G168" s="21">
        <v>200</v>
      </c>
      <c r="H168" s="30">
        <v>1.6</v>
      </c>
      <c r="I168" s="6">
        <f t="shared" si="9"/>
        <v>600</v>
      </c>
      <c r="J168" s="51" t="s">
        <v>1149</v>
      </c>
      <c r="K168" s="17">
        <f t="shared" si="8"/>
        <v>6</v>
      </c>
    </row>
    <row r="169" spans="1:11" ht="13.95" customHeight="1" x14ac:dyDescent="0.3">
      <c r="A169" s="3">
        <v>45825</v>
      </c>
      <c r="B169" s="19" t="s">
        <v>1235</v>
      </c>
      <c r="C169" s="3" t="s">
        <v>20</v>
      </c>
      <c r="D169" s="3" t="s">
        <v>1057</v>
      </c>
      <c r="E169" s="4">
        <v>0.8</v>
      </c>
      <c r="F169" s="44">
        <v>2.4500000000000002</v>
      </c>
      <c r="G169" s="21">
        <v>200</v>
      </c>
      <c r="H169" s="30">
        <v>1.6</v>
      </c>
      <c r="I169" s="6">
        <f t="shared" si="9"/>
        <v>627.20000000000005</v>
      </c>
      <c r="J169" s="51" t="s">
        <v>71</v>
      </c>
      <c r="K169" s="17">
        <f t="shared" si="8"/>
        <v>6</v>
      </c>
    </row>
    <row r="170" spans="1:11" ht="13.95" customHeight="1" x14ac:dyDescent="0.3">
      <c r="A170" s="3">
        <v>45826</v>
      </c>
      <c r="B170" s="19" t="s">
        <v>1235</v>
      </c>
      <c r="C170" s="3" t="s">
        <v>5</v>
      </c>
      <c r="D170" s="3" t="s">
        <v>1057</v>
      </c>
      <c r="E170" s="4">
        <v>0.85</v>
      </c>
      <c r="F170" s="44">
        <v>2.4</v>
      </c>
      <c r="G170" s="21">
        <v>200</v>
      </c>
      <c r="H170" s="30">
        <v>1.6</v>
      </c>
      <c r="I170" s="6">
        <f t="shared" si="9"/>
        <v>652.80000000000007</v>
      </c>
      <c r="J170" s="51" t="s">
        <v>71</v>
      </c>
      <c r="K170" s="17">
        <f t="shared" si="8"/>
        <v>6</v>
      </c>
    </row>
    <row r="171" spans="1:11" ht="13.95" customHeight="1" x14ac:dyDescent="0.3">
      <c r="A171" s="3">
        <v>45827</v>
      </c>
      <c r="B171" s="19" t="s">
        <v>1235</v>
      </c>
      <c r="C171" s="3" t="s">
        <v>8</v>
      </c>
      <c r="D171" s="3" t="s">
        <v>1057</v>
      </c>
      <c r="E171" s="4">
        <v>0.8</v>
      </c>
      <c r="F171" s="44">
        <v>2.5</v>
      </c>
      <c r="G171" s="21">
        <v>200</v>
      </c>
      <c r="H171" s="30">
        <v>1.6</v>
      </c>
      <c r="I171" s="6">
        <f t="shared" si="9"/>
        <v>640</v>
      </c>
      <c r="J171" s="51" t="s">
        <v>71</v>
      </c>
      <c r="K171" s="17">
        <f t="shared" si="8"/>
        <v>6</v>
      </c>
    </row>
    <row r="172" spans="1:11" ht="13.95" customHeight="1" x14ac:dyDescent="0.3">
      <c r="A172" s="3">
        <v>45828</v>
      </c>
      <c r="B172" s="19" t="s">
        <v>1235</v>
      </c>
      <c r="C172" s="3" t="s">
        <v>11</v>
      </c>
      <c r="D172" s="3" t="s">
        <v>829</v>
      </c>
      <c r="E172" s="4">
        <v>0.88</v>
      </c>
      <c r="F172" s="44">
        <v>2.9</v>
      </c>
      <c r="G172" s="21">
        <v>200</v>
      </c>
      <c r="H172" s="30">
        <v>1.6</v>
      </c>
      <c r="I172" s="6">
        <f t="shared" si="9"/>
        <v>816.64</v>
      </c>
      <c r="J172" s="51" t="s">
        <v>1150</v>
      </c>
      <c r="K172" s="17">
        <f t="shared" si="8"/>
        <v>6</v>
      </c>
    </row>
    <row r="173" spans="1:11" ht="13.95" customHeight="1" x14ac:dyDescent="0.3">
      <c r="A173" s="3">
        <v>45829</v>
      </c>
      <c r="B173" s="19" t="s">
        <v>1235</v>
      </c>
      <c r="C173" s="3" t="s">
        <v>13</v>
      </c>
      <c r="D173" s="3" t="s">
        <v>840</v>
      </c>
      <c r="E173" s="4">
        <v>0.98</v>
      </c>
      <c r="F173" s="44">
        <v>3.9</v>
      </c>
      <c r="G173" s="21">
        <v>200</v>
      </c>
      <c r="H173" s="30">
        <v>1.6</v>
      </c>
      <c r="I173" s="6">
        <f t="shared" si="9"/>
        <v>1223.04</v>
      </c>
      <c r="J173" s="51" t="s">
        <v>1151</v>
      </c>
      <c r="K173" s="17">
        <f t="shared" si="8"/>
        <v>6</v>
      </c>
    </row>
    <row r="174" spans="1:11" ht="13.95" customHeight="1" x14ac:dyDescent="0.3">
      <c r="A174" s="3">
        <v>45830</v>
      </c>
      <c r="B174" s="19" t="s">
        <v>1235</v>
      </c>
      <c r="C174" s="3" t="s">
        <v>16</v>
      </c>
      <c r="D174" s="3" t="s">
        <v>757</v>
      </c>
      <c r="E174" s="4">
        <v>0.95</v>
      </c>
      <c r="F174" s="44">
        <v>3.6</v>
      </c>
      <c r="G174" s="21">
        <v>200</v>
      </c>
      <c r="H174" s="30">
        <v>1.6</v>
      </c>
      <c r="I174" s="6">
        <f t="shared" si="9"/>
        <v>1094.4000000000001</v>
      </c>
      <c r="J174" s="51" t="s">
        <v>238</v>
      </c>
      <c r="K174" s="17">
        <f t="shared" si="8"/>
        <v>6</v>
      </c>
    </row>
    <row r="175" spans="1:11" ht="13.95" customHeight="1" x14ac:dyDescent="0.3">
      <c r="A175" s="3">
        <v>45831</v>
      </c>
      <c r="B175" s="19" t="s">
        <v>1235</v>
      </c>
      <c r="C175" s="3" t="s">
        <v>18</v>
      </c>
      <c r="D175" s="3" t="s">
        <v>1057</v>
      </c>
      <c r="E175" s="4">
        <v>0.75</v>
      </c>
      <c r="F175" s="44">
        <v>2.5</v>
      </c>
      <c r="G175" s="21">
        <v>200</v>
      </c>
      <c r="H175" s="30">
        <v>1.6</v>
      </c>
      <c r="I175" s="6">
        <f t="shared" si="9"/>
        <v>600</v>
      </c>
      <c r="J175" s="51" t="s">
        <v>286</v>
      </c>
      <c r="K175" s="17">
        <f t="shared" si="8"/>
        <v>6</v>
      </c>
    </row>
    <row r="176" spans="1:11" ht="13.95" customHeight="1" x14ac:dyDescent="0.3">
      <c r="A176" s="3">
        <v>45832</v>
      </c>
      <c r="B176" s="19" t="s">
        <v>1235</v>
      </c>
      <c r="C176" s="3" t="s">
        <v>20</v>
      </c>
      <c r="D176" s="3" t="s">
        <v>1057</v>
      </c>
      <c r="E176" s="4">
        <v>0.8</v>
      </c>
      <c r="F176" s="44">
        <v>2.4500000000000002</v>
      </c>
      <c r="G176" s="21">
        <v>200</v>
      </c>
      <c r="H176" s="30">
        <v>1.6</v>
      </c>
      <c r="I176" s="6">
        <f t="shared" si="9"/>
        <v>627.20000000000005</v>
      </c>
      <c r="J176" s="51" t="s">
        <v>71</v>
      </c>
      <c r="K176" s="17">
        <f t="shared" si="8"/>
        <v>6</v>
      </c>
    </row>
    <row r="177" spans="1:11" ht="13.95" customHeight="1" x14ac:dyDescent="0.3">
      <c r="A177" s="3">
        <v>45833</v>
      </c>
      <c r="B177" s="19" t="s">
        <v>1235</v>
      </c>
      <c r="C177" s="3" t="s">
        <v>5</v>
      </c>
      <c r="D177" s="3" t="s">
        <v>1057</v>
      </c>
      <c r="E177" s="4">
        <v>0.85</v>
      </c>
      <c r="F177" s="44">
        <v>2.4</v>
      </c>
      <c r="G177" s="21">
        <v>200</v>
      </c>
      <c r="H177" s="30">
        <v>1.6</v>
      </c>
      <c r="I177" s="6">
        <f t="shared" si="9"/>
        <v>652.80000000000007</v>
      </c>
      <c r="J177" s="51" t="s">
        <v>71</v>
      </c>
      <c r="K177" s="17">
        <f t="shared" si="8"/>
        <v>6</v>
      </c>
    </row>
    <row r="178" spans="1:11" ht="13.95" customHeight="1" x14ac:dyDescent="0.3">
      <c r="A178" s="3">
        <v>45834</v>
      </c>
      <c r="B178" s="19" t="s">
        <v>1235</v>
      </c>
      <c r="C178" s="3" t="s">
        <v>8</v>
      </c>
      <c r="D178" s="3" t="s">
        <v>1057</v>
      </c>
      <c r="E178" s="4">
        <v>0.82</v>
      </c>
      <c r="F178" s="44">
        <v>2.5</v>
      </c>
      <c r="G178" s="21">
        <v>200</v>
      </c>
      <c r="H178" s="30">
        <v>1.6</v>
      </c>
      <c r="I178" s="6">
        <f t="shared" si="9"/>
        <v>656</v>
      </c>
      <c r="J178" s="51" t="s">
        <v>71</v>
      </c>
      <c r="K178" s="17">
        <f t="shared" si="8"/>
        <v>6</v>
      </c>
    </row>
    <row r="179" spans="1:11" ht="13.95" customHeight="1" x14ac:dyDescent="0.3">
      <c r="A179" s="3">
        <v>45835</v>
      </c>
      <c r="B179" s="19" t="s">
        <v>1235</v>
      </c>
      <c r="C179" s="3" t="s">
        <v>11</v>
      </c>
      <c r="D179" s="3" t="s">
        <v>994</v>
      </c>
      <c r="E179" s="4">
        <v>0.88</v>
      </c>
      <c r="F179" s="44">
        <v>3.1</v>
      </c>
      <c r="G179" s="21">
        <v>200</v>
      </c>
      <c r="H179" s="30">
        <v>1.6</v>
      </c>
      <c r="I179" s="6">
        <f t="shared" si="9"/>
        <v>872.96</v>
      </c>
      <c r="J179" s="51" t="s">
        <v>455</v>
      </c>
      <c r="K179" s="17">
        <f t="shared" si="8"/>
        <v>6</v>
      </c>
    </row>
    <row r="180" spans="1:11" ht="13.95" customHeight="1" x14ac:dyDescent="0.3">
      <c r="A180" s="3">
        <v>45836</v>
      </c>
      <c r="B180" s="19" t="s">
        <v>1235</v>
      </c>
      <c r="C180" s="3" t="s">
        <v>13</v>
      </c>
      <c r="D180" s="3" t="s">
        <v>995</v>
      </c>
      <c r="E180" s="4">
        <v>0.9</v>
      </c>
      <c r="F180" s="44">
        <v>3.5</v>
      </c>
      <c r="G180" s="21">
        <v>200</v>
      </c>
      <c r="H180" s="30">
        <v>1.6</v>
      </c>
      <c r="I180" s="6">
        <f t="shared" si="9"/>
        <v>1008</v>
      </c>
      <c r="J180" s="51" t="s">
        <v>1152</v>
      </c>
      <c r="K180" s="17">
        <f t="shared" si="8"/>
        <v>6</v>
      </c>
    </row>
    <row r="181" spans="1:11" ht="13.95" customHeight="1" x14ac:dyDescent="0.3">
      <c r="A181" s="3">
        <v>45837</v>
      </c>
      <c r="B181" s="19" t="s">
        <v>1235</v>
      </c>
      <c r="C181" s="3" t="s">
        <v>16</v>
      </c>
      <c r="D181" s="3" t="s">
        <v>757</v>
      </c>
      <c r="E181" s="4">
        <v>0.95</v>
      </c>
      <c r="F181" s="44">
        <v>3.6</v>
      </c>
      <c r="G181" s="21">
        <v>200</v>
      </c>
      <c r="H181" s="30">
        <v>1.6</v>
      </c>
      <c r="I181" s="6">
        <f t="shared" si="9"/>
        <v>1094.4000000000001</v>
      </c>
      <c r="J181" s="51" t="s">
        <v>733</v>
      </c>
      <c r="K181" s="17">
        <f t="shared" si="8"/>
        <v>6</v>
      </c>
    </row>
    <row r="182" spans="1:11" ht="13.95" customHeight="1" x14ac:dyDescent="0.3">
      <c r="A182" s="3">
        <v>45838</v>
      </c>
      <c r="B182" s="19" t="s">
        <v>1235</v>
      </c>
      <c r="C182" s="3" t="s">
        <v>18</v>
      </c>
      <c r="D182" s="3" t="s">
        <v>1057</v>
      </c>
      <c r="E182" s="4">
        <v>0.78</v>
      </c>
      <c r="F182" s="44">
        <v>2.5</v>
      </c>
      <c r="G182" s="21">
        <v>200</v>
      </c>
      <c r="H182" s="30">
        <v>1.6</v>
      </c>
      <c r="I182" s="6">
        <f t="shared" si="9"/>
        <v>624</v>
      </c>
      <c r="J182" s="51" t="s">
        <v>998</v>
      </c>
      <c r="K182" s="17">
        <f t="shared" si="8"/>
        <v>6</v>
      </c>
    </row>
    <row r="183" spans="1:11" ht="13.95" customHeight="1" x14ac:dyDescent="0.3">
      <c r="A183" s="3">
        <v>45809</v>
      </c>
      <c r="B183" s="19" t="s">
        <v>1235</v>
      </c>
      <c r="C183" s="3" t="s">
        <v>16</v>
      </c>
      <c r="D183" s="3" t="s">
        <v>757</v>
      </c>
      <c r="E183" s="4">
        <v>0.95</v>
      </c>
      <c r="F183" s="44">
        <v>3.6</v>
      </c>
      <c r="G183" s="21">
        <v>200</v>
      </c>
      <c r="H183" s="30">
        <v>1.6</v>
      </c>
      <c r="I183" s="6">
        <f t="shared" si="9"/>
        <v>1094.4000000000001</v>
      </c>
      <c r="J183" s="51" t="s">
        <v>1141</v>
      </c>
      <c r="K183" s="17">
        <f t="shared" si="8"/>
        <v>6</v>
      </c>
    </row>
    <row r="184" spans="1:11" ht="13.95" customHeight="1" x14ac:dyDescent="0.3">
      <c r="A184" s="3">
        <v>45810</v>
      </c>
      <c r="B184" s="19" t="s">
        <v>1235</v>
      </c>
      <c r="C184" s="3" t="s">
        <v>18</v>
      </c>
      <c r="D184" s="3" t="s">
        <v>1057</v>
      </c>
      <c r="E184" s="4">
        <v>0.75</v>
      </c>
      <c r="F184" s="44">
        <v>2.5</v>
      </c>
      <c r="G184" s="21">
        <v>200</v>
      </c>
      <c r="H184" s="30">
        <v>1.6</v>
      </c>
      <c r="I184" s="6">
        <f t="shared" si="9"/>
        <v>600</v>
      </c>
      <c r="J184" s="51" t="s">
        <v>154</v>
      </c>
      <c r="K184" s="17">
        <f t="shared" si="8"/>
        <v>6</v>
      </c>
    </row>
    <row r="185" spans="1:11" ht="13.95" customHeight="1" x14ac:dyDescent="0.3">
      <c r="A185" s="3">
        <v>45811</v>
      </c>
      <c r="B185" s="19" t="s">
        <v>1235</v>
      </c>
      <c r="C185" s="3" t="s">
        <v>20</v>
      </c>
      <c r="D185" s="3" t="s">
        <v>1057</v>
      </c>
      <c r="E185" s="4">
        <v>0.78</v>
      </c>
      <c r="F185" s="44">
        <v>2.4500000000000002</v>
      </c>
      <c r="G185" s="21">
        <v>200</v>
      </c>
      <c r="H185" s="30">
        <v>1.6</v>
      </c>
      <c r="I185" s="6">
        <f t="shared" si="9"/>
        <v>611.5200000000001</v>
      </c>
      <c r="J185" s="51" t="s">
        <v>71</v>
      </c>
      <c r="K185" s="17">
        <f t="shared" si="8"/>
        <v>6</v>
      </c>
    </row>
    <row r="186" spans="1:11" ht="13.95" customHeight="1" x14ac:dyDescent="0.3">
      <c r="A186" s="3">
        <v>45812</v>
      </c>
      <c r="B186" s="19" t="s">
        <v>1235</v>
      </c>
      <c r="C186" s="3" t="s">
        <v>5</v>
      </c>
      <c r="D186" s="3" t="s">
        <v>1057</v>
      </c>
      <c r="E186" s="4">
        <v>0.8</v>
      </c>
      <c r="F186" s="44">
        <v>2.4</v>
      </c>
      <c r="G186" s="21">
        <v>200</v>
      </c>
      <c r="H186" s="30">
        <v>1.6</v>
      </c>
      <c r="I186" s="6">
        <f t="shared" si="9"/>
        <v>614.40000000000009</v>
      </c>
      <c r="J186" s="51" t="s">
        <v>71</v>
      </c>
      <c r="K186" s="17">
        <f t="shared" si="8"/>
        <v>6</v>
      </c>
    </row>
    <row r="187" spans="1:11" ht="13.95" customHeight="1" x14ac:dyDescent="0.3">
      <c r="A187" s="3">
        <v>45813</v>
      </c>
      <c r="B187" s="19" t="s">
        <v>1235</v>
      </c>
      <c r="C187" s="3" t="s">
        <v>8</v>
      </c>
      <c r="D187" s="3" t="s">
        <v>1072</v>
      </c>
      <c r="E187" s="4">
        <v>0.85</v>
      </c>
      <c r="F187" s="44">
        <v>2.8</v>
      </c>
      <c r="G187" s="21">
        <v>200</v>
      </c>
      <c r="H187" s="30">
        <v>1.6</v>
      </c>
      <c r="I187" s="6">
        <f t="shared" si="9"/>
        <v>761.59999999999991</v>
      </c>
      <c r="J187" s="51" t="s">
        <v>572</v>
      </c>
      <c r="K187" s="17">
        <f t="shared" si="8"/>
        <v>6</v>
      </c>
    </row>
    <row r="188" spans="1:11" ht="13.95" customHeight="1" x14ac:dyDescent="0.3">
      <c r="A188" s="3">
        <v>45814</v>
      </c>
      <c r="B188" s="19" t="s">
        <v>1235</v>
      </c>
      <c r="C188" s="3" t="s">
        <v>11</v>
      </c>
      <c r="D188" s="3" t="s">
        <v>1142</v>
      </c>
      <c r="E188" s="4">
        <v>0.9</v>
      </c>
      <c r="F188" s="44">
        <v>3.8</v>
      </c>
      <c r="G188" s="21">
        <v>200</v>
      </c>
      <c r="H188" s="30">
        <v>1.6</v>
      </c>
      <c r="I188" s="6">
        <f t="shared" si="9"/>
        <v>1094.4000000000001</v>
      </c>
      <c r="J188" s="51" t="s">
        <v>1143</v>
      </c>
      <c r="K188" s="17">
        <f t="shared" si="8"/>
        <v>6</v>
      </c>
    </row>
    <row r="189" spans="1:11" ht="13.95" customHeight="1" x14ac:dyDescent="0.3">
      <c r="A189" s="3">
        <v>45815</v>
      </c>
      <c r="B189" s="19" t="s">
        <v>1235</v>
      </c>
      <c r="C189" s="3" t="s">
        <v>13</v>
      </c>
      <c r="D189" s="3" t="s">
        <v>1142</v>
      </c>
      <c r="E189" s="4">
        <v>0.95</v>
      </c>
      <c r="F189" s="44">
        <v>3.5</v>
      </c>
      <c r="G189" s="21">
        <v>200</v>
      </c>
      <c r="H189" s="30">
        <v>1.6</v>
      </c>
      <c r="I189" s="6">
        <f t="shared" si="9"/>
        <v>1064</v>
      </c>
      <c r="J189" s="51" t="s">
        <v>1144</v>
      </c>
      <c r="K189" s="17">
        <f t="shared" si="8"/>
        <v>6</v>
      </c>
    </row>
    <row r="190" spans="1:11" ht="13.95" customHeight="1" x14ac:dyDescent="0.3">
      <c r="A190" s="3">
        <v>45816</v>
      </c>
      <c r="B190" s="19" t="s">
        <v>1235</v>
      </c>
      <c r="C190" s="3" t="s">
        <v>16</v>
      </c>
      <c r="D190" s="3" t="s">
        <v>829</v>
      </c>
      <c r="E190" s="4">
        <v>0.85</v>
      </c>
      <c r="F190" s="44">
        <v>3.2</v>
      </c>
      <c r="G190" s="21">
        <v>200</v>
      </c>
      <c r="H190" s="30">
        <v>1.6</v>
      </c>
      <c r="I190" s="6">
        <f t="shared" si="9"/>
        <v>870.40000000000009</v>
      </c>
      <c r="J190" s="51" t="s">
        <v>1145</v>
      </c>
      <c r="K190" s="17">
        <f t="shared" si="8"/>
        <v>6</v>
      </c>
    </row>
    <row r="191" spans="1:11" ht="13.95" customHeight="1" x14ac:dyDescent="0.3">
      <c r="A191" s="3">
        <v>45817</v>
      </c>
      <c r="B191" s="19" t="s">
        <v>1235</v>
      </c>
      <c r="C191" s="3" t="s">
        <v>18</v>
      </c>
      <c r="D191" s="3" t="s">
        <v>1057</v>
      </c>
      <c r="E191" s="4">
        <v>0.7</v>
      </c>
      <c r="F191" s="44">
        <v>2.5</v>
      </c>
      <c r="G191" s="21">
        <v>200</v>
      </c>
      <c r="H191" s="30">
        <v>1.6</v>
      </c>
      <c r="I191" s="6">
        <f t="shared" si="9"/>
        <v>560</v>
      </c>
      <c r="J191" s="51" t="s">
        <v>1146</v>
      </c>
      <c r="K191" s="17">
        <f t="shared" si="8"/>
        <v>6</v>
      </c>
    </row>
    <row r="192" spans="1:11" ht="13.95" customHeight="1" x14ac:dyDescent="0.3">
      <c r="A192" s="3">
        <v>45818</v>
      </c>
      <c r="B192" s="19" t="s">
        <v>1235</v>
      </c>
      <c r="C192" s="3" t="s">
        <v>20</v>
      </c>
      <c r="D192" s="3" t="s">
        <v>1057</v>
      </c>
      <c r="E192" s="4">
        <v>0.75</v>
      </c>
      <c r="F192" s="44">
        <v>2.4500000000000002</v>
      </c>
      <c r="G192" s="21">
        <v>200</v>
      </c>
      <c r="H192" s="30">
        <v>1.6</v>
      </c>
      <c r="I192" s="6">
        <f t="shared" si="9"/>
        <v>588</v>
      </c>
      <c r="J192" s="51" t="s">
        <v>71</v>
      </c>
      <c r="K192" s="17">
        <f t="shared" si="8"/>
        <v>6</v>
      </c>
    </row>
    <row r="193" spans="1:11" ht="13.95" customHeight="1" x14ac:dyDescent="0.3">
      <c r="A193" s="3">
        <v>45819</v>
      </c>
      <c r="B193" s="19" t="s">
        <v>1235</v>
      </c>
      <c r="C193" s="3" t="s">
        <v>5</v>
      </c>
      <c r="D193" s="3" t="s">
        <v>1057</v>
      </c>
      <c r="E193" s="4">
        <v>0.8</v>
      </c>
      <c r="F193" s="44">
        <v>2.4</v>
      </c>
      <c r="G193" s="21">
        <v>200</v>
      </c>
      <c r="H193" s="30">
        <v>1.6</v>
      </c>
      <c r="I193" s="6">
        <f t="shared" si="9"/>
        <v>614.40000000000009</v>
      </c>
      <c r="J193" s="51" t="s">
        <v>71</v>
      </c>
      <c r="K193" s="17">
        <f t="shared" si="8"/>
        <v>6</v>
      </c>
    </row>
    <row r="194" spans="1:11" ht="13.95" customHeight="1" x14ac:dyDescent="0.3">
      <c r="A194" s="3">
        <v>45820</v>
      </c>
      <c r="B194" s="19" t="s">
        <v>1235</v>
      </c>
      <c r="C194" s="3" t="s">
        <v>8</v>
      </c>
      <c r="D194" s="3" t="s">
        <v>1057</v>
      </c>
      <c r="E194" s="4">
        <v>0.82</v>
      </c>
      <c r="F194" s="44">
        <v>2.5</v>
      </c>
      <c r="G194" s="21">
        <v>200</v>
      </c>
      <c r="H194" s="30">
        <v>1.6</v>
      </c>
      <c r="I194" s="6">
        <f t="shared" si="9"/>
        <v>656</v>
      </c>
      <c r="J194" s="51" t="s">
        <v>71</v>
      </c>
      <c r="K194" s="17">
        <f t="shared" si="8"/>
        <v>6</v>
      </c>
    </row>
    <row r="195" spans="1:11" ht="13.95" customHeight="1" x14ac:dyDescent="0.3">
      <c r="A195" s="3">
        <v>45821</v>
      </c>
      <c r="B195" s="19" t="s">
        <v>1235</v>
      </c>
      <c r="C195" s="3" t="s">
        <v>11</v>
      </c>
      <c r="D195" s="3" t="s">
        <v>44</v>
      </c>
      <c r="E195" s="4">
        <v>0.85</v>
      </c>
      <c r="F195" s="44">
        <v>2.9</v>
      </c>
      <c r="G195" s="21">
        <v>200</v>
      </c>
      <c r="H195" s="30">
        <v>1.6</v>
      </c>
      <c r="I195" s="6">
        <f t="shared" si="9"/>
        <v>788.80000000000007</v>
      </c>
      <c r="J195" s="51" t="s">
        <v>1147</v>
      </c>
      <c r="K195" s="17">
        <f t="shared" ref="K195:K258" si="10">MONTH(A195)</f>
        <v>6</v>
      </c>
    </row>
    <row r="196" spans="1:11" ht="13.95" customHeight="1" x14ac:dyDescent="0.3">
      <c r="A196" s="3">
        <v>45822</v>
      </c>
      <c r="B196" s="19" t="s">
        <v>1235</v>
      </c>
      <c r="C196" s="3" t="s">
        <v>13</v>
      </c>
      <c r="D196" s="3" t="s">
        <v>840</v>
      </c>
      <c r="E196" s="4">
        <v>0.95</v>
      </c>
      <c r="F196" s="44">
        <v>3.8</v>
      </c>
      <c r="G196" s="21">
        <v>200</v>
      </c>
      <c r="H196" s="30">
        <v>1.6</v>
      </c>
      <c r="I196" s="6">
        <f t="shared" si="9"/>
        <v>1155.2</v>
      </c>
      <c r="J196" s="51" t="s">
        <v>1148</v>
      </c>
      <c r="K196" s="17">
        <f t="shared" si="10"/>
        <v>6</v>
      </c>
    </row>
    <row r="197" spans="1:11" ht="13.95" customHeight="1" x14ac:dyDescent="0.3">
      <c r="A197" s="3">
        <v>45823</v>
      </c>
      <c r="B197" s="19" t="s">
        <v>1235</v>
      </c>
      <c r="C197" s="3" t="s">
        <v>16</v>
      </c>
      <c r="D197" s="3" t="s">
        <v>757</v>
      </c>
      <c r="E197" s="4">
        <v>0.98</v>
      </c>
      <c r="F197" s="44">
        <v>3.6</v>
      </c>
      <c r="G197" s="21">
        <v>200</v>
      </c>
      <c r="H197" s="30">
        <v>1.6</v>
      </c>
      <c r="I197" s="6">
        <f t="shared" si="9"/>
        <v>1128.96</v>
      </c>
      <c r="J197" s="51" t="s">
        <v>159</v>
      </c>
      <c r="K197" s="17">
        <f t="shared" si="10"/>
        <v>6</v>
      </c>
    </row>
    <row r="198" spans="1:11" ht="13.95" customHeight="1" x14ac:dyDescent="0.3">
      <c r="A198" s="3">
        <v>45824</v>
      </c>
      <c r="B198" s="19" t="s">
        <v>1235</v>
      </c>
      <c r="C198" s="3" t="s">
        <v>18</v>
      </c>
      <c r="D198" s="3" t="s">
        <v>1057</v>
      </c>
      <c r="E198" s="4">
        <v>0.75</v>
      </c>
      <c r="F198" s="44">
        <v>2.5</v>
      </c>
      <c r="G198" s="21">
        <v>200</v>
      </c>
      <c r="H198" s="30">
        <v>1.6</v>
      </c>
      <c r="I198" s="6">
        <f t="shared" si="9"/>
        <v>600</v>
      </c>
      <c r="J198" s="51" t="s">
        <v>1149</v>
      </c>
      <c r="K198" s="17">
        <f t="shared" si="10"/>
        <v>6</v>
      </c>
    </row>
    <row r="199" spans="1:11" ht="13.95" customHeight="1" x14ac:dyDescent="0.3">
      <c r="A199" s="3">
        <v>45825</v>
      </c>
      <c r="B199" s="19" t="s">
        <v>1235</v>
      </c>
      <c r="C199" s="3" t="s">
        <v>20</v>
      </c>
      <c r="D199" s="3" t="s">
        <v>1057</v>
      </c>
      <c r="E199" s="4">
        <v>0.8</v>
      </c>
      <c r="F199" s="44">
        <v>2.4500000000000002</v>
      </c>
      <c r="G199" s="21">
        <v>200</v>
      </c>
      <c r="H199" s="30">
        <v>1.6</v>
      </c>
      <c r="I199" s="6">
        <f t="shared" si="9"/>
        <v>627.20000000000005</v>
      </c>
      <c r="J199" s="51" t="s">
        <v>71</v>
      </c>
      <c r="K199" s="17">
        <f t="shared" si="10"/>
        <v>6</v>
      </c>
    </row>
    <row r="200" spans="1:11" ht="13.95" customHeight="1" x14ac:dyDescent="0.3">
      <c r="A200" s="3">
        <v>45826</v>
      </c>
      <c r="B200" s="19" t="s">
        <v>1235</v>
      </c>
      <c r="C200" s="3" t="s">
        <v>5</v>
      </c>
      <c r="D200" s="3" t="s">
        <v>1057</v>
      </c>
      <c r="E200" s="4">
        <v>0.85</v>
      </c>
      <c r="F200" s="44">
        <v>2.4</v>
      </c>
      <c r="G200" s="21">
        <v>200</v>
      </c>
      <c r="H200" s="30">
        <v>1.6</v>
      </c>
      <c r="I200" s="6">
        <f t="shared" si="9"/>
        <v>652.80000000000007</v>
      </c>
      <c r="J200" s="51" t="s">
        <v>71</v>
      </c>
      <c r="K200" s="17">
        <f t="shared" si="10"/>
        <v>6</v>
      </c>
    </row>
    <row r="201" spans="1:11" ht="13.95" customHeight="1" x14ac:dyDescent="0.3">
      <c r="A201" s="3">
        <v>45827</v>
      </c>
      <c r="B201" s="19" t="s">
        <v>1235</v>
      </c>
      <c r="C201" s="3" t="s">
        <v>8</v>
      </c>
      <c r="D201" s="3" t="s">
        <v>1057</v>
      </c>
      <c r="E201" s="4">
        <v>0.8</v>
      </c>
      <c r="F201" s="44">
        <v>2.5</v>
      </c>
      <c r="G201" s="21">
        <v>200</v>
      </c>
      <c r="H201" s="30">
        <v>1.6</v>
      </c>
      <c r="I201" s="6">
        <f t="shared" si="9"/>
        <v>640</v>
      </c>
      <c r="J201" s="51" t="s">
        <v>71</v>
      </c>
      <c r="K201" s="17">
        <f t="shared" si="10"/>
        <v>6</v>
      </c>
    </row>
    <row r="202" spans="1:11" ht="13.95" customHeight="1" x14ac:dyDescent="0.3">
      <c r="A202" s="3">
        <v>45828</v>
      </c>
      <c r="B202" s="19" t="s">
        <v>1235</v>
      </c>
      <c r="C202" s="3" t="s">
        <v>11</v>
      </c>
      <c r="D202" s="3" t="s">
        <v>829</v>
      </c>
      <c r="E202" s="4">
        <v>0.88</v>
      </c>
      <c r="F202" s="44">
        <v>2.9</v>
      </c>
      <c r="G202" s="21">
        <v>200</v>
      </c>
      <c r="H202" s="30">
        <v>1.6</v>
      </c>
      <c r="I202" s="6">
        <f t="shared" si="9"/>
        <v>816.64</v>
      </c>
      <c r="J202" s="51" t="s">
        <v>1150</v>
      </c>
      <c r="K202" s="17">
        <f t="shared" si="10"/>
        <v>6</v>
      </c>
    </row>
    <row r="203" spans="1:11" ht="13.95" customHeight="1" x14ac:dyDescent="0.3">
      <c r="A203" s="3">
        <v>45829</v>
      </c>
      <c r="B203" s="19" t="s">
        <v>1235</v>
      </c>
      <c r="C203" s="3" t="s">
        <v>13</v>
      </c>
      <c r="D203" s="3" t="s">
        <v>840</v>
      </c>
      <c r="E203" s="4">
        <v>0.98</v>
      </c>
      <c r="F203" s="44">
        <v>3.9</v>
      </c>
      <c r="G203" s="21">
        <v>200</v>
      </c>
      <c r="H203" s="30">
        <v>1.6</v>
      </c>
      <c r="I203" s="6">
        <f t="shared" si="9"/>
        <v>1223.04</v>
      </c>
      <c r="J203" s="51" t="s">
        <v>1151</v>
      </c>
      <c r="K203" s="17">
        <f t="shared" si="10"/>
        <v>6</v>
      </c>
    </row>
    <row r="204" spans="1:11" ht="13.95" customHeight="1" x14ac:dyDescent="0.3">
      <c r="A204" s="3">
        <v>45830</v>
      </c>
      <c r="B204" s="19" t="s">
        <v>1235</v>
      </c>
      <c r="C204" s="3" t="s">
        <v>16</v>
      </c>
      <c r="D204" s="3" t="s">
        <v>757</v>
      </c>
      <c r="E204" s="4">
        <v>0.95</v>
      </c>
      <c r="F204" s="44">
        <v>3.6</v>
      </c>
      <c r="G204" s="21">
        <v>200</v>
      </c>
      <c r="H204" s="30">
        <v>1.6</v>
      </c>
      <c r="I204" s="6">
        <f t="shared" si="9"/>
        <v>1094.4000000000001</v>
      </c>
      <c r="J204" s="51" t="s">
        <v>238</v>
      </c>
      <c r="K204" s="17">
        <f t="shared" si="10"/>
        <v>6</v>
      </c>
    </row>
    <row r="205" spans="1:11" ht="13.95" customHeight="1" x14ac:dyDescent="0.3">
      <c r="A205" s="3">
        <v>45831</v>
      </c>
      <c r="B205" s="19" t="s">
        <v>1235</v>
      </c>
      <c r="C205" s="3" t="s">
        <v>18</v>
      </c>
      <c r="D205" s="3" t="s">
        <v>1057</v>
      </c>
      <c r="E205" s="4">
        <v>0.75</v>
      </c>
      <c r="F205" s="44">
        <v>2.5</v>
      </c>
      <c r="G205" s="21">
        <v>200</v>
      </c>
      <c r="H205" s="30">
        <v>1.6</v>
      </c>
      <c r="I205" s="6">
        <f t="shared" si="9"/>
        <v>600</v>
      </c>
      <c r="J205" s="51" t="s">
        <v>286</v>
      </c>
      <c r="K205" s="17">
        <f t="shared" si="10"/>
        <v>6</v>
      </c>
    </row>
    <row r="206" spans="1:11" ht="13.95" customHeight="1" x14ac:dyDescent="0.3">
      <c r="A206" s="3">
        <v>45832</v>
      </c>
      <c r="B206" s="19" t="s">
        <v>1235</v>
      </c>
      <c r="C206" s="3" t="s">
        <v>20</v>
      </c>
      <c r="D206" s="3" t="s">
        <v>1057</v>
      </c>
      <c r="E206" s="4">
        <v>0.8</v>
      </c>
      <c r="F206" s="44">
        <v>2.4500000000000002</v>
      </c>
      <c r="G206" s="21">
        <v>200</v>
      </c>
      <c r="H206" s="30">
        <v>1.6</v>
      </c>
      <c r="I206" s="6">
        <f t="shared" si="9"/>
        <v>627.20000000000005</v>
      </c>
      <c r="J206" s="51" t="s">
        <v>71</v>
      </c>
      <c r="K206" s="17">
        <f t="shared" si="10"/>
        <v>6</v>
      </c>
    </row>
    <row r="207" spans="1:11" ht="13.95" customHeight="1" x14ac:dyDescent="0.3">
      <c r="A207" s="3">
        <v>45833</v>
      </c>
      <c r="B207" s="19" t="s">
        <v>1235</v>
      </c>
      <c r="C207" s="3" t="s">
        <v>5</v>
      </c>
      <c r="D207" s="3" t="s">
        <v>1057</v>
      </c>
      <c r="E207" s="4">
        <v>0.85</v>
      </c>
      <c r="F207" s="44">
        <v>2.4</v>
      </c>
      <c r="G207" s="21">
        <v>200</v>
      </c>
      <c r="H207" s="30">
        <v>1.6</v>
      </c>
      <c r="I207" s="6">
        <f t="shared" si="9"/>
        <v>652.80000000000007</v>
      </c>
      <c r="J207" s="51" t="s">
        <v>71</v>
      </c>
      <c r="K207" s="17">
        <f t="shared" si="10"/>
        <v>6</v>
      </c>
    </row>
    <row r="208" spans="1:11" ht="13.95" customHeight="1" x14ac:dyDescent="0.3">
      <c r="A208" s="3">
        <v>45834</v>
      </c>
      <c r="B208" s="19" t="s">
        <v>1235</v>
      </c>
      <c r="C208" s="3" t="s">
        <v>8</v>
      </c>
      <c r="D208" s="3" t="s">
        <v>1057</v>
      </c>
      <c r="E208" s="4">
        <v>0.82</v>
      </c>
      <c r="F208" s="44">
        <v>2.5</v>
      </c>
      <c r="G208" s="21">
        <v>200</v>
      </c>
      <c r="H208" s="30">
        <v>1.6</v>
      </c>
      <c r="I208" s="6">
        <f t="shared" si="9"/>
        <v>656</v>
      </c>
      <c r="J208" s="51" t="s">
        <v>71</v>
      </c>
      <c r="K208" s="17">
        <f t="shared" si="10"/>
        <v>6</v>
      </c>
    </row>
    <row r="209" spans="1:11" ht="13.95" customHeight="1" x14ac:dyDescent="0.3">
      <c r="A209" s="3">
        <v>45835</v>
      </c>
      <c r="B209" s="19" t="s">
        <v>1235</v>
      </c>
      <c r="C209" s="3" t="s">
        <v>11</v>
      </c>
      <c r="D209" s="3" t="s">
        <v>994</v>
      </c>
      <c r="E209" s="4">
        <v>0.88</v>
      </c>
      <c r="F209" s="44">
        <v>3.1</v>
      </c>
      <c r="G209" s="21">
        <v>200</v>
      </c>
      <c r="H209" s="30">
        <v>1.6</v>
      </c>
      <c r="I209" s="6">
        <f t="shared" si="9"/>
        <v>872.96</v>
      </c>
      <c r="J209" s="51" t="s">
        <v>455</v>
      </c>
      <c r="K209" s="17">
        <f t="shared" si="10"/>
        <v>6</v>
      </c>
    </row>
    <row r="210" spans="1:11" ht="13.95" customHeight="1" x14ac:dyDescent="0.3">
      <c r="A210" s="3">
        <v>45836</v>
      </c>
      <c r="B210" s="19" t="s">
        <v>1235</v>
      </c>
      <c r="C210" s="3" t="s">
        <v>13</v>
      </c>
      <c r="D210" s="3" t="s">
        <v>995</v>
      </c>
      <c r="E210" s="4">
        <v>0.9</v>
      </c>
      <c r="F210" s="44">
        <v>3.5</v>
      </c>
      <c r="G210" s="21">
        <v>200</v>
      </c>
      <c r="H210" s="30">
        <v>1.6</v>
      </c>
      <c r="I210" s="6">
        <f t="shared" si="9"/>
        <v>1008</v>
      </c>
      <c r="J210" s="51" t="s">
        <v>1152</v>
      </c>
      <c r="K210" s="17">
        <f t="shared" si="10"/>
        <v>6</v>
      </c>
    </row>
    <row r="211" spans="1:11" ht="13.95" customHeight="1" x14ac:dyDescent="0.3">
      <c r="A211" s="3">
        <v>45837</v>
      </c>
      <c r="B211" s="19" t="s">
        <v>1235</v>
      </c>
      <c r="C211" s="3" t="s">
        <v>16</v>
      </c>
      <c r="D211" s="3" t="s">
        <v>757</v>
      </c>
      <c r="E211" s="4">
        <v>0.95</v>
      </c>
      <c r="F211" s="44">
        <v>3.6</v>
      </c>
      <c r="G211" s="21">
        <v>200</v>
      </c>
      <c r="H211" s="30">
        <v>1.6</v>
      </c>
      <c r="I211" s="6">
        <f t="shared" si="9"/>
        <v>1094.4000000000001</v>
      </c>
      <c r="J211" s="51" t="s">
        <v>733</v>
      </c>
      <c r="K211" s="17">
        <f t="shared" si="10"/>
        <v>6</v>
      </c>
    </row>
    <row r="212" spans="1:11" ht="13.95" customHeight="1" x14ac:dyDescent="0.3">
      <c r="A212" s="3">
        <v>45838</v>
      </c>
      <c r="B212" s="19" t="s">
        <v>1235</v>
      </c>
      <c r="C212" s="3" t="s">
        <v>18</v>
      </c>
      <c r="D212" s="3" t="s">
        <v>1057</v>
      </c>
      <c r="E212" s="4">
        <v>0.78</v>
      </c>
      <c r="F212" s="44">
        <v>2.5</v>
      </c>
      <c r="G212" s="21">
        <v>200</v>
      </c>
      <c r="H212" s="30">
        <v>1.6</v>
      </c>
      <c r="I212" s="6">
        <f t="shared" si="9"/>
        <v>624</v>
      </c>
      <c r="J212" s="51" t="s">
        <v>998</v>
      </c>
      <c r="K212" s="17">
        <f t="shared" si="10"/>
        <v>6</v>
      </c>
    </row>
    <row r="213" spans="1:11" ht="13.95" customHeight="1" x14ac:dyDescent="0.3">
      <c r="A213" s="3">
        <v>45870</v>
      </c>
      <c r="B213" s="19" t="s">
        <v>1235</v>
      </c>
      <c r="C213" s="3" t="s">
        <v>11</v>
      </c>
      <c r="D213" s="3" t="s">
        <v>829</v>
      </c>
      <c r="E213" s="4">
        <v>0.95</v>
      </c>
      <c r="F213" s="44">
        <v>3.2</v>
      </c>
      <c r="G213" s="21">
        <v>200</v>
      </c>
      <c r="H213" s="30">
        <v>1.6</v>
      </c>
      <c r="I213" s="6">
        <f t="shared" si="9"/>
        <v>972.80000000000007</v>
      </c>
      <c r="J213" s="51" t="s">
        <v>1153</v>
      </c>
      <c r="K213" s="17">
        <f t="shared" si="10"/>
        <v>8</v>
      </c>
    </row>
    <row r="214" spans="1:11" ht="13.95" customHeight="1" x14ac:dyDescent="0.3">
      <c r="A214" s="3">
        <v>45871</v>
      </c>
      <c r="B214" s="19" t="s">
        <v>1235</v>
      </c>
      <c r="C214" s="3" t="s">
        <v>13</v>
      </c>
      <c r="D214" s="3" t="s">
        <v>831</v>
      </c>
      <c r="E214" s="4">
        <v>1</v>
      </c>
      <c r="F214" s="44">
        <v>4.2</v>
      </c>
      <c r="G214" s="21">
        <v>200</v>
      </c>
      <c r="H214" s="30">
        <v>1.6</v>
      </c>
      <c r="I214" s="6">
        <f t="shared" si="9"/>
        <v>1344</v>
      </c>
      <c r="J214" s="51" t="s">
        <v>1154</v>
      </c>
      <c r="K214" s="17">
        <f t="shared" si="10"/>
        <v>8</v>
      </c>
    </row>
    <row r="215" spans="1:11" ht="13.95" customHeight="1" x14ac:dyDescent="0.3">
      <c r="A215" s="3">
        <v>45872</v>
      </c>
      <c r="B215" s="19" t="s">
        <v>1235</v>
      </c>
      <c r="C215" s="3" t="s">
        <v>16</v>
      </c>
      <c r="D215" s="3" t="s">
        <v>757</v>
      </c>
      <c r="E215" s="4">
        <v>1</v>
      </c>
      <c r="F215" s="44">
        <v>3.8</v>
      </c>
      <c r="G215" s="21">
        <v>200</v>
      </c>
      <c r="H215" s="30">
        <v>1.6</v>
      </c>
      <c r="I215" s="6">
        <f t="shared" si="9"/>
        <v>1216</v>
      </c>
      <c r="J215" s="51" t="s">
        <v>1155</v>
      </c>
      <c r="K215" s="17">
        <f t="shared" si="10"/>
        <v>8</v>
      </c>
    </row>
    <row r="216" spans="1:11" ht="13.95" customHeight="1" x14ac:dyDescent="0.3">
      <c r="A216" s="3">
        <v>45873</v>
      </c>
      <c r="B216" s="19" t="s">
        <v>1235</v>
      </c>
      <c r="C216" s="3" t="s">
        <v>18</v>
      </c>
      <c r="D216" s="3" t="s">
        <v>1156</v>
      </c>
      <c r="E216" s="4">
        <v>0.9</v>
      </c>
      <c r="F216" s="44">
        <v>2.7</v>
      </c>
      <c r="G216" s="21">
        <v>200</v>
      </c>
      <c r="H216" s="30">
        <v>1.6</v>
      </c>
      <c r="I216" s="6">
        <f t="shared" si="9"/>
        <v>777.60000000000014</v>
      </c>
      <c r="J216" s="51" t="s">
        <v>1157</v>
      </c>
      <c r="K216" s="17">
        <f t="shared" si="10"/>
        <v>8</v>
      </c>
    </row>
    <row r="217" spans="1:11" ht="13.95" customHeight="1" x14ac:dyDescent="0.3">
      <c r="A217" s="3">
        <v>45874</v>
      </c>
      <c r="B217" s="19" t="s">
        <v>1235</v>
      </c>
      <c r="C217" s="3" t="s">
        <v>20</v>
      </c>
      <c r="D217" s="3" t="s">
        <v>1156</v>
      </c>
      <c r="E217" s="4">
        <v>0.88</v>
      </c>
      <c r="F217" s="44">
        <v>2.7</v>
      </c>
      <c r="G217" s="21">
        <v>200</v>
      </c>
      <c r="H217" s="30">
        <v>1.6</v>
      </c>
      <c r="I217" s="6">
        <f t="shared" si="9"/>
        <v>760.32000000000016</v>
      </c>
      <c r="J217" s="51" t="s">
        <v>609</v>
      </c>
      <c r="K217" s="17">
        <f t="shared" si="10"/>
        <v>8</v>
      </c>
    </row>
    <row r="218" spans="1:11" ht="13.95" customHeight="1" x14ac:dyDescent="0.3">
      <c r="A218" s="3">
        <v>45875</v>
      </c>
      <c r="B218" s="19" t="s">
        <v>1235</v>
      </c>
      <c r="C218" s="3" t="s">
        <v>5</v>
      </c>
      <c r="D218" s="3" t="s">
        <v>1156</v>
      </c>
      <c r="E218" s="4">
        <v>0.85</v>
      </c>
      <c r="F218" s="44">
        <v>2.65</v>
      </c>
      <c r="G218" s="21">
        <v>200</v>
      </c>
      <c r="H218" s="30">
        <v>1.6</v>
      </c>
      <c r="I218" s="6">
        <f t="shared" si="9"/>
        <v>720.80000000000007</v>
      </c>
      <c r="J218" s="51" t="s">
        <v>54</v>
      </c>
      <c r="K218" s="17">
        <f t="shared" si="10"/>
        <v>8</v>
      </c>
    </row>
    <row r="219" spans="1:11" ht="13.95" customHeight="1" x14ac:dyDescent="0.3">
      <c r="A219" s="3">
        <v>45876</v>
      </c>
      <c r="B219" s="19" t="s">
        <v>1235</v>
      </c>
      <c r="C219" s="3" t="s">
        <v>8</v>
      </c>
      <c r="D219" s="3" t="s">
        <v>1156</v>
      </c>
      <c r="E219" s="4">
        <v>0.88</v>
      </c>
      <c r="F219" s="44">
        <v>2.65</v>
      </c>
      <c r="G219" s="21">
        <v>200</v>
      </c>
      <c r="H219" s="30">
        <v>1.6</v>
      </c>
      <c r="I219" s="6">
        <f t="shared" si="9"/>
        <v>746.24</v>
      </c>
      <c r="J219" s="51" t="s">
        <v>54</v>
      </c>
      <c r="K219" s="17">
        <f t="shared" si="10"/>
        <v>8</v>
      </c>
    </row>
    <row r="220" spans="1:11" ht="13.95" customHeight="1" x14ac:dyDescent="0.3">
      <c r="A220" s="3">
        <v>45877</v>
      </c>
      <c r="B220" s="19" t="s">
        <v>1235</v>
      </c>
      <c r="C220" s="3" t="s">
        <v>11</v>
      </c>
      <c r="D220" s="3" t="s">
        <v>829</v>
      </c>
      <c r="E220" s="4">
        <v>0.95</v>
      </c>
      <c r="F220" s="44">
        <v>3.25</v>
      </c>
      <c r="G220" s="21">
        <v>200</v>
      </c>
      <c r="H220" s="30">
        <v>1.6</v>
      </c>
      <c r="I220" s="6">
        <f t="shared" ref="I220:I283" si="11">(G220*E220)*F220*H220</f>
        <v>988</v>
      </c>
      <c r="J220" s="51" t="s">
        <v>541</v>
      </c>
      <c r="K220" s="17">
        <f t="shared" si="10"/>
        <v>8</v>
      </c>
    </row>
    <row r="221" spans="1:11" ht="13.95" customHeight="1" x14ac:dyDescent="0.3">
      <c r="A221" s="3">
        <v>45878</v>
      </c>
      <c r="B221" s="19" t="s">
        <v>1235</v>
      </c>
      <c r="C221" s="3" t="s">
        <v>13</v>
      </c>
      <c r="D221" s="3" t="s">
        <v>840</v>
      </c>
      <c r="E221" s="4">
        <v>1</v>
      </c>
      <c r="F221" s="44">
        <v>4.3</v>
      </c>
      <c r="G221" s="21">
        <v>200</v>
      </c>
      <c r="H221" s="30">
        <v>1.6</v>
      </c>
      <c r="I221" s="6">
        <f t="shared" si="11"/>
        <v>1376</v>
      </c>
      <c r="J221" s="51" t="s">
        <v>1158</v>
      </c>
      <c r="K221" s="17">
        <f t="shared" si="10"/>
        <v>8</v>
      </c>
    </row>
    <row r="222" spans="1:11" ht="13.95" customHeight="1" x14ac:dyDescent="0.3">
      <c r="A222" s="3">
        <v>45879</v>
      </c>
      <c r="B222" s="19" t="s">
        <v>1235</v>
      </c>
      <c r="C222" s="3" t="s">
        <v>16</v>
      </c>
      <c r="D222" s="3" t="s">
        <v>757</v>
      </c>
      <c r="E222" s="4">
        <v>1</v>
      </c>
      <c r="F222" s="44">
        <v>3.85</v>
      </c>
      <c r="G222" s="21">
        <v>200</v>
      </c>
      <c r="H222" s="30">
        <v>1.6</v>
      </c>
      <c r="I222" s="6">
        <f t="shared" si="11"/>
        <v>1232</v>
      </c>
      <c r="J222" s="51" t="s">
        <v>1159</v>
      </c>
      <c r="K222" s="17">
        <f t="shared" si="10"/>
        <v>8</v>
      </c>
    </row>
    <row r="223" spans="1:11" ht="13.95" customHeight="1" x14ac:dyDescent="0.3">
      <c r="A223" s="3">
        <v>45880</v>
      </c>
      <c r="B223" s="19" t="s">
        <v>1235</v>
      </c>
      <c r="C223" s="3" t="s">
        <v>18</v>
      </c>
      <c r="D223" s="3" t="s">
        <v>1156</v>
      </c>
      <c r="E223" s="4">
        <v>0.9</v>
      </c>
      <c r="F223" s="44">
        <v>2.7</v>
      </c>
      <c r="G223" s="21">
        <v>200</v>
      </c>
      <c r="H223" s="30">
        <v>1.6</v>
      </c>
      <c r="I223" s="6">
        <f t="shared" si="11"/>
        <v>777.60000000000014</v>
      </c>
      <c r="J223" s="51" t="s">
        <v>476</v>
      </c>
      <c r="K223" s="17">
        <f t="shared" si="10"/>
        <v>8</v>
      </c>
    </row>
    <row r="224" spans="1:11" ht="13.95" customHeight="1" x14ac:dyDescent="0.3">
      <c r="A224" s="3">
        <v>45881</v>
      </c>
      <c r="B224" s="19" t="s">
        <v>1235</v>
      </c>
      <c r="C224" s="3" t="s">
        <v>20</v>
      </c>
      <c r="D224" s="3" t="s">
        <v>843</v>
      </c>
      <c r="E224" s="4">
        <v>0.92</v>
      </c>
      <c r="F224" s="44">
        <v>2.8</v>
      </c>
      <c r="G224" s="21">
        <v>200</v>
      </c>
      <c r="H224" s="30">
        <v>1.6</v>
      </c>
      <c r="I224" s="6">
        <f t="shared" si="11"/>
        <v>824.31999999999994</v>
      </c>
      <c r="J224" s="51" t="s">
        <v>1018</v>
      </c>
      <c r="K224" s="17">
        <f t="shared" si="10"/>
        <v>8</v>
      </c>
    </row>
    <row r="225" spans="1:11" ht="13.95" customHeight="1" x14ac:dyDescent="0.3">
      <c r="A225" s="3">
        <v>45882</v>
      </c>
      <c r="B225" s="19" t="s">
        <v>1235</v>
      </c>
      <c r="C225" s="3" t="s">
        <v>5</v>
      </c>
      <c r="D225" s="3" t="s">
        <v>850</v>
      </c>
      <c r="E225" s="4">
        <v>0.98</v>
      </c>
      <c r="F225" s="44">
        <v>3.7</v>
      </c>
      <c r="G225" s="21">
        <v>200</v>
      </c>
      <c r="H225" s="30">
        <v>1.6</v>
      </c>
      <c r="I225" s="6">
        <f t="shared" si="11"/>
        <v>1160.3200000000002</v>
      </c>
      <c r="J225" s="51" t="s">
        <v>1160</v>
      </c>
      <c r="K225" s="17">
        <f t="shared" si="10"/>
        <v>8</v>
      </c>
    </row>
    <row r="226" spans="1:11" ht="13.95" customHeight="1" x14ac:dyDescent="0.3">
      <c r="A226" s="3">
        <v>45883</v>
      </c>
      <c r="B226" s="19" t="s">
        <v>1235</v>
      </c>
      <c r="C226" s="3" t="s">
        <v>8</v>
      </c>
      <c r="D226" s="3" t="s">
        <v>1156</v>
      </c>
      <c r="E226" s="4">
        <v>0.88</v>
      </c>
      <c r="F226" s="44">
        <v>2.7</v>
      </c>
      <c r="G226" s="21">
        <v>200</v>
      </c>
      <c r="H226" s="30">
        <v>1.6</v>
      </c>
      <c r="I226" s="6">
        <f t="shared" si="11"/>
        <v>760.32000000000016</v>
      </c>
      <c r="J226" s="51" t="s">
        <v>70</v>
      </c>
      <c r="K226" s="17">
        <f t="shared" si="10"/>
        <v>8</v>
      </c>
    </row>
    <row r="227" spans="1:11" ht="13.95" customHeight="1" x14ac:dyDescent="0.3">
      <c r="A227" s="3">
        <v>45884</v>
      </c>
      <c r="B227" s="19" t="s">
        <v>1235</v>
      </c>
      <c r="C227" s="3" t="s">
        <v>11</v>
      </c>
      <c r="D227" s="3" t="s">
        <v>829</v>
      </c>
      <c r="E227" s="4">
        <v>0.95</v>
      </c>
      <c r="F227" s="44">
        <v>3.3</v>
      </c>
      <c r="G227" s="21">
        <v>200</v>
      </c>
      <c r="H227" s="30">
        <v>1.6</v>
      </c>
      <c r="I227" s="6">
        <f t="shared" si="11"/>
        <v>1003.2</v>
      </c>
      <c r="J227" s="51" t="s">
        <v>1161</v>
      </c>
      <c r="K227" s="17">
        <f t="shared" si="10"/>
        <v>8</v>
      </c>
    </row>
    <row r="228" spans="1:11" ht="13.95" customHeight="1" x14ac:dyDescent="0.3">
      <c r="A228" s="3">
        <v>45885</v>
      </c>
      <c r="B228" s="19" t="s">
        <v>1235</v>
      </c>
      <c r="C228" s="3" t="s">
        <v>13</v>
      </c>
      <c r="D228" s="3" t="s">
        <v>840</v>
      </c>
      <c r="E228" s="4">
        <v>1</v>
      </c>
      <c r="F228" s="44">
        <v>4.25</v>
      </c>
      <c r="G228" s="21">
        <v>200</v>
      </c>
      <c r="H228" s="30">
        <v>1.6</v>
      </c>
      <c r="I228" s="6">
        <f t="shared" si="11"/>
        <v>1360</v>
      </c>
      <c r="J228" s="51" t="s">
        <v>993</v>
      </c>
      <c r="K228" s="17">
        <f t="shared" si="10"/>
        <v>8</v>
      </c>
    </row>
    <row r="229" spans="1:11" ht="13.95" customHeight="1" x14ac:dyDescent="0.3">
      <c r="A229" s="3">
        <v>45886</v>
      </c>
      <c r="B229" s="19" t="s">
        <v>1235</v>
      </c>
      <c r="C229" s="3" t="s">
        <v>16</v>
      </c>
      <c r="D229" s="3" t="s">
        <v>757</v>
      </c>
      <c r="E229" s="4">
        <v>1</v>
      </c>
      <c r="F229" s="44">
        <v>3.8</v>
      </c>
      <c r="G229" s="21">
        <v>200</v>
      </c>
      <c r="H229" s="30">
        <v>1.6</v>
      </c>
      <c r="I229" s="6">
        <f t="shared" si="11"/>
        <v>1216</v>
      </c>
      <c r="J229" s="51" t="s">
        <v>181</v>
      </c>
      <c r="K229" s="17">
        <f t="shared" si="10"/>
        <v>8</v>
      </c>
    </row>
    <row r="230" spans="1:11" ht="13.95" customHeight="1" x14ac:dyDescent="0.3">
      <c r="A230" s="3">
        <v>45887</v>
      </c>
      <c r="B230" s="19" t="s">
        <v>1235</v>
      </c>
      <c r="C230" s="3" t="s">
        <v>18</v>
      </c>
      <c r="D230" s="3" t="s">
        <v>1156</v>
      </c>
      <c r="E230" s="4">
        <v>0.85</v>
      </c>
      <c r="F230" s="44">
        <v>2.7</v>
      </c>
      <c r="G230" s="21">
        <v>200</v>
      </c>
      <c r="H230" s="30">
        <v>1.6</v>
      </c>
      <c r="I230" s="6">
        <f t="shared" si="11"/>
        <v>734.40000000000009</v>
      </c>
      <c r="J230" s="51" t="s">
        <v>476</v>
      </c>
      <c r="K230" s="17">
        <f t="shared" si="10"/>
        <v>8</v>
      </c>
    </row>
    <row r="231" spans="1:11" ht="13.95" customHeight="1" x14ac:dyDescent="0.3">
      <c r="A231" s="3">
        <v>45888</v>
      </c>
      <c r="B231" s="19" t="s">
        <v>1235</v>
      </c>
      <c r="C231" s="3" t="s">
        <v>20</v>
      </c>
      <c r="D231" s="3" t="s">
        <v>1156</v>
      </c>
      <c r="E231" s="4">
        <v>0.82</v>
      </c>
      <c r="F231" s="44">
        <v>2.65</v>
      </c>
      <c r="G231" s="21">
        <v>200</v>
      </c>
      <c r="H231" s="30">
        <v>1.6</v>
      </c>
      <c r="I231" s="6">
        <f t="shared" si="11"/>
        <v>695.36</v>
      </c>
      <c r="J231" s="51" t="s">
        <v>476</v>
      </c>
      <c r="K231" s="17">
        <f t="shared" si="10"/>
        <v>8</v>
      </c>
    </row>
    <row r="232" spans="1:11" ht="13.95" customHeight="1" x14ac:dyDescent="0.3">
      <c r="A232" s="3">
        <v>45889</v>
      </c>
      <c r="B232" s="19" t="s">
        <v>1235</v>
      </c>
      <c r="C232" s="3" t="s">
        <v>5</v>
      </c>
      <c r="D232" s="3" t="s">
        <v>1156</v>
      </c>
      <c r="E232" s="4">
        <v>0.85</v>
      </c>
      <c r="F232" s="44">
        <v>2.65</v>
      </c>
      <c r="G232" s="21">
        <v>200</v>
      </c>
      <c r="H232" s="30">
        <v>1.6</v>
      </c>
      <c r="I232" s="6">
        <f t="shared" si="11"/>
        <v>720.80000000000007</v>
      </c>
      <c r="J232" s="51" t="s">
        <v>476</v>
      </c>
      <c r="K232" s="17">
        <f t="shared" si="10"/>
        <v>8</v>
      </c>
    </row>
    <row r="233" spans="1:11" ht="13.95" customHeight="1" x14ac:dyDescent="0.3">
      <c r="A233" s="3">
        <v>45890</v>
      </c>
      <c r="B233" s="19" t="s">
        <v>1235</v>
      </c>
      <c r="C233" s="3" t="s">
        <v>8</v>
      </c>
      <c r="D233" s="3" t="s">
        <v>1156</v>
      </c>
      <c r="E233" s="4">
        <v>0.88</v>
      </c>
      <c r="F233" s="44">
        <v>2.7</v>
      </c>
      <c r="G233" s="21">
        <v>200</v>
      </c>
      <c r="H233" s="30">
        <v>1.6</v>
      </c>
      <c r="I233" s="6">
        <f t="shared" si="11"/>
        <v>760.32000000000016</v>
      </c>
      <c r="J233" s="51" t="s">
        <v>476</v>
      </c>
      <c r="K233" s="17">
        <f t="shared" si="10"/>
        <v>8</v>
      </c>
    </row>
    <row r="234" spans="1:11" ht="13.95" customHeight="1" x14ac:dyDescent="0.3">
      <c r="A234" s="3">
        <v>45891</v>
      </c>
      <c r="B234" s="19" t="s">
        <v>1235</v>
      </c>
      <c r="C234" s="3" t="s">
        <v>11</v>
      </c>
      <c r="D234" s="3" t="s">
        <v>829</v>
      </c>
      <c r="E234" s="4">
        <v>0.92</v>
      </c>
      <c r="F234" s="44">
        <v>3.25</v>
      </c>
      <c r="G234" s="21">
        <v>200</v>
      </c>
      <c r="H234" s="30">
        <v>1.6</v>
      </c>
      <c r="I234" s="6">
        <f t="shared" si="11"/>
        <v>956.80000000000007</v>
      </c>
      <c r="J234" s="51" t="s">
        <v>67</v>
      </c>
      <c r="K234" s="17">
        <f t="shared" si="10"/>
        <v>8</v>
      </c>
    </row>
    <row r="235" spans="1:11" ht="13.95" customHeight="1" x14ac:dyDescent="0.3">
      <c r="A235" s="3">
        <v>45892</v>
      </c>
      <c r="B235" s="19" t="s">
        <v>1235</v>
      </c>
      <c r="C235" s="3" t="s">
        <v>13</v>
      </c>
      <c r="D235" s="3" t="s">
        <v>840</v>
      </c>
      <c r="E235" s="4">
        <v>1</v>
      </c>
      <c r="F235" s="44">
        <v>4.2</v>
      </c>
      <c r="G235" s="21">
        <v>200</v>
      </c>
      <c r="H235" s="30">
        <v>1.6</v>
      </c>
      <c r="I235" s="6">
        <f t="shared" si="11"/>
        <v>1344</v>
      </c>
      <c r="J235" s="51" t="s">
        <v>1008</v>
      </c>
      <c r="K235" s="17">
        <f t="shared" si="10"/>
        <v>8</v>
      </c>
    </row>
    <row r="236" spans="1:11" ht="13.95" customHeight="1" x14ac:dyDescent="0.3">
      <c r="A236" s="3">
        <v>45893</v>
      </c>
      <c r="B236" s="19" t="s">
        <v>1235</v>
      </c>
      <c r="C236" s="3" t="s">
        <v>16</v>
      </c>
      <c r="D236" s="3" t="s">
        <v>757</v>
      </c>
      <c r="E236" s="4">
        <v>1</v>
      </c>
      <c r="F236" s="44">
        <v>3.8</v>
      </c>
      <c r="G236" s="21">
        <v>200</v>
      </c>
      <c r="H236" s="30">
        <v>1.6</v>
      </c>
      <c r="I236" s="6">
        <f t="shared" si="11"/>
        <v>1216</v>
      </c>
      <c r="J236" s="51" t="s">
        <v>238</v>
      </c>
      <c r="K236" s="17">
        <f t="shared" si="10"/>
        <v>8</v>
      </c>
    </row>
    <row r="237" spans="1:11" ht="13.95" customHeight="1" x14ac:dyDescent="0.3">
      <c r="A237" s="3">
        <v>45894</v>
      </c>
      <c r="B237" s="19" t="s">
        <v>1235</v>
      </c>
      <c r="C237" s="3" t="s">
        <v>18</v>
      </c>
      <c r="D237" s="3" t="s">
        <v>1156</v>
      </c>
      <c r="E237" s="4">
        <v>0.88</v>
      </c>
      <c r="F237" s="44">
        <v>2.7</v>
      </c>
      <c r="G237" s="21">
        <v>200</v>
      </c>
      <c r="H237" s="30">
        <v>1.6</v>
      </c>
      <c r="I237" s="6">
        <f t="shared" si="11"/>
        <v>760.32000000000016</v>
      </c>
      <c r="J237" s="51" t="s">
        <v>755</v>
      </c>
      <c r="K237" s="17">
        <f t="shared" si="10"/>
        <v>8</v>
      </c>
    </row>
    <row r="238" spans="1:11" ht="13.95" customHeight="1" x14ac:dyDescent="0.3">
      <c r="A238" s="3">
        <v>45895</v>
      </c>
      <c r="B238" s="19" t="s">
        <v>1235</v>
      </c>
      <c r="C238" s="3" t="s">
        <v>20</v>
      </c>
      <c r="D238" s="3" t="s">
        <v>1156</v>
      </c>
      <c r="E238" s="4">
        <v>0.85</v>
      </c>
      <c r="F238" s="44">
        <v>2.65</v>
      </c>
      <c r="G238" s="21">
        <v>200</v>
      </c>
      <c r="H238" s="30">
        <v>1.6</v>
      </c>
      <c r="I238" s="6">
        <f t="shared" si="11"/>
        <v>720.80000000000007</v>
      </c>
      <c r="J238" s="51" t="s">
        <v>476</v>
      </c>
      <c r="K238" s="17">
        <f t="shared" si="10"/>
        <v>8</v>
      </c>
    </row>
    <row r="239" spans="1:11" ht="13.95" customHeight="1" x14ac:dyDescent="0.3">
      <c r="A239" s="3">
        <v>45896</v>
      </c>
      <c r="B239" s="19" t="s">
        <v>1235</v>
      </c>
      <c r="C239" s="3" t="s">
        <v>5</v>
      </c>
      <c r="D239" s="3" t="s">
        <v>1156</v>
      </c>
      <c r="E239" s="4">
        <v>0.82</v>
      </c>
      <c r="F239" s="44">
        <v>2.6</v>
      </c>
      <c r="G239" s="21">
        <v>200</v>
      </c>
      <c r="H239" s="30">
        <v>1.6</v>
      </c>
      <c r="I239" s="6">
        <f t="shared" si="11"/>
        <v>682.24000000000012</v>
      </c>
      <c r="J239" s="51" t="s">
        <v>1162</v>
      </c>
      <c r="K239" s="17">
        <f t="shared" si="10"/>
        <v>8</v>
      </c>
    </row>
    <row r="240" spans="1:11" ht="13.95" customHeight="1" x14ac:dyDescent="0.3">
      <c r="A240" s="3">
        <v>45897</v>
      </c>
      <c r="B240" s="19" t="s">
        <v>1235</v>
      </c>
      <c r="C240" s="3" t="s">
        <v>8</v>
      </c>
      <c r="D240" s="3" t="s">
        <v>1156</v>
      </c>
      <c r="E240" s="4">
        <v>0.85</v>
      </c>
      <c r="F240" s="44">
        <v>2.65</v>
      </c>
      <c r="G240" s="21">
        <v>200</v>
      </c>
      <c r="H240" s="30">
        <v>1.6</v>
      </c>
      <c r="I240" s="6">
        <f t="shared" si="11"/>
        <v>720.80000000000007</v>
      </c>
      <c r="J240" s="51" t="s">
        <v>476</v>
      </c>
      <c r="K240" s="17">
        <f t="shared" si="10"/>
        <v>8</v>
      </c>
    </row>
    <row r="241" spans="1:11" ht="13.95" customHeight="1" x14ac:dyDescent="0.3">
      <c r="A241" s="3">
        <v>45898</v>
      </c>
      <c r="B241" s="19" t="s">
        <v>1235</v>
      </c>
      <c r="C241" s="3" t="s">
        <v>11</v>
      </c>
      <c r="D241" s="3" t="s">
        <v>44</v>
      </c>
      <c r="E241" s="4">
        <v>0.9</v>
      </c>
      <c r="F241" s="44">
        <v>3.1</v>
      </c>
      <c r="G241" s="21">
        <v>200</v>
      </c>
      <c r="H241" s="30">
        <v>1.6</v>
      </c>
      <c r="I241" s="6">
        <f t="shared" si="11"/>
        <v>892.80000000000007</v>
      </c>
      <c r="J241" s="51" t="s">
        <v>1163</v>
      </c>
      <c r="K241" s="17">
        <f t="shared" si="10"/>
        <v>8</v>
      </c>
    </row>
    <row r="242" spans="1:11" ht="13.95" customHeight="1" x14ac:dyDescent="0.3">
      <c r="A242" s="3">
        <v>45899</v>
      </c>
      <c r="B242" s="19" t="s">
        <v>1235</v>
      </c>
      <c r="C242" s="3" t="s">
        <v>13</v>
      </c>
      <c r="D242" s="3" t="s">
        <v>855</v>
      </c>
      <c r="E242" s="4">
        <v>1</v>
      </c>
      <c r="F242" s="44">
        <v>4.1500000000000004</v>
      </c>
      <c r="G242" s="21">
        <v>200</v>
      </c>
      <c r="H242" s="30">
        <v>1.6</v>
      </c>
      <c r="I242" s="6">
        <f t="shared" si="11"/>
        <v>1328.0000000000002</v>
      </c>
      <c r="J242" s="51" t="s">
        <v>1164</v>
      </c>
      <c r="K242" s="17">
        <f t="shared" si="10"/>
        <v>8</v>
      </c>
    </row>
    <row r="243" spans="1:11" ht="13.95" customHeight="1" x14ac:dyDescent="0.3">
      <c r="A243" s="3">
        <v>45900</v>
      </c>
      <c r="B243" s="19" t="s">
        <v>1235</v>
      </c>
      <c r="C243" s="3" t="s">
        <v>16</v>
      </c>
      <c r="D243" s="3" t="s">
        <v>757</v>
      </c>
      <c r="E243" s="4">
        <v>1</v>
      </c>
      <c r="F243" s="44">
        <v>3.8</v>
      </c>
      <c r="G243" s="21">
        <v>200</v>
      </c>
      <c r="H243" s="30">
        <v>1.6</v>
      </c>
      <c r="I243" s="6">
        <f t="shared" si="11"/>
        <v>1216</v>
      </c>
      <c r="J243" s="51" t="s">
        <v>857</v>
      </c>
      <c r="K243" s="17">
        <f t="shared" si="10"/>
        <v>8</v>
      </c>
    </row>
    <row r="244" spans="1:11" ht="13.95" customHeight="1" x14ac:dyDescent="0.3">
      <c r="A244" s="3">
        <v>45901</v>
      </c>
      <c r="B244" s="19" t="s">
        <v>1235</v>
      </c>
      <c r="C244" s="3" t="s">
        <v>18</v>
      </c>
      <c r="D244" s="3" t="s">
        <v>1165</v>
      </c>
      <c r="E244" s="4">
        <v>0.75</v>
      </c>
      <c r="F244" s="44">
        <v>2.5</v>
      </c>
      <c r="G244" s="21">
        <v>200</v>
      </c>
      <c r="H244" s="30">
        <v>1.6</v>
      </c>
      <c r="I244" s="6">
        <f t="shared" si="11"/>
        <v>600</v>
      </c>
      <c r="J244" s="51" t="s">
        <v>1166</v>
      </c>
      <c r="K244" s="17">
        <f t="shared" si="10"/>
        <v>9</v>
      </c>
    </row>
    <row r="245" spans="1:11" ht="13.95" customHeight="1" x14ac:dyDescent="0.3">
      <c r="A245" s="3">
        <v>45902</v>
      </c>
      <c r="B245" s="19" t="s">
        <v>1235</v>
      </c>
      <c r="C245" s="3" t="s">
        <v>20</v>
      </c>
      <c r="D245" s="3" t="s">
        <v>1167</v>
      </c>
      <c r="E245" s="4">
        <v>0.78</v>
      </c>
      <c r="F245" s="44">
        <v>2.5499999999999998</v>
      </c>
      <c r="G245" s="21">
        <v>200</v>
      </c>
      <c r="H245" s="30">
        <v>1.6</v>
      </c>
      <c r="I245" s="6">
        <f t="shared" si="11"/>
        <v>636.48</v>
      </c>
      <c r="J245" s="51" t="s">
        <v>1168</v>
      </c>
      <c r="K245" s="17">
        <f t="shared" si="10"/>
        <v>9</v>
      </c>
    </row>
    <row r="246" spans="1:11" ht="13.95" customHeight="1" x14ac:dyDescent="0.3">
      <c r="A246" s="3">
        <v>45903</v>
      </c>
      <c r="B246" s="19" t="s">
        <v>1235</v>
      </c>
      <c r="C246" s="3" t="s">
        <v>5</v>
      </c>
      <c r="D246" s="3" t="s">
        <v>1167</v>
      </c>
      <c r="E246" s="4">
        <v>0.8</v>
      </c>
      <c r="F246" s="44">
        <v>2.5</v>
      </c>
      <c r="G246" s="21">
        <v>200</v>
      </c>
      <c r="H246" s="30">
        <v>1.6</v>
      </c>
      <c r="I246" s="6">
        <f t="shared" si="11"/>
        <v>640</v>
      </c>
      <c r="J246" s="51" t="s">
        <v>71</v>
      </c>
      <c r="K246" s="17">
        <f t="shared" si="10"/>
        <v>9</v>
      </c>
    </row>
    <row r="247" spans="1:11" ht="13.95" customHeight="1" x14ac:dyDescent="0.3">
      <c r="A247" s="3">
        <v>45904</v>
      </c>
      <c r="B247" s="19" t="s">
        <v>1235</v>
      </c>
      <c r="C247" s="3" t="s">
        <v>8</v>
      </c>
      <c r="D247" s="3" t="s">
        <v>1167</v>
      </c>
      <c r="E247" s="4">
        <v>0.75</v>
      </c>
      <c r="F247" s="44">
        <v>2.4500000000000002</v>
      </c>
      <c r="G247" s="21">
        <v>200</v>
      </c>
      <c r="H247" s="30">
        <v>1.6</v>
      </c>
      <c r="I247" s="6">
        <f t="shared" si="11"/>
        <v>588</v>
      </c>
      <c r="J247" s="51" t="s">
        <v>71</v>
      </c>
      <c r="K247" s="17">
        <f t="shared" si="10"/>
        <v>9</v>
      </c>
    </row>
    <row r="248" spans="1:11" ht="13.95" customHeight="1" x14ac:dyDescent="0.3">
      <c r="A248" s="3">
        <v>45905</v>
      </c>
      <c r="B248" s="19" t="s">
        <v>1235</v>
      </c>
      <c r="C248" s="3" t="s">
        <v>11</v>
      </c>
      <c r="D248" s="3" t="s">
        <v>44</v>
      </c>
      <c r="E248" s="4">
        <v>0.8</v>
      </c>
      <c r="F248" s="44">
        <v>2.85</v>
      </c>
      <c r="G248" s="21">
        <v>200</v>
      </c>
      <c r="H248" s="30">
        <v>1.6</v>
      </c>
      <c r="I248" s="6">
        <f t="shared" si="11"/>
        <v>729.6</v>
      </c>
      <c r="J248" s="51" t="s">
        <v>1124</v>
      </c>
      <c r="K248" s="17">
        <f t="shared" si="10"/>
        <v>9</v>
      </c>
    </row>
    <row r="249" spans="1:11" ht="13.95" customHeight="1" x14ac:dyDescent="0.3">
      <c r="A249" s="3">
        <v>45906</v>
      </c>
      <c r="B249" s="19" t="s">
        <v>1235</v>
      </c>
      <c r="C249" s="3" t="s">
        <v>13</v>
      </c>
      <c r="D249" s="3" t="s">
        <v>1075</v>
      </c>
      <c r="E249" s="4">
        <v>0.85</v>
      </c>
      <c r="F249" s="44">
        <v>3.35</v>
      </c>
      <c r="G249" s="21">
        <v>200</v>
      </c>
      <c r="H249" s="30">
        <v>1.6</v>
      </c>
      <c r="I249" s="6">
        <f t="shared" si="11"/>
        <v>911.2</v>
      </c>
      <c r="J249" s="51" t="s">
        <v>1169</v>
      </c>
      <c r="K249" s="17">
        <f t="shared" si="10"/>
        <v>9</v>
      </c>
    </row>
    <row r="250" spans="1:11" ht="13.95" customHeight="1" x14ac:dyDescent="0.3">
      <c r="A250" s="3">
        <v>45907</v>
      </c>
      <c r="B250" s="19" t="s">
        <v>1235</v>
      </c>
      <c r="C250" s="3" t="s">
        <v>16</v>
      </c>
      <c r="D250" s="3" t="s">
        <v>757</v>
      </c>
      <c r="E250" s="4">
        <v>0.92</v>
      </c>
      <c r="F250" s="44">
        <v>3.6</v>
      </c>
      <c r="G250" s="21">
        <v>200</v>
      </c>
      <c r="H250" s="30">
        <v>1.6</v>
      </c>
      <c r="I250" s="6">
        <f t="shared" si="11"/>
        <v>1059.8399999999999</v>
      </c>
      <c r="J250" s="51" t="s">
        <v>1170</v>
      </c>
      <c r="K250" s="17">
        <f t="shared" si="10"/>
        <v>9</v>
      </c>
    </row>
    <row r="251" spans="1:11" ht="13.95" customHeight="1" x14ac:dyDescent="0.3">
      <c r="A251" s="3">
        <v>45908</v>
      </c>
      <c r="B251" s="19" t="s">
        <v>1235</v>
      </c>
      <c r="C251" s="3" t="s">
        <v>18</v>
      </c>
      <c r="D251" s="3" t="s">
        <v>1084</v>
      </c>
      <c r="E251" s="4">
        <v>0.78</v>
      </c>
      <c r="F251" s="44">
        <v>2.5</v>
      </c>
      <c r="G251" s="21">
        <v>200</v>
      </c>
      <c r="H251" s="30">
        <v>1.6</v>
      </c>
      <c r="I251" s="6">
        <f t="shared" si="11"/>
        <v>624</v>
      </c>
      <c r="J251" s="51" t="s">
        <v>722</v>
      </c>
      <c r="K251" s="17">
        <f t="shared" si="10"/>
        <v>9</v>
      </c>
    </row>
    <row r="252" spans="1:11" ht="13.95" customHeight="1" x14ac:dyDescent="0.3">
      <c r="A252" s="3">
        <v>45909</v>
      </c>
      <c r="B252" s="19" t="s">
        <v>1235</v>
      </c>
      <c r="C252" s="3" t="s">
        <v>20</v>
      </c>
      <c r="D252" s="3" t="s">
        <v>707</v>
      </c>
      <c r="E252" s="4">
        <v>0.85</v>
      </c>
      <c r="F252" s="44">
        <v>2.6</v>
      </c>
      <c r="G252" s="21">
        <v>200</v>
      </c>
      <c r="H252" s="30">
        <v>1.6</v>
      </c>
      <c r="I252" s="6">
        <f t="shared" si="11"/>
        <v>707.2</v>
      </c>
      <c r="J252" s="51" t="s">
        <v>1171</v>
      </c>
      <c r="K252" s="17">
        <f t="shared" si="10"/>
        <v>9</v>
      </c>
    </row>
    <row r="253" spans="1:11" ht="13.95" customHeight="1" x14ac:dyDescent="0.3">
      <c r="A253" s="3">
        <v>45910</v>
      </c>
      <c r="B253" s="19" t="s">
        <v>1235</v>
      </c>
      <c r="C253" s="3" t="s">
        <v>5</v>
      </c>
      <c r="D253" s="3" t="s">
        <v>1167</v>
      </c>
      <c r="E253" s="4">
        <v>0.82</v>
      </c>
      <c r="F253" s="44">
        <v>2.5</v>
      </c>
      <c r="G253" s="21">
        <v>200</v>
      </c>
      <c r="H253" s="30">
        <v>1.6</v>
      </c>
      <c r="I253" s="6">
        <f t="shared" si="11"/>
        <v>656</v>
      </c>
      <c r="J253" s="51" t="s">
        <v>71</v>
      </c>
      <c r="K253" s="17">
        <f t="shared" si="10"/>
        <v>9</v>
      </c>
    </row>
    <row r="254" spans="1:11" ht="13.95" customHeight="1" x14ac:dyDescent="0.3">
      <c r="A254" s="3">
        <v>45911</v>
      </c>
      <c r="B254" s="19" t="s">
        <v>1235</v>
      </c>
      <c r="C254" s="3" t="s">
        <v>8</v>
      </c>
      <c r="D254" s="3" t="s">
        <v>1167</v>
      </c>
      <c r="E254" s="4">
        <v>0.78</v>
      </c>
      <c r="F254" s="44">
        <v>2.4500000000000002</v>
      </c>
      <c r="G254" s="21">
        <v>200</v>
      </c>
      <c r="H254" s="30">
        <v>1.6</v>
      </c>
      <c r="I254" s="6">
        <f t="shared" si="11"/>
        <v>611.5200000000001</v>
      </c>
      <c r="J254" s="51" t="s">
        <v>71</v>
      </c>
      <c r="K254" s="17">
        <f t="shared" si="10"/>
        <v>9</v>
      </c>
    </row>
    <row r="255" spans="1:11" ht="13.95" customHeight="1" x14ac:dyDescent="0.3">
      <c r="A255" s="3">
        <v>45912</v>
      </c>
      <c r="B255" s="19" t="s">
        <v>1235</v>
      </c>
      <c r="C255" s="3" t="s">
        <v>11</v>
      </c>
      <c r="D255" s="3" t="s">
        <v>44</v>
      </c>
      <c r="E255" s="4">
        <v>0.85</v>
      </c>
      <c r="F255" s="44">
        <v>2.9</v>
      </c>
      <c r="G255" s="21">
        <v>200</v>
      </c>
      <c r="H255" s="30">
        <v>1.6</v>
      </c>
      <c r="I255" s="6">
        <f t="shared" si="11"/>
        <v>788.80000000000007</v>
      </c>
      <c r="J255" s="51" t="s">
        <v>70</v>
      </c>
      <c r="K255" s="17">
        <f t="shared" si="10"/>
        <v>9</v>
      </c>
    </row>
    <row r="256" spans="1:11" ht="13.95" customHeight="1" x14ac:dyDescent="0.3">
      <c r="A256" s="3">
        <v>45913</v>
      </c>
      <c r="B256" s="19" t="s">
        <v>1235</v>
      </c>
      <c r="C256" s="3" t="s">
        <v>13</v>
      </c>
      <c r="D256" s="3" t="s">
        <v>1075</v>
      </c>
      <c r="E256" s="4">
        <v>0.88</v>
      </c>
      <c r="F256" s="44">
        <v>3.4</v>
      </c>
      <c r="G256" s="21">
        <v>200</v>
      </c>
      <c r="H256" s="30">
        <v>1.6</v>
      </c>
      <c r="I256" s="6">
        <f t="shared" si="11"/>
        <v>957.44</v>
      </c>
      <c r="J256" s="51" t="s">
        <v>1172</v>
      </c>
      <c r="K256" s="17">
        <f t="shared" si="10"/>
        <v>9</v>
      </c>
    </row>
    <row r="257" spans="1:11" ht="13.95" customHeight="1" x14ac:dyDescent="0.3">
      <c r="A257" s="3">
        <v>45914</v>
      </c>
      <c r="B257" s="19" t="s">
        <v>1235</v>
      </c>
      <c r="C257" s="3" t="s">
        <v>16</v>
      </c>
      <c r="D257" s="3" t="s">
        <v>757</v>
      </c>
      <c r="E257" s="4">
        <v>0.95</v>
      </c>
      <c r="F257" s="44">
        <v>3.65</v>
      </c>
      <c r="G257" s="21">
        <v>200</v>
      </c>
      <c r="H257" s="30">
        <v>1.6</v>
      </c>
      <c r="I257" s="6">
        <f t="shared" si="11"/>
        <v>1109.6000000000001</v>
      </c>
      <c r="J257" s="51" t="s">
        <v>1173</v>
      </c>
      <c r="K257" s="17">
        <f t="shared" si="10"/>
        <v>9</v>
      </c>
    </row>
    <row r="258" spans="1:11" ht="13.95" customHeight="1" x14ac:dyDescent="0.3">
      <c r="A258" s="3">
        <v>45915</v>
      </c>
      <c r="B258" s="19" t="s">
        <v>1235</v>
      </c>
      <c r="C258" s="3" t="s">
        <v>18</v>
      </c>
      <c r="D258" s="3" t="s">
        <v>1057</v>
      </c>
      <c r="E258" s="4">
        <v>0.75</v>
      </c>
      <c r="F258" s="44">
        <v>2.5</v>
      </c>
      <c r="G258" s="21">
        <v>200</v>
      </c>
      <c r="H258" s="30">
        <v>1.6</v>
      </c>
      <c r="I258" s="6">
        <f t="shared" si="11"/>
        <v>600</v>
      </c>
      <c r="J258" s="51" t="s">
        <v>71</v>
      </c>
      <c r="K258" s="17">
        <f t="shared" si="10"/>
        <v>9</v>
      </c>
    </row>
    <row r="259" spans="1:11" ht="13.95" customHeight="1" x14ac:dyDescent="0.3">
      <c r="A259" s="3">
        <v>45916</v>
      </c>
      <c r="B259" s="19" t="s">
        <v>1235</v>
      </c>
      <c r="C259" s="3" t="s">
        <v>20</v>
      </c>
      <c r="D259" s="3" t="s">
        <v>1167</v>
      </c>
      <c r="E259" s="4">
        <v>0.8</v>
      </c>
      <c r="F259" s="44">
        <v>2.5499999999999998</v>
      </c>
      <c r="G259" s="21">
        <v>200</v>
      </c>
      <c r="H259" s="30">
        <v>1.6</v>
      </c>
      <c r="I259" s="6">
        <f t="shared" si="11"/>
        <v>652.80000000000007</v>
      </c>
      <c r="J259" s="51" t="s">
        <v>65</v>
      </c>
      <c r="K259" s="17">
        <f t="shared" ref="K259:K322" si="12">MONTH(A259)</f>
        <v>9</v>
      </c>
    </row>
    <row r="260" spans="1:11" ht="13.95" customHeight="1" x14ac:dyDescent="0.3">
      <c r="A260" s="3">
        <v>45917</v>
      </c>
      <c r="B260" s="19" t="s">
        <v>1235</v>
      </c>
      <c r="C260" s="3" t="s">
        <v>5</v>
      </c>
      <c r="D260" s="3" t="s">
        <v>1167</v>
      </c>
      <c r="E260" s="4">
        <v>0.78</v>
      </c>
      <c r="F260" s="44">
        <v>2.5</v>
      </c>
      <c r="G260" s="21">
        <v>200</v>
      </c>
      <c r="H260" s="30">
        <v>1.6</v>
      </c>
      <c r="I260" s="6">
        <f t="shared" si="11"/>
        <v>624</v>
      </c>
      <c r="J260" s="51" t="s">
        <v>71</v>
      </c>
      <c r="K260" s="17">
        <f t="shared" si="12"/>
        <v>9</v>
      </c>
    </row>
    <row r="261" spans="1:11" ht="13.95" customHeight="1" x14ac:dyDescent="0.3">
      <c r="A261" s="3">
        <v>45918</v>
      </c>
      <c r="B261" s="19" t="s">
        <v>1235</v>
      </c>
      <c r="C261" s="3" t="s">
        <v>8</v>
      </c>
      <c r="D261" s="3" t="s">
        <v>1167</v>
      </c>
      <c r="E261" s="4">
        <v>0.75</v>
      </c>
      <c r="F261" s="44">
        <v>2.4500000000000002</v>
      </c>
      <c r="G261" s="21">
        <v>200</v>
      </c>
      <c r="H261" s="30">
        <v>1.6</v>
      </c>
      <c r="I261" s="6">
        <f t="shared" si="11"/>
        <v>588</v>
      </c>
      <c r="J261" s="51" t="s">
        <v>71</v>
      </c>
      <c r="K261" s="17">
        <f t="shared" si="12"/>
        <v>9</v>
      </c>
    </row>
    <row r="262" spans="1:11" ht="13.95" customHeight="1" x14ac:dyDescent="0.3">
      <c r="A262" s="3">
        <v>45919</v>
      </c>
      <c r="B262" s="19" t="s">
        <v>1235</v>
      </c>
      <c r="C262" s="3" t="s">
        <v>11</v>
      </c>
      <c r="D262" s="3" t="s">
        <v>44</v>
      </c>
      <c r="E262" s="4">
        <v>0.82</v>
      </c>
      <c r="F262" s="44">
        <v>2.9</v>
      </c>
      <c r="G262" s="21">
        <v>200</v>
      </c>
      <c r="H262" s="30">
        <v>1.6</v>
      </c>
      <c r="I262" s="6">
        <f t="shared" si="11"/>
        <v>760.96</v>
      </c>
      <c r="J262" s="51" t="s">
        <v>97</v>
      </c>
      <c r="K262" s="17">
        <f t="shared" si="12"/>
        <v>9</v>
      </c>
    </row>
    <row r="263" spans="1:11" ht="13.95" customHeight="1" x14ac:dyDescent="0.3">
      <c r="A263" s="3">
        <v>45920</v>
      </c>
      <c r="B263" s="19" t="s">
        <v>1235</v>
      </c>
      <c r="C263" s="3" t="s">
        <v>13</v>
      </c>
      <c r="D263" s="3" t="s">
        <v>1075</v>
      </c>
      <c r="E263" s="4">
        <v>0.85</v>
      </c>
      <c r="F263" s="44">
        <v>3.4</v>
      </c>
      <c r="G263" s="21">
        <v>200</v>
      </c>
      <c r="H263" s="30">
        <v>1.6</v>
      </c>
      <c r="I263" s="6">
        <f t="shared" si="11"/>
        <v>924.80000000000007</v>
      </c>
      <c r="J263" s="51" t="s">
        <v>739</v>
      </c>
      <c r="K263" s="17">
        <f t="shared" si="12"/>
        <v>9</v>
      </c>
    </row>
    <row r="264" spans="1:11" ht="13.95" customHeight="1" x14ac:dyDescent="0.3">
      <c r="A264" s="3">
        <v>45921</v>
      </c>
      <c r="B264" s="19" t="s">
        <v>1235</v>
      </c>
      <c r="C264" s="3" t="s">
        <v>16</v>
      </c>
      <c r="D264" s="3" t="s">
        <v>757</v>
      </c>
      <c r="E264" s="4">
        <v>0.9</v>
      </c>
      <c r="F264" s="44">
        <v>3.6</v>
      </c>
      <c r="G264" s="21">
        <v>200</v>
      </c>
      <c r="H264" s="30">
        <v>1.6</v>
      </c>
      <c r="I264" s="6">
        <f t="shared" si="11"/>
        <v>1036.8</v>
      </c>
      <c r="J264" s="51" t="s">
        <v>1111</v>
      </c>
      <c r="K264" s="17">
        <f t="shared" si="12"/>
        <v>9</v>
      </c>
    </row>
    <row r="265" spans="1:11" ht="13.95" customHeight="1" x14ac:dyDescent="0.3">
      <c r="A265" s="3">
        <v>45922</v>
      </c>
      <c r="B265" s="19" t="s">
        <v>1235</v>
      </c>
      <c r="C265" s="3" t="s">
        <v>18</v>
      </c>
      <c r="D265" s="3" t="s">
        <v>1057</v>
      </c>
      <c r="E265" s="4">
        <v>0.72</v>
      </c>
      <c r="F265" s="44">
        <v>2.5</v>
      </c>
      <c r="G265" s="21">
        <v>200</v>
      </c>
      <c r="H265" s="30">
        <v>1.6</v>
      </c>
      <c r="I265" s="6">
        <f t="shared" si="11"/>
        <v>576</v>
      </c>
      <c r="J265" s="51" t="s">
        <v>71</v>
      </c>
      <c r="K265" s="17">
        <f t="shared" si="12"/>
        <v>9</v>
      </c>
    </row>
    <row r="266" spans="1:11" ht="13.95" customHeight="1" x14ac:dyDescent="0.3">
      <c r="A266" s="3">
        <v>45923</v>
      </c>
      <c r="B266" s="19" t="s">
        <v>1235</v>
      </c>
      <c r="C266" s="3" t="s">
        <v>20</v>
      </c>
      <c r="D266" s="3" t="s">
        <v>1167</v>
      </c>
      <c r="E266" s="4">
        <v>0.78</v>
      </c>
      <c r="F266" s="44">
        <v>2.6</v>
      </c>
      <c r="G266" s="21">
        <v>200</v>
      </c>
      <c r="H266" s="30">
        <v>1.6</v>
      </c>
      <c r="I266" s="6">
        <f t="shared" si="11"/>
        <v>648.96</v>
      </c>
      <c r="J266" s="51" t="s">
        <v>71</v>
      </c>
      <c r="K266" s="17">
        <f t="shared" si="12"/>
        <v>9</v>
      </c>
    </row>
    <row r="267" spans="1:11" ht="13.95" customHeight="1" x14ac:dyDescent="0.3">
      <c r="A267" s="3">
        <v>45924</v>
      </c>
      <c r="B267" s="19" t="s">
        <v>1235</v>
      </c>
      <c r="C267" s="3" t="s">
        <v>5</v>
      </c>
      <c r="D267" s="3" t="s">
        <v>1167</v>
      </c>
      <c r="E267" s="4">
        <v>0.75</v>
      </c>
      <c r="F267" s="44">
        <v>2.5</v>
      </c>
      <c r="G267" s="21">
        <v>200</v>
      </c>
      <c r="H267" s="30">
        <v>1.6</v>
      </c>
      <c r="I267" s="6">
        <f t="shared" si="11"/>
        <v>600</v>
      </c>
      <c r="J267" s="51" t="s">
        <v>71</v>
      </c>
      <c r="K267" s="17">
        <f t="shared" si="12"/>
        <v>9</v>
      </c>
    </row>
    <row r="268" spans="1:11" ht="13.95" customHeight="1" x14ac:dyDescent="0.3">
      <c r="A268" s="3">
        <v>45925</v>
      </c>
      <c r="B268" s="19" t="s">
        <v>1235</v>
      </c>
      <c r="C268" s="3" t="s">
        <v>8</v>
      </c>
      <c r="D268" s="3" t="s">
        <v>1167</v>
      </c>
      <c r="E268" s="4">
        <v>0.72</v>
      </c>
      <c r="F268" s="44">
        <v>2.4500000000000002</v>
      </c>
      <c r="G268" s="21">
        <v>200</v>
      </c>
      <c r="H268" s="30">
        <v>1.6</v>
      </c>
      <c r="I268" s="6">
        <f t="shared" si="11"/>
        <v>564.48</v>
      </c>
      <c r="J268" s="51" t="s">
        <v>71</v>
      </c>
      <c r="K268" s="17">
        <f t="shared" si="12"/>
        <v>9</v>
      </c>
    </row>
    <row r="269" spans="1:11" ht="13.95" customHeight="1" x14ac:dyDescent="0.3">
      <c r="A269" s="3">
        <v>45926</v>
      </c>
      <c r="B269" s="19" t="s">
        <v>1235</v>
      </c>
      <c r="C269" s="3" t="s">
        <v>11</v>
      </c>
      <c r="D269" s="3" t="s">
        <v>44</v>
      </c>
      <c r="E269" s="4">
        <v>0.8</v>
      </c>
      <c r="F269" s="44">
        <v>2.9</v>
      </c>
      <c r="G269" s="21">
        <v>200</v>
      </c>
      <c r="H269" s="30">
        <v>1.6</v>
      </c>
      <c r="I269" s="6">
        <f t="shared" si="11"/>
        <v>742.40000000000009</v>
      </c>
      <c r="J269" s="51" t="s">
        <v>70</v>
      </c>
      <c r="K269" s="17">
        <f t="shared" si="12"/>
        <v>9</v>
      </c>
    </row>
    <row r="270" spans="1:11" ht="13.95" customHeight="1" x14ac:dyDescent="0.3">
      <c r="A270" s="3">
        <v>45927</v>
      </c>
      <c r="B270" s="19" t="s">
        <v>1235</v>
      </c>
      <c r="C270" s="3" t="s">
        <v>13</v>
      </c>
      <c r="D270" s="3" t="s">
        <v>1075</v>
      </c>
      <c r="E270" s="4">
        <v>0.88</v>
      </c>
      <c r="F270" s="44">
        <v>3.45</v>
      </c>
      <c r="G270" s="21">
        <v>200</v>
      </c>
      <c r="H270" s="30">
        <v>1.6</v>
      </c>
      <c r="I270" s="6">
        <f t="shared" si="11"/>
        <v>971.5200000000001</v>
      </c>
      <c r="J270" s="51" t="s">
        <v>1174</v>
      </c>
      <c r="K270" s="17">
        <f t="shared" si="12"/>
        <v>9</v>
      </c>
    </row>
    <row r="271" spans="1:11" ht="13.95" customHeight="1" x14ac:dyDescent="0.3">
      <c r="A271" s="3">
        <v>45928</v>
      </c>
      <c r="B271" s="19" t="s">
        <v>1235</v>
      </c>
      <c r="C271" s="3" t="s">
        <v>16</v>
      </c>
      <c r="D271" s="3" t="s">
        <v>757</v>
      </c>
      <c r="E271" s="4">
        <v>0.92</v>
      </c>
      <c r="F271" s="44">
        <v>3.6</v>
      </c>
      <c r="G271" s="21">
        <v>200</v>
      </c>
      <c r="H271" s="30">
        <v>1.6</v>
      </c>
      <c r="I271" s="6">
        <f t="shared" si="11"/>
        <v>1059.8399999999999</v>
      </c>
      <c r="J271" s="51" t="s">
        <v>733</v>
      </c>
      <c r="K271" s="17">
        <f t="shared" si="12"/>
        <v>9</v>
      </c>
    </row>
    <row r="272" spans="1:11" ht="13.95" customHeight="1" x14ac:dyDescent="0.3">
      <c r="A272" s="3">
        <v>45929</v>
      </c>
      <c r="B272" s="19" t="s">
        <v>1235</v>
      </c>
      <c r="C272" s="3" t="s">
        <v>18</v>
      </c>
      <c r="D272" s="3" t="s">
        <v>1057</v>
      </c>
      <c r="E272" s="4">
        <v>0.75</v>
      </c>
      <c r="F272" s="44">
        <v>2.5</v>
      </c>
      <c r="G272" s="21">
        <v>200</v>
      </c>
      <c r="H272" s="30">
        <v>1.6</v>
      </c>
      <c r="I272" s="6">
        <f t="shared" si="11"/>
        <v>600</v>
      </c>
      <c r="J272" s="51" t="s">
        <v>71</v>
      </c>
      <c r="K272" s="17">
        <f t="shared" si="12"/>
        <v>9</v>
      </c>
    </row>
    <row r="273" spans="1:11" ht="13.95" customHeight="1" x14ac:dyDescent="0.3">
      <c r="A273" s="3">
        <v>45930</v>
      </c>
      <c r="B273" s="19" t="s">
        <v>1235</v>
      </c>
      <c r="C273" s="3" t="s">
        <v>20</v>
      </c>
      <c r="D273" s="3" t="s">
        <v>1167</v>
      </c>
      <c r="E273" s="4">
        <v>0.8</v>
      </c>
      <c r="F273" s="44">
        <v>2.5499999999999998</v>
      </c>
      <c r="G273" s="21">
        <v>200</v>
      </c>
      <c r="H273" s="30">
        <v>1.6</v>
      </c>
      <c r="I273" s="6">
        <f t="shared" si="11"/>
        <v>652.80000000000007</v>
      </c>
      <c r="J273" s="51" t="s">
        <v>860</v>
      </c>
      <c r="K273" s="17">
        <f t="shared" si="12"/>
        <v>9</v>
      </c>
    </row>
    <row r="274" spans="1:11" ht="13.95" customHeight="1" x14ac:dyDescent="0.3">
      <c r="A274" s="3">
        <v>45901</v>
      </c>
      <c r="B274" s="19" t="s">
        <v>1235</v>
      </c>
      <c r="C274" s="3" t="s">
        <v>18</v>
      </c>
      <c r="D274" s="3" t="s">
        <v>1165</v>
      </c>
      <c r="E274" s="4">
        <v>0.75</v>
      </c>
      <c r="F274" s="44">
        <v>2.5</v>
      </c>
      <c r="G274" s="21">
        <v>200</v>
      </c>
      <c r="H274" s="30">
        <v>1.6</v>
      </c>
      <c r="I274" s="6">
        <f t="shared" si="11"/>
        <v>600</v>
      </c>
      <c r="J274" s="51" t="s">
        <v>1166</v>
      </c>
      <c r="K274" s="17">
        <f t="shared" si="12"/>
        <v>9</v>
      </c>
    </row>
    <row r="275" spans="1:11" ht="13.95" customHeight="1" x14ac:dyDescent="0.3">
      <c r="A275" s="3">
        <v>45902</v>
      </c>
      <c r="B275" s="19" t="s">
        <v>1235</v>
      </c>
      <c r="C275" s="3" t="s">
        <v>20</v>
      </c>
      <c r="D275" s="3" t="s">
        <v>1167</v>
      </c>
      <c r="E275" s="4">
        <v>0.78</v>
      </c>
      <c r="F275" s="44">
        <v>2.5499999999999998</v>
      </c>
      <c r="G275" s="21">
        <v>200</v>
      </c>
      <c r="H275" s="30">
        <v>1.6</v>
      </c>
      <c r="I275" s="6">
        <f t="shared" si="11"/>
        <v>636.48</v>
      </c>
      <c r="J275" s="51" t="s">
        <v>1168</v>
      </c>
      <c r="K275" s="17">
        <f t="shared" si="12"/>
        <v>9</v>
      </c>
    </row>
    <row r="276" spans="1:11" ht="13.95" customHeight="1" x14ac:dyDescent="0.3">
      <c r="A276" s="3">
        <v>45903</v>
      </c>
      <c r="B276" s="19" t="s">
        <v>1235</v>
      </c>
      <c r="C276" s="3" t="s">
        <v>5</v>
      </c>
      <c r="D276" s="3" t="s">
        <v>1167</v>
      </c>
      <c r="E276" s="4">
        <v>0.8</v>
      </c>
      <c r="F276" s="44">
        <v>2.5</v>
      </c>
      <c r="G276" s="21">
        <v>200</v>
      </c>
      <c r="H276" s="30">
        <v>1.6</v>
      </c>
      <c r="I276" s="6">
        <f t="shared" si="11"/>
        <v>640</v>
      </c>
      <c r="J276" s="51" t="s">
        <v>71</v>
      </c>
      <c r="K276" s="17">
        <f t="shared" si="12"/>
        <v>9</v>
      </c>
    </row>
    <row r="277" spans="1:11" ht="13.95" customHeight="1" x14ac:dyDescent="0.3">
      <c r="A277" s="3">
        <v>45904</v>
      </c>
      <c r="B277" s="19" t="s">
        <v>1235</v>
      </c>
      <c r="C277" s="3" t="s">
        <v>8</v>
      </c>
      <c r="D277" s="3" t="s">
        <v>1167</v>
      </c>
      <c r="E277" s="4">
        <v>0.75</v>
      </c>
      <c r="F277" s="44">
        <v>2.4500000000000002</v>
      </c>
      <c r="G277" s="21">
        <v>200</v>
      </c>
      <c r="H277" s="30">
        <v>1.6</v>
      </c>
      <c r="I277" s="6">
        <f t="shared" si="11"/>
        <v>588</v>
      </c>
      <c r="J277" s="51" t="s">
        <v>71</v>
      </c>
      <c r="K277" s="17">
        <f t="shared" si="12"/>
        <v>9</v>
      </c>
    </row>
    <row r="278" spans="1:11" ht="13.95" customHeight="1" x14ac:dyDescent="0.3">
      <c r="A278" s="3">
        <v>45905</v>
      </c>
      <c r="B278" s="19" t="s">
        <v>1235</v>
      </c>
      <c r="C278" s="3" t="s">
        <v>11</v>
      </c>
      <c r="D278" s="3" t="s">
        <v>44</v>
      </c>
      <c r="E278" s="4">
        <v>0.8</v>
      </c>
      <c r="F278" s="44">
        <v>2.85</v>
      </c>
      <c r="G278" s="21">
        <v>200</v>
      </c>
      <c r="H278" s="30">
        <v>1.6</v>
      </c>
      <c r="I278" s="6">
        <f t="shared" si="11"/>
        <v>729.6</v>
      </c>
      <c r="J278" s="51" t="s">
        <v>1124</v>
      </c>
      <c r="K278" s="17">
        <f t="shared" si="12"/>
        <v>9</v>
      </c>
    </row>
    <row r="279" spans="1:11" ht="13.95" customHeight="1" x14ac:dyDescent="0.3">
      <c r="A279" s="3">
        <v>45906</v>
      </c>
      <c r="B279" s="19" t="s">
        <v>1235</v>
      </c>
      <c r="C279" s="3" t="s">
        <v>13</v>
      </c>
      <c r="D279" s="3" t="s">
        <v>1075</v>
      </c>
      <c r="E279" s="4">
        <v>0.85</v>
      </c>
      <c r="F279" s="44">
        <v>3.35</v>
      </c>
      <c r="G279" s="21">
        <v>200</v>
      </c>
      <c r="H279" s="30">
        <v>1.6</v>
      </c>
      <c r="I279" s="6">
        <f t="shared" si="11"/>
        <v>911.2</v>
      </c>
      <c r="J279" s="51" t="s">
        <v>1169</v>
      </c>
      <c r="K279" s="17">
        <f t="shared" si="12"/>
        <v>9</v>
      </c>
    </row>
    <row r="280" spans="1:11" ht="13.95" customHeight="1" x14ac:dyDescent="0.3">
      <c r="A280" s="3">
        <v>45907</v>
      </c>
      <c r="B280" s="19" t="s">
        <v>1235</v>
      </c>
      <c r="C280" s="3" t="s">
        <v>16</v>
      </c>
      <c r="D280" s="3" t="s">
        <v>757</v>
      </c>
      <c r="E280" s="4">
        <v>0.92</v>
      </c>
      <c r="F280" s="44">
        <v>3.6</v>
      </c>
      <c r="G280" s="21">
        <v>200</v>
      </c>
      <c r="H280" s="30">
        <v>1.6</v>
      </c>
      <c r="I280" s="6">
        <f t="shared" si="11"/>
        <v>1059.8399999999999</v>
      </c>
      <c r="J280" s="51" t="s">
        <v>1170</v>
      </c>
      <c r="K280" s="17">
        <f t="shared" si="12"/>
        <v>9</v>
      </c>
    </row>
    <row r="281" spans="1:11" ht="13.95" customHeight="1" x14ac:dyDescent="0.3">
      <c r="A281" s="3">
        <v>45908</v>
      </c>
      <c r="B281" s="19" t="s">
        <v>1235</v>
      </c>
      <c r="C281" s="3" t="s">
        <v>18</v>
      </c>
      <c r="D281" s="3" t="s">
        <v>1084</v>
      </c>
      <c r="E281" s="4">
        <v>0.78</v>
      </c>
      <c r="F281" s="44">
        <v>2.5</v>
      </c>
      <c r="G281" s="21">
        <v>200</v>
      </c>
      <c r="H281" s="30">
        <v>1.6</v>
      </c>
      <c r="I281" s="6">
        <f t="shared" si="11"/>
        <v>624</v>
      </c>
      <c r="J281" s="51" t="s">
        <v>722</v>
      </c>
      <c r="K281" s="17">
        <f t="shared" si="12"/>
        <v>9</v>
      </c>
    </row>
    <row r="282" spans="1:11" ht="13.95" customHeight="1" x14ac:dyDescent="0.3">
      <c r="A282" s="3">
        <v>45909</v>
      </c>
      <c r="B282" s="19" t="s">
        <v>1235</v>
      </c>
      <c r="C282" s="3" t="s">
        <v>20</v>
      </c>
      <c r="D282" s="3" t="s">
        <v>707</v>
      </c>
      <c r="E282" s="4">
        <v>0.85</v>
      </c>
      <c r="F282" s="44">
        <v>2.6</v>
      </c>
      <c r="G282" s="21">
        <v>200</v>
      </c>
      <c r="H282" s="30">
        <v>1.6</v>
      </c>
      <c r="I282" s="6">
        <f t="shared" si="11"/>
        <v>707.2</v>
      </c>
      <c r="J282" s="51" t="s">
        <v>1171</v>
      </c>
      <c r="K282" s="17">
        <f t="shared" si="12"/>
        <v>9</v>
      </c>
    </row>
    <row r="283" spans="1:11" ht="13.95" customHeight="1" x14ac:dyDescent="0.3">
      <c r="A283" s="3">
        <v>45910</v>
      </c>
      <c r="B283" s="19" t="s">
        <v>1235</v>
      </c>
      <c r="C283" s="3" t="s">
        <v>5</v>
      </c>
      <c r="D283" s="3" t="s">
        <v>1167</v>
      </c>
      <c r="E283" s="4">
        <v>0.82</v>
      </c>
      <c r="F283" s="44">
        <v>2.5</v>
      </c>
      <c r="G283" s="21">
        <v>200</v>
      </c>
      <c r="H283" s="30">
        <v>1.6</v>
      </c>
      <c r="I283" s="6">
        <f t="shared" si="11"/>
        <v>656</v>
      </c>
      <c r="J283" s="51" t="s">
        <v>71</v>
      </c>
      <c r="K283" s="17">
        <f t="shared" si="12"/>
        <v>9</v>
      </c>
    </row>
    <row r="284" spans="1:11" ht="13.95" customHeight="1" x14ac:dyDescent="0.3">
      <c r="A284" s="3">
        <v>45911</v>
      </c>
      <c r="B284" s="19" t="s">
        <v>1235</v>
      </c>
      <c r="C284" s="3" t="s">
        <v>8</v>
      </c>
      <c r="D284" s="3" t="s">
        <v>1167</v>
      </c>
      <c r="E284" s="4">
        <v>0.78</v>
      </c>
      <c r="F284" s="44">
        <v>2.4500000000000002</v>
      </c>
      <c r="G284" s="21">
        <v>200</v>
      </c>
      <c r="H284" s="30">
        <v>1.6</v>
      </c>
      <c r="I284" s="6">
        <f t="shared" ref="I284:I347" si="13">(G284*E284)*F284*H284</f>
        <v>611.5200000000001</v>
      </c>
      <c r="J284" s="51" t="s">
        <v>71</v>
      </c>
      <c r="K284" s="17">
        <f t="shared" si="12"/>
        <v>9</v>
      </c>
    </row>
    <row r="285" spans="1:11" ht="13.95" customHeight="1" x14ac:dyDescent="0.3">
      <c r="A285" s="3">
        <v>45912</v>
      </c>
      <c r="B285" s="19" t="s">
        <v>1235</v>
      </c>
      <c r="C285" s="3" t="s">
        <v>11</v>
      </c>
      <c r="D285" s="3" t="s">
        <v>44</v>
      </c>
      <c r="E285" s="4">
        <v>0.85</v>
      </c>
      <c r="F285" s="44">
        <v>2.9</v>
      </c>
      <c r="G285" s="21">
        <v>200</v>
      </c>
      <c r="H285" s="30">
        <v>1.6</v>
      </c>
      <c r="I285" s="6">
        <f t="shared" si="13"/>
        <v>788.80000000000007</v>
      </c>
      <c r="J285" s="51" t="s">
        <v>70</v>
      </c>
      <c r="K285" s="17">
        <f t="shared" si="12"/>
        <v>9</v>
      </c>
    </row>
    <row r="286" spans="1:11" ht="13.95" customHeight="1" x14ac:dyDescent="0.3">
      <c r="A286" s="3">
        <v>45913</v>
      </c>
      <c r="B286" s="19" t="s">
        <v>1235</v>
      </c>
      <c r="C286" s="3" t="s">
        <v>13</v>
      </c>
      <c r="D286" s="3" t="s">
        <v>1075</v>
      </c>
      <c r="E286" s="4">
        <v>0.88</v>
      </c>
      <c r="F286" s="44">
        <v>3.4</v>
      </c>
      <c r="G286" s="21">
        <v>200</v>
      </c>
      <c r="H286" s="30">
        <v>1.6</v>
      </c>
      <c r="I286" s="6">
        <f t="shared" si="13"/>
        <v>957.44</v>
      </c>
      <c r="J286" s="51" t="s">
        <v>1172</v>
      </c>
      <c r="K286" s="17">
        <f t="shared" si="12"/>
        <v>9</v>
      </c>
    </row>
    <row r="287" spans="1:11" ht="13.95" customHeight="1" x14ac:dyDescent="0.3">
      <c r="A287" s="3">
        <v>45914</v>
      </c>
      <c r="B287" s="19" t="s">
        <v>1235</v>
      </c>
      <c r="C287" s="3" t="s">
        <v>16</v>
      </c>
      <c r="D287" s="3" t="s">
        <v>757</v>
      </c>
      <c r="E287" s="4">
        <v>0.95</v>
      </c>
      <c r="F287" s="44">
        <v>3.65</v>
      </c>
      <c r="G287" s="21">
        <v>200</v>
      </c>
      <c r="H287" s="30">
        <v>1.6</v>
      </c>
      <c r="I287" s="6">
        <f t="shared" si="13"/>
        <v>1109.6000000000001</v>
      </c>
      <c r="J287" s="51" t="s">
        <v>1173</v>
      </c>
      <c r="K287" s="17">
        <f t="shared" si="12"/>
        <v>9</v>
      </c>
    </row>
    <row r="288" spans="1:11" ht="13.95" customHeight="1" x14ac:dyDescent="0.3">
      <c r="A288" s="3">
        <v>45915</v>
      </c>
      <c r="B288" s="19" t="s">
        <v>1235</v>
      </c>
      <c r="C288" s="3" t="s">
        <v>18</v>
      </c>
      <c r="D288" s="3" t="s">
        <v>1057</v>
      </c>
      <c r="E288" s="4">
        <v>0.75</v>
      </c>
      <c r="F288" s="44">
        <v>2.5</v>
      </c>
      <c r="G288" s="21">
        <v>200</v>
      </c>
      <c r="H288" s="30">
        <v>1.6</v>
      </c>
      <c r="I288" s="6">
        <f t="shared" si="13"/>
        <v>600</v>
      </c>
      <c r="J288" s="51" t="s">
        <v>71</v>
      </c>
      <c r="K288" s="17">
        <f t="shared" si="12"/>
        <v>9</v>
      </c>
    </row>
    <row r="289" spans="1:11" ht="13.95" customHeight="1" x14ac:dyDescent="0.3">
      <c r="A289" s="3">
        <v>45916</v>
      </c>
      <c r="B289" s="19" t="s">
        <v>1235</v>
      </c>
      <c r="C289" s="3" t="s">
        <v>20</v>
      </c>
      <c r="D289" s="3" t="s">
        <v>1167</v>
      </c>
      <c r="E289" s="4">
        <v>0.8</v>
      </c>
      <c r="F289" s="44">
        <v>2.5499999999999998</v>
      </c>
      <c r="G289" s="21">
        <v>200</v>
      </c>
      <c r="H289" s="30">
        <v>1.6</v>
      </c>
      <c r="I289" s="6">
        <f t="shared" si="13"/>
        <v>652.80000000000007</v>
      </c>
      <c r="J289" s="51" t="s">
        <v>65</v>
      </c>
      <c r="K289" s="17">
        <f t="shared" si="12"/>
        <v>9</v>
      </c>
    </row>
    <row r="290" spans="1:11" ht="13.95" customHeight="1" x14ac:dyDescent="0.3">
      <c r="A290" s="3">
        <v>45917</v>
      </c>
      <c r="B290" s="19" t="s">
        <v>1235</v>
      </c>
      <c r="C290" s="3" t="s">
        <v>5</v>
      </c>
      <c r="D290" s="3" t="s">
        <v>1167</v>
      </c>
      <c r="E290" s="4">
        <v>0.78</v>
      </c>
      <c r="F290" s="44">
        <v>2.5</v>
      </c>
      <c r="G290" s="21">
        <v>200</v>
      </c>
      <c r="H290" s="30">
        <v>1.6</v>
      </c>
      <c r="I290" s="6">
        <f t="shared" si="13"/>
        <v>624</v>
      </c>
      <c r="J290" s="51" t="s">
        <v>71</v>
      </c>
      <c r="K290" s="17">
        <f t="shared" si="12"/>
        <v>9</v>
      </c>
    </row>
    <row r="291" spans="1:11" ht="13.95" customHeight="1" x14ac:dyDescent="0.3">
      <c r="A291" s="3">
        <v>45918</v>
      </c>
      <c r="B291" s="19" t="s">
        <v>1235</v>
      </c>
      <c r="C291" s="3" t="s">
        <v>8</v>
      </c>
      <c r="D291" s="3" t="s">
        <v>1167</v>
      </c>
      <c r="E291" s="4">
        <v>0.75</v>
      </c>
      <c r="F291" s="44">
        <v>2.4500000000000002</v>
      </c>
      <c r="G291" s="21">
        <v>200</v>
      </c>
      <c r="H291" s="30">
        <v>1.6</v>
      </c>
      <c r="I291" s="6">
        <f t="shared" si="13"/>
        <v>588</v>
      </c>
      <c r="J291" s="51" t="s">
        <v>71</v>
      </c>
      <c r="K291" s="17">
        <f t="shared" si="12"/>
        <v>9</v>
      </c>
    </row>
    <row r="292" spans="1:11" ht="13.95" customHeight="1" x14ac:dyDescent="0.3">
      <c r="A292" s="3">
        <v>45919</v>
      </c>
      <c r="B292" s="19" t="s">
        <v>1235</v>
      </c>
      <c r="C292" s="3" t="s">
        <v>11</v>
      </c>
      <c r="D292" s="3" t="s">
        <v>44</v>
      </c>
      <c r="E292" s="4">
        <v>0.82</v>
      </c>
      <c r="F292" s="44">
        <v>2.9</v>
      </c>
      <c r="G292" s="21">
        <v>200</v>
      </c>
      <c r="H292" s="30">
        <v>1.6</v>
      </c>
      <c r="I292" s="6">
        <f t="shared" si="13"/>
        <v>760.96</v>
      </c>
      <c r="J292" s="51" t="s">
        <v>97</v>
      </c>
      <c r="K292" s="17">
        <f t="shared" si="12"/>
        <v>9</v>
      </c>
    </row>
    <row r="293" spans="1:11" ht="13.95" customHeight="1" x14ac:dyDescent="0.3">
      <c r="A293" s="3">
        <v>45920</v>
      </c>
      <c r="B293" s="19" t="s">
        <v>1235</v>
      </c>
      <c r="C293" s="3" t="s">
        <v>13</v>
      </c>
      <c r="D293" s="3" t="s">
        <v>1075</v>
      </c>
      <c r="E293" s="4">
        <v>0.85</v>
      </c>
      <c r="F293" s="44">
        <v>3.4</v>
      </c>
      <c r="G293" s="21">
        <v>200</v>
      </c>
      <c r="H293" s="30">
        <v>1.6</v>
      </c>
      <c r="I293" s="6">
        <f t="shared" si="13"/>
        <v>924.80000000000007</v>
      </c>
      <c r="J293" s="51" t="s">
        <v>739</v>
      </c>
      <c r="K293" s="17">
        <f t="shared" si="12"/>
        <v>9</v>
      </c>
    </row>
    <row r="294" spans="1:11" ht="13.95" customHeight="1" x14ac:dyDescent="0.3">
      <c r="A294" s="3">
        <v>45921</v>
      </c>
      <c r="B294" s="19" t="s">
        <v>1235</v>
      </c>
      <c r="C294" s="3" t="s">
        <v>16</v>
      </c>
      <c r="D294" s="3" t="s">
        <v>757</v>
      </c>
      <c r="E294" s="4">
        <v>0.9</v>
      </c>
      <c r="F294" s="44">
        <v>3.6</v>
      </c>
      <c r="G294" s="21">
        <v>200</v>
      </c>
      <c r="H294" s="30">
        <v>1.6</v>
      </c>
      <c r="I294" s="6">
        <f t="shared" si="13"/>
        <v>1036.8</v>
      </c>
      <c r="J294" s="51" t="s">
        <v>1111</v>
      </c>
      <c r="K294" s="17">
        <f t="shared" si="12"/>
        <v>9</v>
      </c>
    </row>
    <row r="295" spans="1:11" ht="13.95" customHeight="1" x14ac:dyDescent="0.3">
      <c r="A295" s="3">
        <v>45922</v>
      </c>
      <c r="B295" s="19" t="s">
        <v>1235</v>
      </c>
      <c r="C295" s="3" t="s">
        <v>18</v>
      </c>
      <c r="D295" s="3" t="s">
        <v>1057</v>
      </c>
      <c r="E295" s="4">
        <v>0.72</v>
      </c>
      <c r="F295" s="44">
        <v>2.5</v>
      </c>
      <c r="G295" s="21">
        <v>200</v>
      </c>
      <c r="H295" s="30">
        <v>1.6</v>
      </c>
      <c r="I295" s="6">
        <f t="shared" si="13"/>
        <v>576</v>
      </c>
      <c r="J295" s="51" t="s">
        <v>71</v>
      </c>
      <c r="K295" s="17">
        <f t="shared" si="12"/>
        <v>9</v>
      </c>
    </row>
    <row r="296" spans="1:11" ht="13.95" customHeight="1" x14ac:dyDescent="0.3">
      <c r="A296" s="3">
        <v>45923</v>
      </c>
      <c r="B296" s="19" t="s">
        <v>1235</v>
      </c>
      <c r="C296" s="3" t="s">
        <v>20</v>
      </c>
      <c r="D296" s="3" t="s">
        <v>1167</v>
      </c>
      <c r="E296" s="4">
        <v>0.78</v>
      </c>
      <c r="F296" s="44">
        <v>2.6</v>
      </c>
      <c r="G296" s="21">
        <v>200</v>
      </c>
      <c r="H296" s="30">
        <v>1.6</v>
      </c>
      <c r="I296" s="6">
        <f t="shared" si="13"/>
        <v>648.96</v>
      </c>
      <c r="J296" s="51" t="s">
        <v>71</v>
      </c>
      <c r="K296" s="17">
        <f t="shared" si="12"/>
        <v>9</v>
      </c>
    </row>
    <row r="297" spans="1:11" ht="13.95" customHeight="1" x14ac:dyDescent="0.3">
      <c r="A297" s="3">
        <v>45924</v>
      </c>
      <c r="B297" s="19" t="s">
        <v>1235</v>
      </c>
      <c r="C297" s="3" t="s">
        <v>5</v>
      </c>
      <c r="D297" s="3" t="s">
        <v>1167</v>
      </c>
      <c r="E297" s="4">
        <v>0.75</v>
      </c>
      <c r="F297" s="44">
        <v>2.5</v>
      </c>
      <c r="G297" s="21">
        <v>200</v>
      </c>
      <c r="H297" s="30">
        <v>1.6</v>
      </c>
      <c r="I297" s="6">
        <f t="shared" si="13"/>
        <v>600</v>
      </c>
      <c r="J297" s="51" t="s">
        <v>71</v>
      </c>
      <c r="K297" s="17">
        <f t="shared" si="12"/>
        <v>9</v>
      </c>
    </row>
    <row r="298" spans="1:11" ht="13.95" customHeight="1" x14ac:dyDescent="0.3">
      <c r="A298" s="3">
        <v>45925</v>
      </c>
      <c r="B298" s="19" t="s">
        <v>1235</v>
      </c>
      <c r="C298" s="3" t="s">
        <v>8</v>
      </c>
      <c r="D298" s="3" t="s">
        <v>1167</v>
      </c>
      <c r="E298" s="4">
        <v>0.72</v>
      </c>
      <c r="F298" s="44">
        <v>2.4500000000000002</v>
      </c>
      <c r="G298" s="21">
        <v>200</v>
      </c>
      <c r="H298" s="30">
        <v>1.6</v>
      </c>
      <c r="I298" s="6">
        <f t="shared" si="13"/>
        <v>564.48</v>
      </c>
      <c r="J298" s="51" t="s">
        <v>71</v>
      </c>
      <c r="K298" s="17">
        <f t="shared" si="12"/>
        <v>9</v>
      </c>
    </row>
    <row r="299" spans="1:11" ht="13.95" customHeight="1" x14ac:dyDescent="0.3">
      <c r="A299" s="3">
        <v>45926</v>
      </c>
      <c r="B299" s="19" t="s">
        <v>1235</v>
      </c>
      <c r="C299" s="3" t="s">
        <v>11</v>
      </c>
      <c r="D299" s="3" t="s">
        <v>44</v>
      </c>
      <c r="E299" s="4">
        <v>0.8</v>
      </c>
      <c r="F299" s="44">
        <v>2.9</v>
      </c>
      <c r="G299" s="21">
        <v>200</v>
      </c>
      <c r="H299" s="30">
        <v>1.6</v>
      </c>
      <c r="I299" s="6">
        <f t="shared" si="13"/>
        <v>742.40000000000009</v>
      </c>
      <c r="J299" s="51" t="s">
        <v>70</v>
      </c>
      <c r="K299" s="17">
        <f t="shared" si="12"/>
        <v>9</v>
      </c>
    </row>
    <row r="300" spans="1:11" ht="13.95" customHeight="1" x14ac:dyDescent="0.3">
      <c r="A300" s="3">
        <v>45927</v>
      </c>
      <c r="B300" s="19" t="s">
        <v>1235</v>
      </c>
      <c r="C300" s="3" t="s">
        <v>13</v>
      </c>
      <c r="D300" s="3" t="s">
        <v>1075</v>
      </c>
      <c r="E300" s="4">
        <v>0.88</v>
      </c>
      <c r="F300" s="44">
        <v>3.45</v>
      </c>
      <c r="G300" s="21">
        <v>200</v>
      </c>
      <c r="H300" s="30">
        <v>1.6</v>
      </c>
      <c r="I300" s="6">
        <f t="shared" si="13"/>
        <v>971.5200000000001</v>
      </c>
      <c r="J300" s="51" t="s">
        <v>1174</v>
      </c>
      <c r="K300" s="17">
        <f t="shared" si="12"/>
        <v>9</v>
      </c>
    </row>
    <row r="301" spans="1:11" ht="13.95" customHeight="1" x14ac:dyDescent="0.3">
      <c r="A301" s="3">
        <v>45928</v>
      </c>
      <c r="B301" s="19" t="s">
        <v>1235</v>
      </c>
      <c r="C301" s="3" t="s">
        <v>16</v>
      </c>
      <c r="D301" s="3" t="s">
        <v>757</v>
      </c>
      <c r="E301" s="4">
        <v>0.92</v>
      </c>
      <c r="F301" s="44">
        <v>3.6</v>
      </c>
      <c r="G301" s="21">
        <v>200</v>
      </c>
      <c r="H301" s="30">
        <v>1.6</v>
      </c>
      <c r="I301" s="6">
        <f t="shared" si="13"/>
        <v>1059.8399999999999</v>
      </c>
      <c r="J301" s="51" t="s">
        <v>733</v>
      </c>
      <c r="K301" s="17">
        <f t="shared" si="12"/>
        <v>9</v>
      </c>
    </row>
    <row r="302" spans="1:11" ht="13.95" customHeight="1" x14ac:dyDescent="0.3">
      <c r="A302" s="3">
        <v>45929</v>
      </c>
      <c r="B302" s="19" t="s">
        <v>1235</v>
      </c>
      <c r="C302" s="3" t="s">
        <v>18</v>
      </c>
      <c r="D302" s="3" t="s">
        <v>1057</v>
      </c>
      <c r="E302" s="4">
        <v>0.75</v>
      </c>
      <c r="F302" s="44">
        <v>2.5</v>
      </c>
      <c r="G302" s="21">
        <v>200</v>
      </c>
      <c r="H302" s="30">
        <v>1.6</v>
      </c>
      <c r="I302" s="6">
        <f t="shared" si="13"/>
        <v>600</v>
      </c>
      <c r="J302" s="51" t="s">
        <v>71</v>
      </c>
      <c r="K302" s="17">
        <f t="shared" si="12"/>
        <v>9</v>
      </c>
    </row>
    <row r="303" spans="1:11" ht="13.95" customHeight="1" x14ac:dyDescent="0.3">
      <c r="A303" s="3">
        <v>45930</v>
      </c>
      <c r="B303" s="19" t="s">
        <v>1235</v>
      </c>
      <c r="C303" s="3" t="s">
        <v>20</v>
      </c>
      <c r="D303" s="3" t="s">
        <v>1167</v>
      </c>
      <c r="E303" s="4">
        <v>0.8</v>
      </c>
      <c r="F303" s="44">
        <v>2.5499999999999998</v>
      </c>
      <c r="G303" s="21">
        <v>200</v>
      </c>
      <c r="H303" s="30">
        <v>1.6</v>
      </c>
      <c r="I303" s="6">
        <f t="shared" si="13"/>
        <v>652.80000000000007</v>
      </c>
      <c r="J303" s="51" t="s">
        <v>860</v>
      </c>
      <c r="K303" s="17">
        <f t="shared" si="12"/>
        <v>9</v>
      </c>
    </row>
    <row r="304" spans="1:11" ht="13.95" customHeight="1" x14ac:dyDescent="0.3">
      <c r="A304" s="3">
        <v>45962</v>
      </c>
      <c r="B304" s="19" t="s">
        <v>1235</v>
      </c>
      <c r="C304" s="3" t="s">
        <v>13</v>
      </c>
      <c r="D304" s="3" t="s">
        <v>1075</v>
      </c>
      <c r="E304" s="4">
        <v>0.82</v>
      </c>
      <c r="F304" s="44">
        <v>3.3</v>
      </c>
      <c r="G304" s="21">
        <v>200</v>
      </c>
      <c r="H304" s="30">
        <v>1.6</v>
      </c>
      <c r="I304" s="6">
        <f t="shared" si="13"/>
        <v>865.92</v>
      </c>
      <c r="J304" s="51" t="s">
        <v>1175</v>
      </c>
      <c r="K304" s="17">
        <f t="shared" si="12"/>
        <v>11</v>
      </c>
    </row>
    <row r="305" spans="1:11" ht="13.95" customHeight="1" x14ac:dyDescent="0.3">
      <c r="A305" s="3">
        <v>45963</v>
      </c>
      <c r="B305" s="19" t="s">
        <v>1235</v>
      </c>
      <c r="C305" s="3" t="s">
        <v>16</v>
      </c>
      <c r="D305" s="3" t="s">
        <v>757</v>
      </c>
      <c r="E305" s="4">
        <v>0.9</v>
      </c>
      <c r="F305" s="44">
        <v>3.6</v>
      </c>
      <c r="G305" s="21">
        <v>200</v>
      </c>
      <c r="H305" s="30">
        <v>1.6</v>
      </c>
      <c r="I305" s="6">
        <f t="shared" si="13"/>
        <v>1036.8</v>
      </c>
      <c r="J305" s="51" t="s">
        <v>1176</v>
      </c>
      <c r="K305" s="17">
        <f t="shared" si="12"/>
        <v>11</v>
      </c>
    </row>
    <row r="306" spans="1:11" ht="13.95" customHeight="1" x14ac:dyDescent="0.3">
      <c r="A306" s="3">
        <v>45964</v>
      </c>
      <c r="B306" s="19" t="s">
        <v>1235</v>
      </c>
      <c r="C306" s="3" t="s">
        <v>18</v>
      </c>
      <c r="D306" s="3" t="s">
        <v>1167</v>
      </c>
      <c r="E306" s="4">
        <v>0.85</v>
      </c>
      <c r="F306" s="44">
        <v>2.5499999999999998</v>
      </c>
      <c r="G306" s="21">
        <v>200</v>
      </c>
      <c r="H306" s="30">
        <v>1.6</v>
      </c>
      <c r="I306" s="6">
        <f t="shared" si="13"/>
        <v>693.59999999999991</v>
      </c>
      <c r="J306" s="51" t="s">
        <v>506</v>
      </c>
      <c r="K306" s="17">
        <f t="shared" si="12"/>
        <v>11</v>
      </c>
    </row>
    <row r="307" spans="1:11" ht="13.95" customHeight="1" x14ac:dyDescent="0.3">
      <c r="A307" s="3">
        <v>45965</v>
      </c>
      <c r="B307" s="19" t="s">
        <v>1235</v>
      </c>
      <c r="C307" s="3" t="s">
        <v>20</v>
      </c>
      <c r="D307" s="3" t="s">
        <v>707</v>
      </c>
      <c r="E307" s="4">
        <v>0.92</v>
      </c>
      <c r="F307" s="44">
        <v>2.65</v>
      </c>
      <c r="G307" s="21">
        <v>200</v>
      </c>
      <c r="H307" s="30">
        <v>1.6</v>
      </c>
      <c r="I307" s="6">
        <f t="shared" si="13"/>
        <v>780.16</v>
      </c>
      <c r="J307" s="51" t="s">
        <v>968</v>
      </c>
      <c r="K307" s="17">
        <f t="shared" si="12"/>
        <v>11</v>
      </c>
    </row>
    <row r="308" spans="1:11" ht="13.95" customHeight="1" x14ac:dyDescent="0.3">
      <c r="A308" s="3">
        <v>45966</v>
      </c>
      <c r="B308" s="19" t="s">
        <v>1235</v>
      </c>
      <c r="C308" s="3" t="s">
        <v>5</v>
      </c>
      <c r="D308" s="3" t="s">
        <v>1167</v>
      </c>
      <c r="E308" s="4">
        <v>0.9</v>
      </c>
      <c r="F308" s="44">
        <v>2.5499999999999998</v>
      </c>
      <c r="G308" s="21">
        <v>200</v>
      </c>
      <c r="H308" s="30">
        <v>1.6</v>
      </c>
      <c r="I308" s="6">
        <f t="shared" si="13"/>
        <v>734.4</v>
      </c>
      <c r="J308" s="51" t="s">
        <v>1177</v>
      </c>
      <c r="K308" s="17">
        <f t="shared" si="12"/>
        <v>11</v>
      </c>
    </row>
    <row r="309" spans="1:11" ht="13.95" customHeight="1" x14ac:dyDescent="0.3">
      <c r="A309" s="3">
        <v>45967</v>
      </c>
      <c r="B309" s="19" t="s">
        <v>1235</v>
      </c>
      <c r="C309" s="3" t="s">
        <v>8</v>
      </c>
      <c r="D309" s="3" t="s">
        <v>1167</v>
      </c>
      <c r="E309" s="4">
        <v>0.85</v>
      </c>
      <c r="F309" s="44">
        <v>2.5</v>
      </c>
      <c r="G309" s="21">
        <v>200</v>
      </c>
      <c r="H309" s="30">
        <v>1.6</v>
      </c>
      <c r="I309" s="6">
        <f t="shared" si="13"/>
        <v>680</v>
      </c>
      <c r="J309" s="51" t="s">
        <v>71</v>
      </c>
      <c r="K309" s="17">
        <f t="shared" si="12"/>
        <v>11</v>
      </c>
    </row>
    <row r="310" spans="1:11" ht="13.95" customHeight="1" x14ac:dyDescent="0.3">
      <c r="A310" s="3">
        <v>45968</v>
      </c>
      <c r="B310" s="19" t="s">
        <v>1235</v>
      </c>
      <c r="C310" s="3" t="s">
        <v>11</v>
      </c>
      <c r="D310" s="3" t="s">
        <v>44</v>
      </c>
      <c r="E310" s="4">
        <v>0.78</v>
      </c>
      <c r="F310" s="44">
        <v>2.85</v>
      </c>
      <c r="G310" s="21">
        <v>200</v>
      </c>
      <c r="H310" s="30">
        <v>1.6</v>
      </c>
      <c r="I310" s="6">
        <f t="shared" si="13"/>
        <v>711.36000000000013</v>
      </c>
      <c r="J310" s="51" t="s">
        <v>485</v>
      </c>
      <c r="K310" s="17">
        <f t="shared" si="12"/>
        <v>11</v>
      </c>
    </row>
    <row r="311" spans="1:11" ht="13.95" customHeight="1" x14ac:dyDescent="0.3">
      <c r="A311" s="3">
        <v>45969</v>
      </c>
      <c r="B311" s="19" t="s">
        <v>1235</v>
      </c>
      <c r="C311" s="3" t="s">
        <v>13</v>
      </c>
      <c r="D311" s="3" t="s">
        <v>1075</v>
      </c>
      <c r="E311" s="4">
        <v>0.82</v>
      </c>
      <c r="F311" s="44">
        <v>3.4</v>
      </c>
      <c r="G311" s="21">
        <v>200</v>
      </c>
      <c r="H311" s="30">
        <v>1.6</v>
      </c>
      <c r="I311" s="6">
        <f t="shared" si="13"/>
        <v>892.16000000000008</v>
      </c>
      <c r="J311" s="51" t="s">
        <v>1178</v>
      </c>
      <c r="K311" s="17">
        <f t="shared" si="12"/>
        <v>11</v>
      </c>
    </row>
    <row r="312" spans="1:11" ht="13.95" customHeight="1" x14ac:dyDescent="0.3">
      <c r="A312" s="3">
        <v>45970</v>
      </c>
      <c r="B312" s="19" t="s">
        <v>1235</v>
      </c>
      <c r="C312" s="3" t="s">
        <v>16</v>
      </c>
      <c r="D312" s="3" t="s">
        <v>757</v>
      </c>
      <c r="E312" s="4">
        <v>0.9</v>
      </c>
      <c r="F312" s="44">
        <v>3.65</v>
      </c>
      <c r="G312" s="21">
        <v>200</v>
      </c>
      <c r="H312" s="30">
        <v>1.6</v>
      </c>
      <c r="I312" s="6">
        <f t="shared" si="13"/>
        <v>1051.2</v>
      </c>
      <c r="J312" s="51" t="s">
        <v>1179</v>
      </c>
      <c r="K312" s="17">
        <f t="shared" si="12"/>
        <v>11</v>
      </c>
    </row>
    <row r="313" spans="1:11" ht="13.95" customHeight="1" x14ac:dyDescent="0.3">
      <c r="A313" s="3">
        <v>45971</v>
      </c>
      <c r="B313" s="19" t="s">
        <v>1235</v>
      </c>
      <c r="C313" s="3" t="s">
        <v>18</v>
      </c>
      <c r="D313" s="3" t="s">
        <v>1167</v>
      </c>
      <c r="E313" s="4">
        <v>0.88</v>
      </c>
      <c r="F313" s="44">
        <v>2.5499999999999998</v>
      </c>
      <c r="G313" s="21">
        <v>200</v>
      </c>
      <c r="H313" s="30">
        <v>1.6</v>
      </c>
      <c r="I313" s="6">
        <f t="shared" si="13"/>
        <v>718.07999999999993</v>
      </c>
      <c r="J313" s="51" t="s">
        <v>731</v>
      </c>
      <c r="K313" s="17">
        <f t="shared" si="12"/>
        <v>11</v>
      </c>
    </row>
    <row r="314" spans="1:11" ht="13.95" customHeight="1" x14ac:dyDescent="0.3">
      <c r="A314" s="3">
        <v>45972</v>
      </c>
      <c r="B314" s="19" t="s">
        <v>1235</v>
      </c>
      <c r="C314" s="3" t="s">
        <v>20</v>
      </c>
      <c r="D314" s="3" t="s">
        <v>707</v>
      </c>
      <c r="E314" s="4">
        <v>0.94</v>
      </c>
      <c r="F314" s="44">
        <v>2.65</v>
      </c>
      <c r="G314" s="21">
        <v>200</v>
      </c>
      <c r="H314" s="30">
        <v>1.6</v>
      </c>
      <c r="I314" s="6">
        <f t="shared" si="13"/>
        <v>797.12</v>
      </c>
      <c r="J314" s="51" t="s">
        <v>1031</v>
      </c>
      <c r="K314" s="17">
        <f t="shared" si="12"/>
        <v>11</v>
      </c>
    </row>
    <row r="315" spans="1:11" ht="13.95" customHeight="1" x14ac:dyDescent="0.3">
      <c r="A315" s="3">
        <v>45973</v>
      </c>
      <c r="B315" s="19" t="s">
        <v>1235</v>
      </c>
      <c r="C315" s="3" t="s">
        <v>5</v>
      </c>
      <c r="D315" s="3" t="s">
        <v>1167</v>
      </c>
      <c r="E315" s="4">
        <v>0.9</v>
      </c>
      <c r="F315" s="44">
        <v>2.5499999999999998</v>
      </c>
      <c r="G315" s="21">
        <v>200</v>
      </c>
      <c r="H315" s="30">
        <v>1.6</v>
      </c>
      <c r="I315" s="6">
        <f t="shared" si="13"/>
        <v>734.4</v>
      </c>
      <c r="J315" s="51" t="s">
        <v>71</v>
      </c>
      <c r="K315" s="17">
        <f t="shared" si="12"/>
        <v>11</v>
      </c>
    </row>
    <row r="316" spans="1:11" ht="13.95" customHeight="1" x14ac:dyDescent="0.3">
      <c r="A316" s="3">
        <v>45974</v>
      </c>
      <c r="B316" s="19" t="s">
        <v>1235</v>
      </c>
      <c r="C316" s="3" t="s">
        <v>8</v>
      </c>
      <c r="D316" s="3" t="s">
        <v>1167</v>
      </c>
      <c r="E316" s="4">
        <v>0.85</v>
      </c>
      <c r="F316" s="44">
        <v>2.5</v>
      </c>
      <c r="G316" s="21">
        <v>200</v>
      </c>
      <c r="H316" s="30">
        <v>1.6</v>
      </c>
      <c r="I316" s="6">
        <f t="shared" si="13"/>
        <v>680</v>
      </c>
      <c r="J316" s="51" t="s">
        <v>71</v>
      </c>
      <c r="K316" s="17">
        <f t="shared" si="12"/>
        <v>11</v>
      </c>
    </row>
    <row r="317" spans="1:11" ht="13.95" customHeight="1" x14ac:dyDescent="0.3">
      <c r="A317" s="3">
        <v>45975</v>
      </c>
      <c r="B317" s="19" t="s">
        <v>1235</v>
      </c>
      <c r="C317" s="3" t="s">
        <v>11</v>
      </c>
      <c r="D317" s="3" t="s">
        <v>44</v>
      </c>
      <c r="E317" s="4">
        <v>0.8</v>
      </c>
      <c r="F317" s="44">
        <v>2.9</v>
      </c>
      <c r="G317" s="21">
        <v>200</v>
      </c>
      <c r="H317" s="30">
        <v>1.6</v>
      </c>
      <c r="I317" s="6">
        <f t="shared" si="13"/>
        <v>742.40000000000009</v>
      </c>
      <c r="J317" s="51" t="s">
        <v>70</v>
      </c>
      <c r="K317" s="17">
        <f t="shared" si="12"/>
        <v>11</v>
      </c>
    </row>
    <row r="318" spans="1:11" ht="13.95" customHeight="1" x14ac:dyDescent="0.3">
      <c r="A318" s="3">
        <v>45976</v>
      </c>
      <c r="B318" s="19" t="s">
        <v>1235</v>
      </c>
      <c r="C318" s="3" t="s">
        <v>13</v>
      </c>
      <c r="D318" s="3" t="s">
        <v>1075</v>
      </c>
      <c r="E318" s="4">
        <v>0.85</v>
      </c>
      <c r="F318" s="44">
        <v>3.4</v>
      </c>
      <c r="G318" s="21">
        <v>200</v>
      </c>
      <c r="H318" s="30">
        <v>1.6</v>
      </c>
      <c r="I318" s="6">
        <f t="shared" si="13"/>
        <v>924.80000000000007</v>
      </c>
      <c r="J318" s="51" t="s">
        <v>1180</v>
      </c>
      <c r="K318" s="17">
        <f t="shared" si="12"/>
        <v>11</v>
      </c>
    </row>
    <row r="319" spans="1:11" ht="13.95" customHeight="1" x14ac:dyDescent="0.3">
      <c r="A319" s="3">
        <v>45977</v>
      </c>
      <c r="B319" s="19" t="s">
        <v>1235</v>
      </c>
      <c r="C319" s="3" t="s">
        <v>16</v>
      </c>
      <c r="D319" s="3" t="s">
        <v>757</v>
      </c>
      <c r="E319" s="4">
        <v>0.92</v>
      </c>
      <c r="F319" s="44">
        <v>3.65</v>
      </c>
      <c r="G319" s="21">
        <v>200</v>
      </c>
      <c r="H319" s="30">
        <v>1.6</v>
      </c>
      <c r="I319" s="6">
        <f t="shared" si="13"/>
        <v>1074.5600000000002</v>
      </c>
      <c r="J319" s="51" t="s">
        <v>1181</v>
      </c>
      <c r="K319" s="17">
        <f t="shared" si="12"/>
        <v>11</v>
      </c>
    </row>
    <row r="320" spans="1:11" ht="13.95" customHeight="1" x14ac:dyDescent="0.3">
      <c r="A320" s="3">
        <v>45978</v>
      </c>
      <c r="B320" s="19" t="s">
        <v>1235</v>
      </c>
      <c r="C320" s="3" t="s">
        <v>18</v>
      </c>
      <c r="D320" s="3" t="s">
        <v>1167</v>
      </c>
      <c r="E320" s="4">
        <v>0.85</v>
      </c>
      <c r="F320" s="44">
        <v>2.5499999999999998</v>
      </c>
      <c r="G320" s="21">
        <v>200</v>
      </c>
      <c r="H320" s="30">
        <v>1.6</v>
      </c>
      <c r="I320" s="6">
        <f t="shared" si="13"/>
        <v>693.59999999999991</v>
      </c>
      <c r="J320" s="51" t="s">
        <v>65</v>
      </c>
      <c r="K320" s="17">
        <f t="shared" si="12"/>
        <v>11</v>
      </c>
    </row>
    <row r="321" spans="1:11" ht="13.95" customHeight="1" x14ac:dyDescent="0.3">
      <c r="A321" s="3">
        <v>45979</v>
      </c>
      <c r="B321" s="19" t="s">
        <v>1235</v>
      </c>
      <c r="C321" s="3" t="s">
        <v>20</v>
      </c>
      <c r="D321" s="3" t="s">
        <v>707</v>
      </c>
      <c r="E321" s="4">
        <v>0.92</v>
      </c>
      <c r="F321" s="44">
        <v>2.65</v>
      </c>
      <c r="G321" s="21">
        <v>200</v>
      </c>
      <c r="H321" s="30">
        <v>1.6</v>
      </c>
      <c r="I321" s="6">
        <f t="shared" si="13"/>
        <v>780.16</v>
      </c>
      <c r="J321" s="51" t="s">
        <v>71</v>
      </c>
      <c r="K321" s="17">
        <f t="shared" si="12"/>
        <v>11</v>
      </c>
    </row>
    <row r="322" spans="1:11" ht="13.95" customHeight="1" x14ac:dyDescent="0.3">
      <c r="A322" s="3">
        <v>45980</v>
      </c>
      <c r="B322" s="19" t="s">
        <v>1235</v>
      </c>
      <c r="C322" s="3" t="s">
        <v>5</v>
      </c>
      <c r="D322" s="3" t="s">
        <v>1167</v>
      </c>
      <c r="E322" s="4">
        <v>0.88</v>
      </c>
      <c r="F322" s="44">
        <v>2.5499999999999998</v>
      </c>
      <c r="G322" s="21">
        <v>200</v>
      </c>
      <c r="H322" s="30">
        <v>1.6</v>
      </c>
      <c r="I322" s="6">
        <f t="shared" si="13"/>
        <v>718.07999999999993</v>
      </c>
      <c r="J322" s="51" t="s">
        <v>71</v>
      </c>
      <c r="K322" s="17">
        <f t="shared" si="12"/>
        <v>11</v>
      </c>
    </row>
    <row r="323" spans="1:11" ht="13.95" customHeight="1" x14ac:dyDescent="0.3">
      <c r="A323" s="3">
        <v>45981</v>
      </c>
      <c r="B323" s="19" t="s">
        <v>1235</v>
      </c>
      <c r="C323" s="3" t="s">
        <v>8</v>
      </c>
      <c r="D323" s="3" t="s">
        <v>1167</v>
      </c>
      <c r="E323" s="4">
        <v>0.82</v>
      </c>
      <c r="F323" s="44">
        <v>2.5</v>
      </c>
      <c r="G323" s="21">
        <v>200</v>
      </c>
      <c r="H323" s="30">
        <v>1.6</v>
      </c>
      <c r="I323" s="6">
        <f t="shared" si="13"/>
        <v>656</v>
      </c>
      <c r="J323" s="51" t="s">
        <v>71</v>
      </c>
      <c r="K323" s="17">
        <f t="shared" ref="K323:K386" si="14">MONTH(A323)</f>
        <v>11</v>
      </c>
    </row>
    <row r="324" spans="1:11" ht="13.95" customHeight="1" x14ac:dyDescent="0.3">
      <c r="A324" s="3">
        <v>45982</v>
      </c>
      <c r="B324" s="19" t="s">
        <v>1235</v>
      </c>
      <c r="C324" s="3" t="s">
        <v>11</v>
      </c>
      <c r="D324" s="3" t="s">
        <v>44</v>
      </c>
      <c r="E324" s="4">
        <v>0.8</v>
      </c>
      <c r="F324" s="44">
        <v>2.85</v>
      </c>
      <c r="G324" s="21">
        <v>200</v>
      </c>
      <c r="H324" s="30">
        <v>1.6</v>
      </c>
      <c r="I324" s="6">
        <f t="shared" si="13"/>
        <v>729.6</v>
      </c>
      <c r="J324" s="51" t="s">
        <v>97</v>
      </c>
      <c r="K324" s="17">
        <f t="shared" si="14"/>
        <v>11</v>
      </c>
    </row>
    <row r="325" spans="1:11" ht="13.95" customHeight="1" x14ac:dyDescent="0.3">
      <c r="A325" s="3">
        <v>45983</v>
      </c>
      <c r="B325" s="19" t="s">
        <v>1235</v>
      </c>
      <c r="C325" s="3" t="s">
        <v>13</v>
      </c>
      <c r="D325" s="3" t="s">
        <v>1075</v>
      </c>
      <c r="E325" s="4">
        <v>0.85</v>
      </c>
      <c r="F325" s="44">
        <v>3.45</v>
      </c>
      <c r="G325" s="21">
        <v>200</v>
      </c>
      <c r="H325" s="30">
        <v>1.6</v>
      </c>
      <c r="I325" s="6">
        <f t="shared" si="13"/>
        <v>938.40000000000009</v>
      </c>
      <c r="J325" s="51" t="s">
        <v>1125</v>
      </c>
      <c r="K325" s="17">
        <f t="shared" si="14"/>
        <v>11</v>
      </c>
    </row>
    <row r="326" spans="1:11" ht="13.95" customHeight="1" x14ac:dyDescent="0.3">
      <c r="A326" s="3">
        <v>45984</v>
      </c>
      <c r="B326" s="19" t="s">
        <v>1235</v>
      </c>
      <c r="C326" s="3" t="s">
        <v>16</v>
      </c>
      <c r="D326" s="3" t="s">
        <v>757</v>
      </c>
      <c r="E326" s="4">
        <v>0.95</v>
      </c>
      <c r="F326" s="44">
        <v>3.7</v>
      </c>
      <c r="G326" s="21">
        <v>200</v>
      </c>
      <c r="H326" s="30">
        <v>1.6</v>
      </c>
      <c r="I326" s="6">
        <f t="shared" si="13"/>
        <v>1124.8</v>
      </c>
      <c r="J326" s="51" t="s">
        <v>1182</v>
      </c>
      <c r="K326" s="17">
        <f t="shared" si="14"/>
        <v>11</v>
      </c>
    </row>
    <row r="327" spans="1:11" ht="13.95" customHeight="1" x14ac:dyDescent="0.3">
      <c r="A327" s="3">
        <v>45985</v>
      </c>
      <c r="B327" s="19" t="s">
        <v>1235</v>
      </c>
      <c r="C327" s="3" t="s">
        <v>18</v>
      </c>
      <c r="D327" s="3" t="s">
        <v>1167</v>
      </c>
      <c r="E327" s="4">
        <v>0.82</v>
      </c>
      <c r="F327" s="44">
        <v>2.5499999999999998</v>
      </c>
      <c r="G327" s="21">
        <v>200</v>
      </c>
      <c r="H327" s="30">
        <v>1.6</v>
      </c>
      <c r="I327" s="6">
        <f t="shared" si="13"/>
        <v>669.12</v>
      </c>
      <c r="J327" s="51" t="s">
        <v>151</v>
      </c>
      <c r="K327" s="17">
        <f t="shared" si="14"/>
        <v>11</v>
      </c>
    </row>
    <row r="328" spans="1:11" ht="13.95" customHeight="1" x14ac:dyDescent="0.3">
      <c r="A328" s="3">
        <v>45986</v>
      </c>
      <c r="B328" s="19" t="s">
        <v>1235</v>
      </c>
      <c r="C328" s="3" t="s">
        <v>20</v>
      </c>
      <c r="D328" s="3" t="s">
        <v>1167</v>
      </c>
      <c r="E328" s="4">
        <v>0.85</v>
      </c>
      <c r="F328" s="44">
        <v>2.6</v>
      </c>
      <c r="G328" s="21">
        <v>200</v>
      </c>
      <c r="H328" s="30">
        <v>1.6</v>
      </c>
      <c r="I328" s="6">
        <f t="shared" si="13"/>
        <v>707.2</v>
      </c>
      <c r="J328" s="51" t="s">
        <v>71</v>
      </c>
      <c r="K328" s="17">
        <f t="shared" si="14"/>
        <v>11</v>
      </c>
    </row>
    <row r="329" spans="1:11" ht="13.95" customHeight="1" x14ac:dyDescent="0.3">
      <c r="A329" s="3">
        <v>45987</v>
      </c>
      <c r="B329" s="19" t="s">
        <v>1235</v>
      </c>
      <c r="C329" s="3" t="s">
        <v>5</v>
      </c>
      <c r="D329" s="3" t="s">
        <v>1167</v>
      </c>
      <c r="E329" s="4">
        <v>0.82</v>
      </c>
      <c r="F329" s="44">
        <v>2.5499999999999998</v>
      </c>
      <c r="G329" s="21">
        <v>200</v>
      </c>
      <c r="H329" s="30">
        <v>1.6</v>
      </c>
      <c r="I329" s="6">
        <f t="shared" si="13"/>
        <v>669.12</v>
      </c>
      <c r="J329" s="51" t="s">
        <v>71</v>
      </c>
      <c r="K329" s="17">
        <f t="shared" si="14"/>
        <v>11</v>
      </c>
    </row>
    <row r="330" spans="1:11" ht="13.95" customHeight="1" x14ac:dyDescent="0.3">
      <c r="A330" s="3">
        <v>45988</v>
      </c>
      <c r="B330" s="19" t="s">
        <v>1235</v>
      </c>
      <c r="C330" s="3" t="s">
        <v>8</v>
      </c>
      <c r="D330" s="3" t="s">
        <v>1183</v>
      </c>
      <c r="E330" s="4">
        <v>0.88</v>
      </c>
      <c r="F330" s="44">
        <v>3.2</v>
      </c>
      <c r="G330" s="21">
        <v>200</v>
      </c>
      <c r="H330" s="30">
        <v>1.6</v>
      </c>
      <c r="I330" s="6">
        <f t="shared" si="13"/>
        <v>901.12000000000012</v>
      </c>
      <c r="J330" s="51" t="s">
        <v>1184</v>
      </c>
      <c r="K330" s="17">
        <f t="shared" si="14"/>
        <v>11</v>
      </c>
    </row>
    <row r="331" spans="1:11" ht="13.95" customHeight="1" x14ac:dyDescent="0.3">
      <c r="A331" s="3">
        <v>45989</v>
      </c>
      <c r="B331" s="19" t="s">
        <v>1235</v>
      </c>
      <c r="C331" s="3" t="s">
        <v>11</v>
      </c>
      <c r="D331" s="3" t="s">
        <v>44</v>
      </c>
      <c r="E331" s="4">
        <v>0.85</v>
      </c>
      <c r="F331" s="44">
        <v>2.9</v>
      </c>
      <c r="G331" s="21">
        <v>200</v>
      </c>
      <c r="H331" s="30">
        <v>1.6</v>
      </c>
      <c r="I331" s="6">
        <f t="shared" si="13"/>
        <v>788.80000000000007</v>
      </c>
      <c r="J331" s="51" t="s">
        <v>70</v>
      </c>
      <c r="K331" s="17">
        <f t="shared" si="14"/>
        <v>11</v>
      </c>
    </row>
    <row r="332" spans="1:11" ht="13.95" customHeight="1" x14ac:dyDescent="0.3">
      <c r="A332" s="3">
        <v>45990</v>
      </c>
      <c r="B332" s="19" t="s">
        <v>1235</v>
      </c>
      <c r="C332" s="3" t="s">
        <v>13</v>
      </c>
      <c r="D332" s="3" t="s">
        <v>1075</v>
      </c>
      <c r="E332" s="4">
        <v>0.9</v>
      </c>
      <c r="F332" s="44">
        <v>3.45</v>
      </c>
      <c r="G332" s="21">
        <v>200</v>
      </c>
      <c r="H332" s="30">
        <v>1.6</v>
      </c>
      <c r="I332" s="6">
        <f t="shared" si="13"/>
        <v>993.6</v>
      </c>
      <c r="J332" s="51" t="s">
        <v>1185</v>
      </c>
      <c r="K332" s="17">
        <f t="shared" si="14"/>
        <v>11</v>
      </c>
    </row>
    <row r="333" spans="1:11" ht="13.95" customHeight="1" x14ac:dyDescent="0.3">
      <c r="A333" s="3">
        <v>45991</v>
      </c>
      <c r="B333" s="19" t="s">
        <v>1235</v>
      </c>
      <c r="C333" s="3" t="s">
        <v>16</v>
      </c>
      <c r="D333" s="3" t="s">
        <v>757</v>
      </c>
      <c r="E333" s="4">
        <v>0.95</v>
      </c>
      <c r="F333" s="44">
        <v>3.7</v>
      </c>
      <c r="G333" s="21">
        <v>200</v>
      </c>
      <c r="H333" s="30">
        <v>1.6</v>
      </c>
      <c r="I333" s="6">
        <f t="shared" si="13"/>
        <v>1124.8</v>
      </c>
      <c r="J333" s="51" t="s">
        <v>1186</v>
      </c>
      <c r="K333" s="17">
        <f t="shared" si="14"/>
        <v>11</v>
      </c>
    </row>
    <row r="334" spans="1:11" ht="13.95" customHeight="1" x14ac:dyDescent="0.3">
      <c r="A334" s="3">
        <v>45962</v>
      </c>
      <c r="B334" s="19" t="s">
        <v>1235</v>
      </c>
      <c r="C334" s="3" t="s">
        <v>13</v>
      </c>
      <c r="D334" s="3" t="s">
        <v>1075</v>
      </c>
      <c r="E334" s="4">
        <v>0.82</v>
      </c>
      <c r="F334" s="44">
        <v>3.3</v>
      </c>
      <c r="G334" s="21">
        <v>200</v>
      </c>
      <c r="H334" s="30">
        <v>1.6</v>
      </c>
      <c r="I334" s="6">
        <f t="shared" si="13"/>
        <v>865.92</v>
      </c>
      <c r="J334" s="51" t="s">
        <v>1175</v>
      </c>
      <c r="K334" s="17">
        <f t="shared" si="14"/>
        <v>11</v>
      </c>
    </row>
    <row r="335" spans="1:11" ht="13.95" customHeight="1" x14ac:dyDescent="0.3">
      <c r="A335" s="3">
        <v>45963</v>
      </c>
      <c r="B335" s="19" t="s">
        <v>1235</v>
      </c>
      <c r="C335" s="3" t="s">
        <v>16</v>
      </c>
      <c r="D335" s="3" t="s">
        <v>757</v>
      </c>
      <c r="E335" s="4">
        <v>0.9</v>
      </c>
      <c r="F335" s="44">
        <v>3.6</v>
      </c>
      <c r="G335" s="21">
        <v>200</v>
      </c>
      <c r="H335" s="30">
        <v>1.6</v>
      </c>
      <c r="I335" s="6">
        <f t="shared" si="13"/>
        <v>1036.8</v>
      </c>
      <c r="J335" s="51" t="s">
        <v>1176</v>
      </c>
      <c r="K335" s="17">
        <f t="shared" si="14"/>
        <v>11</v>
      </c>
    </row>
    <row r="336" spans="1:11" ht="13.95" customHeight="1" x14ac:dyDescent="0.3">
      <c r="A336" s="3">
        <v>45964</v>
      </c>
      <c r="B336" s="19" t="s">
        <v>1235</v>
      </c>
      <c r="C336" s="3" t="s">
        <v>18</v>
      </c>
      <c r="D336" s="3" t="s">
        <v>1167</v>
      </c>
      <c r="E336" s="4">
        <v>0.85</v>
      </c>
      <c r="F336" s="44">
        <v>2.5499999999999998</v>
      </c>
      <c r="G336" s="21">
        <v>200</v>
      </c>
      <c r="H336" s="30">
        <v>1.6</v>
      </c>
      <c r="I336" s="6">
        <f t="shared" si="13"/>
        <v>693.59999999999991</v>
      </c>
      <c r="J336" s="51" t="s">
        <v>506</v>
      </c>
      <c r="K336" s="17">
        <f t="shared" si="14"/>
        <v>11</v>
      </c>
    </row>
    <row r="337" spans="1:11" ht="13.95" customHeight="1" x14ac:dyDescent="0.3">
      <c r="A337" s="3">
        <v>45965</v>
      </c>
      <c r="B337" s="19" t="s">
        <v>1235</v>
      </c>
      <c r="C337" s="3" t="s">
        <v>20</v>
      </c>
      <c r="D337" s="3" t="s">
        <v>707</v>
      </c>
      <c r="E337" s="4">
        <v>0.92</v>
      </c>
      <c r="F337" s="44">
        <v>2.65</v>
      </c>
      <c r="G337" s="21">
        <v>200</v>
      </c>
      <c r="H337" s="30">
        <v>1.6</v>
      </c>
      <c r="I337" s="6">
        <f t="shared" si="13"/>
        <v>780.16</v>
      </c>
      <c r="J337" s="51" t="s">
        <v>968</v>
      </c>
      <c r="K337" s="17">
        <f t="shared" si="14"/>
        <v>11</v>
      </c>
    </row>
    <row r="338" spans="1:11" ht="13.95" customHeight="1" x14ac:dyDescent="0.3">
      <c r="A338" s="3">
        <v>45966</v>
      </c>
      <c r="B338" s="19" t="s">
        <v>1235</v>
      </c>
      <c r="C338" s="3" t="s">
        <v>5</v>
      </c>
      <c r="D338" s="3" t="s">
        <v>1167</v>
      </c>
      <c r="E338" s="4">
        <v>0.9</v>
      </c>
      <c r="F338" s="44">
        <v>2.5499999999999998</v>
      </c>
      <c r="G338" s="21">
        <v>200</v>
      </c>
      <c r="H338" s="30">
        <v>1.6</v>
      </c>
      <c r="I338" s="6">
        <f t="shared" si="13"/>
        <v>734.4</v>
      </c>
      <c r="J338" s="51" t="s">
        <v>1177</v>
      </c>
      <c r="K338" s="17">
        <f t="shared" si="14"/>
        <v>11</v>
      </c>
    </row>
    <row r="339" spans="1:11" ht="13.95" customHeight="1" x14ac:dyDescent="0.3">
      <c r="A339" s="3">
        <v>45967</v>
      </c>
      <c r="B339" s="19" t="s">
        <v>1235</v>
      </c>
      <c r="C339" s="3" t="s">
        <v>8</v>
      </c>
      <c r="D339" s="3" t="s">
        <v>1167</v>
      </c>
      <c r="E339" s="4">
        <v>0.85</v>
      </c>
      <c r="F339" s="44">
        <v>2.5</v>
      </c>
      <c r="G339" s="21">
        <v>200</v>
      </c>
      <c r="H339" s="30">
        <v>1.6</v>
      </c>
      <c r="I339" s="6">
        <f t="shared" si="13"/>
        <v>680</v>
      </c>
      <c r="J339" s="51" t="s">
        <v>71</v>
      </c>
      <c r="K339" s="17">
        <f t="shared" si="14"/>
        <v>11</v>
      </c>
    </row>
    <row r="340" spans="1:11" ht="13.95" customHeight="1" x14ac:dyDescent="0.3">
      <c r="A340" s="3">
        <v>45968</v>
      </c>
      <c r="B340" s="19" t="s">
        <v>1235</v>
      </c>
      <c r="C340" s="3" t="s">
        <v>11</v>
      </c>
      <c r="D340" s="3" t="s">
        <v>44</v>
      </c>
      <c r="E340" s="4">
        <v>0.78</v>
      </c>
      <c r="F340" s="44">
        <v>2.85</v>
      </c>
      <c r="G340" s="21">
        <v>200</v>
      </c>
      <c r="H340" s="30">
        <v>1.6</v>
      </c>
      <c r="I340" s="6">
        <f t="shared" si="13"/>
        <v>711.36000000000013</v>
      </c>
      <c r="J340" s="51" t="s">
        <v>485</v>
      </c>
      <c r="K340" s="17">
        <f t="shared" si="14"/>
        <v>11</v>
      </c>
    </row>
    <row r="341" spans="1:11" ht="13.95" customHeight="1" x14ac:dyDescent="0.3">
      <c r="A341" s="3">
        <v>45969</v>
      </c>
      <c r="B341" s="19" t="s">
        <v>1235</v>
      </c>
      <c r="C341" s="3" t="s">
        <v>13</v>
      </c>
      <c r="D341" s="3" t="s">
        <v>1075</v>
      </c>
      <c r="E341" s="4">
        <v>0.82</v>
      </c>
      <c r="F341" s="44">
        <v>3.4</v>
      </c>
      <c r="G341" s="21">
        <v>200</v>
      </c>
      <c r="H341" s="30">
        <v>1.6</v>
      </c>
      <c r="I341" s="6">
        <f t="shared" si="13"/>
        <v>892.16000000000008</v>
      </c>
      <c r="J341" s="51" t="s">
        <v>1178</v>
      </c>
      <c r="K341" s="17">
        <f t="shared" si="14"/>
        <v>11</v>
      </c>
    </row>
    <row r="342" spans="1:11" ht="13.95" customHeight="1" x14ac:dyDescent="0.3">
      <c r="A342" s="3">
        <v>45970</v>
      </c>
      <c r="B342" s="19" t="s">
        <v>1235</v>
      </c>
      <c r="C342" s="3" t="s">
        <v>16</v>
      </c>
      <c r="D342" s="3" t="s">
        <v>757</v>
      </c>
      <c r="E342" s="4">
        <v>0.9</v>
      </c>
      <c r="F342" s="44">
        <v>3.65</v>
      </c>
      <c r="G342" s="21">
        <v>200</v>
      </c>
      <c r="H342" s="30">
        <v>1.6</v>
      </c>
      <c r="I342" s="6">
        <f t="shared" si="13"/>
        <v>1051.2</v>
      </c>
      <c r="J342" s="51" t="s">
        <v>1179</v>
      </c>
      <c r="K342" s="17">
        <f t="shared" si="14"/>
        <v>11</v>
      </c>
    </row>
    <row r="343" spans="1:11" ht="13.95" customHeight="1" x14ac:dyDescent="0.3">
      <c r="A343" s="3">
        <v>45971</v>
      </c>
      <c r="B343" s="19" t="s">
        <v>1235</v>
      </c>
      <c r="C343" s="3" t="s">
        <v>18</v>
      </c>
      <c r="D343" s="3" t="s">
        <v>1167</v>
      </c>
      <c r="E343" s="4">
        <v>0.88</v>
      </c>
      <c r="F343" s="44">
        <v>2.5499999999999998</v>
      </c>
      <c r="G343" s="21">
        <v>200</v>
      </c>
      <c r="H343" s="30">
        <v>1.6</v>
      </c>
      <c r="I343" s="6">
        <f t="shared" si="13"/>
        <v>718.07999999999993</v>
      </c>
      <c r="J343" s="51" t="s">
        <v>731</v>
      </c>
      <c r="K343" s="17">
        <f t="shared" si="14"/>
        <v>11</v>
      </c>
    </row>
    <row r="344" spans="1:11" ht="13.95" customHeight="1" x14ac:dyDescent="0.3">
      <c r="A344" s="3">
        <v>45972</v>
      </c>
      <c r="B344" s="19" t="s">
        <v>1235</v>
      </c>
      <c r="C344" s="3" t="s">
        <v>20</v>
      </c>
      <c r="D344" s="3" t="s">
        <v>707</v>
      </c>
      <c r="E344" s="4">
        <v>0.94</v>
      </c>
      <c r="F344" s="44">
        <v>2.65</v>
      </c>
      <c r="G344" s="21">
        <v>200</v>
      </c>
      <c r="H344" s="30">
        <v>1.6</v>
      </c>
      <c r="I344" s="6">
        <f t="shared" si="13"/>
        <v>797.12</v>
      </c>
      <c r="J344" s="51" t="s">
        <v>1031</v>
      </c>
      <c r="K344" s="17">
        <f t="shared" si="14"/>
        <v>11</v>
      </c>
    </row>
    <row r="345" spans="1:11" ht="13.95" customHeight="1" x14ac:dyDescent="0.3">
      <c r="A345" s="3">
        <v>45973</v>
      </c>
      <c r="B345" s="19" t="s">
        <v>1235</v>
      </c>
      <c r="C345" s="3" t="s">
        <v>5</v>
      </c>
      <c r="D345" s="3" t="s">
        <v>1167</v>
      </c>
      <c r="E345" s="4">
        <v>0.9</v>
      </c>
      <c r="F345" s="44">
        <v>2.5499999999999998</v>
      </c>
      <c r="G345" s="21">
        <v>200</v>
      </c>
      <c r="H345" s="30">
        <v>1.6</v>
      </c>
      <c r="I345" s="6">
        <f t="shared" si="13"/>
        <v>734.4</v>
      </c>
      <c r="J345" s="51" t="s">
        <v>71</v>
      </c>
      <c r="K345" s="17">
        <f t="shared" si="14"/>
        <v>11</v>
      </c>
    </row>
    <row r="346" spans="1:11" ht="13.95" customHeight="1" x14ac:dyDescent="0.3">
      <c r="A346" s="3">
        <v>45974</v>
      </c>
      <c r="B346" s="19" t="s">
        <v>1235</v>
      </c>
      <c r="C346" s="3" t="s">
        <v>8</v>
      </c>
      <c r="D346" s="3" t="s">
        <v>1167</v>
      </c>
      <c r="E346" s="4">
        <v>0.85</v>
      </c>
      <c r="F346" s="44">
        <v>2.5</v>
      </c>
      <c r="G346" s="21">
        <v>200</v>
      </c>
      <c r="H346" s="30">
        <v>1.6</v>
      </c>
      <c r="I346" s="6">
        <f t="shared" si="13"/>
        <v>680</v>
      </c>
      <c r="J346" s="51" t="s">
        <v>71</v>
      </c>
      <c r="K346" s="17">
        <f t="shared" si="14"/>
        <v>11</v>
      </c>
    </row>
    <row r="347" spans="1:11" ht="13.95" customHeight="1" x14ac:dyDescent="0.3">
      <c r="A347" s="3">
        <v>45975</v>
      </c>
      <c r="B347" s="19" t="s">
        <v>1235</v>
      </c>
      <c r="C347" s="3" t="s">
        <v>11</v>
      </c>
      <c r="D347" s="3" t="s">
        <v>44</v>
      </c>
      <c r="E347" s="4">
        <v>0.8</v>
      </c>
      <c r="F347" s="44">
        <v>2.9</v>
      </c>
      <c r="G347" s="21">
        <v>200</v>
      </c>
      <c r="H347" s="30">
        <v>1.6</v>
      </c>
      <c r="I347" s="6">
        <f t="shared" si="13"/>
        <v>742.40000000000009</v>
      </c>
      <c r="J347" s="51" t="s">
        <v>70</v>
      </c>
      <c r="K347" s="17">
        <f t="shared" si="14"/>
        <v>11</v>
      </c>
    </row>
    <row r="348" spans="1:11" ht="13.95" customHeight="1" x14ac:dyDescent="0.3">
      <c r="A348" s="3">
        <v>45976</v>
      </c>
      <c r="B348" s="19" t="s">
        <v>1235</v>
      </c>
      <c r="C348" s="3" t="s">
        <v>13</v>
      </c>
      <c r="D348" s="3" t="s">
        <v>1075</v>
      </c>
      <c r="E348" s="4">
        <v>0.85</v>
      </c>
      <c r="F348" s="44">
        <v>3.4</v>
      </c>
      <c r="G348" s="21">
        <v>200</v>
      </c>
      <c r="H348" s="30">
        <v>1.6</v>
      </c>
      <c r="I348" s="6">
        <f t="shared" ref="I348:I394" si="15">(G348*E348)*F348*H348</f>
        <v>924.80000000000007</v>
      </c>
      <c r="J348" s="51" t="s">
        <v>1180</v>
      </c>
      <c r="K348" s="17">
        <f t="shared" si="14"/>
        <v>11</v>
      </c>
    </row>
    <row r="349" spans="1:11" ht="13.95" customHeight="1" x14ac:dyDescent="0.3">
      <c r="A349" s="3">
        <v>45977</v>
      </c>
      <c r="B349" s="19" t="s">
        <v>1235</v>
      </c>
      <c r="C349" s="3" t="s">
        <v>16</v>
      </c>
      <c r="D349" s="3" t="s">
        <v>757</v>
      </c>
      <c r="E349" s="4">
        <v>0.92</v>
      </c>
      <c r="F349" s="44">
        <v>3.65</v>
      </c>
      <c r="G349" s="21">
        <v>200</v>
      </c>
      <c r="H349" s="30">
        <v>1.6</v>
      </c>
      <c r="I349" s="6">
        <f t="shared" si="15"/>
        <v>1074.5600000000002</v>
      </c>
      <c r="J349" s="51" t="s">
        <v>1181</v>
      </c>
      <c r="K349" s="17">
        <f t="shared" si="14"/>
        <v>11</v>
      </c>
    </row>
    <row r="350" spans="1:11" ht="13.95" customHeight="1" x14ac:dyDescent="0.3">
      <c r="A350" s="3">
        <v>45978</v>
      </c>
      <c r="B350" s="19" t="s">
        <v>1235</v>
      </c>
      <c r="C350" s="3" t="s">
        <v>18</v>
      </c>
      <c r="D350" s="3" t="s">
        <v>1167</v>
      </c>
      <c r="E350" s="4">
        <v>0.85</v>
      </c>
      <c r="F350" s="44">
        <v>2.5499999999999998</v>
      </c>
      <c r="G350" s="21">
        <v>200</v>
      </c>
      <c r="H350" s="30">
        <v>1.6</v>
      </c>
      <c r="I350" s="6">
        <f t="shared" si="15"/>
        <v>693.59999999999991</v>
      </c>
      <c r="J350" s="51" t="s">
        <v>65</v>
      </c>
      <c r="K350" s="17">
        <f t="shared" si="14"/>
        <v>11</v>
      </c>
    </row>
    <row r="351" spans="1:11" ht="13.95" customHeight="1" x14ac:dyDescent="0.3">
      <c r="A351" s="3">
        <v>45979</v>
      </c>
      <c r="B351" s="19" t="s">
        <v>1235</v>
      </c>
      <c r="C351" s="3" t="s">
        <v>20</v>
      </c>
      <c r="D351" s="3" t="s">
        <v>707</v>
      </c>
      <c r="E351" s="4">
        <v>0.92</v>
      </c>
      <c r="F351" s="44">
        <v>2.65</v>
      </c>
      <c r="G351" s="21">
        <v>200</v>
      </c>
      <c r="H351" s="30">
        <v>1.6</v>
      </c>
      <c r="I351" s="6">
        <f t="shared" si="15"/>
        <v>780.16</v>
      </c>
      <c r="J351" s="51" t="s">
        <v>71</v>
      </c>
      <c r="K351" s="17">
        <f t="shared" si="14"/>
        <v>11</v>
      </c>
    </row>
    <row r="352" spans="1:11" ht="13.95" customHeight="1" x14ac:dyDescent="0.3">
      <c r="A352" s="3">
        <v>45980</v>
      </c>
      <c r="B352" s="19" t="s">
        <v>1235</v>
      </c>
      <c r="C352" s="3" t="s">
        <v>5</v>
      </c>
      <c r="D352" s="3" t="s">
        <v>1167</v>
      </c>
      <c r="E352" s="4">
        <v>0.88</v>
      </c>
      <c r="F352" s="44">
        <v>2.5499999999999998</v>
      </c>
      <c r="G352" s="21">
        <v>200</v>
      </c>
      <c r="H352" s="30">
        <v>1.6</v>
      </c>
      <c r="I352" s="6">
        <f t="shared" si="15"/>
        <v>718.07999999999993</v>
      </c>
      <c r="J352" s="51" t="s">
        <v>71</v>
      </c>
      <c r="K352" s="17">
        <f t="shared" si="14"/>
        <v>11</v>
      </c>
    </row>
    <row r="353" spans="1:11" ht="13.95" customHeight="1" x14ac:dyDescent="0.3">
      <c r="A353" s="3">
        <v>45981</v>
      </c>
      <c r="B353" s="19" t="s">
        <v>1235</v>
      </c>
      <c r="C353" s="3" t="s">
        <v>8</v>
      </c>
      <c r="D353" s="3" t="s">
        <v>1167</v>
      </c>
      <c r="E353" s="4">
        <v>0.82</v>
      </c>
      <c r="F353" s="44">
        <v>2.5</v>
      </c>
      <c r="G353" s="21">
        <v>200</v>
      </c>
      <c r="H353" s="30">
        <v>1.6</v>
      </c>
      <c r="I353" s="6">
        <f t="shared" si="15"/>
        <v>656</v>
      </c>
      <c r="J353" s="51" t="s">
        <v>71</v>
      </c>
      <c r="K353" s="17">
        <f t="shared" si="14"/>
        <v>11</v>
      </c>
    </row>
    <row r="354" spans="1:11" ht="13.95" customHeight="1" x14ac:dyDescent="0.3">
      <c r="A354" s="3">
        <v>45982</v>
      </c>
      <c r="B354" s="19" t="s">
        <v>1235</v>
      </c>
      <c r="C354" s="3" t="s">
        <v>11</v>
      </c>
      <c r="D354" s="3" t="s">
        <v>44</v>
      </c>
      <c r="E354" s="4">
        <v>0.8</v>
      </c>
      <c r="F354" s="44">
        <v>2.85</v>
      </c>
      <c r="G354" s="21">
        <v>200</v>
      </c>
      <c r="H354" s="30">
        <v>1.6</v>
      </c>
      <c r="I354" s="6">
        <f t="shared" si="15"/>
        <v>729.6</v>
      </c>
      <c r="J354" s="51" t="s">
        <v>97</v>
      </c>
      <c r="K354" s="17">
        <f t="shared" si="14"/>
        <v>11</v>
      </c>
    </row>
    <row r="355" spans="1:11" ht="13.95" customHeight="1" x14ac:dyDescent="0.3">
      <c r="A355" s="3">
        <v>45983</v>
      </c>
      <c r="B355" s="19" t="s">
        <v>1235</v>
      </c>
      <c r="C355" s="3" t="s">
        <v>13</v>
      </c>
      <c r="D355" s="3" t="s">
        <v>1075</v>
      </c>
      <c r="E355" s="4">
        <v>0.85</v>
      </c>
      <c r="F355" s="44">
        <v>3.45</v>
      </c>
      <c r="G355" s="21">
        <v>200</v>
      </c>
      <c r="H355" s="30">
        <v>1.6</v>
      </c>
      <c r="I355" s="6">
        <f t="shared" si="15"/>
        <v>938.40000000000009</v>
      </c>
      <c r="J355" s="51" t="s">
        <v>1125</v>
      </c>
      <c r="K355" s="17">
        <f t="shared" si="14"/>
        <v>11</v>
      </c>
    </row>
    <row r="356" spans="1:11" ht="13.95" customHeight="1" x14ac:dyDescent="0.3">
      <c r="A356" s="3">
        <v>45984</v>
      </c>
      <c r="B356" s="19" t="s">
        <v>1235</v>
      </c>
      <c r="C356" s="3" t="s">
        <v>16</v>
      </c>
      <c r="D356" s="3" t="s">
        <v>757</v>
      </c>
      <c r="E356" s="4">
        <v>0.95</v>
      </c>
      <c r="F356" s="44">
        <v>3.7</v>
      </c>
      <c r="G356" s="21">
        <v>200</v>
      </c>
      <c r="H356" s="30">
        <v>1.6</v>
      </c>
      <c r="I356" s="6">
        <f t="shared" si="15"/>
        <v>1124.8</v>
      </c>
      <c r="J356" s="51" t="s">
        <v>1182</v>
      </c>
      <c r="K356" s="17">
        <f t="shared" si="14"/>
        <v>11</v>
      </c>
    </row>
    <row r="357" spans="1:11" ht="13.95" customHeight="1" x14ac:dyDescent="0.3">
      <c r="A357" s="3">
        <v>45985</v>
      </c>
      <c r="B357" s="19" t="s">
        <v>1235</v>
      </c>
      <c r="C357" s="3" t="s">
        <v>18</v>
      </c>
      <c r="D357" s="3" t="s">
        <v>1167</v>
      </c>
      <c r="E357" s="4">
        <v>0.82</v>
      </c>
      <c r="F357" s="44">
        <v>2.5499999999999998</v>
      </c>
      <c r="G357" s="21">
        <v>200</v>
      </c>
      <c r="H357" s="30">
        <v>1.6</v>
      </c>
      <c r="I357" s="6">
        <f t="shared" si="15"/>
        <v>669.12</v>
      </c>
      <c r="J357" s="51" t="s">
        <v>151</v>
      </c>
      <c r="K357" s="17">
        <f t="shared" si="14"/>
        <v>11</v>
      </c>
    </row>
    <row r="358" spans="1:11" ht="13.95" customHeight="1" x14ac:dyDescent="0.3">
      <c r="A358" s="3">
        <v>45986</v>
      </c>
      <c r="B358" s="19" t="s">
        <v>1235</v>
      </c>
      <c r="C358" s="3" t="s">
        <v>20</v>
      </c>
      <c r="D358" s="3" t="s">
        <v>1167</v>
      </c>
      <c r="E358" s="4">
        <v>0.85</v>
      </c>
      <c r="F358" s="44">
        <v>2.6</v>
      </c>
      <c r="G358" s="21">
        <v>200</v>
      </c>
      <c r="H358" s="30">
        <v>1.6</v>
      </c>
      <c r="I358" s="6">
        <f t="shared" si="15"/>
        <v>707.2</v>
      </c>
      <c r="J358" s="51" t="s">
        <v>71</v>
      </c>
      <c r="K358" s="17">
        <f t="shared" si="14"/>
        <v>11</v>
      </c>
    </row>
    <row r="359" spans="1:11" ht="13.95" customHeight="1" x14ac:dyDescent="0.3">
      <c r="A359" s="3">
        <v>45987</v>
      </c>
      <c r="B359" s="19" t="s">
        <v>1235</v>
      </c>
      <c r="C359" s="3" t="s">
        <v>5</v>
      </c>
      <c r="D359" s="3" t="s">
        <v>1167</v>
      </c>
      <c r="E359" s="4">
        <v>0.82</v>
      </c>
      <c r="F359" s="44">
        <v>2.5499999999999998</v>
      </c>
      <c r="G359" s="21">
        <v>200</v>
      </c>
      <c r="H359" s="30">
        <v>1.6</v>
      </c>
      <c r="I359" s="6">
        <f t="shared" si="15"/>
        <v>669.12</v>
      </c>
      <c r="J359" s="51" t="s">
        <v>71</v>
      </c>
      <c r="K359" s="17">
        <f t="shared" si="14"/>
        <v>11</v>
      </c>
    </row>
    <row r="360" spans="1:11" ht="13.95" customHeight="1" x14ac:dyDescent="0.3">
      <c r="A360" s="3">
        <v>45988</v>
      </c>
      <c r="B360" s="19" t="s">
        <v>1235</v>
      </c>
      <c r="C360" s="3" t="s">
        <v>8</v>
      </c>
      <c r="D360" s="3" t="s">
        <v>1183</v>
      </c>
      <c r="E360" s="4">
        <v>0.88</v>
      </c>
      <c r="F360" s="44">
        <v>3.2</v>
      </c>
      <c r="G360" s="21">
        <v>200</v>
      </c>
      <c r="H360" s="30">
        <v>1.6</v>
      </c>
      <c r="I360" s="6">
        <f t="shared" si="15"/>
        <v>901.12000000000012</v>
      </c>
      <c r="J360" s="51" t="s">
        <v>1184</v>
      </c>
      <c r="K360" s="17">
        <f t="shared" si="14"/>
        <v>11</v>
      </c>
    </row>
    <row r="361" spans="1:11" ht="13.95" customHeight="1" x14ac:dyDescent="0.3">
      <c r="A361" s="3">
        <v>45989</v>
      </c>
      <c r="B361" s="19" t="s">
        <v>1235</v>
      </c>
      <c r="C361" s="3" t="s">
        <v>11</v>
      </c>
      <c r="D361" s="3" t="s">
        <v>44</v>
      </c>
      <c r="E361" s="4">
        <v>0.85</v>
      </c>
      <c r="F361" s="44">
        <v>2.9</v>
      </c>
      <c r="G361" s="21">
        <v>200</v>
      </c>
      <c r="H361" s="30">
        <v>1.6</v>
      </c>
      <c r="I361" s="6">
        <f t="shared" si="15"/>
        <v>788.80000000000007</v>
      </c>
      <c r="J361" s="51" t="s">
        <v>70</v>
      </c>
      <c r="K361" s="17">
        <f t="shared" si="14"/>
        <v>11</v>
      </c>
    </row>
    <row r="362" spans="1:11" ht="13.95" customHeight="1" x14ac:dyDescent="0.3">
      <c r="A362" s="3">
        <v>45990</v>
      </c>
      <c r="B362" s="19" t="s">
        <v>1235</v>
      </c>
      <c r="C362" s="3" t="s">
        <v>13</v>
      </c>
      <c r="D362" s="3" t="s">
        <v>1075</v>
      </c>
      <c r="E362" s="4">
        <v>0.9</v>
      </c>
      <c r="F362" s="44">
        <v>3.45</v>
      </c>
      <c r="G362" s="21">
        <v>200</v>
      </c>
      <c r="H362" s="30">
        <v>1.6</v>
      </c>
      <c r="I362" s="6">
        <f t="shared" si="15"/>
        <v>993.6</v>
      </c>
      <c r="J362" s="51" t="s">
        <v>1185</v>
      </c>
      <c r="K362" s="17">
        <f t="shared" si="14"/>
        <v>11</v>
      </c>
    </row>
    <row r="363" spans="1:11" ht="13.95" customHeight="1" x14ac:dyDescent="0.3">
      <c r="A363" s="3">
        <v>45991</v>
      </c>
      <c r="B363" s="19" t="s">
        <v>1235</v>
      </c>
      <c r="C363" s="3" t="s">
        <v>16</v>
      </c>
      <c r="D363" s="3" t="s">
        <v>757</v>
      </c>
      <c r="E363" s="4">
        <v>0.95</v>
      </c>
      <c r="F363" s="44">
        <v>3.7</v>
      </c>
      <c r="G363" s="21">
        <v>200</v>
      </c>
      <c r="H363" s="30">
        <v>1.6</v>
      </c>
      <c r="I363" s="6">
        <f t="shared" si="15"/>
        <v>1124.8</v>
      </c>
      <c r="J363" s="51" t="s">
        <v>1186</v>
      </c>
      <c r="K363" s="17">
        <f t="shared" si="14"/>
        <v>11</v>
      </c>
    </row>
    <row r="364" spans="1:11" ht="13.95" customHeight="1" x14ac:dyDescent="0.3">
      <c r="A364" s="3">
        <v>45992</v>
      </c>
      <c r="B364" s="19" t="s">
        <v>1235</v>
      </c>
      <c r="C364" s="3" t="s">
        <v>18</v>
      </c>
      <c r="D364" s="3" t="s">
        <v>1167</v>
      </c>
      <c r="E364" s="4">
        <v>0.85</v>
      </c>
      <c r="F364" s="44">
        <v>2.5499999999999998</v>
      </c>
      <c r="G364" s="21">
        <v>200</v>
      </c>
      <c r="H364" s="30">
        <v>1.6</v>
      </c>
      <c r="I364" s="6">
        <f t="shared" si="15"/>
        <v>693.59999999999991</v>
      </c>
      <c r="J364" s="51" t="s">
        <v>1187</v>
      </c>
      <c r="K364" s="17">
        <f t="shared" si="14"/>
        <v>12</v>
      </c>
    </row>
    <row r="365" spans="1:11" ht="13.95" customHeight="1" x14ac:dyDescent="0.3">
      <c r="A365" s="3">
        <v>45993</v>
      </c>
      <c r="B365" s="19" t="s">
        <v>1235</v>
      </c>
      <c r="C365" s="3" t="s">
        <v>20</v>
      </c>
      <c r="D365" s="3" t="s">
        <v>1167</v>
      </c>
      <c r="E365" s="4">
        <v>0.88</v>
      </c>
      <c r="F365" s="44">
        <v>2.6</v>
      </c>
      <c r="G365" s="21">
        <v>200</v>
      </c>
      <c r="H365" s="30">
        <v>1.6</v>
      </c>
      <c r="I365" s="6">
        <f t="shared" si="15"/>
        <v>732.16000000000008</v>
      </c>
      <c r="J365" s="51" t="s">
        <v>730</v>
      </c>
      <c r="K365" s="17">
        <f t="shared" si="14"/>
        <v>12</v>
      </c>
    </row>
    <row r="366" spans="1:11" ht="13.95" customHeight="1" x14ac:dyDescent="0.3">
      <c r="A366" s="3">
        <v>45994</v>
      </c>
      <c r="B366" s="19" t="s">
        <v>1235</v>
      </c>
      <c r="C366" s="3" t="s">
        <v>5</v>
      </c>
      <c r="D366" s="3" t="s">
        <v>1167</v>
      </c>
      <c r="E366" s="4">
        <v>0.85</v>
      </c>
      <c r="F366" s="44">
        <v>2.5499999999999998</v>
      </c>
      <c r="G366" s="21">
        <v>200</v>
      </c>
      <c r="H366" s="30">
        <v>1.6</v>
      </c>
      <c r="I366" s="6">
        <f t="shared" si="15"/>
        <v>693.59999999999991</v>
      </c>
      <c r="J366" s="51" t="s">
        <v>71</v>
      </c>
      <c r="K366" s="17">
        <f t="shared" si="14"/>
        <v>12</v>
      </c>
    </row>
    <row r="367" spans="1:11" ht="13.95" customHeight="1" x14ac:dyDescent="0.3">
      <c r="A367" s="3">
        <v>45995</v>
      </c>
      <c r="B367" s="19" t="s">
        <v>1235</v>
      </c>
      <c r="C367" s="3" t="s">
        <v>8</v>
      </c>
      <c r="D367" s="3" t="s">
        <v>1167</v>
      </c>
      <c r="E367" s="4">
        <v>0.8</v>
      </c>
      <c r="F367" s="44">
        <v>2.5</v>
      </c>
      <c r="G367" s="21">
        <v>200</v>
      </c>
      <c r="H367" s="30">
        <v>1.6</v>
      </c>
      <c r="I367" s="6">
        <f t="shared" si="15"/>
        <v>640</v>
      </c>
      <c r="J367" s="51" t="s">
        <v>71</v>
      </c>
      <c r="K367" s="17">
        <f t="shared" si="14"/>
        <v>12</v>
      </c>
    </row>
    <row r="368" spans="1:11" ht="13.95" customHeight="1" x14ac:dyDescent="0.3">
      <c r="A368" s="3">
        <v>45996</v>
      </c>
      <c r="B368" s="19" t="s">
        <v>1235</v>
      </c>
      <c r="C368" s="3" t="s">
        <v>11</v>
      </c>
      <c r="D368" s="3" t="s">
        <v>44</v>
      </c>
      <c r="E368" s="4">
        <v>0.75</v>
      </c>
      <c r="F368" s="44">
        <v>2.9</v>
      </c>
      <c r="G368" s="21">
        <v>200</v>
      </c>
      <c r="H368" s="30">
        <v>1.6</v>
      </c>
      <c r="I368" s="6">
        <f t="shared" si="15"/>
        <v>696</v>
      </c>
      <c r="J368" s="51" t="s">
        <v>1124</v>
      </c>
      <c r="K368" s="17">
        <f t="shared" si="14"/>
        <v>12</v>
      </c>
    </row>
    <row r="369" spans="1:11" ht="13.95" customHeight="1" x14ac:dyDescent="0.3">
      <c r="A369" s="3">
        <v>45997</v>
      </c>
      <c r="B369" s="19" t="s">
        <v>1235</v>
      </c>
      <c r="C369" s="3" t="s">
        <v>13</v>
      </c>
      <c r="D369" s="3" t="s">
        <v>1075</v>
      </c>
      <c r="E369" s="4">
        <v>0.82</v>
      </c>
      <c r="F369" s="44">
        <v>3.45</v>
      </c>
      <c r="G369" s="21">
        <v>200</v>
      </c>
      <c r="H369" s="30">
        <v>1.6</v>
      </c>
      <c r="I369" s="6">
        <f t="shared" si="15"/>
        <v>905.2800000000002</v>
      </c>
      <c r="J369" s="51" t="s">
        <v>1188</v>
      </c>
      <c r="K369" s="17">
        <f t="shared" si="14"/>
        <v>12</v>
      </c>
    </row>
    <row r="370" spans="1:11" ht="13.95" customHeight="1" x14ac:dyDescent="0.3">
      <c r="A370" s="3">
        <v>45998</v>
      </c>
      <c r="B370" s="19" t="s">
        <v>1235</v>
      </c>
      <c r="C370" s="3" t="s">
        <v>16</v>
      </c>
      <c r="D370" s="3" t="s">
        <v>757</v>
      </c>
      <c r="E370" s="4">
        <v>0.9</v>
      </c>
      <c r="F370" s="44">
        <v>3.7</v>
      </c>
      <c r="G370" s="21">
        <v>200</v>
      </c>
      <c r="H370" s="30">
        <v>1.6</v>
      </c>
      <c r="I370" s="6">
        <f t="shared" si="15"/>
        <v>1065.6000000000001</v>
      </c>
      <c r="J370" s="51" t="s">
        <v>1189</v>
      </c>
      <c r="K370" s="17">
        <f t="shared" si="14"/>
        <v>12</v>
      </c>
    </row>
    <row r="371" spans="1:11" ht="13.95" customHeight="1" x14ac:dyDescent="0.3">
      <c r="A371" s="3">
        <v>45999</v>
      </c>
      <c r="B371" s="19" t="s">
        <v>1235</v>
      </c>
      <c r="C371" s="3" t="s">
        <v>18</v>
      </c>
      <c r="D371" s="3" t="s">
        <v>1167</v>
      </c>
      <c r="E371" s="4">
        <v>0.82</v>
      </c>
      <c r="F371" s="44">
        <v>2.5499999999999998</v>
      </c>
      <c r="G371" s="21">
        <v>200</v>
      </c>
      <c r="H371" s="30">
        <v>1.6</v>
      </c>
      <c r="I371" s="6">
        <f t="shared" si="15"/>
        <v>669.12</v>
      </c>
      <c r="J371" s="51" t="s">
        <v>65</v>
      </c>
      <c r="K371" s="17">
        <f t="shared" si="14"/>
        <v>12</v>
      </c>
    </row>
    <row r="372" spans="1:11" ht="13.95" customHeight="1" x14ac:dyDescent="0.3">
      <c r="A372" s="3">
        <v>46000</v>
      </c>
      <c r="B372" s="19" t="s">
        <v>1235</v>
      </c>
      <c r="C372" s="3" t="s">
        <v>20</v>
      </c>
      <c r="D372" s="3" t="s">
        <v>707</v>
      </c>
      <c r="E372" s="4">
        <v>0.9</v>
      </c>
      <c r="F372" s="44">
        <v>2.65</v>
      </c>
      <c r="G372" s="21">
        <v>200</v>
      </c>
      <c r="H372" s="30">
        <v>1.6</v>
      </c>
      <c r="I372" s="6">
        <f t="shared" si="15"/>
        <v>763.2</v>
      </c>
      <c r="J372" s="51" t="s">
        <v>1190</v>
      </c>
      <c r="K372" s="17">
        <f t="shared" si="14"/>
        <v>12</v>
      </c>
    </row>
    <row r="373" spans="1:11" ht="13.95" customHeight="1" x14ac:dyDescent="0.3">
      <c r="A373" s="3">
        <v>46001</v>
      </c>
      <c r="B373" s="19" t="s">
        <v>1235</v>
      </c>
      <c r="C373" s="3" t="s">
        <v>5</v>
      </c>
      <c r="D373" s="3" t="s">
        <v>1167</v>
      </c>
      <c r="E373" s="4">
        <v>0.85</v>
      </c>
      <c r="F373" s="44">
        <v>2.5499999999999998</v>
      </c>
      <c r="G373" s="21">
        <v>200</v>
      </c>
      <c r="H373" s="30">
        <v>1.6</v>
      </c>
      <c r="I373" s="6">
        <f t="shared" si="15"/>
        <v>693.59999999999991</v>
      </c>
      <c r="J373" s="51" t="s">
        <v>71</v>
      </c>
      <c r="K373" s="17">
        <f t="shared" si="14"/>
        <v>12</v>
      </c>
    </row>
    <row r="374" spans="1:11" ht="13.95" customHeight="1" x14ac:dyDescent="0.3">
      <c r="A374" s="3">
        <v>46002</v>
      </c>
      <c r="B374" s="19" t="s">
        <v>1235</v>
      </c>
      <c r="C374" s="3" t="s">
        <v>8</v>
      </c>
      <c r="D374" s="3" t="s">
        <v>1167</v>
      </c>
      <c r="E374" s="4">
        <v>0.8</v>
      </c>
      <c r="F374" s="44">
        <v>2.5</v>
      </c>
      <c r="G374" s="21">
        <v>200</v>
      </c>
      <c r="H374" s="30">
        <v>1.6</v>
      </c>
      <c r="I374" s="6">
        <f t="shared" si="15"/>
        <v>640</v>
      </c>
      <c r="J374" s="51" t="s">
        <v>71</v>
      </c>
      <c r="K374" s="17">
        <f t="shared" si="14"/>
        <v>12</v>
      </c>
    </row>
    <row r="375" spans="1:11" ht="13.95" customHeight="1" x14ac:dyDescent="0.3">
      <c r="A375" s="3">
        <v>46003</v>
      </c>
      <c r="B375" s="19" t="s">
        <v>1235</v>
      </c>
      <c r="C375" s="3" t="s">
        <v>11</v>
      </c>
      <c r="D375" s="3" t="s">
        <v>44</v>
      </c>
      <c r="E375" s="4">
        <v>0.82</v>
      </c>
      <c r="F375" s="44">
        <v>2.95</v>
      </c>
      <c r="G375" s="21">
        <v>200</v>
      </c>
      <c r="H375" s="30">
        <v>1.6</v>
      </c>
      <c r="I375" s="6">
        <f t="shared" si="15"/>
        <v>774.08</v>
      </c>
      <c r="J375" s="51" t="s">
        <v>70</v>
      </c>
      <c r="K375" s="17">
        <f t="shared" si="14"/>
        <v>12</v>
      </c>
    </row>
    <row r="376" spans="1:11" ht="13.95" customHeight="1" x14ac:dyDescent="0.3">
      <c r="A376" s="3">
        <v>46004</v>
      </c>
      <c r="B376" s="19" t="s">
        <v>1235</v>
      </c>
      <c r="C376" s="3" t="s">
        <v>13</v>
      </c>
      <c r="D376" s="3" t="s">
        <v>875</v>
      </c>
      <c r="E376" s="4">
        <v>0.85</v>
      </c>
      <c r="F376" s="44">
        <v>3.8</v>
      </c>
      <c r="G376" s="21">
        <v>200</v>
      </c>
      <c r="H376" s="30">
        <v>1.6</v>
      </c>
      <c r="I376" s="6">
        <f t="shared" si="15"/>
        <v>1033.6000000000001</v>
      </c>
      <c r="J376" s="51" t="s">
        <v>1191</v>
      </c>
      <c r="K376" s="17">
        <f t="shared" si="14"/>
        <v>12</v>
      </c>
    </row>
    <row r="377" spans="1:11" ht="13.95" customHeight="1" x14ac:dyDescent="0.3">
      <c r="A377" s="3">
        <v>46005</v>
      </c>
      <c r="B377" s="19" t="s">
        <v>1235</v>
      </c>
      <c r="C377" s="3" t="s">
        <v>16</v>
      </c>
      <c r="D377" s="3" t="s">
        <v>757</v>
      </c>
      <c r="E377" s="4">
        <v>0.92</v>
      </c>
      <c r="F377" s="44">
        <v>3.75</v>
      </c>
      <c r="G377" s="21">
        <v>200</v>
      </c>
      <c r="H377" s="30">
        <v>1.6</v>
      </c>
      <c r="I377" s="6">
        <f t="shared" si="15"/>
        <v>1104</v>
      </c>
      <c r="J377" s="51" t="s">
        <v>1189</v>
      </c>
      <c r="K377" s="17">
        <f t="shared" si="14"/>
        <v>12</v>
      </c>
    </row>
    <row r="378" spans="1:11" ht="13.95" customHeight="1" x14ac:dyDescent="0.3">
      <c r="A378" s="3">
        <v>46006</v>
      </c>
      <c r="B378" s="19" t="s">
        <v>1235</v>
      </c>
      <c r="C378" s="3" t="s">
        <v>18</v>
      </c>
      <c r="D378" s="3" t="s">
        <v>1192</v>
      </c>
      <c r="E378" s="4">
        <v>0.78</v>
      </c>
      <c r="F378" s="44">
        <v>2.6</v>
      </c>
      <c r="G378" s="21">
        <v>200</v>
      </c>
      <c r="H378" s="30">
        <v>1.6</v>
      </c>
      <c r="I378" s="6">
        <f t="shared" si="15"/>
        <v>648.96</v>
      </c>
      <c r="J378" s="51" t="s">
        <v>1193</v>
      </c>
      <c r="K378" s="17">
        <f t="shared" si="14"/>
        <v>12</v>
      </c>
    </row>
    <row r="379" spans="1:11" ht="13.95" customHeight="1" x14ac:dyDescent="0.3">
      <c r="A379" s="3">
        <v>46007</v>
      </c>
      <c r="B379" s="19" t="s">
        <v>1235</v>
      </c>
      <c r="C379" s="3" t="s">
        <v>20</v>
      </c>
      <c r="D379" s="3" t="s">
        <v>1192</v>
      </c>
      <c r="E379" s="4">
        <v>0.8</v>
      </c>
      <c r="F379" s="44">
        <v>2.6</v>
      </c>
      <c r="G379" s="21">
        <v>200</v>
      </c>
      <c r="H379" s="30">
        <v>1.6</v>
      </c>
      <c r="I379" s="6">
        <f t="shared" si="15"/>
        <v>665.6</v>
      </c>
      <c r="J379" s="51" t="s">
        <v>1194</v>
      </c>
      <c r="K379" s="17">
        <f t="shared" si="14"/>
        <v>12</v>
      </c>
    </row>
    <row r="380" spans="1:11" ht="13.95" customHeight="1" x14ac:dyDescent="0.3">
      <c r="A380" s="3">
        <v>46008</v>
      </c>
      <c r="B380" s="19" t="s">
        <v>1235</v>
      </c>
      <c r="C380" s="3" t="s">
        <v>5</v>
      </c>
      <c r="D380" s="3" t="s">
        <v>1192</v>
      </c>
      <c r="E380" s="4">
        <v>0.75</v>
      </c>
      <c r="F380" s="44">
        <v>2.5499999999999998</v>
      </c>
      <c r="G380" s="21">
        <v>200</v>
      </c>
      <c r="H380" s="30">
        <v>1.6</v>
      </c>
      <c r="I380" s="6">
        <f t="shared" si="15"/>
        <v>612</v>
      </c>
      <c r="J380" s="51" t="s">
        <v>1194</v>
      </c>
      <c r="K380" s="17">
        <f t="shared" si="14"/>
        <v>12</v>
      </c>
    </row>
    <row r="381" spans="1:11" ht="13.95" customHeight="1" x14ac:dyDescent="0.3">
      <c r="A381" s="3">
        <v>46009</v>
      </c>
      <c r="B381" s="19" t="s">
        <v>1235</v>
      </c>
      <c r="C381" s="3" t="s">
        <v>8</v>
      </c>
      <c r="D381" s="3" t="s">
        <v>1192</v>
      </c>
      <c r="E381" s="4">
        <v>0.78</v>
      </c>
      <c r="F381" s="44">
        <v>2.6</v>
      </c>
      <c r="G381" s="21">
        <v>200</v>
      </c>
      <c r="H381" s="30">
        <v>1.6</v>
      </c>
      <c r="I381" s="6">
        <f t="shared" si="15"/>
        <v>648.96</v>
      </c>
      <c r="J381" s="51" t="s">
        <v>1194</v>
      </c>
      <c r="K381" s="17">
        <f t="shared" si="14"/>
        <v>12</v>
      </c>
    </row>
    <row r="382" spans="1:11" ht="13.95" customHeight="1" x14ac:dyDescent="0.3">
      <c r="A382" s="3">
        <v>46010</v>
      </c>
      <c r="B382" s="19" t="s">
        <v>1235</v>
      </c>
      <c r="C382" s="3" t="s">
        <v>11</v>
      </c>
      <c r="D382" s="3" t="s">
        <v>44</v>
      </c>
      <c r="E382" s="4">
        <v>0.85</v>
      </c>
      <c r="F382" s="44">
        <v>3</v>
      </c>
      <c r="G382" s="21">
        <v>200</v>
      </c>
      <c r="H382" s="30">
        <v>1.6</v>
      </c>
      <c r="I382" s="6">
        <f t="shared" si="15"/>
        <v>816</v>
      </c>
      <c r="J382" s="51" t="s">
        <v>1195</v>
      </c>
      <c r="K382" s="17">
        <f t="shared" si="14"/>
        <v>12</v>
      </c>
    </row>
    <row r="383" spans="1:11" ht="13.95" customHeight="1" x14ac:dyDescent="0.3">
      <c r="A383" s="3">
        <v>46011</v>
      </c>
      <c r="B383" s="19" t="s">
        <v>1235</v>
      </c>
      <c r="C383" s="3" t="s">
        <v>13</v>
      </c>
      <c r="D383" s="3" t="s">
        <v>1075</v>
      </c>
      <c r="E383" s="4">
        <v>0.9</v>
      </c>
      <c r="F383" s="44">
        <v>3.6</v>
      </c>
      <c r="G383" s="21">
        <v>200</v>
      </c>
      <c r="H383" s="30">
        <v>1.6</v>
      </c>
      <c r="I383" s="6">
        <f t="shared" si="15"/>
        <v>1036.8</v>
      </c>
      <c r="J383" s="51" t="s">
        <v>1196</v>
      </c>
      <c r="K383" s="17">
        <f t="shared" si="14"/>
        <v>12</v>
      </c>
    </row>
    <row r="384" spans="1:11" ht="13.95" customHeight="1" x14ac:dyDescent="0.3">
      <c r="A384" s="3">
        <v>46012</v>
      </c>
      <c r="B384" s="19" t="s">
        <v>1235</v>
      </c>
      <c r="C384" s="3" t="s">
        <v>16</v>
      </c>
      <c r="D384" s="3" t="s">
        <v>757</v>
      </c>
      <c r="E384" s="4">
        <v>0.95</v>
      </c>
      <c r="F384" s="44">
        <v>3.8</v>
      </c>
      <c r="G384" s="21">
        <v>200</v>
      </c>
      <c r="H384" s="30">
        <v>1.6</v>
      </c>
      <c r="I384" s="6">
        <f t="shared" si="15"/>
        <v>1155.2</v>
      </c>
      <c r="J384" s="51" t="s">
        <v>1197</v>
      </c>
      <c r="K384" s="17">
        <f t="shared" si="14"/>
        <v>12</v>
      </c>
    </row>
    <row r="385" spans="1:12" ht="13.95" customHeight="1" x14ac:dyDescent="0.3">
      <c r="A385" s="3">
        <v>46013</v>
      </c>
      <c r="B385" s="19" t="s">
        <v>1235</v>
      </c>
      <c r="C385" s="3" t="s">
        <v>18</v>
      </c>
      <c r="D385" s="3" t="s">
        <v>1198</v>
      </c>
      <c r="E385" s="4">
        <v>0.8</v>
      </c>
      <c r="F385" s="44">
        <v>2.8</v>
      </c>
      <c r="G385" s="21">
        <v>200</v>
      </c>
      <c r="H385" s="30">
        <v>1.6</v>
      </c>
      <c r="I385" s="6">
        <f t="shared" si="15"/>
        <v>716.80000000000007</v>
      </c>
      <c r="J385" s="51" t="s">
        <v>1199</v>
      </c>
      <c r="K385" s="17">
        <f t="shared" si="14"/>
        <v>12</v>
      </c>
    </row>
    <row r="386" spans="1:12" ht="13.95" customHeight="1" x14ac:dyDescent="0.3">
      <c r="A386" s="3">
        <v>46014</v>
      </c>
      <c r="B386" s="19" t="s">
        <v>1235</v>
      </c>
      <c r="C386" s="3" t="s">
        <v>20</v>
      </c>
      <c r="D386" s="3" t="s">
        <v>1198</v>
      </c>
      <c r="E386" s="4">
        <v>0.85</v>
      </c>
      <c r="F386" s="44">
        <v>2.9</v>
      </c>
      <c r="G386" s="21">
        <v>200</v>
      </c>
      <c r="H386" s="30">
        <v>1.6</v>
      </c>
      <c r="I386" s="6">
        <f t="shared" si="15"/>
        <v>788.80000000000007</v>
      </c>
      <c r="J386" s="51" t="s">
        <v>1200</v>
      </c>
      <c r="K386" s="17">
        <f t="shared" si="14"/>
        <v>12</v>
      </c>
    </row>
    <row r="387" spans="1:12" ht="13.95" customHeight="1" x14ac:dyDescent="0.3">
      <c r="A387" s="3">
        <v>46015</v>
      </c>
      <c r="B387" s="19" t="s">
        <v>1235</v>
      </c>
      <c r="C387" s="3" t="s">
        <v>5</v>
      </c>
      <c r="D387" s="3" t="s">
        <v>662</v>
      </c>
      <c r="E387" s="4">
        <v>0.95</v>
      </c>
      <c r="F387" s="44">
        <v>4.2</v>
      </c>
      <c r="G387" s="21">
        <v>200</v>
      </c>
      <c r="H387" s="30">
        <v>1.6</v>
      </c>
      <c r="I387" s="6">
        <f t="shared" si="15"/>
        <v>1276.8000000000002</v>
      </c>
      <c r="J387" s="51" t="s">
        <v>1201</v>
      </c>
      <c r="K387" s="17">
        <f t="shared" ref="K387:K450" si="16">MONTH(A387)</f>
        <v>12</v>
      </c>
    </row>
    <row r="388" spans="1:12" ht="13.95" customHeight="1" x14ac:dyDescent="0.3">
      <c r="A388" s="3">
        <v>46016</v>
      </c>
      <c r="B388" s="19" t="s">
        <v>1235</v>
      </c>
      <c r="C388" s="3" t="s">
        <v>8</v>
      </c>
      <c r="D388" s="3" t="s">
        <v>884</v>
      </c>
      <c r="E388" s="4">
        <v>0.9</v>
      </c>
      <c r="F388" s="44">
        <v>3.5</v>
      </c>
      <c r="G388" s="21">
        <v>200</v>
      </c>
      <c r="H388" s="30">
        <v>1.6</v>
      </c>
      <c r="I388" s="6">
        <f t="shared" si="15"/>
        <v>1008</v>
      </c>
      <c r="J388" s="51" t="s">
        <v>664</v>
      </c>
      <c r="K388" s="17">
        <f t="shared" si="16"/>
        <v>12</v>
      </c>
    </row>
    <row r="389" spans="1:12" ht="13.95" customHeight="1" x14ac:dyDescent="0.3">
      <c r="A389" s="3">
        <v>46017</v>
      </c>
      <c r="B389" s="19" t="s">
        <v>1235</v>
      </c>
      <c r="C389" s="3" t="s">
        <v>11</v>
      </c>
      <c r="D389" s="3" t="s">
        <v>44</v>
      </c>
      <c r="E389" s="4">
        <v>0.85</v>
      </c>
      <c r="F389" s="44">
        <v>2.9</v>
      </c>
      <c r="G389" s="21">
        <v>200</v>
      </c>
      <c r="H389" s="30">
        <v>1.6</v>
      </c>
      <c r="I389" s="6">
        <f t="shared" si="15"/>
        <v>788.80000000000007</v>
      </c>
      <c r="J389" s="51" t="s">
        <v>1202</v>
      </c>
      <c r="K389" s="17">
        <f t="shared" si="16"/>
        <v>12</v>
      </c>
    </row>
    <row r="390" spans="1:12" ht="13.95" customHeight="1" x14ac:dyDescent="0.3">
      <c r="A390" s="3">
        <v>46018</v>
      </c>
      <c r="B390" s="19" t="s">
        <v>1235</v>
      </c>
      <c r="C390" s="3" t="s">
        <v>13</v>
      </c>
      <c r="D390" s="3" t="s">
        <v>1075</v>
      </c>
      <c r="E390" s="4">
        <v>0.92</v>
      </c>
      <c r="F390" s="44">
        <v>3.6</v>
      </c>
      <c r="G390" s="21">
        <v>200</v>
      </c>
      <c r="H390" s="30">
        <v>1.6</v>
      </c>
      <c r="I390" s="6">
        <f t="shared" si="15"/>
        <v>1059.8399999999999</v>
      </c>
      <c r="J390" s="51" t="s">
        <v>508</v>
      </c>
      <c r="K390" s="17">
        <f t="shared" si="16"/>
        <v>12</v>
      </c>
    </row>
    <row r="391" spans="1:12" ht="13.95" customHeight="1" x14ac:dyDescent="0.3">
      <c r="A391" s="3">
        <v>46019</v>
      </c>
      <c r="B391" s="19" t="s">
        <v>1235</v>
      </c>
      <c r="C391" s="3" t="s">
        <v>16</v>
      </c>
      <c r="D391" s="3" t="s">
        <v>757</v>
      </c>
      <c r="E391" s="4">
        <v>0.98</v>
      </c>
      <c r="F391" s="44">
        <v>3.85</v>
      </c>
      <c r="G391" s="21">
        <v>200</v>
      </c>
      <c r="H391" s="30">
        <v>1.6</v>
      </c>
      <c r="I391" s="6">
        <f t="shared" si="15"/>
        <v>1207.3600000000001</v>
      </c>
      <c r="J391" s="51" t="s">
        <v>1203</v>
      </c>
      <c r="K391" s="17">
        <f t="shared" si="16"/>
        <v>12</v>
      </c>
    </row>
    <row r="392" spans="1:12" ht="13.95" customHeight="1" x14ac:dyDescent="0.3">
      <c r="A392" s="3">
        <v>46020</v>
      </c>
      <c r="B392" s="19" t="s">
        <v>1235</v>
      </c>
      <c r="C392" s="3" t="s">
        <v>18</v>
      </c>
      <c r="D392" s="3" t="s">
        <v>1198</v>
      </c>
      <c r="E392" s="4">
        <v>0.95</v>
      </c>
      <c r="F392" s="44">
        <v>2.9</v>
      </c>
      <c r="G392" s="21">
        <v>200</v>
      </c>
      <c r="H392" s="30">
        <v>1.6</v>
      </c>
      <c r="I392" s="6">
        <f t="shared" si="15"/>
        <v>881.6</v>
      </c>
      <c r="J392" s="51" t="s">
        <v>887</v>
      </c>
      <c r="K392" s="17">
        <f t="shared" si="16"/>
        <v>12</v>
      </c>
    </row>
    <row r="393" spans="1:12" ht="13.95" customHeight="1" x14ac:dyDescent="0.3">
      <c r="A393" s="3">
        <v>46021</v>
      </c>
      <c r="B393" s="19" t="s">
        <v>1235</v>
      </c>
      <c r="C393" s="3" t="s">
        <v>20</v>
      </c>
      <c r="D393" s="3" t="s">
        <v>1204</v>
      </c>
      <c r="E393" s="4">
        <v>0.98</v>
      </c>
      <c r="F393" s="44">
        <v>3.2</v>
      </c>
      <c r="G393" s="21">
        <v>200</v>
      </c>
      <c r="H393" s="30">
        <v>1.6</v>
      </c>
      <c r="I393" s="6">
        <f t="shared" si="15"/>
        <v>1003.5200000000001</v>
      </c>
      <c r="J393" s="51" t="s">
        <v>1205</v>
      </c>
      <c r="K393" s="17">
        <f t="shared" si="16"/>
        <v>12</v>
      </c>
    </row>
    <row r="394" spans="1:12" ht="13.95" customHeight="1" x14ac:dyDescent="0.3">
      <c r="A394" s="3">
        <v>46022</v>
      </c>
      <c r="B394" s="19" t="s">
        <v>1235</v>
      </c>
      <c r="C394" s="3" t="s">
        <v>5</v>
      </c>
      <c r="D394" s="3" t="s">
        <v>668</v>
      </c>
      <c r="E394" s="4">
        <v>1</v>
      </c>
      <c r="F394" s="44">
        <v>4.5</v>
      </c>
      <c r="G394" s="21">
        <v>200</v>
      </c>
      <c r="H394" s="30">
        <v>1.6</v>
      </c>
      <c r="I394" s="6">
        <f t="shared" si="15"/>
        <v>1440</v>
      </c>
      <c r="J394" s="51" t="s">
        <v>1206</v>
      </c>
      <c r="K394" s="17">
        <f t="shared" si="16"/>
        <v>12</v>
      </c>
    </row>
    <row r="395" spans="1:12" ht="13.95" customHeight="1" x14ac:dyDescent="0.3">
      <c r="A395" s="3">
        <v>45839</v>
      </c>
      <c r="B395" s="19" t="s">
        <v>1235</v>
      </c>
      <c r="C395" s="3" t="s">
        <v>20</v>
      </c>
      <c r="D395" s="3" t="s">
        <v>824</v>
      </c>
      <c r="E395" s="4">
        <v>0.8</v>
      </c>
      <c r="F395" s="44">
        <v>1.9</v>
      </c>
      <c r="G395" s="21">
        <v>200</v>
      </c>
      <c r="H395" s="30">
        <v>1.6</v>
      </c>
      <c r="I395" s="6">
        <f t="shared" ref="I395:I425" si="17">(G395*E395)*F395*H395</f>
        <v>486.40000000000003</v>
      </c>
      <c r="J395" s="7" t="s">
        <v>1207</v>
      </c>
      <c r="K395" s="17">
        <f t="shared" si="16"/>
        <v>7</v>
      </c>
      <c r="L395" s="17"/>
    </row>
    <row r="396" spans="1:12" ht="13.95" customHeight="1" x14ac:dyDescent="0.3">
      <c r="A396" s="3">
        <v>45840</v>
      </c>
      <c r="B396" s="19" t="s">
        <v>1235</v>
      </c>
      <c r="C396" s="3" t="s">
        <v>5</v>
      </c>
      <c r="D396" s="3" t="s">
        <v>824</v>
      </c>
      <c r="E396" s="4">
        <v>0.78</v>
      </c>
      <c r="F396" s="44">
        <v>1.85</v>
      </c>
      <c r="G396" s="21">
        <v>200</v>
      </c>
      <c r="H396" s="30">
        <v>1.6</v>
      </c>
      <c r="I396" s="6">
        <f t="shared" si="17"/>
        <v>461.76000000000005</v>
      </c>
      <c r="J396" s="7" t="s">
        <v>71</v>
      </c>
      <c r="K396" s="17">
        <f t="shared" si="16"/>
        <v>7</v>
      </c>
      <c r="L396" s="17"/>
    </row>
    <row r="397" spans="1:12" ht="13.95" customHeight="1" x14ac:dyDescent="0.3">
      <c r="A397" s="3">
        <v>45841</v>
      </c>
      <c r="B397" s="19" t="s">
        <v>1235</v>
      </c>
      <c r="C397" s="3" t="s">
        <v>8</v>
      </c>
      <c r="D397" s="3" t="s">
        <v>824</v>
      </c>
      <c r="E397" s="4">
        <v>0.82</v>
      </c>
      <c r="F397" s="44">
        <v>1.9</v>
      </c>
      <c r="G397" s="21">
        <v>200</v>
      </c>
      <c r="H397" s="30">
        <v>1.6</v>
      </c>
      <c r="I397" s="6">
        <f t="shared" si="17"/>
        <v>498.55999999999995</v>
      </c>
      <c r="J397" s="7" t="s">
        <v>589</v>
      </c>
      <c r="K397" s="17">
        <f t="shared" si="16"/>
        <v>7</v>
      </c>
      <c r="L397" s="17"/>
    </row>
    <row r="398" spans="1:12" ht="13.95" customHeight="1" x14ac:dyDescent="0.3">
      <c r="A398" s="3">
        <v>45842</v>
      </c>
      <c r="B398" s="19" t="s">
        <v>1235</v>
      </c>
      <c r="C398" s="3" t="s">
        <v>11</v>
      </c>
      <c r="D398" s="3" t="s">
        <v>14</v>
      </c>
      <c r="E398" s="4">
        <v>0.88</v>
      </c>
      <c r="F398" s="44">
        <v>2.1</v>
      </c>
      <c r="G398" s="21">
        <v>200</v>
      </c>
      <c r="H398" s="30">
        <v>1.6</v>
      </c>
      <c r="I398" s="6">
        <f t="shared" si="17"/>
        <v>591.36</v>
      </c>
      <c r="J398" s="7" t="s">
        <v>1208</v>
      </c>
      <c r="K398" s="17">
        <f t="shared" si="16"/>
        <v>7</v>
      </c>
      <c r="L398" s="17"/>
    </row>
    <row r="399" spans="1:12" ht="13.95" customHeight="1" x14ac:dyDescent="0.3">
      <c r="A399" s="3">
        <v>45843</v>
      </c>
      <c r="B399" s="19" t="s">
        <v>1235</v>
      </c>
      <c r="C399" s="3" t="s">
        <v>13</v>
      </c>
      <c r="D399" s="3" t="s">
        <v>1209</v>
      </c>
      <c r="E399" s="4">
        <v>0.92</v>
      </c>
      <c r="F399" s="44">
        <v>2.4</v>
      </c>
      <c r="G399" s="21">
        <v>200</v>
      </c>
      <c r="H399" s="30">
        <v>1.6</v>
      </c>
      <c r="I399" s="6">
        <f t="shared" si="17"/>
        <v>706.56</v>
      </c>
      <c r="J399" s="7" t="s">
        <v>1210</v>
      </c>
      <c r="K399" s="17">
        <f t="shared" si="16"/>
        <v>7</v>
      </c>
      <c r="L399" s="17"/>
    </row>
    <row r="400" spans="1:12" ht="13.95" customHeight="1" x14ac:dyDescent="0.3">
      <c r="A400" s="3">
        <v>45844</v>
      </c>
      <c r="B400" s="19" t="s">
        <v>1235</v>
      </c>
      <c r="C400" s="3" t="s">
        <v>16</v>
      </c>
      <c r="D400" s="3" t="s">
        <v>757</v>
      </c>
      <c r="E400" s="4">
        <v>0.98</v>
      </c>
      <c r="F400" s="44">
        <v>2.8</v>
      </c>
      <c r="G400" s="21">
        <v>200</v>
      </c>
      <c r="H400" s="30">
        <v>1.6</v>
      </c>
      <c r="I400" s="6">
        <f t="shared" si="17"/>
        <v>878.07999999999993</v>
      </c>
      <c r="J400" s="7" t="s">
        <v>1211</v>
      </c>
      <c r="K400" s="17">
        <f t="shared" si="16"/>
        <v>7</v>
      </c>
      <c r="L400" s="17"/>
    </row>
    <row r="401" spans="1:12" ht="13.95" customHeight="1" x14ac:dyDescent="0.3">
      <c r="A401" s="3">
        <v>45845</v>
      </c>
      <c r="B401" s="19" t="s">
        <v>1235</v>
      </c>
      <c r="C401" s="3" t="s">
        <v>18</v>
      </c>
      <c r="D401" s="3" t="s">
        <v>834</v>
      </c>
      <c r="E401" s="4">
        <v>0.85</v>
      </c>
      <c r="F401" s="44">
        <v>1.95</v>
      </c>
      <c r="G401" s="21">
        <v>200</v>
      </c>
      <c r="H401" s="30">
        <v>1.6</v>
      </c>
      <c r="I401" s="6">
        <f t="shared" si="17"/>
        <v>530.4</v>
      </c>
      <c r="J401" s="7" t="s">
        <v>1212</v>
      </c>
      <c r="K401" s="17">
        <f t="shared" si="16"/>
        <v>7</v>
      </c>
      <c r="L401" s="17"/>
    </row>
    <row r="402" spans="1:12" ht="13.95" customHeight="1" x14ac:dyDescent="0.3">
      <c r="A402" s="3">
        <v>45846</v>
      </c>
      <c r="B402" s="19" t="s">
        <v>1235</v>
      </c>
      <c r="C402" s="3" t="s">
        <v>20</v>
      </c>
      <c r="D402" s="3" t="s">
        <v>834</v>
      </c>
      <c r="E402" s="4">
        <v>0.82</v>
      </c>
      <c r="F402" s="44">
        <v>1.9</v>
      </c>
      <c r="G402" s="21">
        <v>200</v>
      </c>
      <c r="H402" s="30">
        <v>1.6</v>
      </c>
      <c r="I402" s="6">
        <f t="shared" si="17"/>
        <v>498.55999999999995</v>
      </c>
      <c r="J402" s="7" t="s">
        <v>1016</v>
      </c>
      <c r="K402" s="17">
        <f t="shared" si="16"/>
        <v>7</v>
      </c>
      <c r="L402" s="17"/>
    </row>
    <row r="403" spans="1:12" ht="13.95" customHeight="1" x14ac:dyDescent="0.3">
      <c r="A403" s="3">
        <v>45847</v>
      </c>
      <c r="B403" s="19" t="s">
        <v>1235</v>
      </c>
      <c r="C403" s="3" t="s">
        <v>5</v>
      </c>
      <c r="D403" s="3" t="s">
        <v>834</v>
      </c>
      <c r="E403" s="4">
        <v>0.8</v>
      </c>
      <c r="F403" s="44">
        <v>1.9</v>
      </c>
      <c r="G403" s="21">
        <v>200</v>
      </c>
      <c r="H403" s="30">
        <v>1.6</v>
      </c>
      <c r="I403" s="6">
        <f t="shared" si="17"/>
        <v>486.40000000000003</v>
      </c>
      <c r="J403" s="7" t="s">
        <v>1213</v>
      </c>
      <c r="K403" s="17">
        <f t="shared" si="16"/>
        <v>7</v>
      </c>
      <c r="L403" s="17"/>
    </row>
    <row r="404" spans="1:12" ht="13.95" customHeight="1" x14ac:dyDescent="0.3">
      <c r="A404" s="3">
        <v>45848</v>
      </c>
      <c r="B404" s="19" t="s">
        <v>1235</v>
      </c>
      <c r="C404" s="3" t="s">
        <v>8</v>
      </c>
      <c r="D404" s="3" t="s">
        <v>834</v>
      </c>
      <c r="E404" s="4">
        <v>0.85</v>
      </c>
      <c r="F404" s="44">
        <v>1.95</v>
      </c>
      <c r="G404" s="21">
        <v>200</v>
      </c>
      <c r="H404" s="30">
        <v>1.6</v>
      </c>
      <c r="I404" s="6">
        <f t="shared" si="17"/>
        <v>530.4</v>
      </c>
      <c r="J404" s="7" t="s">
        <v>828</v>
      </c>
      <c r="K404" s="17">
        <f t="shared" si="16"/>
        <v>7</v>
      </c>
      <c r="L404" s="17"/>
    </row>
    <row r="405" spans="1:12" ht="13.95" customHeight="1" x14ac:dyDescent="0.3">
      <c r="A405" s="3">
        <v>45849</v>
      </c>
      <c r="B405" s="19" t="s">
        <v>1235</v>
      </c>
      <c r="C405" s="3" t="s">
        <v>11</v>
      </c>
      <c r="D405" s="3" t="s">
        <v>14</v>
      </c>
      <c r="E405" s="4">
        <v>0.9</v>
      </c>
      <c r="F405" s="44">
        <v>2.2000000000000002</v>
      </c>
      <c r="G405" s="21">
        <v>200</v>
      </c>
      <c r="H405" s="30">
        <v>1.6</v>
      </c>
      <c r="I405" s="6">
        <f t="shared" si="17"/>
        <v>633.60000000000014</v>
      </c>
      <c r="J405" s="7" t="s">
        <v>1214</v>
      </c>
      <c r="K405" s="17">
        <f t="shared" si="16"/>
        <v>7</v>
      </c>
      <c r="L405" s="17"/>
    </row>
    <row r="406" spans="1:12" ht="13.95" customHeight="1" x14ac:dyDescent="0.3">
      <c r="A406" s="3">
        <v>45850</v>
      </c>
      <c r="B406" s="19" t="s">
        <v>1235</v>
      </c>
      <c r="C406" s="3" t="s">
        <v>13</v>
      </c>
      <c r="D406" s="3" t="s">
        <v>1215</v>
      </c>
      <c r="E406" s="4">
        <v>0.95</v>
      </c>
      <c r="F406" s="44">
        <v>2.5</v>
      </c>
      <c r="G406" s="21">
        <v>200</v>
      </c>
      <c r="H406" s="30">
        <v>1.6</v>
      </c>
      <c r="I406" s="6">
        <f t="shared" si="17"/>
        <v>760</v>
      </c>
      <c r="J406" s="7" t="s">
        <v>1216</v>
      </c>
      <c r="K406" s="17">
        <f t="shared" si="16"/>
        <v>7</v>
      </c>
      <c r="L406" s="17"/>
    </row>
    <row r="407" spans="1:12" ht="13.95" customHeight="1" x14ac:dyDescent="0.3">
      <c r="A407" s="3">
        <v>45851</v>
      </c>
      <c r="B407" s="19" t="s">
        <v>1235</v>
      </c>
      <c r="C407" s="3" t="s">
        <v>16</v>
      </c>
      <c r="D407" s="3" t="s">
        <v>757</v>
      </c>
      <c r="E407" s="4">
        <v>1</v>
      </c>
      <c r="F407" s="44">
        <v>2.85</v>
      </c>
      <c r="G407" s="21">
        <v>200</v>
      </c>
      <c r="H407" s="30">
        <v>1.6</v>
      </c>
      <c r="I407" s="6">
        <f t="shared" si="17"/>
        <v>912</v>
      </c>
      <c r="J407" s="7" t="s">
        <v>1217</v>
      </c>
      <c r="K407" s="17">
        <f t="shared" si="16"/>
        <v>7</v>
      </c>
      <c r="L407" s="17"/>
    </row>
    <row r="408" spans="1:12" ht="13.95" customHeight="1" x14ac:dyDescent="0.3">
      <c r="A408" s="3">
        <v>45852</v>
      </c>
      <c r="B408" s="19" t="s">
        <v>1235</v>
      </c>
      <c r="C408" s="3" t="s">
        <v>18</v>
      </c>
      <c r="D408" s="3" t="s">
        <v>834</v>
      </c>
      <c r="E408" s="4">
        <v>0.88</v>
      </c>
      <c r="F408" s="44">
        <v>1.95</v>
      </c>
      <c r="G408" s="21">
        <v>200</v>
      </c>
      <c r="H408" s="30">
        <v>1.6</v>
      </c>
      <c r="I408" s="6">
        <f t="shared" si="17"/>
        <v>549.12</v>
      </c>
      <c r="J408" s="7" t="s">
        <v>1218</v>
      </c>
      <c r="K408" s="17">
        <f t="shared" si="16"/>
        <v>7</v>
      </c>
      <c r="L408" s="17"/>
    </row>
    <row r="409" spans="1:12" ht="13.95" customHeight="1" x14ac:dyDescent="0.3">
      <c r="A409" s="3">
        <v>45853</v>
      </c>
      <c r="B409" s="19" t="s">
        <v>1235</v>
      </c>
      <c r="C409" s="3" t="s">
        <v>20</v>
      </c>
      <c r="D409" s="3" t="s">
        <v>834</v>
      </c>
      <c r="E409" s="4">
        <v>0.85</v>
      </c>
      <c r="F409" s="44">
        <v>1.95</v>
      </c>
      <c r="G409" s="21">
        <v>200</v>
      </c>
      <c r="H409" s="30">
        <v>1.6</v>
      </c>
      <c r="I409" s="6">
        <f t="shared" si="17"/>
        <v>530.4</v>
      </c>
      <c r="J409" s="7" t="s">
        <v>838</v>
      </c>
      <c r="K409" s="17">
        <f t="shared" si="16"/>
        <v>7</v>
      </c>
      <c r="L409" s="17"/>
    </row>
    <row r="410" spans="1:12" ht="13.95" customHeight="1" x14ac:dyDescent="0.3">
      <c r="A410" s="3">
        <v>45854</v>
      </c>
      <c r="B410" s="19" t="s">
        <v>1235</v>
      </c>
      <c r="C410" s="3" t="s">
        <v>5</v>
      </c>
      <c r="D410" s="3" t="s">
        <v>834</v>
      </c>
      <c r="E410" s="4">
        <v>0.82</v>
      </c>
      <c r="F410" s="44">
        <v>1.9</v>
      </c>
      <c r="G410" s="21">
        <v>200</v>
      </c>
      <c r="H410" s="30">
        <v>1.6</v>
      </c>
      <c r="I410" s="6">
        <f t="shared" si="17"/>
        <v>498.55999999999995</v>
      </c>
      <c r="J410" s="7" t="s">
        <v>54</v>
      </c>
      <c r="K410" s="17">
        <f t="shared" si="16"/>
        <v>7</v>
      </c>
      <c r="L410" s="17"/>
    </row>
    <row r="411" spans="1:12" ht="13.95" customHeight="1" x14ac:dyDescent="0.3">
      <c r="A411" s="3">
        <v>45855</v>
      </c>
      <c r="B411" s="19" t="s">
        <v>1235</v>
      </c>
      <c r="C411" s="3" t="s">
        <v>8</v>
      </c>
      <c r="D411" s="3" t="s">
        <v>834</v>
      </c>
      <c r="E411" s="4">
        <v>0.85</v>
      </c>
      <c r="F411" s="44">
        <v>1.95</v>
      </c>
      <c r="G411" s="21">
        <v>200</v>
      </c>
      <c r="H411" s="30">
        <v>1.6</v>
      </c>
      <c r="I411" s="6">
        <f t="shared" si="17"/>
        <v>530.4</v>
      </c>
      <c r="J411" s="7" t="s">
        <v>54</v>
      </c>
      <c r="K411" s="17">
        <f t="shared" si="16"/>
        <v>7</v>
      </c>
      <c r="L411" s="17"/>
    </row>
    <row r="412" spans="1:12" ht="13.95" customHeight="1" x14ac:dyDescent="0.3">
      <c r="A412" s="3">
        <v>45856</v>
      </c>
      <c r="B412" s="19" t="s">
        <v>1235</v>
      </c>
      <c r="C412" s="3" t="s">
        <v>11</v>
      </c>
      <c r="D412" s="3" t="s">
        <v>14</v>
      </c>
      <c r="E412" s="4">
        <v>0.92</v>
      </c>
      <c r="F412" s="44">
        <v>2.25</v>
      </c>
      <c r="G412" s="21">
        <v>200</v>
      </c>
      <c r="H412" s="30">
        <v>1.6</v>
      </c>
      <c r="I412" s="6">
        <f t="shared" si="17"/>
        <v>662.40000000000009</v>
      </c>
      <c r="J412" s="7" t="s">
        <v>1124</v>
      </c>
      <c r="K412" s="17">
        <f t="shared" si="16"/>
        <v>7</v>
      </c>
      <c r="L412" s="17"/>
    </row>
    <row r="413" spans="1:12" ht="13.95" customHeight="1" x14ac:dyDescent="0.3">
      <c r="A413" s="3">
        <v>45857</v>
      </c>
      <c r="B413" s="19" t="s">
        <v>1235</v>
      </c>
      <c r="C413" s="3" t="s">
        <v>13</v>
      </c>
      <c r="D413" s="3" t="s">
        <v>1215</v>
      </c>
      <c r="E413" s="4">
        <v>0.95</v>
      </c>
      <c r="F413" s="44">
        <v>2.5499999999999998</v>
      </c>
      <c r="G413" s="21">
        <v>200</v>
      </c>
      <c r="H413" s="30">
        <v>1.6</v>
      </c>
      <c r="I413" s="6">
        <f t="shared" si="17"/>
        <v>775.19999999999993</v>
      </c>
      <c r="J413" s="7" t="s">
        <v>1219</v>
      </c>
      <c r="K413" s="17">
        <f t="shared" si="16"/>
        <v>7</v>
      </c>
      <c r="L413" s="17"/>
    </row>
    <row r="414" spans="1:12" ht="13.95" customHeight="1" x14ac:dyDescent="0.3">
      <c r="A414" s="3">
        <v>45858</v>
      </c>
      <c r="B414" s="19" t="s">
        <v>1235</v>
      </c>
      <c r="C414" s="3" t="s">
        <v>16</v>
      </c>
      <c r="D414" s="3" t="s">
        <v>757</v>
      </c>
      <c r="E414" s="4">
        <v>1</v>
      </c>
      <c r="F414" s="44">
        <v>2.8</v>
      </c>
      <c r="G414" s="21">
        <v>200</v>
      </c>
      <c r="H414" s="30">
        <v>1.6</v>
      </c>
      <c r="I414" s="6">
        <f t="shared" si="17"/>
        <v>896</v>
      </c>
      <c r="J414" s="7" t="s">
        <v>1220</v>
      </c>
      <c r="K414" s="17">
        <f t="shared" si="16"/>
        <v>7</v>
      </c>
      <c r="L414" s="17"/>
    </row>
    <row r="415" spans="1:12" ht="13.95" customHeight="1" x14ac:dyDescent="0.3">
      <c r="A415" s="3">
        <v>45859</v>
      </c>
      <c r="B415" s="19" t="s">
        <v>1235</v>
      </c>
      <c r="C415" s="3" t="s">
        <v>18</v>
      </c>
      <c r="D415" s="3" t="s">
        <v>834</v>
      </c>
      <c r="E415" s="4">
        <v>0.9</v>
      </c>
      <c r="F415" s="44">
        <v>1.95</v>
      </c>
      <c r="G415" s="21">
        <v>200</v>
      </c>
      <c r="H415" s="30">
        <v>1.6</v>
      </c>
      <c r="I415" s="6">
        <f t="shared" si="17"/>
        <v>561.6</v>
      </c>
      <c r="J415" s="7" t="s">
        <v>476</v>
      </c>
      <c r="K415" s="17">
        <f t="shared" si="16"/>
        <v>7</v>
      </c>
      <c r="L415" s="17"/>
    </row>
    <row r="416" spans="1:12" ht="13.95" customHeight="1" x14ac:dyDescent="0.3">
      <c r="A416" s="3">
        <v>45860</v>
      </c>
      <c r="B416" s="19" t="s">
        <v>1235</v>
      </c>
      <c r="C416" s="3" t="s">
        <v>20</v>
      </c>
      <c r="D416" s="3" t="s">
        <v>834</v>
      </c>
      <c r="E416" s="4">
        <v>0.88</v>
      </c>
      <c r="F416" s="44">
        <v>1.95</v>
      </c>
      <c r="G416" s="21">
        <v>200</v>
      </c>
      <c r="H416" s="30">
        <v>1.6</v>
      </c>
      <c r="I416" s="6">
        <f t="shared" si="17"/>
        <v>549.12</v>
      </c>
      <c r="J416" s="7" t="s">
        <v>476</v>
      </c>
      <c r="K416" s="17">
        <f t="shared" si="16"/>
        <v>7</v>
      </c>
      <c r="L416" s="17"/>
    </row>
    <row r="417" spans="1:12" ht="13.95" customHeight="1" x14ac:dyDescent="0.3">
      <c r="A417" s="3">
        <v>45861</v>
      </c>
      <c r="B417" s="19" t="s">
        <v>1235</v>
      </c>
      <c r="C417" s="3" t="s">
        <v>5</v>
      </c>
      <c r="D417" s="3" t="s">
        <v>834</v>
      </c>
      <c r="E417" s="4">
        <v>0.85</v>
      </c>
      <c r="F417" s="44">
        <v>1.9</v>
      </c>
      <c r="G417" s="21">
        <v>200</v>
      </c>
      <c r="H417" s="30">
        <v>1.6</v>
      </c>
      <c r="I417" s="6">
        <f t="shared" si="17"/>
        <v>516.80000000000007</v>
      </c>
      <c r="J417" s="7" t="s">
        <v>476</v>
      </c>
      <c r="K417" s="17">
        <f t="shared" si="16"/>
        <v>7</v>
      </c>
      <c r="L417" s="17"/>
    </row>
    <row r="418" spans="1:12" ht="13.95" customHeight="1" x14ac:dyDescent="0.3">
      <c r="A418" s="3">
        <v>45862</v>
      </c>
      <c r="B418" s="19" t="s">
        <v>1235</v>
      </c>
      <c r="C418" s="3" t="s">
        <v>8</v>
      </c>
      <c r="D418" s="3" t="s">
        <v>994</v>
      </c>
      <c r="E418" s="4">
        <v>0.92</v>
      </c>
      <c r="F418" s="44">
        <v>2.1</v>
      </c>
      <c r="G418" s="21">
        <v>200</v>
      </c>
      <c r="H418" s="30">
        <v>1.6</v>
      </c>
      <c r="I418" s="6">
        <f t="shared" si="17"/>
        <v>618.24000000000012</v>
      </c>
      <c r="J418" s="7" t="s">
        <v>1221</v>
      </c>
      <c r="K418" s="17">
        <f t="shared" si="16"/>
        <v>7</v>
      </c>
      <c r="L418" s="17"/>
    </row>
    <row r="419" spans="1:12" ht="13.95" customHeight="1" x14ac:dyDescent="0.3">
      <c r="A419" s="3">
        <v>45863</v>
      </c>
      <c r="B419" s="19" t="s">
        <v>1235</v>
      </c>
      <c r="C419" s="3" t="s">
        <v>11</v>
      </c>
      <c r="D419" s="3" t="s">
        <v>1010</v>
      </c>
      <c r="E419" s="4">
        <v>0.95</v>
      </c>
      <c r="F419" s="44">
        <v>2.6</v>
      </c>
      <c r="G419" s="21">
        <v>200</v>
      </c>
      <c r="H419" s="30">
        <v>1.6</v>
      </c>
      <c r="I419" s="6">
        <f t="shared" si="17"/>
        <v>790.40000000000009</v>
      </c>
      <c r="J419" s="7" t="s">
        <v>1222</v>
      </c>
      <c r="K419" s="17">
        <f t="shared" si="16"/>
        <v>7</v>
      </c>
      <c r="L419" s="17"/>
    </row>
    <row r="420" spans="1:12" ht="13.95" customHeight="1" x14ac:dyDescent="0.3">
      <c r="A420" s="3">
        <v>45864</v>
      </c>
      <c r="B420" s="19" t="s">
        <v>1235</v>
      </c>
      <c r="C420" s="3" t="s">
        <v>13</v>
      </c>
      <c r="D420" s="3" t="s">
        <v>14</v>
      </c>
      <c r="E420" s="4">
        <v>0.92</v>
      </c>
      <c r="F420" s="44">
        <v>2.4500000000000002</v>
      </c>
      <c r="G420" s="21">
        <v>200</v>
      </c>
      <c r="H420" s="30">
        <v>1.6</v>
      </c>
      <c r="I420" s="6">
        <f t="shared" si="17"/>
        <v>721.28000000000009</v>
      </c>
      <c r="J420" s="7" t="s">
        <v>456</v>
      </c>
      <c r="K420" s="17">
        <f t="shared" si="16"/>
        <v>7</v>
      </c>
      <c r="L420" s="17"/>
    </row>
    <row r="421" spans="1:12" ht="13.95" customHeight="1" x14ac:dyDescent="0.3">
      <c r="A421" s="3">
        <v>45865</v>
      </c>
      <c r="B421" s="19" t="s">
        <v>1235</v>
      </c>
      <c r="C421" s="3" t="s">
        <v>16</v>
      </c>
      <c r="D421" s="3" t="s">
        <v>757</v>
      </c>
      <c r="E421" s="4">
        <v>1</v>
      </c>
      <c r="F421" s="44">
        <v>2.85</v>
      </c>
      <c r="G421" s="21">
        <v>200</v>
      </c>
      <c r="H421" s="30">
        <v>1.6</v>
      </c>
      <c r="I421" s="6">
        <f t="shared" si="17"/>
        <v>912</v>
      </c>
      <c r="J421" s="7" t="s">
        <v>1223</v>
      </c>
      <c r="K421" s="17">
        <f t="shared" si="16"/>
        <v>7</v>
      </c>
      <c r="L421" s="17"/>
    </row>
    <row r="422" spans="1:12" ht="13.95" customHeight="1" x14ac:dyDescent="0.3">
      <c r="A422" s="3">
        <v>45866</v>
      </c>
      <c r="B422" s="19" t="s">
        <v>1235</v>
      </c>
      <c r="C422" s="3" t="s">
        <v>18</v>
      </c>
      <c r="D422" s="3" t="s">
        <v>834</v>
      </c>
      <c r="E422" s="4">
        <v>0.88</v>
      </c>
      <c r="F422" s="44">
        <v>1.95</v>
      </c>
      <c r="G422" s="21">
        <v>200</v>
      </c>
      <c r="H422" s="30">
        <v>1.6</v>
      </c>
      <c r="I422" s="6">
        <f t="shared" si="17"/>
        <v>549.12</v>
      </c>
      <c r="J422" s="7" t="s">
        <v>99</v>
      </c>
      <c r="K422" s="17">
        <f t="shared" si="16"/>
        <v>7</v>
      </c>
      <c r="L422" s="17"/>
    </row>
    <row r="423" spans="1:12" ht="13.95" customHeight="1" x14ac:dyDescent="0.3">
      <c r="A423" s="3">
        <v>45867</v>
      </c>
      <c r="B423" s="19" t="s">
        <v>1235</v>
      </c>
      <c r="C423" s="3" t="s">
        <v>20</v>
      </c>
      <c r="D423" s="3" t="s">
        <v>834</v>
      </c>
      <c r="E423" s="4">
        <v>0.85</v>
      </c>
      <c r="F423" s="44">
        <v>1.9</v>
      </c>
      <c r="G423" s="21">
        <v>200</v>
      </c>
      <c r="H423" s="30">
        <v>1.6</v>
      </c>
      <c r="I423" s="6">
        <f t="shared" si="17"/>
        <v>516.80000000000007</v>
      </c>
      <c r="J423" s="7" t="s">
        <v>476</v>
      </c>
      <c r="K423" s="17">
        <f t="shared" si="16"/>
        <v>7</v>
      </c>
      <c r="L423" s="17"/>
    </row>
    <row r="424" spans="1:12" ht="13.95" customHeight="1" x14ac:dyDescent="0.3">
      <c r="A424" s="3">
        <v>45868</v>
      </c>
      <c r="B424" s="19" t="s">
        <v>1235</v>
      </c>
      <c r="C424" s="3" t="s">
        <v>5</v>
      </c>
      <c r="D424" s="3" t="s">
        <v>834</v>
      </c>
      <c r="E424" s="4">
        <v>0.82</v>
      </c>
      <c r="F424" s="44">
        <v>1.85</v>
      </c>
      <c r="G424" s="21">
        <v>200</v>
      </c>
      <c r="H424" s="30">
        <v>1.6</v>
      </c>
      <c r="I424" s="6">
        <f t="shared" si="17"/>
        <v>485.44000000000005</v>
      </c>
      <c r="J424" s="7" t="s">
        <v>476</v>
      </c>
      <c r="K424" s="17">
        <f t="shared" si="16"/>
        <v>7</v>
      </c>
      <c r="L424" s="17"/>
    </row>
    <row r="425" spans="1:12" ht="13.95" customHeight="1" x14ac:dyDescent="0.3">
      <c r="A425" s="3">
        <v>45869</v>
      </c>
      <c r="B425" s="19" t="s">
        <v>1235</v>
      </c>
      <c r="C425" s="3" t="s">
        <v>8</v>
      </c>
      <c r="D425" s="3" t="s">
        <v>44</v>
      </c>
      <c r="E425" s="4">
        <v>0.85</v>
      </c>
      <c r="F425" s="44">
        <v>1.95</v>
      </c>
      <c r="G425" s="21">
        <v>200</v>
      </c>
      <c r="H425" s="30">
        <v>1.6</v>
      </c>
      <c r="I425" s="6">
        <f t="shared" si="17"/>
        <v>530.4</v>
      </c>
      <c r="J425" s="7" t="s">
        <v>1224</v>
      </c>
      <c r="K425" s="17">
        <f t="shared" si="16"/>
        <v>7</v>
      </c>
      <c r="L425" s="17"/>
    </row>
    <row r="426" spans="1:12" ht="13.95" customHeight="1" x14ac:dyDescent="0.3">
      <c r="A426" s="3">
        <v>45931</v>
      </c>
      <c r="B426" s="19" t="s">
        <v>1235</v>
      </c>
      <c r="C426" s="3" t="s">
        <v>5</v>
      </c>
      <c r="D426" s="3" t="s">
        <v>1167</v>
      </c>
      <c r="E426" s="4">
        <v>0.85</v>
      </c>
      <c r="F426" s="44">
        <v>2.5499999999999998</v>
      </c>
      <c r="G426" s="21">
        <v>200</v>
      </c>
      <c r="H426" s="30">
        <v>1.6</v>
      </c>
      <c r="I426" s="6">
        <f t="shared" ref="I426:I456" si="18">(G426*E426)*F426*H426</f>
        <v>693.59999999999991</v>
      </c>
      <c r="J426" s="7" t="s">
        <v>1225</v>
      </c>
      <c r="K426" s="17">
        <f t="shared" si="16"/>
        <v>10</v>
      </c>
    </row>
    <row r="427" spans="1:12" ht="13.95" customHeight="1" x14ac:dyDescent="0.3">
      <c r="A427" s="3">
        <v>45932</v>
      </c>
      <c r="B427" s="19" t="s">
        <v>1235</v>
      </c>
      <c r="C427" s="3" t="s">
        <v>8</v>
      </c>
      <c r="D427" s="3" t="s">
        <v>1167</v>
      </c>
      <c r="E427" s="4">
        <v>0.82</v>
      </c>
      <c r="F427" s="44">
        <v>2.5</v>
      </c>
      <c r="G427" s="21">
        <v>200</v>
      </c>
      <c r="H427" s="30">
        <v>1.6</v>
      </c>
      <c r="I427" s="6">
        <f t="shared" si="18"/>
        <v>656</v>
      </c>
      <c r="J427" s="7" t="s">
        <v>71</v>
      </c>
      <c r="K427" s="17">
        <f t="shared" si="16"/>
        <v>10</v>
      </c>
    </row>
    <row r="428" spans="1:12" ht="13.95" customHeight="1" x14ac:dyDescent="0.3">
      <c r="A428" s="3">
        <v>45933</v>
      </c>
      <c r="B428" s="19" t="s">
        <v>1235</v>
      </c>
      <c r="C428" s="3" t="s">
        <v>11</v>
      </c>
      <c r="D428" s="3" t="s">
        <v>44</v>
      </c>
      <c r="E428" s="4">
        <v>0.78</v>
      </c>
      <c r="F428" s="44">
        <v>2.85</v>
      </c>
      <c r="G428" s="21">
        <v>200</v>
      </c>
      <c r="H428" s="30">
        <v>1.6</v>
      </c>
      <c r="I428" s="6">
        <f t="shared" si="18"/>
        <v>711.36000000000013</v>
      </c>
      <c r="J428" s="7" t="s">
        <v>1124</v>
      </c>
      <c r="K428" s="17">
        <f t="shared" si="16"/>
        <v>10</v>
      </c>
    </row>
    <row r="429" spans="1:12" ht="13.95" customHeight="1" x14ac:dyDescent="0.3">
      <c r="A429" s="3">
        <v>45934</v>
      </c>
      <c r="B429" s="19" t="s">
        <v>1235</v>
      </c>
      <c r="C429" s="3" t="s">
        <v>13</v>
      </c>
      <c r="D429" s="3" t="s">
        <v>1075</v>
      </c>
      <c r="E429" s="4">
        <v>0.85</v>
      </c>
      <c r="F429" s="44">
        <v>3.3</v>
      </c>
      <c r="G429" s="21">
        <v>200</v>
      </c>
      <c r="H429" s="30">
        <v>1.6</v>
      </c>
      <c r="I429" s="6">
        <f t="shared" si="18"/>
        <v>897.6</v>
      </c>
      <c r="J429" s="7" t="s">
        <v>1226</v>
      </c>
      <c r="K429" s="17">
        <f t="shared" si="16"/>
        <v>10</v>
      </c>
    </row>
    <row r="430" spans="1:12" ht="13.95" customHeight="1" x14ac:dyDescent="0.3">
      <c r="A430" s="3">
        <v>45935</v>
      </c>
      <c r="B430" s="19" t="s">
        <v>1235</v>
      </c>
      <c r="C430" s="3" t="s">
        <v>16</v>
      </c>
      <c r="D430" s="3" t="s">
        <v>757</v>
      </c>
      <c r="E430" s="4">
        <v>0.92</v>
      </c>
      <c r="F430" s="44">
        <v>3.6</v>
      </c>
      <c r="G430" s="21">
        <v>200</v>
      </c>
      <c r="H430" s="30">
        <v>1.6</v>
      </c>
      <c r="I430" s="6">
        <f t="shared" si="18"/>
        <v>1059.8399999999999</v>
      </c>
      <c r="J430" s="7" t="s">
        <v>1111</v>
      </c>
      <c r="K430" s="17">
        <f t="shared" si="16"/>
        <v>10</v>
      </c>
    </row>
    <row r="431" spans="1:12" ht="13.95" customHeight="1" x14ac:dyDescent="0.3">
      <c r="A431" s="3">
        <v>45936</v>
      </c>
      <c r="B431" s="19" t="s">
        <v>1235</v>
      </c>
      <c r="C431" s="3" t="s">
        <v>18</v>
      </c>
      <c r="D431" s="3" t="s">
        <v>1084</v>
      </c>
      <c r="E431" s="4">
        <v>0.88</v>
      </c>
      <c r="F431" s="44">
        <v>2.5499999999999998</v>
      </c>
      <c r="G431" s="21">
        <v>200</v>
      </c>
      <c r="H431" s="30">
        <v>1.6</v>
      </c>
      <c r="I431" s="6">
        <f t="shared" si="18"/>
        <v>718.07999999999993</v>
      </c>
      <c r="J431" s="7" t="s">
        <v>1227</v>
      </c>
      <c r="K431" s="17">
        <f t="shared" si="16"/>
        <v>10</v>
      </c>
    </row>
    <row r="432" spans="1:12" ht="13.95" customHeight="1" x14ac:dyDescent="0.3">
      <c r="A432" s="3">
        <v>45937</v>
      </c>
      <c r="B432" s="19" t="s">
        <v>1235</v>
      </c>
      <c r="C432" s="3" t="s">
        <v>20</v>
      </c>
      <c r="D432" s="3" t="s">
        <v>707</v>
      </c>
      <c r="E432" s="4">
        <v>0.95</v>
      </c>
      <c r="F432" s="44">
        <v>2.65</v>
      </c>
      <c r="G432" s="21">
        <v>200</v>
      </c>
      <c r="H432" s="30">
        <v>1.6</v>
      </c>
      <c r="I432" s="6">
        <f t="shared" si="18"/>
        <v>805.6</v>
      </c>
      <c r="J432" s="7" t="s">
        <v>1228</v>
      </c>
      <c r="K432" s="17">
        <f t="shared" si="16"/>
        <v>10</v>
      </c>
    </row>
    <row r="433" spans="1:11" ht="13.95" customHeight="1" x14ac:dyDescent="0.3">
      <c r="A433" s="3">
        <v>45938</v>
      </c>
      <c r="B433" s="19" t="s">
        <v>1235</v>
      </c>
      <c r="C433" s="3" t="s">
        <v>5</v>
      </c>
      <c r="D433" s="3" t="s">
        <v>1167</v>
      </c>
      <c r="E433" s="4">
        <v>0.92</v>
      </c>
      <c r="F433" s="44">
        <v>2.5499999999999998</v>
      </c>
      <c r="G433" s="21">
        <v>200</v>
      </c>
      <c r="H433" s="30">
        <v>1.6</v>
      </c>
      <c r="I433" s="6">
        <f t="shared" si="18"/>
        <v>750.72</v>
      </c>
      <c r="J433" s="7" t="s">
        <v>1229</v>
      </c>
      <c r="K433" s="17">
        <f t="shared" si="16"/>
        <v>10</v>
      </c>
    </row>
    <row r="434" spans="1:11" ht="13.95" customHeight="1" x14ac:dyDescent="0.3">
      <c r="A434" s="3">
        <v>45939</v>
      </c>
      <c r="B434" s="19" t="s">
        <v>1235</v>
      </c>
      <c r="C434" s="3" t="s">
        <v>8</v>
      </c>
      <c r="D434" s="3" t="s">
        <v>1167</v>
      </c>
      <c r="E434" s="4">
        <v>0.85</v>
      </c>
      <c r="F434" s="44">
        <v>2.5</v>
      </c>
      <c r="G434" s="21">
        <v>200</v>
      </c>
      <c r="H434" s="30">
        <v>1.6</v>
      </c>
      <c r="I434" s="6">
        <f t="shared" si="18"/>
        <v>680</v>
      </c>
      <c r="J434" s="7" t="s">
        <v>71</v>
      </c>
      <c r="K434" s="17">
        <f t="shared" si="16"/>
        <v>10</v>
      </c>
    </row>
    <row r="435" spans="1:11" ht="13.95" customHeight="1" x14ac:dyDescent="0.3">
      <c r="A435" s="3">
        <v>45940</v>
      </c>
      <c r="B435" s="19" t="s">
        <v>1235</v>
      </c>
      <c r="C435" s="3" t="s">
        <v>11</v>
      </c>
      <c r="D435" s="3" t="s">
        <v>44</v>
      </c>
      <c r="E435" s="4">
        <v>0.8</v>
      </c>
      <c r="F435" s="44">
        <v>2.85</v>
      </c>
      <c r="G435" s="21">
        <v>200</v>
      </c>
      <c r="H435" s="30">
        <v>1.6</v>
      </c>
      <c r="I435" s="6">
        <f t="shared" si="18"/>
        <v>729.6</v>
      </c>
      <c r="J435" s="7" t="s">
        <v>485</v>
      </c>
      <c r="K435" s="17">
        <f t="shared" si="16"/>
        <v>10</v>
      </c>
    </row>
    <row r="436" spans="1:11" ht="13.95" customHeight="1" x14ac:dyDescent="0.3">
      <c r="A436" s="3">
        <v>45941</v>
      </c>
      <c r="B436" s="19" t="s">
        <v>1235</v>
      </c>
      <c r="C436" s="3" t="s">
        <v>13</v>
      </c>
      <c r="D436" s="3" t="s">
        <v>1075</v>
      </c>
      <c r="E436" s="4">
        <v>0.82</v>
      </c>
      <c r="F436" s="44">
        <v>3.35</v>
      </c>
      <c r="G436" s="21">
        <v>200</v>
      </c>
      <c r="H436" s="30">
        <v>1.6</v>
      </c>
      <c r="I436" s="6">
        <f t="shared" si="18"/>
        <v>879.04</v>
      </c>
      <c r="J436" s="7" t="s">
        <v>1230</v>
      </c>
      <c r="K436" s="17">
        <f t="shared" si="16"/>
        <v>10</v>
      </c>
    </row>
    <row r="437" spans="1:11" ht="13.95" customHeight="1" x14ac:dyDescent="0.3">
      <c r="A437" s="3">
        <v>45942</v>
      </c>
      <c r="B437" s="19" t="s">
        <v>1235</v>
      </c>
      <c r="C437" s="3" t="s">
        <v>16</v>
      </c>
      <c r="D437" s="3" t="s">
        <v>757</v>
      </c>
      <c r="E437" s="4">
        <v>0.9</v>
      </c>
      <c r="F437" s="44">
        <v>3.6</v>
      </c>
      <c r="G437" s="21">
        <v>200</v>
      </c>
      <c r="H437" s="30">
        <v>1.6</v>
      </c>
      <c r="I437" s="6">
        <f t="shared" si="18"/>
        <v>1036.8</v>
      </c>
      <c r="J437" s="7" t="s">
        <v>1115</v>
      </c>
      <c r="K437" s="17">
        <f t="shared" si="16"/>
        <v>10</v>
      </c>
    </row>
    <row r="438" spans="1:11" ht="13.95" customHeight="1" x14ac:dyDescent="0.3">
      <c r="A438" s="3">
        <v>45943</v>
      </c>
      <c r="B438" s="19" t="s">
        <v>1235</v>
      </c>
      <c r="C438" s="3" t="s">
        <v>18</v>
      </c>
      <c r="D438" s="3" t="s">
        <v>1167</v>
      </c>
      <c r="E438" s="4">
        <v>0.85</v>
      </c>
      <c r="F438" s="44">
        <v>2.5</v>
      </c>
      <c r="G438" s="21">
        <v>200</v>
      </c>
      <c r="H438" s="30">
        <v>1.6</v>
      </c>
      <c r="I438" s="6">
        <f t="shared" si="18"/>
        <v>680</v>
      </c>
      <c r="J438" s="7" t="s">
        <v>71</v>
      </c>
      <c r="K438" s="17">
        <f t="shared" si="16"/>
        <v>10</v>
      </c>
    </row>
    <row r="439" spans="1:11" ht="13.95" customHeight="1" x14ac:dyDescent="0.3">
      <c r="A439" s="3">
        <v>45944</v>
      </c>
      <c r="B439" s="19" t="s">
        <v>1235</v>
      </c>
      <c r="C439" s="3" t="s">
        <v>20</v>
      </c>
      <c r="D439" s="3" t="s">
        <v>707</v>
      </c>
      <c r="E439" s="4">
        <v>0.92</v>
      </c>
      <c r="F439" s="44">
        <v>2.6</v>
      </c>
      <c r="G439" s="21">
        <v>200</v>
      </c>
      <c r="H439" s="30">
        <v>1.6</v>
      </c>
      <c r="I439" s="6">
        <f t="shared" si="18"/>
        <v>765.44</v>
      </c>
      <c r="J439" s="7" t="s">
        <v>1039</v>
      </c>
      <c r="K439" s="17">
        <f t="shared" si="16"/>
        <v>10</v>
      </c>
    </row>
    <row r="440" spans="1:11" ht="13.95" customHeight="1" x14ac:dyDescent="0.3">
      <c r="A440" s="3">
        <v>45945</v>
      </c>
      <c r="B440" s="19" t="s">
        <v>1235</v>
      </c>
      <c r="C440" s="3" t="s">
        <v>5</v>
      </c>
      <c r="D440" s="3" t="s">
        <v>865</v>
      </c>
      <c r="E440" s="4">
        <v>0.75</v>
      </c>
      <c r="F440" s="44">
        <v>3</v>
      </c>
      <c r="G440" s="21">
        <v>200</v>
      </c>
      <c r="H440" s="30">
        <v>1.6</v>
      </c>
      <c r="I440" s="6">
        <f t="shared" si="18"/>
        <v>720</v>
      </c>
      <c r="J440" s="7" t="s">
        <v>1231</v>
      </c>
      <c r="K440" s="17">
        <f t="shared" si="16"/>
        <v>10</v>
      </c>
    </row>
    <row r="441" spans="1:11" ht="13.95" customHeight="1" x14ac:dyDescent="0.3">
      <c r="A441" s="3">
        <v>45946</v>
      </c>
      <c r="B441" s="19" t="s">
        <v>1235</v>
      </c>
      <c r="C441" s="3" t="s">
        <v>8</v>
      </c>
      <c r="D441" s="3" t="s">
        <v>1167</v>
      </c>
      <c r="E441" s="4">
        <v>0.82</v>
      </c>
      <c r="F441" s="44">
        <v>2.5</v>
      </c>
      <c r="G441" s="21">
        <v>200</v>
      </c>
      <c r="H441" s="30">
        <v>1.6</v>
      </c>
      <c r="I441" s="6">
        <f t="shared" si="18"/>
        <v>656</v>
      </c>
      <c r="J441" s="7" t="s">
        <v>71</v>
      </c>
      <c r="K441" s="17">
        <f t="shared" si="16"/>
        <v>10</v>
      </c>
    </row>
    <row r="442" spans="1:11" ht="13.95" customHeight="1" x14ac:dyDescent="0.3">
      <c r="A442" s="3">
        <v>45947</v>
      </c>
      <c r="B442" s="19" t="s">
        <v>1235</v>
      </c>
      <c r="C442" s="3" t="s">
        <v>11</v>
      </c>
      <c r="D442" s="3" t="s">
        <v>44</v>
      </c>
      <c r="E442" s="4">
        <v>0.78</v>
      </c>
      <c r="F442" s="44">
        <v>2.85</v>
      </c>
      <c r="G442" s="21">
        <v>200</v>
      </c>
      <c r="H442" s="30">
        <v>1.6</v>
      </c>
      <c r="I442" s="6">
        <f t="shared" si="18"/>
        <v>711.36000000000013</v>
      </c>
      <c r="J442" s="7" t="s">
        <v>70</v>
      </c>
      <c r="K442" s="17">
        <f t="shared" si="16"/>
        <v>10</v>
      </c>
    </row>
    <row r="443" spans="1:11" ht="13.95" customHeight="1" x14ac:dyDescent="0.3">
      <c r="A443" s="3">
        <v>45948</v>
      </c>
      <c r="B443" s="19" t="s">
        <v>1235</v>
      </c>
      <c r="C443" s="3" t="s">
        <v>13</v>
      </c>
      <c r="D443" s="3" t="s">
        <v>1075</v>
      </c>
      <c r="E443" s="4">
        <v>0.85</v>
      </c>
      <c r="F443" s="44">
        <v>3.4</v>
      </c>
      <c r="G443" s="21">
        <v>200</v>
      </c>
      <c r="H443" s="30">
        <v>1.6</v>
      </c>
      <c r="I443" s="6">
        <f t="shared" si="18"/>
        <v>924.80000000000007</v>
      </c>
      <c r="J443" s="7" t="s">
        <v>746</v>
      </c>
      <c r="K443" s="17">
        <f t="shared" si="16"/>
        <v>10</v>
      </c>
    </row>
    <row r="444" spans="1:11" ht="13.95" customHeight="1" x14ac:dyDescent="0.3">
      <c r="A444" s="3">
        <v>45949</v>
      </c>
      <c r="B444" s="19" t="s">
        <v>1235</v>
      </c>
      <c r="C444" s="3" t="s">
        <v>16</v>
      </c>
      <c r="D444" s="3" t="s">
        <v>757</v>
      </c>
      <c r="E444" s="4">
        <v>0.92</v>
      </c>
      <c r="F444" s="44">
        <v>3.65</v>
      </c>
      <c r="G444" s="21">
        <v>200</v>
      </c>
      <c r="H444" s="30">
        <v>1.6</v>
      </c>
      <c r="I444" s="6">
        <f t="shared" si="18"/>
        <v>1074.5600000000002</v>
      </c>
      <c r="J444" s="7" t="s">
        <v>91</v>
      </c>
      <c r="K444" s="17">
        <f t="shared" si="16"/>
        <v>10</v>
      </c>
    </row>
    <row r="445" spans="1:11" ht="13.95" customHeight="1" x14ac:dyDescent="0.3">
      <c r="A445" s="3">
        <v>45950</v>
      </c>
      <c r="B445" s="19" t="s">
        <v>1235</v>
      </c>
      <c r="C445" s="3" t="s">
        <v>18</v>
      </c>
      <c r="D445" s="3" t="s">
        <v>1167</v>
      </c>
      <c r="E445" s="4">
        <v>0.88</v>
      </c>
      <c r="F445" s="44">
        <v>2.5499999999999998</v>
      </c>
      <c r="G445" s="21">
        <v>200</v>
      </c>
      <c r="H445" s="30">
        <v>1.6</v>
      </c>
      <c r="I445" s="6">
        <f t="shared" si="18"/>
        <v>718.07999999999993</v>
      </c>
      <c r="J445" s="7" t="s">
        <v>65</v>
      </c>
      <c r="K445" s="17">
        <f t="shared" si="16"/>
        <v>10</v>
      </c>
    </row>
    <row r="446" spans="1:11" ht="13.95" customHeight="1" x14ac:dyDescent="0.3">
      <c r="A446" s="3">
        <v>45951</v>
      </c>
      <c r="B446" s="19" t="s">
        <v>1235</v>
      </c>
      <c r="C446" s="3" t="s">
        <v>20</v>
      </c>
      <c r="D446" s="3" t="s">
        <v>707</v>
      </c>
      <c r="E446" s="4">
        <v>0.94</v>
      </c>
      <c r="F446" s="44">
        <v>2.65</v>
      </c>
      <c r="G446" s="21">
        <v>200</v>
      </c>
      <c r="H446" s="30">
        <v>1.6</v>
      </c>
      <c r="I446" s="6">
        <f t="shared" si="18"/>
        <v>797.12</v>
      </c>
      <c r="J446" s="7" t="s">
        <v>1232</v>
      </c>
      <c r="K446" s="17">
        <f t="shared" si="16"/>
        <v>10</v>
      </c>
    </row>
    <row r="447" spans="1:11" ht="13.95" customHeight="1" x14ac:dyDescent="0.3">
      <c r="A447" s="3">
        <v>45952</v>
      </c>
      <c r="B447" s="19" t="s">
        <v>1235</v>
      </c>
      <c r="C447" s="3" t="s">
        <v>5</v>
      </c>
      <c r="D447" s="3" t="s">
        <v>1167</v>
      </c>
      <c r="E447" s="4">
        <v>0.9</v>
      </c>
      <c r="F447" s="44">
        <v>2.5499999999999998</v>
      </c>
      <c r="G447" s="21">
        <v>200</v>
      </c>
      <c r="H447" s="30">
        <v>1.6</v>
      </c>
      <c r="I447" s="6">
        <f t="shared" si="18"/>
        <v>734.4</v>
      </c>
      <c r="J447" s="7" t="s">
        <v>71</v>
      </c>
      <c r="K447" s="17">
        <f t="shared" si="16"/>
        <v>10</v>
      </c>
    </row>
    <row r="448" spans="1:11" ht="13.95" customHeight="1" x14ac:dyDescent="0.3">
      <c r="A448" s="3">
        <v>45953</v>
      </c>
      <c r="B448" s="19" t="s">
        <v>1235</v>
      </c>
      <c r="C448" s="3" t="s">
        <v>8</v>
      </c>
      <c r="D448" s="3" t="s">
        <v>1167</v>
      </c>
      <c r="E448" s="4">
        <v>0.85</v>
      </c>
      <c r="F448" s="44">
        <v>2.5</v>
      </c>
      <c r="G448" s="21">
        <v>200</v>
      </c>
      <c r="H448" s="30">
        <v>1.6</v>
      </c>
      <c r="I448" s="6">
        <f t="shared" si="18"/>
        <v>680</v>
      </c>
      <c r="J448" s="7" t="s">
        <v>71</v>
      </c>
      <c r="K448" s="17">
        <f t="shared" si="16"/>
        <v>10</v>
      </c>
    </row>
    <row r="449" spans="1:11" ht="13.95" customHeight="1" x14ac:dyDescent="0.3">
      <c r="A449" s="3">
        <v>45954</v>
      </c>
      <c r="B449" s="19" t="s">
        <v>1235</v>
      </c>
      <c r="C449" s="3" t="s">
        <v>11</v>
      </c>
      <c r="D449" s="3" t="s">
        <v>44</v>
      </c>
      <c r="E449" s="4">
        <v>0.82</v>
      </c>
      <c r="F449" s="44">
        <v>2.9</v>
      </c>
      <c r="G449" s="21">
        <v>200</v>
      </c>
      <c r="H449" s="30">
        <v>1.6</v>
      </c>
      <c r="I449" s="6">
        <f t="shared" si="18"/>
        <v>760.96</v>
      </c>
      <c r="J449" s="7" t="s">
        <v>729</v>
      </c>
      <c r="K449" s="17">
        <f t="shared" si="16"/>
        <v>10</v>
      </c>
    </row>
    <row r="450" spans="1:11" ht="13.95" customHeight="1" x14ac:dyDescent="0.3">
      <c r="A450" s="3">
        <v>45955</v>
      </c>
      <c r="B450" s="19" t="s">
        <v>1235</v>
      </c>
      <c r="C450" s="3" t="s">
        <v>13</v>
      </c>
      <c r="D450" s="3" t="s">
        <v>1075</v>
      </c>
      <c r="E450" s="4">
        <v>0.88</v>
      </c>
      <c r="F450" s="44">
        <v>3.45</v>
      </c>
      <c r="G450" s="21">
        <v>200</v>
      </c>
      <c r="H450" s="30">
        <v>1.6</v>
      </c>
      <c r="I450" s="6">
        <f t="shared" si="18"/>
        <v>971.5200000000001</v>
      </c>
      <c r="J450" s="7" t="s">
        <v>739</v>
      </c>
      <c r="K450" s="17">
        <f t="shared" si="16"/>
        <v>10</v>
      </c>
    </row>
    <row r="451" spans="1:11" ht="13.95" customHeight="1" x14ac:dyDescent="0.3">
      <c r="A451" s="3">
        <v>45956</v>
      </c>
      <c r="B451" s="19" t="s">
        <v>1235</v>
      </c>
      <c r="C451" s="3" t="s">
        <v>16</v>
      </c>
      <c r="D451" s="3" t="s">
        <v>757</v>
      </c>
      <c r="E451" s="4">
        <v>0.95</v>
      </c>
      <c r="F451" s="44">
        <v>3.65</v>
      </c>
      <c r="G451" s="21">
        <v>200</v>
      </c>
      <c r="H451" s="30">
        <v>1.6</v>
      </c>
      <c r="I451" s="6">
        <f t="shared" si="18"/>
        <v>1109.6000000000001</v>
      </c>
      <c r="J451" s="7" t="s">
        <v>1233</v>
      </c>
      <c r="K451" s="17">
        <f t="shared" ref="K451:K456" si="19">MONTH(A451)</f>
        <v>10</v>
      </c>
    </row>
    <row r="452" spans="1:11" ht="13.95" customHeight="1" x14ac:dyDescent="0.3">
      <c r="A452" s="3">
        <v>45957</v>
      </c>
      <c r="B452" s="19" t="s">
        <v>1235</v>
      </c>
      <c r="C452" s="3" t="s">
        <v>18</v>
      </c>
      <c r="D452" s="3" t="s">
        <v>1167</v>
      </c>
      <c r="E452" s="4">
        <v>0.85</v>
      </c>
      <c r="F452" s="44">
        <v>2.5499999999999998</v>
      </c>
      <c r="G452" s="21">
        <v>200</v>
      </c>
      <c r="H452" s="30">
        <v>1.6</v>
      </c>
      <c r="I452" s="6">
        <f t="shared" si="18"/>
        <v>693.59999999999991</v>
      </c>
      <c r="J452" s="7" t="s">
        <v>65</v>
      </c>
      <c r="K452" s="17">
        <f t="shared" si="19"/>
        <v>10</v>
      </c>
    </row>
    <row r="453" spans="1:11" ht="13.95" customHeight="1" x14ac:dyDescent="0.3">
      <c r="A453" s="3">
        <v>45958</v>
      </c>
      <c r="B453" s="19" t="s">
        <v>1235</v>
      </c>
      <c r="C453" s="3" t="s">
        <v>20</v>
      </c>
      <c r="D453" s="3" t="s">
        <v>1167</v>
      </c>
      <c r="E453" s="4">
        <v>0.88</v>
      </c>
      <c r="F453" s="44">
        <v>2.6</v>
      </c>
      <c r="G453" s="21">
        <v>200</v>
      </c>
      <c r="H453" s="30">
        <v>1.6</v>
      </c>
      <c r="I453" s="6">
        <f t="shared" si="18"/>
        <v>732.16000000000008</v>
      </c>
      <c r="J453" s="7" t="s">
        <v>71</v>
      </c>
      <c r="K453" s="17">
        <f t="shared" si="19"/>
        <v>10</v>
      </c>
    </row>
    <row r="454" spans="1:11" ht="13.95" customHeight="1" x14ac:dyDescent="0.3">
      <c r="A454" s="3">
        <v>45959</v>
      </c>
      <c r="B454" s="19" t="s">
        <v>1235</v>
      </c>
      <c r="C454" s="3" t="s">
        <v>5</v>
      </c>
      <c r="D454" s="3" t="s">
        <v>1167</v>
      </c>
      <c r="E454" s="4">
        <v>0.85</v>
      </c>
      <c r="F454" s="44">
        <v>2.5499999999999998</v>
      </c>
      <c r="G454" s="21">
        <v>200</v>
      </c>
      <c r="H454" s="30">
        <v>1.6</v>
      </c>
      <c r="I454" s="6">
        <f t="shared" si="18"/>
        <v>693.59999999999991</v>
      </c>
      <c r="J454" s="7" t="s">
        <v>71</v>
      </c>
      <c r="K454" s="17">
        <f t="shared" si="19"/>
        <v>10</v>
      </c>
    </row>
    <row r="455" spans="1:11" ht="13.95" customHeight="1" x14ac:dyDescent="0.3">
      <c r="A455" s="3">
        <v>45960</v>
      </c>
      <c r="B455" s="19" t="s">
        <v>1235</v>
      </c>
      <c r="C455" s="3" t="s">
        <v>8</v>
      </c>
      <c r="D455" s="3" t="s">
        <v>1167</v>
      </c>
      <c r="E455" s="4">
        <v>0.82</v>
      </c>
      <c r="F455" s="44">
        <v>2.5</v>
      </c>
      <c r="G455" s="21">
        <v>200</v>
      </c>
      <c r="H455" s="30">
        <v>1.6</v>
      </c>
      <c r="I455" s="6">
        <f t="shared" si="18"/>
        <v>656</v>
      </c>
      <c r="J455" s="7" t="s">
        <v>71</v>
      </c>
      <c r="K455" s="17">
        <f t="shared" si="19"/>
        <v>10</v>
      </c>
    </row>
    <row r="456" spans="1:11" ht="13.95" customHeight="1" x14ac:dyDescent="0.3">
      <c r="A456" s="3">
        <v>45961</v>
      </c>
      <c r="B456" s="19" t="s">
        <v>1235</v>
      </c>
      <c r="C456" s="3" t="s">
        <v>11</v>
      </c>
      <c r="D456" s="3" t="s">
        <v>867</v>
      </c>
      <c r="E456" s="4">
        <v>0.88</v>
      </c>
      <c r="F456" s="44">
        <v>3.2</v>
      </c>
      <c r="G456" s="21">
        <v>200</v>
      </c>
      <c r="H456" s="30">
        <v>1.6</v>
      </c>
      <c r="I456" s="6">
        <f t="shared" si="18"/>
        <v>901.12000000000012</v>
      </c>
      <c r="J456" s="7" t="s">
        <v>1234</v>
      </c>
      <c r="K456" s="17">
        <f t="shared" si="19"/>
        <v>10</v>
      </c>
    </row>
  </sheetData>
  <mergeCells count="1">
    <mergeCell ref="L2:N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D8767-6C52-4D7E-A7C0-4B3E4C6EC637}">
  <sheetPr>
    <tabColor theme="8" tint="-0.249977111117893"/>
  </sheetPr>
  <dimension ref="A1:Q396"/>
  <sheetViews>
    <sheetView topLeftCell="A384" workbookViewId="0">
      <selection activeCell="A397" sqref="A397"/>
    </sheetView>
  </sheetViews>
  <sheetFormatPr baseColWidth="10" defaultRowHeight="14.4" x14ac:dyDescent="0.3"/>
  <cols>
    <col min="1" max="1" width="15" customWidth="1"/>
    <col min="2" max="2" width="32.5546875" customWidth="1"/>
    <col min="4" max="4" width="15.77734375" customWidth="1"/>
    <col min="5" max="5" width="15.5546875" style="38" customWidth="1"/>
    <col min="6" max="6" width="11.5546875" style="8"/>
    <col min="7" max="7" width="11.5546875" style="46"/>
    <col min="8" max="8" width="11.5546875" style="36"/>
    <col min="9" max="9" width="11.5546875" style="46"/>
    <col min="10" max="10" width="35.44140625" customWidth="1"/>
    <col min="15" max="15" width="0.109375" customWidth="1"/>
  </cols>
  <sheetData>
    <row r="1" spans="1:17" ht="28.2" thickBot="1" x14ac:dyDescent="0.35">
      <c r="A1" s="1" t="s">
        <v>333</v>
      </c>
      <c r="B1" s="34" t="s">
        <v>670</v>
      </c>
      <c r="C1" s="34" t="s">
        <v>0</v>
      </c>
      <c r="D1" s="34" t="s">
        <v>1</v>
      </c>
      <c r="E1" s="37" t="s">
        <v>2</v>
      </c>
      <c r="F1" s="41" t="s">
        <v>3</v>
      </c>
      <c r="G1" s="47" t="s">
        <v>359</v>
      </c>
      <c r="H1" s="35" t="s">
        <v>360</v>
      </c>
      <c r="I1" s="47" t="s">
        <v>361</v>
      </c>
      <c r="J1" s="27" t="s">
        <v>4</v>
      </c>
      <c r="L1">
        <f>RSQ(I:I,E:E)</f>
        <v>0.94088921294289896</v>
      </c>
    </row>
    <row r="2" spans="1:17" ht="13.95" customHeight="1" thickBot="1" x14ac:dyDescent="0.35">
      <c r="A2" s="3">
        <v>45658</v>
      </c>
      <c r="B2" s="3" t="s">
        <v>1394</v>
      </c>
      <c r="C2" s="3" t="s">
        <v>5</v>
      </c>
      <c r="D2" s="3" t="s">
        <v>735</v>
      </c>
      <c r="E2" s="4">
        <v>0.85</v>
      </c>
      <c r="F2" s="42">
        <v>2.5</v>
      </c>
      <c r="G2" s="45">
        <v>424</v>
      </c>
      <c r="H2" s="22">
        <v>1.8</v>
      </c>
      <c r="I2" s="6">
        <f t="shared" ref="I2" si="0">(G2*E2)*F2*H2</f>
        <v>1621.8</v>
      </c>
      <c r="J2" s="6" t="s">
        <v>1258</v>
      </c>
      <c r="K2" s="17">
        <f>MONTH(A2)</f>
        <v>1</v>
      </c>
      <c r="L2" s="61" t="s">
        <v>309</v>
      </c>
      <c r="M2" s="61"/>
      <c r="N2" s="61"/>
      <c r="O2" s="9"/>
      <c r="P2" s="9"/>
      <c r="Q2" s="9"/>
    </row>
    <row r="3" spans="1:17" ht="13.95" customHeight="1" thickTop="1" thickBot="1" x14ac:dyDescent="0.35">
      <c r="A3" s="3">
        <v>45659</v>
      </c>
      <c r="B3" s="3" t="s">
        <v>1394</v>
      </c>
      <c r="C3" s="3" t="s">
        <v>8</v>
      </c>
      <c r="D3" s="3" t="s">
        <v>1259</v>
      </c>
      <c r="E3" s="4">
        <v>0.4</v>
      </c>
      <c r="F3" s="42">
        <v>1.8</v>
      </c>
      <c r="G3" s="45">
        <v>424</v>
      </c>
      <c r="H3" s="22">
        <v>1.8</v>
      </c>
      <c r="I3" s="6">
        <f t="shared" ref="I3:I32" si="1">(G3*E3)*F3*H3</f>
        <v>549.50400000000002</v>
      </c>
      <c r="J3" s="6" t="s">
        <v>1260</v>
      </c>
      <c r="K3" s="17">
        <f t="shared" ref="K3:K66" si="2">MONTH(A3)</f>
        <v>1</v>
      </c>
      <c r="L3" s="10" t="s">
        <v>310</v>
      </c>
      <c r="M3" s="11" t="s">
        <v>311</v>
      </c>
      <c r="N3" s="12" t="s">
        <v>312</v>
      </c>
      <c r="O3" s="9"/>
      <c r="P3">
        <v>1</v>
      </c>
      <c r="Q3" t="s">
        <v>313</v>
      </c>
    </row>
    <row r="4" spans="1:17" ht="13.95" customHeight="1" thickTop="1" thickBot="1" x14ac:dyDescent="0.35">
      <c r="A4" s="3">
        <v>45660</v>
      </c>
      <c r="B4" s="3" t="s">
        <v>1394</v>
      </c>
      <c r="C4" s="3" t="s">
        <v>11</v>
      </c>
      <c r="D4" s="3" t="s">
        <v>1259</v>
      </c>
      <c r="E4" s="4">
        <v>0.42</v>
      </c>
      <c r="F4" s="42">
        <v>1.85</v>
      </c>
      <c r="G4" s="45">
        <v>424</v>
      </c>
      <c r="H4" s="22">
        <v>1.8</v>
      </c>
      <c r="I4" s="6">
        <f t="shared" si="1"/>
        <v>593.00639999999999</v>
      </c>
      <c r="J4" s="6" t="s">
        <v>1261</v>
      </c>
      <c r="K4" s="17">
        <f t="shared" si="2"/>
        <v>1</v>
      </c>
      <c r="L4" s="13" t="s">
        <v>313</v>
      </c>
      <c r="M4" s="14">
        <f t="shared" ref="M4:M15" si="3">SUMIFS(I:I,K:K,P3)</f>
        <v>21642.825600000004</v>
      </c>
      <c r="N4" s="15">
        <f>M4*0.054</f>
        <v>1168.7125824000002</v>
      </c>
      <c r="O4" s="9"/>
      <c r="P4">
        <v>2</v>
      </c>
      <c r="Q4" t="s">
        <v>314</v>
      </c>
    </row>
    <row r="5" spans="1:17" ht="13.95" customHeight="1" thickTop="1" thickBot="1" x14ac:dyDescent="0.35">
      <c r="A5" s="3">
        <v>45661</v>
      </c>
      <c r="B5" s="3" t="s">
        <v>1394</v>
      </c>
      <c r="C5" s="3" t="s">
        <v>13</v>
      </c>
      <c r="D5" s="3" t="s">
        <v>14</v>
      </c>
      <c r="E5" s="4">
        <v>0.55000000000000004</v>
      </c>
      <c r="F5" s="42">
        <v>2.1</v>
      </c>
      <c r="G5" s="45">
        <v>424</v>
      </c>
      <c r="H5" s="22">
        <v>1.8</v>
      </c>
      <c r="I5" s="6">
        <f t="shared" si="1"/>
        <v>881.49600000000021</v>
      </c>
      <c r="J5" s="6" t="s">
        <v>1262</v>
      </c>
      <c r="K5" s="17">
        <f t="shared" si="2"/>
        <v>1</v>
      </c>
      <c r="L5" s="13" t="s">
        <v>314</v>
      </c>
      <c r="M5" s="14">
        <f t="shared" si="3"/>
        <v>20473.984799999995</v>
      </c>
      <c r="N5" s="15">
        <f t="shared" ref="N5:N15" si="4">M5*0.054</f>
        <v>1105.5951791999996</v>
      </c>
      <c r="O5" s="9"/>
      <c r="P5">
        <v>3</v>
      </c>
      <c r="Q5" t="s">
        <v>315</v>
      </c>
    </row>
    <row r="6" spans="1:17" ht="13.95" customHeight="1" thickTop="1" thickBot="1" x14ac:dyDescent="0.35">
      <c r="A6" s="3">
        <v>45662</v>
      </c>
      <c r="B6" s="3" t="s">
        <v>1394</v>
      </c>
      <c r="C6" s="3" t="s">
        <v>16</v>
      </c>
      <c r="D6" s="3" t="s">
        <v>14</v>
      </c>
      <c r="E6" s="4">
        <v>0.5</v>
      </c>
      <c r="F6" s="42">
        <v>2</v>
      </c>
      <c r="G6" s="45">
        <v>424</v>
      </c>
      <c r="H6" s="22">
        <v>1.8</v>
      </c>
      <c r="I6" s="6">
        <f t="shared" si="1"/>
        <v>763.2</v>
      </c>
      <c r="J6" s="6" t="s">
        <v>139</v>
      </c>
      <c r="K6" s="17">
        <f t="shared" si="2"/>
        <v>1</v>
      </c>
      <c r="L6" s="13" t="s">
        <v>315</v>
      </c>
      <c r="M6" s="14">
        <f t="shared" si="3"/>
        <v>27091.692000000006</v>
      </c>
      <c r="N6" s="15">
        <f t="shared" si="4"/>
        <v>1462.9513680000002</v>
      </c>
      <c r="O6" s="9"/>
      <c r="P6">
        <v>4</v>
      </c>
      <c r="Q6" t="s">
        <v>316</v>
      </c>
    </row>
    <row r="7" spans="1:17" ht="13.95" customHeight="1" thickTop="1" thickBot="1" x14ac:dyDescent="0.35">
      <c r="A7" s="3">
        <v>45663</v>
      </c>
      <c r="B7" s="3" t="s">
        <v>1394</v>
      </c>
      <c r="C7" s="3" t="s">
        <v>18</v>
      </c>
      <c r="D7" s="3" t="s">
        <v>1263</v>
      </c>
      <c r="E7" s="4">
        <v>0.35</v>
      </c>
      <c r="F7" s="42">
        <v>1.75</v>
      </c>
      <c r="G7" s="45">
        <v>424</v>
      </c>
      <c r="H7" s="22">
        <v>1.8</v>
      </c>
      <c r="I7" s="6">
        <f t="shared" si="1"/>
        <v>467.45999999999987</v>
      </c>
      <c r="J7" s="6" t="s">
        <v>1264</v>
      </c>
      <c r="K7" s="17">
        <f t="shared" si="2"/>
        <v>1</v>
      </c>
      <c r="L7" s="13" t="s">
        <v>316</v>
      </c>
      <c r="M7" s="14">
        <f t="shared" si="3"/>
        <v>28350.971999999998</v>
      </c>
      <c r="N7" s="15">
        <f t="shared" si="4"/>
        <v>1530.9524879999999</v>
      </c>
      <c r="O7" s="9"/>
      <c r="P7">
        <v>5</v>
      </c>
      <c r="Q7" t="s">
        <v>317</v>
      </c>
    </row>
    <row r="8" spans="1:17" ht="13.95" customHeight="1" thickTop="1" thickBot="1" x14ac:dyDescent="0.35">
      <c r="A8" s="3">
        <v>45664</v>
      </c>
      <c r="B8" s="3" t="s">
        <v>1394</v>
      </c>
      <c r="C8" s="3" t="s">
        <v>20</v>
      </c>
      <c r="D8" s="3" t="s">
        <v>1263</v>
      </c>
      <c r="E8" s="4">
        <v>0.38</v>
      </c>
      <c r="F8" s="42">
        <v>1.75</v>
      </c>
      <c r="G8" s="45">
        <v>424</v>
      </c>
      <c r="H8" s="22">
        <v>1.8</v>
      </c>
      <c r="I8" s="6">
        <f t="shared" si="1"/>
        <v>507.52800000000008</v>
      </c>
      <c r="J8" s="6" t="s">
        <v>71</v>
      </c>
      <c r="K8" s="17">
        <f t="shared" si="2"/>
        <v>1</v>
      </c>
      <c r="L8" s="13" t="s">
        <v>317</v>
      </c>
      <c r="M8" s="14">
        <f t="shared" si="3"/>
        <v>36149.349600000001</v>
      </c>
      <c r="N8" s="15">
        <f t="shared" si="4"/>
        <v>1952.0648784</v>
      </c>
      <c r="O8" s="9"/>
      <c r="P8">
        <v>6</v>
      </c>
      <c r="Q8" t="s">
        <v>318</v>
      </c>
    </row>
    <row r="9" spans="1:17" ht="13.95" customHeight="1" thickTop="1" thickBot="1" x14ac:dyDescent="0.35">
      <c r="A9" s="3">
        <v>45665</v>
      </c>
      <c r="B9" s="3" t="s">
        <v>1394</v>
      </c>
      <c r="C9" s="3" t="s">
        <v>5</v>
      </c>
      <c r="D9" s="3" t="s">
        <v>1259</v>
      </c>
      <c r="E9" s="4">
        <v>0.3</v>
      </c>
      <c r="F9" s="42">
        <v>1.7</v>
      </c>
      <c r="G9" s="45">
        <v>424</v>
      </c>
      <c r="H9" s="22">
        <v>1.8</v>
      </c>
      <c r="I9" s="6">
        <f t="shared" si="1"/>
        <v>389.23199999999997</v>
      </c>
      <c r="J9" s="6" t="s">
        <v>1265</v>
      </c>
      <c r="K9" s="17">
        <f t="shared" si="2"/>
        <v>1</v>
      </c>
      <c r="L9" s="13" t="s">
        <v>318</v>
      </c>
      <c r="M9" s="14">
        <f t="shared" si="3"/>
        <v>90243.0576</v>
      </c>
      <c r="N9" s="15">
        <f t="shared" si="4"/>
        <v>4873.1251104000003</v>
      </c>
      <c r="O9" s="9"/>
      <c r="P9">
        <v>7</v>
      </c>
      <c r="Q9" t="s">
        <v>319</v>
      </c>
    </row>
    <row r="10" spans="1:17" ht="13.95" customHeight="1" thickTop="1" thickBot="1" x14ac:dyDescent="0.35">
      <c r="A10" s="3">
        <v>45666</v>
      </c>
      <c r="B10" s="3" t="s">
        <v>1394</v>
      </c>
      <c r="C10" s="3" t="s">
        <v>8</v>
      </c>
      <c r="D10" s="3" t="s">
        <v>1259</v>
      </c>
      <c r="E10" s="4">
        <v>0.32</v>
      </c>
      <c r="F10" s="42">
        <v>1.7</v>
      </c>
      <c r="G10" s="45">
        <v>424</v>
      </c>
      <c r="H10" s="22">
        <v>1.8</v>
      </c>
      <c r="I10" s="6">
        <f t="shared" si="1"/>
        <v>415.18080000000003</v>
      </c>
      <c r="J10" s="6" t="s">
        <v>150</v>
      </c>
      <c r="K10" s="17">
        <f t="shared" si="2"/>
        <v>1</v>
      </c>
      <c r="L10" s="13" t="s">
        <v>319</v>
      </c>
      <c r="M10" s="14">
        <f t="shared" si="3"/>
        <v>53510.623200000009</v>
      </c>
      <c r="N10" s="15">
        <f t="shared" si="4"/>
        <v>2889.5736528000007</v>
      </c>
      <c r="O10" s="9"/>
      <c r="P10">
        <v>8</v>
      </c>
      <c r="Q10" t="s">
        <v>320</v>
      </c>
    </row>
    <row r="11" spans="1:17" ht="13.95" customHeight="1" thickTop="1" thickBot="1" x14ac:dyDescent="0.35">
      <c r="A11" s="3">
        <v>45667</v>
      </c>
      <c r="B11" s="3" t="s">
        <v>1394</v>
      </c>
      <c r="C11" s="3" t="s">
        <v>11</v>
      </c>
      <c r="D11" s="3" t="s">
        <v>14</v>
      </c>
      <c r="E11" s="4">
        <v>0.45</v>
      </c>
      <c r="F11" s="42">
        <v>1.9</v>
      </c>
      <c r="G11" s="45">
        <v>424</v>
      </c>
      <c r="H11" s="22">
        <v>1.8</v>
      </c>
      <c r="I11" s="6">
        <f t="shared" si="1"/>
        <v>652.53599999999994</v>
      </c>
      <c r="J11" s="6" t="s">
        <v>1266</v>
      </c>
      <c r="K11" s="17">
        <f t="shared" si="2"/>
        <v>1</v>
      </c>
      <c r="L11" s="13" t="s">
        <v>320</v>
      </c>
      <c r="M11" s="14">
        <f t="shared" si="3"/>
        <v>56577.160800000012</v>
      </c>
      <c r="N11" s="15">
        <f t="shared" si="4"/>
        <v>3055.1666832000005</v>
      </c>
      <c r="O11" s="9"/>
      <c r="P11">
        <v>9</v>
      </c>
      <c r="Q11" t="s">
        <v>321</v>
      </c>
    </row>
    <row r="12" spans="1:17" ht="13.95" customHeight="1" thickTop="1" thickBot="1" x14ac:dyDescent="0.35">
      <c r="A12" s="3">
        <v>45668</v>
      </c>
      <c r="B12" s="3" t="s">
        <v>1394</v>
      </c>
      <c r="C12" s="3" t="s">
        <v>13</v>
      </c>
      <c r="D12" s="3" t="s">
        <v>14</v>
      </c>
      <c r="E12" s="4">
        <v>0.6</v>
      </c>
      <c r="F12" s="42">
        <v>2.15</v>
      </c>
      <c r="G12" s="45">
        <v>424</v>
      </c>
      <c r="H12" s="22">
        <v>1.8</v>
      </c>
      <c r="I12" s="6">
        <f t="shared" si="1"/>
        <v>984.52799999999991</v>
      </c>
      <c r="J12" s="6" t="s">
        <v>1267</v>
      </c>
      <c r="K12" s="17">
        <f t="shared" si="2"/>
        <v>1</v>
      </c>
      <c r="L12" s="13" t="s">
        <v>321</v>
      </c>
      <c r="M12" s="14">
        <f t="shared" si="3"/>
        <v>34711.099199999997</v>
      </c>
      <c r="N12" s="15">
        <f t="shared" si="4"/>
        <v>1874.3993567999999</v>
      </c>
      <c r="O12" s="9"/>
      <c r="P12">
        <v>10</v>
      </c>
      <c r="Q12" t="s">
        <v>322</v>
      </c>
    </row>
    <row r="13" spans="1:17" ht="13.95" customHeight="1" thickTop="1" thickBot="1" x14ac:dyDescent="0.35">
      <c r="A13" s="3">
        <v>45669</v>
      </c>
      <c r="B13" s="3" t="s">
        <v>1394</v>
      </c>
      <c r="C13" s="3" t="s">
        <v>16</v>
      </c>
      <c r="D13" s="3" t="s">
        <v>14</v>
      </c>
      <c r="E13" s="4">
        <v>0.55000000000000004</v>
      </c>
      <c r="F13" s="42">
        <v>2.0499999999999998</v>
      </c>
      <c r="G13" s="45">
        <v>424</v>
      </c>
      <c r="H13" s="22">
        <v>1.8</v>
      </c>
      <c r="I13" s="6">
        <f t="shared" si="1"/>
        <v>860.50800000000004</v>
      </c>
      <c r="J13" s="6" t="s">
        <v>1268</v>
      </c>
      <c r="K13" s="17">
        <f t="shared" si="2"/>
        <v>1</v>
      </c>
      <c r="L13" s="13" t="s">
        <v>322</v>
      </c>
      <c r="M13" s="14">
        <f t="shared" si="3"/>
        <v>29095.473600000005</v>
      </c>
      <c r="N13" s="15">
        <f t="shared" si="4"/>
        <v>1571.1555744000002</v>
      </c>
      <c r="O13" s="9"/>
      <c r="P13">
        <v>11</v>
      </c>
      <c r="Q13" t="s">
        <v>323</v>
      </c>
    </row>
    <row r="14" spans="1:17" ht="13.95" customHeight="1" thickTop="1" thickBot="1" x14ac:dyDescent="0.35">
      <c r="A14" s="3">
        <v>45670</v>
      </c>
      <c r="B14" s="3" t="s">
        <v>1394</v>
      </c>
      <c r="C14" s="3" t="s">
        <v>18</v>
      </c>
      <c r="D14" s="3" t="s">
        <v>1259</v>
      </c>
      <c r="E14" s="4">
        <v>0.35</v>
      </c>
      <c r="F14" s="42">
        <v>1.75</v>
      </c>
      <c r="G14" s="45">
        <v>424</v>
      </c>
      <c r="H14" s="22">
        <v>1.8</v>
      </c>
      <c r="I14" s="6">
        <f t="shared" si="1"/>
        <v>467.45999999999987</v>
      </c>
      <c r="J14" s="6" t="s">
        <v>150</v>
      </c>
      <c r="K14" s="17">
        <f t="shared" si="2"/>
        <v>1</v>
      </c>
      <c r="L14" s="13" t="s">
        <v>323</v>
      </c>
      <c r="M14" s="14">
        <f t="shared" si="3"/>
        <v>17947.029600000005</v>
      </c>
      <c r="N14" s="15">
        <f t="shared" si="4"/>
        <v>969.1395984000003</v>
      </c>
      <c r="O14" s="9"/>
      <c r="P14">
        <v>12</v>
      </c>
      <c r="Q14" t="s">
        <v>324</v>
      </c>
    </row>
    <row r="15" spans="1:17" ht="13.95" customHeight="1" thickTop="1" thickBot="1" x14ac:dyDescent="0.35">
      <c r="A15" s="3">
        <v>45671</v>
      </c>
      <c r="B15" s="3" t="s">
        <v>1394</v>
      </c>
      <c r="C15" s="3" t="s">
        <v>20</v>
      </c>
      <c r="D15" s="3" t="s">
        <v>1269</v>
      </c>
      <c r="E15" s="4">
        <v>0.6</v>
      </c>
      <c r="F15" s="42">
        <v>2.2000000000000002</v>
      </c>
      <c r="G15" s="45">
        <v>424</v>
      </c>
      <c r="H15" s="22">
        <v>1.8</v>
      </c>
      <c r="I15" s="6">
        <f t="shared" si="1"/>
        <v>1007.424</v>
      </c>
      <c r="J15" s="6" t="s">
        <v>1270</v>
      </c>
      <c r="K15" s="17">
        <f t="shared" si="2"/>
        <v>1</v>
      </c>
      <c r="L15" s="13" t="s">
        <v>324</v>
      </c>
      <c r="M15" s="14">
        <f t="shared" si="3"/>
        <v>30998.894400000005</v>
      </c>
      <c r="N15" s="15">
        <f t="shared" si="4"/>
        <v>1673.9402976000001</v>
      </c>
      <c r="O15" s="9"/>
      <c r="P15" s="9"/>
      <c r="Q15" s="9"/>
    </row>
    <row r="16" spans="1:17" ht="13.95" customHeight="1" thickTop="1" thickBot="1" x14ac:dyDescent="0.4">
      <c r="A16" s="3">
        <v>45672</v>
      </c>
      <c r="B16" s="3" t="s">
        <v>1394</v>
      </c>
      <c r="C16" s="3" t="s">
        <v>5</v>
      </c>
      <c r="D16" s="3" t="s">
        <v>1259</v>
      </c>
      <c r="E16" s="4">
        <v>0.32</v>
      </c>
      <c r="F16" s="42">
        <v>1.7</v>
      </c>
      <c r="G16" s="45">
        <v>424</v>
      </c>
      <c r="H16" s="22">
        <v>1.8</v>
      </c>
      <c r="I16" s="6">
        <f t="shared" si="1"/>
        <v>415.18080000000003</v>
      </c>
      <c r="J16" s="6" t="s">
        <v>71</v>
      </c>
      <c r="K16" s="17">
        <f t="shared" si="2"/>
        <v>1</v>
      </c>
      <c r="L16" s="10" t="s">
        <v>325</v>
      </c>
      <c r="M16" s="16">
        <f>SUM(M4:M15)</f>
        <v>446792.16240000009</v>
      </c>
      <c r="N16" s="16">
        <f>SUM(N4:N15)</f>
        <v>24126.776769600001</v>
      </c>
      <c r="O16" s="9"/>
      <c r="P16" s="9"/>
      <c r="Q16" s="9"/>
    </row>
    <row r="17" spans="1:11" ht="13.95" customHeight="1" thickTop="1" x14ac:dyDescent="0.3">
      <c r="A17" s="3">
        <v>45673</v>
      </c>
      <c r="B17" s="3" t="s">
        <v>1394</v>
      </c>
      <c r="C17" s="3" t="s">
        <v>8</v>
      </c>
      <c r="D17" s="3" t="s">
        <v>1259</v>
      </c>
      <c r="E17" s="4">
        <v>0.3</v>
      </c>
      <c r="F17" s="42">
        <v>1.7</v>
      </c>
      <c r="G17" s="45">
        <v>424</v>
      </c>
      <c r="H17" s="22">
        <v>1.8</v>
      </c>
      <c r="I17" s="6">
        <f t="shared" si="1"/>
        <v>389.23199999999997</v>
      </c>
      <c r="J17" s="6" t="s">
        <v>150</v>
      </c>
      <c r="K17" s="17">
        <f t="shared" si="2"/>
        <v>1</v>
      </c>
    </row>
    <row r="18" spans="1:11" ht="13.95" customHeight="1" x14ac:dyDescent="0.3">
      <c r="A18" s="3">
        <v>45674</v>
      </c>
      <c r="B18" s="3" t="s">
        <v>1394</v>
      </c>
      <c r="C18" s="3" t="s">
        <v>11</v>
      </c>
      <c r="D18" s="3" t="s">
        <v>14</v>
      </c>
      <c r="E18" s="4">
        <v>0.4</v>
      </c>
      <c r="F18" s="42">
        <v>1.85</v>
      </c>
      <c r="G18" s="45">
        <v>424</v>
      </c>
      <c r="H18" s="22">
        <v>1.8</v>
      </c>
      <c r="I18" s="6">
        <f t="shared" si="1"/>
        <v>564.76800000000014</v>
      </c>
      <c r="J18" s="6" t="s">
        <v>97</v>
      </c>
      <c r="K18" s="17">
        <f t="shared" si="2"/>
        <v>1</v>
      </c>
    </row>
    <row r="19" spans="1:11" ht="13.95" customHeight="1" x14ac:dyDescent="0.3">
      <c r="A19" s="3">
        <v>45675</v>
      </c>
      <c r="B19" s="3" t="s">
        <v>1394</v>
      </c>
      <c r="C19" s="3" t="s">
        <v>13</v>
      </c>
      <c r="D19" s="3" t="s">
        <v>14</v>
      </c>
      <c r="E19" s="4">
        <v>0.55000000000000004</v>
      </c>
      <c r="F19" s="42">
        <v>2.1</v>
      </c>
      <c r="G19" s="45">
        <v>424</v>
      </c>
      <c r="H19" s="22">
        <v>1.8</v>
      </c>
      <c r="I19" s="6">
        <f t="shared" si="1"/>
        <v>881.49600000000021</v>
      </c>
      <c r="J19" s="6" t="s">
        <v>1271</v>
      </c>
      <c r="K19" s="17">
        <f t="shared" si="2"/>
        <v>1</v>
      </c>
    </row>
    <row r="20" spans="1:11" ht="13.95" customHeight="1" x14ac:dyDescent="0.3">
      <c r="A20" s="3">
        <v>45676</v>
      </c>
      <c r="B20" s="3" t="s">
        <v>1394</v>
      </c>
      <c r="C20" s="3" t="s">
        <v>16</v>
      </c>
      <c r="D20" s="3" t="s">
        <v>14</v>
      </c>
      <c r="E20" s="4">
        <v>0.5</v>
      </c>
      <c r="F20" s="42">
        <v>2</v>
      </c>
      <c r="G20" s="45">
        <v>424</v>
      </c>
      <c r="H20" s="22">
        <v>1.8</v>
      </c>
      <c r="I20" s="6">
        <f t="shared" si="1"/>
        <v>763.2</v>
      </c>
      <c r="J20" s="6" t="s">
        <v>149</v>
      </c>
      <c r="K20" s="17">
        <f t="shared" si="2"/>
        <v>1</v>
      </c>
    </row>
    <row r="21" spans="1:11" ht="13.95" customHeight="1" x14ac:dyDescent="0.3">
      <c r="A21" s="3">
        <v>45677</v>
      </c>
      <c r="B21" s="3" t="s">
        <v>1394</v>
      </c>
      <c r="C21" s="3" t="s">
        <v>18</v>
      </c>
      <c r="D21" s="3" t="s">
        <v>1259</v>
      </c>
      <c r="E21" s="4">
        <v>0.28000000000000003</v>
      </c>
      <c r="F21" s="42">
        <v>1.7</v>
      </c>
      <c r="G21" s="45">
        <v>424</v>
      </c>
      <c r="H21" s="22">
        <v>1.8</v>
      </c>
      <c r="I21" s="6">
        <f t="shared" si="1"/>
        <v>363.28320000000002</v>
      </c>
      <c r="J21" s="6" t="s">
        <v>1272</v>
      </c>
      <c r="K21" s="17">
        <f t="shared" si="2"/>
        <v>1</v>
      </c>
    </row>
    <row r="22" spans="1:11" ht="13.95" customHeight="1" x14ac:dyDescent="0.3">
      <c r="A22" s="3">
        <v>45678</v>
      </c>
      <c r="B22" s="3" t="s">
        <v>1394</v>
      </c>
      <c r="C22" s="3" t="s">
        <v>20</v>
      </c>
      <c r="D22" s="3" t="s">
        <v>1259</v>
      </c>
      <c r="E22" s="4">
        <v>0.3</v>
      </c>
      <c r="F22" s="42">
        <v>1.7</v>
      </c>
      <c r="G22" s="45">
        <v>424</v>
      </c>
      <c r="H22" s="22">
        <v>1.8</v>
      </c>
      <c r="I22" s="6">
        <f t="shared" si="1"/>
        <v>389.23199999999997</v>
      </c>
      <c r="J22" s="6" t="s">
        <v>150</v>
      </c>
      <c r="K22" s="17">
        <f t="shared" si="2"/>
        <v>1</v>
      </c>
    </row>
    <row r="23" spans="1:11" ht="13.95" customHeight="1" x14ac:dyDescent="0.3">
      <c r="A23" s="3">
        <v>45679</v>
      </c>
      <c r="B23" s="3" t="s">
        <v>1394</v>
      </c>
      <c r="C23" s="3" t="s">
        <v>5</v>
      </c>
      <c r="D23" s="3" t="s">
        <v>1259</v>
      </c>
      <c r="E23" s="4">
        <v>0.32</v>
      </c>
      <c r="F23" s="42">
        <v>1.7</v>
      </c>
      <c r="G23" s="45">
        <v>424</v>
      </c>
      <c r="H23" s="22">
        <v>1.8</v>
      </c>
      <c r="I23" s="6">
        <f t="shared" si="1"/>
        <v>415.18080000000003</v>
      </c>
      <c r="J23" s="6" t="s">
        <v>150</v>
      </c>
      <c r="K23" s="17">
        <f t="shared" si="2"/>
        <v>1</v>
      </c>
    </row>
    <row r="24" spans="1:11" ht="13.95" customHeight="1" x14ac:dyDescent="0.3">
      <c r="A24" s="3">
        <v>45680</v>
      </c>
      <c r="B24" s="3" t="s">
        <v>1394</v>
      </c>
      <c r="C24" s="3" t="s">
        <v>8</v>
      </c>
      <c r="D24" s="3" t="s">
        <v>1259</v>
      </c>
      <c r="E24" s="4">
        <v>0.35</v>
      </c>
      <c r="F24" s="42">
        <v>1.75</v>
      </c>
      <c r="G24" s="45">
        <v>424</v>
      </c>
      <c r="H24" s="22">
        <v>1.8</v>
      </c>
      <c r="I24" s="6">
        <f t="shared" si="1"/>
        <v>467.45999999999987</v>
      </c>
      <c r="J24" s="6" t="s">
        <v>150</v>
      </c>
      <c r="K24" s="17">
        <f t="shared" si="2"/>
        <v>1</v>
      </c>
    </row>
    <row r="25" spans="1:11" ht="13.95" customHeight="1" x14ac:dyDescent="0.3">
      <c r="A25" s="3">
        <v>45681</v>
      </c>
      <c r="B25" s="3" t="s">
        <v>1394</v>
      </c>
      <c r="C25" s="3" t="s">
        <v>11</v>
      </c>
      <c r="D25" s="3" t="s">
        <v>14</v>
      </c>
      <c r="E25" s="4">
        <v>0.5</v>
      </c>
      <c r="F25" s="42">
        <v>1.9</v>
      </c>
      <c r="G25" s="45">
        <v>424</v>
      </c>
      <c r="H25" s="22">
        <v>1.8</v>
      </c>
      <c r="I25" s="6">
        <f t="shared" si="1"/>
        <v>725.04</v>
      </c>
      <c r="J25" s="6" t="s">
        <v>1273</v>
      </c>
      <c r="K25" s="17">
        <f t="shared" si="2"/>
        <v>1</v>
      </c>
    </row>
    <row r="26" spans="1:11" ht="13.95" customHeight="1" x14ac:dyDescent="0.3">
      <c r="A26" s="3">
        <v>45682</v>
      </c>
      <c r="B26" s="3" t="s">
        <v>1394</v>
      </c>
      <c r="C26" s="3" t="s">
        <v>13</v>
      </c>
      <c r="D26" s="3" t="s">
        <v>14</v>
      </c>
      <c r="E26" s="4">
        <v>0.65</v>
      </c>
      <c r="F26" s="42">
        <v>2.2000000000000002</v>
      </c>
      <c r="G26" s="45">
        <v>424</v>
      </c>
      <c r="H26" s="22">
        <v>1.8</v>
      </c>
      <c r="I26" s="6">
        <f t="shared" si="1"/>
        <v>1091.3760000000002</v>
      </c>
      <c r="J26" s="6" t="s">
        <v>1274</v>
      </c>
      <c r="K26" s="17">
        <f t="shared" si="2"/>
        <v>1</v>
      </c>
    </row>
    <row r="27" spans="1:11" ht="13.95" customHeight="1" x14ac:dyDescent="0.3">
      <c r="A27" s="3">
        <v>45683</v>
      </c>
      <c r="B27" s="3" t="s">
        <v>1394</v>
      </c>
      <c r="C27" s="3" t="s">
        <v>16</v>
      </c>
      <c r="D27" s="3" t="s">
        <v>14</v>
      </c>
      <c r="E27" s="4">
        <v>0.6</v>
      </c>
      <c r="F27" s="42">
        <v>2.1</v>
      </c>
      <c r="G27" s="45">
        <v>424</v>
      </c>
      <c r="H27" s="22">
        <v>1.8</v>
      </c>
      <c r="I27" s="6">
        <f t="shared" si="1"/>
        <v>961.63200000000006</v>
      </c>
      <c r="J27" s="6" t="s">
        <v>1275</v>
      </c>
      <c r="K27" s="17">
        <f t="shared" si="2"/>
        <v>1</v>
      </c>
    </row>
    <row r="28" spans="1:11" ht="13.95" customHeight="1" x14ac:dyDescent="0.3">
      <c r="A28" s="3">
        <v>45684</v>
      </c>
      <c r="B28" s="3" t="s">
        <v>1394</v>
      </c>
      <c r="C28" s="3" t="s">
        <v>18</v>
      </c>
      <c r="D28" s="3" t="s">
        <v>658</v>
      </c>
      <c r="E28" s="4">
        <v>0.55000000000000004</v>
      </c>
      <c r="F28" s="42">
        <v>1.95</v>
      </c>
      <c r="G28" s="45">
        <v>424</v>
      </c>
      <c r="H28" s="22">
        <v>1.8</v>
      </c>
      <c r="I28" s="6">
        <f t="shared" si="1"/>
        <v>818.53200000000004</v>
      </c>
      <c r="J28" s="6" t="s">
        <v>758</v>
      </c>
      <c r="K28" s="17">
        <f t="shared" si="2"/>
        <v>1</v>
      </c>
    </row>
    <row r="29" spans="1:11" ht="13.95" customHeight="1" x14ac:dyDescent="0.3">
      <c r="A29" s="3">
        <v>45685</v>
      </c>
      <c r="B29" s="3" t="s">
        <v>1394</v>
      </c>
      <c r="C29" s="3" t="s">
        <v>20</v>
      </c>
      <c r="D29" s="3" t="s">
        <v>658</v>
      </c>
      <c r="E29" s="4">
        <v>0.52</v>
      </c>
      <c r="F29" s="42">
        <v>1.9</v>
      </c>
      <c r="G29" s="45">
        <v>424</v>
      </c>
      <c r="H29" s="22">
        <v>1.8</v>
      </c>
      <c r="I29" s="6">
        <f t="shared" si="1"/>
        <v>754.04160000000013</v>
      </c>
      <c r="J29" s="6" t="s">
        <v>758</v>
      </c>
      <c r="K29" s="17">
        <f t="shared" si="2"/>
        <v>1</v>
      </c>
    </row>
    <row r="30" spans="1:11" ht="13.95" customHeight="1" x14ac:dyDescent="0.3">
      <c r="A30" s="3">
        <v>45686</v>
      </c>
      <c r="B30" s="3" t="s">
        <v>1394</v>
      </c>
      <c r="C30" s="3" t="s">
        <v>5</v>
      </c>
      <c r="D30" s="3" t="s">
        <v>658</v>
      </c>
      <c r="E30" s="4">
        <v>0.5</v>
      </c>
      <c r="F30" s="42">
        <v>1.9</v>
      </c>
      <c r="G30" s="45">
        <v>424</v>
      </c>
      <c r="H30" s="22">
        <v>1.8</v>
      </c>
      <c r="I30" s="6">
        <f t="shared" si="1"/>
        <v>725.04</v>
      </c>
      <c r="J30" s="6" t="s">
        <v>758</v>
      </c>
      <c r="K30" s="17">
        <f t="shared" si="2"/>
        <v>1</v>
      </c>
    </row>
    <row r="31" spans="1:11" ht="13.95" customHeight="1" x14ac:dyDescent="0.3">
      <c r="A31" s="3">
        <v>45687</v>
      </c>
      <c r="B31" s="3" t="s">
        <v>1394</v>
      </c>
      <c r="C31" s="3" t="s">
        <v>8</v>
      </c>
      <c r="D31" s="3" t="s">
        <v>658</v>
      </c>
      <c r="E31" s="4">
        <v>0.55000000000000004</v>
      </c>
      <c r="F31" s="42">
        <v>1.95</v>
      </c>
      <c r="G31" s="45">
        <v>424</v>
      </c>
      <c r="H31" s="22">
        <v>1.8</v>
      </c>
      <c r="I31" s="6">
        <f t="shared" si="1"/>
        <v>818.53200000000004</v>
      </c>
      <c r="J31" s="6" t="s">
        <v>758</v>
      </c>
      <c r="K31" s="17">
        <f t="shared" si="2"/>
        <v>1</v>
      </c>
    </row>
    <row r="32" spans="1:11" ht="13.95" customHeight="1" x14ac:dyDescent="0.3">
      <c r="A32" s="3">
        <v>45688</v>
      </c>
      <c r="B32" s="3" t="s">
        <v>1394</v>
      </c>
      <c r="C32" s="3" t="s">
        <v>11</v>
      </c>
      <c r="D32" s="3" t="s">
        <v>44</v>
      </c>
      <c r="E32" s="4">
        <v>0.6</v>
      </c>
      <c r="F32" s="42">
        <v>2.0499999999999998</v>
      </c>
      <c r="G32" s="45">
        <v>424</v>
      </c>
      <c r="H32" s="22">
        <v>1.8</v>
      </c>
      <c r="I32" s="6">
        <f t="shared" si="1"/>
        <v>938.73599999999976</v>
      </c>
      <c r="J32" s="6" t="s">
        <v>82</v>
      </c>
      <c r="K32" s="17">
        <f t="shared" si="2"/>
        <v>1</v>
      </c>
    </row>
    <row r="33" spans="1:11" ht="13.95" customHeight="1" x14ac:dyDescent="0.3">
      <c r="A33" s="3">
        <v>45689</v>
      </c>
      <c r="B33" s="3" t="s">
        <v>1394</v>
      </c>
      <c r="C33" s="3" t="s">
        <v>13</v>
      </c>
      <c r="D33" s="3" t="s">
        <v>1276</v>
      </c>
      <c r="E33" s="4">
        <v>0.7</v>
      </c>
      <c r="F33" s="42">
        <v>2.2000000000000002</v>
      </c>
      <c r="G33" s="45">
        <v>424</v>
      </c>
      <c r="H33" s="22">
        <v>1.8</v>
      </c>
      <c r="I33" s="6">
        <f t="shared" ref="I33:I95" si="5">(G33*E33)*F33*H33</f>
        <v>1175.328</v>
      </c>
      <c r="J33" s="6" t="s">
        <v>1277</v>
      </c>
      <c r="K33" s="17">
        <f t="shared" si="2"/>
        <v>2</v>
      </c>
    </row>
    <row r="34" spans="1:11" ht="13.95" customHeight="1" x14ac:dyDescent="0.3">
      <c r="A34" s="3">
        <v>45690</v>
      </c>
      <c r="B34" s="3" t="s">
        <v>1394</v>
      </c>
      <c r="C34" s="3" t="s">
        <v>16</v>
      </c>
      <c r="D34" s="3" t="s">
        <v>1276</v>
      </c>
      <c r="E34" s="4">
        <v>0.65</v>
      </c>
      <c r="F34" s="42">
        <v>2.15</v>
      </c>
      <c r="G34" s="45">
        <v>424</v>
      </c>
      <c r="H34" s="22">
        <v>1.8</v>
      </c>
      <c r="I34" s="6">
        <f t="shared" si="5"/>
        <v>1066.5720000000001</v>
      </c>
      <c r="J34" s="6" t="s">
        <v>1278</v>
      </c>
      <c r="K34" s="17">
        <f t="shared" si="2"/>
        <v>2</v>
      </c>
    </row>
    <row r="35" spans="1:11" ht="13.95" customHeight="1" x14ac:dyDescent="0.3">
      <c r="A35" s="3">
        <v>45691</v>
      </c>
      <c r="B35" s="3" t="s">
        <v>1394</v>
      </c>
      <c r="C35" s="3" t="s">
        <v>18</v>
      </c>
      <c r="D35" s="3" t="s">
        <v>658</v>
      </c>
      <c r="E35" s="4">
        <v>0.55000000000000004</v>
      </c>
      <c r="F35" s="42">
        <v>1.95</v>
      </c>
      <c r="G35" s="45">
        <v>424</v>
      </c>
      <c r="H35" s="22">
        <v>1.8</v>
      </c>
      <c r="I35" s="6">
        <f t="shared" si="5"/>
        <v>818.53200000000004</v>
      </c>
      <c r="J35" s="6" t="s">
        <v>1279</v>
      </c>
      <c r="K35" s="17">
        <f t="shared" si="2"/>
        <v>2</v>
      </c>
    </row>
    <row r="36" spans="1:11" ht="13.95" customHeight="1" x14ac:dyDescent="0.3">
      <c r="A36" s="3">
        <v>45692</v>
      </c>
      <c r="B36" s="3" t="s">
        <v>1394</v>
      </c>
      <c r="C36" s="3" t="s">
        <v>20</v>
      </c>
      <c r="D36" s="3" t="s">
        <v>658</v>
      </c>
      <c r="E36" s="4">
        <v>0.55000000000000004</v>
      </c>
      <c r="F36" s="42">
        <v>1.95</v>
      </c>
      <c r="G36" s="45">
        <v>424</v>
      </c>
      <c r="H36" s="22">
        <v>1.8</v>
      </c>
      <c r="I36" s="6">
        <f t="shared" si="5"/>
        <v>818.53200000000004</v>
      </c>
      <c r="J36" s="6" t="s">
        <v>1279</v>
      </c>
      <c r="K36" s="17">
        <f t="shared" si="2"/>
        <v>2</v>
      </c>
    </row>
    <row r="37" spans="1:11" ht="13.95" customHeight="1" x14ac:dyDescent="0.3">
      <c r="A37" s="3">
        <v>45693</v>
      </c>
      <c r="B37" s="3" t="s">
        <v>1394</v>
      </c>
      <c r="C37" s="3" t="s">
        <v>5</v>
      </c>
      <c r="D37" s="3" t="s">
        <v>658</v>
      </c>
      <c r="E37" s="4">
        <v>0.52</v>
      </c>
      <c r="F37" s="42">
        <v>1.9</v>
      </c>
      <c r="G37" s="45">
        <v>424</v>
      </c>
      <c r="H37" s="22">
        <v>1.8</v>
      </c>
      <c r="I37" s="6">
        <f t="shared" si="5"/>
        <v>754.04160000000013</v>
      </c>
      <c r="J37" s="6" t="s">
        <v>1016</v>
      </c>
      <c r="K37" s="17">
        <f t="shared" si="2"/>
        <v>2</v>
      </c>
    </row>
    <row r="38" spans="1:11" ht="13.95" customHeight="1" x14ac:dyDescent="0.3">
      <c r="A38" s="3">
        <v>45694</v>
      </c>
      <c r="B38" s="3" t="s">
        <v>1394</v>
      </c>
      <c r="C38" s="3" t="s">
        <v>8</v>
      </c>
      <c r="D38" s="3" t="s">
        <v>658</v>
      </c>
      <c r="E38" s="4">
        <v>0.5</v>
      </c>
      <c r="F38" s="42">
        <v>1.9</v>
      </c>
      <c r="G38" s="45">
        <v>424</v>
      </c>
      <c r="H38" s="22">
        <v>1.8</v>
      </c>
      <c r="I38" s="6">
        <f t="shared" si="5"/>
        <v>725.04</v>
      </c>
      <c r="J38" s="6" t="s">
        <v>758</v>
      </c>
      <c r="K38" s="17">
        <f t="shared" si="2"/>
        <v>2</v>
      </c>
    </row>
    <row r="39" spans="1:11" ht="13.95" customHeight="1" x14ac:dyDescent="0.3">
      <c r="A39" s="3">
        <v>45695</v>
      </c>
      <c r="B39" s="3" t="s">
        <v>1394</v>
      </c>
      <c r="C39" s="3" t="s">
        <v>11</v>
      </c>
      <c r="D39" s="3" t="s">
        <v>1280</v>
      </c>
      <c r="E39" s="4">
        <v>0.6</v>
      </c>
      <c r="F39" s="42">
        <v>2.0499999999999998</v>
      </c>
      <c r="G39" s="45">
        <v>424</v>
      </c>
      <c r="H39" s="22">
        <v>1.8</v>
      </c>
      <c r="I39" s="6">
        <f t="shared" si="5"/>
        <v>938.73599999999976</v>
      </c>
      <c r="J39" s="6" t="s">
        <v>1281</v>
      </c>
      <c r="K39" s="17">
        <f t="shared" si="2"/>
        <v>2</v>
      </c>
    </row>
    <row r="40" spans="1:11" ht="13.95" customHeight="1" x14ac:dyDescent="0.3">
      <c r="A40" s="3">
        <v>45696</v>
      </c>
      <c r="B40" s="3" t="s">
        <v>1394</v>
      </c>
      <c r="C40" s="3" t="s">
        <v>13</v>
      </c>
      <c r="D40" s="3" t="s">
        <v>14</v>
      </c>
      <c r="E40" s="4">
        <v>0.55000000000000004</v>
      </c>
      <c r="F40" s="42">
        <v>2.1</v>
      </c>
      <c r="G40" s="45">
        <v>424</v>
      </c>
      <c r="H40" s="22">
        <v>1.8</v>
      </c>
      <c r="I40" s="6">
        <f t="shared" si="5"/>
        <v>881.49600000000021</v>
      </c>
      <c r="J40" s="6" t="s">
        <v>282</v>
      </c>
      <c r="K40" s="17">
        <f t="shared" si="2"/>
        <v>2</v>
      </c>
    </row>
    <row r="41" spans="1:11" ht="13.95" customHeight="1" x14ac:dyDescent="0.3">
      <c r="A41" s="3">
        <v>45697</v>
      </c>
      <c r="B41" s="3" t="s">
        <v>1394</v>
      </c>
      <c r="C41" s="3" t="s">
        <v>16</v>
      </c>
      <c r="D41" s="3" t="s">
        <v>14</v>
      </c>
      <c r="E41" s="4">
        <v>0.5</v>
      </c>
      <c r="F41" s="42">
        <v>2.0499999999999998</v>
      </c>
      <c r="G41" s="45">
        <v>424</v>
      </c>
      <c r="H41" s="22">
        <v>1.8</v>
      </c>
      <c r="I41" s="6">
        <f t="shared" si="5"/>
        <v>782.28</v>
      </c>
      <c r="J41" s="6" t="s">
        <v>1282</v>
      </c>
      <c r="K41" s="17">
        <f t="shared" si="2"/>
        <v>2</v>
      </c>
    </row>
    <row r="42" spans="1:11" ht="13.95" customHeight="1" x14ac:dyDescent="0.3">
      <c r="A42" s="3">
        <v>45698</v>
      </c>
      <c r="B42" s="3" t="s">
        <v>1394</v>
      </c>
      <c r="C42" s="3" t="s">
        <v>18</v>
      </c>
      <c r="D42" s="3" t="s">
        <v>1259</v>
      </c>
      <c r="E42" s="4">
        <v>0.35</v>
      </c>
      <c r="F42" s="42">
        <v>1.75</v>
      </c>
      <c r="G42" s="45">
        <v>424</v>
      </c>
      <c r="H42" s="22">
        <v>1.8</v>
      </c>
      <c r="I42" s="6">
        <f t="shared" si="5"/>
        <v>467.45999999999987</v>
      </c>
      <c r="J42" s="6" t="s">
        <v>774</v>
      </c>
      <c r="K42" s="17">
        <f t="shared" si="2"/>
        <v>2</v>
      </c>
    </row>
    <row r="43" spans="1:11" ht="13.95" customHeight="1" x14ac:dyDescent="0.3">
      <c r="A43" s="3">
        <v>45699</v>
      </c>
      <c r="B43" s="3" t="s">
        <v>1394</v>
      </c>
      <c r="C43" s="3" t="s">
        <v>20</v>
      </c>
      <c r="D43" s="3" t="s">
        <v>1259</v>
      </c>
      <c r="E43" s="4">
        <v>0.38</v>
      </c>
      <c r="F43" s="42">
        <v>1.75</v>
      </c>
      <c r="G43" s="45">
        <v>424</v>
      </c>
      <c r="H43" s="22">
        <v>1.8</v>
      </c>
      <c r="I43" s="6">
        <f t="shared" si="5"/>
        <v>507.52800000000008</v>
      </c>
      <c r="J43" s="6" t="s">
        <v>1283</v>
      </c>
      <c r="K43" s="17">
        <f t="shared" si="2"/>
        <v>2</v>
      </c>
    </row>
    <row r="44" spans="1:11" ht="13.95" customHeight="1" x14ac:dyDescent="0.3">
      <c r="A44" s="3">
        <v>45700</v>
      </c>
      <c r="B44" s="3" t="s">
        <v>1394</v>
      </c>
      <c r="C44" s="3" t="s">
        <v>5</v>
      </c>
      <c r="D44" s="3" t="s">
        <v>1259</v>
      </c>
      <c r="E44" s="4">
        <v>0.35</v>
      </c>
      <c r="F44" s="42">
        <v>1.7</v>
      </c>
      <c r="G44" s="45">
        <v>424</v>
      </c>
      <c r="H44" s="22">
        <v>1.8</v>
      </c>
      <c r="I44" s="6">
        <f t="shared" si="5"/>
        <v>454.10399999999993</v>
      </c>
      <c r="J44" s="6" t="s">
        <v>71</v>
      </c>
      <c r="K44" s="17">
        <f t="shared" si="2"/>
        <v>2</v>
      </c>
    </row>
    <row r="45" spans="1:11" ht="13.95" customHeight="1" x14ac:dyDescent="0.3">
      <c r="A45" s="3">
        <v>45701</v>
      </c>
      <c r="B45" s="3" t="s">
        <v>1394</v>
      </c>
      <c r="C45" s="3" t="s">
        <v>8</v>
      </c>
      <c r="D45" s="3" t="s">
        <v>1284</v>
      </c>
      <c r="E45" s="4">
        <v>0.45</v>
      </c>
      <c r="F45" s="42">
        <v>1.85</v>
      </c>
      <c r="G45" s="45">
        <v>424</v>
      </c>
      <c r="H45" s="22">
        <v>1.8</v>
      </c>
      <c r="I45" s="6">
        <f t="shared" si="5"/>
        <v>635.36400000000003</v>
      </c>
      <c r="J45" s="6" t="s">
        <v>1285</v>
      </c>
      <c r="K45" s="17">
        <f t="shared" si="2"/>
        <v>2</v>
      </c>
    </row>
    <row r="46" spans="1:11" ht="13.95" customHeight="1" x14ac:dyDescent="0.3">
      <c r="A46" s="3">
        <v>45702</v>
      </c>
      <c r="B46" s="3" t="s">
        <v>1394</v>
      </c>
      <c r="C46" s="3" t="s">
        <v>11</v>
      </c>
      <c r="D46" s="3" t="s">
        <v>1286</v>
      </c>
      <c r="E46" s="4">
        <v>0.8</v>
      </c>
      <c r="F46" s="42">
        <v>2.4</v>
      </c>
      <c r="G46" s="45">
        <v>424</v>
      </c>
      <c r="H46" s="22">
        <v>1.8</v>
      </c>
      <c r="I46" s="6">
        <f t="shared" si="5"/>
        <v>1465.3440000000001</v>
      </c>
      <c r="J46" s="6" t="s">
        <v>1287</v>
      </c>
      <c r="K46" s="17">
        <f t="shared" si="2"/>
        <v>2</v>
      </c>
    </row>
    <row r="47" spans="1:11" ht="13.95" customHeight="1" x14ac:dyDescent="0.3">
      <c r="A47" s="3">
        <v>45703</v>
      </c>
      <c r="B47" s="3" t="s">
        <v>1394</v>
      </c>
      <c r="C47" s="3" t="s">
        <v>13</v>
      </c>
      <c r="D47" s="3" t="s">
        <v>14</v>
      </c>
      <c r="E47" s="4">
        <v>0.75</v>
      </c>
      <c r="F47" s="42">
        <v>2.2000000000000002</v>
      </c>
      <c r="G47" s="45">
        <v>424</v>
      </c>
      <c r="H47" s="22">
        <v>1.8</v>
      </c>
      <c r="I47" s="6">
        <f t="shared" si="5"/>
        <v>1259.28</v>
      </c>
      <c r="J47" s="6" t="s">
        <v>1288</v>
      </c>
      <c r="K47" s="17">
        <f t="shared" si="2"/>
        <v>2</v>
      </c>
    </row>
    <row r="48" spans="1:11" ht="13.95" customHeight="1" x14ac:dyDescent="0.3">
      <c r="A48" s="3">
        <v>45704</v>
      </c>
      <c r="B48" s="3" t="s">
        <v>1394</v>
      </c>
      <c r="C48" s="3" t="s">
        <v>16</v>
      </c>
      <c r="D48" s="3" t="s">
        <v>14</v>
      </c>
      <c r="E48" s="4">
        <v>0.65</v>
      </c>
      <c r="F48" s="42">
        <v>2.1</v>
      </c>
      <c r="G48" s="45">
        <v>424</v>
      </c>
      <c r="H48" s="22">
        <v>1.8</v>
      </c>
      <c r="I48" s="6">
        <f t="shared" si="5"/>
        <v>1041.7680000000003</v>
      </c>
      <c r="J48" s="6" t="s">
        <v>1289</v>
      </c>
      <c r="K48" s="17">
        <f t="shared" si="2"/>
        <v>2</v>
      </c>
    </row>
    <row r="49" spans="1:11" ht="13.95" customHeight="1" x14ac:dyDescent="0.3">
      <c r="A49" s="3">
        <v>45705</v>
      </c>
      <c r="B49" s="3" t="s">
        <v>1394</v>
      </c>
      <c r="C49" s="3" t="s">
        <v>18</v>
      </c>
      <c r="D49" s="3" t="s">
        <v>1259</v>
      </c>
      <c r="E49" s="4">
        <v>0.32</v>
      </c>
      <c r="F49" s="42">
        <v>1.75</v>
      </c>
      <c r="G49" s="45">
        <v>424</v>
      </c>
      <c r="H49" s="22">
        <v>1.8</v>
      </c>
      <c r="I49" s="6">
        <f t="shared" si="5"/>
        <v>427.392</v>
      </c>
      <c r="J49" s="6" t="s">
        <v>150</v>
      </c>
      <c r="K49" s="17">
        <f t="shared" si="2"/>
        <v>2</v>
      </c>
    </row>
    <row r="50" spans="1:11" ht="13.95" customHeight="1" x14ac:dyDescent="0.3">
      <c r="A50" s="3">
        <v>45706</v>
      </c>
      <c r="B50" s="3" t="s">
        <v>1394</v>
      </c>
      <c r="C50" s="3" t="s">
        <v>20</v>
      </c>
      <c r="D50" s="3" t="s">
        <v>1259</v>
      </c>
      <c r="E50" s="4">
        <v>0.3</v>
      </c>
      <c r="F50" s="42">
        <v>1.7</v>
      </c>
      <c r="G50" s="45">
        <v>424</v>
      </c>
      <c r="H50" s="22">
        <v>1.8</v>
      </c>
      <c r="I50" s="6">
        <f t="shared" si="5"/>
        <v>389.23199999999997</v>
      </c>
      <c r="J50" s="6" t="s">
        <v>150</v>
      </c>
      <c r="K50" s="17">
        <f t="shared" si="2"/>
        <v>2</v>
      </c>
    </row>
    <row r="51" spans="1:11" ht="13.95" customHeight="1" x14ac:dyDescent="0.3">
      <c r="A51" s="3">
        <v>45707</v>
      </c>
      <c r="B51" s="3" t="s">
        <v>1394</v>
      </c>
      <c r="C51" s="3" t="s">
        <v>5</v>
      </c>
      <c r="D51" s="3" t="s">
        <v>1259</v>
      </c>
      <c r="E51" s="4">
        <v>0.35</v>
      </c>
      <c r="F51" s="42">
        <v>1.75</v>
      </c>
      <c r="G51" s="45">
        <v>424</v>
      </c>
      <c r="H51" s="22">
        <v>1.8</v>
      </c>
      <c r="I51" s="6">
        <f t="shared" si="5"/>
        <v>467.45999999999987</v>
      </c>
      <c r="J51" s="6" t="s">
        <v>1290</v>
      </c>
      <c r="K51" s="17">
        <f t="shared" si="2"/>
        <v>2</v>
      </c>
    </row>
    <row r="52" spans="1:11" ht="13.95" customHeight="1" x14ac:dyDescent="0.3">
      <c r="A52" s="3">
        <v>45708</v>
      </c>
      <c r="B52" s="3" t="s">
        <v>1394</v>
      </c>
      <c r="C52" s="3" t="s">
        <v>8</v>
      </c>
      <c r="D52" s="3" t="s">
        <v>1259</v>
      </c>
      <c r="E52" s="4">
        <v>0.38</v>
      </c>
      <c r="F52" s="42">
        <v>1.75</v>
      </c>
      <c r="G52" s="45">
        <v>424</v>
      </c>
      <c r="H52" s="22">
        <v>1.8</v>
      </c>
      <c r="I52" s="6">
        <f t="shared" si="5"/>
        <v>507.52800000000008</v>
      </c>
      <c r="J52" s="6" t="s">
        <v>143</v>
      </c>
      <c r="K52" s="17">
        <f t="shared" si="2"/>
        <v>2</v>
      </c>
    </row>
    <row r="53" spans="1:11" ht="13.95" customHeight="1" x14ac:dyDescent="0.3">
      <c r="A53" s="3">
        <v>45709</v>
      </c>
      <c r="B53" s="3" t="s">
        <v>1394</v>
      </c>
      <c r="C53" s="3" t="s">
        <v>11</v>
      </c>
      <c r="D53" s="3" t="s">
        <v>14</v>
      </c>
      <c r="E53" s="4">
        <v>0.45</v>
      </c>
      <c r="F53" s="42">
        <v>1.9</v>
      </c>
      <c r="G53" s="45">
        <v>424</v>
      </c>
      <c r="H53" s="22">
        <v>1.8</v>
      </c>
      <c r="I53" s="6">
        <f t="shared" si="5"/>
        <v>652.53599999999994</v>
      </c>
      <c r="J53" s="6" t="s">
        <v>67</v>
      </c>
      <c r="K53" s="17">
        <f t="shared" si="2"/>
        <v>2</v>
      </c>
    </row>
    <row r="54" spans="1:11" ht="13.95" customHeight="1" x14ac:dyDescent="0.3">
      <c r="A54" s="3">
        <v>45710</v>
      </c>
      <c r="B54" s="3" t="s">
        <v>1394</v>
      </c>
      <c r="C54" s="3" t="s">
        <v>13</v>
      </c>
      <c r="D54" s="3" t="s">
        <v>14</v>
      </c>
      <c r="E54" s="4">
        <v>0.57999999999999996</v>
      </c>
      <c r="F54" s="42">
        <v>2.15</v>
      </c>
      <c r="G54" s="45">
        <v>424</v>
      </c>
      <c r="H54" s="22">
        <v>1.8</v>
      </c>
      <c r="I54" s="6">
        <f t="shared" si="5"/>
        <v>951.71039999999994</v>
      </c>
      <c r="J54" s="6" t="s">
        <v>1291</v>
      </c>
      <c r="K54" s="17">
        <f t="shared" si="2"/>
        <v>2</v>
      </c>
    </row>
    <row r="55" spans="1:11" ht="13.95" customHeight="1" x14ac:dyDescent="0.3">
      <c r="A55" s="3">
        <v>45711</v>
      </c>
      <c r="B55" s="3" t="s">
        <v>1394</v>
      </c>
      <c r="C55" s="3" t="s">
        <v>16</v>
      </c>
      <c r="D55" s="3" t="s">
        <v>14</v>
      </c>
      <c r="E55" s="4">
        <v>0.55000000000000004</v>
      </c>
      <c r="F55" s="42">
        <v>2.1</v>
      </c>
      <c r="G55" s="45">
        <v>424</v>
      </c>
      <c r="H55" s="22">
        <v>1.8</v>
      </c>
      <c r="I55" s="6">
        <f t="shared" si="5"/>
        <v>881.49600000000021</v>
      </c>
      <c r="J55" s="6" t="s">
        <v>149</v>
      </c>
      <c r="K55" s="17">
        <f t="shared" si="2"/>
        <v>2</v>
      </c>
    </row>
    <row r="56" spans="1:11" ht="13.95" customHeight="1" x14ac:dyDescent="0.3">
      <c r="A56" s="3">
        <v>45712</v>
      </c>
      <c r="B56" s="3" t="s">
        <v>1394</v>
      </c>
      <c r="C56" s="3" t="s">
        <v>18</v>
      </c>
      <c r="D56" s="3" t="s">
        <v>1259</v>
      </c>
      <c r="E56" s="4">
        <v>0.3</v>
      </c>
      <c r="F56" s="42">
        <v>1.7</v>
      </c>
      <c r="G56" s="45">
        <v>424</v>
      </c>
      <c r="H56" s="22">
        <v>1.8</v>
      </c>
      <c r="I56" s="6">
        <f t="shared" si="5"/>
        <v>389.23199999999997</v>
      </c>
      <c r="J56" s="6" t="s">
        <v>150</v>
      </c>
      <c r="K56" s="17">
        <f t="shared" si="2"/>
        <v>2</v>
      </c>
    </row>
    <row r="57" spans="1:11" ht="13.95" customHeight="1" x14ac:dyDescent="0.3">
      <c r="A57" s="3">
        <v>45713</v>
      </c>
      <c r="B57" s="3" t="s">
        <v>1394</v>
      </c>
      <c r="C57" s="3" t="s">
        <v>20</v>
      </c>
      <c r="D57" s="3" t="s">
        <v>1259</v>
      </c>
      <c r="E57" s="4">
        <v>0.32</v>
      </c>
      <c r="F57" s="42">
        <v>1.7</v>
      </c>
      <c r="G57" s="45">
        <v>424</v>
      </c>
      <c r="H57" s="22">
        <v>1.8</v>
      </c>
      <c r="I57" s="6">
        <f t="shared" si="5"/>
        <v>415.18080000000003</v>
      </c>
      <c r="J57" s="6" t="s">
        <v>71</v>
      </c>
      <c r="K57" s="17">
        <f t="shared" si="2"/>
        <v>2</v>
      </c>
    </row>
    <row r="58" spans="1:11" ht="13.95" customHeight="1" x14ac:dyDescent="0.3">
      <c r="A58" s="3">
        <v>45714</v>
      </c>
      <c r="B58" s="3" t="s">
        <v>1394</v>
      </c>
      <c r="C58" s="3" t="s">
        <v>5</v>
      </c>
      <c r="D58" s="3" t="s">
        <v>1259</v>
      </c>
      <c r="E58" s="4">
        <v>0.3</v>
      </c>
      <c r="F58" s="42">
        <v>1.7</v>
      </c>
      <c r="G58" s="45">
        <v>424</v>
      </c>
      <c r="H58" s="22">
        <v>1.8</v>
      </c>
      <c r="I58" s="6">
        <f t="shared" si="5"/>
        <v>389.23199999999997</v>
      </c>
      <c r="J58" s="6" t="s">
        <v>1292</v>
      </c>
      <c r="K58" s="17">
        <f t="shared" si="2"/>
        <v>2</v>
      </c>
    </row>
    <row r="59" spans="1:11" ht="13.95" customHeight="1" x14ac:dyDescent="0.3">
      <c r="A59" s="3">
        <v>45715</v>
      </c>
      <c r="B59" s="3" t="s">
        <v>1394</v>
      </c>
      <c r="C59" s="3" t="s">
        <v>8</v>
      </c>
      <c r="D59" s="3" t="s">
        <v>1259</v>
      </c>
      <c r="E59" s="4">
        <v>0.35</v>
      </c>
      <c r="F59" s="42">
        <v>1.75</v>
      </c>
      <c r="G59" s="45">
        <v>424</v>
      </c>
      <c r="H59" s="22">
        <v>1.8</v>
      </c>
      <c r="I59" s="6">
        <f t="shared" si="5"/>
        <v>467.45999999999987</v>
      </c>
      <c r="J59" s="6" t="s">
        <v>72</v>
      </c>
      <c r="K59" s="17">
        <f t="shared" si="2"/>
        <v>2</v>
      </c>
    </row>
    <row r="60" spans="1:11" ht="13.95" customHeight="1" x14ac:dyDescent="0.3">
      <c r="A60" s="3">
        <v>45716</v>
      </c>
      <c r="B60" s="3" t="s">
        <v>1394</v>
      </c>
      <c r="C60" s="3" t="s">
        <v>11</v>
      </c>
      <c r="D60" s="3" t="s">
        <v>44</v>
      </c>
      <c r="E60" s="4">
        <v>0.5</v>
      </c>
      <c r="F60" s="42">
        <v>1.95</v>
      </c>
      <c r="G60" s="45">
        <v>424</v>
      </c>
      <c r="H60" s="22">
        <v>1.8</v>
      </c>
      <c r="I60" s="6">
        <f t="shared" si="5"/>
        <v>744.12</v>
      </c>
      <c r="J60" s="6" t="s">
        <v>1293</v>
      </c>
      <c r="K60" s="17">
        <f t="shared" si="2"/>
        <v>2</v>
      </c>
    </row>
    <row r="61" spans="1:11" ht="13.95" customHeight="1" x14ac:dyDescent="0.3">
      <c r="A61" s="3">
        <v>45717</v>
      </c>
      <c r="B61" s="3" t="s">
        <v>1394</v>
      </c>
      <c r="C61" s="3" t="s">
        <v>13</v>
      </c>
      <c r="D61" s="3" t="s">
        <v>1294</v>
      </c>
      <c r="E61" s="4">
        <v>0.6</v>
      </c>
      <c r="F61" s="42">
        <v>2.4</v>
      </c>
      <c r="G61" s="45">
        <v>424</v>
      </c>
      <c r="H61" s="22">
        <v>1.8</v>
      </c>
      <c r="I61" s="6">
        <f t="shared" si="5"/>
        <v>1099.008</v>
      </c>
      <c r="J61" s="6" t="s">
        <v>1295</v>
      </c>
      <c r="K61" s="17">
        <f t="shared" si="2"/>
        <v>3</v>
      </c>
    </row>
    <row r="62" spans="1:11" ht="13.95" customHeight="1" x14ac:dyDescent="0.3">
      <c r="A62" s="3">
        <v>45718</v>
      </c>
      <c r="B62" s="3" t="s">
        <v>1394</v>
      </c>
      <c r="C62" s="3" t="s">
        <v>16</v>
      </c>
      <c r="D62" s="3" t="s">
        <v>76</v>
      </c>
      <c r="E62" s="4">
        <v>0.55000000000000004</v>
      </c>
      <c r="F62" s="42">
        <v>2.2000000000000002</v>
      </c>
      <c r="G62" s="45">
        <v>424</v>
      </c>
      <c r="H62" s="22">
        <v>1.8</v>
      </c>
      <c r="I62" s="6">
        <f t="shared" si="5"/>
        <v>923.47200000000021</v>
      </c>
      <c r="J62" s="6" t="s">
        <v>1296</v>
      </c>
      <c r="K62" s="17">
        <f t="shared" si="2"/>
        <v>3</v>
      </c>
    </row>
    <row r="63" spans="1:11" ht="13.95" customHeight="1" x14ac:dyDescent="0.3">
      <c r="A63" s="3">
        <v>45719</v>
      </c>
      <c r="B63" s="3" t="s">
        <v>1394</v>
      </c>
      <c r="C63" s="3" t="s">
        <v>18</v>
      </c>
      <c r="D63" s="3" t="s">
        <v>76</v>
      </c>
      <c r="E63" s="4">
        <v>0.4</v>
      </c>
      <c r="F63" s="42">
        <v>1.9</v>
      </c>
      <c r="G63" s="45">
        <v>424</v>
      </c>
      <c r="H63" s="22">
        <v>1.8</v>
      </c>
      <c r="I63" s="6">
        <f t="shared" si="5"/>
        <v>580.03200000000004</v>
      </c>
      <c r="J63" s="6" t="s">
        <v>1297</v>
      </c>
      <c r="K63" s="17">
        <f t="shared" si="2"/>
        <v>3</v>
      </c>
    </row>
    <row r="64" spans="1:11" ht="13.95" customHeight="1" x14ac:dyDescent="0.3">
      <c r="A64" s="3">
        <v>45720</v>
      </c>
      <c r="B64" s="3" t="s">
        <v>1394</v>
      </c>
      <c r="C64" s="3" t="s">
        <v>20</v>
      </c>
      <c r="D64" s="3" t="s">
        <v>76</v>
      </c>
      <c r="E64" s="4">
        <v>0.38</v>
      </c>
      <c r="F64" s="42">
        <v>1.9</v>
      </c>
      <c r="G64" s="45">
        <v>424</v>
      </c>
      <c r="H64" s="22">
        <v>1.8</v>
      </c>
      <c r="I64" s="6">
        <f t="shared" si="5"/>
        <v>551.03039999999999</v>
      </c>
      <c r="J64" s="6" t="s">
        <v>1297</v>
      </c>
      <c r="K64" s="17">
        <f t="shared" si="2"/>
        <v>3</v>
      </c>
    </row>
    <row r="65" spans="1:11" ht="13.95" customHeight="1" x14ac:dyDescent="0.3">
      <c r="A65" s="3">
        <v>45721</v>
      </c>
      <c r="B65" s="3" t="s">
        <v>1394</v>
      </c>
      <c r="C65" s="3" t="s">
        <v>5</v>
      </c>
      <c r="D65" s="3" t="s">
        <v>76</v>
      </c>
      <c r="E65" s="4">
        <v>0.35</v>
      </c>
      <c r="F65" s="42">
        <v>1.85</v>
      </c>
      <c r="G65" s="45">
        <v>424</v>
      </c>
      <c r="H65" s="22">
        <v>1.8</v>
      </c>
      <c r="I65" s="6">
        <f t="shared" si="5"/>
        <v>494.17199999999997</v>
      </c>
      <c r="J65" s="6" t="s">
        <v>1297</v>
      </c>
      <c r="K65" s="17">
        <f t="shared" si="2"/>
        <v>3</v>
      </c>
    </row>
    <row r="66" spans="1:11" ht="13.95" customHeight="1" x14ac:dyDescent="0.3">
      <c r="A66" s="3">
        <v>45722</v>
      </c>
      <c r="B66" s="3" t="s">
        <v>1394</v>
      </c>
      <c r="C66" s="3" t="s">
        <v>8</v>
      </c>
      <c r="D66" s="3" t="s">
        <v>76</v>
      </c>
      <c r="E66" s="4">
        <v>0.4</v>
      </c>
      <c r="F66" s="42">
        <v>1.9</v>
      </c>
      <c r="G66" s="45">
        <v>424</v>
      </c>
      <c r="H66" s="22">
        <v>1.8</v>
      </c>
      <c r="I66" s="6">
        <f t="shared" si="5"/>
        <v>580.03200000000004</v>
      </c>
      <c r="J66" s="6" t="s">
        <v>1297</v>
      </c>
      <c r="K66" s="17">
        <f t="shared" si="2"/>
        <v>3</v>
      </c>
    </row>
    <row r="67" spans="1:11" ht="13.95" customHeight="1" x14ac:dyDescent="0.3">
      <c r="A67" s="3">
        <v>45723</v>
      </c>
      <c r="B67" s="3" t="s">
        <v>1394</v>
      </c>
      <c r="C67" s="3" t="s">
        <v>11</v>
      </c>
      <c r="D67" s="3" t="s">
        <v>76</v>
      </c>
      <c r="E67" s="4">
        <v>0.5</v>
      </c>
      <c r="F67" s="42">
        <v>2.1</v>
      </c>
      <c r="G67" s="45">
        <v>424</v>
      </c>
      <c r="H67" s="22">
        <v>1.8</v>
      </c>
      <c r="I67" s="6">
        <f t="shared" si="5"/>
        <v>801.36000000000013</v>
      </c>
      <c r="J67" s="6" t="s">
        <v>1298</v>
      </c>
      <c r="K67" s="17">
        <f t="shared" ref="K67:K130" si="6">MONTH(A67)</f>
        <v>3</v>
      </c>
    </row>
    <row r="68" spans="1:11" ht="13.95" customHeight="1" x14ac:dyDescent="0.3">
      <c r="A68" s="3">
        <v>45724</v>
      </c>
      <c r="B68" s="3" t="s">
        <v>1394</v>
      </c>
      <c r="C68" s="3" t="s">
        <v>13</v>
      </c>
      <c r="D68" s="3" t="s">
        <v>1299</v>
      </c>
      <c r="E68" s="4">
        <v>0.7</v>
      </c>
      <c r="F68" s="42">
        <v>2.5</v>
      </c>
      <c r="G68" s="45">
        <v>424</v>
      </c>
      <c r="H68" s="22">
        <v>1.8</v>
      </c>
      <c r="I68" s="6">
        <f t="shared" si="5"/>
        <v>1335.6</v>
      </c>
      <c r="J68" s="6" t="s">
        <v>1300</v>
      </c>
      <c r="K68" s="17">
        <f t="shared" si="6"/>
        <v>3</v>
      </c>
    </row>
    <row r="69" spans="1:11" ht="13.95" customHeight="1" x14ac:dyDescent="0.3">
      <c r="A69" s="3">
        <v>45725</v>
      </c>
      <c r="B69" s="3" t="s">
        <v>1394</v>
      </c>
      <c r="C69" s="3" t="s">
        <v>16</v>
      </c>
      <c r="D69" s="3" t="s">
        <v>76</v>
      </c>
      <c r="E69" s="4">
        <v>0.65</v>
      </c>
      <c r="F69" s="42">
        <v>2.2000000000000002</v>
      </c>
      <c r="G69" s="45">
        <v>424</v>
      </c>
      <c r="H69" s="22">
        <v>1.8</v>
      </c>
      <c r="I69" s="6">
        <f t="shared" si="5"/>
        <v>1091.3760000000002</v>
      </c>
      <c r="J69" s="6" t="s">
        <v>1301</v>
      </c>
      <c r="K69" s="17">
        <f t="shared" si="6"/>
        <v>3</v>
      </c>
    </row>
    <row r="70" spans="1:11" ht="13.95" customHeight="1" x14ac:dyDescent="0.3">
      <c r="A70" s="3">
        <v>45726</v>
      </c>
      <c r="B70" s="3" t="s">
        <v>1394</v>
      </c>
      <c r="C70" s="3" t="s">
        <v>18</v>
      </c>
      <c r="D70" s="3" t="s">
        <v>76</v>
      </c>
      <c r="E70" s="4">
        <v>0.35</v>
      </c>
      <c r="F70" s="42">
        <v>1.85</v>
      </c>
      <c r="G70" s="45">
        <v>424</v>
      </c>
      <c r="H70" s="22">
        <v>1.8</v>
      </c>
      <c r="I70" s="6">
        <f t="shared" si="5"/>
        <v>494.17199999999997</v>
      </c>
      <c r="J70" s="6" t="s">
        <v>150</v>
      </c>
      <c r="K70" s="17">
        <f t="shared" si="6"/>
        <v>3</v>
      </c>
    </row>
    <row r="71" spans="1:11" ht="13.95" customHeight="1" x14ac:dyDescent="0.3">
      <c r="A71" s="3">
        <v>45727</v>
      </c>
      <c r="B71" s="3" t="s">
        <v>1394</v>
      </c>
      <c r="C71" s="3" t="s">
        <v>20</v>
      </c>
      <c r="D71" s="3" t="s">
        <v>76</v>
      </c>
      <c r="E71" s="4">
        <v>0.32</v>
      </c>
      <c r="F71" s="42">
        <v>1.8</v>
      </c>
      <c r="G71" s="45">
        <v>424</v>
      </c>
      <c r="H71" s="22">
        <v>1.8</v>
      </c>
      <c r="I71" s="6">
        <f t="shared" si="5"/>
        <v>439.60320000000002</v>
      </c>
      <c r="J71" s="6" t="s">
        <v>150</v>
      </c>
      <c r="K71" s="17">
        <f t="shared" si="6"/>
        <v>3</v>
      </c>
    </row>
    <row r="72" spans="1:11" ht="13.95" customHeight="1" x14ac:dyDescent="0.3">
      <c r="A72" s="3">
        <v>45728</v>
      </c>
      <c r="B72" s="3" t="s">
        <v>1394</v>
      </c>
      <c r="C72" s="3" t="s">
        <v>5</v>
      </c>
      <c r="D72" s="3" t="s">
        <v>76</v>
      </c>
      <c r="E72" s="4">
        <v>0.3</v>
      </c>
      <c r="F72" s="42">
        <v>1.8</v>
      </c>
      <c r="G72" s="45">
        <v>424</v>
      </c>
      <c r="H72" s="22">
        <v>1.8</v>
      </c>
      <c r="I72" s="6">
        <f t="shared" si="5"/>
        <v>412.12799999999999</v>
      </c>
      <c r="J72" s="6" t="s">
        <v>150</v>
      </c>
      <c r="K72" s="17">
        <f t="shared" si="6"/>
        <v>3</v>
      </c>
    </row>
    <row r="73" spans="1:11" ht="13.95" customHeight="1" x14ac:dyDescent="0.3">
      <c r="A73" s="3">
        <v>45729</v>
      </c>
      <c r="B73" s="3" t="s">
        <v>1394</v>
      </c>
      <c r="C73" s="3" t="s">
        <v>8</v>
      </c>
      <c r="D73" s="3" t="s">
        <v>76</v>
      </c>
      <c r="E73" s="4">
        <v>0.35</v>
      </c>
      <c r="F73" s="42">
        <v>1.85</v>
      </c>
      <c r="G73" s="45">
        <v>424</v>
      </c>
      <c r="H73" s="22">
        <v>1.8</v>
      </c>
      <c r="I73" s="6">
        <f t="shared" si="5"/>
        <v>494.17199999999997</v>
      </c>
      <c r="J73" s="6" t="s">
        <v>150</v>
      </c>
      <c r="K73" s="17">
        <f t="shared" si="6"/>
        <v>3</v>
      </c>
    </row>
    <row r="74" spans="1:11" ht="13.95" customHeight="1" x14ac:dyDescent="0.3">
      <c r="A74" s="3">
        <v>45730</v>
      </c>
      <c r="B74" s="3" t="s">
        <v>1394</v>
      </c>
      <c r="C74" s="3" t="s">
        <v>11</v>
      </c>
      <c r="D74" s="3" t="s">
        <v>76</v>
      </c>
      <c r="E74" s="4">
        <v>0.55000000000000004</v>
      </c>
      <c r="F74" s="42">
        <v>2.15</v>
      </c>
      <c r="G74" s="45">
        <v>424</v>
      </c>
      <c r="H74" s="22">
        <v>1.8</v>
      </c>
      <c r="I74" s="6">
        <f t="shared" si="5"/>
        <v>902.48400000000004</v>
      </c>
      <c r="J74" s="6" t="s">
        <v>1302</v>
      </c>
      <c r="K74" s="17">
        <f t="shared" si="6"/>
        <v>3</v>
      </c>
    </row>
    <row r="75" spans="1:11" ht="13.95" customHeight="1" x14ac:dyDescent="0.3">
      <c r="A75" s="3">
        <v>45731</v>
      </c>
      <c r="B75" s="3" t="s">
        <v>1394</v>
      </c>
      <c r="C75" s="3" t="s">
        <v>13</v>
      </c>
      <c r="D75" s="3" t="s">
        <v>76</v>
      </c>
      <c r="E75" s="4">
        <v>0.65</v>
      </c>
      <c r="F75" s="42">
        <v>2.2999999999999998</v>
      </c>
      <c r="G75" s="45">
        <v>424</v>
      </c>
      <c r="H75" s="22">
        <v>1.8</v>
      </c>
      <c r="I75" s="6">
        <f t="shared" si="5"/>
        <v>1140.9839999999999</v>
      </c>
      <c r="J75" s="6" t="s">
        <v>1303</v>
      </c>
      <c r="K75" s="17">
        <f t="shared" si="6"/>
        <v>3</v>
      </c>
    </row>
    <row r="76" spans="1:11" ht="13.95" customHeight="1" x14ac:dyDescent="0.3">
      <c r="A76" s="3">
        <v>45732</v>
      </c>
      <c r="B76" s="3" t="s">
        <v>1394</v>
      </c>
      <c r="C76" s="3" t="s">
        <v>16</v>
      </c>
      <c r="D76" s="3" t="s">
        <v>76</v>
      </c>
      <c r="E76" s="4">
        <v>0.6</v>
      </c>
      <c r="F76" s="42">
        <v>2.2000000000000002</v>
      </c>
      <c r="G76" s="45">
        <v>424</v>
      </c>
      <c r="H76" s="22">
        <v>1.8</v>
      </c>
      <c r="I76" s="6">
        <f t="shared" si="5"/>
        <v>1007.424</v>
      </c>
      <c r="J76" s="6" t="s">
        <v>1304</v>
      </c>
      <c r="K76" s="17">
        <f t="shared" si="6"/>
        <v>3</v>
      </c>
    </row>
    <row r="77" spans="1:11" ht="13.95" customHeight="1" x14ac:dyDescent="0.3">
      <c r="A77" s="3">
        <v>45733</v>
      </c>
      <c r="B77" s="3" t="s">
        <v>1394</v>
      </c>
      <c r="C77" s="3" t="s">
        <v>18</v>
      </c>
      <c r="D77" s="3" t="s">
        <v>76</v>
      </c>
      <c r="E77" s="4">
        <v>0.3</v>
      </c>
      <c r="F77" s="42">
        <v>1.8</v>
      </c>
      <c r="G77" s="45">
        <v>424</v>
      </c>
      <c r="H77" s="22">
        <v>1.8</v>
      </c>
      <c r="I77" s="6">
        <f t="shared" si="5"/>
        <v>412.12799999999999</v>
      </c>
      <c r="J77" s="6" t="s">
        <v>150</v>
      </c>
      <c r="K77" s="17">
        <f t="shared" si="6"/>
        <v>3</v>
      </c>
    </row>
    <row r="78" spans="1:11" ht="13.95" customHeight="1" x14ac:dyDescent="0.3">
      <c r="A78" s="3">
        <v>45734</v>
      </c>
      <c r="B78" s="3" t="s">
        <v>1394</v>
      </c>
      <c r="C78" s="3" t="s">
        <v>20</v>
      </c>
      <c r="D78" s="3" t="s">
        <v>76</v>
      </c>
      <c r="E78" s="4">
        <v>0.32</v>
      </c>
      <c r="F78" s="42">
        <v>1.8</v>
      </c>
      <c r="G78" s="45">
        <v>424</v>
      </c>
      <c r="H78" s="22">
        <v>1.8</v>
      </c>
      <c r="I78" s="6">
        <f t="shared" si="5"/>
        <v>439.60320000000002</v>
      </c>
      <c r="J78" s="6" t="s">
        <v>150</v>
      </c>
      <c r="K78" s="17">
        <f t="shared" si="6"/>
        <v>3</v>
      </c>
    </row>
    <row r="79" spans="1:11" ht="13.95" customHeight="1" x14ac:dyDescent="0.3">
      <c r="A79" s="3">
        <v>45735</v>
      </c>
      <c r="B79" s="3" t="s">
        <v>1394</v>
      </c>
      <c r="C79" s="3" t="s">
        <v>5</v>
      </c>
      <c r="D79" s="3" t="s">
        <v>994</v>
      </c>
      <c r="E79" s="4">
        <v>0.45</v>
      </c>
      <c r="F79" s="42">
        <v>2.1</v>
      </c>
      <c r="G79" s="45">
        <v>424</v>
      </c>
      <c r="H79" s="22">
        <v>1.8</v>
      </c>
      <c r="I79" s="6">
        <f t="shared" si="5"/>
        <v>721.22400000000016</v>
      </c>
      <c r="J79" s="6" t="s">
        <v>1305</v>
      </c>
      <c r="K79" s="17">
        <f t="shared" si="6"/>
        <v>3</v>
      </c>
    </row>
    <row r="80" spans="1:11" ht="13.95" customHeight="1" x14ac:dyDescent="0.3">
      <c r="A80" s="3">
        <v>45736</v>
      </c>
      <c r="B80" s="3" t="s">
        <v>1394</v>
      </c>
      <c r="C80" s="3" t="s">
        <v>8</v>
      </c>
      <c r="D80" s="3" t="s">
        <v>383</v>
      </c>
      <c r="E80" s="4">
        <v>0.75</v>
      </c>
      <c r="F80" s="42">
        <v>2.4</v>
      </c>
      <c r="G80" s="45">
        <v>424</v>
      </c>
      <c r="H80" s="22">
        <v>1.8</v>
      </c>
      <c r="I80" s="6">
        <f t="shared" si="5"/>
        <v>1373.76</v>
      </c>
      <c r="J80" s="6" t="s">
        <v>1306</v>
      </c>
      <c r="K80" s="17">
        <f t="shared" si="6"/>
        <v>3</v>
      </c>
    </row>
    <row r="81" spans="1:11" ht="13.95" customHeight="1" x14ac:dyDescent="0.3">
      <c r="A81" s="3">
        <v>45737</v>
      </c>
      <c r="B81" s="3" t="s">
        <v>1394</v>
      </c>
      <c r="C81" s="3" t="s">
        <v>11</v>
      </c>
      <c r="D81" s="3" t="s">
        <v>76</v>
      </c>
      <c r="E81" s="4">
        <v>0.6</v>
      </c>
      <c r="F81" s="42">
        <v>2.2000000000000002</v>
      </c>
      <c r="G81" s="45">
        <v>424</v>
      </c>
      <c r="H81" s="22">
        <v>1.8</v>
      </c>
      <c r="I81" s="6">
        <f t="shared" si="5"/>
        <v>1007.424</v>
      </c>
      <c r="J81" s="6" t="s">
        <v>97</v>
      </c>
      <c r="K81" s="17">
        <f t="shared" si="6"/>
        <v>3</v>
      </c>
    </row>
    <row r="82" spans="1:11" ht="13.95" customHeight="1" x14ac:dyDescent="0.3">
      <c r="A82" s="3">
        <v>45738</v>
      </c>
      <c r="B82" s="3" t="s">
        <v>1394</v>
      </c>
      <c r="C82" s="3" t="s">
        <v>13</v>
      </c>
      <c r="D82" s="3" t="s">
        <v>76</v>
      </c>
      <c r="E82" s="4">
        <v>0.7</v>
      </c>
      <c r="F82" s="42">
        <v>2.4</v>
      </c>
      <c r="G82" s="45">
        <v>424</v>
      </c>
      <c r="H82" s="22">
        <v>1.8</v>
      </c>
      <c r="I82" s="6">
        <f t="shared" si="5"/>
        <v>1282.1759999999997</v>
      </c>
      <c r="J82" s="6" t="s">
        <v>1307</v>
      </c>
      <c r="K82" s="17">
        <f t="shared" si="6"/>
        <v>3</v>
      </c>
    </row>
    <row r="83" spans="1:11" ht="13.95" customHeight="1" x14ac:dyDescent="0.3">
      <c r="A83" s="3">
        <v>45739</v>
      </c>
      <c r="B83" s="3" t="s">
        <v>1394</v>
      </c>
      <c r="C83" s="3" t="s">
        <v>16</v>
      </c>
      <c r="D83" s="3" t="s">
        <v>76</v>
      </c>
      <c r="E83" s="4">
        <v>0.65</v>
      </c>
      <c r="F83" s="42">
        <v>2.25</v>
      </c>
      <c r="G83" s="45">
        <v>424</v>
      </c>
      <c r="H83" s="22">
        <v>1.8</v>
      </c>
      <c r="I83" s="6">
        <f t="shared" si="5"/>
        <v>1116.18</v>
      </c>
      <c r="J83" s="6" t="s">
        <v>1308</v>
      </c>
      <c r="K83" s="17">
        <f t="shared" si="6"/>
        <v>3</v>
      </c>
    </row>
    <row r="84" spans="1:11" ht="13.95" customHeight="1" x14ac:dyDescent="0.3">
      <c r="A84" s="3">
        <v>45740</v>
      </c>
      <c r="B84" s="3" t="s">
        <v>1394</v>
      </c>
      <c r="C84" s="3" t="s">
        <v>18</v>
      </c>
      <c r="D84" s="3" t="s">
        <v>76</v>
      </c>
      <c r="E84" s="4">
        <v>0.35</v>
      </c>
      <c r="F84" s="42">
        <v>1.8</v>
      </c>
      <c r="G84" s="45">
        <v>424</v>
      </c>
      <c r="H84" s="22">
        <v>1.8</v>
      </c>
      <c r="I84" s="6">
        <f t="shared" si="5"/>
        <v>480.81599999999992</v>
      </c>
      <c r="J84" s="6" t="s">
        <v>150</v>
      </c>
      <c r="K84" s="17">
        <f t="shared" si="6"/>
        <v>3</v>
      </c>
    </row>
    <row r="85" spans="1:11" ht="13.95" customHeight="1" x14ac:dyDescent="0.3">
      <c r="A85" s="3">
        <v>45741</v>
      </c>
      <c r="B85" s="3" t="s">
        <v>1394</v>
      </c>
      <c r="C85" s="3" t="s">
        <v>20</v>
      </c>
      <c r="D85" s="3" t="s">
        <v>76</v>
      </c>
      <c r="E85" s="4">
        <v>0.32</v>
      </c>
      <c r="F85" s="42">
        <v>1.8</v>
      </c>
      <c r="G85" s="45">
        <v>424</v>
      </c>
      <c r="H85" s="22">
        <v>1.8</v>
      </c>
      <c r="I85" s="6">
        <f t="shared" si="5"/>
        <v>439.60320000000002</v>
      </c>
      <c r="J85" s="6" t="s">
        <v>150</v>
      </c>
      <c r="K85" s="17">
        <f t="shared" si="6"/>
        <v>3</v>
      </c>
    </row>
    <row r="86" spans="1:11" ht="13.95" customHeight="1" x14ac:dyDescent="0.3">
      <c r="A86" s="3">
        <v>45742</v>
      </c>
      <c r="B86" s="3" t="s">
        <v>1394</v>
      </c>
      <c r="C86" s="3" t="s">
        <v>5</v>
      </c>
      <c r="D86" s="3" t="s">
        <v>76</v>
      </c>
      <c r="E86" s="4">
        <v>0.3</v>
      </c>
      <c r="F86" s="42">
        <v>1.8</v>
      </c>
      <c r="G86" s="45">
        <v>424</v>
      </c>
      <c r="H86" s="22">
        <v>1.8</v>
      </c>
      <c r="I86" s="6">
        <f t="shared" si="5"/>
        <v>412.12799999999999</v>
      </c>
      <c r="J86" s="6" t="s">
        <v>150</v>
      </c>
      <c r="K86" s="17">
        <f t="shared" si="6"/>
        <v>3</v>
      </c>
    </row>
    <row r="87" spans="1:11" ht="13.95" customHeight="1" x14ac:dyDescent="0.3">
      <c r="A87" s="3">
        <v>45743</v>
      </c>
      <c r="B87" s="3" t="s">
        <v>1394</v>
      </c>
      <c r="C87" s="3" t="s">
        <v>8</v>
      </c>
      <c r="D87" s="3" t="s">
        <v>76</v>
      </c>
      <c r="E87" s="4">
        <v>0.4</v>
      </c>
      <c r="F87" s="42">
        <v>1.9</v>
      </c>
      <c r="G87" s="45">
        <v>424</v>
      </c>
      <c r="H87" s="22">
        <v>1.8</v>
      </c>
      <c r="I87" s="6">
        <f t="shared" si="5"/>
        <v>580.03200000000004</v>
      </c>
      <c r="J87" s="6" t="s">
        <v>1309</v>
      </c>
      <c r="K87" s="17">
        <f t="shared" si="6"/>
        <v>3</v>
      </c>
    </row>
    <row r="88" spans="1:11" ht="13.95" customHeight="1" x14ac:dyDescent="0.3">
      <c r="A88" s="3">
        <v>45744</v>
      </c>
      <c r="B88" s="3" t="s">
        <v>1394</v>
      </c>
      <c r="C88" s="3" t="s">
        <v>11</v>
      </c>
      <c r="D88" s="3" t="s">
        <v>1310</v>
      </c>
      <c r="E88" s="4">
        <v>0.6</v>
      </c>
      <c r="F88" s="42">
        <v>2.5</v>
      </c>
      <c r="G88" s="45">
        <v>424</v>
      </c>
      <c r="H88" s="22">
        <v>1.8</v>
      </c>
      <c r="I88" s="6">
        <f t="shared" si="5"/>
        <v>1144.8</v>
      </c>
      <c r="J88" s="6" t="s">
        <v>1311</v>
      </c>
      <c r="K88" s="17">
        <f t="shared" si="6"/>
        <v>3</v>
      </c>
    </row>
    <row r="89" spans="1:11" ht="13.95" customHeight="1" x14ac:dyDescent="0.3">
      <c r="A89" s="3">
        <v>45745</v>
      </c>
      <c r="B89" s="3" t="s">
        <v>1394</v>
      </c>
      <c r="C89" s="3" t="s">
        <v>13</v>
      </c>
      <c r="D89" s="3" t="s">
        <v>904</v>
      </c>
      <c r="E89" s="4">
        <v>0.8</v>
      </c>
      <c r="F89" s="42">
        <v>2.6</v>
      </c>
      <c r="G89" s="45">
        <v>424</v>
      </c>
      <c r="H89" s="22">
        <v>1.8</v>
      </c>
      <c r="I89" s="6">
        <f t="shared" si="5"/>
        <v>1587.4560000000004</v>
      </c>
      <c r="J89" s="6" t="s">
        <v>1312</v>
      </c>
      <c r="K89" s="17">
        <f t="shared" si="6"/>
        <v>3</v>
      </c>
    </row>
    <row r="90" spans="1:11" ht="13.95" customHeight="1" x14ac:dyDescent="0.3">
      <c r="A90" s="3">
        <v>45746</v>
      </c>
      <c r="B90" s="3" t="s">
        <v>1394</v>
      </c>
      <c r="C90" s="3" t="s">
        <v>16</v>
      </c>
      <c r="D90" s="3" t="s">
        <v>574</v>
      </c>
      <c r="E90" s="4">
        <v>0.95</v>
      </c>
      <c r="F90" s="42">
        <v>2.8</v>
      </c>
      <c r="G90" s="45">
        <v>424</v>
      </c>
      <c r="H90" s="22">
        <v>1.8</v>
      </c>
      <c r="I90" s="6">
        <f t="shared" si="5"/>
        <v>2030.1119999999994</v>
      </c>
      <c r="J90" s="6" t="s">
        <v>1313</v>
      </c>
      <c r="K90" s="17">
        <f t="shared" si="6"/>
        <v>3</v>
      </c>
    </row>
    <row r="91" spans="1:11" ht="13.95" customHeight="1" x14ac:dyDescent="0.3">
      <c r="A91" s="3">
        <v>45747</v>
      </c>
      <c r="B91" s="3" t="s">
        <v>1394</v>
      </c>
      <c r="C91" s="3" t="s">
        <v>18</v>
      </c>
      <c r="D91" s="3" t="s">
        <v>574</v>
      </c>
      <c r="E91" s="4">
        <v>0.9</v>
      </c>
      <c r="F91" s="42">
        <v>2.5</v>
      </c>
      <c r="G91" s="45">
        <v>424</v>
      </c>
      <c r="H91" s="22">
        <v>1.8</v>
      </c>
      <c r="I91" s="6">
        <f t="shared" si="5"/>
        <v>1717.2</v>
      </c>
      <c r="J91" s="6" t="s">
        <v>530</v>
      </c>
      <c r="K91" s="17">
        <f t="shared" si="6"/>
        <v>3</v>
      </c>
    </row>
    <row r="92" spans="1:11" ht="13.95" customHeight="1" x14ac:dyDescent="0.3">
      <c r="A92" s="3">
        <v>45748</v>
      </c>
      <c r="B92" s="3" t="s">
        <v>1394</v>
      </c>
      <c r="C92" s="3" t="s">
        <v>20</v>
      </c>
      <c r="D92" s="3" t="s">
        <v>1314</v>
      </c>
      <c r="E92" s="4">
        <v>0.7</v>
      </c>
      <c r="F92" s="42">
        <v>1.9</v>
      </c>
      <c r="G92" s="45">
        <v>424</v>
      </c>
      <c r="H92" s="22">
        <v>1.8</v>
      </c>
      <c r="I92" s="6">
        <f t="shared" si="5"/>
        <v>1015.0559999999997</v>
      </c>
      <c r="J92" s="6" t="s">
        <v>111</v>
      </c>
      <c r="K92" s="17">
        <f t="shared" si="6"/>
        <v>4</v>
      </c>
    </row>
    <row r="93" spans="1:11" ht="13.95" customHeight="1" x14ac:dyDescent="0.3">
      <c r="A93" s="3">
        <v>45749</v>
      </c>
      <c r="B93" s="3" t="s">
        <v>1394</v>
      </c>
      <c r="C93" s="3" t="s">
        <v>5</v>
      </c>
      <c r="D93" s="3" t="s">
        <v>1259</v>
      </c>
      <c r="E93" s="4">
        <v>0.45</v>
      </c>
      <c r="F93" s="42">
        <v>1.75</v>
      </c>
      <c r="G93" s="45">
        <v>424</v>
      </c>
      <c r="H93" s="22">
        <v>1.8</v>
      </c>
      <c r="I93" s="6">
        <f t="shared" si="5"/>
        <v>601.0200000000001</v>
      </c>
      <c r="J93" s="6" t="s">
        <v>70</v>
      </c>
      <c r="K93" s="17">
        <f t="shared" si="6"/>
        <v>4</v>
      </c>
    </row>
    <row r="94" spans="1:11" ht="13.95" customHeight="1" x14ac:dyDescent="0.3">
      <c r="A94" s="3">
        <v>45750</v>
      </c>
      <c r="B94" s="3" t="s">
        <v>1394</v>
      </c>
      <c r="C94" s="3" t="s">
        <v>8</v>
      </c>
      <c r="D94" s="3" t="s">
        <v>1259</v>
      </c>
      <c r="E94" s="4">
        <v>0.4</v>
      </c>
      <c r="F94" s="42">
        <v>1.7</v>
      </c>
      <c r="G94" s="45">
        <v>424</v>
      </c>
      <c r="H94" s="22">
        <v>1.8</v>
      </c>
      <c r="I94" s="6">
        <f t="shared" si="5"/>
        <v>518.97600000000011</v>
      </c>
      <c r="J94" s="6" t="s">
        <v>150</v>
      </c>
      <c r="K94" s="17">
        <f t="shared" si="6"/>
        <v>4</v>
      </c>
    </row>
    <row r="95" spans="1:11" ht="13.95" customHeight="1" x14ac:dyDescent="0.3">
      <c r="A95" s="3">
        <v>45751</v>
      </c>
      <c r="B95" s="3" t="s">
        <v>1394</v>
      </c>
      <c r="C95" s="3" t="s">
        <v>11</v>
      </c>
      <c r="D95" s="3" t="s">
        <v>14</v>
      </c>
      <c r="E95" s="4">
        <v>0.55000000000000004</v>
      </c>
      <c r="F95" s="42">
        <v>1.95</v>
      </c>
      <c r="G95" s="45">
        <v>424</v>
      </c>
      <c r="H95" s="22">
        <v>1.8</v>
      </c>
      <c r="I95" s="6">
        <f t="shared" si="5"/>
        <v>818.53200000000004</v>
      </c>
      <c r="J95" s="6" t="s">
        <v>124</v>
      </c>
      <c r="K95" s="17">
        <f t="shared" si="6"/>
        <v>4</v>
      </c>
    </row>
    <row r="96" spans="1:11" ht="13.95" customHeight="1" x14ac:dyDescent="0.3">
      <c r="A96" s="3">
        <v>45752</v>
      </c>
      <c r="B96" s="3" t="s">
        <v>1394</v>
      </c>
      <c r="C96" s="3" t="s">
        <v>13</v>
      </c>
      <c r="D96" s="3" t="s">
        <v>14</v>
      </c>
      <c r="E96" s="4">
        <v>0.6</v>
      </c>
      <c r="F96" s="42">
        <v>2.1</v>
      </c>
      <c r="G96" s="45">
        <v>424</v>
      </c>
      <c r="H96" s="22">
        <v>1.8</v>
      </c>
      <c r="I96" s="6">
        <f t="shared" ref="I96:I159" si="7">(G96*E96)*F96*H96</f>
        <v>961.63200000000006</v>
      </c>
      <c r="J96" s="6" t="s">
        <v>1315</v>
      </c>
      <c r="K96" s="17">
        <f t="shared" si="6"/>
        <v>4</v>
      </c>
    </row>
    <row r="97" spans="1:11" ht="13.95" customHeight="1" x14ac:dyDescent="0.3">
      <c r="A97" s="3">
        <v>45753</v>
      </c>
      <c r="B97" s="3" t="s">
        <v>1394</v>
      </c>
      <c r="C97" s="3" t="s">
        <v>16</v>
      </c>
      <c r="D97" s="3" t="s">
        <v>14</v>
      </c>
      <c r="E97" s="4">
        <v>0.5</v>
      </c>
      <c r="F97" s="42">
        <v>2</v>
      </c>
      <c r="G97" s="45">
        <v>424</v>
      </c>
      <c r="H97" s="22">
        <v>1.8</v>
      </c>
      <c r="I97" s="6">
        <f t="shared" si="7"/>
        <v>763.2</v>
      </c>
      <c r="J97" s="6" t="s">
        <v>1282</v>
      </c>
      <c r="K97" s="17">
        <f t="shared" si="6"/>
        <v>4</v>
      </c>
    </row>
    <row r="98" spans="1:11" ht="13.95" customHeight="1" x14ac:dyDescent="0.3">
      <c r="A98" s="3">
        <v>45754</v>
      </c>
      <c r="B98" s="3" t="s">
        <v>1394</v>
      </c>
      <c r="C98" s="3" t="s">
        <v>18</v>
      </c>
      <c r="D98" s="3" t="s">
        <v>1316</v>
      </c>
      <c r="E98" s="4">
        <v>0.45</v>
      </c>
      <c r="F98" s="42">
        <v>1.8</v>
      </c>
      <c r="G98" s="45">
        <v>424</v>
      </c>
      <c r="H98" s="22">
        <v>1.8</v>
      </c>
      <c r="I98" s="6">
        <f t="shared" si="7"/>
        <v>618.19200000000012</v>
      </c>
      <c r="J98" s="6" t="s">
        <v>258</v>
      </c>
      <c r="K98" s="17">
        <f t="shared" si="6"/>
        <v>4</v>
      </c>
    </row>
    <row r="99" spans="1:11" ht="13.95" customHeight="1" x14ac:dyDescent="0.3">
      <c r="A99" s="3">
        <v>45755</v>
      </c>
      <c r="B99" s="3" t="s">
        <v>1394</v>
      </c>
      <c r="C99" s="3" t="s">
        <v>20</v>
      </c>
      <c r="D99" s="3" t="s">
        <v>1316</v>
      </c>
      <c r="E99" s="4">
        <v>0.48</v>
      </c>
      <c r="F99" s="42">
        <v>1.8</v>
      </c>
      <c r="G99" s="45">
        <v>424</v>
      </c>
      <c r="H99" s="22">
        <v>1.8</v>
      </c>
      <c r="I99" s="6">
        <f t="shared" si="7"/>
        <v>659.40479999999991</v>
      </c>
      <c r="J99" s="6" t="s">
        <v>71</v>
      </c>
      <c r="K99" s="17">
        <f t="shared" si="6"/>
        <v>4</v>
      </c>
    </row>
    <row r="100" spans="1:11" ht="13.95" customHeight="1" x14ac:dyDescent="0.3">
      <c r="A100" s="3">
        <v>45756</v>
      </c>
      <c r="B100" s="3" t="s">
        <v>1394</v>
      </c>
      <c r="C100" s="3" t="s">
        <v>5</v>
      </c>
      <c r="D100" s="3" t="s">
        <v>1112</v>
      </c>
      <c r="E100" s="4">
        <v>0.7</v>
      </c>
      <c r="F100" s="42">
        <v>2.2000000000000002</v>
      </c>
      <c r="G100" s="45">
        <v>424</v>
      </c>
      <c r="H100" s="22">
        <v>1.8</v>
      </c>
      <c r="I100" s="6">
        <f t="shared" si="7"/>
        <v>1175.328</v>
      </c>
      <c r="J100" s="6" t="s">
        <v>1317</v>
      </c>
      <c r="K100" s="17">
        <f t="shared" si="6"/>
        <v>4</v>
      </c>
    </row>
    <row r="101" spans="1:11" ht="13.95" customHeight="1" x14ac:dyDescent="0.3">
      <c r="A101" s="3">
        <v>45757</v>
      </c>
      <c r="B101" s="3" t="s">
        <v>1394</v>
      </c>
      <c r="C101" s="3" t="s">
        <v>8</v>
      </c>
      <c r="D101" s="3" t="s">
        <v>1259</v>
      </c>
      <c r="E101" s="4">
        <v>0.45</v>
      </c>
      <c r="F101" s="42">
        <v>1.75</v>
      </c>
      <c r="G101" s="45">
        <v>424</v>
      </c>
      <c r="H101" s="22">
        <v>1.8</v>
      </c>
      <c r="I101" s="6">
        <f t="shared" si="7"/>
        <v>601.0200000000001</v>
      </c>
      <c r="J101" s="6" t="s">
        <v>726</v>
      </c>
      <c r="K101" s="17">
        <f t="shared" si="6"/>
        <v>4</v>
      </c>
    </row>
    <row r="102" spans="1:11" ht="13.95" customHeight="1" x14ac:dyDescent="0.3">
      <c r="A102" s="3">
        <v>45758</v>
      </c>
      <c r="B102" s="3" t="s">
        <v>1394</v>
      </c>
      <c r="C102" s="3" t="s">
        <v>11</v>
      </c>
      <c r="D102" s="3" t="s">
        <v>14</v>
      </c>
      <c r="E102" s="4">
        <v>0.55000000000000004</v>
      </c>
      <c r="F102" s="42">
        <v>1.95</v>
      </c>
      <c r="G102" s="45">
        <v>424</v>
      </c>
      <c r="H102" s="22">
        <v>1.8</v>
      </c>
      <c r="I102" s="6">
        <f t="shared" si="7"/>
        <v>818.53200000000004</v>
      </c>
      <c r="J102" s="6" t="s">
        <v>97</v>
      </c>
      <c r="K102" s="17">
        <f t="shared" si="6"/>
        <v>4</v>
      </c>
    </row>
    <row r="103" spans="1:11" ht="13.95" customHeight="1" x14ac:dyDescent="0.3">
      <c r="A103" s="3">
        <v>45759</v>
      </c>
      <c r="B103" s="3" t="s">
        <v>1394</v>
      </c>
      <c r="C103" s="3" t="s">
        <v>13</v>
      </c>
      <c r="D103" s="3" t="s">
        <v>14</v>
      </c>
      <c r="E103" s="4">
        <v>0.65</v>
      </c>
      <c r="F103" s="42">
        <v>2.15</v>
      </c>
      <c r="G103" s="45">
        <v>424</v>
      </c>
      <c r="H103" s="22">
        <v>1.8</v>
      </c>
      <c r="I103" s="6">
        <f t="shared" si="7"/>
        <v>1066.5720000000001</v>
      </c>
      <c r="J103" s="6" t="s">
        <v>1318</v>
      </c>
      <c r="K103" s="17">
        <f t="shared" si="6"/>
        <v>4</v>
      </c>
    </row>
    <row r="104" spans="1:11" ht="13.95" customHeight="1" x14ac:dyDescent="0.3">
      <c r="A104" s="3">
        <v>45760</v>
      </c>
      <c r="B104" s="3" t="s">
        <v>1394</v>
      </c>
      <c r="C104" s="3" t="s">
        <v>16</v>
      </c>
      <c r="D104" s="3" t="s">
        <v>14</v>
      </c>
      <c r="E104" s="4">
        <v>0.6</v>
      </c>
      <c r="F104" s="42">
        <v>2.1</v>
      </c>
      <c r="G104" s="45">
        <v>424</v>
      </c>
      <c r="H104" s="22">
        <v>1.8</v>
      </c>
      <c r="I104" s="6">
        <f t="shared" si="7"/>
        <v>961.63200000000006</v>
      </c>
      <c r="J104" s="6" t="s">
        <v>139</v>
      </c>
      <c r="K104" s="17">
        <f t="shared" si="6"/>
        <v>4</v>
      </c>
    </row>
    <row r="105" spans="1:11" ht="13.95" customHeight="1" x14ac:dyDescent="0.3">
      <c r="A105" s="3">
        <v>45761</v>
      </c>
      <c r="B105" s="3" t="s">
        <v>1394</v>
      </c>
      <c r="C105" s="3" t="s">
        <v>18</v>
      </c>
      <c r="D105" s="3" t="s">
        <v>1319</v>
      </c>
      <c r="E105" s="4">
        <v>0.65</v>
      </c>
      <c r="F105" s="42">
        <v>2</v>
      </c>
      <c r="G105" s="45">
        <v>424</v>
      </c>
      <c r="H105" s="22">
        <v>1.8</v>
      </c>
      <c r="I105" s="6">
        <f t="shared" si="7"/>
        <v>992.16000000000008</v>
      </c>
      <c r="J105" s="6" t="s">
        <v>1320</v>
      </c>
      <c r="K105" s="17">
        <f t="shared" si="6"/>
        <v>4</v>
      </c>
    </row>
    <row r="106" spans="1:11" ht="13.95" customHeight="1" x14ac:dyDescent="0.3">
      <c r="A106" s="3">
        <v>45762</v>
      </c>
      <c r="B106" s="3" t="s">
        <v>1394</v>
      </c>
      <c r="C106" s="3" t="s">
        <v>20</v>
      </c>
      <c r="D106" s="3" t="s">
        <v>1319</v>
      </c>
      <c r="E106" s="4">
        <v>0.7</v>
      </c>
      <c r="F106" s="42">
        <v>2.0499999999999998</v>
      </c>
      <c r="G106" s="45">
        <v>424</v>
      </c>
      <c r="H106" s="22">
        <v>1.8</v>
      </c>
      <c r="I106" s="6">
        <f t="shared" si="7"/>
        <v>1095.1919999999998</v>
      </c>
      <c r="J106" s="6" t="s">
        <v>609</v>
      </c>
      <c r="K106" s="17">
        <f t="shared" si="6"/>
        <v>4</v>
      </c>
    </row>
    <row r="107" spans="1:11" ht="13.95" customHeight="1" x14ac:dyDescent="0.3">
      <c r="A107" s="3">
        <v>45763</v>
      </c>
      <c r="B107" s="3" t="s">
        <v>1394</v>
      </c>
      <c r="C107" s="3" t="s">
        <v>5</v>
      </c>
      <c r="D107" s="3" t="s">
        <v>1319</v>
      </c>
      <c r="E107" s="4">
        <v>0.72</v>
      </c>
      <c r="F107" s="42">
        <v>2.0499999999999998</v>
      </c>
      <c r="G107" s="45">
        <v>424</v>
      </c>
      <c r="H107" s="22">
        <v>1.8</v>
      </c>
      <c r="I107" s="6">
        <f t="shared" si="7"/>
        <v>1126.4831999999997</v>
      </c>
      <c r="J107" s="6" t="s">
        <v>838</v>
      </c>
      <c r="K107" s="17">
        <f t="shared" si="6"/>
        <v>4</v>
      </c>
    </row>
    <row r="108" spans="1:11" ht="13.95" customHeight="1" x14ac:dyDescent="0.3">
      <c r="A108" s="3">
        <v>45764</v>
      </c>
      <c r="B108" s="3" t="s">
        <v>1394</v>
      </c>
      <c r="C108" s="3" t="s">
        <v>8</v>
      </c>
      <c r="D108" s="3" t="s">
        <v>1319</v>
      </c>
      <c r="E108" s="4">
        <v>0.75</v>
      </c>
      <c r="F108" s="42">
        <v>2.1</v>
      </c>
      <c r="G108" s="45">
        <v>424</v>
      </c>
      <c r="H108" s="22">
        <v>1.8</v>
      </c>
      <c r="I108" s="6">
        <f t="shared" si="7"/>
        <v>1202.0400000000002</v>
      </c>
      <c r="J108" s="6" t="s">
        <v>1321</v>
      </c>
      <c r="K108" s="17">
        <f t="shared" si="6"/>
        <v>4</v>
      </c>
    </row>
    <row r="109" spans="1:11" ht="13.95" customHeight="1" x14ac:dyDescent="0.3">
      <c r="A109" s="3">
        <v>45765</v>
      </c>
      <c r="B109" s="3" t="s">
        <v>1394</v>
      </c>
      <c r="C109" s="3" t="s">
        <v>11</v>
      </c>
      <c r="D109" s="3" t="s">
        <v>1118</v>
      </c>
      <c r="E109" s="4">
        <v>0.85</v>
      </c>
      <c r="F109" s="42">
        <v>2.2000000000000002</v>
      </c>
      <c r="G109" s="45">
        <v>424</v>
      </c>
      <c r="H109" s="22">
        <v>1.8</v>
      </c>
      <c r="I109" s="6">
        <f t="shared" si="7"/>
        <v>1427.184</v>
      </c>
      <c r="J109" s="6" t="s">
        <v>531</v>
      </c>
      <c r="K109" s="17">
        <f t="shared" si="6"/>
        <v>4</v>
      </c>
    </row>
    <row r="110" spans="1:11" ht="13.95" customHeight="1" x14ac:dyDescent="0.3">
      <c r="A110" s="3">
        <v>45766</v>
      </c>
      <c r="B110" s="3" t="s">
        <v>1394</v>
      </c>
      <c r="C110" s="3" t="s">
        <v>13</v>
      </c>
      <c r="D110" s="3" t="s">
        <v>1322</v>
      </c>
      <c r="E110" s="4">
        <v>0.9</v>
      </c>
      <c r="F110" s="42">
        <v>2.4</v>
      </c>
      <c r="G110" s="45">
        <v>424</v>
      </c>
      <c r="H110" s="22">
        <v>1.8</v>
      </c>
      <c r="I110" s="6">
        <f t="shared" si="7"/>
        <v>1648.5120000000002</v>
      </c>
      <c r="J110" s="6" t="s">
        <v>1323</v>
      </c>
      <c r="K110" s="17">
        <f t="shared" si="6"/>
        <v>4</v>
      </c>
    </row>
    <row r="111" spans="1:11" ht="13.95" customHeight="1" x14ac:dyDescent="0.3">
      <c r="A111" s="3">
        <v>45767</v>
      </c>
      <c r="B111" s="3" t="s">
        <v>1394</v>
      </c>
      <c r="C111" s="3" t="s">
        <v>16</v>
      </c>
      <c r="D111" s="3" t="s">
        <v>905</v>
      </c>
      <c r="E111" s="4">
        <v>0.95</v>
      </c>
      <c r="F111" s="42">
        <v>2.8</v>
      </c>
      <c r="G111" s="45">
        <v>424</v>
      </c>
      <c r="H111" s="22">
        <v>1.8</v>
      </c>
      <c r="I111" s="6">
        <f t="shared" si="7"/>
        <v>2030.1119999999994</v>
      </c>
      <c r="J111" s="6" t="s">
        <v>1324</v>
      </c>
      <c r="K111" s="17">
        <f t="shared" si="6"/>
        <v>4</v>
      </c>
    </row>
    <row r="112" spans="1:11" ht="13.95" customHeight="1" x14ac:dyDescent="0.3">
      <c r="A112" s="3">
        <v>45768</v>
      </c>
      <c r="B112" s="3" t="s">
        <v>1394</v>
      </c>
      <c r="C112" s="3" t="s">
        <v>18</v>
      </c>
      <c r="D112" s="3" t="s">
        <v>1325</v>
      </c>
      <c r="E112" s="4">
        <v>0.8</v>
      </c>
      <c r="F112" s="42">
        <v>2.1</v>
      </c>
      <c r="G112" s="45">
        <v>424</v>
      </c>
      <c r="H112" s="22">
        <v>1.8</v>
      </c>
      <c r="I112" s="6">
        <f t="shared" si="7"/>
        <v>1282.1760000000004</v>
      </c>
      <c r="J112" s="6" t="s">
        <v>1326</v>
      </c>
      <c r="K112" s="17">
        <f t="shared" si="6"/>
        <v>4</v>
      </c>
    </row>
    <row r="113" spans="1:11" ht="13.95" customHeight="1" x14ac:dyDescent="0.3">
      <c r="A113" s="3">
        <v>45769</v>
      </c>
      <c r="B113" s="3" t="s">
        <v>1394</v>
      </c>
      <c r="C113" s="3" t="s">
        <v>20</v>
      </c>
      <c r="D113" s="3" t="s">
        <v>658</v>
      </c>
      <c r="E113" s="4">
        <v>0.6</v>
      </c>
      <c r="F113" s="42">
        <v>1.9</v>
      </c>
      <c r="G113" s="45">
        <v>424</v>
      </c>
      <c r="H113" s="22">
        <v>1.8</v>
      </c>
      <c r="I113" s="6">
        <f t="shared" si="7"/>
        <v>870.04799999999989</v>
      </c>
      <c r="J113" s="6" t="s">
        <v>70</v>
      </c>
      <c r="K113" s="17">
        <f t="shared" si="6"/>
        <v>4</v>
      </c>
    </row>
    <row r="114" spans="1:11" ht="13.95" customHeight="1" x14ac:dyDescent="0.3">
      <c r="A114" s="3">
        <v>45770</v>
      </c>
      <c r="B114" s="3" t="s">
        <v>1394</v>
      </c>
      <c r="C114" s="3" t="s">
        <v>5</v>
      </c>
      <c r="D114" s="3" t="s">
        <v>1259</v>
      </c>
      <c r="E114" s="4">
        <v>0.45</v>
      </c>
      <c r="F114" s="42">
        <v>1.75</v>
      </c>
      <c r="G114" s="45">
        <v>424</v>
      </c>
      <c r="H114" s="22">
        <v>1.8</v>
      </c>
      <c r="I114" s="6">
        <f t="shared" si="7"/>
        <v>601.0200000000001</v>
      </c>
      <c r="J114" s="6" t="s">
        <v>150</v>
      </c>
      <c r="K114" s="17">
        <f t="shared" si="6"/>
        <v>4</v>
      </c>
    </row>
    <row r="115" spans="1:11" ht="13.95" customHeight="1" x14ac:dyDescent="0.3">
      <c r="A115" s="3">
        <v>45771</v>
      </c>
      <c r="B115" s="3" t="s">
        <v>1394</v>
      </c>
      <c r="C115" s="3" t="s">
        <v>8</v>
      </c>
      <c r="D115" s="3" t="s">
        <v>1259</v>
      </c>
      <c r="E115" s="4">
        <v>0.42</v>
      </c>
      <c r="F115" s="42">
        <v>1.75</v>
      </c>
      <c r="G115" s="45">
        <v>424</v>
      </c>
      <c r="H115" s="22">
        <v>1.8</v>
      </c>
      <c r="I115" s="6">
        <f t="shared" si="7"/>
        <v>560.952</v>
      </c>
      <c r="J115" s="6" t="s">
        <v>150</v>
      </c>
      <c r="K115" s="17">
        <f t="shared" si="6"/>
        <v>4</v>
      </c>
    </row>
    <row r="116" spans="1:11" ht="13.95" customHeight="1" x14ac:dyDescent="0.3">
      <c r="A116" s="3">
        <v>45772</v>
      </c>
      <c r="B116" s="3" t="s">
        <v>1394</v>
      </c>
      <c r="C116" s="3" t="s">
        <v>11</v>
      </c>
      <c r="D116" s="3" t="s">
        <v>14</v>
      </c>
      <c r="E116" s="4">
        <v>0.55000000000000004</v>
      </c>
      <c r="F116" s="42">
        <v>1.95</v>
      </c>
      <c r="G116" s="45">
        <v>424</v>
      </c>
      <c r="H116" s="22">
        <v>1.8</v>
      </c>
      <c r="I116" s="6">
        <f t="shared" si="7"/>
        <v>818.53200000000004</v>
      </c>
      <c r="J116" s="6" t="s">
        <v>282</v>
      </c>
      <c r="K116" s="17">
        <f t="shared" si="6"/>
        <v>4</v>
      </c>
    </row>
    <row r="117" spans="1:11" ht="13.95" customHeight="1" x14ac:dyDescent="0.3">
      <c r="A117" s="3">
        <v>45773</v>
      </c>
      <c r="B117" s="3" t="s">
        <v>1394</v>
      </c>
      <c r="C117" s="3" t="s">
        <v>13</v>
      </c>
      <c r="D117" s="3" t="s">
        <v>14</v>
      </c>
      <c r="E117" s="4">
        <v>0.65</v>
      </c>
      <c r="F117" s="42">
        <v>2.15</v>
      </c>
      <c r="G117" s="45">
        <v>424</v>
      </c>
      <c r="H117" s="22">
        <v>1.8</v>
      </c>
      <c r="I117" s="6">
        <f t="shared" si="7"/>
        <v>1066.5720000000001</v>
      </c>
      <c r="J117" s="6" t="s">
        <v>746</v>
      </c>
      <c r="K117" s="17">
        <f t="shared" si="6"/>
        <v>4</v>
      </c>
    </row>
    <row r="118" spans="1:11" ht="13.95" customHeight="1" x14ac:dyDescent="0.3">
      <c r="A118" s="3">
        <v>45774</v>
      </c>
      <c r="B118" s="3" t="s">
        <v>1394</v>
      </c>
      <c r="C118" s="3" t="s">
        <v>16</v>
      </c>
      <c r="D118" s="3" t="s">
        <v>14</v>
      </c>
      <c r="E118" s="4">
        <v>0.6</v>
      </c>
      <c r="F118" s="42">
        <v>2.0499999999999998</v>
      </c>
      <c r="G118" s="45">
        <v>424</v>
      </c>
      <c r="H118" s="22">
        <v>1.8</v>
      </c>
      <c r="I118" s="6">
        <f t="shared" si="7"/>
        <v>938.73599999999976</v>
      </c>
      <c r="J118" s="6" t="s">
        <v>149</v>
      </c>
      <c r="K118" s="17">
        <f t="shared" si="6"/>
        <v>4</v>
      </c>
    </row>
    <row r="119" spans="1:11" ht="13.95" customHeight="1" x14ac:dyDescent="0.3">
      <c r="A119" s="3">
        <v>45775</v>
      </c>
      <c r="B119" s="3" t="s">
        <v>1394</v>
      </c>
      <c r="C119" s="3" t="s">
        <v>18</v>
      </c>
      <c r="D119" s="3" t="s">
        <v>1259</v>
      </c>
      <c r="E119" s="4">
        <v>0.4</v>
      </c>
      <c r="F119" s="42">
        <v>1.7</v>
      </c>
      <c r="G119" s="45">
        <v>424</v>
      </c>
      <c r="H119" s="22">
        <v>1.8</v>
      </c>
      <c r="I119" s="6">
        <f t="shared" si="7"/>
        <v>518.97600000000011</v>
      </c>
      <c r="J119" s="6" t="s">
        <v>150</v>
      </c>
      <c r="K119" s="17">
        <f t="shared" si="6"/>
        <v>4</v>
      </c>
    </row>
    <row r="120" spans="1:11" ht="13.95" customHeight="1" x14ac:dyDescent="0.3">
      <c r="A120" s="3">
        <v>45776</v>
      </c>
      <c r="B120" s="3" t="s">
        <v>1394</v>
      </c>
      <c r="C120" s="3" t="s">
        <v>20</v>
      </c>
      <c r="D120" s="3" t="s">
        <v>1259</v>
      </c>
      <c r="E120" s="4">
        <v>0.45</v>
      </c>
      <c r="F120" s="42">
        <v>1.75</v>
      </c>
      <c r="G120" s="45">
        <v>424</v>
      </c>
      <c r="H120" s="22">
        <v>1.8</v>
      </c>
      <c r="I120" s="6">
        <f t="shared" si="7"/>
        <v>601.0200000000001</v>
      </c>
      <c r="J120" s="6" t="s">
        <v>71</v>
      </c>
      <c r="K120" s="17">
        <f t="shared" si="6"/>
        <v>4</v>
      </c>
    </row>
    <row r="121" spans="1:11" ht="13.95" customHeight="1" x14ac:dyDescent="0.3">
      <c r="A121" s="3">
        <v>45777</v>
      </c>
      <c r="B121" s="3" t="s">
        <v>1394</v>
      </c>
      <c r="C121" s="3" t="s">
        <v>5</v>
      </c>
      <c r="D121" s="3" t="s">
        <v>994</v>
      </c>
      <c r="E121" s="4">
        <v>0.65</v>
      </c>
      <c r="F121" s="42">
        <v>2</v>
      </c>
      <c r="G121" s="45">
        <v>424</v>
      </c>
      <c r="H121" s="22">
        <v>1.8</v>
      </c>
      <c r="I121" s="6">
        <f t="shared" si="7"/>
        <v>992.16000000000008</v>
      </c>
      <c r="J121" s="6" t="s">
        <v>1327</v>
      </c>
      <c r="K121" s="17">
        <f t="shared" si="6"/>
        <v>4</v>
      </c>
    </row>
    <row r="122" spans="1:11" ht="13.95" customHeight="1" x14ac:dyDescent="0.3">
      <c r="A122" s="3">
        <v>45778</v>
      </c>
      <c r="B122" s="3" t="s">
        <v>1394</v>
      </c>
      <c r="C122" s="3" t="s">
        <v>8</v>
      </c>
      <c r="D122" s="3" t="s">
        <v>742</v>
      </c>
      <c r="E122" s="4">
        <v>0.85</v>
      </c>
      <c r="F122" s="42">
        <v>2.2999999999999998</v>
      </c>
      <c r="G122" s="45">
        <v>424</v>
      </c>
      <c r="H122" s="22">
        <v>1.8</v>
      </c>
      <c r="I122" s="6">
        <f t="shared" si="7"/>
        <v>1492.0559999999998</v>
      </c>
      <c r="J122" s="6" t="s">
        <v>496</v>
      </c>
      <c r="K122" s="17">
        <f t="shared" si="6"/>
        <v>5</v>
      </c>
    </row>
    <row r="123" spans="1:11" ht="13.95" customHeight="1" x14ac:dyDescent="0.3">
      <c r="A123" s="3">
        <v>45779</v>
      </c>
      <c r="B123" s="3" t="s">
        <v>1394</v>
      </c>
      <c r="C123" s="3" t="s">
        <v>11</v>
      </c>
      <c r="D123" s="3" t="s">
        <v>727</v>
      </c>
      <c r="E123" s="4">
        <v>0.8</v>
      </c>
      <c r="F123" s="42">
        <v>2.1</v>
      </c>
      <c r="G123" s="45">
        <v>424</v>
      </c>
      <c r="H123" s="22">
        <v>1.8</v>
      </c>
      <c r="I123" s="6">
        <f t="shared" si="7"/>
        <v>1282.1760000000004</v>
      </c>
      <c r="J123" s="6" t="s">
        <v>1328</v>
      </c>
      <c r="K123" s="17">
        <f t="shared" si="6"/>
        <v>5</v>
      </c>
    </row>
    <row r="124" spans="1:11" ht="13.95" customHeight="1" x14ac:dyDescent="0.3">
      <c r="A124" s="3">
        <v>45780</v>
      </c>
      <c r="B124" s="3" t="s">
        <v>1394</v>
      </c>
      <c r="C124" s="3" t="s">
        <v>13</v>
      </c>
      <c r="D124" s="3" t="s">
        <v>14</v>
      </c>
      <c r="E124" s="4">
        <v>0.75</v>
      </c>
      <c r="F124" s="42">
        <v>2.2000000000000002</v>
      </c>
      <c r="G124" s="45">
        <v>424</v>
      </c>
      <c r="H124" s="22">
        <v>1.8</v>
      </c>
      <c r="I124" s="6">
        <f t="shared" si="7"/>
        <v>1259.28</v>
      </c>
      <c r="J124" s="6" t="s">
        <v>1329</v>
      </c>
      <c r="K124" s="17">
        <f t="shared" si="6"/>
        <v>5</v>
      </c>
    </row>
    <row r="125" spans="1:11" ht="13.95" customHeight="1" x14ac:dyDescent="0.3">
      <c r="A125" s="3">
        <v>45781</v>
      </c>
      <c r="B125" s="3" t="s">
        <v>1394</v>
      </c>
      <c r="C125" s="3" t="s">
        <v>16</v>
      </c>
      <c r="D125" s="3" t="s">
        <v>14</v>
      </c>
      <c r="E125" s="4">
        <v>0.7</v>
      </c>
      <c r="F125" s="42">
        <v>2.1</v>
      </c>
      <c r="G125" s="45">
        <v>424</v>
      </c>
      <c r="H125" s="22">
        <v>1.8</v>
      </c>
      <c r="I125" s="6">
        <f t="shared" si="7"/>
        <v>1121.904</v>
      </c>
      <c r="J125" s="6" t="s">
        <v>139</v>
      </c>
      <c r="K125" s="17">
        <f t="shared" si="6"/>
        <v>5</v>
      </c>
    </row>
    <row r="126" spans="1:11" ht="13.95" customHeight="1" x14ac:dyDescent="0.3">
      <c r="A126" s="3">
        <v>45782</v>
      </c>
      <c r="B126" s="3" t="s">
        <v>1394</v>
      </c>
      <c r="C126" s="3" t="s">
        <v>18</v>
      </c>
      <c r="D126" s="3" t="s">
        <v>1330</v>
      </c>
      <c r="E126" s="4">
        <v>0.6</v>
      </c>
      <c r="F126" s="42">
        <v>1.9</v>
      </c>
      <c r="G126" s="45">
        <v>424</v>
      </c>
      <c r="H126" s="22">
        <v>1.8</v>
      </c>
      <c r="I126" s="6">
        <f t="shared" si="7"/>
        <v>870.04799999999989</v>
      </c>
      <c r="J126" s="6" t="s">
        <v>1331</v>
      </c>
      <c r="K126" s="17">
        <f t="shared" si="6"/>
        <v>5</v>
      </c>
    </row>
    <row r="127" spans="1:11" ht="13.95" customHeight="1" x14ac:dyDescent="0.3">
      <c r="A127" s="3">
        <v>45783</v>
      </c>
      <c r="B127" s="3" t="s">
        <v>1394</v>
      </c>
      <c r="C127" s="3" t="s">
        <v>20</v>
      </c>
      <c r="D127" s="3" t="s">
        <v>1330</v>
      </c>
      <c r="E127" s="4">
        <v>0.62</v>
      </c>
      <c r="F127" s="42">
        <v>1.9</v>
      </c>
      <c r="G127" s="45">
        <v>424</v>
      </c>
      <c r="H127" s="22">
        <v>1.8</v>
      </c>
      <c r="I127" s="6">
        <f t="shared" si="7"/>
        <v>899.04959999999994</v>
      </c>
      <c r="J127" s="6" t="s">
        <v>1332</v>
      </c>
      <c r="K127" s="17">
        <f t="shared" si="6"/>
        <v>5</v>
      </c>
    </row>
    <row r="128" spans="1:11" ht="13.95" customHeight="1" x14ac:dyDescent="0.3">
      <c r="A128" s="3">
        <v>45784</v>
      </c>
      <c r="B128" s="3" t="s">
        <v>1394</v>
      </c>
      <c r="C128" s="3" t="s">
        <v>5</v>
      </c>
      <c r="D128" s="3" t="s">
        <v>1330</v>
      </c>
      <c r="E128" s="4">
        <v>0.6</v>
      </c>
      <c r="F128" s="42">
        <v>1.85</v>
      </c>
      <c r="G128" s="45">
        <v>424</v>
      </c>
      <c r="H128" s="22">
        <v>1.8</v>
      </c>
      <c r="I128" s="6">
        <f t="shared" si="7"/>
        <v>847.15200000000004</v>
      </c>
      <c r="J128" s="6" t="s">
        <v>142</v>
      </c>
      <c r="K128" s="17">
        <f t="shared" si="6"/>
        <v>5</v>
      </c>
    </row>
    <row r="129" spans="1:11" ht="13.95" customHeight="1" x14ac:dyDescent="0.3">
      <c r="A129" s="3">
        <v>45785</v>
      </c>
      <c r="B129" s="3" t="s">
        <v>1394</v>
      </c>
      <c r="C129" s="3" t="s">
        <v>8</v>
      </c>
      <c r="D129" s="3" t="s">
        <v>1330</v>
      </c>
      <c r="E129" s="4">
        <v>0.65</v>
      </c>
      <c r="F129" s="42">
        <v>1.9</v>
      </c>
      <c r="G129" s="45">
        <v>424</v>
      </c>
      <c r="H129" s="22">
        <v>1.8</v>
      </c>
      <c r="I129" s="6">
        <f t="shared" si="7"/>
        <v>942.55200000000002</v>
      </c>
      <c r="J129" s="6" t="s">
        <v>71</v>
      </c>
      <c r="K129" s="17">
        <f t="shared" si="6"/>
        <v>5</v>
      </c>
    </row>
    <row r="130" spans="1:11" ht="13.95" customHeight="1" x14ac:dyDescent="0.3">
      <c r="A130" s="3">
        <v>45786</v>
      </c>
      <c r="B130" s="3" t="s">
        <v>1394</v>
      </c>
      <c r="C130" s="3" t="s">
        <v>11</v>
      </c>
      <c r="D130" s="3" t="s">
        <v>14</v>
      </c>
      <c r="E130" s="4">
        <v>0.7</v>
      </c>
      <c r="F130" s="42">
        <v>2</v>
      </c>
      <c r="G130" s="45">
        <v>424</v>
      </c>
      <c r="H130" s="22">
        <v>1.8</v>
      </c>
      <c r="I130" s="6">
        <f t="shared" si="7"/>
        <v>1068.4799999999998</v>
      </c>
      <c r="J130" s="6" t="s">
        <v>97</v>
      </c>
      <c r="K130" s="17">
        <f t="shared" si="6"/>
        <v>5</v>
      </c>
    </row>
    <row r="131" spans="1:11" ht="13.95" customHeight="1" x14ac:dyDescent="0.3">
      <c r="A131" s="3">
        <v>45787</v>
      </c>
      <c r="B131" s="3" t="s">
        <v>1394</v>
      </c>
      <c r="C131" s="3" t="s">
        <v>13</v>
      </c>
      <c r="D131" s="3" t="s">
        <v>14</v>
      </c>
      <c r="E131" s="4">
        <v>0.75</v>
      </c>
      <c r="F131" s="42">
        <v>2.2000000000000002</v>
      </c>
      <c r="G131" s="45">
        <v>424</v>
      </c>
      <c r="H131" s="22">
        <v>1.8</v>
      </c>
      <c r="I131" s="6">
        <f t="shared" si="7"/>
        <v>1259.28</v>
      </c>
      <c r="J131" s="6" t="s">
        <v>1333</v>
      </c>
      <c r="K131" s="17">
        <f t="shared" ref="K131:K194" si="8">MONTH(A131)</f>
        <v>5</v>
      </c>
    </row>
    <row r="132" spans="1:11" ht="13.95" customHeight="1" x14ac:dyDescent="0.3">
      <c r="A132" s="3">
        <v>45788</v>
      </c>
      <c r="B132" s="3" t="s">
        <v>1394</v>
      </c>
      <c r="C132" s="3" t="s">
        <v>16</v>
      </c>
      <c r="D132" s="3" t="s">
        <v>14</v>
      </c>
      <c r="E132" s="4">
        <v>0.7</v>
      </c>
      <c r="F132" s="42">
        <v>2.1</v>
      </c>
      <c r="G132" s="45">
        <v>424</v>
      </c>
      <c r="H132" s="22">
        <v>1.8</v>
      </c>
      <c r="I132" s="6">
        <f t="shared" si="7"/>
        <v>1121.904</v>
      </c>
      <c r="J132" s="6" t="s">
        <v>149</v>
      </c>
      <c r="K132" s="17">
        <f t="shared" si="8"/>
        <v>5</v>
      </c>
    </row>
    <row r="133" spans="1:11" ht="13.95" customHeight="1" x14ac:dyDescent="0.3">
      <c r="A133" s="3">
        <v>45789</v>
      </c>
      <c r="B133" s="3" t="s">
        <v>1394</v>
      </c>
      <c r="C133" s="3" t="s">
        <v>18</v>
      </c>
      <c r="D133" s="3" t="s">
        <v>1330</v>
      </c>
      <c r="E133" s="4">
        <v>0.65</v>
      </c>
      <c r="F133" s="42">
        <v>1.9</v>
      </c>
      <c r="G133" s="45">
        <v>424</v>
      </c>
      <c r="H133" s="22">
        <v>1.8</v>
      </c>
      <c r="I133" s="6">
        <f t="shared" si="7"/>
        <v>942.55200000000002</v>
      </c>
      <c r="J133" s="6" t="s">
        <v>754</v>
      </c>
      <c r="K133" s="17">
        <f t="shared" si="8"/>
        <v>5</v>
      </c>
    </row>
    <row r="134" spans="1:11" ht="13.95" customHeight="1" x14ac:dyDescent="0.3">
      <c r="A134" s="3">
        <v>45790</v>
      </c>
      <c r="B134" s="3" t="s">
        <v>1394</v>
      </c>
      <c r="C134" s="3" t="s">
        <v>20</v>
      </c>
      <c r="D134" s="3" t="s">
        <v>1330</v>
      </c>
      <c r="E134" s="4">
        <v>0.68</v>
      </c>
      <c r="F134" s="42">
        <v>1.95</v>
      </c>
      <c r="G134" s="45">
        <v>424</v>
      </c>
      <c r="H134" s="22">
        <v>1.8</v>
      </c>
      <c r="I134" s="6">
        <f t="shared" si="7"/>
        <v>1012.0031999999999</v>
      </c>
      <c r="J134" s="6" t="s">
        <v>1334</v>
      </c>
      <c r="K134" s="17">
        <f t="shared" si="8"/>
        <v>5</v>
      </c>
    </row>
    <row r="135" spans="1:11" ht="13.95" customHeight="1" x14ac:dyDescent="0.3">
      <c r="A135" s="3">
        <v>45791</v>
      </c>
      <c r="B135" s="3" t="s">
        <v>1394</v>
      </c>
      <c r="C135" s="3" t="s">
        <v>5</v>
      </c>
      <c r="D135" s="3" t="s">
        <v>1330</v>
      </c>
      <c r="E135" s="4">
        <v>0.65</v>
      </c>
      <c r="F135" s="42">
        <v>1.9</v>
      </c>
      <c r="G135" s="45">
        <v>424</v>
      </c>
      <c r="H135" s="22">
        <v>1.8</v>
      </c>
      <c r="I135" s="6">
        <f t="shared" si="7"/>
        <v>942.55200000000002</v>
      </c>
      <c r="J135" s="6" t="s">
        <v>71</v>
      </c>
      <c r="K135" s="17">
        <f t="shared" si="8"/>
        <v>5</v>
      </c>
    </row>
    <row r="136" spans="1:11" ht="13.95" customHeight="1" x14ac:dyDescent="0.3">
      <c r="A136" s="3">
        <v>45792</v>
      </c>
      <c r="B136" s="3" t="s">
        <v>1394</v>
      </c>
      <c r="C136" s="3" t="s">
        <v>8</v>
      </c>
      <c r="D136" s="3" t="s">
        <v>1330</v>
      </c>
      <c r="E136" s="4">
        <v>0.7</v>
      </c>
      <c r="F136" s="42">
        <v>1.95</v>
      </c>
      <c r="G136" s="45">
        <v>424</v>
      </c>
      <c r="H136" s="22">
        <v>1.8</v>
      </c>
      <c r="I136" s="6">
        <f t="shared" si="7"/>
        <v>1041.7679999999998</v>
      </c>
      <c r="J136" s="6" t="s">
        <v>71</v>
      </c>
      <c r="K136" s="17">
        <f t="shared" si="8"/>
        <v>5</v>
      </c>
    </row>
    <row r="137" spans="1:11" ht="13.95" customHeight="1" x14ac:dyDescent="0.3">
      <c r="A137" s="3">
        <v>45793</v>
      </c>
      <c r="B137" s="3" t="s">
        <v>1394</v>
      </c>
      <c r="C137" s="3" t="s">
        <v>11</v>
      </c>
      <c r="D137" s="3" t="s">
        <v>14</v>
      </c>
      <c r="E137" s="4">
        <v>0.75</v>
      </c>
      <c r="F137" s="42">
        <v>2.1</v>
      </c>
      <c r="G137" s="45">
        <v>424</v>
      </c>
      <c r="H137" s="22">
        <v>1.8</v>
      </c>
      <c r="I137" s="6">
        <f t="shared" si="7"/>
        <v>1202.0400000000002</v>
      </c>
      <c r="J137" s="6" t="s">
        <v>97</v>
      </c>
      <c r="K137" s="17">
        <f t="shared" si="8"/>
        <v>5</v>
      </c>
    </row>
    <row r="138" spans="1:11" ht="13.95" customHeight="1" x14ac:dyDescent="0.3">
      <c r="A138" s="3">
        <v>45794</v>
      </c>
      <c r="B138" s="3" t="s">
        <v>1394</v>
      </c>
      <c r="C138" s="3" t="s">
        <v>13</v>
      </c>
      <c r="D138" s="3" t="s">
        <v>14</v>
      </c>
      <c r="E138" s="4">
        <v>0.8</v>
      </c>
      <c r="F138" s="42">
        <v>2.2999999999999998</v>
      </c>
      <c r="G138" s="45">
        <v>424</v>
      </c>
      <c r="H138" s="22">
        <v>1.8</v>
      </c>
      <c r="I138" s="6">
        <f t="shared" si="7"/>
        <v>1404.2880000000002</v>
      </c>
      <c r="J138" s="6" t="s">
        <v>1335</v>
      </c>
      <c r="K138" s="17">
        <f t="shared" si="8"/>
        <v>5</v>
      </c>
    </row>
    <row r="139" spans="1:11" ht="13.95" customHeight="1" x14ac:dyDescent="0.3">
      <c r="A139" s="3">
        <v>45795</v>
      </c>
      <c r="B139" s="3" t="s">
        <v>1394</v>
      </c>
      <c r="C139" s="3" t="s">
        <v>16</v>
      </c>
      <c r="D139" s="3" t="s">
        <v>14</v>
      </c>
      <c r="E139" s="4">
        <v>0.75</v>
      </c>
      <c r="F139" s="42">
        <v>2.15</v>
      </c>
      <c r="G139" s="45">
        <v>424</v>
      </c>
      <c r="H139" s="22">
        <v>1.8</v>
      </c>
      <c r="I139" s="6">
        <f t="shared" si="7"/>
        <v>1230.6599999999999</v>
      </c>
      <c r="J139" s="6" t="s">
        <v>1336</v>
      </c>
      <c r="K139" s="17">
        <f t="shared" si="8"/>
        <v>5</v>
      </c>
    </row>
    <row r="140" spans="1:11" ht="13.95" customHeight="1" x14ac:dyDescent="0.3">
      <c r="A140" s="3">
        <v>45796</v>
      </c>
      <c r="B140" s="3" t="s">
        <v>1394</v>
      </c>
      <c r="C140" s="3" t="s">
        <v>18</v>
      </c>
      <c r="D140" s="3" t="s">
        <v>1330</v>
      </c>
      <c r="E140" s="4">
        <v>0.7</v>
      </c>
      <c r="F140" s="42">
        <v>1.95</v>
      </c>
      <c r="G140" s="45">
        <v>424</v>
      </c>
      <c r="H140" s="22">
        <v>1.8</v>
      </c>
      <c r="I140" s="6">
        <f t="shared" si="7"/>
        <v>1041.7679999999998</v>
      </c>
      <c r="J140" s="6" t="s">
        <v>461</v>
      </c>
      <c r="K140" s="17">
        <f t="shared" si="8"/>
        <v>5</v>
      </c>
    </row>
    <row r="141" spans="1:11" ht="13.95" customHeight="1" x14ac:dyDescent="0.3">
      <c r="A141" s="3">
        <v>45797</v>
      </c>
      <c r="B141" s="3" t="s">
        <v>1394</v>
      </c>
      <c r="C141" s="3" t="s">
        <v>20</v>
      </c>
      <c r="D141" s="3" t="s">
        <v>1330</v>
      </c>
      <c r="E141" s="4">
        <v>0.72</v>
      </c>
      <c r="F141" s="42">
        <v>1.95</v>
      </c>
      <c r="G141" s="45">
        <v>424</v>
      </c>
      <c r="H141" s="22">
        <v>1.8</v>
      </c>
      <c r="I141" s="6">
        <f t="shared" si="7"/>
        <v>1071.5328</v>
      </c>
      <c r="J141" s="6" t="s">
        <v>461</v>
      </c>
      <c r="K141" s="17">
        <f t="shared" si="8"/>
        <v>5</v>
      </c>
    </row>
    <row r="142" spans="1:11" ht="13.95" customHeight="1" x14ac:dyDescent="0.3">
      <c r="A142" s="3">
        <v>45798</v>
      </c>
      <c r="B142" s="3" t="s">
        <v>1394</v>
      </c>
      <c r="C142" s="3" t="s">
        <v>5</v>
      </c>
      <c r="D142" s="3" t="s">
        <v>1330</v>
      </c>
      <c r="E142" s="4">
        <v>0.7</v>
      </c>
      <c r="F142" s="42">
        <v>1.9</v>
      </c>
      <c r="G142" s="45">
        <v>424</v>
      </c>
      <c r="H142" s="22">
        <v>1.8</v>
      </c>
      <c r="I142" s="6">
        <f t="shared" si="7"/>
        <v>1015.0559999999997</v>
      </c>
      <c r="J142" s="6" t="s">
        <v>71</v>
      </c>
      <c r="K142" s="17">
        <f t="shared" si="8"/>
        <v>5</v>
      </c>
    </row>
    <row r="143" spans="1:11" ht="13.95" customHeight="1" x14ac:dyDescent="0.3">
      <c r="A143" s="3">
        <v>45799</v>
      </c>
      <c r="B143" s="3" t="s">
        <v>1394</v>
      </c>
      <c r="C143" s="3" t="s">
        <v>8</v>
      </c>
      <c r="D143" s="3" t="s">
        <v>1330</v>
      </c>
      <c r="E143" s="4">
        <v>0.75</v>
      </c>
      <c r="F143" s="42">
        <v>2</v>
      </c>
      <c r="G143" s="45">
        <v>424</v>
      </c>
      <c r="H143" s="22">
        <v>1.8</v>
      </c>
      <c r="I143" s="6">
        <f t="shared" si="7"/>
        <v>1144.8</v>
      </c>
      <c r="J143" s="6" t="s">
        <v>71</v>
      </c>
      <c r="K143" s="17">
        <f t="shared" si="8"/>
        <v>5</v>
      </c>
    </row>
    <row r="144" spans="1:11" ht="13.95" customHeight="1" x14ac:dyDescent="0.3">
      <c r="A144" s="3">
        <v>45800</v>
      </c>
      <c r="B144" s="3" t="s">
        <v>1394</v>
      </c>
      <c r="C144" s="3" t="s">
        <v>11</v>
      </c>
      <c r="D144" s="3" t="s">
        <v>14</v>
      </c>
      <c r="E144" s="4">
        <v>0.8</v>
      </c>
      <c r="F144" s="42">
        <v>2.15</v>
      </c>
      <c r="G144" s="45">
        <v>424</v>
      </c>
      <c r="H144" s="22">
        <v>1.8</v>
      </c>
      <c r="I144" s="6">
        <f t="shared" si="7"/>
        <v>1312.7040000000002</v>
      </c>
      <c r="J144" s="6" t="s">
        <v>97</v>
      </c>
      <c r="K144" s="17">
        <f t="shared" si="8"/>
        <v>5</v>
      </c>
    </row>
    <row r="145" spans="1:11" ht="13.95" customHeight="1" x14ac:dyDescent="0.3">
      <c r="A145" s="3">
        <v>45801</v>
      </c>
      <c r="B145" s="3" t="s">
        <v>1394</v>
      </c>
      <c r="C145" s="3" t="s">
        <v>13</v>
      </c>
      <c r="D145" s="3" t="s">
        <v>14</v>
      </c>
      <c r="E145" s="4">
        <v>0.85</v>
      </c>
      <c r="F145" s="42">
        <v>2.4</v>
      </c>
      <c r="G145" s="45">
        <v>424</v>
      </c>
      <c r="H145" s="22">
        <v>1.8</v>
      </c>
      <c r="I145" s="6">
        <f t="shared" si="7"/>
        <v>1556.9279999999999</v>
      </c>
      <c r="J145" s="6" t="s">
        <v>1337</v>
      </c>
      <c r="K145" s="17">
        <f t="shared" si="8"/>
        <v>5</v>
      </c>
    </row>
    <row r="146" spans="1:11" ht="13.95" customHeight="1" x14ac:dyDescent="0.3">
      <c r="A146" s="3">
        <v>45802</v>
      </c>
      <c r="B146" s="3" t="s">
        <v>1394</v>
      </c>
      <c r="C146" s="3" t="s">
        <v>16</v>
      </c>
      <c r="D146" s="3" t="s">
        <v>14</v>
      </c>
      <c r="E146" s="4">
        <v>0.8</v>
      </c>
      <c r="F146" s="42">
        <v>2.2000000000000002</v>
      </c>
      <c r="G146" s="45">
        <v>424</v>
      </c>
      <c r="H146" s="22">
        <v>1.8</v>
      </c>
      <c r="I146" s="6">
        <f t="shared" si="7"/>
        <v>1343.2320000000002</v>
      </c>
      <c r="J146" s="6" t="s">
        <v>139</v>
      </c>
      <c r="K146" s="17">
        <f t="shared" si="8"/>
        <v>5</v>
      </c>
    </row>
    <row r="147" spans="1:11" ht="13.95" customHeight="1" x14ac:dyDescent="0.3">
      <c r="A147" s="3">
        <v>45803</v>
      </c>
      <c r="B147" s="3" t="s">
        <v>1394</v>
      </c>
      <c r="C147" s="3" t="s">
        <v>18</v>
      </c>
      <c r="D147" s="3" t="s">
        <v>1330</v>
      </c>
      <c r="E147" s="4">
        <v>0.75</v>
      </c>
      <c r="F147" s="42">
        <v>1.95</v>
      </c>
      <c r="G147" s="45">
        <v>424</v>
      </c>
      <c r="H147" s="22">
        <v>1.8</v>
      </c>
      <c r="I147" s="6">
        <f t="shared" si="7"/>
        <v>1116.18</v>
      </c>
      <c r="J147" s="6" t="s">
        <v>461</v>
      </c>
      <c r="K147" s="17">
        <f t="shared" si="8"/>
        <v>5</v>
      </c>
    </row>
    <row r="148" spans="1:11" ht="13.95" customHeight="1" x14ac:dyDescent="0.3">
      <c r="A148" s="3">
        <v>45804</v>
      </c>
      <c r="B148" s="3" t="s">
        <v>1394</v>
      </c>
      <c r="C148" s="3" t="s">
        <v>20</v>
      </c>
      <c r="D148" s="3" t="s">
        <v>1330</v>
      </c>
      <c r="E148" s="4">
        <v>0.78</v>
      </c>
      <c r="F148" s="42">
        <v>2</v>
      </c>
      <c r="G148" s="45">
        <v>424</v>
      </c>
      <c r="H148" s="22">
        <v>1.8</v>
      </c>
      <c r="I148" s="6">
        <f t="shared" si="7"/>
        <v>1190.5920000000001</v>
      </c>
      <c r="J148" s="6" t="s">
        <v>461</v>
      </c>
      <c r="K148" s="17">
        <f t="shared" si="8"/>
        <v>5</v>
      </c>
    </row>
    <row r="149" spans="1:11" ht="13.95" customHeight="1" x14ac:dyDescent="0.3">
      <c r="A149" s="3">
        <v>45805</v>
      </c>
      <c r="B149" s="3" t="s">
        <v>1394</v>
      </c>
      <c r="C149" s="3" t="s">
        <v>5</v>
      </c>
      <c r="D149" s="3" t="s">
        <v>1330</v>
      </c>
      <c r="E149" s="4">
        <v>0.75</v>
      </c>
      <c r="F149" s="42">
        <v>1.95</v>
      </c>
      <c r="G149" s="45">
        <v>424</v>
      </c>
      <c r="H149" s="22">
        <v>1.8</v>
      </c>
      <c r="I149" s="6">
        <f t="shared" si="7"/>
        <v>1116.18</v>
      </c>
      <c r="J149" s="6" t="s">
        <v>71</v>
      </c>
      <c r="K149" s="17">
        <f t="shared" si="8"/>
        <v>5</v>
      </c>
    </row>
    <row r="150" spans="1:11" ht="13.95" customHeight="1" x14ac:dyDescent="0.3">
      <c r="A150" s="3">
        <v>45806</v>
      </c>
      <c r="B150" s="3" t="s">
        <v>1394</v>
      </c>
      <c r="C150" s="3" t="s">
        <v>8</v>
      </c>
      <c r="D150" s="3" t="s">
        <v>1330</v>
      </c>
      <c r="E150" s="4">
        <v>0.78</v>
      </c>
      <c r="F150" s="42">
        <v>2</v>
      </c>
      <c r="G150" s="45">
        <v>424</v>
      </c>
      <c r="H150" s="22">
        <v>1.8</v>
      </c>
      <c r="I150" s="6">
        <f t="shared" si="7"/>
        <v>1190.5920000000001</v>
      </c>
      <c r="J150" s="6" t="s">
        <v>71</v>
      </c>
      <c r="K150" s="17">
        <f t="shared" si="8"/>
        <v>5</v>
      </c>
    </row>
    <row r="151" spans="1:11" ht="13.95" customHeight="1" x14ac:dyDescent="0.3">
      <c r="A151" s="3">
        <v>45807</v>
      </c>
      <c r="B151" s="3" t="s">
        <v>1394</v>
      </c>
      <c r="C151" s="3" t="s">
        <v>11</v>
      </c>
      <c r="D151" s="3" t="s">
        <v>44</v>
      </c>
      <c r="E151" s="4">
        <v>0.85</v>
      </c>
      <c r="F151" s="42">
        <v>2.2000000000000002</v>
      </c>
      <c r="G151" s="45">
        <v>424</v>
      </c>
      <c r="H151" s="22">
        <v>1.8</v>
      </c>
      <c r="I151" s="6">
        <f t="shared" si="7"/>
        <v>1427.184</v>
      </c>
      <c r="J151" s="6" t="s">
        <v>1338</v>
      </c>
      <c r="K151" s="17">
        <f t="shared" si="8"/>
        <v>5</v>
      </c>
    </row>
    <row r="152" spans="1:11" ht="13.95" customHeight="1" x14ac:dyDescent="0.3">
      <c r="A152" s="3">
        <v>45808</v>
      </c>
      <c r="B152" s="3" t="s">
        <v>1394</v>
      </c>
      <c r="C152" s="3" t="s">
        <v>13</v>
      </c>
      <c r="D152" s="3" t="s">
        <v>14</v>
      </c>
      <c r="E152" s="4">
        <v>0.9</v>
      </c>
      <c r="F152" s="42">
        <v>2.4500000000000002</v>
      </c>
      <c r="G152" s="45">
        <v>424</v>
      </c>
      <c r="H152" s="22">
        <v>1.8</v>
      </c>
      <c r="I152" s="6">
        <f t="shared" si="7"/>
        <v>1682.8560000000002</v>
      </c>
      <c r="J152" s="6" t="s">
        <v>1339</v>
      </c>
      <c r="K152" s="17">
        <f t="shared" si="8"/>
        <v>5</v>
      </c>
    </row>
    <row r="153" spans="1:11" ht="13.95" customHeight="1" x14ac:dyDescent="0.3">
      <c r="A153" s="3">
        <v>45809</v>
      </c>
      <c r="B153" s="3" t="s">
        <v>1394</v>
      </c>
      <c r="C153" s="3" t="s">
        <v>16</v>
      </c>
      <c r="D153" s="3" t="s">
        <v>14</v>
      </c>
      <c r="E153" s="4">
        <v>0.85</v>
      </c>
      <c r="F153" s="42">
        <v>2.15</v>
      </c>
      <c r="G153" s="45">
        <v>424</v>
      </c>
      <c r="H153" s="22">
        <v>1.8</v>
      </c>
      <c r="I153" s="6">
        <f t="shared" si="7"/>
        <v>1394.7479999999998</v>
      </c>
      <c r="J153" s="6" t="s">
        <v>153</v>
      </c>
      <c r="K153" s="17">
        <f t="shared" si="8"/>
        <v>6</v>
      </c>
    </row>
    <row r="154" spans="1:11" ht="13.95" customHeight="1" x14ac:dyDescent="0.3">
      <c r="A154" s="3">
        <v>45810</v>
      </c>
      <c r="B154" s="3" t="s">
        <v>1394</v>
      </c>
      <c r="C154" s="3" t="s">
        <v>18</v>
      </c>
      <c r="D154" s="3" t="s">
        <v>1340</v>
      </c>
      <c r="E154" s="4">
        <v>0.75</v>
      </c>
      <c r="F154" s="42">
        <v>1.95</v>
      </c>
      <c r="G154" s="45">
        <v>424</v>
      </c>
      <c r="H154" s="22">
        <v>1.8</v>
      </c>
      <c r="I154" s="6">
        <f t="shared" si="7"/>
        <v>1116.18</v>
      </c>
      <c r="J154" s="6" t="s">
        <v>1341</v>
      </c>
      <c r="K154" s="17">
        <f t="shared" si="8"/>
        <v>6</v>
      </c>
    </row>
    <row r="155" spans="1:11" ht="13.95" customHeight="1" x14ac:dyDescent="0.3">
      <c r="A155" s="3">
        <v>45811</v>
      </c>
      <c r="B155" s="3" t="s">
        <v>1394</v>
      </c>
      <c r="C155" s="3" t="s">
        <v>20</v>
      </c>
      <c r="D155" s="3" t="s">
        <v>1340</v>
      </c>
      <c r="E155" s="4">
        <v>0.78</v>
      </c>
      <c r="F155" s="42">
        <v>1.95</v>
      </c>
      <c r="G155" s="45">
        <v>424</v>
      </c>
      <c r="H155" s="22">
        <v>1.8</v>
      </c>
      <c r="I155" s="6">
        <f t="shared" si="7"/>
        <v>1160.8271999999999</v>
      </c>
      <c r="J155" s="6" t="s">
        <v>1331</v>
      </c>
      <c r="K155" s="17">
        <f t="shared" si="8"/>
        <v>6</v>
      </c>
    </row>
    <row r="156" spans="1:11" ht="13.95" customHeight="1" x14ac:dyDescent="0.3">
      <c r="A156" s="3">
        <v>45812</v>
      </c>
      <c r="B156" s="3" t="s">
        <v>1394</v>
      </c>
      <c r="C156" s="3" t="s">
        <v>5</v>
      </c>
      <c r="D156" s="3" t="s">
        <v>1340</v>
      </c>
      <c r="E156" s="4">
        <v>0.75</v>
      </c>
      <c r="F156" s="42">
        <v>1.9</v>
      </c>
      <c r="G156" s="45">
        <v>424</v>
      </c>
      <c r="H156" s="22">
        <v>1.8</v>
      </c>
      <c r="I156" s="6">
        <f t="shared" si="7"/>
        <v>1087.56</v>
      </c>
      <c r="J156" s="6" t="s">
        <v>142</v>
      </c>
      <c r="K156" s="17">
        <f t="shared" si="8"/>
        <v>6</v>
      </c>
    </row>
    <row r="157" spans="1:11" ht="13.95" customHeight="1" x14ac:dyDescent="0.3">
      <c r="A157" s="3">
        <v>45813</v>
      </c>
      <c r="B157" s="3" t="s">
        <v>1394</v>
      </c>
      <c r="C157" s="3" t="s">
        <v>8</v>
      </c>
      <c r="D157" s="3" t="s">
        <v>1340</v>
      </c>
      <c r="E157" s="4">
        <v>0.78</v>
      </c>
      <c r="F157" s="42">
        <v>1.95</v>
      </c>
      <c r="G157" s="45">
        <v>424</v>
      </c>
      <c r="H157" s="22">
        <v>1.8</v>
      </c>
      <c r="I157" s="6">
        <f t="shared" si="7"/>
        <v>1160.8271999999999</v>
      </c>
      <c r="J157" s="6" t="s">
        <v>71</v>
      </c>
      <c r="K157" s="17">
        <f t="shared" si="8"/>
        <v>6</v>
      </c>
    </row>
    <row r="158" spans="1:11" ht="13.95" customHeight="1" x14ac:dyDescent="0.3">
      <c r="A158" s="3">
        <v>45814</v>
      </c>
      <c r="B158" s="3" t="s">
        <v>1394</v>
      </c>
      <c r="C158" s="3" t="s">
        <v>11</v>
      </c>
      <c r="D158" s="3" t="s">
        <v>1142</v>
      </c>
      <c r="E158" s="4">
        <v>0.95</v>
      </c>
      <c r="F158" s="42">
        <v>2.6</v>
      </c>
      <c r="G158" s="45">
        <v>424</v>
      </c>
      <c r="H158" s="22">
        <v>1.8</v>
      </c>
      <c r="I158" s="6">
        <f t="shared" si="7"/>
        <v>1885.104</v>
      </c>
      <c r="J158" s="6" t="s">
        <v>1342</v>
      </c>
      <c r="K158" s="17">
        <f t="shared" si="8"/>
        <v>6</v>
      </c>
    </row>
    <row r="159" spans="1:11" ht="13.95" customHeight="1" x14ac:dyDescent="0.3">
      <c r="A159" s="3">
        <v>45815</v>
      </c>
      <c r="B159" s="3" t="s">
        <v>1394</v>
      </c>
      <c r="C159" s="3" t="s">
        <v>13</v>
      </c>
      <c r="D159" s="3" t="s">
        <v>1142</v>
      </c>
      <c r="E159" s="4">
        <v>1</v>
      </c>
      <c r="F159" s="42">
        <v>2.7</v>
      </c>
      <c r="G159" s="45">
        <v>424</v>
      </c>
      <c r="H159" s="22">
        <v>1.8</v>
      </c>
      <c r="I159" s="6">
        <f t="shared" si="7"/>
        <v>2060.6400000000003</v>
      </c>
      <c r="J159" s="6" t="s">
        <v>1343</v>
      </c>
      <c r="K159" s="17">
        <f t="shared" si="8"/>
        <v>6</v>
      </c>
    </row>
    <row r="160" spans="1:11" ht="13.95" customHeight="1" x14ac:dyDescent="0.3">
      <c r="A160" s="3">
        <v>45816</v>
      </c>
      <c r="B160" s="3" t="s">
        <v>1394</v>
      </c>
      <c r="C160" s="3" t="s">
        <v>16</v>
      </c>
      <c r="D160" s="3" t="s">
        <v>1344</v>
      </c>
      <c r="E160" s="4">
        <v>0.95</v>
      </c>
      <c r="F160" s="42">
        <v>2.4</v>
      </c>
      <c r="G160" s="45">
        <v>424</v>
      </c>
      <c r="H160" s="22">
        <v>1.8</v>
      </c>
      <c r="I160" s="6">
        <f t="shared" ref="I160:I223" si="9">(G160*E160)*F160*H160</f>
        <v>1740.0959999999998</v>
      </c>
      <c r="J160" s="6" t="s">
        <v>1345</v>
      </c>
      <c r="K160" s="17">
        <f t="shared" si="8"/>
        <v>6</v>
      </c>
    </row>
    <row r="161" spans="1:11" ht="13.95" customHeight="1" x14ac:dyDescent="0.3">
      <c r="A161" s="3">
        <v>45817</v>
      </c>
      <c r="B161" s="3" t="s">
        <v>1394</v>
      </c>
      <c r="C161" s="3" t="s">
        <v>18</v>
      </c>
      <c r="D161" s="3" t="s">
        <v>1340</v>
      </c>
      <c r="E161" s="4">
        <v>0.8</v>
      </c>
      <c r="F161" s="42">
        <v>1.95</v>
      </c>
      <c r="G161" s="45">
        <v>424</v>
      </c>
      <c r="H161" s="22">
        <v>1.8</v>
      </c>
      <c r="I161" s="6">
        <f t="shared" si="9"/>
        <v>1190.5920000000001</v>
      </c>
      <c r="J161" s="6" t="s">
        <v>609</v>
      </c>
      <c r="K161" s="17">
        <f t="shared" si="8"/>
        <v>6</v>
      </c>
    </row>
    <row r="162" spans="1:11" ht="13.95" customHeight="1" x14ac:dyDescent="0.3">
      <c r="A162" s="3">
        <v>45818</v>
      </c>
      <c r="B162" s="3" t="s">
        <v>1394</v>
      </c>
      <c r="C162" s="3" t="s">
        <v>20</v>
      </c>
      <c r="D162" s="3" t="s">
        <v>1340</v>
      </c>
      <c r="E162" s="4">
        <v>0.82</v>
      </c>
      <c r="F162" s="42">
        <v>1.95</v>
      </c>
      <c r="G162" s="45">
        <v>424</v>
      </c>
      <c r="H162" s="22">
        <v>1.8</v>
      </c>
      <c r="I162" s="6">
        <f t="shared" si="9"/>
        <v>1220.3568</v>
      </c>
      <c r="J162" s="6" t="s">
        <v>838</v>
      </c>
      <c r="K162" s="17">
        <f t="shared" si="8"/>
        <v>6</v>
      </c>
    </row>
    <row r="163" spans="1:11" ht="13.95" customHeight="1" x14ac:dyDescent="0.3">
      <c r="A163" s="3">
        <v>45819</v>
      </c>
      <c r="B163" s="3" t="s">
        <v>1394</v>
      </c>
      <c r="C163" s="3" t="s">
        <v>5</v>
      </c>
      <c r="D163" s="3" t="s">
        <v>1340</v>
      </c>
      <c r="E163" s="4">
        <v>0.8</v>
      </c>
      <c r="F163" s="42">
        <v>1.9</v>
      </c>
      <c r="G163" s="45">
        <v>424</v>
      </c>
      <c r="H163" s="22">
        <v>1.8</v>
      </c>
      <c r="I163" s="6">
        <f t="shared" si="9"/>
        <v>1160.0640000000001</v>
      </c>
      <c r="J163" s="6" t="s">
        <v>71</v>
      </c>
      <c r="K163" s="17">
        <f t="shared" si="8"/>
        <v>6</v>
      </c>
    </row>
    <row r="164" spans="1:11" ht="13.95" customHeight="1" x14ac:dyDescent="0.3">
      <c r="A164" s="3">
        <v>45820</v>
      </c>
      <c r="B164" s="3" t="s">
        <v>1394</v>
      </c>
      <c r="C164" s="3" t="s">
        <v>8</v>
      </c>
      <c r="D164" s="3" t="s">
        <v>1340</v>
      </c>
      <c r="E164" s="4">
        <v>0.85</v>
      </c>
      <c r="F164" s="42">
        <v>2</v>
      </c>
      <c r="G164" s="45">
        <v>424</v>
      </c>
      <c r="H164" s="22">
        <v>1.8</v>
      </c>
      <c r="I164" s="6">
        <f t="shared" si="9"/>
        <v>1297.44</v>
      </c>
      <c r="J164" s="6" t="s">
        <v>754</v>
      </c>
      <c r="K164" s="17">
        <f t="shared" si="8"/>
        <v>6</v>
      </c>
    </row>
    <row r="165" spans="1:11" ht="13.95" customHeight="1" x14ac:dyDescent="0.3">
      <c r="A165" s="3">
        <v>45821</v>
      </c>
      <c r="B165" s="3" t="s">
        <v>1394</v>
      </c>
      <c r="C165" s="3" t="s">
        <v>11</v>
      </c>
      <c r="D165" s="3" t="s">
        <v>14</v>
      </c>
      <c r="E165" s="4">
        <v>0.9</v>
      </c>
      <c r="F165" s="42">
        <v>2.2000000000000002</v>
      </c>
      <c r="G165" s="45">
        <v>424</v>
      </c>
      <c r="H165" s="22">
        <v>1.8</v>
      </c>
      <c r="I165" s="6">
        <f t="shared" si="9"/>
        <v>1511.1360000000002</v>
      </c>
      <c r="J165" s="6" t="s">
        <v>97</v>
      </c>
      <c r="K165" s="17">
        <f t="shared" si="8"/>
        <v>6</v>
      </c>
    </row>
    <row r="166" spans="1:11" ht="13.95" customHeight="1" x14ac:dyDescent="0.3">
      <c r="A166" s="3">
        <v>45822</v>
      </c>
      <c r="B166" s="3" t="s">
        <v>1394</v>
      </c>
      <c r="C166" s="3" t="s">
        <v>13</v>
      </c>
      <c r="D166" s="3" t="s">
        <v>14</v>
      </c>
      <c r="E166" s="4">
        <v>0.95</v>
      </c>
      <c r="F166" s="42">
        <v>2.5</v>
      </c>
      <c r="G166" s="45">
        <v>424</v>
      </c>
      <c r="H166" s="22">
        <v>1.8</v>
      </c>
      <c r="I166" s="6">
        <f t="shared" si="9"/>
        <v>1812.6</v>
      </c>
      <c r="J166" s="6" t="s">
        <v>1346</v>
      </c>
      <c r="K166" s="17">
        <f t="shared" si="8"/>
        <v>6</v>
      </c>
    </row>
    <row r="167" spans="1:11" ht="13.95" customHeight="1" x14ac:dyDescent="0.3">
      <c r="A167" s="3">
        <v>45823</v>
      </c>
      <c r="B167" s="3" t="s">
        <v>1394</v>
      </c>
      <c r="C167" s="3" t="s">
        <v>16</v>
      </c>
      <c r="D167" s="3" t="s">
        <v>14</v>
      </c>
      <c r="E167" s="4">
        <v>0.92</v>
      </c>
      <c r="F167" s="42">
        <v>2.2999999999999998</v>
      </c>
      <c r="G167" s="45">
        <v>424</v>
      </c>
      <c r="H167" s="22">
        <v>1.8</v>
      </c>
      <c r="I167" s="6">
        <f t="shared" si="9"/>
        <v>1614.9312</v>
      </c>
      <c r="J167" s="6" t="s">
        <v>149</v>
      </c>
      <c r="K167" s="17">
        <f t="shared" si="8"/>
        <v>6</v>
      </c>
    </row>
    <row r="168" spans="1:11" ht="13.95" customHeight="1" x14ac:dyDescent="0.3">
      <c r="A168" s="3">
        <v>45824</v>
      </c>
      <c r="B168" s="3" t="s">
        <v>1394</v>
      </c>
      <c r="C168" s="3" t="s">
        <v>18</v>
      </c>
      <c r="D168" s="3" t="s">
        <v>1340</v>
      </c>
      <c r="E168" s="4">
        <v>0.85</v>
      </c>
      <c r="F168" s="42">
        <v>2</v>
      </c>
      <c r="G168" s="45">
        <v>424</v>
      </c>
      <c r="H168" s="22">
        <v>1.8</v>
      </c>
      <c r="I168" s="6">
        <f t="shared" si="9"/>
        <v>1297.44</v>
      </c>
      <c r="J168" s="6" t="s">
        <v>476</v>
      </c>
      <c r="K168" s="17">
        <f t="shared" si="8"/>
        <v>6</v>
      </c>
    </row>
    <row r="169" spans="1:11" ht="13.95" customHeight="1" x14ac:dyDescent="0.3">
      <c r="A169" s="3">
        <v>45825</v>
      </c>
      <c r="B169" s="3" t="s">
        <v>1394</v>
      </c>
      <c r="C169" s="3" t="s">
        <v>20</v>
      </c>
      <c r="D169" s="3" t="s">
        <v>1340</v>
      </c>
      <c r="E169" s="4">
        <v>0.88</v>
      </c>
      <c r="F169" s="42">
        <v>2.0499999999999998</v>
      </c>
      <c r="G169" s="45">
        <v>424</v>
      </c>
      <c r="H169" s="22">
        <v>1.8</v>
      </c>
      <c r="I169" s="6">
        <f t="shared" si="9"/>
        <v>1376.8127999999999</v>
      </c>
      <c r="J169" s="6" t="s">
        <v>476</v>
      </c>
      <c r="K169" s="17">
        <f t="shared" si="8"/>
        <v>6</v>
      </c>
    </row>
    <row r="170" spans="1:11" ht="13.95" customHeight="1" x14ac:dyDescent="0.3">
      <c r="A170" s="3">
        <v>45826</v>
      </c>
      <c r="B170" s="3" t="s">
        <v>1394</v>
      </c>
      <c r="C170" s="3" t="s">
        <v>5</v>
      </c>
      <c r="D170" s="3" t="s">
        <v>1340</v>
      </c>
      <c r="E170" s="4">
        <v>0.85</v>
      </c>
      <c r="F170" s="42">
        <v>2</v>
      </c>
      <c r="G170" s="45">
        <v>424</v>
      </c>
      <c r="H170" s="22">
        <v>1.8</v>
      </c>
      <c r="I170" s="6">
        <f t="shared" si="9"/>
        <v>1297.44</v>
      </c>
      <c r="J170" s="6" t="s">
        <v>476</v>
      </c>
      <c r="K170" s="17">
        <f t="shared" si="8"/>
        <v>6</v>
      </c>
    </row>
    <row r="171" spans="1:11" ht="13.95" customHeight="1" x14ac:dyDescent="0.3">
      <c r="A171" s="3">
        <v>45827</v>
      </c>
      <c r="B171" s="3" t="s">
        <v>1394</v>
      </c>
      <c r="C171" s="3" t="s">
        <v>8</v>
      </c>
      <c r="D171" s="3" t="s">
        <v>1340</v>
      </c>
      <c r="E171" s="4">
        <v>0.88</v>
      </c>
      <c r="F171" s="42">
        <v>2.0499999999999998</v>
      </c>
      <c r="G171" s="45">
        <v>424</v>
      </c>
      <c r="H171" s="22">
        <v>1.8</v>
      </c>
      <c r="I171" s="6">
        <f t="shared" si="9"/>
        <v>1376.8127999999999</v>
      </c>
      <c r="J171" s="6" t="s">
        <v>476</v>
      </c>
      <c r="K171" s="17">
        <f t="shared" si="8"/>
        <v>6</v>
      </c>
    </row>
    <row r="172" spans="1:11" ht="13.95" customHeight="1" x14ac:dyDescent="0.3">
      <c r="A172" s="3">
        <v>45828</v>
      </c>
      <c r="B172" s="3" t="s">
        <v>1394</v>
      </c>
      <c r="C172" s="3" t="s">
        <v>11</v>
      </c>
      <c r="D172" s="3" t="s">
        <v>14</v>
      </c>
      <c r="E172" s="4">
        <v>0.92</v>
      </c>
      <c r="F172" s="42">
        <v>2.2999999999999998</v>
      </c>
      <c r="G172" s="45">
        <v>424</v>
      </c>
      <c r="H172" s="22">
        <v>1.8</v>
      </c>
      <c r="I172" s="6">
        <f t="shared" si="9"/>
        <v>1614.9312</v>
      </c>
      <c r="J172" s="6" t="s">
        <v>97</v>
      </c>
      <c r="K172" s="17">
        <f t="shared" si="8"/>
        <v>6</v>
      </c>
    </row>
    <row r="173" spans="1:11" ht="13.95" customHeight="1" x14ac:dyDescent="0.3">
      <c r="A173" s="3">
        <v>45829</v>
      </c>
      <c r="B173" s="3" t="s">
        <v>1394</v>
      </c>
      <c r="C173" s="3" t="s">
        <v>13</v>
      </c>
      <c r="D173" s="3" t="s">
        <v>14</v>
      </c>
      <c r="E173" s="4">
        <v>0.98</v>
      </c>
      <c r="F173" s="42">
        <v>2.6</v>
      </c>
      <c r="G173" s="45">
        <v>424</v>
      </c>
      <c r="H173" s="22">
        <v>1.8</v>
      </c>
      <c r="I173" s="6">
        <f t="shared" si="9"/>
        <v>1944.6336000000001</v>
      </c>
      <c r="J173" s="6" t="s">
        <v>1335</v>
      </c>
      <c r="K173" s="17">
        <f t="shared" si="8"/>
        <v>6</v>
      </c>
    </row>
    <row r="174" spans="1:11" ht="13.95" customHeight="1" x14ac:dyDescent="0.3">
      <c r="A174" s="3">
        <v>45830</v>
      </c>
      <c r="B174" s="3" t="s">
        <v>1394</v>
      </c>
      <c r="C174" s="3" t="s">
        <v>16</v>
      </c>
      <c r="D174" s="3" t="s">
        <v>14</v>
      </c>
      <c r="E174" s="4">
        <v>0.95</v>
      </c>
      <c r="F174" s="42">
        <v>2.4</v>
      </c>
      <c r="G174" s="45">
        <v>424</v>
      </c>
      <c r="H174" s="22">
        <v>1.8</v>
      </c>
      <c r="I174" s="6">
        <f t="shared" si="9"/>
        <v>1740.0959999999998</v>
      </c>
      <c r="J174" s="6" t="s">
        <v>1336</v>
      </c>
      <c r="K174" s="17">
        <f t="shared" si="8"/>
        <v>6</v>
      </c>
    </row>
    <row r="175" spans="1:11" ht="13.95" customHeight="1" x14ac:dyDescent="0.3">
      <c r="A175" s="3">
        <v>45831</v>
      </c>
      <c r="B175" s="3" t="s">
        <v>1394</v>
      </c>
      <c r="C175" s="3" t="s">
        <v>18</v>
      </c>
      <c r="D175" s="3" t="s">
        <v>1347</v>
      </c>
      <c r="E175" s="4">
        <v>0.9</v>
      </c>
      <c r="F175" s="42">
        <v>2.1</v>
      </c>
      <c r="G175" s="45">
        <v>424</v>
      </c>
      <c r="H175" s="22">
        <v>1.8</v>
      </c>
      <c r="I175" s="6">
        <f t="shared" si="9"/>
        <v>1442.4480000000003</v>
      </c>
      <c r="J175" s="6" t="s">
        <v>1348</v>
      </c>
      <c r="K175" s="17">
        <f t="shared" si="8"/>
        <v>6</v>
      </c>
    </row>
    <row r="176" spans="1:11" ht="13.95" customHeight="1" x14ac:dyDescent="0.3">
      <c r="A176" s="3">
        <v>45832</v>
      </c>
      <c r="B176" s="3" t="s">
        <v>1394</v>
      </c>
      <c r="C176" s="3" t="s">
        <v>20</v>
      </c>
      <c r="D176" s="3" t="s">
        <v>1347</v>
      </c>
      <c r="E176" s="4">
        <v>0.92</v>
      </c>
      <c r="F176" s="42">
        <v>2.1</v>
      </c>
      <c r="G176" s="45">
        <v>424</v>
      </c>
      <c r="H176" s="22">
        <v>1.8</v>
      </c>
      <c r="I176" s="6">
        <f t="shared" si="9"/>
        <v>1474.5024000000003</v>
      </c>
      <c r="J176" s="6" t="s">
        <v>1348</v>
      </c>
      <c r="K176" s="17">
        <f t="shared" si="8"/>
        <v>6</v>
      </c>
    </row>
    <row r="177" spans="1:11" ht="13.95" customHeight="1" x14ac:dyDescent="0.3">
      <c r="A177" s="3">
        <v>45833</v>
      </c>
      <c r="B177" s="3" t="s">
        <v>1394</v>
      </c>
      <c r="C177" s="3" t="s">
        <v>5</v>
      </c>
      <c r="D177" s="3" t="s">
        <v>1347</v>
      </c>
      <c r="E177" s="4">
        <v>0.9</v>
      </c>
      <c r="F177" s="42">
        <v>2.1</v>
      </c>
      <c r="G177" s="45">
        <v>424</v>
      </c>
      <c r="H177" s="22">
        <v>1.8</v>
      </c>
      <c r="I177" s="6">
        <f t="shared" si="9"/>
        <v>1442.4480000000003</v>
      </c>
      <c r="J177" s="6" t="s">
        <v>71</v>
      </c>
      <c r="K177" s="17">
        <f t="shared" si="8"/>
        <v>6</v>
      </c>
    </row>
    <row r="178" spans="1:11" ht="13.95" customHeight="1" x14ac:dyDescent="0.3">
      <c r="A178" s="3">
        <v>45834</v>
      </c>
      <c r="B178" s="3" t="s">
        <v>1394</v>
      </c>
      <c r="C178" s="3" t="s">
        <v>8</v>
      </c>
      <c r="D178" s="3" t="s">
        <v>1347</v>
      </c>
      <c r="E178" s="4">
        <v>0.92</v>
      </c>
      <c r="F178" s="42">
        <v>2.15</v>
      </c>
      <c r="G178" s="45">
        <v>424</v>
      </c>
      <c r="H178" s="22">
        <v>1.8</v>
      </c>
      <c r="I178" s="6">
        <f t="shared" si="9"/>
        <v>1509.6096</v>
      </c>
      <c r="J178" s="6" t="s">
        <v>71</v>
      </c>
      <c r="K178" s="17">
        <f t="shared" si="8"/>
        <v>6</v>
      </c>
    </row>
    <row r="179" spans="1:11" ht="13.95" customHeight="1" x14ac:dyDescent="0.3">
      <c r="A179" s="3">
        <v>45835</v>
      </c>
      <c r="B179" s="3" t="s">
        <v>1394</v>
      </c>
      <c r="C179" s="3" t="s">
        <v>11</v>
      </c>
      <c r="D179" s="3" t="s">
        <v>44</v>
      </c>
      <c r="E179" s="4">
        <v>0.95</v>
      </c>
      <c r="F179" s="42">
        <v>2.4</v>
      </c>
      <c r="G179" s="45">
        <v>424</v>
      </c>
      <c r="H179" s="22">
        <v>1.8</v>
      </c>
      <c r="I179" s="6">
        <f t="shared" si="9"/>
        <v>1740.0959999999998</v>
      </c>
      <c r="J179" s="6" t="s">
        <v>197</v>
      </c>
      <c r="K179" s="17">
        <f t="shared" si="8"/>
        <v>6</v>
      </c>
    </row>
    <row r="180" spans="1:11" ht="13.95" customHeight="1" x14ac:dyDescent="0.3">
      <c r="A180" s="3">
        <v>45836</v>
      </c>
      <c r="B180" s="3" t="s">
        <v>1394</v>
      </c>
      <c r="C180" s="3" t="s">
        <v>13</v>
      </c>
      <c r="D180" s="3" t="s">
        <v>995</v>
      </c>
      <c r="E180" s="4">
        <v>1</v>
      </c>
      <c r="F180" s="42">
        <v>2.65</v>
      </c>
      <c r="G180" s="45">
        <v>424</v>
      </c>
      <c r="H180" s="22">
        <v>1.8</v>
      </c>
      <c r="I180" s="6">
        <f t="shared" si="9"/>
        <v>2022.4799999999998</v>
      </c>
      <c r="J180" s="6" t="s">
        <v>1317</v>
      </c>
      <c r="K180" s="17">
        <f t="shared" si="8"/>
        <v>6</v>
      </c>
    </row>
    <row r="181" spans="1:11" ht="13.95" customHeight="1" x14ac:dyDescent="0.3">
      <c r="A181" s="3">
        <v>45837</v>
      </c>
      <c r="B181" s="3" t="s">
        <v>1394</v>
      </c>
      <c r="C181" s="3" t="s">
        <v>16</v>
      </c>
      <c r="D181" s="3" t="s">
        <v>14</v>
      </c>
      <c r="E181" s="4">
        <v>0.98</v>
      </c>
      <c r="F181" s="42">
        <v>2.5</v>
      </c>
      <c r="G181" s="45">
        <v>424</v>
      </c>
      <c r="H181" s="22">
        <v>1.8</v>
      </c>
      <c r="I181" s="6">
        <f t="shared" si="9"/>
        <v>1869.84</v>
      </c>
      <c r="J181" s="6" t="s">
        <v>1349</v>
      </c>
      <c r="K181" s="17">
        <f t="shared" si="8"/>
        <v>6</v>
      </c>
    </row>
    <row r="182" spans="1:11" ht="13.95" customHeight="1" x14ac:dyDescent="0.3">
      <c r="A182" s="3">
        <v>45838</v>
      </c>
      <c r="B182" s="3" t="s">
        <v>1394</v>
      </c>
      <c r="C182" s="3" t="s">
        <v>18</v>
      </c>
      <c r="D182" s="3" t="s">
        <v>1347</v>
      </c>
      <c r="E182" s="4">
        <v>0.95</v>
      </c>
      <c r="F182" s="42">
        <v>2.15</v>
      </c>
      <c r="G182" s="45">
        <v>424</v>
      </c>
      <c r="H182" s="22">
        <v>1.8</v>
      </c>
      <c r="I182" s="6">
        <f t="shared" si="9"/>
        <v>1558.8359999999998</v>
      </c>
      <c r="J182" s="6" t="s">
        <v>1149</v>
      </c>
      <c r="K182" s="17">
        <f t="shared" si="8"/>
        <v>6</v>
      </c>
    </row>
    <row r="183" spans="1:11" ht="13.95" customHeight="1" x14ac:dyDescent="0.3">
      <c r="A183" s="3">
        <v>45809</v>
      </c>
      <c r="B183" s="3" t="s">
        <v>1394</v>
      </c>
      <c r="C183" s="3" t="s">
        <v>16</v>
      </c>
      <c r="D183" s="3" t="s">
        <v>14</v>
      </c>
      <c r="E183" s="4">
        <v>0.85</v>
      </c>
      <c r="F183" s="42">
        <v>2.15</v>
      </c>
      <c r="G183" s="45">
        <v>424</v>
      </c>
      <c r="H183" s="22">
        <v>1.8</v>
      </c>
      <c r="I183" s="6">
        <f t="shared" si="9"/>
        <v>1394.7479999999998</v>
      </c>
      <c r="J183" s="6" t="s">
        <v>153</v>
      </c>
      <c r="K183" s="17">
        <f t="shared" si="8"/>
        <v>6</v>
      </c>
    </row>
    <row r="184" spans="1:11" ht="13.95" customHeight="1" x14ac:dyDescent="0.3">
      <c r="A184" s="3">
        <v>45810</v>
      </c>
      <c r="B184" s="3" t="s">
        <v>1394</v>
      </c>
      <c r="C184" s="3" t="s">
        <v>18</v>
      </c>
      <c r="D184" s="3" t="s">
        <v>1340</v>
      </c>
      <c r="E184" s="4">
        <v>0.75</v>
      </c>
      <c r="F184" s="42">
        <v>1.95</v>
      </c>
      <c r="G184" s="45">
        <v>424</v>
      </c>
      <c r="H184" s="22">
        <v>1.8</v>
      </c>
      <c r="I184" s="6">
        <f t="shared" si="9"/>
        <v>1116.18</v>
      </c>
      <c r="J184" s="6" t="s">
        <v>1341</v>
      </c>
      <c r="K184" s="17">
        <f t="shared" si="8"/>
        <v>6</v>
      </c>
    </row>
    <row r="185" spans="1:11" ht="13.95" customHeight="1" x14ac:dyDescent="0.3">
      <c r="A185" s="3">
        <v>45811</v>
      </c>
      <c r="B185" s="3" t="s">
        <v>1394</v>
      </c>
      <c r="C185" s="3" t="s">
        <v>20</v>
      </c>
      <c r="D185" s="3" t="s">
        <v>1340</v>
      </c>
      <c r="E185" s="4">
        <v>0.78</v>
      </c>
      <c r="F185" s="42">
        <v>1.95</v>
      </c>
      <c r="G185" s="45">
        <v>424</v>
      </c>
      <c r="H185" s="22">
        <v>1.8</v>
      </c>
      <c r="I185" s="6">
        <f t="shared" si="9"/>
        <v>1160.8271999999999</v>
      </c>
      <c r="J185" s="6" t="s">
        <v>1331</v>
      </c>
      <c r="K185" s="17">
        <f t="shared" si="8"/>
        <v>6</v>
      </c>
    </row>
    <row r="186" spans="1:11" ht="13.95" customHeight="1" x14ac:dyDescent="0.3">
      <c r="A186" s="3">
        <v>45812</v>
      </c>
      <c r="B186" s="3" t="s">
        <v>1394</v>
      </c>
      <c r="C186" s="3" t="s">
        <v>5</v>
      </c>
      <c r="D186" s="3" t="s">
        <v>1340</v>
      </c>
      <c r="E186" s="4">
        <v>0.75</v>
      </c>
      <c r="F186" s="42">
        <v>1.9</v>
      </c>
      <c r="G186" s="45">
        <v>424</v>
      </c>
      <c r="H186" s="22">
        <v>1.8</v>
      </c>
      <c r="I186" s="6">
        <f t="shared" si="9"/>
        <v>1087.56</v>
      </c>
      <c r="J186" s="6" t="s">
        <v>142</v>
      </c>
      <c r="K186" s="17">
        <f t="shared" si="8"/>
        <v>6</v>
      </c>
    </row>
    <row r="187" spans="1:11" ht="13.95" customHeight="1" x14ac:dyDescent="0.3">
      <c r="A187" s="3">
        <v>45813</v>
      </c>
      <c r="B187" s="3" t="s">
        <v>1394</v>
      </c>
      <c r="C187" s="3" t="s">
        <v>8</v>
      </c>
      <c r="D187" s="3" t="s">
        <v>1340</v>
      </c>
      <c r="E187" s="4">
        <v>0.78</v>
      </c>
      <c r="F187" s="42">
        <v>1.95</v>
      </c>
      <c r="G187" s="45">
        <v>424</v>
      </c>
      <c r="H187" s="22">
        <v>1.8</v>
      </c>
      <c r="I187" s="6">
        <f t="shared" si="9"/>
        <v>1160.8271999999999</v>
      </c>
      <c r="J187" s="6" t="s">
        <v>71</v>
      </c>
      <c r="K187" s="17">
        <f t="shared" si="8"/>
        <v>6</v>
      </c>
    </row>
    <row r="188" spans="1:11" ht="13.95" customHeight="1" x14ac:dyDescent="0.3">
      <c r="A188" s="3">
        <v>45814</v>
      </c>
      <c r="B188" s="3" t="s">
        <v>1394</v>
      </c>
      <c r="C188" s="3" t="s">
        <v>11</v>
      </c>
      <c r="D188" s="3" t="s">
        <v>1142</v>
      </c>
      <c r="E188" s="4">
        <v>0.95</v>
      </c>
      <c r="F188" s="42">
        <v>2.6</v>
      </c>
      <c r="G188" s="45">
        <v>424</v>
      </c>
      <c r="H188" s="22">
        <v>1.8</v>
      </c>
      <c r="I188" s="6">
        <f t="shared" si="9"/>
        <v>1885.104</v>
      </c>
      <c r="J188" s="6" t="s">
        <v>1342</v>
      </c>
      <c r="K188" s="17">
        <f t="shared" si="8"/>
        <v>6</v>
      </c>
    </row>
    <row r="189" spans="1:11" ht="13.95" customHeight="1" x14ac:dyDescent="0.3">
      <c r="A189" s="3">
        <v>45815</v>
      </c>
      <c r="B189" s="3" t="s">
        <v>1394</v>
      </c>
      <c r="C189" s="3" t="s">
        <v>13</v>
      </c>
      <c r="D189" s="3" t="s">
        <v>1142</v>
      </c>
      <c r="E189" s="4">
        <v>1</v>
      </c>
      <c r="F189" s="42">
        <v>2.7</v>
      </c>
      <c r="G189" s="45">
        <v>424</v>
      </c>
      <c r="H189" s="22">
        <v>1.8</v>
      </c>
      <c r="I189" s="6">
        <f t="shared" si="9"/>
        <v>2060.6400000000003</v>
      </c>
      <c r="J189" s="6" t="s">
        <v>1343</v>
      </c>
      <c r="K189" s="17">
        <f t="shared" si="8"/>
        <v>6</v>
      </c>
    </row>
    <row r="190" spans="1:11" ht="13.95" customHeight="1" x14ac:dyDescent="0.3">
      <c r="A190" s="3">
        <v>45816</v>
      </c>
      <c r="B190" s="3" t="s">
        <v>1394</v>
      </c>
      <c r="C190" s="3" t="s">
        <v>16</v>
      </c>
      <c r="D190" s="3" t="s">
        <v>1344</v>
      </c>
      <c r="E190" s="4">
        <v>0.95</v>
      </c>
      <c r="F190" s="42">
        <v>2.4</v>
      </c>
      <c r="G190" s="45">
        <v>424</v>
      </c>
      <c r="H190" s="22">
        <v>1.8</v>
      </c>
      <c r="I190" s="6">
        <f t="shared" si="9"/>
        <v>1740.0959999999998</v>
      </c>
      <c r="J190" s="6" t="s">
        <v>1345</v>
      </c>
      <c r="K190" s="17">
        <f t="shared" si="8"/>
        <v>6</v>
      </c>
    </row>
    <row r="191" spans="1:11" ht="13.95" customHeight="1" x14ac:dyDescent="0.3">
      <c r="A191" s="3">
        <v>45817</v>
      </c>
      <c r="B191" s="3" t="s">
        <v>1394</v>
      </c>
      <c r="C191" s="3" t="s">
        <v>18</v>
      </c>
      <c r="D191" s="3" t="s">
        <v>1340</v>
      </c>
      <c r="E191" s="4">
        <v>0.8</v>
      </c>
      <c r="F191" s="42">
        <v>1.95</v>
      </c>
      <c r="G191" s="45">
        <v>424</v>
      </c>
      <c r="H191" s="22">
        <v>1.8</v>
      </c>
      <c r="I191" s="6">
        <f t="shared" si="9"/>
        <v>1190.5920000000001</v>
      </c>
      <c r="J191" s="6" t="s">
        <v>609</v>
      </c>
      <c r="K191" s="17">
        <f t="shared" si="8"/>
        <v>6</v>
      </c>
    </row>
    <row r="192" spans="1:11" ht="13.95" customHeight="1" x14ac:dyDescent="0.3">
      <c r="A192" s="3">
        <v>45818</v>
      </c>
      <c r="B192" s="3" t="s">
        <v>1394</v>
      </c>
      <c r="C192" s="3" t="s">
        <v>20</v>
      </c>
      <c r="D192" s="3" t="s">
        <v>1340</v>
      </c>
      <c r="E192" s="4">
        <v>0.82</v>
      </c>
      <c r="F192" s="42">
        <v>1.95</v>
      </c>
      <c r="G192" s="45">
        <v>424</v>
      </c>
      <c r="H192" s="22">
        <v>1.8</v>
      </c>
      <c r="I192" s="6">
        <f t="shared" si="9"/>
        <v>1220.3568</v>
      </c>
      <c r="J192" s="6" t="s">
        <v>838</v>
      </c>
      <c r="K192" s="17">
        <f t="shared" si="8"/>
        <v>6</v>
      </c>
    </row>
    <row r="193" spans="1:11" ht="13.95" customHeight="1" x14ac:dyDescent="0.3">
      <c r="A193" s="3">
        <v>45819</v>
      </c>
      <c r="B193" s="3" t="s">
        <v>1394</v>
      </c>
      <c r="C193" s="3" t="s">
        <v>5</v>
      </c>
      <c r="D193" s="3" t="s">
        <v>1340</v>
      </c>
      <c r="E193" s="4">
        <v>0.8</v>
      </c>
      <c r="F193" s="42">
        <v>1.9</v>
      </c>
      <c r="G193" s="45">
        <v>424</v>
      </c>
      <c r="H193" s="22">
        <v>1.8</v>
      </c>
      <c r="I193" s="6">
        <f t="shared" si="9"/>
        <v>1160.0640000000001</v>
      </c>
      <c r="J193" s="6" t="s">
        <v>71</v>
      </c>
      <c r="K193" s="17">
        <f t="shared" si="8"/>
        <v>6</v>
      </c>
    </row>
    <row r="194" spans="1:11" ht="13.95" customHeight="1" x14ac:dyDescent="0.3">
      <c r="A194" s="3">
        <v>45820</v>
      </c>
      <c r="B194" s="3" t="s">
        <v>1394</v>
      </c>
      <c r="C194" s="3" t="s">
        <v>8</v>
      </c>
      <c r="D194" s="3" t="s">
        <v>1340</v>
      </c>
      <c r="E194" s="4">
        <v>0.85</v>
      </c>
      <c r="F194" s="42">
        <v>2</v>
      </c>
      <c r="G194" s="45">
        <v>424</v>
      </c>
      <c r="H194" s="22">
        <v>1.8</v>
      </c>
      <c r="I194" s="6">
        <f t="shared" si="9"/>
        <v>1297.44</v>
      </c>
      <c r="J194" s="6" t="s">
        <v>754</v>
      </c>
      <c r="K194" s="17">
        <f t="shared" si="8"/>
        <v>6</v>
      </c>
    </row>
    <row r="195" spans="1:11" ht="13.95" customHeight="1" x14ac:dyDescent="0.3">
      <c r="A195" s="3">
        <v>45821</v>
      </c>
      <c r="B195" s="3" t="s">
        <v>1394</v>
      </c>
      <c r="C195" s="3" t="s">
        <v>11</v>
      </c>
      <c r="D195" s="3" t="s">
        <v>14</v>
      </c>
      <c r="E195" s="4">
        <v>0.9</v>
      </c>
      <c r="F195" s="42">
        <v>2.2000000000000002</v>
      </c>
      <c r="G195" s="45">
        <v>424</v>
      </c>
      <c r="H195" s="22">
        <v>1.8</v>
      </c>
      <c r="I195" s="6">
        <f t="shared" si="9"/>
        <v>1511.1360000000002</v>
      </c>
      <c r="J195" s="6" t="s">
        <v>97</v>
      </c>
      <c r="K195" s="17">
        <f t="shared" ref="K195:K258" si="10">MONTH(A195)</f>
        <v>6</v>
      </c>
    </row>
    <row r="196" spans="1:11" ht="13.95" customHeight="1" x14ac:dyDescent="0.3">
      <c r="A196" s="3">
        <v>45822</v>
      </c>
      <c r="B196" s="3" t="s">
        <v>1394</v>
      </c>
      <c r="C196" s="3" t="s">
        <v>13</v>
      </c>
      <c r="D196" s="3" t="s">
        <v>14</v>
      </c>
      <c r="E196" s="4">
        <v>0.95</v>
      </c>
      <c r="F196" s="42">
        <v>2.5</v>
      </c>
      <c r="G196" s="45">
        <v>424</v>
      </c>
      <c r="H196" s="22">
        <v>1.8</v>
      </c>
      <c r="I196" s="6">
        <f t="shared" si="9"/>
        <v>1812.6</v>
      </c>
      <c r="J196" s="6" t="s">
        <v>1346</v>
      </c>
      <c r="K196" s="17">
        <f t="shared" si="10"/>
        <v>6</v>
      </c>
    </row>
    <row r="197" spans="1:11" ht="13.95" customHeight="1" x14ac:dyDescent="0.3">
      <c r="A197" s="3">
        <v>45823</v>
      </c>
      <c r="B197" s="3" t="s">
        <v>1394</v>
      </c>
      <c r="C197" s="3" t="s">
        <v>16</v>
      </c>
      <c r="D197" s="3" t="s">
        <v>14</v>
      </c>
      <c r="E197" s="4">
        <v>0.92</v>
      </c>
      <c r="F197" s="42">
        <v>2.2999999999999998</v>
      </c>
      <c r="G197" s="45">
        <v>424</v>
      </c>
      <c r="H197" s="22">
        <v>1.8</v>
      </c>
      <c r="I197" s="6">
        <f t="shared" si="9"/>
        <v>1614.9312</v>
      </c>
      <c r="J197" s="6" t="s">
        <v>149</v>
      </c>
      <c r="K197" s="17">
        <f t="shared" si="10"/>
        <v>6</v>
      </c>
    </row>
    <row r="198" spans="1:11" ht="13.95" customHeight="1" x14ac:dyDescent="0.3">
      <c r="A198" s="3">
        <v>45824</v>
      </c>
      <c r="B198" s="3" t="s">
        <v>1394</v>
      </c>
      <c r="C198" s="3" t="s">
        <v>18</v>
      </c>
      <c r="D198" s="3" t="s">
        <v>1340</v>
      </c>
      <c r="E198" s="4">
        <v>0.85</v>
      </c>
      <c r="F198" s="42">
        <v>2</v>
      </c>
      <c r="G198" s="45">
        <v>424</v>
      </c>
      <c r="H198" s="22">
        <v>1.8</v>
      </c>
      <c r="I198" s="6">
        <f t="shared" si="9"/>
        <v>1297.44</v>
      </c>
      <c r="J198" s="6" t="s">
        <v>476</v>
      </c>
      <c r="K198" s="17">
        <f t="shared" si="10"/>
        <v>6</v>
      </c>
    </row>
    <row r="199" spans="1:11" ht="13.95" customHeight="1" x14ac:dyDescent="0.3">
      <c r="A199" s="3">
        <v>45825</v>
      </c>
      <c r="B199" s="3" t="s">
        <v>1394</v>
      </c>
      <c r="C199" s="3" t="s">
        <v>20</v>
      </c>
      <c r="D199" s="3" t="s">
        <v>1340</v>
      </c>
      <c r="E199" s="4">
        <v>0.88</v>
      </c>
      <c r="F199" s="42">
        <v>2.0499999999999998</v>
      </c>
      <c r="G199" s="45">
        <v>424</v>
      </c>
      <c r="H199" s="22">
        <v>1.8</v>
      </c>
      <c r="I199" s="6">
        <f t="shared" si="9"/>
        <v>1376.8127999999999</v>
      </c>
      <c r="J199" s="6" t="s">
        <v>476</v>
      </c>
      <c r="K199" s="17">
        <f t="shared" si="10"/>
        <v>6</v>
      </c>
    </row>
    <row r="200" spans="1:11" ht="13.95" customHeight="1" x14ac:dyDescent="0.3">
      <c r="A200" s="3">
        <v>45826</v>
      </c>
      <c r="B200" s="3" t="s">
        <v>1394</v>
      </c>
      <c r="C200" s="3" t="s">
        <v>5</v>
      </c>
      <c r="D200" s="3" t="s">
        <v>1340</v>
      </c>
      <c r="E200" s="4">
        <v>0.85</v>
      </c>
      <c r="F200" s="42">
        <v>2</v>
      </c>
      <c r="G200" s="45">
        <v>424</v>
      </c>
      <c r="H200" s="22">
        <v>1.8</v>
      </c>
      <c r="I200" s="6">
        <f t="shared" si="9"/>
        <v>1297.44</v>
      </c>
      <c r="J200" s="6" t="s">
        <v>476</v>
      </c>
      <c r="K200" s="17">
        <f t="shared" si="10"/>
        <v>6</v>
      </c>
    </row>
    <row r="201" spans="1:11" ht="13.95" customHeight="1" x14ac:dyDescent="0.3">
      <c r="A201" s="3">
        <v>45827</v>
      </c>
      <c r="B201" s="3" t="s">
        <v>1394</v>
      </c>
      <c r="C201" s="3" t="s">
        <v>8</v>
      </c>
      <c r="D201" s="3" t="s">
        <v>1340</v>
      </c>
      <c r="E201" s="4">
        <v>0.88</v>
      </c>
      <c r="F201" s="42">
        <v>2.0499999999999998</v>
      </c>
      <c r="G201" s="45">
        <v>424</v>
      </c>
      <c r="H201" s="22">
        <v>1.8</v>
      </c>
      <c r="I201" s="6">
        <f t="shared" si="9"/>
        <v>1376.8127999999999</v>
      </c>
      <c r="J201" s="6" t="s">
        <v>476</v>
      </c>
      <c r="K201" s="17">
        <f t="shared" si="10"/>
        <v>6</v>
      </c>
    </row>
    <row r="202" spans="1:11" ht="13.95" customHeight="1" x14ac:dyDescent="0.3">
      <c r="A202" s="3">
        <v>45828</v>
      </c>
      <c r="B202" s="3" t="s">
        <v>1394</v>
      </c>
      <c r="C202" s="3" t="s">
        <v>11</v>
      </c>
      <c r="D202" s="3" t="s">
        <v>14</v>
      </c>
      <c r="E202" s="4">
        <v>0.92</v>
      </c>
      <c r="F202" s="42">
        <v>2.2999999999999998</v>
      </c>
      <c r="G202" s="45">
        <v>424</v>
      </c>
      <c r="H202" s="22">
        <v>1.8</v>
      </c>
      <c r="I202" s="6">
        <f t="shared" si="9"/>
        <v>1614.9312</v>
      </c>
      <c r="J202" s="6" t="s">
        <v>97</v>
      </c>
      <c r="K202" s="17">
        <f t="shared" si="10"/>
        <v>6</v>
      </c>
    </row>
    <row r="203" spans="1:11" ht="13.95" customHeight="1" x14ac:dyDescent="0.3">
      <c r="A203" s="3">
        <v>45829</v>
      </c>
      <c r="B203" s="3" t="s">
        <v>1394</v>
      </c>
      <c r="C203" s="3" t="s">
        <v>13</v>
      </c>
      <c r="D203" s="3" t="s">
        <v>14</v>
      </c>
      <c r="E203" s="4">
        <v>0.98</v>
      </c>
      <c r="F203" s="42">
        <v>2.6</v>
      </c>
      <c r="G203" s="45">
        <v>424</v>
      </c>
      <c r="H203" s="22">
        <v>1.8</v>
      </c>
      <c r="I203" s="6">
        <f t="shared" si="9"/>
        <v>1944.6336000000001</v>
      </c>
      <c r="J203" s="6" t="s">
        <v>1335</v>
      </c>
      <c r="K203" s="17">
        <f t="shared" si="10"/>
        <v>6</v>
      </c>
    </row>
    <row r="204" spans="1:11" ht="13.95" customHeight="1" x14ac:dyDescent="0.3">
      <c r="A204" s="3">
        <v>45830</v>
      </c>
      <c r="B204" s="3" t="s">
        <v>1394</v>
      </c>
      <c r="C204" s="3" t="s">
        <v>16</v>
      </c>
      <c r="D204" s="3" t="s">
        <v>14</v>
      </c>
      <c r="E204" s="4">
        <v>0.95</v>
      </c>
      <c r="F204" s="42">
        <v>2.4</v>
      </c>
      <c r="G204" s="45">
        <v>424</v>
      </c>
      <c r="H204" s="22">
        <v>1.8</v>
      </c>
      <c r="I204" s="6">
        <f t="shared" si="9"/>
        <v>1740.0959999999998</v>
      </c>
      <c r="J204" s="6" t="s">
        <v>1336</v>
      </c>
      <c r="K204" s="17">
        <f t="shared" si="10"/>
        <v>6</v>
      </c>
    </row>
    <row r="205" spans="1:11" ht="13.95" customHeight="1" x14ac:dyDescent="0.3">
      <c r="A205" s="3">
        <v>45831</v>
      </c>
      <c r="B205" s="3" t="s">
        <v>1394</v>
      </c>
      <c r="C205" s="3" t="s">
        <v>18</v>
      </c>
      <c r="D205" s="3" t="s">
        <v>1347</v>
      </c>
      <c r="E205" s="4">
        <v>0.9</v>
      </c>
      <c r="F205" s="42">
        <v>2.1</v>
      </c>
      <c r="G205" s="45">
        <v>424</v>
      </c>
      <c r="H205" s="22">
        <v>1.8</v>
      </c>
      <c r="I205" s="6">
        <f t="shared" si="9"/>
        <v>1442.4480000000003</v>
      </c>
      <c r="J205" s="6" t="s">
        <v>1348</v>
      </c>
      <c r="K205" s="17">
        <f t="shared" si="10"/>
        <v>6</v>
      </c>
    </row>
    <row r="206" spans="1:11" ht="13.95" customHeight="1" x14ac:dyDescent="0.3">
      <c r="A206" s="3">
        <v>45832</v>
      </c>
      <c r="B206" s="3" t="s">
        <v>1394</v>
      </c>
      <c r="C206" s="3" t="s">
        <v>20</v>
      </c>
      <c r="D206" s="3" t="s">
        <v>1347</v>
      </c>
      <c r="E206" s="4">
        <v>0.92</v>
      </c>
      <c r="F206" s="42">
        <v>2.1</v>
      </c>
      <c r="G206" s="45">
        <v>424</v>
      </c>
      <c r="H206" s="22">
        <v>1.8</v>
      </c>
      <c r="I206" s="6">
        <f t="shared" si="9"/>
        <v>1474.5024000000003</v>
      </c>
      <c r="J206" s="6" t="s">
        <v>1348</v>
      </c>
      <c r="K206" s="17">
        <f t="shared" si="10"/>
        <v>6</v>
      </c>
    </row>
    <row r="207" spans="1:11" ht="13.95" customHeight="1" x14ac:dyDescent="0.3">
      <c r="A207" s="3">
        <v>45833</v>
      </c>
      <c r="B207" s="3" t="s">
        <v>1394</v>
      </c>
      <c r="C207" s="3" t="s">
        <v>5</v>
      </c>
      <c r="D207" s="3" t="s">
        <v>1347</v>
      </c>
      <c r="E207" s="4">
        <v>0.9</v>
      </c>
      <c r="F207" s="42">
        <v>2.1</v>
      </c>
      <c r="G207" s="45">
        <v>424</v>
      </c>
      <c r="H207" s="22">
        <v>1.8</v>
      </c>
      <c r="I207" s="6">
        <f t="shared" si="9"/>
        <v>1442.4480000000003</v>
      </c>
      <c r="J207" s="6" t="s">
        <v>71</v>
      </c>
      <c r="K207" s="17">
        <f t="shared" si="10"/>
        <v>6</v>
      </c>
    </row>
    <row r="208" spans="1:11" ht="13.95" customHeight="1" x14ac:dyDescent="0.3">
      <c r="A208" s="3">
        <v>45834</v>
      </c>
      <c r="B208" s="3" t="s">
        <v>1394</v>
      </c>
      <c r="C208" s="3" t="s">
        <v>8</v>
      </c>
      <c r="D208" s="3" t="s">
        <v>1347</v>
      </c>
      <c r="E208" s="4">
        <v>0.92</v>
      </c>
      <c r="F208" s="42">
        <v>2.15</v>
      </c>
      <c r="G208" s="45">
        <v>424</v>
      </c>
      <c r="H208" s="22">
        <v>1.8</v>
      </c>
      <c r="I208" s="6">
        <f t="shared" si="9"/>
        <v>1509.6096</v>
      </c>
      <c r="J208" s="6" t="s">
        <v>71</v>
      </c>
      <c r="K208" s="17">
        <f t="shared" si="10"/>
        <v>6</v>
      </c>
    </row>
    <row r="209" spans="1:11" ht="13.95" customHeight="1" x14ac:dyDescent="0.3">
      <c r="A209" s="3">
        <v>45835</v>
      </c>
      <c r="B209" s="3" t="s">
        <v>1394</v>
      </c>
      <c r="C209" s="3" t="s">
        <v>11</v>
      </c>
      <c r="D209" s="3" t="s">
        <v>44</v>
      </c>
      <c r="E209" s="4">
        <v>0.95</v>
      </c>
      <c r="F209" s="42">
        <v>2.4</v>
      </c>
      <c r="G209" s="45">
        <v>424</v>
      </c>
      <c r="H209" s="22">
        <v>1.8</v>
      </c>
      <c r="I209" s="6">
        <f t="shared" si="9"/>
        <v>1740.0959999999998</v>
      </c>
      <c r="J209" s="6" t="s">
        <v>197</v>
      </c>
      <c r="K209" s="17">
        <f t="shared" si="10"/>
        <v>6</v>
      </c>
    </row>
    <row r="210" spans="1:11" ht="13.95" customHeight="1" x14ac:dyDescent="0.3">
      <c r="A210" s="3">
        <v>45836</v>
      </c>
      <c r="B210" s="3" t="s">
        <v>1394</v>
      </c>
      <c r="C210" s="3" t="s">
        <v>13</v>
      </c>
      <c r="D210" s="3" t="s">
        <v>995</v>
      </c>
      <c r="E210" s="4">
        <v>1</v>
      </c>
      <c r="F210" s="42">
        <v>2.65</v>
      </c>
      <c r="G210" s="45">
        <v>424</v>
      </c>
      <c r="H210" s="22">
        <v>1.8</v>
      </c>
      <c r="I210" s="6">
        <f t="shared" si="9"/>
        <v>2022.4799999999998</v>
      </c>
      <c r="J210" s="6" t="s">
        <v>1317</v>
      </c>
      <c r="K210" s="17">
        <f t="shared" si="10"/>
        <v>6</v>
      </c>
    </row>
    <row r="211" spans="1:11" ht="13.95" customHeight="1" x14ac:dyDescent="0.3">
      <c r="A211" s="3">
        <v>45837</v>
      </c>
      <c r="B211" s="3" t="s">
        <v>1394</v>
      </c>
      <c r="C211" s="3" t="s">
        <v>16</v>
      </c>
      <c r="D211" s="3" t="s">
        <v>14</v>
      </c>
      <c r="E211" s="4">
        <v>0.98</v>
      </c>
      <c r="F211" s="42">
        <v>2.5</v>
      </c>
      <c r="G211" s="45">
        <v>424</v>
      </c>
      <c r="H211" s="22">
        <v>1.8</v>
      </c>
      <c r="I211" s="6">
        <f t="shared" si="9"/>
        <v>1869.84</v>
      </c>
      <c r="J211" s="6" t="s">
        <v>1349</v>
      </c>
      <c r="K211" s="17">
        <f t="shared" si="10"/>
        <v>6</v>
      </c>
    </row>
    <row r="212" spans="1:11" ht="13.95" customHeight="1" x14ac:dyDescent="0.3">
      <c r="A212" s="3">
        <v>45838</v>
      </c>
      <c r="B212" s="3" t="s">
        <v>1394</v>
      </c>
      <c r="C212" s="3" t="s">
        <v>18</v>
      </c>
      <c r="D212" s="3" t="s">
        <v>1347</v>
      </c>
      <c r="E212" s="4">
        <v>0.95</v>
      </c>
      <c r="F212" s="42">
        <v>2.15</v>
      </c>
      <c r="G212" s="45">
        <v>424</v>
      </c>
      <c r="H212" s="22">
        <v>1.8</v>
      </c>
      <c r="I212" s="6">
        <f t="shared" si="9"/>
        <v>1558.8359999999998</v>
      </c>
      <c r="J212" s="6" t="s">
        <v>1149</v>
      </c>
      <c r="K212" s="17">
        <f t="shared" si="10"/>
        <v>6</v>
      </c>
    </row>
    <row r="213" spans="1:11" ht="13.95" customHeight="1" x14ac:dyDescent="0.3">
      <c r="A213" s="3">
        <v>45839</v>
      </c>
      <c r="B213" s="3" t="s">
        <v>1394</v>
      </c>
      <c r="C213" s="3" t="s">
        <v>20</v>
      </c>
      <c r="D213" s="3" t="s">
        <v>1347</v>
      </c>
      <c r="E213" s="4">
        <v>0.95</v>
      </c>
      <c r="F213" s="42">
        <v>2.15</v>
      </c>
      <c r="G213" s="45">
        <v>424</v>
      </c>
      <c r="H213" s="22">
        <v>1.8</v>
      </c>
      <c r="I213" s="6">
        <f t="shared" si="9"/>
        <v>1558.8359999999998</v>
      </c>
      <c r="J213" s="6" t="s">
        <v>1350</v>
      </c>
      <c r="K213" s="17">
        <f t="shared" si="10"/>
        <v>7</v>
      </c>
    </row>
    <row r="214" spans="1:11" ht="13.95" customHeight="1" x14ac:dyDescent="0.3">
      <c r="A214" s="3">
        <v>45840</v>
      </c>
      <c r="B214" s="3" t="s">
        <v>1394</v>
      </c>
      <c r="C214" s="3" t="s">
        <v>5</v>
      </c>
      <c r="D214" s="3" t="s">
        <v>1347</v>
      </c>
      <c r="E214" s="4">
        <v>0.92</v>
      </c>
      <c r="F214" s="42">
        <v>2.1</v>
      </c>
      <c r="G214" s="45">
        <v>424</v>
      </c>
      <c r="H214" s="22">
        <v>1.8</v>
      </c>
      <c r="I214" s="6">
        <f t="shared" si="9"/>
        <v>1474.5024000000003</v>
      </c>
      <c r="J214" s="6" t="s">
        <v>1332</v>
      </c>
      <c r="K214" s="17">
        <f t="shared" si="10"/>
        <v>7</v>
      </c>
    </row>
    <row r="215" spans="1:11" ht="13.95" customHeight="1" x14ac:dyDescent="0.3">
      <c r="A215" s="3">
        <v>45841</v>
      </c>
      <c r="B215" s="3" t="s">
        <v>1394</v>
      </c>
      <c r="C215" s="3" t="s">
        <v>8</v>
      </c>
      <c r="D215" s="3" t="s">
        <v>1347</v>
      </c>
      <c r="E215" s="4">
        <v>0.95</v>
      </c>
      <c r="F215" s="42">
        <v>2.15</v>
      </c>
      <c r="G215" s="45">
        <v>424</v>
      </c>
      <c r="H215" s="22">
        <v>1.8</v>
      </c>
      <c r="I215" s="6">
        <f t="shared" si="9"/>
        <v>1558.8359999999998</v>
      </c>
      <c r="J215" s="6" t="s">
        <v>71</v>
      </c>
      <c r="K215" s="17">
        <f t="shared" si="10"/>
        <v>7</v>
      </c>
    </row>
    <row r="216" spans="1:11" ht="13.95" customHeight="1" x14ac:dyDescent="0.3">
      <c r="A216" s="3">
        <v>45842</v>
      </c>
      <c r="B216" s="3" t="s">
        <v>1394</v>
      </c>
      <c r="C216" s="3" t="s">
        <v>11</v>
      </c>
      <c r="D216" s="3" t="s">
        <v>829</v>
      </c>
      <c r="E216" s="4">
        <v>1</v>
      </c>
      <c r="F216" s="42">
        <v>2.4</v>
      </c>
      <c r="G216" s="45">
        <v>424</v>
      </c>
      <c r="H216" s="22">
        <v>1.8</v>
      </c>
      <c r="I216" s="6">
        <f t="shared" si="9"/>
        <v>1831.6799999999998</v>
      </c>
      <c r="J216" s="6" t="s">
        <v>531</v>
      </c>
      <c r="K216" s="17">
        <f t="shared" si="10"/>
        <v>7</v>
      </c>
    </row>
    <row r="217" spans="1:11" ht="13.95" customHeight="1" x14ac:dyDescent="0.3">
      <c r="A217" s="3">
        <v>45843</v>
      </c>
      <c r="B217" s="3" t="s">
        <v>1394</v>
      </c>
      <c r="C217" s="3" t="s">
        <v>13</v>
      </c>
      <c r="D217" s="3" t="s">
        <v>829</v>
      </c>
      <c r="E217" s="4">
        <v>1</v>
      </c>
      <c r="F217" s="42">
        <v>2.75</v>
      </c>
      <c r="G217" s="45">
        <v>424</v>
      </c>
      <c r="H217" s="22">
        <v>1.8</v>
      </c>
      <c r="I217" s="6">
        <f t="shared" si="9"/>
        <v>2098.8000000000002</v>
      </c>
      <c r="J217" s="6" t="s">
        <v>1351</v>
      </c>
      <c r="K217" s="17">
        <f t="shared" si="10"/>
        <v>7</v>
      </c>
    </row>
    <row r="218" spans="1:11" ht="13.95" customHeight="1" x14ac:dyDescent="0.3">
      <c r="A218" s="3">
        <v>45844</v>
      </c>
      <c r="B218" s="3" t="s">
        <v>1394</v>
      </c>
      <c r="C218" s="3" t="s">
        <v>16</v>
      </c>
      <c r="D218" s="3" t="s">
        <v>829</v>
      </c>
      <c r="E218" s="4">
        <v>1</v>
      </c>
      <c r="F218" s="42">
        <v>2.5</v>
      </c>
      <c r="G218" s="45">
        <v>424</v>
      </c>
      <c r="H218" s="22">
        <v>1.8</v>
      </c>
      <c r="I218" s="6">
        <f t="shared" si="9"/>
        <v>1908</v>
      </c>
      <c r="J218" s="6" t="s">
        <v>1352</v>
      </c>
      <c r="K218" s="17">
        <f t="shared" si="10"/>
        <v>7</v>
      </c>
    </row>
    <row r="219" spans="1:11" ht="13.95" customHeight="1" x14ac:dyDescent="0.3">
      <c r="A219" s="3">
        <v>45845</v>
      </c>
      <c r="B219" s="3" t="s">
        <v>1394</v>
      </c>
      <c r="C219" s="3" t="s">
        <v>18</v>
      </c>
      <c r="D219" s="3" t="s">
        <v>1347</v>
      </c>
      <c r="E219" s="4">
        <v>0.95</v>
      </c>
      <c r="F219" s="42">
        <v>2.15</v>
      </c>
      <c r="G219" s="45">
        <v>424</v>
      </c>
      <c r="H219" s="22">
        <v>1.8</v>
      </c>
      <c r="I219" s="6">
        <f t="shared" si="9"/>
        <v>1558.8359999999998</v>
      </c>
      <c r="J219" s="6" t="s">
        <v>476</v>
      </c>
      <c r="K219" s="17">
        <f t="shared" si="10"/>
        <v>7</v>
      </c>
    </row>
    <row r="220" spans="1:11" ht="13.95" customHeight="1" x14ac:dyDescent="0.3">
      <c r="A220" s="3">
        <v>45846</v>
      </c>
      <c r="B220" s="3" t="s">
        <v>1394</v>
      </c>
      <c r="C220" s="3" t="s">
        <v>20</v>
      </c>
      <c r="D220" s="3" t="s">
        <v>1347</v>
      </c>
      <c r="E220" s="4">
        <v>0.92</v>
      </c>
      <c r="F220" s="42">
        <v>2.1</v>
      </c>
      <c r="G220" s="45">
        <v>424</v>
      </c>
      <c r="H220" s="22">
        <v>1.8</v>
      </c>
      <c r="I220" s="6">
        <f t="shared" si="9"/>
        <v>1474.5024000000003</v>
      </c>
      <c r="J220" s="6" t="s">
        <v>476</v>
      </c>
      <c r="K220" s="17">
        <f t="shared" si="10"/>
        <v>7</v>
      </c>
    </row>
    <row r="221" spans="1:11" ht="13.95" customHeight="1" x14ac:dyDescent="0.3">
      <c r="A221" s="3">
        <v>45847</v>
      </c>
      <c r="B221" s="3" t="s">
        <v>1394</v>
      </c>
      <c r="C221" s="3" t="s">
        <v>5</v>
      </c>
      <c r="D221" s="3" t="s">
        <v>1347</v>
      </c>
      <c r="E221" s="4">
        <v>0.95</v>
      </c>
      <c r="F221" s="42">
        <v>2.15</v>
      </c>
      <c r="G221" s="45">
        <v>424</v>
      </c>
      <c r="H221" s="22">
        <v>1.8</v>
      </c>
      <c r="I221" s="6">
        <f t="shared" si="9"/>
        <v>1558.8359999999998</v>
      </c>
      <c r="J221" s="6" t="s">
        <v>476</v>
      </c>
      <c r="K221" s="17">
        <f t="shared" si="10"/>
        <v>7</v>
      </c>
    </row>
    <row r="222" spans="1:11" ht="13.95" customHeight="1" x14ac:dyDescent="0.3">
      <c r="A222" s="3">
        <v>45848</v>
      </c>
      <c r="B222" s="3" t="s">
        <v>1394</v>
      </c>
      <c r="C222" s="3" t="s">
        <v>8</v>
      </c>
      <c r="D222" s="3" t="s">
        <v>1347</v>
      </c>
      <c r="E222" s="4">
        <v>0.98</v>
      </c>
      <c r="F222" s="42">
        <v>2.2000000000000002</v>
      </c>
      <c r="G222" s="45">
        <v>424</v>
      </c>
      <c r="H222" s="22">
        <v>1.8</v>
      </c>
      <c r="I222" s="6">
        <f t="shared" si="9"/>
        <v>1645.4592</v>
      </c>
      <c r="J222" s="6" t="s">
        <v>82</v>
      </c>
      <c r="K222" s="17">
        <f t="shared" si="10"/>
        <v>7</v>
      </c>
    </row>
    <row r="223" spans="1:11" ht="13.95" customHeight="1" x14ac:dyDescent="0.3">
      <c r="A223" s="3">
        <v>45849</v>
      </c>
      <c r="B223" s="3" t="s">
        <v>1394</v>
      </c>
      <c r="C223" s="3" t="s">
        <v>11</v>
      </c>
      <c r="D223" s="3" t="s">
        <v>829</v>
      </c>
      <c r="E223" s="4">
        <v>1</v>
      </c>
      <c r="F223" s="42">
        <v>2.4500000000000002</v>
      </c>
      <c r="G223" s="45">
        <v>424</v>
      </c>
      <c r="H223" s="22">
        <v>1.8</v>
      </c>
      <c r="I223" s="6">
        <f t="shared" si="9"/>
        <v>1869.8400000000004</v>
      </c>
      <c r="J223" s="6" t="s">
        <v>97</v>
      </c>
      <c r="K223" s="17">
        <f t="shared" si="10"/>
        <v>7</v>
      </c>
    </row>
    <row r="224" spans="1:11" ht="13.95" customHeight="1" x14ac:dyDescent="0.3">
      <c r="A224" s="3">
        <v>45850</v>
      </c>
      <c r="B224" s="3" t="s">
        <v>1394</v>
      </c>
      <c r="C224" s="3" t="s">
        <v>13</v>
      </c>
      <c r="D224" s="3" t="s">
        <v>829</v>
      </c>
      <c r="E224" s="4">
        <v>1</v>
      </c>
      <c r="F224" s="42">
        <v>2.8</v>
      </c>
      <c r="G224" s="45">
        <v>424</v>
      </c>
      <c r="H224" s="22">
        <v>1.8</v>
      </c>
      <c r="I224" s="6">
        <f t="shared" ref="I224:I287" si="11">(G224*E224)*F224*H224</f>
        <v>2136.9599999999996</v>
      </c>
      <c r="J224" s="6" t="s">
        <v>1353</v>
      </c>
      <c r="K224" s="17">
        <f t="shared" si="10"/>
        <v>7</v>
      </c>
    </row>
    <row r="225" spans="1:11" ht="13.95" customHeight="1" x14ac:dyDescent="0.3">
      <c r="A225" s="3">
        <v>45851</v>
      </c>
      <c r="B225" s="3" t="s">
        <v>1394</v>
      </c>
      <c r="C225" s="3" t="s">
        <v>16</v>
      </c>
      <c r="D225" s="3" t="s">
        <v>829</v>
      </c>
      <c r="E225" s="4">
        <v>1</v>
      </c>
      <c r="F225" s="42">
        <v>2.5499999999999998</v>
      </c>
      <c r="G225" s="45">
        <v>424</v>
      </c>
      <c r="H225" s="22">
        <v>1.8</v>
      </c>
      <c r="I225" s="6">
        <f t="shared" si="11"/>
        <v>1946.1599999999996</v>
      </c>
      <c r="J225" s="6" t="s">
        <v>149</v>
      </c>
      <c r="K225" s="17">
        <f t="shared" si="10"/>
        <v>7</v>
      </c>
    </row>
    <row r="226" spans="1:11" ht="13.95" customHeight="1" x14ac:dyDescent="0.3">
      <c r="A226" s="3">
        <v>45852</v>
      </c>
      <c r="B226" s="3" t="s">
        <v>1394</v>
      </c>
      <c r="C226" s="3" t="s">
        <v>18</v>
      </c>
      <c r="D226" s="3" t="s">
        <v>1347</v>
      </c>
      <c r="E226" s="4">
        <v>0.95</v>
      </c>
      <c r="F226" s="42">
        <v>2.15</v>
      </c>
      <c r="G226" s="45">
        <v>424</v>
      </c>
      <c r="H226" s="22">
        <v>1.8</v>
      </c>
      <c r="I226" s="6">
        <f t="shared" si="11"/>
        <v>1558.8359999999998</v>
      </c>
      <c r="J226" s="6" t="s">
        <v>476</v>
      </c>
      <c r="K226" s="17">
        <f t="shared" si="10"/>
        <v>7</v>
      </c>
    </row>
    <row r="227" spans="1:11" ht="13.95" customHeight="1" x14ac:dyDescent="0.3">
      <c r="A227" s="3">
        <v>45853</v>
      </c>
      <c r="B227" s="3" t="s">
        <v>1394</v>
      </c>
      <c r="C227" s="3" t="s">
        <v>20</v>
      </c>
      <c r="D227" s="3" t="s">
        <v>1347</v>
      </c>
      <c r="E227" s="4">
        <v>0.98</v>
      </c>
      <c r="F227" s="42">
        <v>2.2000000000000002</v>
      </c>
      <c r="G227" s="45">
        <v>424</v>
      </c>
      <c r="H227" s="22">
        <v>1.8</v>
      </c>
      <c r="I227" s="6">
        <f t="shared" si="11"/>
        <v>1645.4592</v>
      </c>
      <c r="J227" s="6" t="s">
        <v>476</v>
      </c>
      <c r="K227" s="17">
        <f t="shared" si="10"/>
        <v>7</v>
      </c>
    </row>
    <row r="228" spans="1:11" ht="13.95" customHeight="1" x14ac:dyDescent="0.3">
      <c r="A228" s="3">
        <v>45854</v>
      </c>
      <c r="B228" s="3" t="s">
        <v>1394</v>
      </c>
      <c r="C228" s="3" t="s">
        <v>5</v>
      </c>
      <c r="D228" s="3" t="s">
        <v>1347</v>
      </c>
      <c r="E228" s="4">
        <v>0.95</v>
      </c>
      <c r="F228" s="42">
        <v>2.15</v>
      </c>
      <c r="G228" s="45">
        <v>424</v>
      </c>
      <c r="H228" s="22">
        <v>1.8</v>
      </c>
      <c r="I228" s="6">
        <f t="shared" si="11"/>
        <v>1558.8359999999998</v>
      </c>
      <c r="J228" s="6" t="s">
        <v>476</v>
      </c>
      <c r="K228" s="17">
        <f t="shared" si="10"/>
        <v>7</v>
      </c>
    </row>
    <row r="229" spans="1:11" ht="13.95" customHeight="1" x14ac:dyDescent="0.3">
      <c r="A229" s="3">
        <v>45855</v>
      </c>
      <c r="B229" s="3" t="s">
        <v>1394</v>
      </c>
      <c r="C229" s="3" t="s">
        <v>8</v>
      </c>
      <c r="D229" s="3" t="s">
        <v>1347</v>
      </c>
      <c r="E229" s="4">
        <v>0.95</v>
      </c>
      <c r="F229" s="42">
        <v>2.15</v>
      </c>
      <c r="G229" s="45">
        <v>424</v>
      </c>
      <c r="H229" s="22">
        <v>1.8</v>
      </c>
      <c r="I229" s="6">
        <f t="shared" si="11"/>
        <v>1558.8359999999998</v>
      </c>
      <c r="J229" s="6" t="s">
        <v>476</v>
      </c>
      <c r="K229" s="17">
        <f t="shared" si="10"/>
        <v>7</v>
      </c>
    </row>
    <row r="230" spans="1:11" ht="13.95" customHeight="1" x14ac:dyDescent="0.3">
      <c r="A230" s="3">
        <v>45856</v>
      </c>
      <c r="B230" s="3" t="s">
        <v>1394</v>
      </c>
      <c r="C230" s="3" t="s">
        <v>11</v>
      </c>
      <c r="D230" s="3" t="s">
        <v>829</v>
      </c>
      <c r="E230" s="4">
        <v>1</v>
      </c>
      <c r="F230" s="42">
        <v>2.4500000000000002</v>
      </c>
      <c r="G230" s="45">
        <v>424</v>
      </c>
      <c r="H230" s="22">
        <v>1.8</v>
      </c>
      <c r="I230" s="6">
        <f t="shared" si="11"/>
        <v>1869.8400000000004</v>
      </c>
      <c r="J230" s="6" t="s">
        <v>97</v>
      </c>
      <c r="K230" s="17">
        <f t="shared" si="10"/>
        <v>7</v>
      </c>
    </row>
    <row r="231" spans="1:11" ht="13.95" customHeight="1" x14ac:dyDescent="0.3">
      <c r="A231" s="3">
        <v>45857</v>
      </c>
      <c r="B231" s="3" t="s">
        <v>1394</v>
      </c>
      <c r="C231" s="3" t="s">
        <v>13</v>
      </c>
      <c r="D231" s="3" t="s">
        <v>829</v>
      </c>
      <c r="E231" s="4">
        <v>1</v>
      </c>
      <c r="F231" s="42">
        <v>2.75</v>
      </c>
      <c r="G231" s="45">
        <v>424</v>
      </c>
      <c r="H231" s="22">
        <v>1.8</v>
      </c>
      <c r="I231" s="6">
        <f t="shared" si="11"/>
        <v>2098.8000000000002</v>
      </c>
      <c r="J231" s="6" t="s">
        <v>739</v>
      </c>
      <c r="K231" s="17">
        <f t="shared" si="10"/>
        <v>7</v>
      </c>
    </row>
    <row r="232" spans="1:11" ht="13.95" customHeight="1" x14ac:dyDescent="0.3">
      <c r="A232" s="3">
        <v>45858</v>
      </c>
      <c r="B232" s="3" t="s">
        <v>1394</v>
      </c>
      <c r="C232" s="3" t="s">
        <v>16</v>
      </c>
      <c r="D232" s="3" t="s">
        <v>829</v>
      </c>
      <c r="E232" s="4">
        <v>1</v>
      </c>
      <c r="F232" s="42">
        <v>2.5</v>
      </c>
      <c r="G232" s="45">
        <v>424</v>
      </c>
      <c r="H232" s="22">
        <v>1.8</v>
      </c>
      <c r="I232" s="6">
        <f t="shared" si="11"/>
        <v>1908</v>
      </c>
      <c r="J232" s="6" t="s">
        <v>149</v>
      </c>
      <c r="K232" s="17">
        <f t="shared" si="10"/>
        <v>7</v>
      </c>
    </row>
    <row r="233" spans="1:11" ht="13.95" customHeight="1" x14ac:dyDescent="0.3">
      <c r="A233" s="3">
        <v>45859</v>
      </c>
      <c r="B233" s="3" t="s">
        <v>1394</v>
      </c>
      <c r="C233" s="3" t="s">
        <v>18</v>
      </c>
      <c r="D233" s="3" t="s">
        <v>1347</v>
      </c>
      <c r="E233" s="4">
        <v>0.95</v>
      </c>
      <c r="F233" s="42">
        <v>2.15</v>
      </c>
      <c r="G233" s="45">
        <v>424</v>
      </c>
      <c r="H233" s="22">
        <v>1.8</v>
      </c>
      <c r="I233" s="6">
        <f t="shared" si="11"/>
        <v>1558.8359999999998</v>
      </c>
      <c r="J233" s="6" t="s">
        <v>476</v>
      </c>
      <c r="K233" s="17">
        <f t="shared" si="10"/>
        <v>7</v>
      </c>
    </row>
    <row r="234" spans="1:11" ht="13.95" customHeight="1" x14ac:dyDescent="0.3">
      <c r="A234" s="3">
        <v>45860</v>
      </c>
      <c r="B234" s="3" t="s">
        <v>1394</v>
      </c>
      <c r="C234" s="3" t="s">
        <v>20</v>
      </c>
      <c r="D234" s="3" t="s">
        <v>1347</v>
      </c>
      <c r="E234" s="4">
        <v>0.92</v>
      </c>
      <c r="F234" s="42">
        <v>2.15</v>
      </c>
      <c r="G234" s="45">
        <v>424</v>
      </c>
      <c r="H234" s="22">
        <v>1.8</v>
      </c>
      <c r="I234" s="6">
        <f t="shared" si="11"/>
        <v>1509.6096</v>
      </c>
      <c r="J234" s="6" t="s">
        <v>476</v>
      </c>
      <c r="K234" s="17">
        <f t="shared" si="10"/>
        <v>7</v>
      </c>
    </row>
    <row r="235" spans="1:11" ht="13.95" customHeight="1" x14ac:dyDescent="0.3">
      <c r="A235" s="3">
        <v>45861</v>
      </c>
      <c r="B235" s="3" t="s">
        <v>1394</v>
      </c>
      <c r="C235" s="3" t="s">
        <v>5</v>
      </c>
      <c r="D235" s="3" t="s">
        <v>1347</v>
      </c>
      <c r="E235" s="4">
        <v>0.95</v>
      </c>
      <c r="F235" s="42">
        <v>2.15</v>
      </c>
      <c r="G235" s="45">
        <v>424</v>
      </c>
      <c r="H235" s="22">
        <v>1.8</v>
      </c>
      <c r="I235" s="6">
        <f t="shared" si="11"/>
        <v>1558.8359999999998</v>
      </c>
      <c r="J235" s="6" t="s">
        <v>476</v>
      </c>
      <c r="K235" s="17">
        <f t="shared" si="10"/>
        <v>7</v>
      </c>
    </row>
    <row r="236" spans="1:11" ht="13.95" customHeight="1" x14ac:dyDescent="0.3">
      <c r="A236" s="3">
        <v>45862</v>
      </c>
      <c r="B236" s="3" t="s">
        <v>1394</v>
      </c>
      <c r="C236" s="3" t="s">
        <v>8</v>
      </c>
      <c r="D236" s="3" t="s">
        <v>994</v>
      </c>
      <c r="E236" s="4">
        <v>0.98</v>
      </c>
      <c r="F236" s="42">
        <v>2.2999999999999998</v>
      </c>
      <c r="G236" s="45">
        <v>424</v>
      </c>
      <c r="H236" s="22">
        <v>1.8</v>
      </c>
      <c r="I236" s="6">
        <f t="shared" si="11"/>
        <v>1720.2528</v>
      </c>
      <c r="J236" s="6" t="s">
        <v>844</v>
      </c>
      <c r="K236" s="17">
        <f t="shared" si="10"/>
        <v>7</v>
      </c>
    </row>
    <row r="237" spans="1:11" ht="13.95" customHeight="1" x14ac:dyDescent="0.3">
      <c r="A237" s="3">
        <v>45863</v>
      </c>
      <c r="B237" s="3" t="s">
        <v>1394</v>
      </c>
      <c r="C237" s="3" t="s">
        <v>11</v>
      </c>
      <c r="D237" s="3" t="s">
        <v>1010</v>
      </c>
      <c r="E237" s="4">
        <v>1</v>
      </c>
      <c r="F237" s="42">
        <v>2.7</v>
      </c>
      <c r="G237" s="45">
        <v>424</v>
      </c>
      <c r="H237" s="22">
        <v>1.8</v>
      </c>
      <c r="I237" s="6">
        <f t="shared" si="11"/>
        <v>2060.6400000000003</v>
      </c>
      <c r="J237" s="6" t="s">
        <v>1354</v>
      </c>
      <c r="K237" s="17">
        <f t="shared" si="10"/>
        <v>7</v>
      </c>
    </row>
    <row r="238" spans="1:11" ht="13.95" customHeight="1" x14ac:dyDescent="0.3">
      <c r="A238" s="3">
        <v>45864</v>
      </c>
      <c r="B238" s="3" t="s">
        <v>1394</v>
      </c>
      <c r="C238" s="3" t="s">
        <v>13</v>
      </c>
      <c r="D238" s="3" t="s">
        <v>829</v>
      </c>
      <c r="E238" s="4">
        <v>1</v>
      </c>
      <c r="F238" s="42">
        <v>2.8</v>
      </c>
      <c r="G238" s="45">
        <v>424</v>
      </c>
      <c r="H238" s="22">
        <v>1.8</v>
      </c>
      <c r="I238" s="6">
        <f t="shared" si="11"/>
        <v>2136.9599999999996</v>
      </c>
      <c r="J238" s="6" t="s">
        <v>1335</v>
      </c>
      <c r="K238" s="17">
        <f t="shared" si="10"/>
        <v>7</v>
      </c>
    </row>
    <row r="239" spans="1:11" ht="13.95" customHeight="1" x14ac:dyDescent="0.3">
      <c r="A239" s="3">
        <v>45865</v>
      </c>
      <c r="B239" s="3" t="s">
        <v>1394</v>
      </c>
      <c r="C239" s="3" t="s">
        <v>16</v>
      </c>
      <c r="D239" s="3" t="s">
        <v>829</v>
      </c>
      <c r="E239" s="4">
        <v>1</v>
      </c>
      <c r="F239" s="42">
        <v>2.5</v>
      </c>
      <c r="G239" s="45">
        <v>424</v>
      </c>
      <c r="H239" s="22">
        <v>1.8</v>
      </c>
      <c r="I239" s="6">
        <f t="shared" si="11"/>
        <v>1908</v>
      </c>
      <c r="J239" s="6" t="s">
        <v>1336</v>
      </c>
      <c r="K239" s="17">
        <f t="shared" si="10"/>
        <v>7</v>
      </c>
    </row>
    <row r="240" spans="1:11" ht="13.95" customHeight="1" x14ac:dyDescent="0.3">
      <c r="A240" s="3">
        <v>45866</v>
      </c>
      <c r="B240" s="3" t="s">
        <v>1394</v>
      </c>
      <c r="C240" s="3" t="s">
        <v>18</v>
      </c>
      <c r="D240" s="3" t="s">
        <v>1347</v>
      </c>
      <c r="E240" s="4">
        <v>0.95</v>
      </c>
      <c r="F240" s="42">
        <v>2.15</v>
      </c>
      <c r="G240" s="45">
        <v>424</v>
      </c>
      <c r="H240" s="22">
        <v>1.8</v>
      </c>
      <c r="I240" s="6">
        <f t="shared" si="11"/>
        <v>1558.8359999999998</v>
      </c>
      <c r="J240" s="6" t="s">
        <v>462</v>
      </c>
      <c r="K240" s="17">
        <f t="shared" si="10"/>
        <v>7</v>
      </c>
    </row>
    <row r="241" spans="1:11" ht="13.95" customHeight="1" x14ac:dyDescent="0.3">
      <c r="A241" s="3">
        <v>45867</v>
      </c>
      <c r="B241" s="3" t="s">
        <v>1394</v>
      </c>
      <c r="C241" s="3" t="s">
        <v>20</v>
      </c>
      <c r="D241" s="3" t="s">
        <v>1347</v>
      </c>
      <c r="E241" s="4">
        <v>0.92</v>
      </c>
      <c r="F241" s="42">
        <v>2.1</v>
      </c>
      <c r="G241" s="45">
        <v>424</v>
      </c>
      <c r="H241" s="22">
        <v>1.8</v>
      </c>
      <c r="I241" s="6">
        <f t="shared" si="11"/>
        <v>1474.5024000000003</v>
      </c>
      <c r="J241" s="6" t="s">
        <v>476</v>
      </c>
      <c r="K241" s="17">
        <f t="shared" si="10"/>
        <v>7</v>
      </c>
    </row>
    <row r="242" spans="1:11" ht="13.95" customHeight="1" x14ac:dyDescent="0.3">
      <c r="A242" s="3">
        <v>45868</v>
      </c>
      <c r="B242" s="3" t="s">
        <v>1394</v>
      </c>
      <c r="C242" s="3" t="s">
        <v>5</v>
      </c>
      <c r="D242" s="3" t="s">
        <v>1347</v>
      </c>
      <c r="E242" s="4">
        <v>0.95</v>
      </c>
      <c r="F242" s="42">
        <v>2.15</v>
      </c>
      <c r="G242" s="45">
        <v>424</v>
      </c>
      <c r="H242" s="22">
        <v>1.8</v>
      </c>
      <c r="I242" s="6">
        <f t="shared" si="11"/>
        <v>1558.8359999999998</v>
      </c>
      <c r="J242" s="6" t="s">
        <v>476</v>
      </c>
      <c r="K242" s="17">
        <f t="shared" si="10"/>
        <v>7</v>
      </c>
    </row>
    <row r="243" spans="1:11" ht="13.95" customHeight="1" x14ac:dyDescent="0.3">
      <c r="A243" s="3">
        <v>45869</v>
      </c>
      <c r="B243" s="3" t="s">
        <v>1394</v>
      </c>
      <c r="C243" s="3" t="s">
        <v>8</v>
      </c>
      <c r="D243" s="3" t="s">
        <v>1347</v>
      </c>
      <c r="E243" s="4">
        <v>0.98</v>
      </c>
      <c r="F243" s="42">
        <v>2.2000000000000002</v>
      </c>
      <c r="G243" s="45">
        <v>424</v>
      </c>
      <c r="H243" s="22">
        <v>1.8</v>
      </c>
      <c r="I243" s="6">
        <f t="shared" si="11"/>
        <v>1645.4592</v>
      </c>
      <c r="J243" s="6" t="s">
        <v>1224</v>
      </c>
      <c r="K243" s="17">
        <f t="shared" si="10"/>
        <v>7</v>
      </c>
    </row>
    <row r="244" spans="1:11" ht="13.95" customHeight="1" x14ac:dyDescent="0.3">
      <c r="A244" s="3">
        <v>45901</v>
      </c>
      <c r="B244" s="3" t="s">
        <v>1394</v>
      </c>
      <c r="C244" s="3" t="s">
        <v>18</v>
      </c>
      <c r="D244" s="3" t="s">
        <v>1355</v>
      </c>
      <c r="E244" s="4">
        <v>0.8</v>
      </c>
      <c r="F244" s="42">
        <v>2</v>
      </c>
      <c r="G244" s="45">
        <v>424</v>
      </c>
      <c r="H244" s="22">
        <v>1.8</v>
      </c>
      <c r="I244" s="6">
        <f t="shared" si="11"/>
        <v>1221.1200000000001</v>
      </c>
      <c r="J244" s="6" t="s">
        <v>1356</v>
      </c>
      <c r="K244" s="17">
        <f t="shared" si="10"/>
        <v>9</v>
      </c>
    </row>
    <row r="245" spans="1:11" ht="13.95" customHeight="1" x14ac:dyDescent="0.3">
      <c r="A245" s="3">
        <v>45902</v>
      </c>
      <c r="B245" s="3" t="s">
        <v>1394</v>
      </c>
      <c r="C245" s="3" t="s">
        <v>20</v>
      </c>
      <c r="D245" s="3" t="s">
        <v>1357</v>
      </c>
      <c r="E245" s="4">
        <v>0.75</v>
      </c>
      <c r="F245" s="42">
        <v>1.95</v>
      </c>
      <c r="G245" s="45">
        <v>424</v>
      </c>
      <c r="H245" s="22">
        <v>1.8</v>
      </c>
      <c r="I245" s="6">
        <f t="shared" si="11"/>
        <v>1116.18</v>
      </c>
      <c r="J245" s="6" t="s">
        <v>1358</v>
      </c>
      <c r="K245" s="17">
        <f t="shared" si="10"/>
        <v>9</v>
      </c>
    </row>
    <row r="246" spans="1:11" ht="13.95" customHeight="1" x14ac:dyDescent="0.3">
      <c r="A246" s="3">
        <v>45903</v>
      </c>
      <c r="B246" s="3" t="s">
        <v>1394</v>
      </c>
      <c r="C246" s="3" t="s">
        <v>5</v>
      </c>
      <c r="D246" s="3" t="s">
        <v>1330</v>
      </c>
      <c r="E246" s="4">
        <v>0.72</v>
      </c>
      <c r="F246" s="42">
        <v>1.95</v>
      </c>
      <c r="G246" s="45">
        <v>424</v>
      </c>
      <c r="H246" s="22">
        <v>1.8</v>
      </c>
      <c r="I246" s="6">
        <f t="shared" si="11"/>
        <v>1071.5328</v>
      </c>
      <c r="J246" s="6" t="s">
        <v>1332</v>
      </c>
      <c r="K246" s="17">
        <f t="shared" si="10"/>
        <v>9</v>
      </c>
    </row>
    <row r="247" spans="1:11" ht="13.95" customHeight="1" x14ac:dyDescent="0.3">
      <c r="A247" s="3">
        <v>45904</v>
      </c>
      <c r="B247" s="3" t="s">
        <v>1394</v>
      </c>
      <c r="C247" s="3" t="s">
        <v>8</v>
      </c>
      <c r="D247" s="3" t="s">
        <v>1330</v>
      </c>
      <c r="E247" s="4">
        <v>0.75</v>
      </c>
      <c r="F247" s="42">
        <v>1.95</v>
      </c>
      <c r="G247" s="45">
        <v>424</v>
      </c>
      <c r="H247" s="22">
        <v>1.8</v>
      </c>
      <c r="I247" s="6">
        <f t="shared" si="11"/>
        <v>1116.18</v>
      </c>
      <c r="J247" s="6" t="s">
        <v>71</v>
      </c>
      <c r="K247" s="17">
        <f t="shared" si="10"/>
        <v>9</v>
      </c>
    </row>
    <row r="248" spans="1:11" ht="13.95" customHeight="1" x14ac:dyDescent="0.3">
      <c r="A248" s="3">
        <v>45905</v>
      </c>
      <c r="B248" s="3" t="s">
        <v>1394</v>
      </c>
      <c r="C248" s="3" t="s">
        <v>11</v>
      </c>
      <c r="D248" s="3" t="s">
        <v>14</v>
      </c>
      <c r="E248" s="4">
        <v>0.82</v>
      </c>
      <c r="F248" s="42">
        <v>2.15</v>
      </c>
      <c r="G248" s="45">
        <v>424</v>
      </c>
      <c r="H248" s="22">
        <v>1.8</v>
      </c>
      <c r="I248" s="6">
        <f t="shared" si="11"/>
        <v>1345.5216</v>
      </c>
      <c r="J248" s="6" t="s">
        <v>1124</v>
      </c>
      <c r="K248" s="17">
        <f t="shared" si="10"/>
        <v>9</v>
      </c>
    </row>
    <row r="249" spans="1:11" ht="13.95" customHeight="1" x14ac:dyDescent="0.3">
      <c r="A249" s="3">
        <v>45906</v>
      </c>
      <c r="B249" s="3" t="s">
        <v>1394</v>
      </c>
      <c r="C249" s="3" t="s">
        <v>13</v>
      </c>
      <c r="D249" s="3" t="s">
        <v>14</v>
      </c>
      <c r="E249" s="4">
        <v>0.85</v>
      </c>
      <c r="F249" s="42">
        <v>2.4500000000000002</v>
      </c>
      <c r="G249" s="45">
        <v>424</v>
      </c>
      <c r="H249" s="22">
        <v>1.8</v>
      </c>
      <c r="I249" s="6">
        <f t="shared" si="11"/>
        <v>1589.364</v>
      </c>
      <c r="J249" s="6" t="s">
        <v>1359</v>
      </c>
      <c r="K249" s="17">
        <f t="shared" si="10"/>
        <v>9</v>
      </c>
    </row>
    <row r="250" spans="1:11" ht="13.95" customHeight="1" x14ac:dyDescent="0.3">
      <c r="A250" s="3">
        <v>45907</v>
      </c>
      <c r="B250" s="3" t="s">
        <v>1394</v>
      </c>
      <c r="C250" s="3" t="s">
        <v>16</v>
      </c>
      <c r="D250" s="3" t="s">
        <v>14</v>
      </c>
      <c r="E250" s="4">
        <v>0.8</v>
      </c>
      <c r="F250" s="42">
        <v>2.2000000000000002</v>
      </c>
      <c r="G250" s="45">
        <v>424</v>
      </c>
      <c r="H250" s="22">
        <v>1.8</v>
      </c>
      <c r="I250" s="6">
        <f t="shared" si="11"/>
        <v>1343.2320000000002</v>
      </c>
      <c r="J250" s="6" t="s">
        <v>139</v>
      </c>
      <c r="K250" s="17">
        <f t="shared" si="10"/>
        <v>9</v>
      </c>
    </row>
    <row r="251" spans="1:11" ht="13.95" customHeight="1" x14ac:dyDescent="0.3">
      <c r="A251" s="3">
        <v>45908</v>
      </c>
      <c r="B251" s="3" t="s">
        <v>1394</v>
      </c>
      <c r="C251" s="3" t="s">
        <v>18</v>
      </c>
      <c r="D251" s="3" t="s">
        <v>1330</v>
      </c>
      <c r="E251" s="4">
        <v>0.7</v>
      </c>
      <c r="F251" s="42">
        <v>1.95</v>
      </c>
      <c r="G251" s="45">
        <v>424</v>
      </c>
      <c r="H251" s="22">
        <v>1.8</v>
      </c>
      <c r="I251" s="6">
        <f t="shared" si="11"/>
        <v>1041.7679999999998</v>
      </c>
      <c r="J251" s="6" t="s">
        <v>150</v>
      </c>
      <c r="K251" s="17">
        <f t="shared" si="10"/>
        <v>9</v>
      </c>
    </row>
    <row r="252" spans="1:11" ht="13.95" customHeight="1" x14ac:dyDescent="0.3">
      <c r="A252" s="3">
        <v>45909</v>
      </c>
      <c r="B252" s="3" t="s">
        <v>1394</v>
      </c>
      <c r="C252" s="3" t="s">
        <v>20</v>
      </c>
      <c r="D252" s="3" t="s">
        <v>1330</v>
      </c>
      <c r="E252" s="4">
        <v>0.72</v>
      </c>
      <c r="F252" s="42">
        <v>1.95</v>
      </c>
      <c r="G252" s="45">
        <v>424</v>
      </c>
      <c r="H252" s="22">
        <v>1.8</v>
      </c>
      <c r="I252" s="6">
        <f t="shared" si="11"/>
        <v>1071.5328</v>
      </c>
      <c r="J252" s="6" t="s">
        <v>150</v>
      </c>
      <c r="K252" s="17">
        <f t="shared" si="10"/>
        <v>9</v>
      </c>
    </row>
    <row r="253" spans="1:11" ht="13.95" customHeight="1" x14ac:dyDescent="0.3">
      <c r="A253" s="3">
        <v>45910</v>
      </c>
      <c r="B253" s="3" t="s">
        <v>1394</v>
      </c>
      <c r="C253" s="3" t="s">
        <v>5</v>
      </c>
      <c r="D253" s="3" t="s">
        <v>1330</v>
      </c>
      <c r="E253" s="4">
        <v>0.7</v>
      </c>
      <c r="F253" s="42">
        <v>1.9</v>
      </c>
      <c r="G253" s="45">
        <v>424</v>
      </c>
      <c r="H253" s="22">
        <v>1.8</v>
      </c>
      <c r="I253" s="6">
        <f t="shared" si="11"/>
        <v>1015.0559999999997</v>
      </c>
      <c r="J253" s="6" t="s">
        <v>150</v>
      </c>
      <c r="K253" s="17">
        <f t="shared" si="10"/>
        <v>9</v>
      </c>
    </row>
    <row r="254" spans="1:11" ht="13.95" customHeight="1" x14ac:dyDescent="0.3">
      <c r="A254" s="3">
        <v>45911</v>
      </c>
      <c r="B254" s="3" t="s">
        <v>1394</v>
      </c>
      <c r="C254" s="3" t="s">
        <v>8</v>
      </c>
      <c r="D254" s="3" t="s">
        <v>1330</v>
      </c>
      <c r="E254" s="4">
        <v>0.75</v>
      </c>
      <c r="F254" s="42">
        <v>1.95</v>
      </c>
      <c r="G254" s="45">
        <v>424</v>
      </c>
      <c r="H254" s="22">
        <v>1.8</v>
      </c>
      <c r="I254" s="6">
        <f t="shared" si="11"/>
        <v>1116.18</v>
      </c>
      <c r="J254" s="6" t="s">
        <v>1360</v>
      </c>
      <c r="K254" s="17">
        <f t="shared" si="10"/>
        <v>9</v>
      </c>
    </row>
    <row r="255" spans="1:11" ht="13.95" customHeight="1" x14ac:dyDescent="0.3">
      <c r="A255" s="3">
        <v>45912</v>
      </c>
      <c r="B255" s="3" t="s">
        <v>1394</v>
      </c>
      <c r="C255" s="3" t="s">
        <v>11</v>
      </c>
      <c r="D255" s="3" t="s">
        <v>14</v>
      </c>
      <c r="E255" s="4">
        <v>0.78</v>
      </c>
      <c r="F255" s="42">
        <v>2.1</v>
      </c>
      <c r="G255" s="45">
        <v>424</v>
      </c>
      <c r="H255" s="22">
        <v>1.8</v>
      </c>
      <c r="I255" s="6">
        <f t="shared" si="11"/>
        <v>1250.1216000000002</v>
      </c>
      <c r="J255" s="6" t="s">
        <v>97</v>
      </c>
      <c r="K255" s="17">
        <f t="shared" si="10"/>
        <v>9</v>
      </c>
    </row>
    <row r="256" spans="1:11" ht="13.95" customHeight="1" x14ac:dyDescent="0.3">
      <c r="A256" s="3">
        <v>45913</v>
      </c>
      <c r="B256" s="3" t="s">
        <v>1394</v>
      </c>
      <c r="C256" s="3" t="s">
        <v>13</v>
      </c>
      <c r="D256" s="3" t="s">
        <v>14</v>
      </c>
      <c r="E256" s="4">
        <v>0.82</v>
      </c>
      <c r="F256" s="42">
        <v>2.4</v>
      </c>
      <c r="G256" s="45">
        <v>424</v>
      </c>
      <c r="H256" s="22">
        <v>1.8</v>
      </c>
      <c r="I256" s="6">
        <f t="shared" si="11"/>
        <v>1501.9776000000002</v>
      </c>
      <c r="J256" s="6" t="s">
        <v>746</v>
      </c>
      <c r="K256" s="17">
        <f t="shared" si="10"/>
        <v>9</v>
      </c>
    </row>
    <row r="257" spans="1:11" ht="13.95" customHeight="1" x14ac:dyDescent="0.3">
      <c r="A257" s="3">
        <v>45914</v>
      </c>
      <c r="B257" s="3" t="s">
        <v>1394</v>
      </c>
      <c r="C257" s="3" t="s">
        <v>16</v>
      </c>
      <c r="D257" s="3" t="s">
        <v>14</v>
      </c>
      <c r="E257" s="4">
        <v>0.75</v>
      </c>
      <c r="F257" s="42">
        <v>2.15</v>
      </c>
      <c r="G257" s="45">
        <v>424</v>
      </c>
      <c r="H257" s="22">
        <v>1.8</v>
      </c>
      <c r="I257" s="6">
        <f t="shared" si="11"/>
        <v>1230.6599999999999</v>
      </c>
      <c r="J257" s="6" t="s">
        <v>149</v>
      </c>
      <c r="K257" s="17">
        <f t="shared" si="10"/>
        <v>9</v>
      </c>
    </row>
    <row r="258" spans="1:11" ht="13.95" customHeight="1" x14ac:dyDescent="0.3">
      <c r="A258" s="3">
        <v>45915</v>
      </c>
      <c r="B258" s="3" t="s">
        <v>1394</v>
      </c>
      <c r="C258" s="3" t="s">
        <v>18</v>
      </c>
      <c r="D258" s="3" t="s">
        <v>1330</v>
      </c>
      <c r="E258" s="4">
        <v>0.68</v>
      </c>
      <c r="F258" s="42">
        <v>1.95</v>
      </c>
      <c r="G258" s="45">
        <v>424</v>
      </c>
      <c r="H258" s="22">
        <v>1.8</v>
      </c>
      <c r="I258" s="6">
        <f t="shared" si="11"/>
        <v>1012.0031999999999</v>
      </c>
      <c r="J258" s="6" t="s">
        <v>603</v>
      </c>
      <c r="K258" s="17">
        <f t="shared" si="10"/>
        <v>9</v>
      </c>
    </row>
    <row r="259" spans="1:11" ht="13.95" customHeight="1" x14ac:dyDescent="0.3">
      <c r="A259" s="3">
        <v>45916</v>
      </c>
      <c r="B259" s="3" t="s">
        <v>1394</v>
      </c>
      <c r="C259" s="3" t="s">
        <v>20</v>
      </c>
      <c r="D259" s="3" t="s">
        <v>1330</v>
      </c>
      <c r="E259" s="4">
        <v>0.7</v>
      </c>
      <c r="F259" s="42">
        <v>1.95</v>
      </c>
      <c r="G259" s="45">
        <v>424</v>
      </c>
      <c r="H259" s="22">
        <v>1.8</v>
      </c>
      <c r="I259" s="6">
        <f t="shared" si="11"/>
        <v>1041.7679999999998</v>
      </c>
      <c r="J259" s="6" t="s">
        <v>603</v>
      </c>
      <c r="K259" s="17">
        <f t="shared" ref="K259:K322" si="12">MONTH(A259)</f>
        <v>9</v>
      </c>
    </row>
    <row r="260" spans="1:11" ht="13.95" customHeight="1" x14ac:dyDescent="0.3">
      <c r="A260" s="3">
        <v>45917</v>
      </c>
      <c r="B260" s="3" t="s">
        <v>1394</v>
      </c>
      <c r="C260" s="3" t="s">
        <v>5</v>
      </c>
      <c r="D260" s="3" t="s">
        <v>1330</v>
      </c>
      <c r="E260" s="4">
        <v>0.68</v>
      </c>
      <c r="F260" s="42">
        <v>1.9</v>
      </c>
      <c r="G260" s="45">
        <v>424</v>
      </c>
      <c r="H260" s="22">
        <v>1.8</v>
      </c>
      <c r="I260" s="6">
        <f t="shared" si="11"/>
        <v>986.05439999999999</v>
      </c>
      <c r="J260" s="6" t="s">
        <v>71</v>
      </c>
      <c r="K260" s="17">
        <f t="shared" si="12"/>
        <v>9</v>
      </c>
    </row>
    <row r="261" spans="1:11" ht="13.95" customHeight="1" x14ac:dyDescent="0.3">
      <c r="A261" s="3">
        <v>45918</v>
      </c>
      <c r="B261" s="3" t="s">
        <v>1394</v>
      </c>
      <c r="C261" s="3" t="s">
        <v>8</v>
      </c>
      <c r="D261" s="3" t="s">
        <v>1330</v>
      </c>
      <c r="E261" s="4">
        <v>0.72</v>
      </c>
      <c r="F261" s="42">
        <v>1.95</v>
      </c>
      <c r="G261" s="45">
        <v>424</v>
      </c>
      <c r="H261" s="22">
        <v>1.8</v>
      </c>
      <c r="I261" s="6">
        <f t="shared" si="11"/>
        <v>1071.5328</v>
      </c>
      <c r="J261" s="6" t="s">
        <v>71</v>
      </c>
      <c r="K261" s="17">
        <f t="shared" si="12"/>
        <v>9</v>
      </c>
    </row>
    <row r="262" spans="1:11" ht="13.95" customHeight="1" x14ac:dyDescent="0.3">
      <c r="A262" s="3">
        <v>45919</v>
      </c>
      <c r="B262" s="3" t="s">
        <v>1394</v>
      </c>
      <c r="C262" s="3" t="s">
        <v>11</v>
      </c>
      <c r="D262" s="3" t="s">
        <v>14</v>
      </c>
      <c r="E262" s="4">
        <v>0.75</v>
      </c>
      <c r="F262" s="42">
        <v>2.1</v>
      </c>
      <c r="G262" s="45">
        <v>424</v>
      </c>
      <c r="H262" s="22">
        <v>1.8</v>
      </c>
      <c r="I262" s="6">
        <f t="shared" si="11"/>
        <v>1202.0400000000002</v>
      </c>
      <c r="J262" s="6" t="s">
        <v>97</v>
      </c>
      <c r="K262" s="17">
        <f t="shared" si="12"/>
        <v>9</v>
      </c>
    </row>
    <row r="263" spans="1:11" ht="13.95" customHeight="1" x14ac:dyDescent="0.3">
      <c r="A263" s="3">
        <v>45920</v>
      </c>
      <c r="B263" s="3" t="s">
        <v>1394</v>
      </c>
      <c r="C263" s="3" t="s">
        <v>13</v>
      </c>
      <c r="D263" s="3" t="s">
        <v>14</v>
      </c>
      <c r="E263" s="4">
        <v>0.8</v>
      </c>
      <c r="F263" s="42">
        <v>2.35</v>
      </c>
      <c r="G263" s="45">
        <v>424</v>
      </c>
      <c r="H263" s="22">
        <v>1.8</v>
      </c>
      <c r="I263" s="6">
        <f t="shared" si="11"/>
        <v>1434.8160000000003</v>
      </c>
      <c r="J263" s="6" t="s">
        <v>1361</v>
      </c>
      <c r="K263" s="17">
        <f t="shared" si="12"/>
        <v>9</v>
      </c>
    </row>
    <row r="264" spans="1:11" ht="13.95" customHeight="1" x14ac:dyDescent="0.3">
      <c r="A264" s="3">
        <v>45921</v>
      </c>
      <c r="B264" s="3" t="s">
        <v>1394</v>
      </c>
      <c r="C264" s="3" t="s">
        <v>16</v>
      </c>
      <c r="D264" s="3" t="s">
        <v>14</v>
      </c>
      <c r="E264" s="4">
        <v>0.75</v>
      </c>
      <c r="F264" s="42">
        <v>2.15</v>
      </c>
      <c r="G264" s="45">
        <v>424</v>
      </c>
      <c r="H264" s="22">
        <v>1.8</v>
      </c>
      <c r="I264" s="6">
        <f t="shared" si="11"/>
        <v>1230.6599999999999</v>
      </c>
      <c r="J264" s="6" t="s">
        <v>149</v>
      </c>
      <c r="K264" s="17">
        <f t="shared" si="12"/>
        <v>9</v>
      </c>
    </row>
    <row r="265" spans="1:11" ht="13.95" customHeight="1" x14ac:dyDescent="0.3">
      <c r="A265" s="3">
        <v>45922</v>
      </c>
      <c r="B265" s="3" t="s">
        <v>1394</v>
      </c>
      <c r="C265" s="3" t="s">
        <v>18</v>
      </c>
      <c r="D265" s="3" t="s">
        <v>1330</v>
      </c>
      <c r="E265" s="4">
        <v>0.65</v>
      </c>
      <c r="F265" s="42">
        <v>1.95</v>
      </c>
      <c r="G265" s="45">
        <v>424</v>
      </c>
      <c r="H265" s="22">
        <v>1.8</v>
      </c>
      <c r="I265" s="6">
        <f t="shared" si="11"/>
        <v>967.35600000000011</v>
      </c>
      <c r="J265" s="6" t="s">
        <v>1362</v>
      </c>
      <c r="K265" s="17">
        <f t="shared" si="12"/>
        <v>9</v>
      </c>
    </row>
    <row r="266" spans="1:11" ht="13.95" customHeight="1" x14ac:dyDescent="0.3">
      <c r="A266" s="3">
        <v>45923</v>
      </c>
      <c r="B266" s="3" t="s">
        <v>1394</v>
      </c>
      <c r="C266" s="3" t="s">
        <v>20</v>
      </c>
      <c r="D266" s="3" t="s">
        <v>1330</v>
      </c>
      <c r="E266" s="4">
        <v>0.68</v>
      </c>
      <c r="F266" s="42">
        <v>1.95</v>
      </c>
      <c r="G266" s="45">
        <v>424</v>
      </c>
      <c r="H266" s="22">
        <v>1.8</v>
      </c>
      <c r="I266" s="6">
        <f t="shared" si="11"/>
        <v>1012.0031999999999</v>
      </c>
      <c r="J266" s="6" t="s">
        <v>71</v>
      </c>
      <c r="K266" s="17">
        <f t="shared" si="12"/>
        <v>9</v>
      </c>
    </row>
    <row r="267" spans="1:11" ht="13.95" customHeight="1" x14ac:dyDescent="0.3">
      <c r="A267" s="3">
        <v>45924</v>
      </c>
      <c r="B267" s="3" t="s">
        <v>1394</v>
      </c>
      <c r="C267" s="3" t="s">
        <v>5</v>
      </c>
      <c r="D267" s="3" t="s">
        <v>1330</v>
      </c>
      <c r="E267" s="4">
        <v>0.65</v>
      </c>
      <c r="F267" s="42">
        <v>1.9</v>
      </c>
      <c r="G267" s="45">
        <v>424</v>
      </c>
      <c r="H267" s="22">
        <v>1.8</v>
      </c>
      <c r="I267" s="6">
        <f t="shared" si="11"/>
        <v>942.55200000000002</v>
      </c>
      <c r="J267" s="6" t="s">
        <v>71</v>
      </c>
      <c r="K267" s="17">
        <f t="shared" si="12"/>
        <v>9</v>
      </c>
    </row>
    <row r="268" spans="1:11" ht="13.95" customHeight="1" x14ac:dyDescent="0.3">
      <c r="A268" s="3">
        <v>45925</v>
      </c>
      <c r="B268" s="3" t="s">
        <v>1394</v>
      </c>
      <c r="C268" s="3" t="s">
        <v>8</v>
      </c>
      <c r="D268" s="3" t="s">
        <v>1330</v>
      </c>
      <c r="E268" s="4">
        <v>0.68</v>
      </c>
      <c r="F268" s="42">
        <v>1.95</v>
      </c>
      <c r="G268" s="45">
        <v>424</v>
      </c>
      <c r="H268" s="22">
        <v>1.8</v>
      </c>
      <c r="I268" s="6">
        <f t="shared" si="11"/>
        <v>1012.0031999999999</v>
      </c>
      <c r="J268" s="6" t="s">
        <v>71</v>
      </c>
      <c r="K268" s="17">
        <f t="shared" si="12"/>
        <v>9</v>
      </c>
    </row>
    <row r="269" spans="1:11" ht="13.95" customHeight="1" x14ac:dyDescent="0.3">
      <c r="A269" s="3">
        <v>45926</v>
      </c>
      <c r="B269" s="3" t="s">
        <v>1394</v>
      </c>
      <c r="C269" s="3" t="s">
        <v>11</v>
      </c>
      <c r="D269" s="3" t="s">
        <v>14</v>
      </c>
      <c r="E269" s="4">
        <v>0.72</v>
      </c>
      <c r="F269" s="42">
        <v>2.1</v>
      </c>
      <c r="G269" s="45">
        <v>424</v>
      </c>
      <c r="H269" s="22">
        <v>1.8</v>
      </c>
      <c r="I269" s="6">
        <f t="shared" si="11"/>
        <v>1153.9584</v>
      </c>
      <c r="J269" s="6" t="s">
        <v>97</v>
      </c>
      <c r="K269" s="17">
        <f t="shared" si="12"/>
        <v>9</v>
      </c>
    </row>
    <row r="270" spans="1:11" ht="13.95" customHeight="1" x14ac:dyDescent="0.3">
      <c r="A270" s="3">
        <v>45927</v>
      </c>
      <c r="B270" s="3" t="s">
        <v>1394</v>
      </c>
      <c r="C270" s="3" t="s">
        <v>13</v>
      </c>
      <c r="D270" s="3" t="s">
        <v>14</v>
      </c>
      <c r="E270" s="4">
        <v>0.78</v>
      </c>
      <c r="F270" s="42">
        <v>2.4</v>
      </c>
      <c r="G270" s="45">
        <v>424</v>
      </c>
      <c r="H270" s="22">
        <v>1.8</v>
      </c>
      <c r="I270" s="6">
        <f t="shared" si="11"/>
        <v>1428.7104000000002</v>
      </c>
      <c r="J270" s="6" t="s">
        <v>746</v>
      </c>
      <c r="K270" s="17">
        <f t="shared" si="12"/>
        <v>9</v>
      </c>
    </row>
    <row r="271" spans="1:11" ht="13.95" customHeight="1" x14ac:dyDescent="0.3">
      <c r="A271" s="3">
        <v>45928</v>
      </c>
      <c r="B271" s="3" t="s">
        <v>1394</v>
      </c>
      <c r="C271" s="3" t="s">
        <v>16</v>
      </c>
      <c r="D271" s="3" t="s">
        <v>14</v>
      </c>
      <c r="E271" s="4">
        <v>0.75</v>
      </c>
      <c r="F271" s="42">
        <v>2.15</v>
      </c>
      <c r="G271" s="45">
        <v>424</v>
      </c>
      <c r="H271" s="22">
        <v>1.8</v>
      </c>
      <c r="I271" s="6">
        <f t="shared" si="11"/>
        <v>1230.6599999999999</v>
      </c>
      <c r="J271" s="6" t="s">
        <v>149</v>
      </c>
      <c r="K271" s="17">
        <f t="shared" si="12"/>
        <v>9</v>
      </c>
    </row>
    <row r="272" spans="1:11" ht="13.95" customHeight="1" x14ac:dyDescent="0.3">
      <c r="A272" s="3">
        <v>45929</v>
      </c>
      <c r="B272" s="3" t="s">
        <v>1394</v>
      </c>
      <c r="C272" s="3" t="s">
        <v>18</v>
      </c>
      <c r="D272" s="3" t="s">
        <v>1330</v>
      </c>
      <c r="E272" s="4">
        <v>0.65</v>
      </c>
      <c r="F272" s="42">
        <v>1.9</v>
      </c>
      <c r="G272" s="45">
        <v>424</v>
      </c>
      <c r="H272" s="22">
        <v>1.8</v>
      </c>
      <c r="I272" s="6">
        <f t="shared" si="11"/>
        <v>942.55200000000002</v>
      </c>
      <c r="J272" s="6" t="s">
        <v>99</v>
      </c>
      <c r="K272" s="17">
        <f t="shared" si="12"/>
        <v>9</v>
      </c>
    </row>
    <row r="273" spans="1:11" ht="13.95" customHeight="1" x14ac:dyDescent="0.3">
      <c r="A273" s="3">
        <v>45930</v>
      </c>
      <c r="B273" s="3" t="s">
        <v>1394</v>
      </c>
      <c r="C273" s="3" t="s">
        <v>20</v>
      </c>
      <c r="D273" s="3" t="s">
        <v>1330</v>
      </c>
      <c r="E273" s="4">
        <v>0.68</v>
      </c>
      <c r="F273" s="42">
        <v>1.95</v>
      </c>
      <c r="G273" s="45">
        <v>424</v>
      </c>
      <c r="H273" s="22">
        <v>1.8</v>
      </c>
      <c r="I273" s="6">
        <f t="shared" si="11"/>
        <v>1012.0031999999999</v>
      </c>
      <c r="J273" s="6" t="s">
        <v>860</v>
      </c>
      <c r="K273" s="17">
        <f t="shared" si="12"/>
        <v>9</v>
      </c>
    </row>
    <row r="274" spans="1:11" ht="13.95" customHeight="1" x14ac:dyDescent="0.3">
      <c r="A274" s="3">
        <v>45931</v>
      </c>
      <c r="B274" s="3" t="s">
        <v>1394</v>
      </c>
      <c r="C274" s="3" t="s">
        <v>5</v>
      </c>
      <c r="D274" s="3" t="s">
        <v>1259</v>
      </c>
      <c r="E274" s="4">
        <v>0.5</v>
      </c>
      <c r="F274" s="42">
        <v>1.75</v>
      </c>
      <c r="G274" s="45">
        <v>424</v>
      </c>
      <c r="H274" s="22">
        <v>1.8</v>
      </c>
      <c r="I274" s="6">
        <f t="shared" si="11"/>
        <v>667.80000000000007</v>
      </c>
      <c r="J274" s="6" t="s">
        <v>1363</v>
      </c>
      <c r="K274" s="17">
        <f t="shared" si="12"/>
        <v>10</v>
      </c>
    </row>
    <row r="275" spans="1:11" ht="13.95" customHeight="1" x14ac:dyDescent="0.3">
      <c r="A275" s="3">
        <v>45932</v>
      </c>
      <c r="B275" s="3" t="s">
        <v>1394</v>
      </c>
      <c r="C275" s="3" t="s">
        <v>8</v>
      </c>
      <c r="D275" s="3" t="s">
        <v>1259</v>
      </c>
      <c r="E275" s="4">
        <v>0.48</v>
      </c>
      <c r="F275" s="42">
        <v>1.75</v>
      </c>
      <c r="G275" s="45">
        <v>424</v>
      </c>
      <c r="H275" s="22">
        <v>1.8</v>
      </c>
      <c r="I275" s="6">
        <f t="shared" si="11"/>
        <v>641.08799999999997</v>
      </c>
      <c r="J275" s="6" t="s">
        <v>71</v>
      </c>
      <c r="K275" s="17">
        <f t="shared" si="12"/>
        <v>10</v>
      </c>
    </row>
    <row r="276" spans="1:11" ht="13.95" customHeight="1" x14ac:dyDescent="0.3">
      <c r="A276" s="3">
        <v>45933</v>
      </c>
      <c r="B276" s="3" t="s">
        <v>1394</v>
      </c>
      <c r="C276" s="3" t="s">
        <v>11</v>
      </c>
      <c r="D276" s="3" t="s">
        <v>14</v>
      </c>
      <c r="E276" s="4">
        <v>0.6</v>
      </c>
      <c r="F276" s="42">
        <v>1.95</v>
      </c>
      <c r="G276" s="45">
        <v>424</v>
      </c>
      <c r="H276" s="22">
        <v>1.8</v>
      </c>
      <c r="I276" s="6">
        <f t="shared" si="11"/>
        <v>892.94399999999985</v>
      </c>
      <c r="J276" s="6" t="s">
        <v>67</v>
      </c>
      <c r="K276" s="17">
        <f t="shared" si="12"/>
        <v>10</v>
      </c>
    </row>
    <row r="277" spans="1:11" ht="13.95" customHeight="1" x14ac:dyDescent="0.3">
      <c r="A277" s="3">
        <v>45934</v>
      </c>
      <c r="B277" s="3" t="s">
        <v>1394</v>
      </c>
      <c r="C277" s="3" t="s">
        <v>13</v>
      </c>
      <c r="D277" s="3" t="s">
        <v>14</v>
      </c>
      <c r="E277" s="4">
        <v>0.7</v>
      </c>
      <c r="F277" s="42">
        <v>2.25</v>
      </c>
      <c r="G277" s="45">
        <v>424</v>
      </c>
      <c r="H277" s="22">
        <v>1.8</v>
      </c>
      <c r="I277" s="6">
        <f t="shared" si="11"/>
        <v>1202.04</v>
      </c>
      <c r="J277" s="6" t="s">
        <v>1364</v>
      </c>
      <c r="K277" s="17">
        <f t="shared" si="12"/>
        <v>10</v>
      </c>
    </row>
    <row r="278" spans="1:11" ht="13.95" customHeight="1" x14ac:dyDescent="0.3">
      <c r="A278" s="3">
        <v>45935</v>
      </c>
      <c r="B278" s="3" t="s">
        <v>1394</v>
      </c>
      <c r="C278" s="3" t="s">
        <v>16</v>
      </c>
      <c r="D278" s="3" t="s">
        <v>14</v>
      </c>
      <c r="E278" s="4">
        <v>0.65</v>
      </c>
      <c r="F278" s="42">
        <v>2.1</v>
      </c>
      <c r="G278" s="45">
        <v>424</v>
      </c>
      <c r="H278" s="22">
        <v>1.8</v>
      </c>
      <c r="I278" s="6">
        <f t="shared" si="11"/>
        <v>1041.7680000000003</v>
      </c>
      <c r="J278" s="6" t="s">
        <v>139</v>
      </c>
      <c r="K278" s="17">
        <f t="shared" si="12"/>
        <v>10</v>
      </c>
    </row>
    <row r="279" spans="1:11" ht="13.95" customHeight="1" x14ac:dyDescent="0.3">
      <c r="A279" s="3">
        <v>45936</v>
      </c>
      <c r="B279" s="3" t="s">
        <v>1394</v>
      </c>
      <c r="C279" s="3" t="s">
        <v>18</v>
      </c>
      <c r="D279" s="3" t="s">
        <v>1259</v>
      </c>
      <c r="E279" s="4">
        <v>0.45</v>
      </c>
      <c r="F279" s="42">
        <v>1.75</v>
      </c>
      <c r="G279" s="45">
        <v>424</v>
      </c>
      <c r="H279" s="22">
        <v>1.8</v>
      </c>
      <c r="I279" s="6">
        <f t="shared" si="11"/>
        <v>601.0200000000001</v>
      </c>
      <c r="J279" s="6" t="s">
        <v>150</v>
      </c>
      <c r="K279" s="17">
        <f t="shared" si="12"/>
        <v>10</v>
      </c>
    </row>
    <row r="280" spans="1:11" ht="13.95" customHeight="1" x14ac:dyDescent="0.3">
      <c r="A280" s="3">
        <v>45937</v>
      </c>
      <c r="B280" s="3" t="s">
        <v>1394</v>
      </c>
      <c r="C280" s="3" t="s">
        <v>20</v>
      </c>
      <c r="D280" s="3" t="s">
        <v>1259</v>
      </c>
      <c r="E280" s="4">
        <v>0.42</v>
      </c>
      <c r="F280" s="42">
        <v>1.7</v>
      </c>
      <c r="G280" s="45">
        <v>424</v>
      </c>
      <c r="H280" s="22">
        <v>1.8</v>
      </c>
      <c r="I280" s="6">
        <f t="shared" si="11"/>
        <v>544.9248</v>
      </c>
      <c r="J280" s="6" t="s">
        <v>150</v>
      </c>
      <c r="K280" s="17">
        <f t="shared" si="12"/>
        <v>10</v>
      </c>
    </row>
    <row r="281" spans="1:11" ht="13.95" customHeight="1" x14ac:dyDescent="0.3">
      <c r="A281" s="3">
        <v>45938</v>
      </c>
      <c r="B281" s="3" t="s">
        <v>1394</v>
      </c>
      <c r="C281" s="3" t="s">
        <v>5</v>
      </c>
      <c r="D281" s="3" t="s">
        <v>1259</v>
      </c>
      <c r="E281" s="4">
        <v>0.4</v>
      </c>
      <c r="F281" s="42">
        <v>1.7</v>
      </c>
      <c r="G281" s="45">
        <v>424</v>
      </c>
      <c r="H281" s="22">
        <v>1.8</v>
      </c>
      <c r="I281" s="6">
        <f t="shared" si="11"/>
        <v>518.97600000000011</v>
      </c>
      <c r="J281" s="6" t="s">
        <v>150</v>
      </c>
      <c r="K281" s="17">
        <f t="shared" si="12"/>
        <v>10</v>
      </c>
    </row>
    <row r="282" spans="1:11" ht="13.95" customHeight="1" x14ac:dyDescent="0.3">
      <c r="A282" s="3">
        <v>45939</v>
      </c>
      <c r="B282" s="3" t="s">
        <v>1394</v>
      </c>
      <c r="C282" s="3" t="s">
        <v>8</v>
      </c>
      <c r="D282" s="3" t="s">
        <v>1259</v>
      </c>
      <c r="E282" s="4">
        <v>0.45</v>
      </c>
      <c r="F282" s="42">
        <v>1.75</v>
      </c>
      <c r="G282" s="45">
        <v>424</v>
      </c>
      <c r="H282" s="22">
        <v>1.8</v>
      </c>
      <c r="I282" s="6">
        <f t="shared" si="11"/>
        <v>601.0200000000001</v>
      </c>
      <c r="J282" s="6" t="s">
        <v>1360</v>
      </c>
      <c r="K282" s="17">
        <f t="shared" si="12"/>
        <v>10</v>
      </c>
    </row>
    <row r="283" spans="1:11" ht="13.95" customHeight="1" x14ac:dyDescent="0.3">
      <c r="A283" s="3">
        <v>45940</v>
      </c>
      <c r="B283" s="3" t="s">
        <v>1394</v>
      </c>
      <c r="C283" s="3" t="s">
        <v>11</v>
      </c>
      <c r="D283" s="3" t="s">
        <v>14</v>
      </c>
      <c r="E283" s="4">
        <v>0.55000000000000004</v>
      </c>
      <c r="F283" s="42">
        <v>1.95</v>
      </c>
      <c r="G283" s="45">
        <v>424</v>
      </c>
      <c r="H283" s="22">
        <v>1.8</v>
      </c>
      <c r="I283" s="6">
        <f t="shared" si="11"/>
        <v>818.53200000000004</v>
      </c>
      <c r="J283" s="6" t="s">
        <v>282</v>
      </c>
      <c r="K283" s="17">
        <f t="shared" si="12"/>
        <v>10</v>
      </c>
    </row>
    <row r="284" spans="1:11" ht="13.95" customHeight="1" x14ac:dyDescent="0.3">
      <c r="A284" s="3">
        <v>45941</v>
      </c>
      <c r="B284" s="3" t="s">
        <v>1394</v>
      </c>
      <c r="C284" s="3" t="s">
        <v>13</v>
      </c>
      <c r="D284" s="3" t="s">
        <v>14</v>
      </c>
      <c r="E284" s="4">
        <v>0.65</v>
      </c>
      <c r="F284" s="42">
        <v>2.2000000000000002</v>
      </c>
      <c r="G284" s="45">
        <v>424</v>
      </c>
      <c r="H284" s="22">
        <v>1.8</v>
      </c>
      <c r="I284" s="6">
        <f t="shared" si="11"/>
        <v>1091.3760000000002</v>
      </c>
      <c r="J284" s="6" t="s">
        <v>1365</v>
      </c>
      <c r="K284" s="17">
        <f t="shared" si="12"/>
        <v>10</v>
      </c>
    </row>
    <row r="285" spans="1:11" ht="13.95" customHeight="1" x14ac:dyDescent="0.3">
      <c r="A285" s="3">
        <v>45942</v>
      </c>
      <c r="B285" s="3" t="s">
        <v>1394</v>
      </c>
      <c r="C285" s="3" t="s">
        <v>16</v>
      </c>
      <c r="D285" s="3" t="s">
        <v>14</v>
      </c>
      <c r="E285" s="4">
        <v>0.6</v>
      </c>
      <c r="F285" s="42">
        <v>2.1</v>
      </c>
      <c r="G285" s="45">
        <v>424</v>
      </c>
      <c r="H285" s="22">
        <v>1.8</v>
      </c>
      <c r="I285" s="6">
        <f t="shared" si="11"/>
        <v>961.63200000000006</v>
      </c>
      <c r="J285" s="6" t="s">
        <v>149</v>
      </c>
      <c r="K285" s="17">
        <f t="shared" si="12"/>
        <v>10</v>
      </c>
    </row>
    <row r="286" spans="1:11" ht="13.95" customHeight="1" x14ac:dyDescent="0.3">
      <c r="A286" s="3">
        <v>45943</v>
      </c>
      <c r="B286" s="3" t="s">
        <v>1394</v>
      </c>
      <c r="C286" s="3" t="s">
        <v>18</v>
      </c>
      <c r="D286" s="3" t="s">
        <v>1259</v>
      </c>
      <c r="E286" s="4">
        <v>0.45</v>
      </c>
      <c r="F286" s="42">
        <v>1.75</v>
      </c>
      <c r="G286" s="45">
        <v>424</v>
      </c>
      <c r="H286" s="22">
        <v>1.8</v>
      </c>
      <c r="I286" s="6">
        <f t="shared" si="11"/>
        <v>601.0200000000001</v>
      </c>
      <c r="J286" s="6" t="s">
        <v>150</v>
      </c>
      <c r="K286" s="17">
        <f t="shared" si="12"/>
        <v>10</v>
      </c>
    </row>
    <row r="287" spans="1:11" ht="13.95" customHeight="1" x14ac:dyDescent="0.3">
      <c r="A287" s="3">
        <v>45944</v>
      </c>
      <c r="B287" s="3" t="s">
        <v>1394</v>
      </c>
      <c r="C287" s="3" t="s">
        <v>20</v>
      </c>
      <c r="D287" s="3" t="s">
        <v>1259</v>
      </c>
      <c r="E287" s="4">
        <v>0.48</v>
      </c>
      <c r="F287" s="42">
        <v>1.75</v>
      </c>
      <c r="G287" s="45">
        <v>424</v>
      </c>
      <c r="H287" s="22">
        <v>1.8</v>
      </c>
      <c r="I287" s="6">
        <f t="shared" si="11"/>
        <v>641.08799999999997</v>
      </c>
      <c r="J287" s="6" t="s">
        <v>71</v>
      </c>
      <c r="K287" s="17">
        <f t="shared" si="12"/>
        <v>10</v>
      </c>
    </row>
    <row r="288" spans="1:11" ht="13.95" customHeight="1" x14ac:dyDescent="0.3">
      <c r="A288" s="3">
        <v>45945</v>
      </c>
      <c r="B288" s="3" t="s">
        <v>1394</v>
      </c>
      <c r="C288" s="3" t="s">
        <v>5</v>
      </c>
      <c r="D288" s="3" t="s">
        <v>865</v>
      </c>
      <c r="E288" s="4">
        <v>0.65</v>
      </c>
      <c r="F288" s="42">
        <v>2.1</v>
      </c>
      <c r="G288" s="45">
        <v>424</v>
      </c>
      <c r="H288" s="22">
        <v>1.8</v>
      </c>
      <c r="I288" s="6">
        <f t="shared" ref="I288:I351" si="13">(G288*E288)*F288*H288</f>
        <v>1041.7680000000003</v>
      </c>
      <c r="J288" s="6" t="s">
        <v>1366</v>
      </c>
      <c r="K288" s="17">
        <f t="shared" si="12"/>
        <v>10</v>
      </c>
    </row>
    <row r="289" spans="1:11" ht="13.95" customHeight="1" x14ac:dyDescent="0.3">
      <c r="A289" s="3">
        <v>45946</v>
      </c>
      <c r="B289" s="3" t="s">
        <v>1394</v>
      </c>
      <c r="C289" s="3" t="s">
        <v>8</v>
      </c>
      <c r="D289" s="3" t="s">
        <v>1367</v>
      </c>
      <c r="E289" s="4">
        <v>0.7</v>
      </c>
      <c r="F289" s="42">
        <v>2</v>
      </c>
      <c r="G289" s="45">
        <v>424</v>
      </c>
      <c r="H289" s="22">
        <v>1.8</v>
      </c>
      <c r="I289" s="6">
        <f t="shared" si="13"/>
        <v>1068.4799999999998</v>
      </c>
      <c r="J289" s="6" t="s">
        <v>1368</v>
      </c>
      <c r="K289" s="17">
        <f t="shared" si="12"/>
        <v>10</v>
      </c>
    </row>
    <row r="290" spans="1:11" ht="13.95" customHeight="1" x14ac:dyDescent="0.3">
      <c r="A290" s="3">
        <v>45947</v>
      </c>
      <c r="B290" s="3" t="s">
        <v>1394</v>
      </c>
      <c r="C290" s="3" t="s">
        <v>11</v>
      </c>
      <c r="D290" s="3" t="s">
        <v>1367</v>
      </c>
      <c r="E290" s="4">
        <v>0.75</v>
      </c>
      <c r="F290" s="42">
        <v>2.0499999999999998</v>
      </c>
      <c r="G290" s="45">
        <v>424</v>
      </c>
      <c r="H290" s="22">
        <v>1.8</v>
      </c>
      <c r="I290" s="6">
        <f t="shared" si="13"/>
        <v>1173.42</v>
      </c>
      <c r="J290" s="6" t="s">
        <v>1369</v>
      </c>
      <c r="K290" s="17">
        <f t="shared" si="12"/>
        <v>10</v>
      </c>
    </row>
    <row r="291" spans="1:11" ht="13.95" customHeight="1" x14ac:dyDescent="0.3">
      <c r="A291" s="3">
        <v>45948</v>
      </c>
      <c r="B291" s="3" t="s">
        <v>1394</v>
      </c>
      <c r="C291" s="3" t="s">
        <v>13</v>
      </c>
      <c r="D291" s="3" t="s">
        <v>1367</v>
      </c>
      <c r="E291" s="4">
        <v>0.8</v>
      </c>
      <c r="F291" s="42">
        <v>2.2999999999999998</v>
      </c>
      <c r="G291" s="45">
        <v>424</v>
      </c>
      <c r="H291" s="22">
        <v>1.8</v>
      </c>
      <c r="I291" s="6">
        <f t="shared" si="13"/>
        <v>1404.2880000000002</v>
      </c>
      <c r="J291" s="6" t="s">
        <v>1323</v>
      </c>
      <c r="K291" s="17">
        <f t="shared" si="12"/>
        <v>10</v>
      </c>
    </row>
    <row r="292" spans="1:11" ht="13.95" customHeight="1" x14ac:dyDescent="0.3">
      <c r="A292" s="3">
        <v>45949</v>
      </c>
      <c r="B292" s="3" t="s">
        <v>1394</v>
      </c>
      <c r="C292" s="3" t="s">
        <v>16</v>
      </c>
      <c r="D292" s="3" t="s">
        <v>1367</v>
      </c>
      <c r="E292" s="4">
        <v>0.78</v>
      </c>
      <c r="F292" s="42">
        <v>2.15</v>
      </c>
      <c r="G292" s="45">
        <v>424</v>
      </c>
      <c r="H292" s="22">
        <v>1.8</v>
      </c>
      <c r="I292" s="6">
        <f t="shared" si="13"/>
        <v>1279.8864000000001</v>
      </c>
      <c r="J292" s="6" t="s">
        <v>1275</v>
      </c>
      <c r="K292" s="17">
        <f t="shared" si="12"/>
        <v>10</v>
      </c>
    </row>
    <row r="293" spans="1:11" ht="13.95" customHeight="1" x14ac:dyDescent="0.3">
      <c r="A293" s="3">
        <v>45950</v>
      </c>
      <c r="B293" s="3" t="s">
        <v>1394</v>
      </c>
      <c r="C293" s="3" t="s">
        <v>18</v>
      </c>
      <c r="D293" s="3" t="s">
        <v>1367</v>
      </c>
      <c r="E293" s="4">
        <v>0.75</v>
      </c>
      <c r="F293" s="42">
        <v>2</v>
      </c>
      <c r="G293" s="45">
        <v>424</v>
      </c>
      <c r="H293" s="22">
        <v>1.8</v>
      </c>
      <c r="I293" s="6">
        <f t="shared" si="13"/>
        <v>1144.8</v>
      </c>
      <c r="J293" s="6" t="s">
        <v>758</v>
      </c>
      <c r="K293" s="17">
        <f t="shared" si="12"/>
        <v>10</v>
      </c>
    </row>
    <row r="294" spans="1:11" ht="13.95" customHeight="1" x14ac:dyDescent="0.3">
      <c r="A294" s="3">
        <v>45951</v>
      </c>
      <c r="B294" s="3" t="s">
        <v>1394</v>
      </c>
      <c r="C294" s="3" t="s">
        <v>20</v>
      </c>
      <c r="D294" s="3" t="s">
        <v>1367</v>
      </c>
      <c r="E294" s="4">
        <v>0.72</v>
      </c>
      <c r="F294" s="42">
        <v>1.95</v>
      </c>
      <c r="G294" s="45">
        <v>424</v>
      </c>
      <c r="H294" s="22">
        <v>1.8</v>
      </c>
      <c r="I294" s="6">
        <f t="shared" si="13"/>
        <v>1071.5328</v>
      </c>
      <c r="J294" s="6" t="s">
        <v>758</v>
      </c>
      <c r="K294" s="17">
        <f t="shared" si="12"/>
        <v>10</v>
      </c>
    </row>
    <row r="295" spans="1:11" ht="13.95" customHeight="1" x14ac:dyDescent="0.3">
      <c r="A295" s="3">
        <v>45952</v>
      </c>
      <c r="B295" s="3" t="s">
        <v>1394</v>
      </c>
      <c r="C295" s="3" t="s">
        <v>5</v>
      </c>
      <c r="D295" s="3" t="s">
        <v>1367</v>
      </c>
      <c r="E295" s="4">
        <v>0.7</v>
      </c>
      <c r="F295" s="42">
        <v>1.95</v>
      </c>
      <c r="G295" s="45">
        <v>424</v>
      </c>
      <c r="H295" s="22">
        <v>1.8</v>
      </c>
      <c r="I295" s="6">
        <f t="shared" si="13"/>
        <v>1041.7679999999998</v>
      </c>
      <c r="J295" s="6" t="s">
        <v>758</v>
      </c>
      <c r="K295" s="17">
        <f t="shared" si="12"/>
        <v>10</v>
      </c>
    </row>
    <row r="296" spans="1:11" ht="13.95" customHeight="1" x14ac:dyDescent="0.3">
      <c r="A296" s="3">
        <v>45953</v>
      </c>
      <c r="B296" s="3" t="s">
        <v>1394</v>
      </c>
      <c r="C296" s="3" t="s">
        <v>8</v>
      </c>
      <c r="D296" s="3" t="s">
        <v>1367</v>
      </c>
      <c r="E296" s="4">
        <v>0.75</v>
      </c>
      <c r="F296" s="42">
        <v>2</v>
      </c>
      <c r="G296" s="45">
        <v>424</v>
      </c>
      <c r="H296" s="22">
        <v>1.8</v>
      </c>
      <c r="I296" s="6">
        <f t="shared" si="13"/>
        <v>1144.8</v>
      </c>
      <c r="J296" s="6" t="s">
        <v>82</v>
      </c>
      <c r="K296" s="17">
        <f t="shared" si="12"/>
        <v>10</v>
      </c>
    </row>
    <row r="297" spans="1:11" ht="13.95" customHeight="1" x14ac:dyDescent="0.3">
      <c r="A297" s="3">
        <v>45954</v>
      </c>
      <c r="B297" s="3" t="s">
        <v>1394</v>
      </c>
      <c r="C297" s="3" t="s">
        <v>11</v>
      </c>
      <c r="D297" s="3" t="s">
        <v>14</v>
      </c>
      <c r="E297" s="4">
        <v>0.8</v>
      </c>
      <c r="F297" s="42">
        <v>2.15</v>
      </c>
      <c r="G297" s="45">
        <v>424</v>
      </c>
      <c r="H297" s="22">
        <v>1.8</v>
      </c>
      <c r="I297" s="6">
        <f t="shared" si="13"/>
        <v>1312.7040000000002</v>
      </c>
      <c r="J297" s="6" t="s">
        <v>197</v>
      </c>
      <c r="K297" s="17">
        <f t="shared" si="12"/>
        <v>10</v>
      </c>
    </row>
    <row r="298" spans="1:11" ht="13.95" customHeight="1" x14ac:dyDescent="0.3">
      <c r="A298" s="3">
        <v>45955</v>
      </c>
      <c r="B298" s="3" t="s">
        <v>1394</v>
      </c>
      <c r="C298" s="3" t="s">
        <v>13</v>
      </c>
      <c r="D298" s="3" t="s">
        <v>14</v>
      </c>
      <c r="E298" s="4">
        <v>0.85</v>
      </c>
      <c r="F298" s="42">
        <v>2.4</v>
      </c>
      <c r="G298" s="45">
        <v>424</v>
      </c>
      <c r="H298" s="22">
        <v>1.8</v>
      </c>
      <c r="I298" s="6">
        <f t="shared" si="13"/>
        <v>1556.9279999999999</v>
      </c>
      <c r="J298" s="6" t="s">
        <v>1370</v>
      </c>
      <c r="K298" s="17">
        <f t="shared" si="12"/>
        <v>10</v>
      </c>
    </row>
    <row r="299" spans="1:11" ht="13.95" customHeight="1" x14ac:dyDescent="0.3">
      <c r="A299" s="3">
        <v>45956</v>
      </c>
      <c r="B299" s="3" t="s">
        <v>1394</v>
      </c>
      <c r="C299" s="3" t="s">
        <v>16</v>
      </c>
      <c r="D299" s="3" t="s">
        <v>14</v>
      </c>
      <c r="E299" s="4">
        <v>0.82</v>
      </c>
      <c r="F299" s="42">
        <v>2.2000000000000002</v>
      </c>
      <c r="G299" s="45">
        <v>424</v>
      </c>
      <c r="H299" s="22">
        <v>1.8</v>
      </c>
      <c r="I299" s="6">
        <f t="shared" si="13"/>
        <v>1376.8128000000002</v>
      </c>
      <c r="J299" s="6" t="s">
        <v>139</v>
      </c>
      <c r="K299" s="17">
        <f t="shared" si="12"/>
        <v>10</v>
      </c>
    </row>
    <row r="300" spans="1:11" ht="13.95" customHeight="1" x14ac:dyDescent="0.3">
      <c r="A300" s="3">
        <v>45957</v>
      </c>
      <c r="B300" s="3" t="s">
        <v>1394</v>
      </c>
      <c r="C300" s="3" t="s">
        <v>18</v>
      </c>
      <c r="D300" s="3" t="s">
        <v>1259</v>
      </c>
      <c r="E300" s="4">
        <v>0.5</v>
      </c>
      <c r="F300" s="42">
        <v>1.75</v>
      </c>
      <c r="G300" s="45">
        <v>424</v>
      </c>
      <c r="H300" s="22">
        <v>1.8</v>
      </c>
      <c r="I300" s="6">
        <f t="shared" si="13"/>
        <v>667.80000000000007</v>
      </c>
      <c r="J300" s="6" t="s">
        <v>1371</v>
      </c>
      <c r="K300" s="17">
        <f t="shared" si="12"/>
        <v>10</v>
      </c>
    </row>
    <row r="301" spans="1:11" ht="13.95" customHeight="1" x14ac:dyDescent="0.3">
      <c r="A301" s="3">
        <v>45958</v>
      </c>
      <c r="B301" s="3" t="s">
        <v>1394</v>
      </c>
      <c r="C301" s="3" t="s">
        <v>20</v>
      </c>
      <c r="D301" s="3" t="s">
        <v>1259</v>
      </c>
      <c r="E301" s="4">
        <v>0.45</v>
      </c>
      <c r="F301" s="42">
        <v>1.7</v>
      </c>
      <c r="G301" s="45">
        <v>424</v>
      </c>
      <c r="H301" s="22">
        <v>1.8</v>
      </c>
      <c r="I301" s="6">
        <f t="shared" si="13"/>
        <v>583.84800000000007</v>
      </c>
      <c r="J301" s="6" t="s">
        <v>150</v>
      </c>
      <c r="K301" s="17">
        <f t="shared" si="12"/>
        <v>10</v>
      </c>
    </row>
    <row r="302" spans="1:11" ht="13.95" customHeight="1" x14ac:dyDescent="0.3">
      <c r="A302" s="3">
        <v>45959</v>
      </c>
      <c r="B302" s="3" t="s">
        <v>1394</v>
      </c>
      <c r="C302" s="3" t="s">
        <v>5</v>
      </c>
      <c r="D302" s="3" t="s">
        <v>1259</v>
      </c>
      <c r="E302" s="4">
        <v>0.42</v>
      </c>
      <c r="F302" s="42">
        <v>1.7</v>
      </c>
      <c r="G302" s="45">
        <v>424</v>
      </c>
      <c r="H302" s="22">
        <v>1.8</v>
      </c>
      <c r="I302" s="6">
        <f t="shared" si="13"/>
        <v>544.9248</v>
      </c>
      <c r="J302" s="6" t="s">
        <v>150</v>
      </c>
      <c r="K302" s="17">
        <f t="shared" si="12"/>
        <v>10</v>
      </c>
    </row>
    <row r="303" spans="1:11" ht="13.95" customHeight="1" x14ac:dyDescent="0.3">
      <c r="A303" s="3">
        <v>45960</v>
      </c>
      <c r="B303" s="3" t="s">
        <v>1394</v>
      </c>
      <c r="C303" s="3" t="s">
        <v>8</v>
      </c>
      <c r="D303" s="3" t="s">
        <v>1259</v>
      </c>
      <c r="E303" s="4">
        <v>0.45</v>
      </c>
      <c r="F303" s="42">
        <v>1.75</v>
      </c>
      <c r="G303" s="45">
        <v>424</v>
      </c>
      <c r="H303" s="22">
        <v>1.8</v>
      </c>
      <c r="I303" s="6">
        <f t="shared" si="13"/>
        <v>601.0200000000001</v>
      </c>
      <c r="J303" s="6" t="s">
        <v>150</v>
      </c>
      <c r="K303" s="17">
        <f t="shared" si="12"/>
        <v>10</v>
      </c>
    </row>
    <row r="304" spans="1:11" ht="13.95" customHeight="1" x14ac:dyDescent="0.3">
      <c r="A304" s="3">
        <v>45961</v>
      </c>
      <c r="B304" s="3" t="s">
        <v>1394</v>
      </c>
      <c r="C304" s="3" t="s">
        <v>11</v>
      </c>
      <c r="D304" s="3" t="s">
        <v>867</v>
      </c>
      <c r="E304" s="4">
        <v>0.7</v>
      </c>
      <c r="F304" s="42">
        <v>2.35</v>
      </c>
      <c r="G304" s="45">
        <v>424</v>
      </c>
      <c r="H304" s="22">
        <v>1.8</v>
      </c>
      <c r="I304" s="6">
        <f t="shared" si="13"/>
        <v>1255.4639999999999</v>
      </c>
      <c r="J304" s="6" t="s">
        <v>1372</v>
      </c>
      <c r="K304" s="17">
        <f t="shared" si="12"/>
        <v>10</v>
      </c>
    </row>
    <row r="305" spans="1:11" ht="13.95" customHeight="1" x14ac:dyDescent="0.3">
      <c r="A305" s="3">
        <v>45962</v>
      </c>
      <c r="B305" s="3" t="s">
        <v>1394</v>
      </c>
      <c r="C305" s="3" t="s">
        <v>13</v>
      </c>
      <c r="D305" s="3" t="s">
        <v>14</v>
      </c>
      <c r="E305" s="4">
        <v>0.55000000000000004</v>
      </c>
      <c r="F305" s="42">
        <v>2.1</v>
      </c>
      <c r="G305" s="45">
        <v>424</v>
      </c>
      <c r="H305" s="22">
        <v>1.8</v>
      </c>
      <c r="I305" s="6">
        <f t="shared" si="13"/>
        <v>881.49600000000021</v>
      </c>
      <c r="J305" s="6" t="s">
        <v>1373</v>
      </c>
      <c r="K305" s="17">
        <f t="shared" si="12"/>
        <v>11</v>
      </c>
    </row>
    <row r="306" spans="1:11" ht="13.95" customHeight="1" x14ac:dyDescent="0.3">
      <c r="A306" s="3">
        <v>45963</v>
      </c>
      <c r="B306" s="3" t="s">
        <v>1394</v>
      </c>
      <c r="C306" s="3" t="s">
        <v>16</v>
      </c>
      <c r="D306" s="3" t="s">
        <v>14</v>
      </c>
      <c r="E306" s="4">
        <v>0.5</v>
      </c>
      <c r="F306" s="42">
        <v>2</v>
      </c>
      <c r="G306" s="45">
        <v>424</v>
      </c>
      <c r="H306" s="22">
        <v>1.8</v>
      </c>
      <c r="I306" s="6">
        <f t="shared" si="13"/>
        <v>763.2</v>
      </c>
      <c r="J306" s="6" t="s">
        <v>139</v>
      </c>
      <c r="K306" s="17">
        <f t="shared" si="12"/>
        <v>11</v>
      </c>
    </row>
    <row r="307" spans="1:11" ht="13.95" customHeight="1" x14ac:dyDescent="0.3">
      <c r="A307" s="3">
        <v>45964</v>
      </c>
      <c r="B307" s="3" t="s">
        <v>1394</v>
      </c>
      <c r="C307" s="3" t="s">
        <v>18</v>
      </c>
      <c r="D307" s="3" t="s">
        <v>1259</v>
      </c>
      <c r="E307" s="4">
        <v>0.35</v>
      </c>
      <c r="F307" s="42">
        <v>1.75</v>
      </c>
      <c r="G307" s="45">
        <v>424</v>
      </c>
      <c r="H307" s="22">
        <v>1.8</v>
      </c>
      <c r="I307" s="6">
        <f t="shared" si="13"/>
        <v>467.45999999999987</v>
      </c>
      <c r="J307" s="6" t="s">
        <v>1374</v>
      </c>
      <c r="K307" s="17">
        <f t="shared" si="12"/>
        <v>11</v>
      </c>
    </row>
    <row r="308" spans="1:11" ht="13.95" customHeight="1" x14ac:dyDescent="0.3">
      <c r="A308" s="3">
        <v>45965</v>
      </c>
      <c r="B308" s="3" t="s">
        <v>1394</v>
      </c>
      <c r="C308" s="3" t="s">
        <v>20</v>
      </c>
      <c r="D308" s="3" t="s">
        <v>1259</v>
      </c>
      <c r="E308" s="4">
        <v>0.38</v>
      </c>
      <c r="F308" s="42">
        <v>1.75</v>
      </c>
      <c r="G308" s="45">
        <v>424</v>
      </c>
      <c r="H308" s="22">
        <v>1.8</v>
      </c>
      <c r="I308" s="6">
        <f t="shared" si="13"/>
        <v>507.52800000000008</v>
      </c>
      <c r="J308" s="6" t="s">
        <v>1375</v>
      </c>
      <c r="K308" s="17">
        <f t="shared" si="12"/>
        <v>11</v>
      </c>
    </row>
    <row r="309" spans="1:11" ht="13.95" customHeight="1" x14ac:dyDescent="0.3">
      <c r="A309" s="3">
        <v>45966</v>
      </c>
      <c r="B309" s="3" t="s">
        <v>1394</v>
      </c>
      <c r="C309" s="3" t="s">
        <v>5</v>
      </c>
      <c r="D309" s="3" t="s">
        <v>1259</v>
      </c>
      <c r="E309" s="4">
        <v>0.35</v>
      </c>
      <c r="F309" s="42">
        <v>1.7</v>
      </c>
      <c r="G309" s="45">
        <v>424</v>
      </c>
      <c r="H309" s="22">
        <v>1.8</v>
      </c>
      <c r="I309" s="6">
        <f t="shared" si="13"/>
        <v>454.10399999999993</v>
      </c>
      <c r="J309" s="6" t="s">
        <v>71</v>
      </c>
      <c r="K309" s="17">
        <f t="shared" si="12"/>
        <v>11</v>
      </c>
    </row>
    <row r="310" spans="1:11" ht="13.95" customHeight="1" x14ac:dyDescent="0.3">
      <c r="A310" s="3">
        <v>45967</v>
      </c>
      <c r="B310" s="3" t="s">
        <v>1394</v>
      </c>
      <c r="C310" s="3" t="s">
        <v>8</v>
      </c>
      <c r="D310" s="3" t="s">
        <v>1263</v>
      </c>
      <c r="E310" s="4">
        <v>0.45</v>
      </c>
      <c r="F310" s="42">
        <v>1.8</v>
      </c>
      <c r="G310" s="45">
        <v>424</v>
      </c>
      <c r="H310" s="22">
        <v>1.8</v>
      </c>
      <c r="I310" s="6">
        <f t="shared" si="13"/>
        <v>618.19200000000012</v>
      </c>
      <c r="J310" s="6" t="s">
        <v>1376</v>
      </c>
      <c r="K310" s="17">
        <f t="shared" si="12"/>
        <v>11</v>
      </c>
    </row>
    <row r="311" spans="1:11" ht="13.95" customHeight="1" x14ac:dyDescent="0.3">
      <c r="A311" s="3">
        <v>45968</v>
      </c>
      <c r="B311" s="3" t="s">
        <v>1394</v>
      </c>
      <c r="C311" s="3" t="s">
        <v>11</v>
      </c>
      <c r="D311" s="3" t="s">
        <v>1263</v>
      </c>
      <c r="E311" s="4">
        <v>0.48</v>
      </c>
      <c r="F311" s="42">
        <v>1.8</v>
      </c>
      <c r="G311" s="45">
        <v>424</v>
      </c>
      <c r="H311" s="22">
        <v>1.8</v>
      </c>
      <c r="I311" s="6">
        <f t="shared" si="13"/>
        <v>659.40479999999991</v>
      </c>
      <c r="J311" s="6" t="s">
        <v>1377</v>
      </c>
      <c r="K311" s="17">
        <f t="shared" si="12"/>
        <v>11</v>
      </c>
    </row>
    <row r="312" spans="1:11" ht="13.95" customHeight="1" x14ac:dyDescent="0.3">
      <c r="A312" s="3">
        <v>45969</v>
      </c>
      <c r="B312" s="3" t="s">
        <v>1394</v>
      </c>
      <c r="C312" s="3" t="s">
        <v>13</v>
      </c>
      <c r="D312" s="3" t="s">
        <v>14</v>
      </c>
      <c r="E312" s="4">
        <v>0.55000000000000004</v>
      </c>
      <c r="F312" s="42">
        <v>2.15</v>
      </c>
      <c r="G312" s="45">
        <v>424</v>
      </c>
      <c r="H312" s="22">
        <v>1.8</v>
      </c>
      <c r="I312" s="6">
        <f t="shared" si="13"/>
        <v>902.48400000000004</v>
      </c>
      <c r="J312" s="6" t="s">
        <v>1378</v>
      </c>
      <c r="K312" s="17">
        <f t="shared" si="12"/>
        <v>11</v>
      </c>
    </row>
    <row r="313" spans="1:11" ht="13.95" customHeight="1" x14ac:dyDescent="0.3">
      <c r="A313" s="3">
        <v>45970</v>
      </c>
      <c r="B313" s="3" t="s">
        <v>1394</v>
      </c>
      <c r="C313" s="3" t="s">
        <v>16</v>
      </c>
      <c r="D313" s="3" t="s">
        <v>14</v>
      </c>
      <c r="E313" s="4">
        <v>0.5</v>
      </c>
      <c r="F313" s="42">
        <v>2.0499999999999998</v>
      </c>
      <c r="G313" s="45">
        <v>424</v>
      </c>
      <c r="H313" s="22">
        <v>1.8</v>
      </c>
      <c r="I313" s="6">
        <f t="shared" si="13"/>
        <v>782.28</v>
      </c>
      <c r="J313" s="6" t="s">
        <v>149</v>
      </c>
      <c r="K313" s="17">
        <f t="shared" si="12"/>
        <v>11</v>
      </c>
    </row>
    <row r="314" spans="1:11" ht="13.95" customHeight="1" x14ac:dyDescent="0.3">
      <c r="A314" s="3">
        <v>45971</v>
      </c>
      <c r="B314" s="3" t="s">
        <v>1394</v>
      </c>
      <c r="C314" s="3" t="s">
        <v>18</v>
      </c>
      <c r="D314" s="3" t="s">
        <v>1259</v>
      </c>
      <c r="E314" s="4">
        <v>0.32</v>
      </c>
      <c r="F314" s="42">
        <v>1.7</v>
      </c>
      <c r="G314" s="45">
        <v>424</v>
      </c>
      <c r="H314" s="22">
        <v>1.8</v>
      </c>
      <c r="I314" s="6">
        <f t="shared" si="13"/>
        <v>415.18080000000003</v>
      </c>
      <c r="J314" s="6" t="s">
        <v>150</v>
      </c>
      <c r="K314" s="17">
        <f t="shared" si="12"/>
        <v>11</v>
      </c>
    </row>
    <row r="315" spans="1:11" ht="13.95" customHeight="1" x14ac:dyDescent="0.3">
      <c r="A315" s="3">
        <v>45972</v>
      </c>
      <c r="B315" s="3" t="s">
        <v>1394</v>
      </c>
      <c r="C315" s="3" t="s">
        <v>20</v>
      </c>
      <c r="D315" s="3" t="s">
        <v>1259</v>
      </c>
      <c r="E315" s="4">
        <v>0.35</v>
      </c>
      <c r="F315" s="42">
        <v>1.7</v>
      </c>
      <c r="G315" s="45">
        <v>424</v>
      </c>
      <c r="H315" s="22">
        <v>1.8</v>
      </c>
      <c r="I315" s="6">
        <f t="shared" si="13"/>
        <v>454.10399999999993</v>
      </c>
      <c r="J315" s="6" t="s">
        <v>150</v>
      </c>
      <c r="K315" s="17">
        <f t="shared" si="12"/>
        <v>11</v>
      </c>
    </row>
    <row r="316" spans="1:11" ht="13.95" customHeight="1" x14ac:dyDescent="0.3">
      <c r="A316" s="3">
        <v>45973</v>
      </c>
      <c r="B316" s="3" t="s">
        <v>1394</v>
      </c>
      <c r="C316" s="3" t="s">
        <v>5</v>
      </c>
      <c r="D316" s="3" t="s">
        <v>1259</v>
      </c>
      <c r="E316" s="4">
        <v>0.3</v>
      </c>
      <c r="F316" s="42">
        <v>1.7</v>
      </c>
      <c r="G316" s="45">
        <v>424</v>
      </c>
      <c r="H316" s="22">
        <v>1.8</v>
      </c>
      <c r="I316" s="6">
        <f t="shared" si="13"/>
        <v>389.23199999999997</v>
      </c>
      <c r="J316" s="6" t="s">
        <v>150</v>
      </c>
      <c r="K316" s="17">
        <f t="shared" si="12"/>
        <v>11</v>
      </c>
    </row>
    <row r="317" spans="1:11" ht="13.95" customHeight="1" x14ac:dyDescent="0.3">
      <c r="A317" s="3">
        <v>45974</v>
      </c>
      <c r="B317" s="3" t="s">
        <v>1394</v>
      </c>
      <c r="C317" s="3" t="s">
        <v>8</v>
      </c>
      <c r="D317" s="3" t="s">
        <v>1259</v>
      </c>
      <c r="E317" s="4">
        <v>0.32</v>
      </c>
      <c r="F317" s="42">
        <v>1.75</v>
      </c>
      <c r="G317" s="45">
        <v>424</v>
      </c>
      <c r="H317" s="22">
        <v>1.8</v>
      </c>
      <c r="I317" s="6">
        <f t="shared" si="13"/>
        <v>427.392</v>
      </c>
      <c r="J317" s="6" t="s">
        <v>150</v>
      </c>
      <c r="K317" s="17">
        <f t="shared" si="12"/>
        <v>11</v>
      </c>
    </row>
    <row r="318" spans="1:11" ht="13.95" customHeight="1" x14ac:dyDescent="0.3">
      <c r="A318" s="3">
        <v>45975</v>
      </c>
      <c r="B318" s="3" t="s">
        <v>1394</v>
      </c>
      <c r="C318" s="3" t="s">
        <v>11</v>
      </c>
      <c r="D318" s="3" t="s">
        <v>14</v>
      </c>
      <c r="E318" s="4">
        <v>0.4</v>
      </c>
      <c r="F318" s="42">
        <v>1.9</v>
      </c>
      <c r="G318" s="45">
        <v>424</v>
      </c>
      <c r="H318" s="22">
        <v>1.8</v>
      </c>
      <c r="I318" s="6">
        <f t="shared" si="13"/>
        <v>580.03200000000004</v>
      </c>
      <c r="J318" s="6" t="s">
        <v>282</v>
      </c>
      <c r="K318" s="17">
        <f t="shared" si="12"/>
        <v>11</v>
      </c>
    </row>
    <row r="319" spans="1:11" ht="13.95" customHeight="1" x14ac:dyDescent="0.3">
      <c r="A319" s="3">
        <v>45976</v>
      </c>
      <c r="B319" s="3" t="s">
        <v>1394</v>
      </c>
      <c r="C319" s="3" t="s">
        <v>13</v>
      </c>
      <c r="D319" s="3" t="s">
        <v>14</v>
      </c>
      <c r="E319" s="4">
        <v>0.5</v>
      </c>
      <c r="F319" s="42">
        <v>2.1</v>
      </c>
      <c r="G319" s="45">
        <v>424</v>
      </c>
      <c r="H319" s="22">
        <v>1.8</v>
      </c>
      <c r="I319" s="6">
        <f t="shared" si="13"/>
        <v>801.36000000000013</v>
      </c>
      <c r="J319" s="6" t="s">
        <v>739</v>
      </c>
      <c r="K319" s="17">
        <f t="shared" si="12"/>
        <v>11</v>
      </c>
    </row>
    <row r="320" spans="1:11" ht="13.95" customHeight="1" x14ac:dyDescent="0.3">
      <c r="A320" s="3">
        <v>45977</v>
      </c>
      <c r="B320" s="3" t="s">
        <v>1394</v>
      </c>
      <c r="C320" s="3" t="s">
        <v>16</v>
      </c>
      <c r="D320" s="3" t="s">
        <v>14</v>
      </c>
      <c r="E320" s="4">
        <v>0.45</v>
      </c>
      <c r="F320" s="42">
        <v>2</v>
      </c>
      <c r="G320" s="45">
        <v>424</v>
      </c>
      <c r="H320" s="22">
        <v>1.8</v>
      </c>
      <c r="I320" s="6">
        <f t="shared" si="13"/>
        <v>686.88000000000011</v>
      </c>
      <c r="J320" s="6" t="s">
        <v>149</v>
      </c>
      <c r="K320" s="17">
        <f t="shared" si="12"/>
        <v>11</v>
      </c>
    </row>
    <row r="321" spans="1:11" ht="13.95" customHeight="1" x14ac:dyDescent="0.3">
      <c r="A321" s="3">
        <v>45978</v>
      </c>
      <c r="B321" s="3" t="s">
        <v>1394</v>
      </c>
      <c r="C321" s="3" t="s">
        <v>18</v>
      </c>
      <c r="D321" s="3" t="s">
        <v>1259</v>
      </c>
      <c r="E321" s="4">
        <v>0.3</v>
      </c>
      <c r="F321" s="42">
        <v>1.7</v>
      </c>
      <c r="G321" s="45">
        <v>424</v>
      </c>
      <c r="H321" s="22">
        <v>1.8</v>
      </c>
      <c r="I321" s="6">
        <f t="shared" si="13"/>
        <v>389.23199999999997</v>
      </c>
      <c r="J321" s="6" t="s">
        <v>1265</v>
      </c>
      <c r="K321" s="17">
        <f t="shared" si="12"/>
        <v>11</v>
      </c>
    </row>
    <row r="322" spans="1:11" ht="13.95" customHeight="1" x14ac:dyDescent="0.3">
      <c r="A322" s="3">
        <v>45979</v>
      </c>
      <c r="B322" s="3" t="s">
        <v>1394</v>
      </c>
      <c r="C322" s="3" t="s">
        <v>20</v>
      </c>
      <c r="D322" s="3" t="s">
        <v>1259</v>
      </c>
      <c r="E322" s="4">
        <v>0.28000000000000003</v>
      </c>
      <c r="F322" s="42">
        <v>1.7</v>
      </c>
      <c r="G322" s="45">
        <v>424</v>
      </c>
      <c r="H322" s="22">
        <v>1.8</v>
      </c>
      <c r="I322" s="6">
        <f t="shared" si="13"/>
        <v>363.28320000000002</v>
      </c>
      <c r="J322" s="6" t="s">
        <v>1272</v>
      </c>
      <c r="K322" s="17">
        <f t="shared" si="12"/>
        <v>11</v>
      </c>
    </row>
    <row r="323" spans="1:11" ht="13.95" customHeight="1" x14ac:dyDescent="0.3">
      <c r="A323" s="3">
        <v>45980</v>
      </c>
      <c r="B323" s="3" t="s">
        <v>1394</v>
      </c>
      <c r="C323" s="3" t="s">
        <v>5</v>
      </c>
      <c r="D323" s="3" t="s">
        <v>1259</v>
      </c>
      <c r="E323" s="4">
        <v>0.32</v>
      </c>
      <c r="F323" s="42">
        <v>1.7</v>
      </c>
      <c r="G323" s="45">
        <v>424</v>
      </c>
      <c r="H323" s="22">
        <v>1.8</v>
      </c>
      <c r="I323" s="6">
        <f t="shared" si="13"/>
        <v>415.18080000000003</v>
      </c>
      <c r="J323" s="6" t="s">
        <v>150</v>
      </c>
      <c r="K323" s="17">
        <f t="shared" ref="K323:K386" si="14">MONTH(A323)</f>
        <v>11</v>
      </c>
    </row>
    <row r="324" spans="1:11" ht="13.95" customHeight="1" x14ac:dyDescent="0.3">
      <c r="A324" s="3">
        <v>45981</v>
      </c>
      <c r="B324" s="3" t="s">
        <v>1394</v>
      </c>
      <c r="C324" s="3" t="s">
        <v>8</v>
      </c>
      <c r="D324" s="3" t="s">
        <v>1263</v>
      </c>
      <c r="E324" s="4">
        <v>0.45</v>
      </c>
      <c r="F324" s="42">
        <v>1.8</v>
      </c>
      <c r="G324" s="45">
        <v>424</v>
      </c>
      <c r="H324" s="22">
        <v>1.8</v>
      </c>
      <c r="I324" s="6">
        <f t="shared" si="13"/>
        <v>618.19200000000012</v>
      </c>
      <c r="J324" s="6" t="s">
        <v>1283</v>
      </c>
      <c r="K324" s="17">
        <f t="shared" si="14"/>
        <v>11</v>
      </c>
    </row>
    <row r="325" spans="1:11" ht="13.95" customHeight="1" x14ac:dyDescent="0.3">
      <c r="A325" s="3">
        <v>45982</v>
      </c>
      <c r="B325" s="3" t="s">
        <v>1394</v>
      </c>
      <c r="C325" s="3" t="s">
        <v>11</v>
      </c>
      <c r="D325" s="3" t="s">
        <v>1263</v>
      </c>
      <c r="E325" s="4">
        <v>0.5</v>
      </c>
      <c r="F325" s="42">
        <v>1.85</v>
      </c>
      <c r="G325" s="45">
        <v>424</v>
      </c>
      <c r="H325" s="22">
        <v>1.8</v>
      </c>
      <c r="I325" s="6">
        <f t="shared" si="13"/>
        <v>705.96000000000015</v>
      </c>
      <c r="J325" s="6" t="s">
        <v>71</v>
      </c>
      <c r="K325" s="17">
        <f t="shared" si="14"/>
        <v>11</v>
      </c>
    </row>
    <row r="326" spans="1:11" ht="13.95" customHeight="1" x14ac:dyDescent="0.3">
      <c r="A326" s="3">
        <v>45983</v>
      </c>
      <c r="B326" s="3" t="s">
        <v>1394</v>
      </c>
      <c r="C326" s="3" t="s">
        <v>13</v>
      </c>
      <c r="D326" s="3" t="s">
        <v>14</v>
      </c>
      <c r="E326" s="4">
        <v>0.55000000000000004</v>
      </c>
      <c r="F326" s="42">
        <v>2.15</v>
      </c>
      <c r="G326" s="45">
        <v>424</v>
      </c>
      <c r="H326" s="22">
        <v>1.8</v>
      </c>
      <c r="I326" s="6">
        <f t="shared" si="13"/>
        <v>902.48400000000004</v>
      </c>
      <c r="J326" s="6" t="s">
        <v>746</v>
      </c>
      <c r="K326" s="17">
        <f t="shared" si="14"/>
        <v>11</v>
      </c>
    </row>
    <row r="327" spans="1:11" ht="13.95" customHeight="1" x14ac:dyDescent="0.3">
      <c r="A327" s="3">
        <v>45984</v>
      </c>
      <c r="B327" s="3" t="s">
        <v>1394</v>
      </c>
      <c r="C327" s="3" t="s">
        <v>16</v>
      </c>
      <c r="D327" s="3" t="s">
        <v>14</v>
      </c>
      <c r="E327" s="4">
        <v>0.5</v>
      </c>
      <c r="F327" s="42">
        <v>2.0499999999999998</v>
      </c>
      <c r="G327" s="45">
        <v>424</v>
      </c>
      <c r="H327" s="22">
        <v>1.8</v>
      </c>
      <c r="I327" s="6">
        <f t="shared" si="13"/>
        <v>782.28</v>
      </c>
      <c r="J327" s="6" t="s">
        <v>149</v>
      </c>
      <c r="K327" s="17">
        <f t="shared" si="14"/>
        <v>11</v>
      </c>
    </row>
    <row r="328" spans="1:11" ht="13.95" customHeight="1" x14ac:dyDescent="0.3">
      <c r="A328" s="3">
        <v>45985</v>
      </c>
      <c r="B328" s="3" t="s">
        <v>1394</v>
      </c>
      <c r="C328" s="3" t="s">
        <v>18</v>
      </c>
      <c r="D328" s="3" t="s">
        <v>1259</v>
      </c>
      <c r="E328" s="4">
        <v>0.28000000000000003</v>
      </c>
      <c r="F328" s="42">
        <v>1.7</v>
      </c>
      <c r="G328" s="45">
        <v>424</v>
      </c>
      <c r="H328" s="22">
        <v>1.8</v>
      </c>
      <c r="I328" s="6">
        <f t="shared" si="13"/>
        <v>363.28320000000002</v>
      </c>
      <c r="J328" s="6" t="s">
        <v>150</v>
      </c>
      <c r="K328" s="17">
        <f t="shared" si="14"/>
        <v>11</v>
      </c>
    </row>
    <row r="329" spans="1:11" ht="13.95" customHeight="1" x14ac:dyDescent="0.3">
      <c r="A329" s="3">
        <v>45986</v>
      </c>
      <c r="B329" s="3" t="s">
        <v>1394</v>
      </c>
      <c r="C329" s="3" t="s">
        <v>20</v>
      </c>
      <c r="D329" s="3" t="s">
        <v>1259</v>
      </c>
      <c r="E329" s="4">
        <v>0.3</v>
      </c>
      <c r="F329" s="42">
        <v>1.7</v>
      </c>
      <c r="G329" s="45">
        <v>424</v>
      </c>
      <c r="H329" s="22">
        <v>1.8</v>
      </c>
      <c r="I329" s="6">
        <f t="shared" si="13"/>
        <v>389.23199999999997</v>
      </c>
      <c r="J329" s="6" t="s">
        <v>150</v>
      </c>
      <c r="K329" s="17">
        <f t="shared" si="14"/>
        <v>11</v>
      </c>
    </row>
    <row r="330" spans="1:11" ht="13.95" customHeight="1" x14ac:dyDescent="0.3">
      <c r="A330" s="3">
        <v>45987</v>
      </c>
      <c r="B330" s="3" t="s">
        <v>1394</v>
      </c>
      <c r="C330" s="3" t="s">
        <v>5</v>
      </c>
      <c r="D330" s="3" t="s">
        <v>1259</v>
      </c>
      <c r="E330" s="4">
        <v>0.32</v>
      </c>
      <c r="F330" s="42">
        <v>1.7</v>
      </c>
      <c r="G330" s="45">
        <v>424</v>
      </c>
      <c r="H330" s="22">
        <v>1.8</v>
      </c>
      <c r="I330" s="6">
        <f t="shared" si="13"/>
        <v>415.18080000000003</v>
      </c>
      <c r="J330" s="6" t="s">
        <v>150</v>
      </c>
      <c r="K330" s="17">
        <f t="shared" si="14"/>
        <v>11</v>
      </c>
    </row>
    <row r="331" spans="1:11" ht="13.95" customHeight="1" x14ac:dyDescent="0.3">
      <c r="A331" s="3">
        <v>45988</v>
      </c>
      <c r="B331" s="3" t="s">
        <v>1394</v>
      </c>
      <c r="C331" s="3" t="s">
        <v>8</v>
      </c>
      <c r="D331" s="3" t="s">
        <v>1259</v>
      </c>
      <c r="E331" s="4">
        <v>0.35</v>
      </c>
      <c r="F331" s="42">
        <v>1.75</v>
      </c>
      <c r="G331" s="45">
        <v>424</v>
      </c>
      <c r="H331" s="22">
        <v>1.8</v>
      </c>
      <c r="I331" s="6">
        <f t="shared" si="13"/>
        <v>467.45999999999987</v>
      </c>
      <c r="J331" s="6" t="s">
        <v>150</v>
      </c>
      <c r="K331" s="17">
        <f t="shared" si="14"/>
        <v>11</v>
      </c>
    </row>
    <row r="332" spans="1:11" ht="13.95" customHeight="1" x14ac:dyDescent="0.3">
      <c r="A332" s="3">
        <v>45989</v>
      </c>
      <c r="B332" s="3" t="s">
        <v>1394</v>
      </c>
      <c r="C332" s="3" t="s">
        <v>11</v>
      </c>
      <c r="D332" s="3" t="s">
        <v>14</v>
      </c>
      <c r="E332" s="4">
        <v>0.42</v>
      </c>
      <c r="F332" s="42">
        <v>1.9</v>
      </c>
      <c r="G332" s="45">
        <v>424</v>
      </c>
      <c r="H332" s="22">
        <v>1.8</v>
      </c>
      <c r="I332" s="6">
        <f t="shared" si="13"/>
        <v>609.03359999999998</v>
      </c>
      <c r="J332" s="6" t="s">
        <v>97</v>
      </c>
      <c r="K332" s="17">
        <f t="shared" si="14"/>
        <v>11</v>
      </c>
    </row>
    <row r="333" spans="1:11" ht="13.95" customHeight="1" x14ac:dyDescent="0.3">
      <c r="A333" s="3">
        <v>45990</v>
      </c>
      <c r="B333" s="3" t="s">
        <v>1394</v>
      </c>
      <c r="C333" s="3" t="s">
        <v>13</v>
      </c>
      <c r="D333" s="3" t="s">
        <v>14</v>
      </c>
      <c r="E333" s="4">
        <v>0.55000000000000004</v>
      </c>
      <c r="F333" s="42">
        <v>2.15</v>
      </c>
      <c r="G333" s="45">
        <v>424</v>
      </c>
      <c r="H333" s="22">
        <v>1.8</v>
      </c>
      <c r="I333" s="6">
        <f t="shared" si="13"/>
        <v>902.48400000000004</v>
      </c>
      <c r="J333" s="6" t="s">
        <v>529</v>
      </c>
      <c r="K333" s="17">
        <f t="shared" si="14"/>
        <v>11</v>
      </c>
    </row>
    <row r="334" spans="1:11" ht="13.95" customHeight="1" x14ac:dyDescent="0.3">
      <c r="A334" s="3">
        <v>45991</v>
      </c>
      <c r="B334" s="3" t="s">
        <v>1394</v>
      </c>
      <c r="C334" s="3" t="s">
        <v>16</v>
      </c>
      <c r="D334" s="3" t="s">
        <v>14</v>
      </c>
      <c r="E334" s="4">
        <v>0.52</v>
      </c>
      <c r="F334" s="42">
        <v>2.1</v>
      </c>
      <c r="G334" s="45">
        <v>424</v>
      </c>
      <c r="H334" s="22">
        <v>1.8</v>
      </c>
      <c r="I334" s="6">
        <f t="shared" si="13"/>
        <v>833.41440000000011</v>
      </c>
      <c r="J334" s="6" t="s">
        <v>149</v>
      </c>
      <c r="K334" s="17">
        <f t="shared" si="14"/>
        <v>11</v>
      </c>
    </row>
    <row r="335" spans="1:11" ht="13.95" customHeight="1" x14ac:dyDescent="0.3">
      <c r="A335" s="3">
        <v>45992</v>
      </c>
      <c r="B335" s="3" t="s">
        <v>1394</v>
      </c>
      <c r="C335" s="3" t="s">
        <v>18</v>
      </c>
      <c r="D335" s="3" t="s">
        <v>1259</v>
      </c>
      <c r="E335" s="4">
        <v>0.3</v>
      </c>
      <c r="F335" s="42">
        <v>1.7</v>
      </c>
      <c r="G335" s="45">
        <v>424</v>
      </c>
      <c r="H335" s="22">
        <v>1.8</v>
      </c>
      <c r="I335" s="6">
        <f t="shared" si="13"/>
        <v>389.23199999999997</v>
      </c>
      <c r="J335" s="6" t="s">
        <v>150</v>
      </c>
      <c r="K335" s="17">
        <f t="shared" si="14"/>
        <v>12</v>
      </c>
    </row>
    <row r="336" spans="1:11" ht="13.95" customHeight="1" x14ac:dyDescent="0.3">
      <c r="A336" s="3">
        <v>45993</v>
      </c>
      <c r="B336" s="3" t="s">
        <v>1394</v>
      </c>
      <c r="C336" s="3" t="s">
        <v>20</v>
      </c>
      <c r="D336" s="3" t="s">
        <v>1259</v>
      </c>
      <c r="E336" s="4">
        <v>0.32</v>
      </c>
      <c r="F336" s="42">
        <v>1.7</v>
      </c>
      <c r="G336" s="45">
        <v>424</v>
      </c>
      <c r="H336" s="22">
        <v>1.8</v>
      </c>
      <c r="I336" s="6">
        <f t="shared" si="13"/>
        <v>415.18080000000003</v>
      </c>
      <c r="J336" s="6" t="s">
        <v>150</v>
      </c>
      <c r="K336" s="17">
        <f t="shared" si="14"/>
        <v>12</v>
      </c>
    </row>
    <row r="337" spans="1:11" ht="13.95" customHeight="1" x14ac:dyDescent="0.3">
      <c r="A337" s="3">
        <v>45994</v>
      </c>
      <c r="B337" s="3" t="s">
        <v>1394</v>
      </c>
      <c r="C337" s="3" t="s">
        <v>5</v>
      </c>
      <c r="D337" s="3" t="s">
        <v>1259</v>
      </c>
      <c r="E337" s="4">
        <v>0.3</v>
      </c>
      <c r="F337" s="42">
        <v>1.7</v>
      </c>
      <c r="G337" s="45">
        <v>424</v>
      </c>
      <c r="H337" s="22">
        <v>1.8</v>
      </c>
      <c r="I337" s="6">
        <f t="shared" si="13"/>
        <v>389.23199999999997</v>
      </c>
      <c r="J337" s="6" t="s">
        <v>150</v>
      </c>
      <c r="K337" s="17">
        <f t="shared" si="14"/>
        <v>12</v>
      </c>
    </row>
    <row r="338" spans="1:11" ht="13.95" customHeight="1" x14ac:dyDescent="0.3">
      <c r="A338" s="3">
        <v>45995</v>
      </c>
      <c r="B338" s="3" t="s">
        <v>1394</v>
      </c>
      <c r="C338" s="3" t="s">
        <v>8</v>
      </c>
      <c r="D338" s="3" t="s">
        <v>1263</v>
      </c>
      <c r="E338" s="4">
        <v>0.45</v>
      </c>
      <c r="F338" s="42">
        <v>1.8</v>
      </c>
      <c r="G338" s="45">
        <v>424</v>
      </c>
      <c r="H338" s="22">
        <v>1.8</v>
      </c>
      <c r="I338" s="6">
        <f t="shared" si="13"/>
        <v>618.19200000000012</v>
      </c>
      <c r="J338" s="6" t="s">
        <v>1379</v>
      </c>
      <c r="K338" s="17">
        <f t="shared" si="14"/>
        <v>12</v>
      </c>
    </row>
    <row r="339" spans="1:11" ht="13.95" customHeight="1" x14ac:dyDescent="0.3">
      <c r="A339" s="3">
        <v>45996</v>
      </c>
      <c r="B339" s="3" t="s">
        <v>1394</v>
      </c>
      <c r="C339" s="3" t="s">
        <v>11</v>
      </c>
      <c r="D339" s="3" t="s">
        <v>14</v>
      </c>
      <c r="E339" s="4">
        <v>0.5</v>
      </c>
      <c r="F339" s="42">
        <v>1.95</v>
      </c>
      <c r="G339" s="45">
        <v>424</v>
      </c>
      <c r="H339" s="22">
        <v>1.8</v>
      </c>
      <c r="I339" s="6">
        <f t="shared" si="13"/>
        <v>744.12</v>
      </c>
      <c r="J339" s="6" t="s">
        <v>282</v>
      </c>
      <c r="K339" s="17">
        <f t="shared" si="14"/>
        <v>12</v>
      </c>
    </row>
    <row r="340" spans="1:11" ht="13.95" customHeight="1" x14ac:dyDescent="0.3">
      <c r="A340" s="3">
        <v>45997</v>
      </c>
      <c r="B340" s="3" t="s">
        <v>1394</v>
      </c>
      <c r="C340" s="3" t="s">
        <v>13</v>
      </c>
      <c r="D340" s="3" t="s">
        <v>14</v>
      </c>
      <c r="E340" s="4">
        <v>0.6</v>
      </c>
      <c r="F340" s="42">
        <v>2.2000000000000002</v>
      </c>
      <c r="G340" s="45">
        <v>424</v>
      </c>
      <c r="H340" s="22">
        <v>1.8</v>
      </c>
      <c r="I340" s="6">
        <f t="shared" si="13"/>
        <v>1007.424</v>
      </c>
      <c r="J340" s="6" t="s">
        <v>902</v>
      </c>
      <c r="K340" s="17">
        <f t="shared" si="14"/>
        <v>12</v>
      </c>
    </row>
    <row r="341" spans="1:11" ht="13.95" customHeight="1" x14ac:dyDescent="0.3">
      <c r="A341" s="3">
        <v>45998</v>
      </c>
      <c r="B341" s="3" t="s">
        <v>1394</v>
      </c>
      <c r="C341" s="3" t="s">
        <v>16</v>
      </c>
      <c r="D341" s="3" t="s">
        <v>14</v>
      </c>
      <c r="E341" s="4">
        <v>0.55000000000000004</v>
      </c>
      <c r="F341" s="42">
        <v>2.1</v>
      </c>
      <c r="G341" s="45">
        <v>424</v>
      </c>
      <c r="H341" s="22">
        <v>1.8</v>
      </c>
      <c r="I341" s="6">
        <f t="shared" si="13"/>
        <v>881.49600000000021</v>
      </c>
      <c r="J341" s="6" t="s">
        <v>139</v>
      </c>
      <c r="K341" s="17">
        <f t="shared" si="14"/>
        <v>12</v>
      </c>
    </row>
    <row r="342" spans="1:11" ht="13.95" customHeight="1" x14ac:dyDescent="0.3">
      <c r="A342" s="3">
        <v>45999</v>
      </c>
      <c r="B342" s="3" t="s">
        <v>1394</v>
      </c>
      <c r="C342" s="3" t="s">
        <v>18</v>
      </c>
      <c r="D342" s="3" t="s">
        <v>1259</v>
      </c>
      <c r="E342" s="4">
        <v>0.35</v>
      </c>
      <c r="F342" s="42">
        <v>1.75</v>
      </c>
      <c r="G342" s="45">
        <v>424</v>
      </c>
      <c r="H342" s="22">
        <v>1.8</v>
      </c>
      <c r="I342" s="6">
        <f t="shared" si="13"/>
        <v>467.45999999999987</v>
      </c>
      <c r="J342" s="6" t="s">
        <v>150</v>
      </c>
      <c r="K342" s="17">
        <f t="shared" si="14"/>
        <v>12</v>
      </c>
    </row>
    <row r="343" spans="1:11" ht="13.95" customHeight="1" x14ac:dyDescent="0.3">
      <c r="A343" s="3">
        <v>46000</v>
      </c>
      <c r="B343" s="3" t="s">
        <v>1394</v>
      </c>
      <c r="C343" s="3" t="s">
        <v>20</v>
      </c>
      <c r="D343" s="3" t="s">
        <v>1259</v>
      </c>
      <c r="E343" s="4">
        <v>0.38</v>
      </c>
      <c r="F343" s="42">
        <v>1.75</v>
      </c>
      <c r="G343" s="45">
        <v>424</v>
      </c>
      <c r="H343" s="22">
        <v>1.8</v>
      </c>
      <c r="I343" s="6">
        <f t="shared" si="13"/>
        <v>507.52800000000008</v>
      </c>
      <c r="J343" s="6" t="s">
        <v>71</v>
      </c>
      <c r="K343" s="17">
        <f t="shared" si="14"/>
        <v>12</v>
      </c>
    </row>
    <row r="344" spans="1:11" ht="13.95" customHeight="1" x14ac:dyDescent="0.3">
      <c r="A344" s="3">
        <v>46001</v>
      </c>
      <c r="B344" s="3" t="s">
        <v>1394</v>
      </c>
      <c r="C344" s="3" t="s">
        <v>5</v>
      </c>
      <c r="D344" s="3" t="s">
        <v>1259</v>
      </c>
      <c r="E344" s="4">
        <v>0.35</v>
      </c>
      <c r="F344" s="42">
        <v>1.7</v>
      </c>
      <c r="G344" s="45">
        <v>424</v>
      </c>
      <c r="H344" s="22">
        <v>1.8</v>
      </c>
      <c r="I344" s="6">
        <f t="shared" si="13"/>
        <v>454.10399999999993</v>
      </c>
      <c r="J344" s="6" t="s">
        <v>71</v>
      </c>
      <c r="K344" s="17">
        <f t="shared" si="14"/>
        <v>12</v>
      </c>
    </row>
    <row r="345" spans="1:11" ht="13.95" customHeight="1" x14ac:dyDescent="0.3">
      <c r="A345" s="3">
        <v>46002</v>
      </c>
      <c r="B345" s="3" t="s">
        <v>1394</v>
      </c>
      <c r="C345" s="3" t="s">
        <v>8</v>
      </c>
      <c r="D345" s="3" t="s">
        <v>1259</v>
      </c>
      <c r="E345" s="4">
        <v>0.38</v>
      </c>
      <c r="F345" s="42">
        <v>1.75</v>
      </c>
      <c r="G345" s="45">
        <v>424</v>
      </c>
      <c r="H345" s="22">
        <v>1.8</v>
      </c>
      <c r="I345" s="6">
        <f t="shared" si="13"/>
        <v>507.52800000000008</v>
      </c>
      <c r="J345" s="6" t="s">
        <v>71</v>
      </c>
      <c r="K345" s="17">
        <f t="shared" si="14"/>
        <v>12</v>
      </c>
    </row>
    <row r="346" spans="1:11" ht="13.95" customHeight="1" x14ac:dyDescent="0.3">
      <c r="A346" s="3">
        <v>46003</v>
      </c>
      <c r="B346" s="3" t="s">
        <v>1394</v>
      </c>
      <c r="C346" s="3" t="s">
        <v>11</v>
      </c>
      <c r="D346" s="3" t="s">
        <v>14</v>
      </c>
      <c r="E346" s="4">
        <v>0.5</v>
      </c>
      <c r="F346" s="42">
        <v>1.95</v>
      </c>
      <c r="G346" s="45">
        <v>424</v>
      </c>
      <c r="H346" s="22">
        <v>1.8</v>
      </c>
      <c r="I346" s="6">
        <f t="shared" si="13"/>
        <v>744.12</v>
      </c>
      <c r="J346" s="6" t="s">
        <v>97</v>
      </c>
      <c r="K346" s="17">
        <f t="shared" si="14"/>
        <v>12</v>
      </c>
    </row>
    <row r="347" spans="1:11" ht="13.95" customHeight="1" x14ac:dyDescent="0.3">
      <c r="A347" s="3">
        <v>46004</v>
      </c>
      <c r="B347" s="3" t="s">
        <v>1394</v>
      </c>
      <c r="C347" s="3" t="s">
        <v>13</v>
      </c>
      <c r="D347" s="3" t="s">
        <v>14</v>
      </c>
      <c r="E347" s="4">
        <v>0.65</v>
      </c>
      <c r="F347" s="42">
        <v>2.2999999999999998</v>
      </c>
      <c r="G347" s="45">
        <v>424</v>
      </c>
      <c r="H347" s="22">
        <v>1.8</v>
      </c>
      <c r="I347" s="6">
        <f t="shared" si="13"/>
        <v>1140.9839999999999</v>
      </c>
      <c r="J347" s="6" t="s">
        <v>1380</v>
      </c>
      <c r="K347" s="17">
        <f t="shared" si="14"/>
        <v>12</v>
      </c>
    </row>
    <row r="348" spans="1:11" ht="13.95" customHeight="1" x14ac:dyDescent="0.3">
      <c r="A348" s="3">
        <v>46005</v>
      </c>
      <c r="B348" s="3" t="s">
        <v>1394</v>
      </c>
      <c r="C348" s="3" t="s">
        <v>16</v>
      </c>
      <c r="D348" s="3" t="s">
        <v>14</v>
      </c>
      <c r="E348" s="4">
        <v>0.6</v>
      </c>
      <c r="F348" s="42">
        <v>2.15</v>
      </c>
      <c r="G348" s="45">
        <v>424</v>
      </c>
      <c r="H348" s="22">
        <v>1.8</v>
      </c>
      <c r="I348" s="6">
        <f t="shared" si="13"/>
        <v>984.52799999999991</v>
      </c>
      <c r="J348" s="6" t="s">
        <v>139</v>
      </c>
      <c r="K348" s="17">
        <f t="shared" si="14"/>
        <v>12</v>
      </c>
    </row>
    <row r="349" spans="1:11" ht="13.95" customHeight="1" x14ac:dyDescent="0.3">
      <c r="A349" s="3">
        <v>46006</v>
      </c>
      <c r="B349" s="3" t="s">
        <v>1394</v>
      </c>
      <c r="C349" s="3" t="s">
        <v>18</v>
      </c>
      <c r="D349" s="3" t="s">
        <v>1259</v>
      </c>
      <c r="E349" s="4">
        <v>0.4</v>
      </c>
      <c r="F349" s="42">
        <v>1.75</v>
      </c>
      <c r="G349" s="45">
        <v>424</v>
      </c>
      <c r="H349" s="22">
        <v>1.8</v>
      </c>
      <c r="I349" s="6">
        <f t="shared" si="13"/>
        <v>534.24000000000012</v>
      </c>
      <c r="J349" s="6" t="s">
        <v>1381</v>
      </c>
      <c r="K349" s="17">
        <f t="shared" si="14"/>
        <v>12</v>
      </c>
    </row>
    <row r="350" spans="1:11" ht="13.95" customHeight="1" x14ac:dyDescent="0.3">
      <c r="A350" s="3">
        <v>46007</v>
      </c>
      <c r="B350" s="3" t="s">
        <v>1394</v>
      </c>
      <c r="C350" s="3" t="s">
        <v>20</v>
      </c>
      <c r="D350" s="3" t="s">
        <v>1259</v>
      </c>
      <c r="E350" s="4">
        <v>0.42</v>
      </c>
      <c r="F350" s="42">
        <v>1.75</v>
      </c>
      <c r="G350" s="45">
        <v>424</v>
      </c>
      <c r="H350" s="22">
        <v>1.8</v>
      </c>
      <c r="I350" s="6">
        <f t="shared" si="13"/>
        <v>560.952</v>
      </c>
      <c r="J350" s="6" t="s">
        <v>150</v>
      </c>
      <c r="K350" s="17">
        <f t="shared" si="14"/>
        <v>12</v>
      </c>
    </row>
    <row r="351" spans="1:11" ht="13.95" customHeight="1" x14ac:dyDescent="0.3">
      <c r="A351" s="3">
        <v>46008</v>
      </c>
      <c r="B351" s="3" t="s">
        <v>1394</v>
      </c>
      <c r="C351" s="3" t="s">
        <v>5</v>
      </c>
      <c r="D351" s="3" t="s">
        <v>1259</v>
      </c>
      <c r="E351" s="4">
        <v>0.4</v>
      </c>
      <c r="F351" s="42">
        <v>1.7</v>
      </c>
      <c r="G351" s="45">
        <v>424</v>
      </c>
      <c r="H351" s="22">
        <v>1.8</v>
      </c>
      <c r="I351" s="6">
        <f t="shared" si="13"/>
        <v>518.97600000000011</v>
      </c>
      <c r="J351" s="6" t="s">
        <v>150</v>
      </c>
      <c r="K351" s="17">
        <f t="shared" si="14"/>
        <v>12</v>
      </c>
    </row>
    <row r="352" spans="1:11" ht="13.95" customHeight="1" x14ac:dyDescent="0.3">
      <c r="A352" s="3">
        <v>46009</v>
      </c>
      <c r="B352" s="3" t="s">
        <v>1394</v>
      </c>
      <c r="C352" s="3" t="s">
        <v>8</v>
      </c>
      <c r="D352" s="3" t="s">
        <v>1259</v>
      </c>
      <c r="E352" s="4">
        <v>0.45</v>
      </c>
      <c r="F352" s="42">
        <v>1.8</v>
      </c>
      <c r="G352" s="45">
        <v>424</v>
      </c>
      <c r="H352" s="22">
        <v>1.8</v>
      </c>
      <c r="I352" s="6">
        <f t="shared" ref="I352:I365" si="15">(G352*E352)*F352*H352</f>
        <v>618.19200000000012</v>
      </c>
      <c r="J352" s="6" t="s">
        <v>150</v>
      </c>
      <c r="K352" s="17">
        <f t="shared" si="14"/>
        <v>12</v>
      </c>
    </row>
    <row r="353" spans="1:11" ht="13.95" customHeight="1" x14ac:dyDescent="0.3">
      <c r="A353" s="3">
        <v>46010</v>
      </c>
      <c r="B353" s="3" t="s">
        <v>1394</v>
      </c>
      <c r="C353" s="3" t="s">
        <v>11</v>
      </c>
      <c r="D353" s="3" t="s">
        <v>658</v>
      </c>
      <c r="E353" s="4">
        <v>0.6</v>
      </c>
      <c r="F353" s="42">
        <v>2.0499999999999998</v>
      </c>
      <c r="G353" s="45">
        <v>424</v>
      </c>
      <c r="H353" s="22">
        <v>1.8</v>
      </c>
      <c r="I353" s="6">
        <f t="shared" si="15"/>
        <v>938.73599999999976</v>
      </c>
      <c r="J353" s="6" t="s">
        <v>596</v>
      </c>
      <c r="K353" s="17">
        <f t="shared" si="14"/>
        <v>12</v>
      </c>
    </row>
    <row r="354" spans="1:11" ht="13.95" customHeight="1" x14ac:dyDescent="0.3">
      <c r="A354" s="3">
        <v>46011</v>
      </c>
      <c r="B354" s="3" t="s">
        <v>1394</v>
      </c>
      <c r="C354" s="3" t="s">
        <v>13</v>
      </c>
      <c r="D354" s="3" t="s">
        <v>658</v>
      </c>
      <c r="E354" s="4">
        <v>0.75</v>
      </c>
      <c r="F354" s="42">
        <v>2.35</v>
      </c>
      <c r="G354" s="45">
        <v>424</v>
      </c>
      <c r="H354" s="22">
        <v>1.8</v>
      </c>
      <c r="I354" s="6">
        <f t="shared" si="15"/>
        <v>1345.14</v>
      </c>
      <c r="J354" s="6" t="s">
        <v>1214</v>
      </c>
      <c r="K354" s="17">
        <f t="shared" si="14"/>
        <v>12</v>
      </c>
    </row>
    <row r="355" spans="1:11" ht="13.95" customHeight="1" x14ac:dyDescent="0.3">
      <c r="A355" s="3">
        <v>46012</v>
      </c>
      <c r="B355" s="3" t="s">
        <v>1394</v>
      </c>
      <c r="C355" s="3" t="s">
        <v>16</v>
      </c>
      <c r="D355" s="3" t="s">
        <v>658</v>
      </c>
      <c r="E355" s="4">
        <v>0.7</v>
      </c>
      <c r="F355" s="42">
        <v>2.25</v>
      </c>
      <c r="G355" s="45">
        <v>424</v>
      </c>
      <c r="H355" s="22">
        <v>1.8</v>
      </c>
      <c r="I355" s="6">
        <f t="shared" si="15"/>
        <v>1202.04</v>
      </c>
      <c r="J355" s="6" t="s">
        <v>149</v>
      </c>
      <c r="K355" s="17">
        <f t="shared" si="14"/>
        <v>12</v>
      </c>
    </row>
    <row r="356" spans="1:11" ht="13.95" customHeight="1" x14ac:dyDescent="0.3">
      <c r="A356" s="3">
        <v>46013</v>
      </c>
      <c r="B356" s="3" t="s">
        <v>1394</v>
      </c>
      <c r="C356" s="3" t="s">
        <v>18</v>
      </c>
      <c r="D356" s="3" t="s">
        <v>658</v>
      </c>
      <c r="E356" s="4">
        <v>0.72</v>
      </c>
      <c r="F356" s="42">
        <v>2.1</v>
      </c>
      <c r="G356" s="45">
        <v>424</v>
      </c>
      <c r="H356" s="22">
        <v>1.8</v>
      </c>
      <c r="I356" s="6">
        <f t="shared" si="15"/>
        <v>1153.9584</v>
      </c>
      <c r="J356" s="6" t="s">
        <v>446</v>
      </c>
      <c r="K356" s="17">
        <f t="shared" si="14"/>
        <v>12</v>
      </c>
    </row>
    <row r="357" spans="1:11" ht="13.95" customHeight="1" x14ac:dyDescent="0.3">
      <c r="A357" s="3">
        <v>46014</v>
      </c>
      <c r="B357" s="3" t="s">
        <v>1394</v>
      </c>
      <c r="C357" s="3" t="s">
        <v>20</v>
      </c>
      <c r="D357" s="3" t="s">
        <v>658</v>
      </c>
      <c r="E357" s="4">
        <v>0.75</v>
      </c>
      <c r="F357" s="42">
        <v>2.2000000000000002</v>
      </c>
      <c r="G357" s="45">
        <v>424</v>
      </c>
      <c r="H357" s="22">
        <v>1.8</v>
      </c>
      <c r="I357" s="6">
        <f t="shared" si="15"/>
        <v>1259.28</v>
      </c>
      <c r="J357" s="6" t="s">
        <v>661</v>
      </c>
      <c r="K357" s="17">
        <f t="shared" si="14"/>
        <v>12</v>
      </c>
    </row>
    <row r="358" spans="1:11" ht="13.95" customHeight="1" x14ac:dyDescent="0.3">
      <c r="A358" s="3">
        <v>46015</v>
      </c>
      <c r="B358" s="3" t="s">
        <v>1394</v>
      </c>
      <c r="C358" s="3" t="s">
        <v>5</v>
      </c>
      <c r="D358" s="3" t="s">
        <v>662</v>
      </c>
      <c r="E358" s="4">
        <v>0.85</v>
      </c>
      <c r="F358" s="42">
        <v>2.8</v>
      </c>
      <c r="G358" s="45">
        <v>424</v>
      </c>
      <c r="H358" s="22">
        <v>1.8</v>
      </c>
      <c r="I358" s="6">
        <f t="shared" si="15"/>
        <v>1816.4159999999999</v>
      </c>
      <c r="J358" s="6" t="s">
        <v>1382</v>
      </c>
      <c r="K358" s="17">
        <f t="shared" si="14"/>
        <v>12</v>
      </c>
    </row>
    <row r="359" spans="1:11" ht="13.95" customHeight="1" x14ac:dyDescent="0.3">
      <c r="A359" s="3">
        <v>46016</v>
      </c>
      <c r="B359" s="3" t="s">
        <v>1394</v>
      </c>
      <c r="C359" s="3" t="s">
        <v>8</v>
      </c>
      <c r="D359" s="3" t="s">
        <v>299</v>
      </c>
      <c r="E359" s="4">
        <v>0.8</v>
      </c>
      <c r="F359" s="42">
        <v>2.5</v>
      </c>
      <c r="G359" s="45">
        <v>424</v>
      </c>
      <c r="H359" s="22">
        <v>1.8</v>
      </c>
      <c r="I359" s="6">
        <f t="shared" si="15"/>
        <v>1526.4000000000003</v>
      </c>
      <c r="J359" s="6" t="s">
        <v>1383</v>
      </c>
      <c r="K359" s="17">
        <f t="shared" si="14"/>
        <v>12</v>
      </c>
    </row>
    <row r="360" spans="1:11" ht="13.95" customHeight="1" x14ac:dyDescent="0.3">
      <c r="A360" s="3">
        <v>46017</v>
      </c>
      <c r="B360" s="3" t="s">
        <v>1394</v>
      </c>
      <c r="C360" s="3" t="s">
        <v>11</v>
      </c>
      <c r="D360" s="3" t="s">
        <v>44</v>
      </c>
      <c r="E360" s="4">
        <v>0.75</v>
      </c>
      <c r="F360" s="42">
        <v>2.1</v>
      </c>
      <c r="G360" s="45">
        <v>424</v>
      </c>
      <c r="H360" s="22">
        <v>1.8</v>
      </c>
      <c r="I360" s="6">
        <f t="shared" si="15"/>
        <v>1202.0400000000002</v>
      </c>
      <c r="J360" s="6" t="s">
        <v>1202</v>
      </c>
      <c r="K360" s="17">
        <f t="shared" si="14"/>
        <v>12</v>
      </c>
    </row>
    <row r="361" spans="1:11" ht="13.95" customHeight="1" x14ac:dyDescent="0.3">
      <c r="A361" s="3">
        <v>46018</v>
      </c>
      <c r="B361" s="3" t="s">
        <v>1394</v>
      </c>
      <c r="C361" s="3" t="s">
        <v>13</v>
      </c>
      <c r="D361" s="3" t="s">
        <v>658</v>
      </c>
      <c r="E361" s="4">
        <v>0.85</v>
      </c>
      <c r="F361" s="42">
        <v>2.4</v>
      </c>
      <c r="G361" s="45">
        <v>424</v>
      </c>
      <c r="H361" s="22">
        <v>1.8</v>
      </c>
      <c r="I361" s="6">
        <f t="shared" si="15"/>
        <v>1556.9279999999999</v>
      </c>
      <c r="J361" s="6" t="s">
        <v>518</v>
      </c>
      <c r="K361" s="17">
        <f t="shared" si="14"/>
        <v>12</v>
      </c>
    </row>
    <row r="362" spans="1:11" ht="13.95" customHeight="1" x14ac:dyDescent="0.3">
      <c r="A362" s="3">
        <v>46019</v>
      </c>
      <c r="B362" s="3" t="s">
        <v>1394</v>
      </c>
      <c r="C362" s="3" t="s">
        <v>16</v>
      </c>
      <c r="D362" s="3" t="s">
        <v>658</v>
      </c>
      <c r="E362" s="4">
        <v>0.9</v>
      </c>
      <c r="F362" s="42">
        <v>2.5</v>
      </c>
      <c r="G362" s="45">
        <v>424</v>
      </c>
      <c r="H362" s="22">
        <v>1.8</v>
      </c>
      <c r="I362" s="6">
        <f t="shared" si="15"/>
        <v>1717.2</v>
      </c>
      <c r="J362" s="6" t="s">
        <v>665</v>
      </c>
      <c r="K362" s="17">
        <f t="shared" si="14"/>
        <v>12</v>
      </c>
    </row>
    <row r="363" spans="1:11" ht="13.95" customHeight="1" x14ac:dyDescent="0.3">
      <c r="A363" s="3">
        <v>46020</v>
      </c>
      <c r="B363" s="3" t="s">
        <v>1394</v>
      </c>
      <c r="C363" s="3" t="s">
        <v>18</v>
      </c>
      <c r="D363" s="3" t="s">
        <v>658</v>
      </c>
      <c r="E363" s="4">
        <v>0.92</v>
      </c>
      <c r="F363" s="42">
        <v>2.2999999999999998</v>
      </c>
      <c r="G363" s="45">
        <v>424</v>
      </c>
      <c r="H363" s="22">
        <v>1.8</v>
      </c>
      <c r="I363" s="6">
        <f t="shared" si="15"/>
        <v>1614.9312</v>
      </c>
      <c r="J363" s="6" t="s">
        <v>887</v>
      </c>
      <c r="K363" s="17">
        <f t="shared" si="14"/>
        <v>12</v>
      </c>
    </row>
    <row r="364" spans="1:11" ht="13.95" customHeight="1" x14ac:dyDescent="0.3">
      <c r="A364" s="3">
        <v>46021</v>
      </c>
      <c r="B364" s="3" t="s">
        <v>1394</v>
      </c>
      <c r="C364" s="3" t="s">
        <v>20</v>
      </c>
      <c r="D364" s="3" t="s">
        <v>658</v>
      </c>
      <c r="E364" s="4">
        <v>0.95</v>
      </c>
      <c r="F364" s="42">
        <v>2.4</v>
      </c>
      <c r="G364" s="45">
        <v>424</v>
      </c>
      <c r="H364" s="22">
        <v>1.8</v>
      </c>
      <c r="I364" s="6">
        <f t="shared" si="15"/>
        <v>1740.0959999999998</v>
      </c>
      <c r="J364" s="6" t="s">
        <v>531</v>
      </c>
      <c r="K364" s="17">
        <f t="shared" si="14"/>
        <v>12</v>
      </c>
    </row>
    <row r="365" spans="1:11" ht="13.95" customHeight="1" x14ac:dyDescent="0.3">
      <c r="A365" s="3">
        <v>46022</v>
      </c>
      <c r="B365" s="3" t="s">
        <v>1394</v>
      </c>
      <c r="C365" s="3" t="s">
        <v>5</v>
      </c>
      <c r="D365" s="3" t="s">
        <v>668</v>
      </c>
      <c r="E365" s="4">
        <v>1</v>
      </c>
      <c r="F365" s="42">
        <v>3.2</v>
      </c>
      <c r="G365" s="45">
        <v>424</v>
      </c>
      <c r="H365" s="22">
        <v>1.8</v>
      </c>
      <c r="I365" s="6">
        <f t="shared" si="15"/>
        <v>2442.2400000000002</v>
      </c>
      <c r="J365" s="6" t="s">
        <v>1384</v>
      </c>
      <c r="K365" s="17">
        <f t="shared" si="14"/>
        <v>12</v>
      </c>
    </row>
    <row r="366" spans="1:11" ht="13.95" customHeight="1" x14ac:dyDescent="0.3">
      <c r="A366" s="3">
        <v>45870</v>
      </c>
      <c r="B366" s="3" t="s">
        <v>1394</v>
      </c>
      <c r="C366" s="3" t="s">
        <v>11</v>
      </c>
      <c r="D366" s="3" t="s">
        <v>1347</v>
      </c>
      <c r="E366" s="4">
        <v>1</v>
      </c>
      <c r="F366" s="42">
        <v>2.4500000000000002</v>
      </c>
      <c r="G366" s="45">
        <v>424</v>
      </c>
      <c r="H366" s="22">
        <v>1.8</v>
      </c>
      <c r="I366" s="6">
        <f t="shared" ref="I366:I396" si="16">(G366*E366)*F366*H366</f>
        <v>1869.8400000000004</v>
      </c>
      <c r="J366" s="6" t="s">
        <v>1385</v>
      </c>
      <c r="K366" s="17">
        <f t="shared" si="14"/>
        <v>8</v>
      </c>
    </row>
    <row r="367" spans="1:11" ht="13.95" customHeight="1" x14ac:dyDescent="0.3">
      <c r="A367" s="3">
        <v>45871</v>
      </c>
      <c r="B367" s="3" t="s">
        <v>1394</v>
      </c>
      <c r="C367" s="3" t="s">
        <v>13</v>
      </c>
      <c r="D367" s="3" t="s">
        <v>829</v>
      </c>
      <c r="E367" s="4">
        <v>1</v>
      </c>
      <c r="F367" s="42">
        <v>2.8</v>
      </c>
      <c r="G367" s="45">
        <v>424</v>
      </c>
      <c r="H367" s="22">
        <v>1.8</v>
      </c>
      <c r="I367" s="6">
        <f t="shared" si="16"/>
        <v>2136.9599999999996</v>
      </c>
      <c r="J367" s="6" t="s">
        <v>1391</v>
      </c>
      <c r="K367" s="17">
        <f t="shared" si="14"/>
        <v>8</v>
      </c>
    </row>
    <row r="368" spans="1:11" ht="13.95" customHeight="1" x14ac:dyDescent="0.3">
      <c r="A368" s="3">
        <v>45872</v>
      </c>
      <c r="B368" s="3" t="s">
        <v>1394</v>
      </c>
      <c r="C368" s="3" t="s">
        <v>16</v>
      </c>
      <c r="D368" s="3" t="s">
        <v>829</v>
      </c>
      <c r="E368" s="4">
        <v>1</v>
      </c>
      <c r="F368" s="42">
        <v>2.6</v>
      </c>
      <c r="G368" s="45">
        <v>424</v>
      </c>
      <c r="H368" s="22">
        <v>1.8</v>
      </c>
      <c r="I368" s="6">
        <f t="shared" si="16"/>
        <v>1984.3200000000002</v>
      </c>
      <c r="J368" s="6" t="s">
        <v>139</v>
      </c>
      <c r="K368" s="17">
        <f t="shared" si="14"/>
        <v>8</v>
      </c>
    </row>
    <row r="369" spans="1:11" ht="13.95" customHeight="1" x14ac:dyDescent="0.3">
      <c r="A369" s="3">
        <v>45873</v>
      </c>
      <c r="B369" s="3" t="s">
        <v>1394</v>
      </c>
      <c r="C369" s="3" t="s">
        <v>18</v>
      </c>
      <c r="D369" s="3" t="s">
        <v>1347</v>
      </c>
      <c r="E369" s="4">
        <v>1</v>
      </c>
      <c r="F369" s="42">
        <v>2.2000000000000002</v>
      </c>
      <c r="G369" s="45">
        <v>424</v>
      </c>
      <c r="H369" s="22">
        <v>1.8</v>
      </c>
      <c r="I369" s="6">
        <f t="shared" si="16"/>
        <v>1679.0400000000002</v>
      </c>
      <c r="J369" s="6" t="s">
        <v>1386</v>
      </c>
      <c r="K369" s="17">
        <f t="shared" si="14"/>
        <v>8</v>
      </c>
    </row>
    <row r="370" spans="1:11" ht="13.95" customHeight="1" x14ac:dyDescent="0.3">
      <c r="A370" s="3">
        <v>45874</v>
      </c>
      <c r="B370" s="3" t="s">
        <v>1394</v>
      </c>
      <c r="C370" s="3" t="s">
        <v>20</v>
      </c>
      <c r="D370" s="3" t="s">
        <v>1347</v>
      </c>
      <c r="E370" s="4">
        <v>1</v>
      </c>
      <c r="F370" s="42">
        <v>2.2000000000000002</v>
      </c>
      <c r="G370" s="45">
        <v>424</v>
      </c>
      <c r="H370" s="22">
        <v>1.8</v>
      </c>
      <c r="I370" s="6">
        <f t="shared" si="16"/>
        <v>1679.0400000000002</v>
      </c>
      <c r="J370" s="6" t="s">
        <v>1386</v>
      </c>
      <c r="K370" s="17">
        <f t="shared" si="14"/>
        <v>8</v>
      </c>
    </row>
    <row r="371" spans="1:11" ht="13.95" customHeight="1" x14ac:dyDescent="0.3">
      <c r="A371" s="3">
        <v>45875</v>
      </c>
      <c r="B371" s="3" t="s">
        <v>1394</v>
      </c>
      <c r="C371" s="3" t="s">
        <v>5</v>
      </c>
      <c r="D371" s="3" t="s">
        <v>1347</v>
      </c>
      <c r="E371" s="4">
        <v>1</v>
      </c>
      <c r="F371" s="42">
        <v>2.2000000000000002</v>
      </c>
      <c r="G371" s="45">
        <v>424</v>
      </c>
      <c r="H371" s="22">
        <v>1.8</v>
      </c>
      <c r="I371" s="6">
        <f t="shared" si="16"/>
        <v>1679.0400000000002</v>
      </c>
      <c r="J371" s="6" t="s">
        <v>1386</v>
      </c>
      <c r="K371" s="17">
        <f t="shared" si="14"/>
        <v>8</v>
      </c>
    </row>
    <row r="372" spans="1:11" ht="13.95" customHeight="1" x14ac:dyDescent="0.3">
      <c r="A372" s="3">
        <v>45876</v>
      </c>
      <c r="B372" s="3" t="s">
        <v>1394</v>
      </c>
      <c r="C372" s="3" t="s">
        <v>8</v>
      </c>
      <c r="D372" s="3" t="s">
        <v>1347</v>
      </c>
      <c r="E372" s="4">
        <v>1</v>
      </c>
      <c r="F372" s="42">
        <v>2.25</v>
      </c>
      <c r="G372" s="45">
        <v>424</v>
      </c>
      <c r="H372" s="22">
        <v>1.8</v>
      </c>
      <c r="I372" s="6">
        <f t="shared" si="16"/>
        <v>1717.2</v>
      </c>
      <c r="J372" s="6" t="s">
        <v>82</v>
      </c>
      <c r="K372" s="17">
        <f t="shared" si="14"/>
        <v>8</v>
      </c>
    </row>
    <row r="373" spans="1:11" ht="13.95" customHeight="1" x14ac:dyDescent="0.3">
      <c r="A373" s="3">
        <v>45877</v>
      </c>
      <c r="B373" s="3" t="s">
        <v>1394</v>
      </c>
      <c r="C373" s="3" t="s">
        <v>11</v>
      </c>
      <c r="D373" s="3" t="s">
        <v>829</v>
      </c>
      <c r="E373" s="4">
        <v>1</v>
      </c>
      <c r="F373" s="42">
        <v>2.5</v>
      </c>
      <c r="G373" s="45">
        <v>424</v>
      </c>
      <c r="H373" s="22">
        <v>1.8</v>
      </c>
      <c r="I373" s="6">
        <f t="shared" si="16"/>
        <v>1908</v>
      </c>
      <c r="J373" s="6" t="s">
        <v>97</v>
      </c>
      <c r="K373" s="17">
        <f t="shared" si="14"/>
        <v>8</v>
      </c>
    </row>
    <row r="374" spans="1:11" ht="13.95" customHeight="1" x14ac:dyDescent="0.3">
      <c r="A374" s="3">
        <v>45878</v>
      </c>
      <c r="B374" s="3" t="s">
        <v>1394</v>
      </c>
      <c r="C374" s="3" t="s">
        <v>13</v>
      </c>
      <c r="D374" s="3" t="s">
        <v>829</v>
      </c>
      <c r="E374" s="4">
        <v>1</v>
      </c>
      <c r="F374" s="42">
        <v>2.85</v>
      </c>
      <c r="G374" s="45">
        <v>424</v>
      </c>
      <c r="H374" s="22">
        <v>1.8</v>
      </c>
      <c r="I374" s="6">
        <f t="shared" si="16"/>
        <v>2175.1200000000003</v>
      </c>
      <c r="J374" s="6" t="s">
        <v>1392</v>
      </c>
      <c r="K374" s="17">
        <f t="shared" si="14"/>
        <v>8</v>
      </c>
    </row>
    <row r="375" spans="1:11" ht="13.95" customHeight="1" x14ac:dyDescent="0.3">
      <c r="A375" s="3">
        <v>45879</v>
      </c>
      <c r="B375" s="3" t="s">
        <v>1394</v>
      </c>
      <c r="C375" s="3" t="s">
        <v>16</v>
      </c>
      <c r="D375" s="3" t="s">
        <v>829</v>
      </c>
      <c r="E375" s="4">
        <v>1</v>
      </c>
      <c r="F375" s="42">
        <v>2.6</v>
      </c>
      <c r="G375" s="45">
        <v>424</v>
      </c>
      <c r="H375" s="22">
        <v>1.8</v>
      </c>
      <c r="I375" s="6">
        <f t="shared" si="16"/>
        <v>1984.3200000000002</v>
      </c>
      <c r="J375" s="6" t="s">
        <v>1336</v>
      </c>
      <c r="K375" s="17">
        <f t="shared" si="14"/>
        <v>8</v>
      </c>
    </row>
    <row r="376" spans="1:11" ht="13.95" customHeight="1" x14ac:dyDescent="0.3">
      <c r="A376" s="3">
        <v>45880</v>
      </c>
      <c r="B376" s="3" t="s">
        <v>1394</v>
      </c>
      <c r="C376" s="3" t="s">
        <v>18</v>
      </c>
      <c r="D376" s="3" t="s">
        <v>1347</v>
      </c>
      <c r="E376" s="4">
        <v>1</v>
      </c>
      <c r="F376" s="42">
        <v>2.2000000000000002</v>
      </c>
      <c r="G376" s="45">
        <v>424</v>
      </c>
      <c r="H376" s="22">
        <v>1.8</v>
      </c>
      <c r="I376" s="6">
        <f t="shared" si="16"/>
        <v>1679.0400000000002</v>
      </c>
      <c r="J376" s="6" t="s">
        <v>476</v>
      </c>
      <c r="K376" s="17">
        <f t="shared" si="14"/>
        <v>8</v>
      </c>
    </row>
    <row r="377" spans="1:11" ht="13.95" customHeight="1" x14ac:dyDescent="0.3">
      <c r="A377" s="3">
        <v>45881</v>
      </c>
      <c r="B377" s="3" t="s">
        <v>1394</v>
      </c>
      <c r="C377" s="3" t="s">
        <v>20</v>
      </c>
      <c r="D377" s="3" t="s">
        <v>994</v>
      </c>
      <c r="E377" s="4">
        <v>1</v>
      </c>
      <c r="F377" s="42">
        <v>2.4</v>
      </c>
      <c r="G377" s="45">
        <v>424</v>
      </c>
      <c r="H377" s="22">
        <v>1.8</v>
      </c>
      <c r="I377" s="6">
        <f t="shared" si="16"/>
        <v>1831.6799999999998</v>
      </c>
      <c r="J377" s="6" t="s">
        <v>1387</v>
      </c>
      <c r="K377" s="17">
        <f t="shared" si="14"/>
        <v>8</v>
      </c>
    </row>
    <row r="378" spans="1:11" ht="13.95" customHeight="1" x14ac:dyDescent="0.3">
      <c r="A378" s="3">
        <v>45882</v>
      </c>
      <c r="B378" s="3" t="s">
        <v>1394</v>
      </c>
      <c r="C378" s="3" t="s">
        <v>5</v>
      </c>
      <c r="D378" s="3" t="s">
        <v>725</v>
      </c>
      <c r="E378" s="4">
        <v>1</v>
      </c>
      <c r="F378" s="42">
        <v>2.75</v>
      </c>
      <c r="G378" s="45">
        <v>424</v>
      </c>
      <c r="H378" s="22">
        <v>1.8</v>
      </c>
      <c r="I378" s="6">
        <f t="shared" si="16"/>
        <v>2098.8000000000002</v>
      </c>
      <c r="J378" s="6" t="s">
        <v>1222</v>
      </c>
      <c r="K378" s="17">
        <f t="shared" si="14"/>
        <v>8</v>
      </c>
    </row>
    <row r="379" spans="1:11" ht="13.95" customHeight="1" x14ac:dyDescent="0.3">
      <c r="A379" s="3">
        <v>45883</v>
      </c>
      <c r="B379" s="3" t="s">
        <v>1394</v>
      </c>
      <c r="C379" s="3" t="s">
        <v>8</v>
      </c>
      <c r="D379" s="3" t="s">
        <v>1347</v>
      </c>
      <c r="E379" s="4">
        <v>1</v>
      </c>
      <c r="F379" s="42">
        <v>2.25</v>
      </c>
      <c r="G379" s="45">
        <v>424</v>
      </c>
      <c r="H379" s="22">
        <v>1.8</v>
      </c>
      <c r="I379" s="6">
        <f t="shared" si="16"/>
        <v>1717.2</v>
      </c>
      <c r="J379" s="6" t="s">
        <v>476</v>
      </c>
      <c r="K379" s="17">
        <f t="shared" si="14"/>
        <v>8</v>
      </c>
    </row>
    <row r="380" spans="1:11" ht="13.95" customHeight="1" x14ac:dyDescent="0.3">
      <c r="A380" s="3">
        <v>45884</v>
      </c>
      <c r="B380" s="3" t="s">
        <v>1394</v>
      </c>
      <c r="C380" s="3" t="s">
        <v>11</v>
      </c>
      <c r="D380" s="3" t="s">
        <v>829</v>
      </c>
      <c r="E380" s="4">
        <v>1</v>
      </c>
      <c r="F380" s="42">
        <v>2.5</v>
      </c>
      <c r="G380" s="45">
        <v>424</v>
      </c>
      <c r="H380" s="22">
        <v>1.8</v>
      </c>
      <c r="I380" s="6">
        <f t="shared" si="16"/>
        <v>1908</v>
      </c>
      <c r="J380" s="6" t="s">
        <v>97</v>
      </c>
      <c r="K380" s="17">
        <f t="shared" si="14"/>
        <v>8</v>
      </c>
    </row>
    <row r="381" spans="1:11" ht="13.95" customHeight="1" x14ac:dyDescent="0.3">
      <c r="A381" s="3">
        <v>45885</v>
      </c>
      <c r="B381" s="3" t="s">
        <v>1394</v>
      </c>
      <c r="C381" s="3" t="s">
        <v>13</v>
      </c>
      <c r="D381" s="3" t="s">
        <v>829</v>
      </c>
      <c r="E381" s="4">
        <v>1</v>
      </c>
      <c r="F381" s="42">
        <v>2.8</v>
      </c>
      <c r="G381" s="45">
        <v>424</v>
      </c>
      <c r="H381" s="22">
        <v>1.8</v>
      </c>
      <c r="I381" s="6">
        <f t="shared" si="16"/>
        <v>2136.9599999999996</v>
      </c>
      <c r="J381" s="6" t="s">
        <v>1365</v>
      </c>
      <c r="K381" s="17">
        <f t="shared" si="14"/>
        <v>8</v>
      </c>
    </row>
    <row r="382" spans="1:11" ht="13.95" customHeight="1" x14ac:dyDescent="0.3">
      <c r="A382" s="3">
        <v>45886</v>
      </c>
      <c r="B382" s="3" t="s">
        <v>1394</v>
      </c>
      <c r="C382" s="3" t="s">
        <v>16</v>
      </c>
      <c r="D382" s="3" t="s">
        <v>829</v>
      </c>
      <c r="E382" s="4">
        <v>1</v>
      </c>
      <c r="F382" s="42">
        <v>2.5499999999999998</v>
      </c>
      <c r="G382" s="45">
        <v>424</v>
      </c>
      <c r="H382" s="22">
        <v>1.8</v>
      </c>
      <c r="I382" s="6">
        <f t="shared" si="16"/>
        <v>1946.1599999999996</v>
      </c>
      <c r="J382" s="6" t="s">
        <v>149</v>
      </c>
      <c r="K382" s="17">
        <f t="shared" si="14"/>
        <v>8</v>
      </c>
    </row>
    <row r="383" spans="1:11" ht="13.95" customHeight="1" x14ac:dyDescent="0.3">
      <c r="A383" s="3">
        <v>45887</v>
      </c>
      <c r="B383" s="3" t="s">
        <v>1394</v>
      </c>
      <c r="C383" s="3" t="s">
        <v>18</v>
      </c>
      <c r="D383" s="3" t="s">
        <v>1347</v>
      </c>
      <c r="E383" s="4">
        <v>0.98</v>
      </c>
      <c r="F383" s="42">
        <v>2.2000000000000002</v>
      </c>
      <c r="G383" s="45">
        <v>424</v>
      </c>
      <c r="H383" s="22">
        <v>1.8</v>
      </c>
      <c r="I383" s="6">
        <f t="shared" si="16"/>
        <v>1645.4592</v>
      </c>
      <c r="J383" s="6" t="s">
        <v>476</v>
      </c>
      <c r="K383" s="17">
        <f t="shared" si="14"/>
        <v>8</v>
      </c>
    </row>
    <row r="384" spans="1:11" ht="13.95" customHeight="1" x14ac:dyDescent="0.3">
      <c r="A384" s="3">
        <v>45888</v>
      </c>
      <c r="B384" s="3" t="s">
        <v>1394</v>
      </c>
      <c r="C384" s="3" t="s">
        <v>20</v>
      </c>
      <c r="D384" s="3" t="s">
        <v>1347</v>
      </c>
      <c r="E384" s="4">
        <v>0.98</v>
      </c>
      <c r="F384" s="42">
        <v>2.2000000000000002</v>
      </c>
      <c r="G384" s="45">
        <v>424</v>
      </c>
      <c r="H384" s="22">
        <v>1.8</v>
      </c>
      <c r="I384" s="6">
        <f t="shared" si="16"/>
        <v>1645.4592</v>
      </c>
      <c r="J384" s="6" t="s">
        <v>476</v>
      </c>
      <c r="K384" s="17">
        <f t="shared" si="14"/>
        <v>8</v>
      </c>
    </row>
    <row r="385" spans="1:11" ht="13.95" customHeight="1" x14ac:dyDescent="0.3">
      <c r="A385" s="3">
        <v>45889</v>
      </c>
      <c r="B385" s="3" t="s">
        <v>1394</v>
      </c>
      <c r="C385" s="3" t="s">
        <v>5</v>
      </c>
      <c r="D385" s="3" t="s">
        <v>1347</v>
      </c>
      <c r="E385" s="4">
        <v>0.98</v>
      </c>
      <c r="F385" s="42">
        <v>2.2000000000000002</v>
      </c>
      <c r="G385" s="45">
        <v>424</v>
      </c>
      <c r="H385" s="22">
        <v>1.8</v>
      </c>
      <c r="I385" s="6">
        <f t="shared" si="16"/>
        <v>1645.4592</v>
      </c>
      <c r="J385" s="6" t="s">
        <v>476</v>
      </c>
      <c r="K385" s="17">
        <f t="shared" si="14"/>
        <v>8</v>
      </c>
    </row>
    <row r="386" spans="1:11" ht="13.95" customHeight="1" x14ac:dyDescent="0.3">
      <c r="A386" s="3">
        <v>45890</v>
      </c>
      <c r="B386" s="3" t="s">
        <v>1394</v>
      </c>
      <c r="C386" s="3" t="s">
        <v>8</v>
      </c>
      <c r="D386" s="3" t="s">
        <v>1347</v>
      </c>
      <c r="E386" s="4">
        <v>0.98</v>
      </c>
      <c r="F386" s="42">
        <v>2.25</v>
      </c>
      <c r="G386" s="45">
        <v>424</v>
      </c>
      <c r="H386" s="22">
        <v>1.8</v>
      </c>
      <c r="I386" s="6">
        <f t="shared" si="16"/>
        <v>1682.856</v>
      </c>
      <c r="J386" s="6" t="s">
        <v>476</v>
      </c>
      <c r="K386" s="17">
        <f t="shared" si="14"/>
        <v>8</v>
      </c>
    </row>
    <row r="387" spans="1:11" ht="13.95" customHeight="1" x14ac:dyDescent="0.3">
      <c r="A387" s="3">
        <v>45891</v>
      </c>
      <c r="B387" s="3" t="s">
        <v>1394</v>
      </c>
      <c r="C387" s="3" t="s">
        <v>11</v>
      </c>
      <c r="D387" s="3" t="s">
        <v>829</v>
      </c>
      <c r="E387" s="4">
        <v>1</v>
      </c>
      <c r="F387" s="42">
        <v>2.4500000000000002</v>
      </c>
      <c r="G387" s="45">
        <v>424</v>
      </c>
      <c r="H387" s="22">
        <v>1.8</v>
      </c>
      <c r="I387" s="6">
        <f t="shared" si="16"/>
        <v>1869.8400000000004</v>
      </c>
      <c r="J387" s="6" t="s">
        <v>97</v>
      </c>
      <c r="K387" s="17">
        <f t="shared" ref="K387:K396" si="17">MONTH(A387)</f>
        <v>8</v>
      </c>
    </row>
    <row r="388" spans="1:11" ht="13.95" customHeight="1" x14ac:dyDescent="0.3">
      <c r="A388" s="3">
        <v>45892</v>
      </c>
      <c r="B388" s="3" t="s">
        <v>1394</v>
      </c>
      <c r="C388" s="3" t="s">
        <v>13</v>
      </c>
      <c r="D388" s="3" t="s">
        <v>829</v>
      </c>
      <c r="E388" s="4">
        <v>1</v>
      </c>
      <c r="F388" s="42">
        <v>2.8</v>
      </c>
      <c r="G388" s="45">
        <v>424</v>
      </c>
      <c r="H388" s="22">
        <v>1.8</v>
      </c>
      <c r="I388" s="6">
        <f t="shared" si="16"/>
        <v>2136.9599999999996</v>
      </c>
      <c r="J388" s="6" t="s">
        <v>746</v>
      </c>
      <c r="K388" s="17">
        <f t="shared" si="17"/>
        <v>8</v>
      </c>
    </row>
    <row r="389" spans="1:11" ht="13.95" customHeight="1" x14ac:dyDescent="0.3">
      <c r="A389" s="3">
        <v>45893</v>
      </c>
      <c r="B389" s="3" t="s">
        <v>1394</v>
      </c>
      <c r="C389" s="3" t="s">
        <v>16</v>
      </c>
      <c r="D389" s="3" t="s">
        <v>829</v>
      </c>
      <c r="E389" s="4">
        <v>1</v>
      </c>
      <c r="F389" s="42">
        <v>2.5</v>
      </c>
      <c r="G389" s="45">
        <v>424</v>
      </c>
      <c r="H389" s="22">
        <v>1.8</v>
      </c>
      <c r="I389" s="6">
        <f t="shared" si="16"/>
        <v>1908</v>
      </c>
      <c r="J389" s="6" t="s">
        <v>149</v>
      </c>
      <c r="K389" s="17">
        <f t="shared" si="17"/>
        <v>8</v>
      </c>
    </row>
    <row r="390" spans="1:11" ht="13.95" customHeight="1" x14ac:dyDescent="0.3">
      <c r="A390" s="3">
        <v>45894</v>
      </c>
      <c r="B390" s="3" t="s">
        <v>1394</v>
      </c>
      <c r="C390" s="3" t="s">
        <v>18</v>
      </c>
      <c r="D390" s="3" t="s">
        <v>1347</v>
      </c>
      <c r="E390" s="4">
        <v>0.95</v>
      </c>
      <c r="F390" s="42">
        <v>2.15</v>
      </c>
      <c r="G390" s="45">
        <v>424</v>
      </c>
      <c r="H390" s="22">
        <v>1.8</v>
      </c>
      <c r="I390" s="6">
        <f t="shared" si="16"/>
        <v>1558.8359999999998</v>
      </c>
      <c r="J390" s="6" t="s">
        <v>1388</v>
      </c>
      <c r="K390" s="17">
        <f t="shared" si="17"/>
        <v>8</v>
      </c>
    </row>
    <row r="391" spans="1:11" ht="13.95" customHeight="1" x14ac:dyDescent="0.3">
      <c r="A391" s="3">
        <v>45895</v>
      </c>
      <c r="B391" s="3" t="s">
        <v>1394</v>
      </c>
      <c r="C391" s="3" t="s">
        <v>20</v>
      </c>
      <c r="D391" s="3" t="s">
        <v>1347</v>
      </c>
      <c r="E391" s="4">
        <v>0.95</v>
      </c>
      <c r="F391" s="42">
        <v>2.15</v>
      </c>
      <c r="G391" s="45">
        <v>424</v>
      </c>
      <c r="H391" s="22">
        <v>1.8</v>
      </c>
      <c r="I391" s="6">
        <f t="shared" si="16"/>
        <v>1558.8359999999998</v>
      </c>
      <c r="J391" s="6" t="s">
        <v>476</v>
      </c>
      <c r="K391" s="17">
        <f t="shared" si="17"/>
        <v>8</v>
      </c>
    </row>
    <row r="392" spans="1:11" ht="13.95" customHeight="1" x14ac:dyDescent="0.3">
      <c r="A392" s="3">
        <v>45896</v>
      </c>
      <c r="B392" s="3" t="s">
        <v>1394</v>
      </c>
      <c r="C392" s="3" t="s">
        <v>5</v>
      </c>
      <c r="D392" s="3" t="s">
        <v>1347</v>
      </c>
      <c r="E392" s="4">
        <v>0.92</v>
      </c>
      <c r="F392" s="42">
        <v>2.15</v>
      </c>
      <c r="G392" s="45">
        <v>424</v>
      </c>
      <c r="H392" s="22">
        <v>1.8</v>
      </c>
      <c r="I392" s="6">
        <f t="shared" si="16"/>
        <v>1509.6096</v>
      </c>
      <c r="J392" s="6" t="s">
        <v>476</v>
      </c>
      <c r="K392" s="17">
        <f t="shared" si="17"/>
        <v>8</v>
      </c>
    </row>
    <row r="393" spans="1:11" ht="13.95" customHeight="1" x14ac:dyDescent="0.3">
      <c r="A393" s="3">
        <v>45897</v>
      </c>
      <c r="B393" s="3" t="s">
        <v>1394</v>
      </c>
      <c r="C393" s="3" t="s">
        <v>8</v>
      </c>
      <c r="D393" s="3" t="s">
        <v>1347</v>
      </c>
      <c r="E393" s="4">
        <v>0.95</v>
      </c>
      <c r="F393" s="42">
        <v>2.15</v>
      </c>
      <c r="G393" s="45">
        <v>424</v>
      </c>
      <c r="H393" s="22">
        <v>1.8</v>
      </c>
      <c r="I393" s="6">
        <f t="shared" si="16"/>
        <v>1558.8359999999998</v>
      </c>
      <c r="J393" s="6" t="s">
        <v>70</v>
      </c>
      <c r="K393" s="17">
        <f t="shared" si="17"/>
        <v>8</v>
      </c>
    </row>
    <row r="394" spans="1:11" ht="13.95" customHeight="1" x14ac:dyDescent="0.3">
      <c r="A394" s="3">
        <v>45898</v>
      </c>
      <c r="B394" s="3" t="s">
        <v>1394</v>
      </c>
      <c r="C394" s="3" t="s">
        <v>11</v>
      </c>
      <c r="D394" s="3" t="s">
        <v>14</v>
      </c>
      <c r="E394" s="4">
        <v>0.98</v>
      </c>
      <c r="F394" s="42">
        <v>2.4</v>
      </c>
      <c r="G394" s="45">
        <v>424</v>
      </c>
      <c r="H394" s="22">
        <v>1.8</v>
      </c>
      <c r="I394" s="6">
        <f t="shared" si="16"/>
        <v>1795.0463999999999</v>
      </c>
      <c r="J394" s="6" t="s">
        <v>1389</v>
      </c>
      <c r="K394" s="17">
        <f t="shared" si="17"/>
        <v>8</v>
      </c>
    </row>
    <row r="395" spans="1:11" ht="13.95" customHeight="1" x14ac:dyDescent="0.3">
      <c r="A395" s="3">
        <v>45899</v>
      </c>
      <c r="B395" s="3" t="s">
        <v>1394</v>
      </c>
      <c r="C395" s="3" t="s">
        <v>13</v>
      </c>
      <c r="D395" s="3" t="s">
        <v>14</v>
      </c>
      <c r="E395" s="4">
        <v>1</v>
      </c>
      <c r="F395" s="42">
        <v>2.75</v>
      </c>
      <c r="G395" s="45">
        <v>424</v>
      </c>
      <c r="H395" s="22">
        <v>1.8</v>
      </c>
      <c r="I395" s="6">
        <f t="shared" si="16"/>
        <v>2098.8000000000002</v>
      </c>
      <c r="J395" s="6" t="s">
        <v>1393</v>
      </c>
      <c r="K395" s="17">
        <f t="shared" si="17"/>
        <v>8</v>
      </c>
    </row>
    <row r="396" spans="1:11" ht="13.95" customHeight="1" x14ac:dyDescent="0.3">
      <c r="A396" s="3">
        <v>45900</v>
      </c>
      <c r="B396" s="3" t="s">
        <v>1394</v>
      </c>
      <c r="C396" s="3" t="s">
        <v>16</v>
      </c>
      <c r="D396" s="3" t="s">
        <v>14</v>
      </c>
      <c r="E396" s="4">
        <v>0.98</v>
      </c>
      <c r="F396" s="42">
        <v>2.4500000000000002</v>
      </c>
      <c r="G396" s="45">
        <v>424</v>
      </c>
      <c r="H396" s="22">
        <v>1.8</v>
      </c>
      <c r="I396" s="6">
        <f t="shared" si="16"/>
        <v>1832.4431999999999</v>
      </c>
      <c r="J396" s="6" t="s">
        <v>1390</v>
      </c>
      <c r="K396" s="17">
        <f t="shared" si="17"/>
        <v>8</v>
      </c>
    </row>
  </sheetData>
  <mergeCells count="1">
    <mergeCell ref="L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79F36-0F19-4573-BD5F-D4C2D34E58C4}">
  <sheetPr>
    <tabColor theme="8" tint="-0.249977111117893"/>
  </sheetPr>
  <dimension ref="A1:J396"/>
  <sheetViews>
    <sheetView workbookViewId="0">
      <selection activeCell="A2" sqref="A2:XFD2"/>
    </sheetView>
  </sheetViews>
  <sheetFormatPr baseColWidth="10" defaultRowHeight="14.4" x14ac:dyDescent="0.3"/>
  <cols>
    <col min="1" max="1" width="15" customWidth="1"/>
    <col min="3" max="3" width="15.6640625" customWidth="1"/>
    <col min="4" max="4" width="11.5546875" style="38"/>
    <col min="5" max="5" width="11.5546875" style="8"/>
    <col min="6" max="6" width="11.5546875" style="46"/>
    <col min="7" max="7" width="11.5546875" style="36"/>
    <col min="8" max="8" width="11.5546875" style="46"/>
    <col min="9" max="9" width="31.77734375" customWidth="1"/>
  </cols>
  <sheetData>
    <row r="1" spans="1:10" ht="28.2" thickBot="1" x14ac:dyDescent="0.35">
      <c r="A1" s="1" t="s">
        <v>333</v>
      </c>
      <c r="B1" s="34" t="s">
        <v>0</v>
      </c>
      <c r="C1" s="34" t="s">
        <v>1</v>
      </c>
      <c r="D1" s="37" t="s">
        <v>2</v>
      </c>
      <c r="E1" s="41" t="s">
        <v>3</v>
      </c>
      <c r="F1" s="47" t="s">
        <v>359</v>
      </c>
      <c r="G1" s="35" t="s">
        <v>360</v>
      </c>
      <c r="H1" s="47" t="s">
        <v>361</v>
      </c>
      <c r="I1" s="27" t="s">
        <v>4</v>
      </c>
      <c r="J1">
        <f>RSQ(H:H,D:D)</f>
        <v>0.9580659669997903</v>
      </c>
    </row>
    <row r="2" spans="1:10" ht="13.95" customHeight="1" x14ac:dyDescent="0.3">
      <c r="A2" s="3">
        <v>45658</v>
      </c>
      <c r="B2" s="3" t="s">
        <v>5</v>
      </c>
      <c r="C2" s="3" t="s">
        <v>735</v>
      </c>
      <c r="D2" s="4">
        <v>0.85</v>
      </c>
      <c r="E2" s="42">
        <v>2.2999999999999998</v>
      </c>
      <c r="F2" s="45">
        <v>434</v>
      </c>
      <c r="G2" s="44">
        <v>2.2000000000000002</v>
      </c>
      <c r="H2" s="21">
        <f t="shared" ref="H2" si="0">(F2*D2)*E2*G2</f>
        <v>1866.634</v>
      </c>
      <c r="I2" s="6" t="s">
        <v>1395</v>
      </c>
      <c r="J2" s="17"/>
    </row>
    <row r="3" spans="1:10" ht="13.95" customHeight="1" x14ac:dyDescent="0.3">
      <c r="A3" s="3">
        <v>45659</v>
      </c>
      <c r="B3" s="3" t="s">
        <v>8</v>
      </c>
      <c r="C3" s="3" t="s">
        <v>1259</v>
      </c>
      <c r="D3" s="4">
        <v>0.35</v>
      </c>
      <c r="E3" s="42">
        <v>1.65</v>
      </c>
      <c r="F3" s="45">
        <v>434</v>
      </c>
      <c r="G3" s="44">
        <v>2.2000000000000002</v>
      </c>
      <c r="H3" s="21">
        <f t="shared" ref="H3:H66" si="1">(F3*D3)*E3*G3</f>
        <v>551.39699999999993</v>
      </c>
      <c r="I3" s="6" t="s">
        <v>1396</v>
      </c>
      <c r="J3" s="17"/>
    </row>
    <row r="4" spans="1:10" ht="13.95" customHeight="1" x14ac:dyDescent="0.3">
      <c r="A4" s="3">
        <v>45660</v>
      </c>
      <c r="B4" s="3" t="s">
        <v>11</v>
      </c>
      <c r="C4" s="3" t="s">
        <v>44</v>
      </c>
      <c r="D4" s="4">
        <v>0.4</v>
      </c>
      <c r="E4" s="42">
        <v>1.75</v>
      </c>
      <c r="F4" s="45">
        <v>434</v>
      </c>
      <c r="G4" s="44">
        <v>2.2000000000000002</v>
      </c>
      <c r="H4" s="21">
        <f t="shared" si="1"/>
        <v>668.36000000000024</v>
      </c>
      <c r="I4" s="6" t="s">
        <v>67</v>
      </c>
      <c r="J4" s="17"/>
    </row>
    <row r="5" spans="1:10" ht="13.95" customHeight="1" x14ac:dyDescent="0.3">
      <c r="A5" s="3">
        <v>45661</v>
      </c>
      <c r="B5" s="3" t="s">
        <v>13</v>
      </c>
      <c r="C5" s="3" t="s">
        <v>14</v>
      </c>
      <c r="D5" s="4">
        <v>0.6</v>
      </c>
      <c r="E5" s="42">
        <v>1.95</v>
      </c>
      <c r="F5" s="45">
        <v>434</v>
      </c>
      <c r="G5" s="44">
        <v>2.2000000000000002</v>
      </c>
      <c r="H5" s="21">
        <f t="shared" si="1"/>
        <v>1117.116</v>
      </c>
      <c r="I5" s="6" t="s">
        <v>1397</v>
      </c>
      <c r="J5" s="17"/>
    </row>
    <row r="6" spans="1:10" ht="13.95" customHeight="1" x14ac:dyDescent="0.3">
      <c r="A6" s="3">
        <v>45662</v>
      </c>
      <c r="B6" s="3" t="s">
        <v>16</v>
      </c>
      <c r="C6" s="3" t="s">
        <v>14</v>
      </c>
      <c r="D6" s="4">
        <v>0.55000000000000004</v>
      </c>
      <c r="E6" s="42">
        <v>1.85</v>
      </c>
      <c r="F6" s="45">
        <v>434</v>
      </c>
      <c r="G6" s="44">
        <v>2.2000000000000002</v>
      </c>
      <c r="H6" s="21">
        <f t="shared" si="1"/>
        <v>971.50900000000013</v>
      </c>
      <c r="I6" s="6" t="s">
        <v>238</v>
      </c>
      <c r="J6" s="17"/>
    </row>
    <row r="7" spans="1:10" ht="13.95" customHeight="1" x14ac:dyDescent="0.3">
      <c r="A7" s="3">
        <v>45663</v>
      </c>
      <c r="B7" s="3" t="s">
        <v>18</v>
      </c>
      <c r="C7" s="3" t="s">
        <v>736</v>
      </c>
      <c r="D7" s="4">
        <v>0.25</v>
      </c>
      <c r="E7" s="42">
        <v>1.6</v>
      </c>
      <c r="F7" s="45">
        <v>434</v>
      </c>
      <c r="G7" s="44">
        <v>2.2000000000000002</v>
      </c>
      <c r="H7" s="21">
        <f t="shared" si="1"/>
        <v>381.92000000000007</v>
      </c>
      <c r="I7" s="6" t="s">
        <v>1398</v>
      </c>
      <c r="J7" s="17"/>
    </row>
    <row r="8" spans="1:10" ht="13.95" customHeight="1" x14ac:dyDescent="0.3">
      <c r="A8" s="3">
        <v>45664</v>
      </c>
      <c r="B8" s="3" t="s">
        <v>20</v>
      </c>
      <c r="C8" s="3" t="s">
        <v>736</v>
      </c>
      <c r="D8" s="4">
        <v>0.22</v>
      </c>
      <c r="E8" s="42">
        <v>1.6</v>
      </c>
      <c r="F8" s="45">
        <v>434</v>
      </c>
      <c r="G8" s="44">
        <v>2.2000000000000002</v>
      </c>
      <c r="H8" s="21">
        <f t="shared" si="1"/>
        <v>336.08960000000002</v>
      </c>
      <c r="I8" s="6" t="s">
        <v>1283</v>
      </c>
      <c r="J8" s="17"/>
    </row>
    <row r="9" spans="1:10" ht="13.95" customHeight="1" x14ac:dyDescent="0.3">
      <c r="A9" s="3">
        <v>45665</v>
      </c>
      <c r="B9" s="3" t="s">
        <v>5</v>
      </c>
      <c r="C9" s="3" t="s">
        <v>736</v>
      </c>
      <c r="D9" s="4">
        <v>0.2</v>
      </c>
      <c r="E9" s="42">
        <v>1.6</v>
      </c>
      <c r="F9" s="45">
        <v>434</v>
      </c>
      <c r="G9" s="44">
        <v>2.2000000000000002</v>
      </c>
      <c r="H9" s="21">
        <f t="shared" si="1"/>
        <v>305.53600000000006</v>
      </c>
      <c r="I9" s="6" t="s">
        <v>1265</v>
      </c>
      <c r="J9" s="17"/>
    </row>
    <row r="10" spans="1:10" ht="13.95" customHeight="1" x14ac:dyDescent="0.3">
      <c r="A10" s="3">
        <v>45666</v>
      </c>
      <c r="B10" s="3" t="s">
        <v>8</v>
      </c>
      <c r="C10" s="3" t="s">
        <v>736</v>
      </c>
      <c r="D10" s="4">
        <v>0.25</v>
      </c>
      <c r="E10" s="42">
        <v>1.65</v>
      </c>
      <c r="F10" s="45">
        <v>434</v>
      </c>
      <c r="G10" s="44">
        <v>2.2000000000000002</v>
      </c>
      <c r="H10" s="21">
        <f t="shared" si="1"/>
        <v>393.85499999999996</v>
      </c>
      <c r="I10" s="6" t="s">
        <v>71</v>
      </c>
      <c r="J10" s="17"/>
    </row>
    <row r="11" spans="1:10" ht="13.95" customHeight="1" x14ac:dyDescent="0.3">
      <c r="A11" s="3">
        <v>45667</v>
      </c>
      <c r="B11" s="3" t="s">
        <v>11</v>
      </c>
      <c r="C11" s="3" t="s">
        <v>44</v>
      </c>
      <c r="D11" s="4">
        <v>0.4</v>
      </c>
      <c r="E11" s="42">
        <v>1.75</v>
      </c>
      <c r="F11" s="45">
        <v>434</v>
      </c>
      <c r="G11" s="44">
        <v>2.2000000000000002</v>
      </c>
      <c r="H11" s="21">
        <f t="shared" si="1"/>
        <v>668.36000000000024</v>
      </c>
      <c r="I11" s="6" t="s">
        <v>97</v>
      </c>
      <c r="J11" s="17"/>
    </row>
    <row r="12" spans="1:10" ht="13.95" customHeight="1" x14ac:dyDescent="0.3">
      <c r="A12" s="3">
        <v>45668</v>
      </c>
      <c r="B12" s="3" t="s">
        <v>13</v>
      </c>
      <c r="C12" s="3" t="s">
        <v>14</v>
      </c>
      <c r="D12" s="4">
        <v>0.55000000000000004</v>
      </c>
      <c r="E12" s="42">
        <v>1.95</v>
      </c>
      <c r="F12" s="45">
        <v>434</v>
      </c>
      <c r="G12" s="44">
        <v>2.2000000000000002</v>
      </c>
      <c r="H12" s="21">
        <f t="shared" si="1"/>
        <v>1024.0230000000001</v>
      </c>
      <c r="I12" s="6" t="s">
        <v>1399</v>
      </c>
      <c r="J12" s="17"/>
    </row>
    <row r="13" spans="1:10" ht="13.95" customHeight="1" x14ac:dyDescent="0.3">
      <c r="A13" s="3">
        <v>45669</v>
      </c>
      <c r="B13" s="3" t="s">
        <v>16</v>
      </c>
      <c r="C13" s="3" t="s">
        <v>14</v>
      </c>
      <c r="D13" s="4">
        <v>0.5</v>
      </c>
      <c r="E13" s="42">
        <v>1.85</v>
      </c>
      <c r="F13" s="45">
        <v>434</v>
      </c>
      <c r="G13" s="44">
        <v>2.2000000000000002</v>
      </c>
      <c r="H13" s="21">
        <f t="shared" si="1"/>
        <v>883.19000000000017</v>
      </c>
      <c r="I13" s="6" t="s">
        <v>149</v>
      </c>
      <c r="J13" s="17"/>
    </row>
    <row r="14" spans="1:10" ht="13.95" customHeight="1" x14ac:dyDescent="0.3">
      <c r="A14" s="3">
        <v>45670</v>
      </c>
      <c r="B14" s="3" t="s">
        <v>18</v>
      </c>
      <c r="C14" s="3" t="s">
        <v>994</v>
      </c>
      <c r="D14" s="4">
        <v>0.35</v>
      </c>
      <c r="E14" s="42">
        <v>1.7</v>
      </c>
      <c r="F14" s="45">
        <v>434</v>
      </c>
      <c r="G14" s="44">
        <v>2.2000000000000002</v>
      </c>
      <c r="H14" s="21">
        <f t="shared" si="1"/>
        <v>568.10599999999999</v>
      </c>
      <c r="I14" s="6" t="s">
        <v>1400</v>
      </c>
      <c r="J14" s="17"/>
    </row>
    <row r="15" spans="1:10" ht="13.95" customHeight="1" x14ac:dyDescent="0.3">
      <c r="A15" s="3">
        <v>45671</v>
      </c>
      <c r="B15" s="3" t="s">
        <v>20</v>
      </c>
      <c r="C15" s="3" t="s">
        <v>1269</v>
      </c>
      <c r="D15" s="4">
        <v>0.65</v>
      </c>
      <c r="E15" s="42">
        <v>2.1</v>
      </c>
      <c r="F15" s="45">
        <v>434</v>
      </c>
      <c r="G15" s="44">
        <v>2.2000000000000002</v>
      </c>
      <c r="H15" s="21">
        <f t="shared" si="1"/>
        <v>1303.3020000000004</v>
      </c>
      <c r="I15" s="6" t="s">
        <v>1366</v>
      </c>
      <c r="J15" s="17"/>
    </row>
    <row r="16" spans="1:10" ht="13.95" customHeight="1" x14ac:dyDescent="0.3">
      <c r="A16" s="3">
        <v>45672</v>
      </c>
      <c r="B16" s="3" t="s">
        <v>5</v>
      </c>
      <c r="C16" s="3" t="s">
        <v>736</v>
      </c>
      <c r="D16" s="4">
        <v>0.25</v>
      </c>
      <c r="E16" s="42">
        <v>1.6</v>
      </c>
      <c r="F16" s="45">
        <v>434</v>
      </c>
      <c r="G16" s="44">
        <v>2.2000000000000002</v>
      </c>
      <c r="H16" s="21">
        <f t="shared" si="1"/>
        <v>381.92000000000007</v>
      </c>
      <c r="I16" s="6" t="s">
        <v>738</v>
      </c>
      <c r="J16" s="17"/>
    </row>
    <row r="17" spans="1:10" ht="13.95" customHeight="1" x14ac:dyDescent="0.3">
      <c r="A17" s="3">
        <v>45673</v>
      </c>
      <c r="B17" s="3" t="s">
        <v>8</v>
      </c>
      <c r="C17" s="3" t="s">
        <v>736</v>
      </c>
      <c r="D17" s="4">
        <v>0.22</v>
      </c>
      <c r="E17" s="42">
        <v>1.6</v>
      </c>
      <c r="F17" s="45">
        <v>434</v>
      </c>
      <c r="G17" s="44">
        <v>2.2000000000000002</v>
      </c>
      <c r="H17" s="21">
        <f t="shared" si="1"/>
        <v>336.08960000000002</v>
      </c>
      <c r="I17" s="6" t="s">
        <v>150</v>
      </c>
      <c r="J17" s="17"/>
    </row>
    <row r="18" spans="1:10" ht="13.95" customHeight="1" x14ac:dyDescent="0.3">
      <c r="A18" s="3">
        <v>45674</v>
      </c>
      <c r="B18" s="3" t="s">
        <v>11</v>
      </c>
      <c r="C18" s="3" t="s">
        <v>44</v>
      </c>
      <c r="D18" s="4">
        <v>0.38</v>
      </c>
      <c r="E18" s="42">
        <v>1.75</v>
      </c>
      <c r="F18" s="45">
        <v>434</v>
      </c>
      <c r="G18" s="44">
        <v>2.2000000000000002</v>
      </c>
      <c r="H18" s="21">
        <f t="shared" si="1"/>
        <v>634.94200000000012</v>
      </c>
      <c r="I18" s="6" t="s">
        <v>97</v>
      </c>
      <c r="J18" s="17"/>
    </row>
    <row r="19" spans="1:10" ht="13.95" customHeight="1" x14ac:dyDescent="0.3">
      <c r="A19" s="3">
        <v>45675</v>
      </c>
      <c r="B19" s="3" t="s">
        <v>13</v>
      </c>
      <c r="C19" s="3" t="s">
        <v>14</v>
      </c>
      <c r="D19" s="4">
        <v>0.5</v>
      </c>
      <c r="E19" s="42">
        <v>1.95</v>
      </c>
      <c r="F19" s="45">
        <v>434</v>
      </c>
      <c r="G19" s="44">
        <v>2.2000000000000002</v>
      </c>
      <c r="H19" s="21">
        <f t="shared" si="1"/>
        <v>930.93000000000006</v>
      </c>
      <c r="I19" s="6" t="s">
        <v>97</v>
      </c>
      <c r="J19" s="17"/>
    </row>
    <row r="20" spans="1:10" ht="13.95" customHeight="1" x14ac:dyDescent="0.3">
      <c r="A20" s="3">
        <v>45676</v>
      </c>
      <c r="B20" s="3" t="s">
        <v>16</v>
      </c>
      <c r="C20" s="3" t="s">
        <v>14</v>
      </c>
      <c r="D20" s="4">
        <v>0.45</v>
      </c>
      <c r="E20" s="42">
        <v>1.85</v>
      </c>
      <c r="F20" s="45">
        <v>434</v>
      </c>
      <c r="G20" s="44">
        <v>2.2000000000000002</v>
      </c>
      <c r="H20" s="21">
        <f t="shared" si="1"/>
        <v>794.87100000000021</v>
      </c>
      <c r="I20" s="6" t="s">
        <v>149</v>
      </c>
      <c r="J20" s="17"/>
    </row>
    <row r="21" spans="1:10" ht="13.95" customHeight="1" x14ac:dyDescent="0.3">
      <c r="A21" s="3">
        <v>45677</v>
      </c>
      <c r="B21" s="3" t="s">
        <v>18</v>
      </c>
      <c r="C21" s="3" t="s">
        <v>736</v>
      </c>
      <c r="D21" s="4">
        <v>0.22</v>
      </c>
      <c r="E21" s="42">
        <v>1.6</v>
      </c>
      <c r="F21" s="45">
        <v>434</v>
      </c>
      <c r="G21" s="44">
        <v>2.2000000000000002</v>
      </c>
      <c r="H21" s="21">
        <f t="shared" si="1"/>
        <v>336.08960000000002</v>
      </c>
      <c r="I21" s="6" t="s">
        <v>150</v>
      </c>
      <c r="J21" s="17"/>
    </row>
    <row r="22" spans="1:10" ht="13.95" customHeight="1" x14ac:dyDescent="0.3">
      <c r="A22" s="3">
        <v>45678</v>
      </c>
      <c r="B22" s="3" t="s">
        <v>20</v>
      </c>
      <c r="C22" s="3" t="s">
        <v>736</v>
      </c>
      <c r="D22" s="4">
        <v>0.25</v>
      </c>
      <c r="E22" s="42">
        <v>1.6</v>
      </c>
      <c r="F22" s="45">
        <v>434</v>
      </c>
      <c r="G22" s="44">
        <v>2.2000000000000002</v>
      </c>
      <c r="H22" s="21">
        <f t="shared" si="1"/>
        <v>381.92000000000007</v>
      </c>
      <c r="I22" s="6" t="s">
        <v>71</v>
      </c>
      <c r="J22" s="17"/>
    </row>
    <row r="23" spans="1:10" ht="13.95" customHeight="1" x14ac:dyDescent="0.3">
      <c r="A23" s="3">
        <v>45679</v>
      </c>
      <c r="B23" s="3" t="s">
        <v>5</v>
      </c>
      <c r="C23" s="3" t="s">
        <v>736</v>
      </c>
      <c r="D23" s="4">
        <v>0.22</v>
      </c>
      <c r="E23" s="42">
        <v>1.6</v>
      </c>
      <c r="F23" s="45">
        <v>434</v>
      </c>
      <c r="G23" s="44">
        <v>2.2000000000000002</v>
      </c>
      <c r="H23" s="21">
        <f t="shared" si="1"/>
        <v>336.08960000000002</v>
      </c>
      <c r="I23" s="6" t="s">
        <v>150</v>
      </c>
      <c r="J23" s="17"/>
    </row>
    <row r="24" spans="1:10" ht="13.95" customHeight="1" x14ac:dyDescent="0.3">
      <c r="A24" s="3">
        <v>45680</v>
      </c>
      <c r="B24" s="3" t="s">
        <v>8</v>
      </c>
      <c r="C24" s="3" t="s">
        <v>44</v>
      </c>
      <c r="D24" s="4">
        <v>0.35</v>
      </c>
      <c r="E24" s="42">
        <v>1.7</v>
      </c>
      <c r="F24" s="45">
        <v>434</v>
      </c>
      <c r="G24" s="44">
        <v>2.2000000000000002</v>
      </c>
      <c r="H24" s="21">
        <f t="shared" si="1"/>
        <v>568.10599999999999</v>
      </c>
      <c r="I24" s="6" t="s">
        <v>1401</v>
      </c>
      <c r="J24" s="17"/>
    </row>
    <row r="25" spans="1:10" ht="13.95" customHeight="1" x14ac:dyDescent="0.3">
      <c r="A25" s="3">
        <v>45681</v>
      </c>
      <c r="B25" s="3" t="s">
        <v>11</v>
      </c>
      <c r="C25" s="3" t="s">
        <v>658</v>
      </c>
      <c r="D25" s="4">
        <v>0.55000000000000004</v>
      </c>
      <c r="E25" s="42">
        <v>1.85</v>
      </c>
      <c r="F25" s="45">
        <v>434</v>
      </c>
      <c r="G25" s="44">
        <v>2.2000000000000002</v>
      </c>
      <c r="H25" s="21">
        <f t="shared" si="1"/>
        <v>971.50900000000013</v>
      </c>
      <c r="I25" s="6" t="s">
        <v>1402</v>
      </c>
      <c r="J25" s="17"/>
    </row>
    <row r="26" spans="1:10" ht="13.95" customHeight="1" x14ac:dyDescent="0.3">
      <c r="A26" s="3">
        <v>45682</v>
      </c>
      <c r="B26" s="3" t="s">
        <v>13</v>
      </c>
      <c r="C26" s="3" t="s">
        <v>658</v>
      </c>
      <c r="D26" s="4">
        <v>0.7</v>
      </c>
      <c r="E26" s="42">
        <v>2.1</v>
      </c>
      <c r="F26" s="45">
        <v>434</v>
      </c>
      <c r="G26" s="44">
        <v>2.2000000000000002</v>
      </c>
      <c r="H26" s="21">
        <f t="shared" si="1"/>
        <v>1403.5559999999998</v>
      </c>
      <c r="I26" s="6" t="s">
        <v>1403</v>
      </c>
      <c r="J26" s="17"/>
    </row>
    <row r="27" spans="1:10" ht="13.95" customHeight="1" x14ac:dyDescent="0.3">
      <c r="A27" s="3">
        <v>45683</v>
      </c>
      <c r="B27" s="3" t="s">
        <v>16</v>
      </c>
      <c r="C27" s="3" t="s">
        <v>658</v>
      </c>
      <c r="D27" s="4">
        <v>0.65</v>
      </c>
      <c r="E27" s="42">
        <v>2</v>
      </c>
      <c r="F27" s="45">
        <v>434</v>
      </c>
      <c r="G27" s="44">
        <v>2.2000000000000002</v>
      </c>
      <c r="H27" s="21">
        <f t="shared" si="1"/>
        <v>1241.2400000000002</v>
      </c>
      <c r="I27" s="6" t="s">
        <v>1404</v>
      </c>
      <c r="J27" s="17"/>
    </row>
    <row r="28" spans="1:10" ht="13.95" customHeight="1" x14ac:dyDescent="0.3">
      <c r="A28" s="3">
        <v>45684</v>
      </c>
      <c r="B28" s="3" t="s">
        <v>18</v>
      </c>
      <c r="C28" s="3" t="s">
        <v>658</v>
      </c>
      <c r="D28" s="4">
        <v>0.6</v>
      </c>
      <c r="E28" s="42">
        <v>1.85</v>
      </c>
      <c r="F28" s="45">
        <v>434</v>
      </c>
      <c r="G28" s="44">
        <v>2.2000000000000002</v>
      </c>
      <c r="H28" s="21">
        <f t="shared" si="1"/>
        <v>1059.8280000000002</v>
      </c>
      <c r="I28" s="6" t="s">
        <v>1405</v>
      </c>
      <c r="J28" s="17"/>
    </row>
    <row r="29" spans="1:10" ht="13.95" customHeight="1" x14ac:dyDescent="0.3">
      <c r="A29" s="3">
        <v>45685</v>
      </c>
      <c r="B29" s="3" t="s">
        <v>20</v>
      </c>
      <c r="C29" s="3" t="s">
        <v>658</v>
      </c>
      <c r="D29" s="4">
        <v>0.62</v>
      </c>
      <c r="E29" s="42">
        <v>1.85</v>
      </c>
      <c r="F29" s="45">
        <v>434</v>
      </c>
      <c r="G29" s="44">
        <v>2.2000000000000002</v>
      </c>
      <c r="H29" s="21">
        <f t="shared" si="1"/>
        <v>1095.1556</v>
      </c>
      <c r="I29" s="6" t="s">
        <v>1405</v>
      </c>
      <c r="J29" s="17"/>
    </row>
    <row r="30" spans="1:10" ht="13.95" customHeight="1" x14ac:dyDescent="0.3">
      <c r="A30" s="3">
        <v>45686</v>
      </c>
      <c r="B30" s="3" t="s">
        <v>5</v>
      </c>
      <c r="C30" s="3" t="s">
        <v>658</v>
      </c>
      <c r="D30" s="4">
        <v>0.6</v>
      </c>
      <c r="E30" s="42">
        <v>1.8</v>
      </c>
      <c r="F30" s="45">
        <v>434</v>
      </c>
      <c r="G30" s="44">
        <v>2.2000000000000002</v>
      </c>
      <c r="H30" s="21">
        <f t="shared" si="1"/>
        <v>1031.184</v>
      </c>
      <c r="I30" s="6" t="s">
        <v>1016</v>
      </c>
      <c r="J30" s="17"/>
    </row>
    <row r="31" spans="1:10" ht="13.95" customHeight="1" x14ac:dyDescent="0.3">
      <c r="A31" s="3">
        <v>45687</v>
      </c>
      <c r="B31" s="3" t="s">
        <v>8</v>
      </c>
      <c r="C31" s="3" t="s">
        <v>658</v>
      </c>
      <c r="D31" s="4">
        <v>0.65</v>
      </c>
      <c r="E31" s="42">
        <v>1.85</v>
      </c>
      <c r="F31" s="45">
        <v>434</v>
      </c>
      <c r="G31" s="44">
        <v>2.2000000000000002</v>
      </c>
      <c r="H31" s="21">
        <f t="shared" si="1"/>
        <v>1148.1470000000004</v>
      </c>
      <c r="I31" s="6" t="s">
        <v>1016</v>
      </c>
      <c r="J31" s="17"/>
    </row>
    <row r="32" spans="1:10" ht="13.95" customHeight="1" x14ac:dyDescent="0.3">
      <c r="A32" s="3">
        <v>45688</v>
      </c>
      <c r="B32" s="3" t="s">
        <v>11</v>
      </c>
      <c r="C32" s="3" t="s">
        <v>658</v>
      </c>
      <c r="D32" s="4">
        <v>0.75</v>
      </c>
      <c r="E32" s="42">
        <v>2.0499999999999998</v>
      </c>
      <c r="F32" s="45">
        <v>434</v>
      </c>
      <c r="G32" s="44">
        <v>2.2000000000000002</v>
      </c>
      <c r="H32" s="21">
        <f t="shared" si="1"/>
        <v>1468.0050000000001</v>
      </c>
      <c r="I32" s="6" t="s">
        <v>839</v>
      </c>
      <c r="J32" s="17"/>
    </row>
    <row r="33" spans="1:10" ht="13.95" customHeight="1" x14ac:dyDescent="0.3">
      <c r="A33" s="3">
        <v>45689</v>
      </c>
      <c r="B33" s="3" t="s">
        <v>13</v>
      </c>
      <c r="C33" s="3" t="s">
        <v>658</v>
      </c>
      <c r="D33" s="4">
        <v>0.75</v>
      </c>
      <c r="E33" s="42">
        <v>2.15</v>
      </c>
      <c r="F33" s="45">
        <v>434</v>
      </c>
      <c r="G33" s="44">
        <v>2.2000000000000002</v>
      </c>
      <c r="H33" s="21">
        <f t="shared" si="1"/>
        <v>1539.615</v>
      </c>
      <c r="I33" s="6" t="s">
        <v>1406</v>
      </c>
      <c r="J33" s="17"/>
    </row>
    <row r="34" spans="1:10" ht="13.95" customHeight="1" x14ac:dyDescent="0.3">
      <c r="A34" s="3">
        <v>45690</v>
      </c>
      <c r="B34" s="3" t="s">
        <v>16</v>
      </c>
      <c r="C34" s="3" t="s">
        <v>658</v>
      </c>
      <c r="D34" s="4">
        <v>0.7</v>
      </c>
      <c r="E34" s="42">
        <v>2.1</v>
      </c>
      <c r="F34" s="45">
        <v>434</v>
      </c>
      <c r="G34" s="44">
        <v>2.2000000000000002</v>
      </c>
      <c r="H34" s="21">
        <f t="shared" si="1"/>
        <v>1403.5559999999998</v>
      </c>
      <c r="I34" s="6" t="s">
        <v>139</v>
      </c>
      <c r="J34" s="17"/>
    </row>
    <row r="35" spans="1:10" ht="13.95" customHeight="1" x14ac:dyDescent="0.3">
      <c r="A35" s="3">
        <v>45691</v>
      </c>
      <c r="B35" s="3" t="s">
        <v>18</v>
      </c>
      <c r="C35" s="3" t="s">
        <v>658</v>
      </c>
      <c r="D35" s="4">
        <v>0.6</v>
      </c>
      <c r="E35" s="42">
        <v>1.85</v>
      </c>
      <c r="F35" s="45">
        <v>434</v>
      </c>
      <c r="G35" s="44">
        <v>2.2000000000000002</v>
      </c>
      <c r="H35" s="21">
        <f t="shared" si="1"/>
        <v>1059.8280000000002</v>
      </c>
      <c r="I35" s="6" t="s">
        <v>1407</v>
      </c>
      <c r="J35" s="17"/>
    </row>
    <row r="36" spans="1:10" ht="13.95" customHeight="1" x14ac:dyDescent="0.3">
      <c r="A36" s="3">
        <v>45692</v>
      </c>
      <c r="B36" s="3" t="s">
        <v>20</v>
      </c>
      <c r="C36" s="3" t="s">
        <v>658</v>
      </c>
      <c r="D36" s="4">
        <v>0.57999999999999996</v>
      </c>
      <c r="E36" s="42">
        <v>1.85</v>
      </c>
      <c r="F36" s="45">
        <v>434</v>
      </c>
      <c r="G36" s="44">
        <v>2.2000000000000002</v>
      </c>
      <c r="H36" s="21">
        <f t="shared" si="1"/>
        <v>1024.5003999999999</v>
      </c>
      <c r="I36" s="6" t="s">
        <v>1016</v>
      </c>
      <c r="J36" s="17"/>
    </row>
    <row r="37" spans="1:10" ht="13.95" customHeight="1" x14ac:dyDescent="0.3">
      <c r="A37" s="3">
        <v>45693</v>
      </c>
      <c r="B37" s="3" t="s">
        <v>5</v>
      </c>
      <c r="C37" s="3" t="s">
        <v>658</v>
      </c>
      <c r="D37" s="4">
        <v>0.55000000000000004</v>
      </c>
      <c r="E37" s="42">
        <v>1.8</v>
      </c>
      <c r="F37" s="45">
        <v>434</v>
      </c>
      <c r="G37" s="44">
        <v>2.2000000000000002</v>
      </c>
      <c r="H37" s="21">
        <f t="shared" si="1"/>
        <v>945.25200000000018</v>
      </c>
      <c r="I37" s="6" t="s">
        <v>1016</v>
      </c>
      <c r="J37" s="17"/>
    </row>
    <row r="38" spans="1:10" ht="13.95" customHeight="1" x14ac:dyDescent="0.3">
      <c r="A38" s="3">
        <v>45694</v>
      </c>
      <c r="B38" s="3" t="s">
        <v>8</v>
      </c>
      <c r="C38" s="3" t="s">
        <v>658</v>
      </c>
      <c r="D38" s="4">
        <v>0.6</v>
      </c>
      <c r="E38" s="42">
        <v>1.85</v>
      </c>
      <c r="F38" s="45">
        <v>434</v>
      </c>
      <c r="G38" s="44">
        <v>2.2000000000000002</v>
      </c>
      <c r="H38" s="21">
        <f t="shared" si="1"/>
        <v>1059.8280000000002</v>
      </c>
      <c r="I38" s="6" t="s">
        <v>1371</v>
      </c>
      <c r="J38" s="17"/>
    </row>
    <row r="39" spans="1:10" ht="13.95" customHeight="1" x14ac:dyDescent="0.3">
      <c r="A39" s="3">
        <v>45695</v>
      </c>
      <c r="B39" s="3" t="s">
        <v>11</v>
      </c>
      <c r="C39" s="3" t="s">
        <v>44</v>
      </c>
      <c r="D39" s="4">
        <v>0.45</v>
      </c>
      <c r="E39" s="42">
        <v>1.75</v>
      </c>
      <c r="F39" s="45">
        <v>434</v>
      </c>
      <c r="G39" s="44">
        <v>2.2000000000000002</v>
      </c>
      <c r="H39" s="21">
        <f t="shared" si="1"/>
        <v>751.90500000000009</v>
      </c>
      <c r="I39" s="6" t="s">
        <v>1408</v>
      </c>
      <c r="J39" s="17"/>
    </row>
    <row r="40" spans="1:10" ht="13.95" customHeight="1" x14ac:dyDescent="0.3">
      <c r="A40" s="3">
        <v>45696</v>
      </c>
      <c r="B40" s="3" t="s">
        <v>13</v>
      </c>
      <c r="C40" s="3" t="s">
        <v>14</v>
      </c>
      <c r="D40" s="4">
        <v>0.55000000000000004</v>
      </c>
      <c r="E40" s="42">
        <v>1.95</v>
      </c>
      <c r="F40" s="45">
        <v>434</v>
      </c>
      <c r="G40" s="44">
        <v>2.2000000000000002</v>
      </c>
      <c r="H40" s="21">
        <f t="shared" si="1"/>
        <v>1024.0230000000001</v>
      </c>
      <c r="I40" s="6" t="s">
        <v>1124</v>
      </c>
      <c r="J40" s="17"/>
    </row>
    <row r="41" spans="1:10" ht="13.95" customHeight="1" x14ac:dyDescent="0.3">
      <c r="A41" s="3">
        <v>45697</v>
      </c>
      <c r="B41" s="3" t="s">
        <v>16</v>
      </c>
      <c r="C41" s="3" t="s">
        <v>14</v>
      </c>
      <c r="D41" s="4">
        <v>0.5</v>
      </c>
      <c r="E41" s="42">
        <v>1.85</v>
      </c>
      <c r="F41" s="45">
        <v>434</v>
      </c>
      <c r="G41" s="44">
        <v>2.2000000000000002</v>
      </c>
      <c r="H41" s="21">
        <f t="shared" si="1"/>
        <v>883.19000000000017</v>
      </c>
      <c r="I41" s="6" t="s">
        <v>1409</v>
      </c>
      <c r="J41" s="17"/>
    </row>
    <row r="42" spans="1:10" ht="13.95" customHeight="1" x14ac:dyDescent="0.3">
      <c r="A42" s="3">
        <v>45698</v>
      </c>
      <c r="B42" s="3" t="s">
        <v>18</v>
      </c>
      <c r="C42" s="3" t="s">
        <v>1259</v>
      </c>
      <c r="D42" s="4">
        <v>0.3</v>
      </c>
      <c r="E42" s="42">
        <v>1.6</v>
      </c>
      <c r="F42" s="45">
        <v>434</v>
      </c>
      <c r="G42" s="44">
        <v>2.2000000000000002</v>
      </c>
      <c r="H42" s="21">
        <f t="shared" si="1"/>
        <v>458.30400000000003</v>
      </c>
      <c r="I42" s="6" t="s">
        <v>774</v>
      </c>
      <c r="J42" s="17"/>
    </row>
    <row r="43" spans="1:10" ht="13.95" customHeight="1" x14ac:dyDescent="0.3">
      <c r="A43" s="3">
        <v>45699</v>
      </c>
      <c r="B43" s="3" t="s">
        <v>20</v>
      </c>
      <c r="C43" s="3" t="s">
        <v>1259</v>
      </c>
      <c r="D43" s="4">
        <v>0.32</v>
      </c>
      <c r="E43" s="42">
        <v>1.6</v>
      </c>
      <c r="F43" s="45">
        <v>434</v>
      </c>
      <c r="G43" s="44">
        <v>2.2000000000000002</v>
      </c>
      <c r="H43" s="21">
        <f t="shared" si="1"/>
        <v>488.85760000000005</v>
      </c>
      <c r="I43" s="6" t="s">
        <v>1410</v>
      </c>
      <c r="J43" s="17"/>
    </row>
    <row r="44" spans="1:10" ht="13.95" customHeight="1" x14ac:dyDescent="0.3">
      <c r="A44" s="3">
        <v>45700</v>
      </c>
      <c r="B44" s="3" t="s">
        <v>5</v>
      </c>
      <c r="C44" s="3" t="s">
        <v>1259</v>
      </c>
      <c r="D44" s="4">
        <v>0.3</v>
      </c>
      <c r="E44" s="42">
        <v>1.6</v>
      </c>
      <c r="F44" s="45">
        <v>434</v>
      </c>
      <c r="G44" s="44">
        <v>2.2000000000000002</v>
      </c>
      <c r="H44" s="21">
        <f t="shared" si="1"/>
        <v>458.30400000000003</v>
      </c>
      <c r="I44" s="6" t="s">
        <v>150</v>
      </c>
      <c r="J44" s="17"/>
    </row>
    <row r="45" spans="1:10" ht="13.95" customHeight="1" x14ac:dyDescent="0.3">
      <c r="A45" s="3">
        <v>45701</v>
      </c>
      <c r="B45" s="3" t="s">
        <v>8</v>
      </c>
      <c r="C45" s="3" t="s">
        <v>1411</v>
      </c>
      <c r="D45" s="4">
        <v>0.4</v>
      </c>
      <c r="E45" s="42">
        <v>1.75</v>
      </c>
      <c r="F45" s="45">
        <v>434</v>
      </c>
      <c r="G45" s="44">
        <v>2.2000000000000002</v>
      </c>
      <c r="H45" s="21">
        <f t="shared" si="1"/>
        <v>668.36000000000024</v>
      </c>
      <c r="I45" s="6" t="s">
        <v>1412</v>
      </c>
      <c r="J45" s="17"/>
    </row>
    <row r="46" spans="1:10" ht="13.95" customHeight="1" x14ac:dyDescent="0.3">
      <c r="A46" s="3">
        <v>45702</v>
      </c>
      <c r="B46" s="3" t="s">
        <v>11</v>
      </c>
      <c r="C46" s="3" t="s">
        <v>557</v>
      </c>
      <c r="D46" s="4">
        <v>0.75</v>
      </c>
      <c r="E46" s="42">
        <v>2.2999999999999998</v>
      </c>
      <c r="F46" s="45">
        <v>434</v>
      </c>
      <c r="G46" s="44">
        <v>2.2000000000000002</v>
      </c>
      <c r="H46" s="21">
        <f t="shared" si="1"/>
        <v>1647.03</v>
      </c>
      <c r="I46" s="6" t="s">
        <v>1413</v>
      </c>
      <c r="J46" s="17"/>
    </row>
    <row r="47" spans="1:10" ht="13.95" customHeight="1" x14ac:dyDescent="0.3">
      <c r="A47" s="3">
        <v>45703</v>
      </c>
      <c r="B47" s="3" t="s">
        <v>13</v>
      </c>
      <c r="C47" s="3" t="s">
        <v>14</v>
      </c>
      <c r="D47" s="4">
        <v>0.7</v>
      </c>
      <c r="E47" s="42">
        <v>2.1</v>
      </c>
      <c r="F47" s="45">
        <v>434</v>
      </c>
      <c r="G47" s="44">
        <v>2.2000000000000002</v>
      </c>
      <c r="H47" s="21">
        <f t="shared" si="1"/>
        <v>1403.5559999999998</v>
      </c>
      <c r="I47" s="6" t="s">
        <v>1288</v>
      </c>
      <c r="J47" s="17"/>
    </row>
    <row r="48" spans="1:10" ht="13.95" customHeight="1" x14ac:dyDescent="0.3">
      <c r="A48" s="3">
        <v>45704</v>
      </c>
      <c r="B48" s="3" t="s">
        <v>16</v>
      </c>
      <c r="C48" s="3" t="s">
        <v>14</v>
      </c>
      <c r="D48" s="4">
        <v>0.6</v>
      </c>
      <c r="E48" s="42">
        <v>1.95</v>
      </c>
      <c r="F48" s="45">
        <v>434</v>
      </c>
      <c r="G48" s="44">
        <v>2.2000000000000002</v>
      </c>
      <c r="H48" s="21">
        <f t="shared" si="1"/>
        <v>1117.116</v>
      </c>
      <c r="I48" s="6" t="s">
        <v>149</v>
      </c>
      <c r="J48" s="17"/>
    </row>
    <row r="49" spans="1:10" ht="13.95" customHeight="1" x14ac:dyDescent="0.3">
      <c r="A49" s="3">
        <v>45705</v>
      </c>
      <c r="B49" s="3" t="s">
        <v>18</v>
      </c>
      <c r="C49" s="3" t="s">
        <v>1259</v>
      </c>
      <c r="D49" s="4">
        <v>0.28000000000000003</v>
      </c>
      <c r="E49" s="42">
        <v>1.6</v>
      </c>
      <c r="F49" s="45">
        <v>434</v>
      </c>
      <c r="G49" s="44">
        <v>2.2000000000000002</v>
      </c>
      <c r="H49" s="21">
        <f t="shared" si="1"/>
        <v>427.75040000000007</v>
      </c>
      <c r="I49" s="6" t="s">
        <v>150</v>
      </c>
      <c r="J49" s="17"/>
    </row>
    <row r="50" spans="1:10" ht="13.95" customHeight="1" x14ac:dyDescent="0.3">
      <c r="A50" s="3">
        <v>45706</v>
      </c>
      <c r="B50" s="3" t="s">
        <v>20</v>
      </c>
      <c r="C50" s="3" t="s">
        <v>1259</v>
      </c>
      <c r="D50" s="4">
        <v>0.3</v>
      </c>
      <c r="E50" s="42">
        <v>1.6</v>
      </c>
      <c r="F50" s="45">
        <v>434</v>
      </c>
      <c r="G50" s="44">
        <v>2.2000000000000002</v>
      </c>
      <c r="H50" s="21">
        <f t="shared" si="1"/>
        <v>458.30400000000003</v>
      </c>
      <c r="I50" s="6" t="s">
        <v>150</v>
      </c>
      <c r="J50" s="17"/>
    </row>
    <row r="51" spans="1:10" ht="13.95" customHeight="1" x14ac:dyDescent="0.3">
      <c r="A51" s="3">
        <v>45707</v>
      </c>
      <c r="B51" s="3" t="s">
        <v>5</v>
      </c>
      <c r="C51" s="3" t="s">
        <v>1259</v>
      </c>
      <c r="D51" s="4">
        <v>0.32</v>
      </c>
      <c r="E51" s="42">
        <v>1.6</v>
      </c>
      <c r="F51" s="45">
        <v>434</v>
      </c>
      <c r="G51" s="44">
        <v>2.2000000000000002</v>
      </c>
      <c r="H51" s="21">
        <f t="shared" si="1"/>
        <v>488.85760000000005</v>
      </c>
      <c r="I51" s="6" t="s">
        <v>1414</v>
      </c>
      <c r="J51" s="17"/>
    </row>
    <row r="52" spans="1:10" ht="13.95" customHeight="1" x14ac:dyDescent="0.3">
      <c r="A52" s="3">
        <v>45708</v>
      </c>
      <c r="B52" s="3" t="s">
        <v>8</v>
      </c>
      <c r="C52" s="3" t="s">
        <v>1259</v>
      </c>
      <c r="D52" s="4">
        <v>0.35</v>
      </c>
      <c r="E52" s="42">
        <v>1.65</v>
      </c>
      <c r="F52" s="45">
        <v>434</v>
      </c>
      <c r="G52" s="44">
        <v>2.2000000000000002</v>
      </c>
      <c r="H52" s="21">
        <f t="shared" si="1"/>
        <v>551.39699999999993</v>
      </c>
      <c r="I52" s="6" t="s">
        <v>150</v>
      </c>
      <c r="J52" s="17"/>
    </row>
    <row r="53" spans="1:10" ht="13.95" customHeight="1" x14ac:dyDescent="0.3">
      <c r="A53" s="3">
        <v>45709</v>
      </c>
      <c r="B53" s="3" t="s">
        <v>11</v>
      </c>
      <c r="C53" s="3" t="s">
        <v>14</v>
      </c>
      <c r="D53" s="4">
        <v>0.45</v>
      </c>
      <c r="E53" s="42">
        <v>1.8</v>
      </c>
      <c r="F53" s="45">
        <v>434</v>
      </c>
      <c r="G53" s="44">
        <v>2.2000000000000002</v>
      </c>
      <c r="H53" s="21">
        <f t="shared" si="1"/>
        <v>773.38800000000015</v>
      </c>
      <c r="I53" s="6" t="s">
        <v>97</v>
      </c>
      <c r="J53" s="17"/>
    </row>
    <row r="54" spans="1:10" ht="13.95" customHeight="1" x14ac:dyDescent="0.3">
      <c r="A54" s="3">
        <v>45710</v>
      </c>
      <c r="B54" s="3" t="s">
        <v>13</v>
      </c>
      <c r="C54" s="3" t="s">
        <v>14</v>
      </c>
      <c r="D54" s="4">
        <v>0.6</v>
      </c>
      <c r="E54" s="42">
        <v>2.0499999999999998</v>
      </c>
      <c r="F54" s="45">
        <v>434</v>
      </c>
      <c r="G54" s="44">
        <v>2.2000000000000002</v>
      </c>
      <c r="H54" s="21">
        <f t="shared" si="1"/>
        <v>1174.404</v>
      </c>
      <c r="I54" s="6" t="s">
        <v>1415</v>
      </c>
      <c r="J54" s="17"/>
    </row>
    <row r="55" spans="1:10" ht="13.95" customHeight="1" x14ac:dyDescent="0.3">
      <c r="A55" s="3">
        <v>45711</v>
      </c>
      <c r="B55" s="3" t="s">
        <v>16</v>
      </c>
      <c r="C55" s="3" t="s">
        <v>14</v>
      </c>
      <c r="D55" s="4">
        <v>0.55000000000000004</v>
      </c>
      <c r="E55" s="42">
        <v>1.9</v>
      </c>
      <c r="F55" s="45">
        <v>434</v>
      </c>
      <c r="G55" s="44">
        <v>2.2000000000000002</v>
      </c>
      <c r="H55" s="21">
        <f t="shared" si="1"/>
        <v>997.76600000000019</v>
      </c>
      <c r="I55" s="6" t="s">
        <v>149</v>
      </c>
      <c r="J55" s="17"/>
    </row>
    <row r="56" spans="1:10" ht="13.95" customHeight="1" x14ac:dyDescent="0.3">
      <c r="A56" s="3">
        <v>45712</v>
      </c>
      <c r="B56" s="3" t="s">
        <v>18</v>
      </c>
      <c r="C56" s="3" t="s">
        <v>1259</v>
      </c>
      <c r="D56" s="4">
        <v>0.3</v>
      </c>
      <c r="E56" s="42">
        <v>1.6</v>
      </c>
      <c r="F56" s="45">
        <v>434</v>
      </c>
      <c r="G56" s="44">
        <v>2.2000000000000002</v>
      </c>
      <c r="H56" s="21">
        <f t="shared" si="1"/>
        <v>458.30400000000003</v>
      </c>
      <c r="I56" s="6" t="s">
        <v>150</v>
      </c>
      <c r="J56" s="17"/>
    </row>
    <row r="57" spans="1:10" ht="13.95" customHeight="1" x14ac:dyDescent="0.3">
      <c r="A57" s="3">
        <v>45713</v>
      </c>
      <c r="B57" s="3" t="s">
        <v>20</v>
      </c>
      <c r="C57" s="3" t="s">
        <v>1259</v>
      </c>
      <c r="D57" s="4">
        <v>0.28000000000000003</v>
      </c>
      <c r="E57" s="42">
        <v>1.6</v>
      </c>
      <c r="F57" s="45">
        <v>434</v>
      </c>
      <c r="G57" s="44">
        <v>2.2000000000000002</v>
      </c>
      <c r="H57" s="21">
        <f t="shared" si="1"/>
        <v>427.75040000000007</v>
      </c>
      <c r="I57" s="6" t="s">
        <v>150</v>
      </c>
      <c r="J57" s="17"/>
    </row>
    <row r="58" spans="1:10" ht="13.95" customHeight="1" x14ac:dyDescent="0.3">
      <c r="A58" s="3">
        <v>45714</v>
      </c>
      <c r="B58" s="3" t="s">
        <v>5</v>
      </c>
      <c r="C58" s="3" t="s">
        <v>1259</v>
      </c>
      <c r="D58" s="4">
        <v>0.3</v>
      </c>
      <c r="E58" s="42">
        <v>1.6</v>
      </c>
      <c r="F58" s="45">
        <v>434</v>
      </c>
      <c r="G58" s="44">
        <v>2.2000000000000002</v>
      </c>
      <c r="H58" s="21">
        <f t="shared" si="1"/>
        <v>458.30400000000003</v>
      </c>
      <c r="I58" s="6" t="s">
        <v>150</v>
      </c>
      <c r="J58" s="17"/>
    </row>
    <row r="59" spans="1:10" ht="13.95" customHeight="1" x14ac:dyDescent="0.3">
      <c r="A59" s="3">
        <v>45715</v>
      </c>
      <c r="B59" s="3" t="s">
        <v>8</v>
      </c>
      <c r="C59" s="3" t="s">
        <v>1259</v>
      </c>
      <c r="D59" s="4">
        <v>0.35</v>
      </c>
      <c r="E59" s="42">
        <v>1.65</v>
      </c>
      <c r="F59" s="45">
        <v>434</v>
      </c>
      <c r="G59" s="44">
        <v>2.2000000000000002</v>
      </c>
      <c r="H59" s="21">
        <f t="shared" si="1"/>
        <v>551.39699999999993</v>
      </c>
      <c r="I59" s="6" t="s">
        <v>1416</v>
      </c>
      <c r="J59" s="17"/>
    </row>
    <row r="60" spans="1:10" ht="13.95" customHeight="1" x14ac:dyDescent="0.3">
      <c r="A60" s="3">
        <v>45716</v>
      </c>
      <c r="B60" s="3" t="s">
        <v>11</v>
      </c>
      <c r="C60" s="3" t="s">
        <v>1417</v>
      </c>
      <c r="D60" s="4">
        <v>0.5</v>
      </c>
      <c r="E60" s="42">
        <v>1.85</v>
      </c>
      <c r="F60" s="45">
        <v>434</v>
      </c>
      <c r="G60" s="44">
        <v>2.2000000000000002</v>
      </c>
      <c r="H60" s="21">
        <f t="shared" si="1"/>
        <v>883.19000000000017</v>
      </c>
      <c r="I60" s="6" t="s">
        <v>1418</v>
      </c>
      <c r="J60" s="17"/>
    </row>
    <row r="61" spans="1:10" ht="13.95" customHeight="1" x14ac:dyDescent="0.3">
      <c r="A61" s="3">
        <v>45717</v>
      </c>
      <c r="B61" s="3" t="s">
        <v>13</v>
      </c>
      <c r="C61" s="3" t="s">
        <v>1294</v>
      </c>
      <c r="D61" s="4">
        <v>0.65</v>
      </c>
      <c r="E61" s="42">
        <v>2.4</v>
      </c>
      <c r="F61" s="45">
        <v>434</v>
      </c>
      <c r="G61" s="44">
        <v>2.2000000000000002</v>
      </c>
      <c r="H61" s="21">
        <f t="shared" si="1"/>
        <v>1489.4880000000003</v>
      </c>
      <c r="I61" s="6" t="s">
        <v>1419</v>
      </c>
      <c r="J61" s="17"/>
    </row>
    <row r="62" spans="1:10" ht="13.95" customHeight="1" x14ac:dyDescent="0.3">
      <c r="A62" s="3">
        <v>45718</v>
      </c>
      <c r="B62" s="3" t="s">
        <v>16</v>
      </c>
      <c r="C62" s="3" t="s">
        <v>76</v>
      </c>
      <c r="D62" s="4">
        <v>0.55000000000000004</v>
      </c>
      <c r="E62" s="42">
        <v>2.1</v>
      </c>
      <c r="F62" s="45">
        <v>434</v>
      </c>
      <c r="G62" s="44">
        <v>2.2000000000000002</v>
      </c>
      <c r="H62" s="21">
        <f t="shared" si="1"/>
        <v>1102.7940000000001</v>
      </c>
      <c r="I62" s="6" t="s">
        <v>1304</v>
      </c>
      <c r="J62" s="17"/>
    </row>
    <row r="63" spans="1:10" ht="13.95" customHeight="1" x14ac:dyDescent="0.3">
      <c r="A63" s="3">
        <v>45719</v>
      </c>
      <c r="B63" s="3" t="s">
        <v>18</v>
      </c>
      <c r="C63" s="3" t="s">
        <v>76</v>
      </c>
      <c r="D63" s="4">
        <v>0.35</v>
      </c>
      <c r="E63" s="42">
        <v>1.8</v>
      </c>
      <c r="F63" s="45">
        <v>434</v>
      </c>
      <c r="G63" s="44">
        <v>2.2000000000000002</v>
      </c>
      <c r="H63" s="21">
        <f t="shared" si="1"/>
        <v>601.524</v>
      </c>
      <c r="I63" s="6" t="s">
        <v>1297</v>
      </c>
      <c r="J63" s="17"/>
    </row>
    <row r="64" spans="1:10" ht="13.95" customHeight="1" x14ac:dyDescent="0.3">
      <c r="A64" s="3">
        <v>45720</v>
      </c>
      <c r="B64" s="3" t="s">
        <v>20</v>
      </c>
      <c r="C64" s="3" t="s">
        <v>76</v>
      </c>
      <c r="D64" s="4">
        <v>0.32</v>
      </c>
      <c r="E64" s="42">
        <v>1.75</v>
      </c>
      <c r="F64" s="45">
        <v>434</v>
      </c>
      <c r="G64" s="44">
        <v>2.2000000000000002</v>
      </c>
      <c r="H64" s="21">
        <f t="shared" si="1"/>
        <v>534.68799999999999</v>
      </c>
      <c r="I64" s="6" t="s">
        <v>1297</v>
      </c>
      <c r="J64" s="17"/>
    </row>
    <row r="65" spans="1:10" ht="13.95" customHeight="1" x14ac:dyDescent="0.3">
      <c r="A65" s="3">
        <v>45721</v>
      </c>
      <c r="B65" s="3" t="s">
        <v>5</v>
      </c>
      <c r="C65" s="3" t="s">
        <v>76</v>
      </c>
      <c r="D65" s="4">
        <v>0.3</v>
      </c>
      <c r="E65" s="42">
        <v>1.7</v>
      </c>
      <c r="F65" s="45">
        <v>434</v>
      </c>
      <c r="G65" s="44">
        <v>2.2000000000000002</v>
      </c>
      <c r="H65" s="21">
        <f t="shared" si="1"/>
        <v>486.94799999999998</v>
      </c>
      <c r="I65" s="6" t="s">
        <v>1297</v>
      </c>
      <c r="J65" s="17"/>
    </row>
    <row r="66" spans="1:10" ht="13.95" customHeight="1" x14ac:dyDescent="0.3">
      <c r="A66" s="3">
        <v>45722</v>
      </c>
      <c r="B66" s="3" t="s">
        <v>8</v>
      </c>
      <c r="C66" s="3" t="s">
        <v>76</v>
      </c>
      <c r="D66" s="4">
        <v>0.35</v>
      </c>
      <c r="E66" s="42">
        <v>1.75</v>
      </c>
      <c r="F66" s="45">
        <v>434</v>
      </c>
      <c r="G66" s="44">
        <v>2.2000000000000002</v>
      </c>
      <c r="H66" s="21">
        <f t="shared" si="1"/>
        <v>584.81499999999994</v>
      </c>
      <c r="I66" s="6" t="s">
        <v>1297</v>
      </c>
      <c r="J66" s="17"/>
    </row>
    <row r="67" spans="1:10" ht="13.95" customHeight="1" x14ac:dyDescent="0.3">
      <c r="A67" s="3">
        <v>45723</v>
      </c>
      <c r="B67" s="3" t="s">
        <v>11</v>
      </c>
      <c r="C67" s="3" t="s">
        <v>76</v>
      </c>
      <c r="D67" s="4">
        <v>0.5</v>
      </c>
      <c r="E67" s="42">
        <v>2</v>
      </c>
      <c r="F67" s="45">
        <v>434</v>
      </c>
      <c r="G67" s="44">
        <v>2.2000000000000002</v>
      </c>
      <c r="H67" s="21">
        <f t="shared" ref="H67:H129" si="2">(F67*D67)*E67*G67</f>
        <v>954.80000000000007</v>
      </c>
      <c r="I67" s="6" t="s">
        <v>1298</v>
      </c>
      <c r="J67" s="17"/>
    </row>
    <row r="68" spans="1:10" ht="13.95" customHeight="1" x14ac:dyDescent="0.3">
      <c r="A68" s="3">
        <v>45724</v>
      </c>
      <c r="B68" s="3" t="s">
        <v>13</v>
      </c>
      <c r="C68" s="3" t="s">
        <v>1299</v>
      </c>
      <c r="D68" s="4">
        <v>0.7</v>
      </c>
      <c r="E68" s="42">
        <v>2.5</v>
      </c>
      <c r="F68" s="45">
        <v>434</v>
      </c>
      <c r="G68" s="44">
        <v>2.2000000000000002</v>
      </c>
      <c r="H68" s="21">
        <f t="shared" si="2"/>
        <v>1670.8999999999999</v>
      </c>
      <c r="I68" s="6" t="s">
        <v>1420</v>
      </c>
      <c r="J68" s="17"/>
    </row>
    <row r="69" spans="1:10" ht="13.95" customHeight="1" x14ac:dyDescent="0.3">
      <c r="A69" s="3">
        <v>45725</v>
      </c>
      <c r="B69" s="3" t="s">
        <v>16</v>
      </c>
      <c r="C69" s="3" t="s">
        <v>76</v>
      </c>
      <c r="D69" s="4">
        <v>0.6</v>
      </c>
      <c r="E69" s="42">
        <v>2.1</v>
      </c>
      <c r="F69" s="45">
        <v>434</v>
      </c>
      <c r="G69" s="44">
        <v>2.2000000000000002</v>
      </c>
      <c r="H69" s="21">
        <f t="shared" si="2"/>
        <v>1203.0480000000002</v>
      </c>
      <c r="I69" s="6" t="s">
        <v>1421</v>
      </c>
      <c r="J69" s="17"/>
    </row>
    <row r="70" spans="1:10" ht="13.95" customHeight="1" x14ac:dyDescent="0.3">
      <c r="A70" s="3">
        <v>45726</v>
      </c>
      <c r="B70" s="3" t="s">
        <v>18</v>
      </c>
      <c r="C70" s="3" t="s">
        <v>76</v>
      </c>
      <c r="D70" s="4">
        <v>0.3</v>
      </c>
      <c r="E70" s="42">
        <v>1.75</v>
      </c>
      <c r="F70" s="45">
        <v>434</v>
      </c>
      <c r="G70" s="44">
        <v>2.2000000000000002</v>
      </c>
      <c r="H70" s="21">
        <f t="shared" si="2"/>
        <v>501.27</v>
      </c>
      <c r="I70" s="6" t="s">
        <v>150</v>
      </c>
      <c r="J70" s="17"/>
    </row>
    <row r="71" spans="1:10" ht="13.95" customHeight="1" x14ac:dyDescent="0.3">
      <c r="A71" s="3">
        <v>45727</v>
      </c>
      <c r="B71" s="3" t="s">
        <v>20</v>
      </c>
      <c r="C71" s="3" t="s">
        <v>76</v>
      </c>
      <c r="D71" s="4">
        <v>0.28000000000000003</v>
      </c>
      <c r="E71" s="42">
        <v>1.7</v>
      </c>
      <c r="F71" s="45">
        <v>434</v>
      </c>
      <c r="G71" s="44">
        <v>2.2000000000000002</v>
      </c>
      <c r="H71" s="21">
        <f t="shared" si="2"/>
        <v>454.48480000000006</v>
      </c>
      <c r="I71" s="6" t="s">
        <v>150</v>
      </c>
      <c r="J71" s="17"/>
    </row>
    <row r="72" spans="1:10" ht="13.95" customHeight="1" x14ac:dyDescent="0.3">
      <c r="A72" s="3">
        <v>45728</v>
      </c>
      <c r="B72" s="3" t="s">
        <v>5</v>
      </c>
      <c r="C72" s="3" t="s">
        <v>76</v>
      </c>
      <c r="D72" s="4">
        <v>0.25</v>
      </c>
      <c r="E72" s="42">
        <v>1.7</v>
      </c>
      <c r="F72" s="45">
        <v>434</v>
      </c>
      <c r="G72" s="44">
        <v>2.2000000000000002</v>
      </c>
      <c r="H72" s="21">
        <f t="shared" si="2"/>
        <v>405.79</v>
      </c>
      <c r="I72" s="6" t="s">
        <v>150</v>
      </c>
      <c r="J72" s="17"/>
    </row>
    <row r="73" spans="1:10" ht="13.95" customHeight="1" x14ac:dyDescent="0.3">
      <c r="A73" s="3">
        <v>45729</v>
      </c>
      <c r="B73" s="3" t="s">
        <v>8</v>
      </c>
      <c r="C73" s="3" t="s">
        <v>76</v>
      </c>
      <c r="D73" s="4">
        <v>0.3</v>
      </c>
      <c r="E73" s="42">
        <v>1.75</v>
      </c>
      <c r="F73" s="45">
        <v>434</v>
      </c>
      <c r="G73" s="44">
        <v>2.2000000000000002</v>
      </c>
      <c r="H73" s="21">
        <f t="shared" si="2"/>
        <v>501.27</v>
      </c>
      <c r="I73" s="6" t="s">
        <v>150</v>
      </c>
      <c r="J73" s="17"/>
    </row>
    <row r="74" spans="1:10" ht="13.95" customHeight="1" x14ac:dyDescent="0.3">
      <c r="A74" s="3">
        <v>45730</v>
      </c>
      <c r="B74" s="3" t="s">
        <v>11</v>
      </c>
      <c r="C74" s="3" t="s">
        <v>76</v>
      </c>
      <c r="D74" s="4">
        <v>0.55000000000000004</v>
      </c>
      <c r="E74" s="42">
        <v>2.0499999999999998</v>
      </c>
      <c r="F74" s="45">
        <v>434</v>
      </c>
      <c r="G74" s="44">
        <v>2.2000000000000002</v>
      </c>
      <c r="H74" s="21">
        <f t="shared" si="2"/>
        <v>1076.537</v>
      </c>
      <c r="I74" s="6" t="s">
        <v>1302</v>
      </c>
      <c r="J74" s="17"/>
    </row>
    <row r="75" spans="1:10" ht="13.95" customHeight="1" x14ac:dyDescent="0.3">
      <c r="A75" s="3">
        <v>45731</v>
      </c>
      <c r="B75" s="3" t="s">
        <v>13</v>
      </c>
      <c r="C75" s="3" t="s">
        <v>76</v>
      </c>
      <c r="D75" s="4">
        <v>0.65</v>
      </c>
      <c r="E75" s="42">
        <v>2.2999999999999998</v>
      </c>
      <c r="F75" s="45">
        <v>434</v>
      </c>
      <c r="G75" s="44">
        <v>2.2000000000000002</v>
      </c>
      <c r="H75" s="21">
        <f t="shared" si="2"/>
        <v>1427.4260000000002</v>
      </c>
      <c r="I75" s="6" t="s">
        <v>1422</v>
      </c>
      <c r="J75" s="17"/>
    </row>
    <row r="76" spans="1:10" ht="13.95" customHeight="1" x14ac:dyDescent="0.3">
      <c r="A76" s="3">
        <v>45732</v>
      </c>
      <c r="B76" s="3" t="s">
        <v>16</v>
      </c>
      <c r="C76" s="3" t="s">
        <v>76</v>
      </c>
      <c r="D76" s="4">
        <v>0.6</v>
      </c>
      <c r="E76" s="42">
        <v>2.1</v>
      </c>
      <c r="F76" s="45">
        <v>434</v>
      </c>
      <c r="G76" s="44">
        <v>2.2000000000000002</v>
      </c>
      <c r="H76" s="21">
        <f t="shared" si="2"/>
        <v>1203.0480000000002</v>
      </c>
      <c r="I76" s="6" t="s">
        <v>149</v>
      </c>
      <c r="J76" s="17"/>
    </row>
    <row r="77" spans="1:10" ht="13.95" customHeight="1" x14ac:dyDescent="0.3">
      <c r="A77" s="3">
        <v>45733</v>
      </c>
      <c r="B77" s="3" t="s">
        <v>18</v>
      </c>
      <c r="C77" s="3" t="s">
        <v>76</v>
      </c>
      <c r="D77" s="4">
        <v>0.25</v>
      </c>
      <c r="E77" s="42">
        <v>1.7</v>
      </c>
      <c r="F77" s="45">
        <v>434</v>
      </c>
      <c r="G77" s="44">
        <v>2.2000000000000002</v>
      </c>
      <c r="H77" s="21">
        <f t="shared" si="2"/>
        <v>405.79</v>
      </c>
      <c r="I77" s="6" t="s">
        <v>150</v>
      </c>
      <c r="J77" s="17"/>
    </row>
    <row r="78" spans="1:10" ht="13.95" customHeight="1" x14ac:dyDescent="0.3">
      <c r="A78" s="3">
        <v>45734</v>
      </c>
      <c r="B78" s="3" t="s">
        <v>20</v>
      </c>
      <c r="C78" s="3" t="s">
        <v>76</v>
      </c>
      <c r="D78" s="4">
        <v>0.28000000000000003</v>
      </c>
      <c r="E78" s="42">
        <v>1.7</v>
      </c>
      <c r="F78" s="45">
        <v>434</v>
      </c>
      <c r="G78" s="44">
        <v>2.2000000000000002</v>
      </c>
      <c r="H78" s="21">
        <f t="shared" si="2"/>
        <v>454.48480000000006</v>
      </c>
      <c r="I78" s="6" t="s">
        <v>150</v>
      </c>
      <c r="J78" s="17"/>
    </row>
    <row r="79" spans="1:10" ht="13.95" customHeight="1" x14ac:dyDescent="0.3">
      <c r="A79" s="3">
        <v>45735</v>
      </c>
      <c r="B79" s="3" t="s">
        <v>5</v>
      </c>
      <c r="C79" s="3" t="s">
        <v>994</v>
      </c>
      <c r="D79" s="4">
        <v>0.45</v>
      </c>
      <c r="E79" s="42">
        <v>2</v>
      </c>
      <c r="F79" s="45">
        <v>434</v>
      </c>
      <c r="G79" s="44">
        <v>2.2000000000000002</v>
      </c>
      <c r="H79" s="21">
        <f t="shared" si="2"/>
        <v>859.32000000000016</v>
      </c>
      <c r="I79" s="6" t="s">
        <v>1305</v>
      </c>
      <c r="J79" s="17"/>
    </row>
    <row r="80" spans="1:10" ht="13.95" customHeight="1" x14ac:dyDescent="0.3">
      <c r="A80" s="3">
        <v>45736</v>
      </c>
      <c r="B80" s="3" t="s">
        <v>8</v>
      </c>
      <c r="C80" s="3" t="s">
        <v>383</v>
      </c>
      <c r="D80" s="4">
        <v>0.75</v>
      </c>
      <c r="E80" s="42">
        <v>2.4500000000000002</v>
      </c>
      <c r="F80" s="45">
        <v>434</v>
      </c>
      <c r="G80" s="44">
        <v>2.2000000000000002</v>
      </c>
      <c r="H80" s="21">
        <f t="shared" si="2"/>
        <v>1754.4450000000002</v>
      </c>
      <c r="I80" s="6" t="s">
        <v>1423</v>
      </c>
      <c r="J80" s="17"/>
    </row>
    <row r="81" spans="1:10" ht="13.95" customHeight="1" x14ac:dyDescent="0.3">
      <c r="A81" s="3">
        <v>45737</v>
      </c>
      <c r="B81" s="3" t="s">
        <v>11</v>
      </c>
      <c r="C81" s="3" t="s">
        <v>76</v>
      </c>
      <c r="D81" s="4">
        <v>0.6</v>
      </c>
      <c r="E81" s="42">
        <v>2.15</v>
      </c>
      <c r="F81" s="45">
        <v>434</v>
      </c>
      <c r="G81" s="44">
        <v>2.2000000000000002</v>
      </c>
      <c r="H81" s="21">
        <f t="shared" si="2"/>
        <v>1231.6919999999998</v>
      </c>
      <c r="I81" s="6" t="s">
        <v>97</v>
      </c>
      <c r="J81" s="17"/>
    </row>
    <row r="82" spans="1:10" ht="13.95" customHeight="1" x14ac:dyDescent="0.3">
      <c r="A82" s="3">
        <v>45738</v>
      </c>
      <c r="B82" s="3" t="s">
        <v>13</v>
      </c>
      <c r="C82" s="3" t="s">
        <v>76</v>
      </c>
      <c r="D82" s="4">
        <v>0.75</v>
      </c>
      <c r="E82" s="42">
        <v>2.4</v>
      </c>
      <c r="F82" s="45">
        <v>434</v>
      </c>
      <c r="G82" s="44">
        <v>2.2000000000000002</v>
      </c>
      <c r="H82" s="21">
        <f t="shared" si="2"/>
        <v>1718.64</v>
      </c>
      <c r="I82" s="6" t="s">
        <v>1307</v>
      </c>
      <c r="J82" s="17"/>
    </row>
    <row r="83" spans="1:10" ht="13.95" customHeight="1" x14ac:dyDescent="0.3">
      <c r="A83" s="3">
        <v>45739</v>
      </c>
      <c r="B83" s="3" t="s">
        <v>16</v>
      </c>
      <c r="C83" s="3" t="s">
        <v>76</v>
      </c>
      <c r="D83" s="4">
        <v>0.65</v>
      </c>
      <c r="E83" s="42">
        <v>2.2000000000000002</v>
      </c>
      <c r="F83" s="45">
        <v>434</v>
      </c>
      <c r="G83" s="44">
        <v>2.2000000000000002</v>
      </c>
      <c r="H83" s="21">
        <f t="shared" si="2"/>
        <v>1365.3640000000003</v>
      </c>
      <c r="I83" s="6" t="s">
        <v>1308</v>
      </c>
      <c r="J83" s="17"/>
    </row>
    <row r="84" spans="1:10" ht="13.95" customHeight="1" x14ac:dyDescent="0.3">
      <c r="A84" s="3">
        <v>45740</v>
      </c>
      <c r="B84" s="3" t="s">
        <v>18</v>
      </c>
      <c r="C84" s="3" t="s">
        <v>76</v>
      </c>
      <c r="D84" s="4">
        <v>0.3</v>
      </c>
      <c r="E84" s="42">
        <v>1.75</v>
      </c>
      <c r="F84" s="45">
        <v>434</v>
      </c>
      <c r="G84" s="44">
        <v>2.2000000000000002</v>
      </c>
      <c r="H84" s="21">
        <f t="shared" si="2"/>
        <v>501.27</v>
      </c>
      <c r="I84" s="6" t="s">
        <v>150</v>
      </c>
      <c r="J84" s="17"/>
    </row>
    <row r="85" spans="1:10" ht="13.95" customHeight="1" x14ac:dyDescent="0.3">
      <c r="A85" s="3">
        <v>45741</v>
      </c>
      <c r="B85" s="3" t="s">
        <v>20</v>
      </c>
      <c r="C85" s="3" t="s">
        <v>76</v>
      </c>
      <c r="D85" s="4">
        <v>0.28000000000000003</v>
      </c>
      <c r="E85" s="42">
        <v>1.7</v>
      </c>
      <c r="F85" s="45">
        <v>434</v>
      </c>
      <c r="G85" s="44">
        <v>2.2000000000000002</v>
      </c>
      <c r="H85" s="21">
        <f t="shared" si="2"/>
        <v>454.48480000000006</v>
      </c>
      <c r="I85" s="6" t="s">
        <v>150</v>
      </c>
      <c r="J85" s="17"/>
    </row>
    <row r="86" spans="1:10" ht="13.95" customHeight="1" x14ac:dyDescent="0.3">
      <c r="A86" s="3">
        <v>45742</v>
      </c>
      <c r="B86" s="3" t="s">
        <v>5</v>
      </c>
      <c r="C86" s="3" t="s">
        <v>76</v>
      </c>
      <c r="D86" s="4">
        <v>0.3</v>
      </c>
      <c r="E86" s="42">
        <v>1.75</v>
      </c>
      <c r="F86" s="45">
        <v>434</v>
      </c>
      <c r="G86" s="44">
        <v>2.2000000000000002</v>
      </c>
      <c r="H86" s="21">
        <f t="shared" si="2"/>
        <v>501.27</v>
      </c>
      <c r="I86" s="6" t="s">
        <v>150</v>
      </c>
      <c r="J86" s="17"/>
    </row>
    <row r="87" spans="1:10" ht="13.95" customHeight="1" x14ac:dyDescent="0.3">
      <c r="A87" s="3">
        <v>45743</v>
      </c>
      <c r="B87" s="3" t="s">
        <v>8</v>
      </c>
      <c r="C87" s="3" t="s">
        <v>76</v>
      </c>
      <c r="D87" s="4">
        <v>0.45</v>
      </c>
      <c r="E87" s="42">
        <v>1.9</v>
      </c>
      <c r="F87" s="45">
        <v>434</v>
      </c>
      <c r="G87" s="44">
        <v>2.2000000000000002</v>
      </c>
      <c r="H87" s="21">
        <f t="shared" si="2"/>
        <v>816.35400000000004</v>
      </c>
      <c r="I87" s="6" t="s">
        <v>72</v>
      </c>
      <c r="J87" s="17"/>
    </row>
    <row r="88" spans="1:10" ht="13.95" customHeight="1" x14ac:dyDescent="0.3">
      <c r="A88" s="3">
        <v>45744</v>
      </c>
      <c r="B88" s="3" t="s">
        <v>11</v>
      </c>
      <c r="C88" s="3" t="s">
        <v>1310</v>
      </c>
      <c r="D88" s="4">
        <v>0.65</v>
      </c>
      <c r="E88" s="42">
        <v>2.5</v>
      </c>
      <c r="F88" s="45">
        <v>434</v>
      </c>
      <c r="G88" s="44">
        <v>2.2000000000000002</v>
      </c>
      <c r="H88" s="21">
        <f t="shared" si="2"/>
        <v>1551.5500000000002</v>
      </c>
      <c r="I88" s="6" t="s">
        <v>1311</v>
      </c>
      <c r="J88" s="17"/>
    </row>
    <row r="89" spans="1:10" ht="13.95" customHeight="1" x14ac:dyDescent="0.3">
      <c r="A89" s="3">
        <v>45745</v>
      </c>
      <c r="B89" s="3" t="s">
        <v>13</v>
      </c>
      <c r="C89" s="3" t="s">
        <v>904</v>
      </c>
      <c r="D89" s="4">
        <v>0.85</v>
      </c>
      <c r="E89" s="42">
        <v>2.6</v>
      </c>
      <c r="F89" s="45">
        <v>434</v>
      </c>
      <c r="G89" s="44">
        <v>2.2000000000000002</v>
      </c>
      <c r="H89" s="21">
        <f t="shared" si="2"/>
        <v>2110.1080000000002</v>
      </c>
      <c r="I89" s="6" t="s">
        <v>1424</v>
      </c>
      <c r="J89" s="17"/>
    </row>
    <row r="90" spans="1:10" ht="13.95" customHeight="1" x14ac:dyDescent="0.3">
      <c r="A90" s="3">
        <v>45746</v>
      </c>
      <c r="B90" s="3" t="s">
        <v>16</v>
      </c>
      <c r="C90" s="3" t="s">
        <v>574</v>
      </c>
      <c r="D90" s="4">
        <v>1</v>
      </c>
      <c r="E90" s="42">
        <v>2.85</v>
      </c>
      <c r="F90" s="45">
        <v>434</v>
      </c>
      <c r="G90" s="44">
        <v>2.2000000000000002</v>
      </c>
      <c r="H90" s="21">
        <f t="shared" si="2"/>
        <v>2721.1800000000003</v>
      </c>
      <c r="I90" s="6" t="s">
        <v>1425</v>
      </c>
      <c r="J90" s="17"/>
    </row>
    <row r="91" spans="1:10" ht="13.95" customHeight="1" x14ac:dyDescent="0.3">
      <c r="A91" s="3">
        <v>45747</v>
      </c>
      <c r="B91" s="3" t="s">
        <v>18</v>
      </c>
      <c r="C91" s="3" t="s">
        <v>574</v>
      </c>
      <c r="D91" s="4">
        <v>0.95</v>
      </c>
      <c r="E91" s="42">
        <v>2.5499999999999998</v>
      </c>
      <c r="F91" s="45">
        <v>434</v>
      </c>
      <c r="G91" s="44">
        <v>2.2000000000000002</v>
      </c>
      <c r="H91" s="21">
        <f t="shared" si="2"/>
        <v>2313.0029999999997</v>
      </c>
      <c r="I91" s="6" t="s">
        <v>1426</v>
      </c>
      <c r="J91" s="17"/>
    </row>
    <row r="92" spans="1:10" ht="13.95" customHeight="1" x14ac:dyDescent="0.3">
      <c r="A92" s="3">
        <v>45748</v>
      </c>
      <c r="B92" s="3" t="s">
        <v>20</v>
      </c>
      <c r="C92" s="3" t="s">
        <v>1314</v>
      </c>
      <c r="D92" s="4">
        <v>0.6</v>
      </c>
      <c r="E92" s="42">
        <v>1.85</v>
      </c>
      <c r="F92" s="45">
        <v>434</v>
      </c>
      <c r="G92" s="44">
        <v>2.2000000000000002</v>
      </c>
      <c r="H92" s="21">
        <f t="shared" si="2"/>
        <v>1059.8280000000002</v>
      </c>
      <c r="I92" s="6" t="s">
        <v>1427</v>
      </c>
      <c r="J92" s="17"/>
    </row>
    <row r="93" spans="1:10" ht="13.95" customHeight="1" x14ac:dyDescent="0.3">
      <c r="A93" s="3">
        <v>45749</v>
      </c>
      <c r="B93" s="3" t="s">
        <v>5</v>
      </c>
      <c r="C93" s="3" t="s">
        <v>1259</v>
      </c>
      <c r="D93" s="4">
        <v>0.4</v>
      </c>
      <c r="E93" s="42">
        <v>1.7</v>
      </c>
      <c r="F93" s="45">
        <v>434</v>
      </c>
      <c r="G93" s="44">
        <v>2.2000000000000002</v>
      </c>
      <c r="H93" s="21">
        <f t="shared" si="2"/>
        <v>649.26400000000001</v>
      </c>
      <c r="I93" s="6" t="s">
        <v>1428</v>
      </c>
      <c r="J93" s="17"/>
    </row>
    <row r="94" spans="1:10" ht="13.95" customHeight="1" x14ac:dyDescent="0.3">
      <c r="A94" s="3">
        <v>45750</v>
      </c>
      <c r="B94" s="3" t="s">
        <v>8</v>
      </c>
      <c r="C94" s="3" t="s">
        <v>1259</v>
      </c>
      <c r="D94" s="4">
        <v>0.35</v>
      </c>
      <c r="E94" s="42">
        <v>1.7</v>
      </c>
      <c r="F94" s="45">
        <v>434</v>
      </c>
      <c r="G94" s="44">
        <v>2.2000000000000002</v>
      </c>
      <c r="H94" s="21">
        <f t="shared" si="2"/>
        <v>568.10599999999999</v>
      </c>
      <c r="I94" s="6" t="s">
        <v>150</v>
      </c>
      <c r="J94" s="17"/>
    </row>
    <row r="95" spans="1:10" ht="13.95" customHeight="1" x14ac:dyDescent="0.3">
      <c r="A95" s="3">
        <v>45751</v>
      </c>
      <c r="B95" s="3" t="s">
        <v>11</v>
      </c>
      <c r="C95" s="3" t="s">
        <v>14</v>
      </c>
      <c r="D95" s="4">
        <v>0.45</v>
      </c>
      <c r="E95" s="42">
        <v>1.8</v>
      </c>
      <c r="F95" s="45">
        <v>434</v>
      </c>
      <c r="G95" s="44">
        <v>2.2000000000000002</v>
      </c>
      <c r="H95" s="21">
        <f t="shared" si="2"/>
        <v>773.38800000000015</v>
      </c>
      <c r="I95" s="6" t="s">
        <v>124</v>
      </c>
      <c r="J95" s="17"/>
    </row>
    <row r="96" spans="1:10" ht="13.95" customHeight="1" x14ac:dyDescent="0.3">
      <c r="A96" s="3">
        <v>45752</v>
      </c>
      <c r="B96" s="3" t="s">
        <v>13</v>
      </c>
      <c r="C96" s="3" t="s">
        <v>14</v>
      </c>
      <c r="D96" s="4">
        <v>0.6</v>
      </c>
      <c r="E96" s="42">
        <v>2.1</v>
      </c>
      <c r="F96" s="45">
        <v>434</v>
      </c>
      <c r="G96" s="44">
        <v>2.2000000000000002</v>
      </c>
      <c r="H96" s="21">
        <f t="shared" si="2"/>
        <v>1203.0480000000002</v>
      </c>
      <c r="I96" s="6" t="s">
        <v>1429</v>
      </c>
      <c r="J96" s="17"/>
    </row>
    <row r="97" spans="1:10" ht="13.95" customHeight="1" x14ac:dyDescent="0.3">
      <c r="A97" s="3">
        <v>45753</v>
      </c>
      <c r="B97" s="3" t="s">
        <v>16</v>
      </c>
      <c r="C97" s="3" t="s">
        <v>14</v>
      </c>
      <c r="D97" s="4">
        <v>0.55000000000000004</v>
      </c>
      <c r="E97" s="42">
        <v>1.9</v>
      </c>
      <c r="F97" s="45">
        <v>434</v>
      </c>
      <c r="G97" s="44">
        <v>2.2000000000000002</v>
      </c>
      <c r="H97" s="21">
        <f t="shared" si="2"/>
        <v>997.76600000000019</v>
      </c>
      <c r="I97" s="6" t="s">
        <v>139</v>
      </c>
      <c r="J97" s="17"/>
    </row>
    <row r="98" spans="1:10" ht="13.95" customHeight="1" x14ac:dyDescent="0.3">
      <c r="A98" s="3">
        <v>45754</v>
      </c>
      <c r="B98" s="3" t="s">
        <v>18</v>
      </c>
      <c r="C98" s="3" t="s">
        <v>1259</v>
      </c>
      <c r="D98" s="4">
        <v>0.35</v>
      </c>
      <c r="E98" s="42">
        <v>1.7</v>
      </c>
      <c r="F98" s="45">
        <v>434</v>
      </c>
      <c r="G98" s="44">
        <v>2.2000000000000002</v>
      </c>
      <c r="H98" s="21">
        <f t="shared" si="2"/>
        <v>568.10599999999999</v>
      </c>
      <c r="I98" s="6" t="s">
        <v>150</v>
      </c>
      <c r="J98" s="17"/>
    </row>
    <row r="99" spans="1:10" ht="13.95" customHeight="1" x14ac:dyDescent="0.3">
      <c r="A99" s="3">
        <v>45755</v>
      </c>
      <c r="B99" s="3" t="s">
        <v>20</v>
      </c>
      <c r="C99" s="3" t="s">
        <v>994</v>
      </c>
      <c r="D99" s="4">
        <v>0.5</v>
      </c>
      <c r="E99" s="42">
        <v>1.85</v>
      </c>
      <c r="F99" s="45">
        <v>434</v>
      </c>
      <c r="G99" s="44">
        <v>2.2000000000000002</v>
      </c>
      <c r="H99" s="21">
        <f t="shared" si="2"/>
        <v>883.19000000000017</v>
      </c>
      <c r="I99" s="6" t="s">
        <v>1430</v>
      </c>
      <c r="J99" s="17"/>
    </row>
    <row r="100" spans="1:10" ht="13.95" customHeight="1" x14ac:dyDescent="0.3">
      <c r="A100" s="3">
        <v>45756</v>
      </c>
      <c r="B100" s="3" t="s">
        <v>5</v>
      </c>
      <c r="C100" s="3" t="s">
        <v>1112</v>
      </c>
      <c r="D100" s="4">
        <v>0.75</v>
      </c>
      <c r="E100" s="42">
        <v>2.2000000000000002</v>
      </c>
      <c r="F100" s="45">
        <v>434</v>
      </c>
      <c r="G100" s="44">
        <v>2.2000000000000002</v>
      </c>
      <c r="H100" s="21">
        <f t="shared" si="2"/>
        <v>1575.42</v>
      </c>
      <c r="I100" s="6" t="s">
        <v>1431</v>
      </c>
      <c r="J100" s="17"/>
    </row>
    <row r="101" spans="1:10" ht="13.95" customHeight="1" x14ac:dyDescent="0.3">
      <c r="A101" s="3">
        <v>45757</v>
      </c>
      <c r="B101" s="3" t="s">
        <v>8</v>
      </c>
      <c r="C101" s="3" t="s">
        <v>1259</v>
      </c>
      <c r="D101" s="4">
        <v>0.4</v>
      </c>
      <c r="E101" s="42">
        <v>1.75</v>
      </c>
      <c r="F101" s="45">
        <v>434</v>
      </c>
      <c r="G101" s="44">
        <v>2.2000000000000002</v>
      </c>
      <c r="H101" s="21">
        <f t="shared" si="2"/>
        <v>668.36000000000024</v>
      </c>
      <c r="I101" s="6" t="s">
        <v>774</v>
      </c>
      <c r="J101" s="17"/>
    </row>
    <row r="102" spans="1:10" ht="13.95" customHeight="1" x14ac:dyDescent="0.3">
      <c r="A102" s="3">
        <v>45758</v>
      </c>
      <c r="B102" s="3" t="s">
        <v>11</v>
      </c>
      <c r="C102" s="3" t="s">
        <v>14</v>
      </c>
      <c r="D102" s="4">
        <v>0.5</v>
      </c>
      <c r="E102" s="42">
        <v>1.9</v>
      </c>
      <c r="F102" s="45">
        <v>434</v>
      </c>
      <c r="G102" s="44">
        <v>2.2000000000000002</v>
      </c>
      <c r="H102" s="21">
        <f t="shared" si="2"/>
        <v>907.06</v>
      </c>
      <c r="I102" s="6" t="s">
        <v>97</v>
      </c>
      <c r="J102" s="17"/>
    </row>
    <row r="103" spans="1:10" ht="13.95" customHeight="1" x14ac:dyDescent="0.3">
      <c r="A103" s="3">
        <v>45759</v>
      </c>
      <c r="B103" s="3" t="s">
        <v>13</v>
      </c>
      <c r="C103" s="3" t="s">
        <v>14</v>
      </c>
      <c r="D103" s="4">
        <v>0.65</v>
      </c>
      <c r="E103" s="42">
        <v>2.15</v>
      </c>
      <c r="F103" s="45">
        <v>434</v>
      </c>
      <c r="G103" s="44">
        <v>2.2000000000000002</v>
      </c>
      <c r="H103" s="21">
        <f t="shared" si="2"/>
        <v>1334.3330000000001</v>
      </c>
      <c r="I103" s="6" t="s">
        <v>1432</v>
      </c>
      <c r="J103" s="17"/>
    </row>
    <row r="104" spans="1:10" ht="13.95" customHeight="1" x14ac:dyDescent="0.3">
      <c r="A104" s="3">
        <v>45760</v>
      </c>
      <c r="B104" s="3" t="s">
        <v>16</v>
      </c>
      <c r="C104" s="3" t="s">
        <v>14</v>
      </c>
      <c r="D104" s="4">
        <v>0.6</v>
      </c>
      <c r="E104" s="42">
        <v>2</v>
      </c>
      <c r="F104" s="45">
        <v>434</v>
      </c>
      <c r="G104" s="44">
        <v>2.2000000000000002</v>
      </c>
      <c r="H104" s="21">
        <f t="shared" si="2"/>
        <v>1145.76</v>
      </c>
      <c r="I104" s="6" t="s">
        <v>149</v>
      </c>
      <c r="J104" s="17"/>
    </row>
    <row r="105" spans="1:10" ht="13.95" customHeight="1" x14ac:dyDescent="0.3">
      <c r="A105" s="3">
        <v>45761</v>
      </c>
      <c r="B105" s="3" t="s">
        <v>18</v>
      </c>
      <c r="C105" s="3" t="s">
        <v>1259</v>
      </c>
      <c r="D105" s="4">
        <v>0.4</v>
      </c>
      <c r="E105" s="42">
        <v>1.7</v>
      </c>
      <c r="F105" s="45">
        <v>434</v>
      </c>
      <c r="G105" s="44">
        <v>2.2000000000000002</v>
      </c>
      <c r="H105" s="21">
        <f t="shared" si="2"/>
        <v>649.26400000000001</v>
      </c>
      <c r="I105" s="6" t="s">
        <v>1433</v>
      </c>
      <c r="J105" s="17"/>
    </row>
    <row r="106" spans="1:10" ht="13.95" customHeight="1" x14ac:dyDescent="0.3">
      <c r="A106" s="3">
        <v>45762</v>
      </c>
      <c r="B106" s="3" t="s">
        <v>20</v>
      </c>
      <c r="C106" s="3" t="s">
        <v>1434</v>
      </c>
      <c r="D106" s="4">
        <v>0.6</v>
      </c>
      <c r="E106" s="42">
        <v>1.95</v>
      </c>
      <c r="F106" s="45">
        <v>434</v>
      </c>
      <c r="G106" s="44">
        <v>2.2000000000000002</v>
      </c>
      <c r="H106" s="21">
        <f t="shared" si="2"/>
        <v>1117.116</v>
      </c>
      <c r="I106" s="6" t="s">
        <v>1331</v>
      </c>
      <c r="J106" s="17"/>
    </row>
    <row r="107" spans="1:10" ht="13.95" customHeight="1" x14ac:dyDescent="0.3">
      <c r="A107" s="3">
        <v>45763</v>
      </c>
      <c r="B107" s="3" t="s">
        <v>5</v>
      </c>
      <c r="C107" s="3" t="s">
        <v>1434</v>
      </c>
      <c r="D107" s="4">
        <v>0.65</v>
      </c>
      <c r="E107" s="42">
        <v>1.95</v>
      </c>
      <c r="F107" s="45">
        <v>434</v>
      </c>
      <c r="G107" s="44">
        <v>2.2000000000000002</v>
      </c>
      <c r="H107" s="21">
        <f t="shared" si="2"/>
        <v>1210.2090000000001</v>
      </c>
      <c r="I107" s="6" t="s">
        <v>838</v>
      </c>
      <c r="J107" s="17"/>
    </row>
    <row r="108" spans="1:10" ht="13.95" customHeight="1" x14ac:dyDescent="0.3">
      <c r="A108" s="3">
        <v>45764</v>
      </c>
      <c r="B108" s="3" t="s">
        <v>8</v>
      </c>
      <c r="C108" s="3" t="s">
        <v>1434</v>
      </c>
      <c r="D108" s="4">
        <v>0.68</v>
      </c>
      <c r="E108" s="42">
        <v>2</v>
      </c>
      <c r="F108" s="45">
        <v>434</v>
      </c>
      <c r="G108" s="44">
        <v>2.2000000000000002</v>
      </c>
      <c r="H108" s="21">
        <f t="shared" si="2"/>
        <v>1298.528</v>
      </c>
      <c r="I108" s="6" t="s">
        <v>1321</v>
      </c>
      <c r="J108" s="17"/>
    </row>
    <row r="109" spans="1:10" ht="13.95" customHeight="1" x14ac:dyDescent="0.3">
      <c r="A109" s="3">
        <v>45765</v>
      </c>
      <c r="B109" s="3" t="s">
        <v>11</v>
      </c>
      <c r="C109" s="3" t="s">
        <v>1118</v>
      </c>
      <c r="D109" s="4">
        <v>0.8</v>
      </c>
      <c r="E109" s="42">
        <v>2.15</v>
      </c>
      <c r="F109" s="45">
        <v>434</v>
      </c>
      <c r="G109" s="44">
        <v>2.2000000000000002</v>
      </c>
      <c r="H109" s="21">
        <f t="shared" si="2"/>
        <v>1642.2560000000001</v>
      </c>
      <c r="I109" s="6" t="s">
        <v>531</v>
      </c>
      <c r="J109" s="17"/>
    </row>
    <row r="110" spans="1:10" ht="13.95" customHeight="1" x14ac:dyDescent="0.3">
      <c r="A110" s="3">
        <v>45766</v>
      </c>
      <c r="B110" s="3" t="s">
        <v>13</v>
      </c>
      <c r="C110" s="3" t="s">
        <v>1322</v>
      </c>
      <c r="D110" s="4">
        <v>0.85</v>
      </c>
      <c r="E110" s="42">
        <v>2.35</v>
      </c>
      <c r="F110" s="45">
        <v>434</v>
      </c>
      <c r="G110" s="44">
        <v>2.2000000000000002</v>
      </c>
      <c r="H110" s="21">
        <f t="shared" si="2"/>
        <v>1907.213</v>
      </c>
      <c r="I110" s="6" t="s">
        <v>1323</v>
      </c>
      <c r="J110" s="17"/>
    </row>
    <row r="111" spans="1:10" ht="13.95" customHeight="1" x14ac:dyDescent="0.3">
      <c r="A111" s="3">
        <v>45767</v>
      </c>
      <c r="B111" s="3" t="s">
        <v>16</v>
      </c>
      <c r="C111" s="3" t="s">
        <v>905</v>
      </c>
      <c r="D111" s="4">
        <v>0.9</v>
      </c>
      <c r="E111" s="42">
        <v>2.6</v>
      </c>
      <c r="F111" s="45">
        <v>434</v>
      </c>
      <c r="G111" s="44">
        <v>2.2000000000000002</v>
      </c>
      <c r="H111" s="21">
        <f t="shared" si="2"/>
        <v>2234.2320000000004</v>
      </c>
      <c r="I111" s="6" t="s">
        <v>1435</v>
      </c>
      <c r="J111" s="17"/>
    </row>
    <row r="112" spans="1:10" ht="13.95" customHeight="1" x14ac:dyDescent="0.3">
      <c r="A112" s="3">
        <v>45768</v>
      </c>
      <c r="B112" s="3" t="s">
        <v>18</v>
      </c>
      <c r="C112" s="3" t="s">
        <v>1325</v>
      </c>
      <c r="D112" s="4">
        <v>0.75</v>
      </c>
      <c r="E112" s="42">
        <v>2.1</v>
      </c>
      <c r="F112" s="45">
        <v>434</v>
      </c>
      <c r="G112" s="44">
        <v>2.2000000000000002</v>
      </c>
      <c r="H112" s="21">
        <f t="shared" si="2"/>
        <v>1503.8100000000002</v>
      </c>
      <c r="I112" s="6" t="s">
        <v>1436</v>
      </c>
      <c r="J112" s="17"/>
    </row>
    <row r="113" spans="1:10" ht="13.95" customHeight="1" x14ac:dyDescent="0.3">
      <c r="A113" s="3">
        <v>45769</v>
      </c>
      <c r="B113" s="3" t="s">
        <v>20</v>
      </c>
      <c r="C113" s="3" t="s">
        <v>1259</v>
      </c>
      <c r="D113" s="4">
        <v>0.5</v>
      </c>
      <c r="E113" s="42">
        <v>1.8</v>
      </c>
      <c r="F113" s="45">
        <v>434</v>
      </c>
      <c r="G113" s="44">
        <v>2.2000000000000002</v>
      </c>
      <c r="H113" s="21">
        <f t="shared" si="2"/>
        <v>859.32000000000016</v>
      </c>
      <c r="I113" s="6" t="s">
        <v>1437</v>
      </c>
      <c r="J113" s="17"/>
    </row>
    <row r="114" spans="1:10" ht="13.95" customHeight="1" x14ac:dyDescent="0.3">
      <c r="A114" s="3">
        <v>45770</v>
      </c>
      <c r="B114" s="3" t="s">
        <v>5</v>
      </c>
      <c r="C114" s="3" t="s">
        <v>1259</v>
      </c>
      <c r="D114" s="4">
        <v>0.45</v>
      </c>
      <c r="E114" s="42">
        <v>1.75</v>
      </c>
      <c r="F114" s="45">
        <v>434</v>
      </c>
      <c r="G114" s="44">
        <v>2.2000000000000002</v>
      </c>
      <c r="H114" s="21">
        <f t="shared" si="2"/>
        <v>751.90500000000009</v>
      </c>
      <c r="I114" s="6" t="s">
        <v>150</v>
      </c>
      <c r="J114" s="17"/>
    </row>
    <row r="115" spans="1:10" ht="13.95" customHeight="1" x14ac:dyDescent="0.3">
      <c r="A115" s="3">
        <v>45771</v>
      </c>
      <c r="B115" s="3" t="s">
        <v>8</v>
      </c>
      <c r="C115" s="3" t="s">
        <v>1259</v>
      </c>
      <c r="D115" s="4">
        <v>0.4</v>
      </c>
      <c r="E115" s="42">
        <v>1.75</v>
      </c>
      <c r="F115" s="45">
        <v>434</v>
      </c>
      <c r="G115" s="44">
        <v>2.2000000000000002</v>
      </c>
      <c r="H115" s="21">
        <f t="shared" si="2"/>
        <v>668.36000000000024</v>
      </c>
      <c r="I115" s="6" t="s">
        <v>150</v>
      </c>
      <c r="J115" s="17"/>
    </row>
    <row r="116" spans="1:10" ht="13.95" customHeight="1" x14ac:dyDescent="0.3">
      <c r="A116" s="3">
        <v>45772</v>
      </c>
      <c r="B116" s="3" t="s">
        <v>11</v>
      </c>
      <c r="C116" s="3" t="s">
        <v>14</v>
      </c>
      <c r="D116" s="4">
        <v>0.5</v>
      </c>
      <c r="E116" s="42">
        <v>1.9</v>
      </c>
      <c r="F116" s="45">
        <v>434</v>
      </c>
      <c r="G116" s="44">
        <v>2.2000000000000002</v>
      </c>
      <c r="H116" s="21">
        <f t="shared" si="2"/>
        <v>907.06</v>
      </c>
      <c r="I116" s="6" t="s">
        <v>124</v>
      </c>
      <c r="J116" s="17"/>
    </row>
    <row r="117" spans="1:10" ht="13.95" customHeight="1" x14ac:dyDescent="0.3">
      <c r="A117" s="3">
        <v>45773</v>
      </c>
      <c r="B117" s="3" t="s">
        <v>13</v>
      </c>
      <c r="C117" s="3" t="s">
        <v>14</v>
      </c>
      <c r="D117" s="4">
        <v>0.6</v>
      </c>
      <c r="E117" s="42">
        <v>2.1</v>
      </c>
      <c r="F117" s="45">
        <v>434</v>
      </c>
      <c r="G117" s="44">
        <v>2.2000000000000002</v>
      </c>
      <c r="H117" s="21">
        <f t="shared" si="2"/>
        <v>1203.0480000000002</v>
      </c>
      <c r="I117" s="6" t="s">
        <v>746</v>
      </c>
      <c r="J117" s="17"/>
    </row>
    <row r="118" spans="1:10" ht="13.95" customHeight="1" x14ac:dyDescent="0.3">
      <c r="A118" s="3">
        <v>45774</v>
      </c>
      <c r="B118" s="3" t="s">
        <v>16</v>
      </c>
      <c r="C118" s="3" t="s">
        <v>14</v>
      </c>
      <c r="D118" s="4">
        <v>0.55000000000000004</v>
      </c>
      <c r="E118" s="42">
        <v>1.95</v>
      </c>
      <c r="F118" s="45">
        <v>434</v>
      </c>
      <c r="G118" s="44">
        <v>2.2000000000000002</v>
      </c>
      <c r="H118" s="21">
        <f t="shared" si="2"/>
        <v>1024.0230000000001</v>
      </c>
      <c r="I118" s="6" t="s">
        <v>149</v>
      </c>
      <c r="J118" s="17"/>
    </row>
    <row r="119" spans="1:10" ht="13.95" customHeight="1" x14ac:dyDescent="0.3">
      <c r="A119" s="3">
        <v>45775</v>
      </c>
      <c r="B119" s="3" t="s">
        <v>18</v>
      </c>
      <c r="C119" s="3" t="s">
        <v>1259</v>
      </c>
      <c r="D119" s="4">
        <v>0.35</v>
      </c>
      <c r="E119" s="42">
        <v>1.7</v>
      </c>
      <c r="F119" s="45">
        <v>434</v>
      </c>
      <c r="G119" s="44">
        <v>2.2000000000000002</v>
      </c>
      <c r="H119" s="21">
        <f t="shared" si="2"/>
        <v>568.10599999999999</v>
      </c>
      <c r="I119" s="6" t="s">
        <v>275</v>
      </c>
      <c r="J119" s="17"/>
    </row>
    <row r="120" spans="1:10" ht="13.95" customHeight="1" x14ac:dyDescent="0.3">
      <c r="A120" s="3">
        <v>45776</v>
      </c>
      <c r="B120" s="3" t="s">
        <v>20</v>
      </c>
      <c r="C120" s="3" t="s">
        <v>1259</v>
      </c>
      <c r="D120" s="4">
        <v>0.38</v>
      </c>
      <c r="E120" s="42">
        <v>1.75</v>
      </c>
      <c r="F120" s="45">
        <v>434</v>
      </c>
      <c r="G120" s="44">
        <v>2.2000000000000002</v>
      </c>
      <c r="H120" s="21">
        <f t="shared" si="2"/>
        <v>634.94200000000012</v>
      </c>
      <c r="I120" s="6" t="s">
        <v>71</v>
      </c>
      <c r="J120" s="17"/>
    </row>
    <row r="121" spans="1:10" ht="13.95" customHeight="1" x14ac:dyDescent="0.3">
      <c r="A121" s="3">
        <v>45777</v>
      </c>
      <c r="B121" s="3" t="s">
        <v>5</v>
      </c>
      <c r="C121" s="3" t="s">
        <v>994</v>
      </c>
      <c r="D121" s="4">
        <v>0.6</v>
      </c>
      <c r="E121" s="42">
        <v>2</v>
      </c>
      <c r="F121" s="45">
        <v>434</v>
      </c>
      <c r="G121" s="44">
        <v>2.2000000000000002</v>
      </c>
      <c r="H121" s="21">
        <f t="shared" si="2"/>
        <v>1145.76</v>
      </c>
      <c r="I121" s="6" t="s">
        <v>1438</v>
      </c>
      <c r="J121" s="17"/>
    </row>
    <row r="122" spans="1:10" ht="13.95" customHeight="1" x14ac:dyDescent="0.3">
      <c r="A122" s="3">
        <v>45809</v>
      </c>
      <c r="B122" s="3" t="s">
        <v>16</v>
      </c>
      <c r="C122" s="3" t="s">
        <v>14</v>
      </c>
      <c r="D122" s="4">
        <v>0.85</v>
      </c>
      <c r="E122" s="42">
        <v>2.2000000000000002</v>
      </c>
      <c r="F122" s="45">
        <v>434</v>
      </c>
      <c r="G122" s="44">
        <v>2.2000000000000002</v>
      </c>
      <c r="H122" s="21">
        <f t="shared" si="2"/>
        <v>1785.4760000000003</v>
      </c>
      <c r="I122" s="6" t="s">
        <v>153</v>
      </c>
      <c r="J122" s="17"/>
    </row>
    <row r="123" spans="1:10" ht="13.95" customHeight="1" x14ac:dyDescent="0.3">
      <c r="A123" s="3">
        <v>45810</v>
      </c>
      <c r="B123" s="3" t="s">
        <v>18</v>
      </c>
      <c r="C123" s="3" t="s">
        <v>1340</v>
      </c>
      <c r="D123" s="4">
        <v>0.75</v>
      </c>
      <c r="E123" s="42">
        <v>1.95</v>
      </c>
      <c r="F123" s="45">
        <v>434</v>
      </c>
      <c r="G123" s="44">
        <v>2.2000000000000002</v>
      </c>
      <c r="H123" s="21">
        <f t="shared" si="2"/>
        <v>1396.3950000000002</v>
      </c>
      <c r="I123" s="6" t="s">
        <v>1439</v>
      </c>
      <c r="J123" s="17"/>
    </row>
    <row r="124" spans="1:10" ht="13.95" customHeight="1" x14ac:dyDescent="0.3">
      <c r="A124" s="3">
        <v>45811</v>
      </c>
      <c r="B124" s="3" t="s">
        <v>20</v>
      </c>
      <c r="C124" s="3" t="s">
        <v>1340</v>
      </c>
      <c r="D124" s="4">
        <v>0.78</v>
      </c>
      <c r="E124" s="42">
        <v>1.95</v>
      </c>
      <c r="F124" s="45">
        <v>434</v>
      </c>
      <c r="G124" s="44">
        <v>2.2000000000000002</v>
      </c>
      <c r="H124" s="21">
        <f t="shared" si="2"/>
        <v>1452.2508000000003</v>
      </c>
      <c r="I124" s="6" t="s">
        <v>1331</v>
      </c>
      <c r="J124" s="17"/>
    </row>
    <row r="125" spans="1:10" ht="13.95" customHeight="1" x14ac:dyDescent="0.3">
      <c r="A125" s="3">
        <v>45812</v>
      </c>
      <c r="B125" s="3" t="s">
        <v>5</v>
      </c>
      <c r="C125" s="3" t="s">
        <v>1340</v>
      </c>
      <c r="D125" s="4">
        <v>0.75</v>
      </c>
      <c r="E125" s="42">
        <v>1.9</v>
      </c>
      <c r="F125" s="45">
        <v>434</v>
      </c>
      <c r="G125" s="44">
        <v>2.2000000000000002</v>
      </c>
      <c r="H125" s="21">
        <f t="shared" si="2"/>
        <v>1360.59</v>
      </c>
      <c r="I125" s="6" t="s">
        <v>71</v>
      </c>
      <c r="J125" s="17"/>
    </row>
    <row r="126" spans="1:10" ht="13.95" customHeight="1" x14ac:dyDescent="0.3">
      <c r="A126" s="3">
        <v>45813</v>
      </c>
      <c r="B126" s="3" t="s">
        <v>8</v>
      </c>
      <c r="C126" s="3" t="s">
        <v>1072</v>
      </c>
      <c r="D126" s="4">
        <v>0.85</v>
      </c>
      <c r="E126" s="42">
        <v>2.1</v>
      </c>
      <c r="F126" s="45">
        <v>434</v>
      </c>
      <c r="G126" s="44">
        <v>2.2000000000000002</v>
      </c>
      <c r="H126" s="21">
        <f t="shared" si="2"/>
        <v>1704.318</v>
      </c>
      <c r="I126" s="6" t="s">
        <v>1440</v>
      </c>
      <c r="J126" s="17"/>
    </row>
    <row r="127" spans="1:10" ht="13.95" customHeight="1" x14ac:dyDescent="0.3">
      <c r="A127" s="3">
        <v>45814</v>
      </c>
      <c r="B127" s="3" t="s">
        <v>11</v>
      </c>
      <c r="C127" s="3" t="s">
        <v>1142</v>
      </c>
      <c r="D127" s="4">
        <v>0.98</v>
      </c>
      <c r="E127" s="42">
        <v>2.7</v>
      </c>
      <c r="F127" s="45">
        <v>434</v>
      </c>
      <c r="G127" s="44">
        <v>2.2000000000000002</v>
      </c>
      <c r="H127" s="21">
        <f t="shared" si="2"/>
        <v>2526.4008000000003</v>
      </c>
      <c r="I127" s="6" t="s">
        <v>1441</v>
      </c>
      <c r="J127" s="17"/>
    </row>
    <row r="128" spans="1:10" ht="13.95" customHeight="1" x14ac:dyDescent="0.3">
      <c r="A128" s="3">
        <v>45815</v>
      </c>
      <c r="B128" s="3" t="s">
        <v>13</v>
      </c>
      <c r="C128" s="3" t="s">
        <v>1142</v>
      </c>
      <c r="D128" s="4">
        <v>1</v>
      </c>
      <c r="E128" s="42">
        <v>2.8</v>
      </c>
      <c r="F128" s="45">
        <v>434</v>
      </c>
      <c r="G128" s="44">
        <v>2.2000000000000002</v>
      </c>
      <c r="H128" s="21">
        <f t="shared" si="2"/>
        <v>2673.4399999999996</v>
      </c>
      <c r="I128" s="6" t="s">
        <v>1343</v>
      </c>
      <c r="J128" s="17"/>
    </row>
    <row r="129" spans="1:10" ht="13.95" customHeight="1" x14ac:dyDescent="0.3">
      <c r="A129" s="3">
        <v>45816</v>
      </c>
      <c r="B129" s="3" t="s">
        <v>16</v>
      </c>
      <c r="C129" s="3" t="s">
        <v>1344</v>
      </c>
      <c r="D129" s="4">
        <v>0.95</v>
      </c>
      <c r="E129" s="42">
        <v>2.4</v>
      </c>
      <c r="F129" s="45">
        <v>434</v>
      </c>
      <c r="G129" s="44">
        <v>2.2000000000000002</v>
      </c>
      <c r="H129" s="21">
        <f t="shared" si="2"/>
        <v>2176.944</v>
      </c>
      <c r="I129" s="6" t="s">
        <v>1345</v>
      </c>
      <c r="J129" s="17"/>
    </row>
    <row r="130" spans="1:10" ht="13.95" customHeight="1" x14ac:dyDescent="0.3">
      <c r="A130" s="3">
        <v>45817</v>
      </c>
      <c r="B130" s="3" t="s">
        <v>18</v>
      </c>
      <c r="C130" s="3" t="s">
        <v>1340</v>
      </c>
      <c r="D130" s="4">
        <v>0.8</v>
      </c>
      <c r="E130" s="42">
        <v>1.95</v>
      </c>
      <c r="F130" s="45">
        <v>434</v>
      </c>
      <c r="G130" s="44">
        <v>2.2000000000000002</v>
      </c>
      <c r="H130" s="21">
        <f t="shared" ref="H130:H193" si="3">(F130*D130)*E130*G130</f>
        <v>1489.4880000000003</v>
      </c>
      <c r="I130" s="6" t="s">
        <v>609</v>
      </c>
      <c r="J130" s="17"/>
    </row>
    <row r="131" spans="1:10" ht="13.95" customHeight="1" x14ac:dyDescent="0.3">
      <c r="A131" s="3">
        <v>45818</v>
      </c>
      <c r="B131" s="3" t="s">
        <v>20</v>
      </c>
      <c r="C131" s="3" t="s">
        <v>1340</v>
      </c>
      <c r="D131" s="4">
        <v>0.82</v>
      </c>
      <c r="E131" s="42">
        <v>1.95</v>
      </c>
      <c r="F131" s="45">
        <v>434</v>
      </c>
      <c r="G131" s="44">
        <v>2.2000000000000002</v>
      </c>
      <c r="H131" s="21">
        <f t="shared" si="3"/>
        <v>1526.7252000000001</v>
      </c>
      <c r="I131" s="6" t="s">
        <v>1016</v>
      </c>
      <c r="J131" s="17"/>
    </row>
    <row r="132" spans="1:10" ht="13.95" customHeight="1" x14ac:dyDescent="0.3">
      <c r="A132" s="3">
        <v>45819</v>
      </c>
      <c r="B132" s="3" t="s">
        <v>5</v>
      </c>
      <c r="C132" s="3" t="s">
        <v>1340</v>
      </c>
      <c r="D132" s="4">
        <v>0.8</v>
      </c>
      <c r="E132" s="42">
        <v>1.9</v>
      </c>
      <c r="F132" s="45">
        <v>434</v>
      </c>
      <c r="G132" s="44">
        <v>2.2000000000000002</v>
      </c>
      <c r="H132" s="21">
        <f t="shared" si="3"/>
        <v>1451.2960000000003</v>
      </c>
      <c r="I132" s="6" t="s">
        <v>71</v>
      </c>
      <c r="J132" s="17"/>
    </row>
    <row r="133" spans="1:10" ht="13.95" customHeight="1" x14ac:dyDescent="0.3">
      <c r="A133" s="3">
        <v>45820</v>
      </c>
      <c r="B133" s="3" t="s">
        <v>8</v>
      </c>
      <c r="C133" s="3" t="s">
        <v>1340</v>
      </c>
      <c r="D133" s="4">
        <v>0.85</v>
      </c>
      <c r="E133" s="42">
        <v>2.0499999999999998</v>
      </c>
      <c r="F133" s="45">
        <v>434</v>
      </c>
      <c r="G133" s="44">
        <v>2.2000000000000002</v>
      </c>
      <c r="H133" s="21">
        <f t="shared" si="3"/>
        <v>1663.7389999999998</v>
      </c>
      <c r="I133" s="6" t="s">
        <v>754</v>
      </c>
      <c r="J133" s="17"/>
    </row>
    <row r="134" spans="1:10" ht="13.95" customHeight="1" x14ac:dyDescent="0.3">
      <c r="A134" s="3">
        <v>45821</v>
      </c>
      <c r="B134" s="3" t="s">
        <v>11</v>
      </c>
      <c r="C134" s="3" t="s">
        <v>14</v>
      </c>
      <c r="D134" s="4">
        <v>0.9</v>
      </c>
      <c r="E134" s="42">
        <v>2.25</v>
      </c>
      <c r="F134" s="45">
        <v>434</v>
      </c>
      <c r="G134" s="44">
        <v>2.2000000000000002</v>
      </c>
      <c r="H134" s="21">
        <f t="shared" si="3"/>
        <v>1933.4700000000003</v>
      </c>
      <c r="I134" s="6" t="s">
        <v>1442</v>
      </c>
      <c r="J134" s="17"/>
    </row>
    <row r="135" spans="1:10" ht="13.95" customHeight="1" x14ac:dyDescent="0.3">
      <c r="A135" s="3">
        <v>45822</v>
      </c>
      <c r="B135" s="3" t="s">
        <v>13</v>
      </c>
      <c r="C135" s="3" t="s">
        <v>14</v>
      </c>
      <c r="D135" s="4">
        <v>0.95</v>
      </c>
      <c r="E135" s="42">
        <v>2.5499999999999998</v>
      </c>
      <c r="F135" s="45">
        <v>434</v>
      </c>
      <c r="G135" s="44">
        <v>2.2000000000000002</v>
      </c>
      <c r="H135" s="21">
        <f t="shared" si="3"/>
        <v>2313.0029999999997</v>
      </c>
      <c r="I135" s="6" t="s">
        <v>1443</v>
      </c>
      <c r="J135" s="17"/>
    </row>
    <row r="136" spans="1:10" ht="13.95" customHeight="1" x14ac:dyDescent="0.3">
      <c r="A136" s="3">
        <v>45823</v>
      </c>
      <c r="B136" s="3" t="s">
        <v>16</v>
      </c>
      <c r="C136" s="3" t="s">
        <v>14</v>
      </c>
      <c r="D136" s="4">
        <v>0.92</v>
      </c>
      <c r="E136" s="42">
        <v>2.35</v>
      </c>
      <c r="F136" s="45">
        <v>434</v>
      </c>
      <c r="G136" s="44">
        <v>2.2000000000000002</v>
      </c>
      <c r="H136" s="21">
        <f t="shared" si="3"/>
        <v>2064.2776000000003</v>
      </c>
      <c r="I136" s="6" t="s">
        <v>149</v>
      </c>
      <c r="J136" s="17"/>
    </row>
    <row r="137" spans="1:10" ht="13.95" customHeight="1" x14ac:dyDescent="0.3">
      <c r="A137" s="3">
        <v>45824</v>
      </c>
      <c r="B137" s="3" t="s">
        <v>18</v>
      </c>
      <c r="C137" s="3" t="s">
        <v>1340</v>
      </c>
      <c r="D137" s="4">
        <v>0.85</v>
      </c>
      <c r="E137" s="42">
        <v>2</v>
      </c>
      <c r="F137" s="45">
        <v>434</v>
      </c>
      <c r="G137" s="44">
        <v>2.2000000000000002</v>
      </c>
      <c r="H137" s="21">
        <f t="shared" si="3"/>
        <v>1623.16</v>
      </c>
      <c r="I137" s="6" t="s">
        <v>476</v>
      </c>
      <c r="J137" s="17"/>
    </row>
    <row r="138" spans="1:10" ht="13.95" customHeight="1" x14ac:dyDescent="0.3">
      <c r="A138" s="3">
        <v>45825</v>
      </c>
      <c r="B138" s="3" t="s">
        <v>20</v>
      </c>
      <c r="C138" s="3" t="s">
        <v>1340</v>
      </c>
      <c r="D138" s="4">
        <v>0.88</v>
      </c>
      <c r="E138" s="42">
        <v>2.0499999999999998</v>
      </c>
      <c r="F138" s="45">
        <v>434</v>
      </c>
      <c r="G138" s="44">
        <v>2.2000000000000002</v>
      </c>
      <c r="H138" s="21">
        <f t="shared" si="3"/>
        <v>1722.4592</v>
      </c>
      <c r="I138" s="6" t="s">
        <v>476</v>
      </c>
      <c r="J138" s="17"/>
    </row>
    <row r="139" spans="1:10" ht="13.95" customHeight="1" x14ac:dyDescent="0.3">
      <c r="A139" s="3">
        <v>45826</v>
      </c>
      <c r="B139" s="3" t="s">
        <v>5</v>
      </c>
      <c r="C139" s="3" t="s">
        <v>1340</v>
      </c>
      <c r="D139" s="4">
        <v>0.85</v>
      </c>
      <c r="E139" s="42">
        <v>2</v>
      </c>
      <c r="F139" s="45">
        <v>434</v>
      </c>
      <c r="G139" s="44">
        <v>2.2000000000000002</v>
      </c>
      <c r="H139" s="21">
        <f t="shared" si="3"/>
        <v>1623.16</v>
      </c>
      <c r="I139" s="6" t="s">
        <v>476</v>
      </c>
      <c r="J139" s="17"/>
    </row>
    <row r="140" spans="1:10" ht="13.95" customHeight="1" x14ac:dyDescent="0.3">
      <c r="A140" s="3">
        <v>45827</v>
      </c>
      <c r="B140" s="3" t="s">
        <v>8</v>
      </c>
      <c r="C140" s="3" t="s">
        <v>1340</v>
      </c>
      <c r="D140" s="4">
        <v>0.88</v>
      </c>
      <c r="E140" s="42">
        <v>2.0499999999999998</v>
      </c>
      <c r="F140" s="45">
        <v>434</v>
      </c>
      <c r="G140" s="44">
        <v>2.2000000000000002</v>
      </c>
      <c r="H140" s="21">
        <f t="shared" si="3"/>
        <v>1722.4592</v>
      </c>
      <c r="I140" s="6" t="s">
        <v>476</v>
      </c>
      <c r="J140" s="17"/>
    </row>
    <row r="141" spans="1:10" ht="13.95" customHeight="1" x14ac:dyDescent="0.3">
      <c r="A141" s="3">
        <v>45828</v>
      </c>
      <c r="B141" s="3" t="s">
        <v>11</v>
      </c>
      <c r="C141" s="3" t="s">
        <v>14</v>
      </c>
      <c r="D141" s="4">
        <v>0.92</v>
      </c>
      <c r="E141" s="42">
        <v>2.35</v>
      </c>
      <c r="F141" s="45">
        <v>434</v>
      </c>
      <c r="G141" s="44">
        <v>2.2000000000000002</v>
      </c>
      <c r="H141" s="21">
        <f t="shared" si="3"/>
        <v>2064.2776000000003</v>
      </c>
      <c r="I141" s="6" t="s">
        <v>97</v>
      </c>
      <c r="J141" s="17"/>
    </row>
    <row r="142" spans="1:10" ht="13.95" customHeight="1" x14ac:dyDescent="0.3">
      <c r="A142" s="3">
        <v>45829</v>
      </c>
      <c r="B142" s="3" t="s">
        <v>13</v>
      </c>
      <c r="C142" s="3" t="s">
        <v>14</v>
      </c>
      <c r="D142" s="4">
        <v>0.98</v>
      </c>
      <c r="E142" s="42">
        <v>2.65</v>
      </c>
      <c r="F142" s="45">
        <v>434</v>
      </c>
      <c r="G142" s="44">
        <v>2.2000000000000002</v>
      </c>
      <c r="H142" s="21">
        <f t="shared" si="3"/>
        <v>2479.6156000000001</v>
      </c>
      <c r="I142" s="6" t="s">
        <v>1335</v>
      </c>
      <c r="J142" s="17"/>
    </row>
    <row r="143" spans="1:10" ht="13.95" customHeight="1" x14ac:dyDescent="0.3">
      <c r="A143" s="3">
        <v>45830</v>
      </c>
      <c r="B143" s="3" t="s">
        <v>16</v>
      </c>
      <c r="C143" s="3" t="s">
        <v>14</v>
      </c>
      <c r="D143" s="4">
        <v>0.95</v>
      </c>
      <c r="E143" s="42">
        <v>2.4500000000000002</v>
      </c>
      <c r="F143" s="45">
        <v>434</v>
      </c>
      <c r="G143" s="44">
        <v>2.2000000000000002</v>
      </c>
      <c r="H143" s="21">
        <f t="shared" si="3"/>
        <v>2222.297</v>
      </c>
      <c r="I143" s="6" t="s">
        <v>1336</v>
      </c>
      <c r="J143" s="17"/>
    </row>
    <row r="144" spans="1:10" ht="13.95" customHeight="1" x14ac:dyDescent="0.3">
      <c r="A144" s="3">
        <v>45831</v>
      </c>
      <c r="B144" s="3" t="s">
        <v>18</v>
      </c>
      <c r="C144" s="3" t="s">
        <v>1347</v>
      </c>
      <c r="D144" s="4">
        <v>0.92</v>
      </c>
      <c r="E144" s="42">
        <v>2.15</v>
      </c>
      <c r="F144" s="45">
        <v>434</v>
      </c>
      <c r="G144" s="44">
        <v>2.2000000000000002</v>
      </c>
      <c r="H144" s="21">
        <f t="shared" si="3"/>
        <v>1888.5944000000002</v>
      </c>
      <c r="I144" s="6" t="s">
        <v>1348</v>
      </c>
      <c r="J144" s="17"/>
    </row>
    <row r="145" spans="1:10" ht="13.95" customHeight="1" x14ac:dyDescent="0.3">
      <c r="A145" s="3">
        <v>45832</v>
      </c>
      <c r="B145" s="3" t="s">
        <v>20</v>
      </c>
      <c r="C145" s="3" t="s">
        <v>1347</v>
      </c>
      <c r="D145" s="4">
        <v>0.95</v>
      </c>
      <c r="E145" s="42">
        <v>2.15</v>
      </c>
      <c r="F145" s="45">
        <v>434</v>
      </c>
      <c r="G145" s="44">
        <v>2.2000000000000002</v>
      </c>
      <c r="H145" s="21">
        <f t="shared" si="3"/>
        <v>1950.1789999999999</v>
      </c>
      <c r="I145" s="6" t="s">
        <v>1348</v>
      </c>
      <c r="J145" s="17"/>
    </row>
    <row r="146" spans="1:10" ht="13.95" customHeight="1" x14ac:dyDescent="0.3">
      <c r="A146" s="3">
        <v>45833</v>
      </c>
      <c r="B146" s="3" t="s">
        <v>5</v>
      </c>
      <c r="C146" s="3" t="s">
        <v>1347</v>
      </c>
      <c r="D146" s="4">
        <v>0.92</v>
      </c>
      <c r="E146" s="42">
        <v>2.1</v>
      </c>
      <c r="F146" s="45">
        <v>434</v>
      </c>
      <c r="G146" s="44">
        <v>2.2000000000000002</v>
      </c>
      <c r="H146" s="21">
        <f t="shared" si="3"/>
        <v>1844.6736000000003</v>
      </c>
      <c r="I146" s="6" t="s">
        <v>71</v>
      </c>
      <c r="J146" s="17"/>
    </row>
    <row r="147" spans="1:10" ht="13.95" customHeight="1" x14ac:dyDescent="0.3">
      <c r="A147" s="3">
        <v>45834</v>
      </c>
      <c r="B147" s="3" t="s">
        <v>8</v>
      </c>
      <c r="C147" s="3" t="s">
        <v>1347</v>
      </c>
      <c r="D147" s="4">
        <v>0.95</v>
      </c>
      <c r="E147" s="42">
        <v>2.15</v>
      </c>
      <c r="F147" s="45">
        <v>434</v>
      </c>
      <c r="G147" s="44">
        <v>2.2000000000000002</v>
      </c>
      <c r="H147" s="21">
        <f t="shared" si="3"/>
        <v>1950.1789999999999</v>
      </c>
      <c r="I147" s="6" t="s">
        <v>71</v>
      </c>
      <c r="J147" s="17"/>
    </row>
    <row r="148" spans="1:10" ht="13.95" customHeight="1" x14ac:dyDescent="0.3">
      <c r="A148" s="3">
        <v>45835</v>
      </c>
      <c r="B148" s="3" t="s">
        <v>11</v>
      </c>
      <c r="C148" s="3" t="s">
        <v>44</v>
      </c>
      <c r="D148" s="4">
        <v>0.98</v>
      </c>
      <c r="E148" s="42">
        <v>2.4500000000000002</v>
      </c>
      <c r="F148" s="45">
        <v>434</v>
      </c>
      <c r="G148" s="44">
        <v>2.2000000000000002</v>
      </c>
      <c r="H148" s="21">
        <f t="shared" si="3"/>
        <v>2292.4748000000004</v>
      </c>
      <c r="I148" s="6" t="s">
        <v>197</v>
      </c>
      <c r="J148" s="17"/>
    </row>
    <row r="149" spans="1:10" ht="13.95" customHeight="1" x14ac:dyDescent="0.3">
      <c r="A149" s="3">
        <v>45836</v>
      </c>
      <c r="B149" s="3" t="s">
        <v>13</v>
      </c>
      <c r="C149" s="3" t="s">
        <v>995</v>
      </c>
      <c r="D149" s="4">
        <v>1</v>
      </c>
      <c r="E149" s="42">
        <v>2.75</v>
      </c>
      <c r="F149" s="45">
        <v>434</v>
      </c>
      <c r="G149" s="44">
        <v>2.2000000000000002</v>
      </c>
      <c r="H149" s="21">
        <f t="shared" si="3"/>
        <v>2625.7000000000003</v>
      </c>
      <c r="I149" s="6" t="s">
        <v>1444</v>
      </c>
      <c r="J149" s="17"/>
    </row>
    <row r="150" spans="1:10" ht="13.95" customHeight="1" x14ac:dyDescent="0.3">
      <c r="A150" s="3">
        <v>45837</v>
      </c>
      <c r="B150" s="3" t="s">
        <v>16</v>
      </c>
      <c r="C150" s="3" t="s">
        <v>14</v>
      </c>
      <c r="D150" s="4">
        <v>1</v>
      </c>
      <c r="E150" s="42">
        <v>2.5499999999999998</v>
      </c>
      <c r="F150" s="45">
        <v>434</v>
      </c>
      <c r="G150" s="44">
        <v>2.2000000000000002</v>
      </c>
      <c r="H150" s="21">
        <f t="shared" si="3"/>
        <v>2434.7399999999998</v>
      </c>
      <c r="I150" s="6" t="s">
        <v>149</v>
      </c>
      <c r="J150" s="17"/>
    </row>
    <row r="151" spans="1:10" ht="13.95" customHeight="1" x14ac:dyDescent="0.3">
      <c r="A151" s="3">
        <v>45838</v>
      </c>
      <c r="B151" s="3" t="s">
        <v>18</v>
      </c>
      <c r="C151" s="3" t="s">
        <v>1347</v>
      </c>
      <c r="D151" s="4">
        <v>0.98</v>
      </c>
      <c r="E151" s="42">
        <v>2.2000000000000002</v>
      </c>
      <c r="F151" s="45">
        <v>434</v>
      </c>
      <c r="G151" s="44">
        <v>2.2000000000000002</v>
      </c>
      <c r="H151" s="21">
        <f t="shared" si="3"/>
        <v>2058.5488000000005</v>
      </c>
      <c r="I151" s="6" t="s">
        <v>1149</v>
      </c>
      <c r="J151" s="17"/>
    </row>
    <row r="152" spans="1:10" ht="13.95" customHeight="1" x14ac:dyDescent="0.3">
      <c r="A152" s="3">
        <v>45839</v>
      </c>
      <c r="B152" s="3" t="s">
        <v>20</v>
      </c>
      <c r="C152" s="3" t="s">
        <v>1347</v>
      </c>
      <c r="D152" s="4">
        <v>0.98</v>
      </c>
      <c r="E152" s="42">
        <v>2.2000000000000002</v>
      </c>
      <c r="F152" s="45">
        <v>434</v>
      </c>
      <c r="G152" s="44">
        <v>2.2000000000000002</v>
      </c>
      <c r="H152" s="21">
        <f t="shared" si="3"/>
        <v>2058.5488000000005</v>
      </c>
      <c r="I152" s="6" t="s">
        <v>1350</v>
      </c>
      <c r="J152" s="17"/>
    </row>
    <row r="153" spans="1:10" ht="13.95" customHeight="1" x14ac:dyDescent="0.3">
      <c r="A153" s="3">
        <v>45840</v>
      </c>
      <c r="B153" s="3" t="s">
        <v>5</v>
      </c>
      <c r="C153" s="3" t="s">
        <v>1347</v>
      </c>
      <c r="D153" s="4">
        <v>0.98</v>
      </c>
      <c r="E153" s="42">
        <v>2.15</v>
      </c>
      <c r="F153" s="45">
        <v>434</v>
      </c>
      <c r="G153" s="44">
        <v>2.2000000000000002</v>
      </c>
      <c r="H153" s="21">
        <f t="shared" si="3"/>
        <v>2011.7636000000002</v>
      </c>
      <c r="I153" s="6" t="s">
        <v>1350</v>
      </c>
      <c r="J153" s="17"/>
    </row>
    <row r="154" spans="1:10" ht="13.95" customHeight="1" x14ac:dyDescent="0.3">
      <c r="A154" s="3">
        <v>45841</v>
      </c>
      <c r="B154" s="3" t="s">
        <v>8</v>
      </c>
      <c r="C154" s="3" t="s">
        <v>1347</v>
      </c>
      <c r="D154" s="4">
        <v>1</v>
      </c>
      <c r="E154" s="42">
        <v>2.2000000000000002</v>
      </c>
      <c r="F154" s="45">
        <v>434</v>
      </c>
      <c r="G154" s="44">
        <v>2.2000000000000002</v>
      </c>
      <c r="H154" s="21">
        <f t="shared" si="3"/>
        <v>2100.5600000000004</v>
      </c>
      <c r="I154" s="6" t="s">
        <v>531</v>
      </c>
      <c r="J154" s="17"/>
    </row>
    <row r="155" spans="1:10" ht="13.95" customHeight="1" x14ac:dyDescent="0.3">
      <c r="A155" s="3">
        <v>45842</v>
      </c>
      <c r="B155" s="3" t="s">
        <v>11</v>
      </c>
      <c r="C155" s="3" t="s">
        <v>829</v>
      </c>
      <c r="D155" s="4">
        <v>1</v>
      </c>
      <c r="E155" s="42">
        <v>2.4500000000000002</v>
      </c>
      <c r="F155" s="45">
        <v>434</v>
      </c>
      <c r="G155" s="44">
        <v>2.2000000000000002</v>
      </c>
      <c r="H155" s="21">
        <f t="shared" si="3"/>
        <v>2339.2600000000007</v>
      </c>
      <c r="I155" s="6" t="s">
        <v>1445</v>
      </c>
      <c r="J155" s="17"/>
    </row>
    <row r="156" spans="1:10" ht="13.95" customHeight="1" x14ac:dyDescent="0.3">
      <c r="A156" s="3">
        <v>45843</v>
      </c>
      <c r="B156" s="3" t="s">
        <v>13</v>
      </c>
      <c r="C156" s="3" t="s">
        <v>829</v>
      </c>
      <c r="D156" s="4">
        <v>1</v>
      </c>
      <c r="E156" s="42">
        <v>2.75</v>
      </c>
      <c r="F156" s="45">
        <v>434</v>
      </c>
      <c r="G156" s="44">
        <v>2.2000000000000002</v>
      </c>
      <c r="H156" s="21">
        <f t="shared" si="3"/>
        <v>2625.7000000000003</v>
      </c>
      <c r="I156" s="6" t="s">
        <v>1446</v>
      </c>
      <c r="J156" s="17"/>
    </row>
    <row r="157" spans="1:10" ht="13.95" customHeight="1" x14ac:dyDescent="0.3">
      <c r="A157" s="3">
        <v>45844</v>
      </c>
      <c r="B157" s="3" t="s">
        <v>16</v>
      </c>
      <c r="C157" s="3" t="s">
        <v>829</v>
      </c>
      <c r="D157" s="4">
        <v>1</v>
      </c>
      <c r="E157" s="42">
        <v>2.5</v>
      </c>
      <c r="F157" s="45">
        <v>434</v>
      </c>
      <c r="G157" s="44">
        <v>2.2000000000000002</v>
      </c>
      <c r="H157" s="21">
        <f t="shared" si="3"/>
        <v>2387</v>
      </c>
      <c r="I157" s="6" t="s">
        <v>139</v>
      </c>
      <c r="J157" s="17"/>
    </row>
    <row r="158" spans="1:10" ht="13.95" customHeight="1" x14ac:dyDescent="0.3">
      <c r="A158" s="3">
        <v>45845</v>
      </c>
      <c r="B158" s="3" t="s">
        <v>18</v>
      </c>
      <c r="C158" s="3" t="s">
        <v>1347</v>
      </c>
      <c r="D158" s="4">
        <v>1</v>
      </c>
      <c r="E158" s="42">
        <v>2.2000000000000002</v>
      </c>
      <c r="F158" s="45">
        <v>434</v>
      </c>
      <c r="G158" s="44">
        <v>2.2000000000000002</v>
      </c>
      <c r="H158" s="21">
        <f t="shared" si="3"/>
        <v>2100.5600000000004</v>
      </c>
      <c r="I158" s="6" t="s">
        <v>1348</v>
      </c>
      <c r="J158" s="17"/>
    </row>
    <row r="159" spans="1:10" ht="13.95" customHeight="1" x14ac:dyDescent="0.3">
      <c r="A159" s="3">
        <v>45846</v>
      </c>
      <c r="B159" s="3" t="s">
        <v>20</v>
      </c>
      <c r="C159" s="3" t="s">
        <v>1347</v>
      </c>
      <c r="D159" s="4">
        <v>1</v>
      </c>
      <c r="E159" s="42">
        <v>2.2000000000000002</v>
      </c>
      <c r="F159" s="45">
        <v>434</v>
      </c>
      <c r="G159" s="44">
        <v>2.2000000000000002</v>
      </c>
      <c r="H159" s="21">
        <f t="shared" si="3"/>
        <v>2100.5600000000004</v>
      </c>
      <c r="I159" s="6" t="s">
        <v>1348</v>
      </c>
      <c r="J159" s="17"/>
    </row>
    <row r="160" spans="1:10" ht="13.95" customHeight="1" x14ac:dyDescent="0.3">
      <c r="A160" s="3">
        <v>45847</v>
      </c>
      <c r="B160" s="3" t="s">
        <v>5</v>
      </c>
      <c r="C160" s="3" t="s">
        <v>1347</v>
      </c>
      <c r="D160" s="4">
        <v>0.98</v>
      </c>
      <c r="E160" s="42">
        <v>2.15</v>
      </c>
      <c r="F160" s="45">
        <v>434</v>
      </c>
      <c r="G160" s="44">
        <v>2.2000000000000002</v>
      </c>
      <c r="H160" s="21">
        <f t="shared" si="3"/>
        <v>2011.7636000000002</v>
      </c>
      <c r="I160" s="6" t="s">
        <v>71</v>
      </c>
      <c r="J160" s="17"/>
    </row>
    <row r="161" spans="1:10" ht="13.95" customHeight="1" x14ac:dyDescent="0.3">
      <c r="A161" s="3">
        <v>45848</v>
      </c>
      <c r="B161" s="3" t="s">
        <v>8</v>
      </c>
      <c r="C161" s="3" t="s">
        <v>1347</v>
      </c>
      <c r="D161" s="4">
        <v>1</v>
      </c>
      <c r="E161" s="42">
        <v>2.25</v>
      </c>
      <c r="F161" s="45">
        <v>434</v>
      </c>
      <c r="G161" s="44">
        <v>2.2000000000000002</v>
      </c>
      <c r="H161" s="21">
        <f t="shared" si="3"/>
        <v>2148.3000000000002</v>
      </c>
      <c r="I161" s="6" t="s">
        <v>82</v>
      </c>
      <c r="J161" s="17"/>
    </row>
    <row r="162" spans="1:10" ht="13.95" customHeight="1" x14ac:dyDescent="0.3">
      <c r="A162" s="3">
        <v>45849</v>
      </c>
      <c r="B162" s="3" t="s">
        <v>11</v>
      </c>
      <c r="C162" s="3" t="s">
        <v>829</v>
      </c>
      <c r="D162" s="4">
        <v>1</v>
      </c>
      <c r="E162" s="42">
        <v>2.5</v>
      </c>
      <c r="F162" s="45">
        <v>434</v>
      </c>
      <c r="G162" s="44">
        <v>2.2000000000000002</v>
      </c>
      <c r="H162" s="21">
        <f t="shared" si="3"/>
        <v>2387</v>
      </c>
      <c r="I162" s="6" t="s">
        <v>97</v>
      </c>
      <c r="J162" s="17"/>
    </row>
    <row r="163" spans="1:10" ht="13.95" customHeight="1" x14ac:dyDescent="0.3">
      <c r="A163" s="3">
        <v>45850</v>
      </c>
      <c r="B163" s="3" t="s">
        <v>13</v>
      </c>
      <c r="C163" s="3" t="s">
        <v>829</v>
      </c>
      <c r="D163" s="4">
        <v>1</v>
      </c>
      <c r="E163" s="42">
        <v>2.8</v>
      </c>
      <c r="F163" s="45">
        <v>434</v>
      </c>
      <c r="G163" s="44">
        <v>2.2000000000000002</v>
      </c>
      <c r="H163" s="21">
        <f t="shared" si="3"/>
        <v>2673.4399999999996</v>
      </c>
      <c r="I163" s="6" t="s">
        <v>1323</v>
      </c>
      <c r="J163" s="17"/>
    </row>
    <row r="164" spans="1:10" ht="13.95" customHeight="1" x14ac:dyDescent="0.3">
      <c r="A164" s="3">
        <v>45851</v>
      </c>
      <c r="B164" s="3" t="s">
        <v>16</v>
      </c>
      <c r="C164" s="3" t="s">
        <v>829</v>
      </c>
      <c r="D164" s="4">
        <v>1</v>
      </c>
      <c r="E164" s="42">
        <v>2.5499999999999998</v>
      </c>
      <c r="F164" s="45">
        <v>434</v>
      </c>
      <c r="G164" s="44">
        <v>2.2000000000000002</v>
      </c>
      <c r="H164" s="21">
        <f t="shared" si="3"/>
        <v>2434.7399999999998</v>
      </c>
      <c r="I164" s="6" t="s">
        <v>149</v>
      </c>
      <c r="J164" s="17"/>
    </row>
    <row r="165" spans="1:10" ht="13.95" customHeight="1" x14ac:dyDescent="0.3">
      <c r="A165" s="3">
        <v>45852</v>
      </c>
      <c r="B165" s="3" t="s">
        <v>18</v>
      </c>
      <c r="C165" s="3" t="s">
        <v>1447</v>
      </c>
      <c r="D165" s="4">
        <v>1</v>
      </c>
      <c r="E165" s="42">
        <v>2.35</v>
      </c>
      <c r="F165" s="45">
        <v>434</v>
      </c>
      <c r="G165" s="44">
        <v>2.2000000000000002</v>
      </c>
      <c r="H165" s="21">
        <f t="shared" si="3"/>
        <v>2243.7800000000002</v>
      </c>
      <c r="I165" s="6" t="s">
        <v>1448</v>
      </c>
      <c r="J165" s="17"/>
    </row>
    <row r="166" spans="1:10" ht="13.95" customHeight="1" x14ac:dyDescent="0.3">
      <c r="A166" s="3">
        <v>45853</v>
      </c>
      <c r="B166" s="3" t="s">
        <v>20</v>
      </c>
      <c r="C166" s="3" t="s">
        <v>1347</v>
      </c>
      <c r="D166" s="4">
        <v>1</v>
      </c>
      <c r="E166" s="42">
        <v>2.2000000000000002</v>
      </c>
      <c r="F166" s="45">
        <v>434</v>
      </c>
      <c r="G166" s="44">
        <v>2.2000000000000002</v>
      </c>
      <c r="H166" s="21">
        <f t="shared" si="3"/>
        <v>2100.5600000000004</v>
      </c>
      <c r="I166" s="6" t="s">
        <v>1449</v>
      </c>
      <c r="J166" s="17"/>
    </row>
    <row r="167" spans="1:10" ht="13.95" customHeight="1" x14ac:dyDescent="0.3">
      <c r="A167" s="3">
        <v>45854</v>
      </c>
      <c r="B167" s="3" t="s">
        <v>5</v>
      </c>
      <c r="C167" s="3" t="s">
        <v>1347</v>
      </c>
      <c r="D167" s="4">
        <v>0.98</v>
      </c>
      <c r="E167" s="42">
        <v>2.15</v>
      </c>
      <c r="F167" s="45">
        <v>434</v>
      </c>
      <c r="G167" s="44">
        <v>2.2000000000000002</v>
      </c>
      <c r="H167" s="21">
        <f t="shared" si="3"/>
        <v>2011.7636000000002</v>
      </c>
      <c r="I167" s="6" t="s">
        <v>1449</v>
      </c>
      <c r="J167" s="17"/>
    </row>
    <row r="168" spans="1:10" ht="13.95" customHeight="1" x14ac:dyDescent="0.3">
      <c r="A168" s="3">
        <v>45855</v>
      </c>
      <c r="B168" s="3" t="s">
        <v>8</v>
      </c>
      <c r="C168" s="3" t="s">
        <v>1347</v>
      </c>
      <c r="D168" s="4">
        <v>1</v>
      </c>
      <c r="E168" s="42">
        <v>2.25</v>
      </c>
      <c r="F168" s="45">
        <v>434</v>
      </c>
      <c r="G168" s="44">
        <v>2.2000000000000002</v>
      </c>
      <c r="H168" s="21">
        <f t="shared" si="3"/>
        <v>2148.3000000000002</v>
      </c>
      <c r="I168" s="6" t="s">
        <v>1449</v>
      </c>
      <c r="J168" s="17"/>
    </row>
    <row r="169" spans="1:10" ht="13.95" customHeight="1" x14ac:dyDescent="0.3">
      <c r="A169" s="3">
        <v>45856</v>
      </c>
      <c r="B169" s="3" t="s">
        <v>11</v>
      </c>
      <c r="C169" s="3" t="s">
        <v>829</v>
      </c>
      <c r="D169" s="4">
        <v>1</v>
      </c>
      <c r="E169" s="42">
        <v>2.5499999999999998</v>
      </c>
      <c r="F169" s="45">
        <v>434</v>
      </c>
      <c r="G169" s="44">
        <v>2.2000000000000002</v>
      </c>
      <c r="H169" s="21">
        <f t="shared" si="3"/>
        <v>2434.7399999999998</v>
      </c>
      <c r="I169" s="6" t="s">
        <v>97</v>
      </c>
      <c r="J169" s="17"/>
    </row>
    <row r="170" spans="1:10" ht="13.95" customHeight="1" x14ac:dyDescent="0.3">
      <c r="A170" s="3">
        <v>45857</v>
      </c>
      <c r="B170" s="3" t="s">
        <v>13</v>
      </c>
      <c r="C170" s="3" t="s">
        <v>829</v>
      </c>
      <c r="D170" s="4">
        <v>1</v>
      </c>
      <c r="E170" s="42">
        <v>2.85</v>
      </c>
      <c r="F170" s="45">
        <v>434</v>
      </c>
      <c r="G170" s="44">
        <v>2.2000000000000002</v>
      </c>
      <c r="H170" s="21">
        <f t="shared" si="3"/>
        <v>2721.1800000000003</v>
      </c>
      <c r="I170" s="6" t="s">
        <v>1450</v>
      </c>
      <c r="J170" s="17"/>
    </row>
    <row r="171" spans="1:10" ht="13.95" customHeight="1" x14ac:dyDescent="0.3">
      <c r="A171" s="3">
        <v>45858</v>
      </c>
      <c r="B171" s="3" t="s">
        <v>16</v>
      </c>
      <c r="C171" s="3" t="s">
        <v>829</v>
      </c>
      <c r="D171" s="4">
        <v>1</v>
      </c>
      <c r="E171" s="42">
        <v>2.5499999999999998</v>
      </c>
      <c r="F171" s="45">
        <v>434</v>
      </c>
      <c r="G171" s="44">
        <v>2.2000000000000002</v>
      </c>
      <c r="H171" s="21">
        <f t="shared" si="3"/>
        <v>2434.7399999999998</v>
      </c>
      <c r="I171" s="6" t="s">
        <v>149</v>
      </c>
      <c r="J171" s="17"/>
    </row>
    <row r="172" spans="1:10" ht="13.95" customHeight="1" x14ac:dyDescent="0.3">
      <c r="A172" s="3">
        <v>45859</v>
      </c>
      <c r="B172" s="3" t="s">
        <v>18</v>
      </c>
      <c r="C172" s="3" t="s">
        <v>1347</v>
      </c>
      <c r="D172" s="4">
        <v>1</v>
      </c>
      <c r="E172" s="42">
        <v>2.2000000000000002</v>
      </c>
      <c r="F172" s="45">
        <v>434</v>
      </c>
      <c r="G172" s="44">
        <v>2.2000000000000002</v>
      </c>
      <c r="H172" s="21">
        <f t="shared" si="3"/>
        <v>2100.5600000000004</v>
      </c>
      <c r="I172" s="6" t="s">
        <v>461</v>
      </c>
      <c r="J172" s="17"/>
    </row>
    <row r="173" spans="1:10" ht="13.95" customHeight="1" x14ac:dyDescent="0.3">
      <c r="A173" s="3">
        <v>45860</v>
      </c>
      <c r="B173" s="3" t="s">
        <v>20</v>
      </c>
      <c r="C173" s="3" t="s">
        <v>1347</v>
      </c>
      <c r="D173" s="4">
        <v>1</v>
      </c>
      <c r="E173" s="42">
        <v>2.2000000000000002</v>
      </c>
      <c r="F173" s="45">
        <v>434</v>
      </c>
      <c r="G173" s="44">
        <v>2.2000000000000002</v>
      </c>
      <c r="H173" s="21">
        <f t="shared" si="3"/>
        <v>2100.5600000000004</v>
      </c>
      <c r="I173" s="6" t="s">
        <v>461</v>
      </c>
      <c r="J173" s="17"/>
    </row>
    <row r="174" spans="1:10" ht="13.95" customHeight="1" x14ac:dyDescent="0.3">
      <c r="A174" s="3">
        <v>45861</v>
      </c>
      <c r="B174" s="3" t="s">
        <v>5</v>
      </c>
      <c r="C174" s="3" t="s">
        <v>1347</v>
      </c>
      <c r="D174" s="4">
        <v>1</v>
      </c>
      <c r="E174" s="42">
        <v>2.15</v>
      </c>
      <c r="F174" s="45">
        <v>434</v>
      </c>
      <c r="G174" s="44">
        <v>2.2000000000000002</v>
      </c>
      <c r="H174" s="21">
        <f t="shared" si="3"/>
        <v>2052.8200000000002</v>
      </c>
      <c r="I174" s="6" t="s">
        <v>461</v>
      </c>
      <c r="J174" s="17"/>
    </row>
    <row r="175" spans="1:10" ht="13.95" customHeight="1" x14ac:dyDescent="0.3">
      <c r="A175" s="3">
        <v>45862</v>
      </c>
      <c r="B175" s="3" t="s">
        <v>8</v>
      </c>
      <c r="C175" s="3" t="s">
        <v>994</v>
      </c>
      <c r="D175" s="4">
        <v>1</v>
      </c>
      <c r="E175" s="42">
        <v>2.2999999999999998</v>
      </c>
      <c r="F175" s="45">
        <v>434</v>
      </c>
      <c r="G175" s="44">
        <v>2.2000000000000002</v>
      </c>
      <c r="H175" s="21">
        <f t="shared" si="3"/>
        <v>2196.04</v>
      </c>
      <c r="I175" s="6" t="s">
        <v>1451</v>
      </c>
      <c r="J175" s="17"/>
    </row>
    <row r="176" spans="1:10" ht="13.95" customHeight="1" x14ac:dyDescent="0.3">
      <c r="A176" s="3">
        <v>45863</v>
      </c>
      <c r="B176" s="3" t="s">
        <v>11</v>
      </c>
      <c r="C176" s="3" t="s">
        <v>1010</v>
      </c>
      <c r="D176" s="4">
        <v>1</v>
      </c>
      <c r="E176" s="42">
        <v>2.7</v>
      </c>
      <c r="F176" s="45">
        <v>434</v>
      </c>
      <c r="G176" s="44">
        <v>2.2000000000000002</v>
      </c>
      <c r="H176" s="21">
        <f t="shared" si="3"/>
        <v>2577.9600000000005</v>
      </c>
      <c r="I176" s="6" t="s">
        <v>1452</v>
      </c>
      <c r="J176" s="17"/>
    </row>
    <row r="177" spans="1:10" ht="13.95" customHeight="1" x14ac:dyDescent="0.3">
      <c r="A177" s="3">
        <v>45864</v>
      </c>
      <c r="B177" s="3" t="s">
        <v>13</v>
      </c>
      <c r="C177" s="3" t="s">
        <v>829</v>
      </c>
      <c r="D177" s="4">
        <v>1</v>
      </c>
      <c r="E177" s="42">
        <v>2.8</v>
      </c>
      <c r="F177" s="45">
        <v>434</v>
      </c>
      <c r="G177" s="44">
        <v>2.2000000000000002</v>
      </c>
      <c r="H177" s="21">
        <f t="shared" si="3"/>
        <v>2673.4399999999996</v>
      </c>
      <c r="I177" s="6" t="s">
        <v>746</v>
      </c>
      <c r="J177" s="17"/>
    </row>
    <row r="178" spans="1:10" ht="13.95" customHeight="1" x14ac:dyDescent="0.3">
      <c r="A178" s="3">
        <v>45865</v>
      </c>
      <c r="B178" s="3" t="s">
        <v>16</v>
      </c>
      <c r="C178" s="3" t="s">
        <v>829</v>
      </c>
      <c r="D178" s="4">
        <v>1</v>
      </c>
      <c r="E178" s="42">
        <v>2.5499999999999998</v>
      </c>
      <c r="F178" s="45">
        <v>434</v>
      </c>
      <c r="G178" s="44">
        <v>2.2000000000000002</v>
      </c>
      <c r="H178" s="21">
        <f t="shared" si="3"/>
        <v>2434.7399999999998</v>
      </c>
      <c r="I178" s="6" t="s">
        <v>139</v>
      </c>
      <c r="J178" s="17"/>
    </row>
    <row r="179" spans="1:10" ht="13.95" customHeight="1" x14ac:dyDescent="0.3">
      <c r="A179" s="3">
        <v>45866</v>
      </c>
      <c r="B179" s="3" t="s">
        <v>18</v>
      </c>
      <c r="C179" s="3" t="s">
        <v>1347</v>
      </c>
      <c r="D179" s="4">
        <v>1</v>
      </c>
      <c r="E179" s="42">
        <v>2.25</v>
      </c>
      <c r="F179" s="45">
        <v>434</v>
      </c>
      <c r="G179" s="44">
        <v>2.2000000000000002</v>
      </c>
      <c r="H179" s="21">
        <f t="shared" si="3"/>
        <v>2148.3000000000002</v>
      </c>
      <c r="I179" s="6" t="s">
        <v>461</v>
      </c>
      <c r="J179" s="17"/>
    </row>
    <row r="180" spans="1:10" ht="13.95" customHeight="1" x14ac:dyDescent="0.3">
      <c r="A180" s="3">
        <v>45867</v>
      </c>
      <c r="B180" s="3" t="s">
        <v>20</v>
      </c>
      <c r="C180" s="3" t="s">
        <v>1347</v>
      </c>
      <c r="D180" s="4">
        <v>1</v>
      </c>
      <c r="E180" s="42">
        <v>2.2000000000000002</v>
      </c>
      <c r="F180" s="45">
        <v>434</v>
      </c>
      <c r="G180" s="44">
        <v>2.2000000000000002</v>
      </c>
      <c r="H180" s="21">
        <f t="shared" si="3"/>
        <v>2100.5600000000004</v>
      </c>
      <c r="I180" s="6" t="s">
        <v>461</v>
      </c>
      <c r="J180" s="17"/>
    </row>
    <row r="181" spans="1:10" ht="13.95" customHeight="1" x14ac:dyDescent="0.3">
      <c r="A181" s="3">
        <v>45868</v>
      </c>
      <c r="B181" s="3" t="s">
        <v>5</v>
      </c>
      <c r="C181" s="3" t="s">
        <v>1347</v>
      </c>
      <c r="D181" s="4">
        <v>1</v>
      </c>
      <c r="E181" s="42">
        <v>2.2000000000000002</v>
      </c>
      <c r="F181" s="45">
        <v>434</v>
      </c>
      <c r="G181" s="44">
        <v>2.2000000000000002</v>
      </c>
      <c r="H181" s="21">
        <f t="shared" si="3"/>
        <v>2100.5600000000004</v>
      </c>
      <c r="I181" s="6" t="s">
        <v>461</v>
      </c>
      <c r="J181" s="17"/>
    </row>
    <row r="182" spans="1:10" ht="13.95" customHeight="1" x14ac:dyDescent="0.3">
      <c r="A182" s="3">
        <v>45869</v>
      </c>
      <c r="B182" s="3" t="s">
        <v>8</v>
      </c>
      <c r="C182" s="3" t="s">
        <v>1347</v>
      </c>
      <c r="D182" s="4">
        <v>1</v>
      </c>
      <c r="E182" s="42">
        <v>2.2999999999999998</v>
      </c>
      <c r="F182" s="45">
        <v>434</v>
      </c>
      <c r="G182" s="44">
        <v>2.2000000000000002</v>
      </c>
      <c r="H182" s="21">
        <f t="shared" si="3"/>
        <v>2196.04</v>
      </c>
      <c r="I182" s="6" t="s">
        <v>463</v>
      </c>
      <c r="J182" s="17"/>
    </row>
    <row r="183" spans="1:10" ht="13.95" customHeight="1" x14ac:dyDescent="0.3">
      <c r="A183" s="3">
        <v>45839</v>
      </c>
      <c r="B183" s="3" t="s">
        <v>20</v>
      </c>
      <c r="C183" s="3" t="s">
        <v>1347</v>
      </c>
      <c r="D183" s="4">
        <v>0.98</v>
      </c>
      <c r="E183" s="42">
        <v>2.2000000000000002</v>
      </c>
      <c r="F183" s="45">
        <v>434</v>
      </c>
      <c r="G183" s="44">
        <v>2.2000000000000002</v>
      </c>
      <c r="H183" s="21">
        <f t="shared" si="3"/>
        <v>2058.5488000000005</v>
      </c>
      <c r="I183" s="6" t="s">
        <v>1350</v>
      </c>
      <c r="J183" s="17"/>
    </row>
    <row r="184" spans="1:10" ht="13.95" customHeight="1" x14ac:dyDescent="0.3">
      <c r="A184" s="3">
        <v>45840</v>
      </c>
      <c r="B184" s="3" t="s">
        <v>5</v>
      </c>
      <c r="C184" s="3" t="s">
        <v>1347</v>
      </c>
      <c r="D184" s="4">
        <v>0.98</v>
      </c>
      <c r="E184" s="42">
        <v>2.15</v>
      </c>
      <c r="F184" s="45">
        <v>434</v>
      </c>
      <c r="G184" s="44">
        <v>2.2000000000000002</v>
      </c>
      <c r="H184" s="21">
        <f t="shared" si="3"/>
        <v>2011.7636000000002</v>
      </c>
      <c r="I184" s="6" t="s">
        <v>1350</v>
      </c>
      <c r="J184" s="17"/>
    </row>
    <row r="185" spans="1:10" ht="13.95" customHeight="1" x14ac:dyDescent="0.3">
      <c r="A185" s="3">
        <v>45841</v>
      </c>
      <c r="B185" s="3" t="s">
        <v>8</v>
      </c>
      <c r="C185" s="3" t="s">
        <v>1347</v>
      </c>
      <c r="D185" s="4">
        <v>1</v>
      </c>
      <c r="E185" s="42">
        <v>2.2000000000000002</v>
      </c>
      <c r="F185" s="45">
        <v>434</v>
      </c>
      <c r="G185" s="44">
        <v>2.2000000000000002</v>
      </c>
      <c r="H185" s="21">
        <f t="shared" si="3"/>
        <v>2100.5600000000004</v>
      </c>
      <c r="I185" s="6" t="s">
        <v>531</v>
      </c>
      <c r="J185" s="17"/>
    </row>
    <row r="186" spans="1:10" ht="13.95" customHeight="1" x14ac:dyDescent="0.3">
      <c r="A186" s="3">
        <v>45842</v>
      </c>
      <c r="B186" s="3" t="s">
        <v>11</v>
      </c>
      <c r="C186" s="3" t="s">
        <v>829</v>
      </c>
      <c r="D186" s="4">
        <v>1</v>
      </c>
      <c r="E186" s="42">
        <v>2.4500000000000002</v>
      </c>
      <c r="F186" s="45">
        <v>434</v>
      </c>
      <c r="G186" s="44">
        <v>2.2000000000000002</v>
      </c>
      <c r="H186" s="21">
        <f t="shared" si="3"/>
        <v>2339.2600000000007</v>
      </c>
      <c r="I186" s="6" t="s">
        <v>1445</v>
      </c>
      <c r="J186" s="17"/>
    </row>
    <row r="187" spans="1:10" ht="13.95" customHeight="1" x14ac:dyDescent="0.3">
      <c r="A187" s="3">
        <v>45843</v>
      </c>
      <c r="B187" s="3" t="s">
        <v>13</v>
      </c>
      <c r="C187" s="3" t="s">
        <v>829</v>
      </c>
      <c r="D187" s="4">
        <v>1</v>
      </c>
      <c r="E187" s="42">
        <v>2.75</v>
      </c>
      <c r="F187" s="45">
        <v>434</v>
      </c>
      <c r="G187" s="44">
        <v>2.2000000000000002</v>
      </c>
      <c r="H187" s="21">
        <f t="shared" si="3"/>
        <v>2625.7000000000003</v>
      </c>
      <c r="I187" s="6" t="s">
        <v>1446</v>
      </c>
      <c r="J187" s="17"/>
    </row>
    <row r="188" spans="1:10" ht="13.95" customHeight="1" x14ac:dyDescent="0.3">
      <c r="A188" s="3">
        <v>45844</v>
      </c>
      <c r="B188" s="3" t="s">
        <v>16</v>
      </c>
      <c r="C188" s="3" t="s">
        <v>829</v>
      </c>
      <c r="D188" s="4">
        <v>1</v>
      </c>
      <c r="E188" s="42">
        <v>2.5</v>
      </c>
      <c r="F188" s="45">
        <v>434</v>
      </c>
      <c r="G188" s="44">
        <v>2.2000000000000002</v>
      </c>
      <c r="H188" s="21">
        <f t="shared" si="3"/>
        <v>2387</v>
      </c>
      <c r="I188" s="6" t="s">
        <v>139</v>
      </c>
      <c r="J188" s="17"/>
    </row>
    <row r="189" spans="1:10" ht="13.95" customHeight="1" x14ac:dyDescent="0.3">
      <c r="A189" s="3">
        <v>45845</v>
      </c>
      <c r="B189" s="3" t="s">
        <v>18</v>
      </c>
      <c r="C189" s="3" t="s">
        <v>1347</v>
      </c>
      <c r="D189" s="4">
        <v>1</v>
      </c>
      <c r="E189" s="42">
        <v>2.2000000000000002</v>
      </c>
      <c r="F189" s="45">
        <v>434</v>
      </c>
      <c r="G189" s="44">
        <v>2.2000000000000002</v>
      </c>
      <c r="H189" s="21">
        <f t="shared" si="3"/>
        <v>2100.5600000000004</v>
      </c>
      <c r="I189" s="6" t="s">
        <v>1348</v>
      </c>
      <c r="J189" s="17"/>
    </row>
    <row r="190" spans="1:10" ht="13.95" customHeight="1" x14ac:dyDescent="0.3">
      <c r="A190" s="3">
        <v>45846</v>
      </c>
      <c r="B190" s="3" t="s">
        <v>20</v>
      </c>
      <c r="C190" s="3" t="s">
        <v>1347</v>
      </c>
      <c r="D190" s="4">
        <v>1</v>
      </c>
      <c r="E190" s="42">
        <v>2.2000000000000002</v>
      </c>
      <c r="F190" s="45">
        <v>434</v>
      </c>
      <c r="G190" s="44">
        <v>2.2000000000000002</v>
      </c>
      <c r="H190" s="21">
        <f t="shared" si="3"/>
        <v>2100.5600000000004</v>
      </c>
      <c r="I190" s="6" t="s">
        <v>1348</v>
      </c>
      <c r="J190" s="17"/>
    </row>
    <row r="191" spans="1:10" ht="13.95" customHeight="1" x14ac:dyDescent="0.3">
      <c r="A191" s="3">
        <v>45847</v>
      </c>
      <c r="B191" s="3" t="s">
        <v>5</v>
      </c>
      <c r="C191" s="3" t="s">
        <v>1347</v>
      </c>
      <c r="D191" s="4">
        <v>0.98</v>
      </c>
      <c r="E191" s="42">
        <v>2.15</v>
      </c>
      <c r="F191" s="45">
        <v>434</v>
      </c>
      <c r="G191" s="44">
        <v>2.2000000000000002</v>
      </c>
      <c r="H191" s="21">
        <f t="shared" si="3"/>
        <v>2011.7636000000002</v>
      </c>
      <c r="I191" s="6" t="s">
        <v>71</v>
      </c>
      <c r="J191" s="17"/>
    </row>
    <row r="192" spans="1:10" ht="13.95" customHeight="1" x14ac:dyDescent="0.3">
      <c r="A192" s="3">
        <v>45848</v>
      </c>
      <c r="B192" s="3" t="s">
        <v>8</v>
      </c>
      <c r="C192" s="3" t="s">
        <v>1347</v>
      </c>
      <c r="D192" s="4">
        <v>1</v>
      </c>
      <c r="E192" s="42">
        <v>2.25</v>
      </c>
      <c r="F192" s="45">
        <v>434</v>
      </c>
      <c r="G192" s="44">
        <v>2.2000000000000002</v>
      </c>
      <c r="H192" s="21">
        <f t="shared" si="3"/>
        <v>2148.3000000000002</v>
      </c>
      <c r="I192" s="6" t="s">
        <v>82</v>
      </c>
      <c r="J192" s="17"/>
    </row>
    <row r="193" spans="1:10" ht="13.95" customHeight="1" x14ac:dyDescent="0.3">
      <c r="A193" s="3">
        <v>45849</v>
      </c>
      <c r="B193" s="3" t="s">
        <v>11</v>
      </c>
      <c r="C193" s="3" t="s">
        <v>829</v>
      </c>
      <c r="D193" s="4">
        <v>1</v>
      </c>
      <c r="E193" s="42">
        <v>2.5</v>
      </c>
      <c r="F193" s="45">
        <v>434</v>
      </c>
      <c r="G193" s="44">
        <v>2.2000000000000002</v>
      </c>
      <c r="H193" s="21">
        <f t="shared" si="3"/>
        <v>2387</v>
      </c>
      <c r="I193" s="6" t="s">
        <v>97</v>
      </c>
      <c r="J193" s="17"/>
    </row>
    <row r="194" spans="1:10" ht="13.95" customHeight="1" x14ac:dyDescent="0.3">
      <c r="A194" s="3">
        <v>45850</v>
      </c>
      <c r="B194" s="3" t="s">
        <v>13</v>
      </c>
      <c r="C194" s="3" t="s">
        <v>829</v>
      </c>
      <c r="D194" s="4">
        <v>1</v>
      </c>
      <c r="E194" s="42">
        <v>2.8</v>
      </c>
      <c r="F194" s="45">
        <v>434</v>
      </c>
      <c r="G194" s="44">
        <v>2.2000000000000002</v>
      </c>
      <c r="H194" s="21">
        <f t="shared" ref="H194:H257" si="4">(F194*D194)*E194*G194</f>
        <v>2673.4399999999996</v>
      </c>
      <c r="I194" s="6" t="s">
        <v>1323</v>
      </c>
      <c r="J194" s="17"/>
    </row>
    <row r="195" spans="1:10" ht="13.95" customHeight="1" x14ac:dyDescent="0.3">
      <c r="A195" s="3">
        <v>45851</v>
      </c>
      <c r="B195" s="3" t="s">
        <v>16</v>
      </c>
      <c r="C195" s="3" t="s">
        <v>829</v>
      </c>
      <c r="D195" s="4">
        <v>1</v>
      </c>
      <c r="E195" s="42">
        <v>2.5499999999999998</v>
      </c>
      <c r="F195" s="45">
        <v>434</v>
      </c>
      <c r="G195" s="44">
        <v>2.2000000000000002</v>
      </c>
      <c r="H195" s="21">
        <f t="shared" si="4"/>
        <v>2434.7399999999998</v>
      </c>
      <c r="I195" s="6" t="s">
        <v>149</v>
      </c>
      <c r="J195" s="17"/>
    </row>
    <row r="196" spans="1:10" ht="13.95" customHeight="1" x14ac:dyDescent="0.3">
      <c r="A196" s="3">
        <v>45852</v>
      </c>
      <c r="B196" s="3" t="s">
        <v>18</v>
      </c>
      <c r="C196" s="3" t="s">
        <v>1447</v>
      </c>
      <c r="D196" s="4">
        <v>1</v>
      </c>
      <c r="E196" s="42">
        <v>2.35</v>
      </c>
      <c r="F196" s="45">
        <v>434</v>
      </c>
      <c r="G196" s="44">
        <v>2.2000000000000002</v>
      </c>
      <c r="H196" s="21">
        <f t="shared" si="4"/>
        <v>2243.7800000000002</v>
      </c>
      <c r="I196" s="6" t="s">
        <v>1448</v>
      </c>
      <c r="J196" s="17"/>
    </row>
    <row r="197" spans="1:10" ht="13.95" customHeight="1" x14ac:dyDescent="0.3">
      <c r="A197" s="3">
        <v>45853</v>
      </c>
      <c r="B197" s="3" t="s">
        <v>20</v>
      </c>
      <c r="C197" s="3" t="s">
        <v>1347</v>
      </c>
      <c r="D197" s="4">
        <v>1</v>
      </c>
      <c r="E197" s="42">
        <v>2.2000000000000002</v>
      </c>
      <c r="F197" s="45">
        <v>434</v>
      </c>
      <c r="G197" s="44">
        <v>2.2000000000000002</v>
      </c>
      <c r="H197" s="21">
        <f t="shared" si="4"/>
        <v>2100.5600000000004</v>
      </c>
      <c r="I197" s="6" t="s">
        <v>1449</v>
      </c>
      <c r="J197" s="17"/>
    </row>
    <row r="198" spans="1:10" ht="13.95" customHeight="1" x14ac:dyDescent="0.3">
      <c r="A198" s="3">
        <v>45854</v>
      </c>
      <c r="B198" s="3" t="s">
        <v>5</v>
      </c>
      <c r="C198" s="3" t="s">
        <v>1347</v>
      </c>
      <c r="D198" s="4">
        <v>0.98</v>
      </c>
      <c r="E198" s="42">
        <v>2.15</v>
      </c>
      <c r="F198" s="45">
        <v>434</v>
      </c>
      <c r="G198" s="44">
        <v>2.2000000000000002</v>
      </c>
      <c r="H198" s="21">
        <f t="shared" si="4"/>
        <v>2011.7636000000002</v>
      </c>
      <c r="I198" s="6" t="s">
        <v>1449</v>
      </c>
      <c r="J198" s="17"/>
    </row>
    <row r="199" spans="1:10" ht="13.95" customHeight="1" x14ac:dyDescent="0.3">
      <c r="A199" s="3">
        <v>45855</v>
      </c>
      <c r="B199" s="3" t="s">
        <v>8</v>
      </c>
      <c r="C199" s="3" t="s">
        <v>1347</v>
      </c>
      <c r="D199" s="4">
        <v>1</v>
      </c>
      <c r="E199" s="42">
        <v>2.25</v>
      </c>
      <c r="F199" s="45">
        <v>434</v>
      </c>
      <c r="G199" s="44">
        <v>2.2000000000000002</v>
      </c>
      <c r="H199" s="21">
        <f t="shared" si="4"/>
        <v>2148.3000000000002</v>
      </c>
      <c r="I199" s="6" t="s">
        <v>1449</v>
      </c>
      <c r="J199" s="17"/>
    </row>
    <row r="200" spans="1:10" ht="13.95" customHeight="1" x14ac:dyDescent="0.3">
      <c r="A200" s="3">
        <v>45856</v>
      </c>
      <c r="B200" s="3" t="s">
        <v>11</v>
      </c>
      <c r="C200" s="3" t="s">
        <v>829</v>
      </c>
      <c r="D200" s="4">
        <v>1</v>
      </c>
      <c r="E200" s="42">
        <v>2.5499999999999998</v>
      </c>
      <c r="F200" s="45">
        <v>434</v>
      </c>
      <c r="G200" s="44">
        <v>2.2000000000000002</v>
      </c>
      <c r="H200" s="21">
        <f t="shared" si="4"/>
        <v>2434.7399999999998</v>
      </c>
      <c r="I200" s="6" t="s">
        <v>97</v>
      </c>
      <c r="J200" s="17"/>
    </row>
    <row r="201" spans="1:10" ht="13.95" customHeight="1" x14ac:dyDescent="0.3">
      <c r="A201" s="3">
        <v>45857</v>
      </c>
      <c r="B201" s="3" t="s">
        <v>13</v>
      </c>
      <c r="C201" s="3" t="s">
        <v>829</v>
      </c>
      <c r="D201" s="4">
        <v>1</v>
      </c>
      <c r="E201" s="42">
        <v>2.85</v>
      </c>
      <c r="F201" s="45">
        <v>434</v>
      </c>
      <c r="G201" s="44">
        <v>2.2000000000000002</v>
      </c>
      <c r="H201" s="21">
        <f t="shared" si="4"/>
        <v>2721.1800000000003</v>
      </c>
      <c r="I201" s="6" t="s">
        <v>1450</v>
      </c>
      <c r="J201" s="17"/>
    </row>
    <row r="202" spans="1:10" ht="13.95" customHeight="1" x14ac:dyDescent="0.3">
      <c r="A202" s="3">
        <v>45858</v>
      </c>
      <c r="B202" s="3" t="s">
        <v>16</v>
      </c>
      <c r="C202" s="3" t="s">
        <v>829</v>
      </c>
      <c r="D202" s="4">
        <v>1</v>
      </c>
      <c r="E202" s="42">
        <v>2.5499999999999998</v>
      </c>
      <c r="F202" s="45">
        <v>434</v>
      </c>
      <c r="G202" s="44">
        <v>2.2000000000000002</v>
      </c>
      <c r="H202" s="21">
        <f t="shared" si="4"/>
        <v>2434.7399999999998</v>
      </c>
      <c r="I202" s="6" t="s">
        <v>149</v>
      </c>
      <c r="J202" s="17"/>
    </row>
    <row r="203" spans="1:10" ht="13.95" customHeight="1" x14ac:dyDescent="0.3">
      <c r="A203" s="3">
        <v>45859</v>
      </c>
      <c r="B203" s="3" t="s">
        <v>18</v>
      </c>
      <c r="C203" s="3" t="s">
        <v>1347</v>
      </c>
      <c r="D203" s="4">
        <v>1</v>
      </c>
      <c r="E203" s="42">
        <v>2.2000000000000002</v>
      </c>
      <c r="F203" s="45">
        <v>434</v>
      </c>
      <c r="G203" s="44">
        <v>2.2000000000000002</v>
      </c>
      <c r="H203" s="21">
        <f t="shared" si="4"/>
        <v>2100.5600000000004</v>
      </c>
      <c r="I203" s="6" t="s">
        <v>461</v>
      </c>
      <c r="J203" s="17"/>
    </row>
    <row r="204" spans="1:10" ht="13.95" customHeight="1" x14ac:dyDescent="0.3">
      <c r="A204" s="3">
        <v>45860</v>
      </c>
      <c r="B204" s="3" t="s">
        <v>20</v>
      </c>
      <c r="C204" s="3" t="s">
        <v>1347</v>
      </c>
      <c r="D204" s="4">
        <v>1</v>
      </c>
      <c r="E204" s="42">
        <v>2.2000000000000002</v>
      </c>
      <c r="F204" s="45">
        <v>434</v>
      </c>
      <c r="G204" s="44">
        <v>2.2000000000000002</v>
      </c>
      <c r="H204" s="21">
        <f t="shared" si="4"/>
        <v>2100.5600000000004</v>
      </c>
      <c r="I204" s="6" t="s">
        <v>461</v>
      </c>
      <c r="J204" s="17"/>
    </row>
    <row r="205" spans="1:10" ht="13.95" customHeight="1" x14ac:dyDescent="0.3">
      <c r="A205" s="3">
        <v>45861</v>
      </c>
      <c r="B205" s="3" t="s">
        <v>5</v>
      </c>
      <c r="C205" s="3" t="s">
        <v>1347</v>
      </c>
      <c r="D205" s="4">
        <v>1</v>
      </c>
      <c r="E205" s="42">
        <v>2.15</v>
      </c>
      <c r="F205" s="45">
        <v>434</v>
      </c>
      <c r="G205" s="44">
        <v>2.2000000000000002</v>
      </c>
      <c r="H205" s="21">
        <f t="shared" si="4"/>
        <v>2052.8200000000002</v>
      </c>
      <c r="I205" s="6" t="s">
        <v>461</v>
      </c>
      <c r="J205" s="17"/>
    </row>
    <row r="206" spans="1:10" ht="13.95" customHeight="1" x14ac:dyDescent="0.3">
      <c r="A206" s="3">
        <v>45862</v>
      </c>
      <c r="B206" s="3" t="s">
        <v>8</v>
      </c>
      <c r="C206" s="3" t="s">
        <v>994</v>
      </c>
      <c r="D206" s="4">
        <v>1</v>
      </c>
      <c r="E206" s="42">
        <v>2.2999999999999998</v>
      </c>
      <c r="F206" s="45">
        <v>434</v>
      </c>
      <c r="G206" s="44">
        <v>2.2000000000000002</v>
      </c>
      <c r="H206" s="21">
        <f t="shared" si="4"/>
        <v>2196.04</v>
      </c>
      <c r="I206" s="6" t="s">
        <v>1451</v>
      </c>
      <c r="J206" s="17"/>
    </row>
    <row r="207" spans="1:10" ht="13.95" customHeight="1" x14ac:dyDescent="0.3">
      <c r="A207" s="3">
        <v>45863</v>
      </c>
      <c r="B207" s="3" t="s">
        <v>11</v>
      </c>
      <c r="C207" s="3" t="s">
        <v>1010</v>
      </c>
      <c r="D207" s="4">
        <v>1</v>
      </c>
      <c r="E207" s="42">
        <v>2.7</v>
      </c>
      <c r="F207" s="45">
        <v>434</v>
      </c>
      <c r="G207" s="44">
        <v>2.2000000000000002</v>
      </c>
      <c r="H207" s="21">
        <f t="shared" si="4"/>
        <v>2577.9600000000005</v>
      </c>
      <c r="I207" s="6" t="s">
        <v>1452</v>
      </c>
      <c r="J207" s="17"/>
    </row>
    <row r="208" spans="1:10" ht="13.95" customHeight="1" x14ac:dyDescent="0.3">
      <c r="A208" s="3">
        <v>45864</v>
      </c>
      <c r="B208" s="3" t="s">
        <v>13</v>
      </c>
      <c r="C208" s="3" t="s">
        <v>829</v>
      </c>
      <c r="D208" s="4">
        <v>1</v>
      </c>
      <c r="E208" s="42">
        <v>2.8</v>
      </c>
      <c r="F208" s="45">
        <v>434</v>
      </c>
      <c r="G208" s="44">
        <v>2.2000000000000002</v>
      </c>
      <c r="H208" s="21">
        <f t="shared" si="4"/>
        <v>2673.4399999999996</v>
      </c>
      <c r="I208" s="6" t="s">
        <v>746</v>
      </c>
      <c r="J208" s="17"/>
    </row>
    <row r="209" spans="1:10" ht="13.95" customHeight="1" x14ac:dyDescent="0.3">
      <c r="A209" s="3">
        <v>45865</v>
      </c>
      <c r="B209" s="3" t="s">
        <v>16</v>
      </c>
      <c r="C209" s="3" t="s">
        <v>829</v>
      </c>
      <c r="D209" s="4">
        <v>1</v>
      </c>
      <c r="E209" s="42">
        <v>2.5499999999999998</v>
      </c>
      <c r="F209" s="45">
        <v>434</v>
      </c>
      <c r="G209" s="44">
        <v>2.2000000000000002</v>
      </c>
      <c r="H209" s="21">
        <f t="shared" si="4"/>
        <v>2434.7399999999998</v>
      </c>
      <c r="I209" s="6" t="s">
        <v>139</v>
      </c>
      <c r="J209" s="17"/>
    </row>
    <row r="210" spans="1:10" ht="13.95" customHeight="1" x14ac:dyDescent="0.3">
      <c r="A210" s="3">
        <v>45866</v>
      </c>
      <c r="B210" s="3" t="s">
        <v>18</v>
      </c>
      <c r="C210" s="3" t="s">
        <v>1347</v>
      </c>
      <c r="D210" s="4">
        <v>1</v>
      </c>
      <c r="E210" s="42">
        <v>2.25</v>
      </c>
      <c r="F210" s="45">
        <v>434</v>
      </c>
      <c r="G210" s="44">
        <v>2.2000000000000002</v>
      </c>
      <c r="H210" s="21">
        <f t="shared" si="4"/>
        <v>2148.3000000000002</v>
      </c>
      <c r="I210" s="6" t="s">
        <v>461</v>
      </c>
      <c r="J210" s="17"/>
    </row>
    <row r="211" spans="1:10" ht="13.95" customHeight="1" x14ac:dyDescent="0.3">
      <c r="A211" s="3">
        <v>45867</v>
      </c>
      <c r="B211" s="3" t="s">
        <v>20</v>
      </c>
      <c r="C211" s="3" t="s">
        <v>1347</v>
      </c>
      <c r="D211" s="4">
        <v>1</v>
      </c>
      <c r="E211" s="42">
        <v>2.2000000000000002</v>
      </c>
      <c r="F211" s="45">
        <v>434</v>
      </c>
      <c r="G211" s="44">
        <v>2.2000000000000002</v>
      </c>
      <c r="H211" s="21">
        <f t="shared" si="4"/>
        <v>2100.5600000000004</v>
      </c>
      <c r="I211" s="6" t="s">
        <v>461</v>
      </c>
      <c r="J211" s="17"/>
    </row>
    <row r="212" spans="1:10" ht="13.95" customHeight="1" x14ac:dyDescent="0.3">
      <c r="A212" s="3">
        <v>45868</v>
      </c>
      <c r="B212" s="3" t="s">
        <v>5</v>
      </c>
      <c r="C212" s="3" t="s">
        <v>1347</v>
      </c>
      <c r="D212" s="4">
        <v>1</v>
      </c>
      <c r="E212" s="42">
        <v>2.2000000000000002</v>
      </c>
      <c r="F212" s="45">
        <v>434</v>
      </c>
      <c r="G212" s="44">
        <v>2.2000000000000002</v>
      </c>
      <c r="H212" s="21">
        <f t="shared" si="4"/>
        <v>2100.5600000000004</v>
      </c>
      <c r="I212" s="6" t="s">
        <v>461</v>
      </c>
      <c r="J212" s="17"/>
    </row>
    <row r="213" spans="1:10" ht="13.95" customHeight="1" x14ac:dyDescent="0.3">
      <c r="A213" s="3">
        <v>45869</v>
      </c>
      <c r="B213" s="3" t="s">
        <v>8</v>
      </c>
      <c r="C213" s="3" t="s">
        <v>1347</v>
      </c>
      <c r="D213" s="4">
        <v>1</v>
      </c>
      <c r="E213" s="42">
        <v>2.2999999999999998</v>
      </c>
      <c r="F213" s="45">
        <v>434</v>
      </c>
      <c r="G213" s="44">
        <v>2.2000000000000002</v>
      </c>
      <c r="H213" s="21">
        <f t="shared" si="4"/>
        <v>2196.04</v>
      </c>
      <c r="I213" s="6" t="s">
        <v>463</v>
      </c>
      <c r="J213" s="17"/>
    </row>
    <row r="214" spans="1:10" ht="13.95" customHeight="1" x14ac:dyDescent="0.3">
      <c r="A214" s="3">
        <v>45870</v>
      </c>
      <c r="B214" s="3" t="s">
        <v>11</v>
      </c>
      <c r="C214" s="3" t="s">
        <v>1347</v>
      </c>
      <c r="D214" s="4">
        <v>1</v>
      </c>
      <c r="E214" s="42">
        <v>2.5</v>
      </c>
      <c r="F214" s="45">
        <v>434</v>
      </c>
      <c r="G214" s="44">
        <v>2.2000000000000002</v>
      </c>
      <c r="H214" s="21">
        <f t="shared" si="4"/>
        <v>2387</v>
      </c>
      <c r="I214" s="6" t="s">
        <v>1385</v>
      </c>
      <c r="J214" s="17"/>
    </row>
    <row r="215" spans="1:10" ht="13.95" customHeight="1" x14ac:dyDescent="0.3">
      <c r="A215" s="3">
        <v>45871</v>
      </c>
      <c r="B215" s="3" t="s">
        <v>13</v>
      </c>
      <c r="C215" s="3" t="s">
        <v>829</v>
      </c>
      <c r="D215" s="4">
        <v>1</v>
      </c>
      <c r="E215" s="42">
        <v>2.85</v>
      </c>
      <c r="F215" s="45">
        <v>434</v>
      </c>
      <c r="G215" s="44">
        <v>2.2000000000000002</v>
      </c>
      <c r="H215" s="21">
        <f t="shared" si="4"/>
        <v>2721.1800000000003</v>
      </c>
      <c r="I215" s="6" t="s">
        <v>1391</v>
      </c>
      <c r="J215" s="17"/>
    </row>
    <row r="216" spans="1:10" ht="13.95" customHeight="1" x14ac:dyDescent="0.3">
      <c r="A216" s="3">
        <v>45872</v>
      </c>
      <c r="B216" s="3" t="s">
        <v>16</v>
      </c>
      <c r="C216" s="3" t="s">
        <v>829</v>
      </c>
      <c r="D216" s="4">
        <v>1</v>
      </c>
      <c r="E216" s="42">
        <v>2.6</v>
      </c>
      <c r="F216" s="45">
        <v>434</v>
      </c>
      <c r="G216" s="44">
        <v>2.2000000000000002</v>
      </c>
      <c r="H216" s="21">
        <f t="shared" si="4"/>
        <v>2482.4800000000005</v>
      </c>
      <c r="I216" s="6" t="s">
        <v>139</v>
      </c>
      <c r="J216" s="17"/>
    </row>
    <row r="217" spans="1:10" ht="13.95" customHeight="1" x14ac:dyDescent="0.3">
      <c r="A217" s="3">
        <v>45873</v>
      </c>
      <c r="B217" s="3" t="s">
        <v>18</v>
      </c>
      <c r="C217" s="3" t="s">
        <v>1347</v>
      </c>
      <c r="D217" s="4">
        <v>1</v>
      </c>
      <c r="E217" s="42">
        <v>2.25</v>
      </c>
      <c r="F217" s="45">
        <v>434</v>
      </c>
      <c r="G217" s="44">
        <v>2.2000000000000002</v>
      </c>
      <c r="H217" s="21">
        <f t="shared" si="4"/>
        <v>2148.3000000000002</v>
      </c>
      <c r="I217" s="6" t="s">
        <v>1386</v>
      </c>
      <c r="J217" s="17"/>
    </row>
    <row r="218" spans="1:10" ht="13.95" customHeight="1" x14ac:dyDescent="0.3">
      <c r="A218" s="3">
        <v>45874</v>
      </c>
      <c r="B218" s="3" t="s">
        <v>20</v>
      </c>
      <c r="C218" s="3" t="s">
        <v>1347</v>
      </c>
      <c r="D218" s="4">
        <v>1</v>
      </c>
      <c r="E218" s="42">
        <v>2.25</v>
      </c>
      <c r="F218" s="45">
        <v>434</v>
      </c>
      <c r="G218" s="44">
        <v>2.2000000000000002</v>
      </c>
      <c r="H218" s="21">
        <f t="shared" si="4"/>
        <v>2148.3000000000002</v>
      </c>
      <c r="I218" s="6" t="s">
        <v>1386</v>
      </c>
      <c r="J218" s="17"/>
    </row>
    <row r="219" spans="1:10" ht="13.95" customHeight="1" x14ac:dyDescent="0.3">
      <c r="A219" s="3">
        <v>45875</v>
      </c>
      <c r="B219" s="3" t="s">
        <v>5</v>
      </c>
      <c r="C219" s="3" t="s">
        <v>1347</v>
      </c>
      <c r="D219" s="4">
        <v>1</v>
      </c>
      <c r="E219" s="42">
        <v>2.25</v>
      </c>
      <c r="F219" s="45">
        <v>434</v>
      </c>
      <c r="G219" s="44">
        <v>2.2000000000000002</v>
      </c>
      <c r="H219" s="21">
        <f t="shared" si="4"/>
        <v>2148.3000000000002</v>
      </c>
      <c r="I219" s="6" t="s">
        <v>1386</v>
      </c>
      <c r="J219" s="17"/>
    </row>
    <row r="220" spans="1:10" ht="13.95" customHeight="1" x14ac:dyDescent="0.3">
      <c r="A220" s="3">
        <v>45876</v>
      </c>
      <c r="B220" s="3" t="s">
        <v>8</v>
      </c>
      <c r="C220" s="3" t="s">
        <v>1347</v>
      </c>
      <c r="D220" s="4">
        <v>1</v>
      </c>
      <c r="E220" s="42">
        <v>2.2999999999999998</v>
      </c>
      <c r="F220" s="45">
        <v>434</v>
      </c>
      <c r="G220" s="44">
        <v>2.2000000000000002</v>
      </c>
      <c r="H220" s="21">
        <f t="shared" si="4"/>
        <v>2196.04</v>
      </c>
      <c r="I220" s="6" t="s">
        <v>82</v>
      </c>
      <c r="J220" s="17"/>
    </row>
    <row r="221" spans="1:10" ht="13.95" customHeight="1" x14ac:dyDescent="0.3">
      <c r="A221" s="3">
        <v>45877</v>
      </c>
      <c r="B221" s="3" t="s">
        <v>11</v>
      </c>
      <c r="C221" s="3" t="s">
        <v>829</v>
      </c>
      <c r="D221" s="4">
        <v>1</v>
      </c>
      <c r="E221" s="42">
        <v>2.5499999999999998</v>
      </c>
      <c r="F221" s="45">
        <v>434</v>
      </c>
      <c r="G221" s="44">
        <v>2.2000000000000002</v>
      </c>
      <c r="H221" s="21">
        <f t="shared" si="4"/>
        <v>2434.7399999999998</v>
      </c>
      <c r="I221" s="6" t="s">
        <v>97</v>
      </c>
      <c r="J221" s="17"/>
    </row>
    <row r="222" spans="1:10" ht="13.95" customHeight="1" x14ac:dyDescent="0.3">
      <c r="A222" s="3">
        <v>45878</v>
      </c>
      <c r="B222" s="3" t="s">
        <v>13</v>
      </c>
      <c r="C222" s="3" t="s">
        <v>829</v>
      </c>
      <c r="D222" s="4">
        <v>1</v>
      </c>
      <c r="E222" s="42">
        <v>2.9</v>
      </c>
      <c r="F222" s="45">
        <v>434</v>
      </c>
      <c r="G222" s="44">
        <v>2.2000000000000002</v>
      </c>
      <c r="H222" s="21">
        <f t="shared" si="4"/>
        <v>2768.92</v>
      </c>
      <c r="I222" s="6" t="s">
        <v>1392</v>
      </c>
      <c r="J222" s="17"/>
    </row>
    <row r="223" spans="1:10" ht="13.95" customHeight="1" x14ac:dyDescent="0.3">
      <c r="A223" s="3">
        <v>45879</v>
      </c>
      <c r="B223" s="3" t="s">
        <v>16</v>
      </c>
      <c r="C223" s="3" t="s">
        <v>829</v>
      </c>
      <c r="D223" s="4">
        <v>1</v>
      </c>
      <c r="E223" s="42">
        <v>2.6</v>
      </c>
      <c r="F223" s="45">
        <v>434</v>
      </c>
      <c r="G223" s="44">
        <v>2.2000000000000002</v>
      </c>
      <c r="H223" s="21">
        <f t="shared" si="4"/>
        <v>2482.4800000000005</v>
      </c>
      <c r="I223" s="6" t="s">
        <v>1336</v>
      </c>
      <c r="J223" s="17"/>
    </row>
    <row r="224" spans="1:10" ht="13.95" customHeight="1" x14ac:dyDescent="0.3">
      <c r="A224" s="3">
        <v>45880</v>
      </c>
      <c r="B224" s="3" t="s">
        <v>18</v>
      </c>
      <c r="C224" s="3" t="s">
        <v>1347</v>
      </c>
      <c r="D224" s="4">
        <v>1</v>
      </c>
      <c r="E224" s="42">
        <v>2.25</v>
      </c>
      <c r="F224" s="45">
        <v>434</v>
      </c>
      <c r="G224" s="44">
        <v>2.2000000000000002</v>
      </c>
      <c r="H224" s="21">
        <f t="shared" si="4"/>
        <v>2148.3000000000002</v>
      </c>
      <c r="I224" s="6" t="s">
        <v>476</v>
      </c>
      <c r="J224" s="17"/>
    </row>
    <row r="225" spans="1:10" ht="13.95" customHeight="1" x14ac:dyDescent="0.3">
      <c r="A225" s="3">
        <v>45881</v>
      </c>
      <c r="B225" s="3" t="s">
        <v>20</v>
      </c>
      <c r="C225" s="3" t="s">
        <v>994</v>
      </c>
      <c r="D225" s="4">
        <v>1</v>
      </c>
      <c r="E225" s="42">
        <v>2.4500000000000002</v>
      </c>
      <c r="F225" s="45">
        <v>434</v>
      </c>
      <c r="G225" s="44">
        <v>2.2000000000000002</v>
      </c>
      <c r="H225" s="21">
        <f t="shared" si="4"/>
        <v>2339.2600000000007</v>
      </c>
      <c r="I225" s="6" t="s">
        <v>1453</v>
      </c>
      <c r="J225" s="17"/>
    </row>
    <row r="226" spans="1:10" ht="13.95" customHeight="1" x14ac:dyDescent="0.3">
      <c r="A226" s="3">
        <v>45882</v>
      </c>
      <c r="B226" s="3" t="s">
        <v>5</v>
      </c>
      <c r="C226" s="3" t="s">
        <v>850</v>
      </c>
      <c r="D226" s="4">
        <v>1</v>
      </c>
      <c r="E226" s="42">
        <v>2.8</v>
      </c>
      <c r="F226" s="45">
        <v>434</v>
      </c>
      <c r="G226" s="44">
        <v>2.2000000000000002</v>
      </c>
      <c r="H226" s="21">
        <f t="shared" si="4"/>
        <v>2673.4399999999996</v>
      </c>
      <c r="I226" s="6" t="s">
        <v>1222</v>
      </c>
      <c r="J226" s="17"/>
    </row>
    <row r="227" spans="1:10" ht="13.95" customHeight="1" x14ac:dyDescent="0.3">
      <c r="A227" s="3">
        <v>45883</v>
      </c>
      <c r="B227" s="3" t="s">
        <v>8</v>
      </c>
      <c r="C227" s="3" t="s">
        <v>1347</v>
      </c>
      <c r="D227" s="4">
        <v>1</v>
      </c>
      <c r="E227" s="42">
        <v>2.2999999999999998</v>
      </c>
      <c r="F227" s="45">
        <v>434</v>
      </c>
      <c r="G227" s="44">
        <v>2.2000000000000002</v>
      </c>
      <c r="H227" s="21">
        <f t="shared" si="4"/>
        <v>2196.04</v>
      </c>
      <c r="I227" s="6" t="s">
        <v>476</v>
      </c>
      <c r="J227" s="17"/>
    </row>
    <row r="228" spans="1:10" ht="13.95" customHeight="1" x14ac:dyDescent="0.3">
      <c r="A228" s="3">
        <v>45884</v>
      </c>
      <c r="B228" s="3" t="s">
        <v>11</v>
      </c>
      <c r="C228" s="3" t="s">
        <v>829</v>
      </c>
      <c r="D228" s="4">
        <v>1</v>
      </c>
      <c r="E228" s="42">
        <v>2.5499999999999998</v>
      </c>
      <c r="F228" s="45">
        <v>434</v>
      </c>
      <c r="G228" s="44">
        <v>2.2000000000000002</v>
      </c>
      <c r="H228" s="21">
        <f t="shared" si="4"/>
        <v>2434.7399999999998</v>
      </c>
      <c r="I228" s="6" t="s">
        <v>97</v>
      </c>
      <c r="J228" s="17"/>
    </row>
    <row r="229" spans="1:10" ht="13.95" customHeight="1" x14ac:dyDescent="0.3">
      <c r="A229" s="3">
        <v>45885</v>
      </c>
      <c r="B229" s="3" t="s">
        <v>13</v>
      </c>
      <c r="C229" s="3" t="s">
        <v>829</v>
      </c>
      <c r="D229" s="4">
        <v>1</v>
      </c>
      <c r="E229" s="42">
        <v>2.85</v>
      </c>
      <c r="F229" s="45">
        <v>434</v>
      </c>
      <c r="G229" s="44">
        <v>2.2000000000000002</v>
      </c>
      <c r="H229" s="21">
        <f t="shared" si="4"/>
        <v>2721.1800000000003</v>
      </c>
      <c r="I229" s="6" t="s">
        <v>1365</v>
      </c>
      <c r="J229" s="17"/>
    </row>
    <row r="230" spans="1:10" ht="13.95" customHeight="1" x14ac:dyDescent="0.3">
      <c r="A230" s="3">
        <v>45886</v>
      </c>
      <c r="B230" s="3" t="s">
        <v>16</v>
      </c>
      <c r="C230" s="3" t="s">
        <v>829</v>
      </c>
      <c r="D230" s="4">
        <v>1</v>
      </c>
      <c r="E230" s="42">
        <v>2.6</v>
      </c>
      <c r="F230" s="45">
        <v>434</v>
      </c>
      <c r="G230" s="44">
        <v>2.2000000000000002</v>
      </c>
      <c r="H230" s="21">
        <f t="shared" si="4"/>
        <v>2482.4800000000005</v>
      </c>
      <c r="I230" s="6" t="s">
        <v>149</v>
      </c>
      <c r="J230" s="17"/>
    </row>
    <row r="231" spans="1:10" ht="13.95" customHeight="1" x14ac:dyDescent="0.3">
      <c r="A231" s="3">
        <v>45887</v>
      </c>
      <c r="B231" s="3" t="s">
        <v>18</v>
      </c>
      <c r="C231" s="3" t="s">
        <v>1347</v>
      </c>
      <c r="D231" s="4">
        <v>1</v>
      </c>
      <c r="E231" s="42">
        <v>2.25</v>
      </c>
      <c r="F231" s="45">
        <v>434</v>
      </c>
      <c r="G231" s="44">
        <v>2.2000000000000002</v>
      </c>
      <c r="H231" s="21">
        <f t="shared" si="4"/>
        <v>2148.3000000000002</v>
      </c>
      <c r="I231" s="6" t="s">
        <v>476</v>
      </c>
      <c r="J231" s="17"/>
    </row>
    <row r="232" spans="1:10" ht="13.95" customHeight="1" x14ac:dyDescent="0.3">
      <c r="A232" s="3">
        <v>45888</v>
      </c>
      <c r="B232" s="3" t="s">
        <v>20</v>
      </c>
      <c r="C232" s="3" t="s">
        <v>1347</v>
      </c>
      <c r="D232" s="4">
        <v>1</v>
      </c>
      <c r="E232" s="42">
        <v>2.25</v>
      </c>
      <c r="F232" s="45">
        <v>434</v>
      </c>
      <c r="G232" s="44">
        <v>2.2000000000000002</v>
      </c>
      <c r="H232" s="21">
        <f t="shared" si="4"/>
        <v>2148.3000000000002</v>
      </c>
      <c r="I232" s="6" t="s">
        <v>476</v>
      </c>
      <c r="J232" s="17"/>
    </row>
    <row r="233" spans="1:10" ht="13.95" customHeight="1" x14ac:dyDescent="0.3">
      <c r="A233" s="3">
        <v>45889</v>
      </c>
      <c r="B233" s="3" t="s">
        <v>5</v>
      </c>
      <c r="C233" s="3" t="s">
        <v>1347</v>
      </c>
      <c r="D233" s="4">
        <v>1</v>
      </c>
      <c r="E233" s="42">
        <v>2.25</v>
      </c>
      <c r="F233" s="45">
        <v>434</v>
      </c>
      <c r="G233" s="44">
        <v>2.2000000000000002</v>
      </c>
      <c r="H233" s="21">
        <f t="shared" si="4"/>
        <v>2148.3000000000002</v>
      </c>
      <c r="I233" s="6" t="s">
        <v>476</v>
      </c>
      <c r="J233" s="17"/>
    </row>
    <row r="234" spans="1:10" ht="13.95" customHeight="1" x14ac:dyDescent="0.3">
      <c r="A234" s="3">
        <v>45890</v>
      </c>
      <c r="B234" s="3" t="s">
        <v>8</v>
      </c>
      <c r="C234" s="3" t="s">
        <v>1347</v>
      </c>
      <c r="D234" s="4">
        <v>1</v>
      </c>
      <c r="E234" s="42">
        <v>2.2999999999999998</v>
      </c>
      <c r="F234" s="45">
        <v>434</v>
      </c>
      <c r="G234" s="44">
        <v>2.2000000000000002</v>
      </c>
      <c r="H234" s="21">
        <f t="shared" si="4"/>
        <v>2196.04</v>
      </c>
      <c r="I234" s="6" t="s">
        <v>476</v>
      </c>
      <c r="J234" s="17"/>
    </row>
    <row r="235" spans="1:10" ht="13.95" customHeight="1" x14ac:dyDescent="0.3">
      <c r="A235" s="3">
        <v>45891</v>
      </c>
      <c r="B235" s="3" t="s">
        <v>11</v>
      </c>
      <c r="C235" s="3" t="s">
        <v>829</v>
      </c>
      <c r="D235" s="4">
        <v>1</v>
      </c>
      <c r="E235" s="42">
        <v>2.5499999999999998</v>
      </c>
      <c r="F235" s="45">
        <v>434</v>
      </c>
      <c r="G235" s="44">
        <v>2.2000000000000002</v>
      </c>
      <c r="H235" s="21">
        <f t="shared" si="4"/>
        <v>2434.7399999999998</v>
      </c>
      <c r="I235" s="6" t="s">
        <v>97</v>
      </c>
      <c r="J235" s="17"/>
    </row>
    <row r="236" spans="1:10" ht="13.95" customHeight="1" x14ac:dyDescent="0.3">
      <c r="A236" s="3">
        <v>45892</v>
      </c>
      <c r="B236" s="3" t="s">
        <v>13</v>
      </c>
      <c r="C236" s="3" t="s">
        <v>829</v>
      </c>
      <c r="D236" s="4">
        <v>1</v>
      </c>
      <c r="E236" s="42">
        <v>2.85</v>
      </c>
      <c r="F236" s="45">
        <v>434</v>
      </c>
      <c r="G236" s="44">
        <v>2.2000000000000002</v>
      </c>
      <c r="H236" s="21">
        <f t="shared" si="4"/>
        <v>2721.1800000000003</v>
      </c>
      <c r="I236" s="6" t="s">
        <v>746</v>
      </c>
      <c r="J236" s="17"/>
    </row>
    <row r="237" spans="1:10" ht="13.95" customHeight="1" x14ac:dyDescent="0.3">
      <c r="A237" s="3">
        <v>45893</v>
      </c>
      <c r="B237" s="3" t="s">
        <v>16</v>
      </c>
      <c r="C237" s="3" t="s">
        <v>829</v>
      </c>
      <c r="D237" s="4">
        <v>1</v>
      </c>
      <c r="E237" s="42">
        <v>2.6</v>
      </c>
      <c r="F237" s="45">
        <v>434</v>
      </c>
      <c r="G237" s="44">
        <v>2.2000000000000002</v>
      </c>
      <c r="H237" s="21">
        <f t="shared" si="4"/>
        <v>2482.4800000000005</v>
      </c>
      <c r="I237" s="6" t="s">
        <v>149</v>
      </c>
      <c r="J237" s="17"/>
    </row>
    <row r="238" spans="1:10" ht="13.95" customHeight="1" x14ac:dyDescent="0.3">
      <c r="A238" s="3">
        <v>45894</v>
      </c>
      <c r="B238" s="3" t="s">
        <v>18</v>
      </c>
      <c r="C238" s="3" t="s">
        <v>1347</v>
      </c>
      <c r="D238" s="4">
        <v>0.98</v>
      </c>
      <c r="E238" s="42">
        <v>2.2000000000000002</v>
      </c>
      <c r="F238" s="45">
        <v>434</v>
      </c>
      <c r="G238" s="44">
        <v>2.2000000000000002</v>
      </c>
      <c r="H238" s="21">
        <f t="shared" si="4"/>
        <v>2058.5488000000005</v>
      </c>
      <c r="I238" s="6" t="s">
        <v>1388</v>
      </c>
      <c r="J238" s="17"/>
    </row>
    <row r="239" spans="1:10" ht="13.95" customHeight="1" x14ac:dyDescent="0.3">
      <c r="A239" s="3">
        <v>45895</v>
      </c>
      <c r="B239" s="3" t="s">
        <v>20</v>
      </c>
      <c r="C239" s="3" t="s">
        <v>1347</v>
      </c>
      <c r="D239" s="4">
        <v>0.98</v>
      </c>
      <c r="E239" s="42">
        <v>2.2000000000000002</v>
      </c>
      <c r="F239" s="45">
        <v>434</v>
      </c>
      <c r="G239" s="44">
        <v>2.2000000000000002</v>
      </c>
      <c r="H239" s="21">
        <f t="shared" si="4"/>
        <v>2058.5488000000005</v>
      </c>
      <c r="I239" s="6" t="s">
        <v>476</v>
      </c>
      <c r="J239" s="17"/>
    </row>
    <row r="240" spans="1:10" ht="13.95" customHeight="1" x14ac:dyDescent="0.3">
      <c r="A240" s="3">
        <v>45896</v>
      </c>
      <c r="B240" s="3" t="s">
        <v>5</v>
      </c>
      <c r="C240" s="3" t="s">
        <v>1347</v>
      </c>
      <c r="D240" s="4">
        <v>0.95</v>
      </c>
      <c r="E240" s="42">
        <v>2.2000000000000002</v>
      </c>
      <c r="F240" s="45">
        <v>434</v>
      </c>
      <c r="G240" s="44">
        <v>2.2000000000000002</v>
      </c>
      <c r="H240" s="21">
        <f t="shared" si="4"/>
        <v>1995.5320000000002</v>
      </c>
      <c r="I240" s="6" t="s">
        <v>476</v>
      </c>
      <c r="J240" s="17"/>
    </row>
    <row r="241" spans="1:10" ht="13.95" customHeight="1" x14ac:dyDescent="0.3">
      <c r="A241" s="3">
        <v>45897</v>
      </c>
      <c r="B241" s="3" t="s">
        <v>8</v>
      </c>
      <c r="C241" s="3" t="s">
        <v>1347</v>
      </c>
      <c r="D241" s="4">
        <v>0.98</v>
      </c>
      <c r="E241" s="42">
        <v>2.2000000000000002</v>
      </c>
      <c r="F241" s="45">
        <v>434</v>
      </c>
      <c r="G241" s="44">
        <v>2.2000000000000002</v>
      </c>
      <c r="H241" s="21">
        <f t="shared" si="4"/>
        <v>2058.5488000000005</v>
      </c>
      <c r="I241" s="6" t="s">
        <v>70</v>
      </c>
      <c r="J241" s="17"/>
    </row>
    <row r="242" spans="1:10" ht="13.95" customHeight="1" x14ac:dyDescent="0.3">
      <c r="A242" s="3">
        <v>45898</v>
      </c>
      <c r="B242" s="3" t="s">
        <v>11</v>
      </c>
      <c r="C242" s="3" t="s">
        <v>14</v>
      </c>
      <c r="D242" s="4">
        <v>1</v>
      </c>
      <c r="E242" s="42">
        <v>2.5</v>
      </c>
      <c r="F242" s="45">
        <v>434</v>
      </c>
      <c r="G242" s="44">
        <v>2.2000000000000002</v>
      </c>
      <c r="H242" s="21">
        <f t="shared" si="4"/>
        <v>2387</v>
      </c>
      <c r="I242" s="6" t="s">
        <v>1389</v>
      </c>
      <c r="J242" s="17"/>
    </row>
    <row r="243" spans="1:10" ht="13.95" customHeight="1" x14ac:dyDescent="0.3">
      <c r="A243" s="3">
        <v>45899</v>
      </c>
      <c r="B243" s="3" t="s">
        <v>13</v>
      </c>
      <c r="C243" s="3" t="s">
        <v>14</v>
      </c>
      <c r="D243" s="4">
        <v>1</v>
      </c>
      <c r="E243" s="42">
        <v>2.85</v>
      </c>
      <c r="F243" s="45">
        <v>434</v>
      </c>
      <c r="G243" s="44">
        <v>2.2000000000000002</v>
      </c>
      <c r="H243" s="21">
        <f t="shared" si="4"/>
        <v>2721.1800000000003</v>
      </c>
      <c r="I243" s="6" t="s">
        <v>1393</v>
      </c>
      <c r="J243" s="17"/>
    </row>
    <row r="244" spans="1:10" ht="13.95" customHeight="1" x14ac:dyDescent="0.3">
      <c r="A244" s="3">
        <v>45900</v>
      </c>
      <c r="B244" s="3" t="s">
        <v>16</v>
      </c>
      <c r="C244" s="3" t="s">
        <v>14</v>
      </c>
      <c r="D244" s="4">
        <v>1</v>
      </c>
      <c r="E244" s="42">
        <v>2.5499999999999998</v>
      </c>
      <c r="F244" s="45">
        <v>434</v>
      </c>
      <c r="G244" s="44">
        <v>2.2000000000000002</v>
      </c>
      <c r="H244" s="21">
        <f t="shared" si="4"/>
        <v>2434.7399999999998</v>
      </c>
      <c r="I244" s="6" t="s">
        <v>1390</v>
      </c>
      <c r="J244" s="17"/>
    </row>
    <row r="245" spans="1:10" ht="13.95" customHeight="1" x14ac:dyDescent="0.3">
      <c r="A245" s="3">
        <v>45901</v>
      </c>
      <c r="B245" s="3" t="s">
        <v>18</v>
      </c>
      <c r="C245" s="3" t="s">
        <v>1355</v>
      </c>
      <c r="D245" s="4">
        <v>0.85</v>
      </c>
      <c r="E245" s="42">
        <v>2.1</v>
      </c>
      <c r="F245" s="45">
        <v>434</v>
      </c>
      <c r="G245" s="44">
        <v>2.2000000000000002</v>
      </c>
      <c r="H245" s="21">
        <f t="shared" si="4"/>
        <v>1704.318</v>
      </c>
      <c r="I245" s="6" t="s">
        <v>1356</v>
      </c>
      <c r="J245" s="17"/>
    </row>
    <row r="246" spans="1:10" ht="13.95" customHeight="1" x14ac:dyDescent="0.3">
      <c r="A246" s="3">
        <v>45902</v>
      </c>
      <c r="B246" s="3" t="s">
        <v>20</v>
      </c>
      <c r="C246" s="3" t="s">
        <v>1330</v>
      </c>
      <c r="D246" s="4">
        <v>0.8</v>
      </c>
      <c r="E246" s="42">
        <v>2</v>
      </c>
      <c r="F246" s="45">
        <v>434</v>
      </c>
      <c r="G246" s="44">
        <v>2.2000000000000002</v>
      </c>
      <c r="H246" s="21">
        <f t="shared" si="4"/>
        <v>1527.6800000000003</v>
      </c>
      <c r="I246" s="6" t="s">
        <v>1454</v>
      </c>
      <c r="J246" s="17"/>
    </row>
    <row r="247" spans="1:10" ht="13.95" customHeight="1" x14ac:dyDescent="0.3">
      <c r="A247" s="3">
        <v>45903</v>
      </c>
      <c r="B247" s="3" t="s">
        <v>5</v>
      </c>
      <c r="C247" s="3" t="s">
        <v>1330</v>
      </c>
      <c r="D247" s="4">
        <v>0.78</v>
      </c>
      <c r="E247" s="42">
        <v>2</v>
      </c>
      <c r="F247" s="45">
        <v>434</v>
      </c>
      <c r="G247" s="44">
        <v>2.2000000000000002</v>
      </c>
      <c r="H247" s="21">
        <f t="shared" si="4"/>
        <v>1489.4880000000003</v>
      </c>
      <c r="I247" s="6" t="s">
        <v>1375</v>
      </c>
      <c r="J247" s="17"/>
    </row>
    <row r="248" spans="1:10" ht="13.95" customHeight="1" x14ac:dyDescent="0.3">
      <c r="A248" s="3">
        <v>45904</v>
      </c>
      <c r="B248" s="3" t="s">
        <v>8</v>
      </c>
      <c r="C248" s="3" t="s">
        <v>1330</v>
      </c>
      <c r="D248" s="4">
        <v>0.8</v>
      </c>
      <c r="E248" s="42">
        <v>2</v>
      </c>
      <c r="F248" s="45">
        <v>434</v>
      </c>
      <c r="G248" s="44">
        <v>2.2000000000000002</v>
      </c>
      <c r="H248" s="21">
        <f t="shared" si="4"/>
        <v>1527.6800000000003</v>
      </c>
      <c r="I248" s="6" t="s">
        <v>603</v>
      </c>
      <c r="J248" s="17"/>
    </row>
    <row r="249" spans="1:10" ht="13.95" customHeight="1" x14ac:dyDescent="0.3">
      <c r="A249" s="3">
        <v>45905</v>
      </c>
      <c r="B249" s="3" t="s">
        <v>11</v>
      </c>
      <c r="C249" s="3" t="s">
        <v>14</v>
      </c>
      <c r="D249" s="4">
        <v>0.85</v>
      </c>
      <c r="E249" s="42">
        <v>2.2000000000000002</v>
      </c>
      <c r="F249" s="45">
        <v>434</v>
      </c>
      <c r="G249" s="44">
        <v>2.2000000000000002</v>
      </c>
      <c r="H249" s="21">
        <f t="shared" si="4"/>
        <v>1785.4760000000003</v>
      </c>
      <c r="I249" s="6" t="s">
        <v>1124</v>
      </c>
      <c r="J249" s="17"/>
    </row>
    <row r="250" spans="1:10" ht="13.95" customHeight="1" x14ac:dyDescent="0.3">
      <c r="A250" s="3">
        <v>45906</v>
      </c>
      <c r="B250" s="3" t="s">
        <v>13</v>
      </c>
      <c r="C250" s="3" t="s">
        <v>14</v>
      </c>
      <c r="D250" s="4">
        <v>0.9</v>
      </c>
      <c r="E250" s="42">
        <v>2.5</v>
      </c>
      <c r="F250" s="45">
        <v>434</v>
      </c>
      <c r="G250" s="44">
        <v>2.2000000000000002</v>
      </c>
      <c r="H250" s="21">
        <f t="shared" si="4"/>
        <v>2148.3000000000002</v>
      </c>
      <c r="I250" s="6" t="s">
        <v>1359</v>
      </c>
      <c r="J250" s="17"/>
    </row>
    <row r="251" spans="1:10" ht="13.95" customHeight="1" x14ac:dyDescent="0.3">
      <c r="A251" s="3">
        <v>45907</v>
      </c>
      <c r="B251" s="3" t="s">
        <v>16</v>
      </c>
      <c r="C251" s="3" t="s">
        <v>14</v>
      </c>
      <c r="D251" s="4">
        <v>0.85</v>
      </c>
      <c r="E251" s="42">
        <v>2.25</v>
      </c>
      <c r="F251" s="45">
        <v>434</v>
      </c>
      <c r="G251" s="44">
        <v>2.2000000000000002</v>
      </c>
      <c r="H251" s="21">
        <f t="shared" si="4"/>
        <v>1826.0550000000001</v>
      </c>
      <c r="I251" s="6" t="s">
        <v>139</v>
      </c>
      <c r="J251" s="17"/>
    </row>
    <row r="252" spans="1:10" ht="13.95" customHeight="1" x14ac:dyDescent="0.3">
      <c r="A252" s="3">
        <v>45908</v>
      </c>
      <c r="B252" s="3" t="s">
        <v>18</v>
      </c>
      <c r="C252" s="3" t="s">
        <v>1330</v>
      </c>
      <c r="D252" s="4">
        <v>0.75</v>
      </c>
      <c r="E252" s="42">
        <v>1.95</v>
      </c>
      <c r="F252" s="45">
        <v>434</v>
      </c>
      <c r="G252" s="44">
        <v>2.2000000000000002</v>
      </c>
      <c r="H252" s="21">
        <f t="shared" si="4"/>
        <v>1396.3950000000002</v>
      </c>
      <c r="I252" s="6" t="s">
        <v>527</v>
      </c>
      <c r="J252" s="17"/>
    </row>
    <row r="253" spans="1:10" ht="13.95" customHeight="1" x14ac:dyDescent="0.3">
      <c r="A253" s="3">
        <v>45909</v>
      </c>
      <c r="B253" s="3" t="s">
        <v>20</v>
      </c>
      <c r="C253" s="3" t="s">
        <v>1330</v>
      </c>
      <c r="D253" s="4">
        <v>0.72</v>
      </c>
      <c r="E253" s="42">
        <v>1.95</v>
      </c>
      <c r="F253" s="45">
        <v>434</v>
      </c>
      <c r="G253" s="44">
        <v>2.2000000000000002</v>
      </c>
      <c r="H253" s="21">
        <f t="shared" si="4"/>
        <v>1340.5391999999999</v>
      </c>
      <c r="I253" s="6" t="s">
        <v>527</v>
      </c>
      <c r="J253" s="17"/>
    </row>
    <row r="254" spans="1:10" ht="13.95" customHeight="1" x14ac:dyDescent="0.3">
      <c r="A254" s="3">
        <v>45910</v>
      </c>
      <c r="B254" s="3" t="s">
        <v>5</v>
      </c>
      <c r="C254" s="3" t="s">
        <v>1330</v>
      </c>
      <c r="D254" s="4">
        <v>0.7</v>
      </c>
      <c r="E254" s="42">
        <v>1.9</v>
      </c>
      <c r="F254" s="45">
        <v>434</v>
      </c>
      <c r="G254" s="44">
        <v>2.2000000000000002</v>
      </c>
      <c r="H254" s="21">
        <f t="shared" si="4"/>
        <v>1269.884</v>
      </c>
      <c r="I254" s="6" t="s">
        <v>71</v>
      </c>
      <c r="J254" s="17"/>
    </row>
    <row r="255" spans="1:10" ht="13.95" customHeight="1" x14ac:dyDescent="0.3">
      <c r="A255" s="3">
        <v>45911</v>
      </c>
      <c r="B255" s="3" t="s">
        <v>8</v>
      </c>
      <c r="C255" s="3" t="s">
        <v>1330</v>
      </c>
      <c r="D255" s="4">
        <v>0.75</v>
      </c>
      <c r="E255" s="42">
        <v>2</v>
      </c>
      <c r="F255" s="45">
        <v>434</v>
      </c>
      <c r="G255" s="44">
        <v>2.2000000000000002</v>
      </c>
      <c r="H255" s="21">
        <f t="shared" si="4"/>
        <v>1432.2</v>
      </c>
      <c r="I255" s="6" t="s">
        <v>1360</v>
      </c>
      <c r="J255" s="17"/>
    </row>
    <row r="256" spans="1:10" ht="13.95" customHeight="1" x14ac:dyDescent="0.3">
      <c r="A256" s="3">
        <v>45912</v>
      </c>
      <c r="B256" s="3" t="s">
        <v>11</v>
      </c>
      <c r="C256" s="3" t="s">
        <v>14</v>
      </c>
      <c r="D256" s="4">
        <v>0.8</v>
      </c>
      <c r="E256" s="42">
        <v>2.15</v>
      </c>
      <c r="F256" s="45">
        <v>434</v>
      </c>
      <c r="G256" s="44">
        <v>2.2000000000000002</v>
      </c>
      <c r="H256" s="21">
        <f t="shared" si="4"/>
        <v>1642.2560000000001</v>
      </c>
      <c r="I256" s="6" t="s">
        <v>97</v>
      </c>
      <c r="J256" s="17"/>
    </row>
    <row r="257" spans="1:10" ht="13.95" customHeight="1" x14ac:dyDescent="0.3">
      <c r="A257" s="3">
        <v>45913</v>
      </c>
      <c r="B257" s="3" t="s">
        <v>13</v>
      </c>
      <c r="C257" s="3" t="s">
        <v>14</v>
      </c>
      <c r="D257" s="4">
        <v>0.85</v>
      </c>
      <c r="E257" s="42">
        <v>2.4500000000000002</v>
      </c>
      <c r="F257" s="45">
        <v>434</v>
      </c>
      <c r="G257" s="44">
        <v>2.2000000000000002</v>
      </c>
      <c r="H257" s="21">
        <f t="shared" si="4"/>
        <v>1988.3710000000003</v>
      </c>
      <c r="I257" s="6" t="s">
        <v>1455</v>
      </c>
      <c r="J257" s="17"/>
    </row>
    <row r="258" spans="1:10" ht="13.95" customHeight="1" x14ac:dyDescent="0.3">
      <c r="A258" s="3">
        <v>45914</v>
      </c>
      <c r="B258" s="3" t="s">
        <v>16</v>
      </c>
      <c r="C258" s="3" t="s">
        <v>14</v>
      </c>
      <c r="D258" s="4">
        <v>0.8</v>
      </c>
      <c r="E258" s="42">
        <v>2.2000000000000002</v>
      </c>
      <c r="F258" s="45">
        <v>434</v>
      </c>
      <c r="G258" s="44">
        <v>2.2000000000000002</v>
      </c>
      <c r="H258" s="21">
        <f t="shared" ref="H258:H321" si="5">(F258*D258)*E258*G258</f>
        <v>1680.4480000000005</v>
      </c>
      <c r="I258" s="6" t="s">
        <v>149</v>
      </c>
      <c r="J258" s="17"/>
    </row>
    <row r="259" spans="1:10" ht="13.95" customHeight="1" x14ac:dyDescent="0.3">
      <c r="A259" s="3">
        <v>45915</v>
      </c>
      <c r="B259" s="3" t="s">
        <v>18</v>
      </c>
      <c r="C259" s="3" t="s">
        <v>1330</v>
      </c>
      <c r="D259" s="4">
        <v>0.7</v>
      </c>
      <c r="E259" s="42">
        <v>1.95</v>
      </c>
      <c r="F259" s="45">
        <v>434</v>
      </c>
      <c r="G259" s="44">
        <v>2.2000000000000002</v>
      </c>
      <c r="H259" s="21">
        <f t="shared" si="5"/>
        <v>1303.3019999999997</v>
      </c>
      <c r="I259" s="6" t="s">
        <v>70</v>
      </c>
      <c r="J259" s="17"/>
    </row>
    <row r="260" spans="1:10" ht="13.95" customHeight="1" x14ac:dyDescent="0.3">
      <c r="A260" s="3">
        <v>45916</v>
      </c>
      <c r="B260" s="3" t="s">
        <v>20</v>
      </c>
      <c r="C260" s="3" t="s">
        <v>1330</v>
      </c>
      <c r="D260" s="4">
        <v>0.68</v>
      </c>
      <c r="E260" s="42">
        <v>1.95</v>
      </c>
      <c r="F260" s="45">
        <v>434</v>
      </c>
      <c r="G260" s="44">
        <v>2.2000000000000002</v>
      </c>
      <c r="H260" s="21">
        <f t="shared" si="5"/>
        <v>1266.0648000000001</v>
      </c>
      <c r="I260" s="6" t="s">
        <v>71</v>
      </c>
      <c r="J260" s="17"/>
    </row>
    <row r="261" spans="1:10" ht="13.95" customHeight="1" x14ac:dyDescent="0.3">
      <c r="A261" s="3">
        <v>45917</v>
      </c>
      <c r="B261" s="3" t="s">
        <v>5</v>
      </c>
      <c r="C261" s="3" t="s">
        <v>1330</v>
      </c>
      <c r="D261" s="4">
        <v>0.65</v>
      </c>
      <c r="E261" s="42">
        <v>1.9</v>
      </c>
      <c r="F261" s="45">
        <v>434</v>
      </c>
      <c r="G261" s="44">
        <v>2.2000000000000002</v>
      </c>
      <c r="H261" s="21">
        <f t="shared" si="5"/>
        <v>1179.1780000000001</v>
      </c>
      <c r="I261" s="6" t="s">
        <v>71</v>
      </c>
      <c r="J261" s="17"/>
    </row>
    <row r="262" spans="1:10" ht="13.95" customHeight="1" x14ac:dyDescent="0.3">
      <c r="A262" s="3">
        <v>45918</v>
      </c>
      <c r="B262" s="3" t="s">
        <v>8</v>
      </c>
      <c r="C262" s="3" t="s">
        <v>1330</v>
      </c>
      <c r="D262" s="4">
        <v>0.7</v>
      </c>
      <c r="E262" s="42">
        <v>2</v>
      </c>
      <c r="F262" s="45">
        <v>434</v>
      </c>
      <c r="G262" s="44">
        <v>2.2000000000000002</v>
      </c>
      <c r="H262" s="21">
        <f t="shared" si="5"/>
        <v>1336.7199999999998</v>
      </c>
      <c r="I262" s="6" t="s">
        <v>1410</v>
      </c>
      <c r="J262" s="17"/>
    </row>
    <row r="263" spans="1:10" ht="13.95" customHeight="1" x14ac:dyDescent="0.3">
      <c r="A263" s="3">
        <v>45919</v>
      </c>
      <c r="B263" s="3" t="s">
        <v>11</v>
      </c>
      <c r="C263" s="3" t="s">
        <v>14</v>
      </c>
      <c r="D263" s="4">
        <v>0.75</v>
      </c>
      <c r="E263" s="42">
        <v>2.15</v>
      </c>
      <c r="F263" s="45">
        <v>434</v>
      </c>
      <c r="G263" s="44">
        <v>2.2000000000000002</v>
      </c>
      <c r="H263" s="21">
        <f t="shared" si="5"/>
        <v>1539.615</v>
      </c>
      <c r="I263" s="6" t="s">
        <v>97</v>
      </c>
      <c r="J263" s="17"/>
    </row>
    <row r="264" spans="1:10" ht="13.95" customHeight="1" x14ac:dyDescent="0.3">
      <c r="A264" s="3">
        <v>45920</v>
      </c>
      <c r="B264" s="3" t="s">
        <v>13</v>
      </c>
      <c r="C264" s="3" t="s">
        <v>14</v>
      </c>
      <c r="D264" s="4">
        <v>0.8</v>
      </c>
      <c r="E264" s="42">
        <v>2.4</v>
      </c>
      <c r="F264" s="45">
        <v>434</v>
      </c>
      <c r="G264" s="44">
        <v>2.2000000000000002</v>
      </c>
      <c r="H264" s="21">
        <f t="shared" si="5"/>
        <v>1833.2160000000003</v>
      </c>
      <c r="I264" s="6" t="s">
        <v>1456</v>
      </c>
      <c r="J264" s="17"/>
    </row>
    <row r="265" spans="1:10" ht="13.95" customHeight="1" x14ac:dyDescent="0.3">
      <c r="A265" s="3">
        <v>45921</v>
      </c>
      <c r="B265" s="3" t="s">
        <v>16</v>
      </c>
      <c r="C265" s="3" t="s">
        <v>14</v>
      </c>
      <c r="D265" s="4">
        <v>0.75</v>
      </c>
      <c r="E265" s="42">
        <v>2.2000000000000002</v>
      </c>
      <c r="F265" s="45">
        <v>434</v>
      </c>
      <c r="G265" s="44">
        <v>2.2000000000000002</v>
      </c>
      <c r="H265" s="21">
        <f t="shared" si="5"/>
        <v>1575.42</v>
      </c>
      <c r="I265" s="6" t="s">
        <v>149</v>
      </c>
      <c r="J265" s="17"/>
    </row>
    <row r="266" spans="1:10" ht="13.95" customHeight="1" x14ac:dyDescent="0.3">
      <c r="A266" s="3">
        <v>45922</v>
      </c>
      <c r="B266" s="3" t="s">
        <v>18</v>
      </c>
      <c r="C266" s="3" t="s">
        <v>1330</v>
      </c>
      <c r="D266" s="4">
        <v>0.65</v>
      </c>
      <c r="E266" s="42">
        <v>1.95</v>
      </c>
      <c r="F266" s="45">
        <v>434</v>
      </c>
      <c r="G266" s="44">
        <v>2.2000000000000002</v>
      </c>
      <c r="H266" s="21">
        <f t="shared" si="5"/>
        <v>1210.2090000000001</v>
      </c>
      <c r="I266" s="6" t="s">
        <v>150</v>
      </c>
      <c r="J266" s="17"/>
    </row>
    <row r="267" spans="1:10" ht="13.95" customHeight="1" x14ac:dyDescent="0.3">
      <c r="A267" s="3">
        <v>45923</v>
      </c>
      <c r="B267" s="3" t="s">
        <v>20</v>
      </c>
      <c r="C267" s="3" t="s">
        <v>1330</v>
      </c>
      <c r="D267" s="4">
        <v>0.62</v>
      </c>
      <c r="E267" s="42">
        <v>1.95</v>
      </c>
      <c r="F267" s="45">
        <v>434</v>
      </c>
      <c r="G267" s="44">
        <v>2.2000000000000002</v>
      </c>
      <c r="H267" s="21">
        <f t="shared" si="5"/>
        <v>1154.3531999999998</v>
      </c>
      <c r="I267" s="6" t="s">
        <v>150</v>
      </c>
      <c r="J267" s="17"/>
    </row>
    <row r="268" spans="1:10" ht="13.95" customHeight="1" x14ac:dyDescent="0.3">
      <c r="A268" s="3">
        <v>45924</v>
      </c>
      <c r="B268" s="3" t="s">
        <v>5</v>
      </c>
      <c r="C268" s="3" t="s">
        <v>1330</v>
      </c>
      <c r="D268" s="4">
        <v>0.6</v>
      </c>
      <c r="E268" s="42">
        <v>1.9</v>
      </c>
      <c r="F268" s="45">
        <v>434</v>
      </c>
      <c r="G268" s="44">
        <v>2.2000000000000002</v>
      </c>
      <c r="H268" s="21">
        <f t="shared" si="5"/>
        <v>1088.472</v>
      </c>
      <c r="I268" s="6" t="s">
        <v>71</v>
      </c>
      <c r="J268" s="17"/>
    </row>
    <row r="269" spans="1:10" ht="13.95" customHeight="1" x14ac:dyDescent="0.3">
      <c r="A269" s="3">
        <v>45925</v>
      </c>
      <c r="B269" s="3" t="s">
        <v>8</v>
      </c>
      <c r="C269" s="3" t="s">
        <v>1330</v>
      </c>
      <c r="D269" s="4">
        <v>0.65</v>
      </c>
      <c r="E269" s="42">
        <v>2</v>
      </c>
      <c r="F269" s="45">
        <v>434</v>
      </c>
      <c r="G269" s="44">
        <v>2.2000000000000002</v>
      </c>
      <c r="H269" s="21">
        <f t="shared" si="5"/>
        <v>1241.2400000000002</v>
      </c>
      <c r="I269" s="6" t="s">
        <v>71</v>
      </c>
      <c r="J269" s="17"/>
    </row>
    <row r="270" spans="1:10" ht="13.95" customHeight="1" x14ac:dyDescent="0.3">
      <c r="A270" s="3">
        <v>45926</v>
      </c>
      <c r="B270" s="3" t="s">
        <v>11</v>
      </c>
      <c r="C270" s="3" t="s">
        <v>14</v>
      </c>
      <c r="D270" s="4">
        <v>0.7</v>
      </c>
      <c r="E270" s="42">
        <v>2.15</v>
      </c>
      <c r="F270" s="45">
        <v>434</v>
      </c>
      <c r="G270" s="44">
        <v>2.2000000000000002</v>
      </c>
      <c r="H270" s="21">
        <f t="shared" si="5"/>
        <v>1436.9739999999997</v>
      </c>
      <c r="I270" s="6" t="s">
        <v>97</v>
      </c>
      <c r="J270" s="17"/>
    </row>
    <row r="271" spans="1:10" ht="13.95" customHeight="1" x14ac:dyDescent="0.3">
      <c r="A271" s="3">
        <v>45927</v>
      </c>
      <c r="B271" s="3" t="s">
        <v>13</v>
      </c>
      <c r="C271" s="3" t="s">
        <v>14</v>
      </c>
      <c r="D271" s="4">
        <v>0.75</v>
      </c>
      <c r="E271" s="42">
        <v>2.4500000000000002</v>
      </c>
      <c r="F271" s="45">
        <v>434</v>
      </c>
      <c r="G271" s="44">
        <v>2.2000000000000002</v>
      </c>
      <c r="H271" s="21">
        <f t="shared" si="5"/>
        <v>1754.4450000000002</v>
      </c>
      <c r="I271" s="6" t="s">
        <v>1457</v>
      </c>
      <c r="J271" s="17"/>
    </row>
    <row r="272" spans="1:10" ht="13.95" customHeight="1" x14ac:dyDescent="0.3">
      <c r="A272" s="3">
        <v>45928</v>
      </c>
      <c r="B272" s="3" t="s">
        <v>16</v>
      </c>
      <c r="C272" s="3" t="s">
        <v>14</v>
      </c>
      <c r="D272" s="4">
        <v>0.72</v>
      </c>
      <c r="E272" s="42">
        <v>2.2000000000000002</v>
      </c>
      <c r="F272" s="45">
        <v>434</v>
      </c>
      <c r="G272" s="44">
        <v>2.2000000000000002</v>
      </c>
      <c r="H272" s="21">
        <f t="shared" si="5"/>
        <v>1512.4032000000002</v>
      </c>
      <c r="I272" s="6" t="s">
        <v>149</v>
      </c>
      <c r="J272" s="17"/>
    </row>
    <row r="273" spans="1:10" ht="13.95" customHeight="1" x14ac:dyDescent="0.3">
      <c r="A273" s="3">
        <v>45929</v>
      </c>
      <c r="B273" s="3" t="s">
        <v>18</v>
      </c>
      <c r="C273" s="3" t="s">
        <v>1330</v>
      </c>
      <c r="D273" s="4">
        <v>0.6</v>
      </c>
      <c r="E273" s="42">
        <v>1.9</v>
      </c>
      <c r="F273" s="45">
        <v>434</v>
      </c>
      <c r="G273" s="44">
        <v>2.2000000000000002</v>
      </c>
      <c r="H273" s="21">
        <f t="shared" si="5"/>
        <v>1088.472</v>
      </c>
      <c r="I273" s="6" t="s">
        <v>99</v>
      </c>
      <c r="J273" s="17"/>
    </row>
    <row r="274" spans="1:10" ht="13.95" customHeight="1" x14ac:dyDescent="0.3">
      <c r="A274" s="3">
        <v>45930</v>
      </c>
      <c r="B274" s="3" t="s">
        <v>20</v>
      </c>
      <c r="C274" s="3" t="s">
        <v>1330</v>
      </c>
      <c r="D274" s="4">
        <v>0.65</v>
      </c>
      <c r="E274" s="42">
        <v>1.95</v>
      </c>
      <c r="F274" s="45">
        <v>434</v>
      </c>
      <c r="G274" s="44">
        <v>2.2000000000000002</v>
      </c>
      <c r="H274" s="21">
        <f t="shared" si="5"/>
        <v>1210.2090000000001</v>
      </c>
      <c r="I274" s="6" t="s">
        <v>1458</v>
      </c>
      <c r="J274" s="17"/>
    </row>
    <row r="275" spans="1:10" ht="13.95" customHeight="1" x14ac:dyDescent="0.3">
      <c r="A275" s="3">
        <v>45931</v>
      </c>
      <c r="B275" s="3" t="s">
        <v>5</v>
      </c>
      <c r="C275" s="3" t="s">
        <v>1259</v>
      </c>
      <c r="D275" s="4">
        <v>0.55000000000000004</v>
      </c>
      <c r="E275" s="42">
        <v>1.8</v>
      </c>
      <c r="F275" s="45">
        <v>434</v>
      </c>
      <c r="G275" s="44">
        <v>2.2000000000000002</v>
      </c>
      <c r="H275" s="21">
        <f t="shared" si="5"/>
        <v>945.25200000000018</v>
      </c>
      <c r="I275" s="6" t="s">
        <v>1459</v>
      </c>
      <c r="J275" s="17"/>
    </row>
    <row r="276" spans="1:10" ht="13.95" customHeight="1" x14ac:dyDescent="0.3">
      <c r="A276" s="3">
        <v>45932</v>
      </c>
      <c r="B276" s="3" t="s">
        <v>8</v>
      </c>
      <c r="C276" s="3" t="s">
        <v>1259</v>
      </c>
      <c r="D276" s="4">
        <v>0.52</v>
      </c>
      <c r="E276" s="42">
        <v>1.8</v>
      </c>
      <c r="F276" s="45">
        <v>434</v>
      </c>
      <c r="G276" s="44">
        <v>2.2000000000000002</v>
      </c>
      <c r="H276" s="21">
        <f t="shared" si="5"/>
        <v>893.69280000000015</v>
      </c>
      <c r="I276" s="6" t="s">
        <v>150</v>
      </c>
      <c r="J276" s="17"/>
    </row>
    <row r="277" spans="1:10" ht="13.95" customHeight="1" x14ac:dyDescent="0.3">
      <c r="A277" s="3">
        <v>45933</v>
      </c>
      <c r="B277" s="3" t="s">
        <v>11</v>
      </c>
      <c r="C277" s="3" t="s">
        <v>14</v>
      </c>
      <c r="D277" s="4">
        <v>0.6</v>
      </c>
      <c r="E277" s="42">
        <v>2</v>
      </c>
      <c r="F277" s="45">
        <v>434</v>
      </c>
      <c r="G277" s="44">
        <v>2.2000000000000002</v>
      </c>
      <c r="H277" s="21">
        <f t="shared" si="5"/>
        <v>1145.76</v>
      </c>
      <c r="I277" s="6" t="s">
        <v>282</v>
      </c>
      <c r="J277" s="17"/>
    </row>
    <row r="278" spans="1:10" ht="13.95" customHeight="1" x14ac:dyDescent="0.3">
      <c r="A278" s="3">
        <v>45934</v>
      </c>
      <c r="B278" s="3" t="s">
        <v>13</v>
      </c>
      <c r="C278" s="3" t="s">
        <v>14</v>
      </c>
      <c r="D278" s="4">
        <v>0.7</v>
      </c>
      <c r="E278" s="42">
        <v>2.4</v>
      </c>
      <c r="F278" s="45">
        <v>434</v>
      </c>
      <c r="G278" s="44">
        <v>2.2000000000000002</v>
      </c>
      <c r="H278" s="21">
        <f t="shared" si="5"/>
        <v>1604.0639999999999</v>
      </c>
      <c r="I278" s="6" t="s">
        <v>1460</v>
      </c>
      <c r="J278" s="17"/>
    </row>
    <row r="279" spans="1:10" ht="13.95" customHeight="1" x14ac:dyDescent="0.3">
      <c r="A279" s="3">
        <v>45935</v>
      </c>
      <c r="B279" s="3" t="s">
        <v>16</v>
      </c>
      <c r="C279" s="3" t="s">
        <v>14</v>
      </c>
      <c r="D279" s="4">
        <v>0.65</v>
      </c>
      <c r="E279" s="42">
        <v>2.15</v>
      </c>
      <c r="F279" s="45">
        <v>434</v>
      </c>
      <c r="G279" s="44">
        <v>2.2000000000000002</v>
      </c>
      <c r="H279" s="21">
        <f t="shared" si="5"/>
        <v>1334.3330000000001</v>
      </c>
      <c r="I279" s="6" t="s">
        <v>139</v>
      </c>
      <c r="J279" s="17"/>
    </row>
    <row r="280" spans="1:10" ht="13.95" customHeight="1" x14ac:dyDescent="0.3">
      <c r="A280" s="3">
        <v>45936</v>
      </c>
      <c r="B280" s="3" t="s">
        <v>18</v>
      </c>
      <c r="C280" s="3" t="s">
        <v>1259</v>
      </c>
      <c r="D280" s="4">
        <v>0.45</v>
      </c>
      <c r="E280" s="42">
        <v>1.75</v>
      </c>
      <c r="F280" s="45">
        <v>434</v>
      </c>
      <c r="G280" s="44">
        <v>2.2000000000000002</v>
      </c>
      <c r="H280" s="21">
        <f t="shared" si="5"/>
        <v>751.90500000000009</v>
      </c>
      <c r="I280" s="6" t="s">
        <v>270</v>
      </c>
      <c r="J280" s="17"/>
    </row>
    <row r="281" spans="1:10" ht="13.95" customHeight="1" x14ac:dyDescent="0.3">
      <c r="A281" s="3">
        <v>45937</v>
      </c>
      <c r="B281" s="3" t="s">
        <v>20</v>
      </c>
      <c r="C281" s="3" t="s">
        <v>1259</v>
      </c>
      <c r="D281" s="4">
        <v>0.42</v>
      </c>
      <c r="E281" s="42">
        <v>1.75</v>
      </c>
      <c r="F281" s="45">
        <v>434</v>
      </c>
      <c r="G281" s="44">
        <v>2.2000000000000002</v>
      </c>
      <c r="H281" s="21">
        <f t="shared" si="5"/>
        <v>701.77800000000002</v>
      </c>
      <c r="I281" s="6" t="s">
        <v>150</v>
      </c>
      <c r="J281" s="17"/>
    </row>
    <row r="282" spans="1:10" ht="13.95" customHeight="1" x14ac:dyDescent="0.3">
      <c r="A282" s="3">
        <v>45938</v>
      </c>
      <c r="B282" s="3" t="s">
        <v>5</v>
      </c>
      <c r="C282" s="3" t="s">
        <v>1259</v>
      </c>
      <c r="D282" s="4">
        <v>0.4</v>
      </c>
      <c r="E282" s="42">
        <v>1.7</v>
      </c>
      <c r="F282" s="45">
        <v>434</v>
      </c>
      <c r="G282" s="44">
        <v>2.2000000000000002</v>
      </c>
      <c r="H282" s="21">
        <f t="shared" si="5"/>
        <v>649.26400000000001</v>
      </c>
      <c r="I282" s="6" t="s">
        <v>150</v>
      </c>
      <c r="J282" s="17"/>
    </row>
    <row r="283" spans="1:10" ht="13.95" customHeight="1" x14ac:dyDescent="0.3">
      <c r="A283" s="3">
        <v>45939</v>
      </c>
      <c r="B283" s="3" t="s">
        <v>8</v>
      </c>
      <c r="C283" s="3" t="s">
        <v>1259</v>
      </c>
      <c r="D283" s="4">
        <v>0.45</v>
      </c>
      <c r="E283" s="42">
        <v>1.8</v>
      </c>
      <c r="F283" s="45">
        <v>434</v>
      </c>
      <c r="G283" s="44">
        <v>2.2000000000000002</v>
      </c>
      <c r="H283" s="21">
        <f t="shared" si="5"/>
        <v>773.38800000000015</v>
      </c>
      <c r="I283" s="6" t="s">
        <v>143</v>
      </c>
      <c r="J283" s="17"/>
    </row>
    <row r="284" spans="1:10" ht="13.95" customHeight="1" x14ac:dyDescent="0.3">
      <c r="A284" s="3">
        <v>45940</v>
      </c>
      <c r="B284" s="3" t="s">
        <v>11</v>
      </c>
      <c r="C284" s="3" t="s">
        <v>14</v>
      </c>
      <c r="D284" s="4">
        <v>0.55000000000000004</v>
      </c>
      <c r="E284" s="42">
        <v>2</v>
      </c>
      <c r="F284" s="45">
        <v>434</v>
      </c>
      <c r="G284" s="44">
        <v>2.2000000000000002</v>
      </c>
      <c r="H284" s="21">
        <f t="shared" si="5"/>
        <v>1050.2800000000002</v>
      </c>
      <c r="I284" s="6" t="s">
        <v>97</v>
      </c>
      <c r="J284" s="17"/>
    </row>
    <row r="285" spans="1:10" ht="13.95" customHeight="1" x14ac:dyDescent="0.3">
      <c r="A285" s="3">
        <v>45941</v>
      </c>
      <c r="B285" s="3" t="s">
        <v>13</v>
      </c>
      <c r="C285" s="3" t="s">
        <v>14</v>
      </c>
      <c r="D285" s="4">
        <v>0.65</v>
      </c>
      <c r="E285" s="42">
        <v>2.35</v>
      </c>
      <c r="F285" s="45">
        <v>434</v>
      </c>
      <c r="G285" s="44">
        <v>2.2000000000000002</v>
      </c>
      <c r="H285" s="21">
        <f t="shared" si="5"/>
        <v>1458.4570000000003</v>
      </c>
      <c r="I285" s="6" t="s">
        <v>746</v>
      </c>
      <c r="J285" s="17"/>
    </row>
    <row r="286" spans="1:10" ht="13.95" customHeight="1" x14ac:dyDescent="0.3">
      <c r="A286" s="3">
        <v>45942</v>
      </c>
      <c r="B286" s="3" t="s">
        <v>16</v>
      </c>
      <c r="C286" s="3" t="s">
        <v>14</v>
      </c>
      <c r="D286" s="4">
        <v>0.6</v>
      </c>
      <c r="E286" s="42">
        <v>2.1</v>
      </c>
      <c r="F286" s="45">
        <v>434</v>
      </c>
      <c r="G286" s="44">
        <v>2.2000000000000002</v>
      </c>
      <c r="H286" s="21">
        <f t="shared" si="5"/>
        <v>1203.0480000000002</v>
      </c>
      <c r="I286" s="6" t="s">
        <v>149</v>
      </c>
      <c r="J286" s="17"/>
    </row>
    <row r="287" spans="1:10" ht="13.95" customHeight="1" x14ac:dyDescent="0.3">
      <c r="A287" s="3">
        <v>45943</v>
      </c>
      <c r="B287" s="3" t="s">
        <v>18</v>
      </c>
      <c r="C287" s="3" t="s">
        <v>1259</v>
      </c>
      <c r="D287" s="4">
        <v>0.45</v>
      </c>
      <c r="E287" s="42">
        <v>1.75</v>
      </c>
      <c r="F287" s="45">
        <v>434</v>
      </c>
      <c r="G287" s="44">
        <v>2.2000000000000002</v>
      </c>
      <c r="H287" s="21">
        <f t="shared" si="5"/>
        <v>751.90500000000009</v>
      </c>
      <c r="I287" s="6" t="s">
        <v>150</v>
      </c>
      <c r="J287" s="17"/>
    </row>
    <row r="288" spans="1:10" ht="13.95" customHeight="1" x14ac:dyDescent="0.3">
      <c r="A288" s="3">
        <v>45944</v>
      </c>
      <c r="B288" s="3" t="s">
        <v>20</v>
      </c>
      <c r="C288" s="3" t="s">
        <v>1259</v>
      </c>
      <c r="D288" s="4">
        <v>0.48</v>
      </c>
      <c r="E288" s="42">
        <v>1.75</v>
      </c>
      <c r="F288" s="45">
        <v>434</v>
      </c>
      <c r="G288" s="44">
        <v>2.2000000000000002</v>
      </c>
      <c r="H288" s="21">
        <f t="shared" si="5"/>
        <v>802.03200000000004</v>
      </c>
      <c r="I288" s="6" t="s">
        <v>150</v>
      </c>
      <c r="J288" s="17"/>
    </row>
    <row r="289" spans="1:10" ht="13.95" customHeight="1" x14ac:dyDescent="0.3">
      <c r="A289" s="3">
        <v>45945</v>
      </c>
      <c r="B289" s="3" t="s">
        <v>5</v>
      </c>
      <c r="C289" s="3" t="s">
        <v>865</v>
      </c>
      <c r="D289" s="4">
        <v>0.65</v>
      </c>
      <c r="E289" s="42">
        <v>2.15</v>
      </c>
      <c r="F289" s="45">
        <v>434</v>
      </c>
      <c r="G289" s="44">
        <v>2.2000000000000002</v>
      </c>
      <c r="H289" s="21">
        <f t="shared" si="5"/>
        <v>1334.3330000000001</v>
      </c>
      <c r="I289" s="6" t="s">
        <v>1366</v>
      </c>
      <c r="J289" s="17"/>
    </row>
    <row r="290" spans="1:10" ht="13.95" customHeight="1" x14ac:dyDescent="0.3">
      <c r="A290" s="3">
        <v>45946</v>
      </c>
      <c r="B290" s="3" t="s">
        <v>8</v>
      </c>
      <c r="C290" s="3" t="s">
        <v>1259</v>
      </c>
      <c r="D290" s="4">
        <v>0.5</v>
      </c>
      <c r="E290" s="42">
        <v>1.85</v>
      </c>
      <c r="F290" s="45">
        <v>434</v>
      </c>
      <c r="G290" s="44">
        <v>2.2000000000000002</v>
      </c>
      <c r="H290" s="21">
        <f t="shared" si="5"/>
        <v>883.19000000000017</v>
      </c>
      <c r="I290" s="6" t="s">
        <v>738</v>
      </c>
      <c r="J290" s="17"/>
    </row>
    <row r="291" spans="1:10" ht="13.95" customHeight="1" x14ac:dyDescent="0.3">
      <c r="A291" s="3">
        <v>45947</v>
      </c>
      <c r="B291" s="3" t="s">
        <v>11</v>
      </c>
      <c r="C291" s="3" t="s">
        <v>1434</v>
      </c>
      <c r="D291" s="4">
        <v>0.65</v>
      </c>
      <c r="E291" s="42">
        <v>2</v>
      </c>
      <c r="F291" s="45">
        <v>434</v>
      </c>
      <c r="G291" s="44">
        <v>2.2000000000000002</v>
      </c>
      <c r="H291" s="21">
        <f t="shared" si="5"/>
        <v>1241.2400000000002</v>
      </c>
      <c r="I291" s="6" t="s">
        <v>1461</v>
      </c>
      <c r="J291" s="17"/>
    </row>
    <row r="292" spans="1:10" ht="13.95" customHeight="1" x14ac:dyDescent="0.3">
      <c r="A292" s="3">
        <v>45948</v>
      </c>
      <c r="B292" s="3" t="s">
        <v>13</v>
      </c>
      <c r="C292" s="3" t="s">
        <v>1434</v>
      </c>
      <c r="D292" s="4">
        <v>0.75</v>
      </c>
      <c r="E292" s="42">
        <v>2.2999999999999998</v>
      </c>
      <c r="F292" s="45">
        <v>434</v>
      </c>
      <c r="G292" s="44">
        <v>2.2000000000000002</v>
      </c>
      <c r="H292" s="21">
        <f t="shared" si="5"/>
        <v>1647.03</v>
      </c>
      <c r="I292" s="6" t="s">
        <v>1323</v>
      </c>
      <c r="J292" s="17"/>
    </row>
    <row r="293" spans="1:10" ht="13.95" customHeight="1" x14ac:dyDescent="0.3">
      <c r="A293" s="3">
        <v>45949</v>
      </c>
      <c r="B293" s="3" t="s">
        <v>16</v>
      </c>
      <c r="C293" s="3" t="s">
        <v>1434</v>
      </c>
      <c r="D293" s="4">
        <v>0.72</v>
      </c>
      <c r="E293" s="42">
        <v>2.1</v>
      </c>
      <c r="F293" s="45">
        <v>434</v>
      </c>
      <c r="G293" s="44">
        <v>2.2000000000000002</v>
      </c>
      <c r="H293" s="21">
        <f t="shared" si="5"/>
        <v>1443.6576</v>
      </c>
      <c r="I293" s="6" t="s">
        <v>1275</v>
      </c>
      <c r="J293" s="17"/>
    </row>
    <row r="294" spans="1:10" ht="13.95" customHeight="1" x14ac:dyDescent="0.3">
      <c r="A294" s="3">
        <v>45950</v>
      </c>
      <c r="B294" s="3" t="s">
        <v>18</v>
      </c>
      <c r="C294" s="3" t="s">
        <v>1434</v>
      </c>
      <c r="D294" s="4">
        <v>0.7</v>
      </c>
      <c r="E294" s="42">
        <v>1.95</v>
      </c>
      <c r="F294" s="45">
        <v>434</v>
      </c>
      <c r="G294" s="44">
        <v>2.2000000000000002</v>
      </c>
      <c r="H294" s="21">
        <f t="shared" si="5"/>
        <v>1303.3019999999997</v>
      </c>
      <c r="I294" s="6" t="s">
        <v>1462</v>
      </c>
      <c r="J294" s="17"/>
    </row>
    <row r="295" spans="1:10" ht="13.95" customHeight="1" x14ac:dyDescent="0.3">
      <c r="A295" s="3">
        <v>45951</v>
      </c>
      <c r="B295" s="3" t="s">
        <v>20</v>
      </c>
      <c r="C295" s="3" t="s">
        <v>1434</v>
      </c>
      <c r="D295" s="4">
        <v>0.68</v>
      </c>
      <c r="E295" s="42">
        <v>1.95</v>
      </c>
      <c r="F295" s="45">
        <v>434</v>
      </c>
      <c r="G295" s="44">
        <v>2.2000000000000002</v>
      </c>
      <c r="H295" s="21">
        <f t="shared" si="5"/>
        <v>1266.0648000000001</v>
      </c>
      <c r="I295" s="6" t="s">
        <v>758</v>
      </c>
      <c r="J295" s="17"/>
    </row>
    <row r="296" spans="1:10" ht="13.95" customHeight="1" x14ac:dyDescent="0.3">
      <c r="A296" s="3">
        <v>45952</v>
      </c>
      <c r="B296" s="3" t="s">
        <v>5</v>
      </c>
      <c r="C296" s="3" t="s">
        <v>1434</v>
      </c>
      <c r="D296" s="4">
        <v>0.7</v>
      </c>
      <c r="E296" s="42">
        <v>1.95</v>
      </c>
      <c r="F296" s="45">
        <v>434</v>
      </c>
      <c r="G296" s="44">
        <v>2.2000000000000002</v>
      </c>
      <c r="H296" s="21">
        <f t="shared" si="5"/>
        <v>1303.3019999999997</v>
      </c>
      <c r="I296" s="6" t="s">
        <v>758</v>
      </c>
      <c r="J296" s="17"/>
    </row>
    <row r="297" spans="1:10" ht="13.95" customHeight="1" x14ac:dyDescent="0.3">
      <c r="A297" s="3">
        <v>45953</v>
      </c>
      <c r="B297" s="3" t="s">
        <v>8</v>
      </c>
      <c r="C297" s="3" t="s">
        <v>1434</v>
      </c>
      <c r="D297" s="4">
        <v>0.75</v>
      </c>
      <c r="E297" s="42">
        <v>2</v>
      </c>
      <c r="F297" s="45">
        <v>434</v>
      </c>
      <c r="G297" s="44">
        <v>2.2000000000000002</v>
      </c>
      <c r="H297" s="21">
        <f t="shared" si="5"/>
        <v>1432.2</v>
      </c>
      <c r="I297" s="6" t="s">
        <v>828</v>
      </c>
      <c r="J297" s="17"/>
    </row>
    <row r="298" spans="1:10" ht="13.95" customHeight="1" x14ac:dyDescent="0.3">
      <c r="A298" s="3">
        <v>45954</v>
      </c>
      <c r="B298" s="3" t="s">
        <v>11</v>
      </c>
      <c r="C298" s="3" t="s">
        <v>14</v>
      </c>
      <c r="D298" s="4">
        <v>0.8</v>
      </c>
      <c r="E298" s="42">
        <v>2.15</v>
      </c>
      <c r="F298" s="45">
        <v>434</v>
      </c>
      <c r="G298" s="44">
        <v>2.2000000000000002</v>
      </c>
      <c r="H298" s="21">
        <f t="shared" si="5"/>
        <v>1642.2560000000001</v>
      </c>
      <c r="I298" s="6" t="s">
        <v>1463</v>
      </c>
      <c r="J298" s="17"/>
    </row>
    <row r="299" spans="1:10" ht="13.95" customHeight="1" x14ac:dyDescent="0.3">
      <c r="A299" s="3">
        <v>45955</v>
      </c>
      <c r="B299" s="3" t="s">
        <v>13</v>
      </c>
      <c r="C299" s="3" t="s">
        <v>14</v>
      </c>
      <c r="D299" s="4">
        <v>0.85</v>
      </c>
      <c r="E299" s="42">
        <v>2.4500000000000002</v>
      </c>
      <c r="F299" s="45">
        <v>434</v>
      </c>
      <c r="G299" s="44">
        <v>2.2000000000000002</v>
      </c>
      <c r="H299" s="21">
        <f t="shared" si="5"/>
        <v>1988.3710000000003</v>
      </c>
      <c r="I299" s="6" t="s">
        <v>1464</v>
      </c>
      <c r="J299" s="17"/>
    </row>
    <row r="300" spans="1:10" ht="13.95" customHeight="1" x14ac:dyDescent="0.3">
      <c r="A300" s="3">
        <v>45956</v>
      </c>
      <c r="B300" s="3" t="s">
        <v>16</v>
      </c>
      <c r="C300" s="3" t="s">
        <v>14</v>
      </c>
      <c r="D300" s="4">
        <v>0.82</v>
      </c>
      <c r="E300" s="42">
        <v>2.25</v>
      </c>
      <c r="F300" s="45">
        <v>434</v>
      </c>
      <c r="G300" s="44">
        <v>2.2000000000000002</v>
      </c>
      <c r="H300" s="21">
        <f t="shared" si="5"/>
        <v>1761.6060000000002</v>
      </c>
      <c r="I300" s="6" t="s">
        <v>149</v>
      </c>
      <c r="J300" s="17"/>
    </row>
    <row r="301" spans="1:10" ht="13.95" customHeight="1" x14ac:dyDescent="0.3">
      <c r="A301" s="3">
        <v>45957</v>
      </c>
      <c r="B301" s="3" t="s">
        <v>18</v>
      </c>
      <c r="C301" s="3" t="s">
        <v>1259</v>
      </c>
      <c r="D301" s="4">
        <v>0.55000000000000004</v>
      </c>
      <c r="E301" s="42">
        <v>1.85</v>
      </c>
      <c r="F301" s="45">
        <v>434</v>
      </c>
      <c r="G301" s="44">
        <v>2.2000000000000002</v>
      </c>
      <c r="H301" s="21">
        <f t="shared" si="5"/>
        <v>971.50900000000013</v>
      </c>
      <c r="I301" s="6" t="s">
        <v>1371</v>
      </c>
      <c r="J301" s="17"/>
    </row>
    <row r="302" spans="1:10" ht="13.95" customHeight="1" x14ac:dyDescent="0.3">
      <c r="A302" s="3">
        <v>45958</v>
      </c>
      <c r="B302" s="3" t="s">
        <v>20</v>
      </c>
      <c r="C302" s="3" t="s">
        <v>1259</v>
      </c>
      <c r="D302" s="4">
        <v>0.5</v>
      </c>
      <c r="E302" s="42">
        <v>1.8</v>
      </c>
      <c r="F302" s="45">
        <v>434</v>
      </c>
      <c r="G302" s="44">
        <v>2.2000000000000002</v>
      </c>
      <c r="H302" s="21">
        <f t="shared" si="5"/>
        <v>859.32000000000016</v>
      </c>
      <c r="I302" s="6" t="s">
        <v>150</v>
      </c>
      <c r="J302" s="17"/>
    </row>
    <row r="303" spans="1:10" ht="13.95" customHeight="1" x14ac:dyDescent="0.3">
      <c r="A303" s="3">
        <v>45959</v>
      </c>
      <c r="B303" s="3" t="s">
        <v>5</v>
      </c>
      <c r="C303" s="3" t="s">
        <v>1259</v>
      </c>
      <c r="D303" s="4">
        <v>0.48</v>
      </c>
      <c r="E303" s="42">
        <v>1.8</v>
      </c>
      <c r="F303" s="45">
        <v>434</v>
      </c>
      <c r="G303" s="44">
        <v>2.2000000000000002</v>
      </c>
      <c r="H303" s="21">
        <f t="shared" si="5"/>
        <v>824.94720000000007</v>
      </c>
      <c r="I303" s="6" t="s">
        <v>150</v>
      </c>
      <c r="J303" s="17"/>
    </row>
    <row r="304" spans="1:10" ht="13.95" customHeight="1" x14ac:dyDescent="0.3">
      <c r="A304" s="3">
        <v>45960</v>
      </c>
      <c r="B304" s="3" t="s">
        <v>8</v>
      </c>
      <c r="C304" s="3" t="s">
        <v>1465</v>
      </c>
      <c r="D304" s="4">
        <v>0.55000000000000004</v>
      </c>
      <c r="E304" s="42">
        <v>1.9</v>
      </c>
      <c r="F304" s="45">
        <v>434</v>
      </c>
      <c r="G304" s="44">
        <v>2.2000000000000002</v>
      </c>
      <c r="H304" s="21">
        <f t="shared" si="5"/>
        <v>997.76600000000019</v>
      </c>
      <c r="I304" s="6" t="s">
        <v>1466</v>
      </c>
      <c r="J304" s="17"/>
    </row>
    <row r="305" spans="1:10" ht="13.95" customHeight="1" x14ac:dyDescent="0.3">
      <c r="A305" s="3">
        <v>45961</v>
      </c>
      <c r="B305" s="3" t="s">
        <v>11</v>
      </c>
      <c r="C305" s="3" t="s">
        <v>867</v>
      </c>
      <c r="D305" s="4">
        <v>0.75</v>
      </c>
      <c r="E305" s="42">
        <v>2.4500000000000002</v>
      </c>
      <c r="F305" s="45">
        <v>434</v>
      </c>
      <c r="G305" s="44">
        <v>2.2000000000000002</v>
      </c>
      <c r="H305" s="21">
        <f t="shared" si="5"/>
        <v>1754.4450000000002</v>
      </c>
      <c r="I305" s="6" t="s">
        <v>1372</v>
      </c>
      <c r="J305" s="17"/>
    </row>
    <row r="306" spans="1:10" ht="13.95" customHeight="1" x14ac:dyDescent="0.3">
      <c r="A306" s="3">
        <v>45962</v>
      </c>
      <c r="B306" s="3" t="s">
        <v>13</v>
      </c>
      <c r="C306" s="3" t="s">
        <v>1467</v>
      </c>
      <c r="D306" s="4">
        <v>0.6</v>
      </c>
      <c r="E306" s="42">
        <v>2.1</v>
      </c>
      <c r="F306" s="45">
        <v>434</v>
      </c>
      <c r="G306" s="44">
        <v>2.2000000000000002</v>
      </c>
      <c r="H306" s="21">
        <f t="shared" si="5"/>
        <v>1203.0480000000002</v>
      </c>
      <c r="I306" s="6" t="s">
        <v>1468</v>
      </c>
      <c r="J306" s="17"/>
    </row>
    <row r="307" spans="1:10" ht="13.95" customHeight="1" x14ac:dyDescent="0.3">
      <c r="A307" s="3">
        <v>45963</v>
      </c>
      <c r="B307" s="3" t="s">
        <v>16</v>
      </c>
      <c r="C307" s="3" t="s">
        <v>14</v>
      </c>
      <c r="D307" s="4">
        <v>0.5</v>
      </c>
      <c r="E307" s="42">
        <v>1.9</v>
      </c>
      <c r="F307" s="45">
        <v>434</v>
      </c>
      <c r="G307" s="44">
        <v>2.2000000000000002</v>
      </c>
      <c r="H307" s="21">
        <f t="shared" si="5"/>
        <v>907.06</v>
      </c>
      <c r="I307" s="6" t="s">
        <v>1469</v>
      </c>
      <c r="J307" s="17"/>
    </row>
    <row r="308" spans="1:10" ht="13.95" customHeight="1" x14ac:dyDescent="0.3">
      <c r="A308" s="3">
        <v>45964</v>
      </c>
      <c r="B308" s="3" t="s">
        <v>18</v>
      </c>
      <c r="C308" s="3" t="s">
        <v>1259</v>
      </c>
      <c r="D308" s="4">
        <v>0.25</v>
      </c>
      <c r="E308" s="42">
        <v>1.6</v>
      </c>
      <c r="F308" s="45">
        <v>434</v>
      </c>
      <c r="G308" s="44">
        <v>2.2000000000000002</v>
      </c>
      <c r="H308" s="21">
        <f t="shared" si="5"/>
        <v>381.92000000000007</v>
      </c>
      <c r="I308" s="6" t="s">
        <v>1470</v>
      </c>
      <c r="J308" s="17"/>
    </row>
    <row r="309" spans="1:10" ht="13.95" customHeight="1" x14ac:dyDescent="0.3">
      <c r="A309" s="3">
        <v>45965</v>
      </c>
      <c r="B309" s="3" t="s">
        <v>20</v>
      </c>
      <c r="C309" s="3" t="s">
        <v>1259</v>
      </c>
      <c r="D309" s="4">
        <v>0.22</v>
      </c>
      <c r="E309" s="42">
        <v>1.6</v>
      </c>
      <c r="F309" s="45">
        <v>434</v>
      </c>
      <c r="G309" s="44">
        <v>2.2000000000000002</v>
      </c>
      <c r="H309" s="21">
        <f t="shared" si="5"/>
        <v>336.08960000000002</v>
      </c>
      <c r="I309" s="6" t="s">
        <v>1471</v>
      </c>
      <c r="J309" s="17"/>
    </row>
    <row r="310" spans="1:10" ht="13.95" customHeight="1" x14ac:dyDescent="0.3">
      <c r="A310" s="3">
        <v>45966</v>
      </c>
      <c r="B310" s="3" t="s">
        <v>5</v>
      </c>
      <c r="C310" s="3" t="s">
        <v>1259</v>
      </c>
      <c r="D310" s="4">
        <v>0.2</v>
      </c>
      <c r="E310" s="42">
        <v>1.55</v>
      </c>
      <c r="F310" s="45">
        <v>434</v>
      </c>
      <c r="G310" s="44">
        <v>2.2000000000000002</v>
      </c>
      <c r="H310" s="21">
        <f t="shared" si="5"/>
        <v>295.98800000000006</v>
      </c>
      <c r="I310" s="6" t="s">
        <v>1472</v>
      </c>
      <c r="J310" s="17"/>
    </row>
    <row r="311" spans="1:10" ht="13.95" customHeight="1" x14ac:dyDescent="0.3">
      <c r="A311" s="3">
        <v>45967</v>
      </c>
      <c r="B311" s="3" t="s">
        <v>8</v>
      </c>
      <c r="C311" s="3" t="s">
        <v>1259</v>
      </c>
      <c r="D311" s="4">
        <v>0.25</v>
      </c>
      <c r="E311" s="42">
        <v>1.65</v>
      </c>
      <c r="F311" s="45">
        <v>434</v>
      </c>
      <c r="G311" s="44">
        <v>2.2000000000000002</v>
      </c>
      <c r="H311" s="21">
        <f t="shared" si="5"/>
        <v>393.85499999999996</v>
      </c>
      <c r="I311" s="6" t="s">
        <v>1473</v>
      </c>
      <c r="J311" s="17"/>
    </row>
    <row r="312" spans="1:10" ht="13.95" customHeight="1" x14ac:dyDescent="0.3">
      <c r="A312" s="3">
        <v>45968</v>
      </c>
      <c r="B312" s="3" t="s">
        <v>11</v>
      </c>
      <c r="C312" s="3" t="s">
        <v>14</v>
      </c>
      <c r="D312" s="4">
        <v>0.35</v>
      </c>
      <c r="E312" s="42">
        <v>1.75</v>
      </c>
      <c r="F312" s="45">
        <v>434</v>
      </c>
      <c r="G312" s="44">
        <v>2.2000000000000002</v>
      </c>
      <c r="H312" s="21">
        <f t="shared" si="5"/>
        <v>584.81499999999994</v>
      </c>
      <c r="I312" s="6" t="s">
        <v>282</v>
      </c>
      <c r="J312" s="17"/>
    </row>
    <row r="313" spans="1:10" ht="13.95" customHeight="1" x14ac:dyDescent="0.3">
      <c r="A313" s="3">
        <v>45969</v>
      </c>
      <c r="B313" s="3" t="s">
        <v>13</v>
      </c>
      <c r="C313" s="3" t="s">
        <v>14</v>
      </c>
      <c r="D313" s="4">
        <v>0.45</v>
      </c>
      <c r="E313" s="42">
        <v>1.9</v>
      </c>
      <c r="F313" s="45">
        <v>434</v>
      </c>
      <c r="G313" s="44">
        <v>2.2000000000000002</v>
      </c>
      <c r="H313" s="21">
        <f t="shared" si="5"/>
        <v>816.35400000000004</v>
      </c>
      <c r="I313" s="6" t="s">
        <v>1474</v>
      </c>
      <c r="J313" s="17"/>
    </row>
    <row r="314" spans="1:10" ht="13.95" customHeight="1" x14ac:dyDescent="0.3">
      <c r="A314" s="3">
        <v>45970</v>
      </c>
      <c r="B314" s="3" t="s">
        <v>16</v>
      </c>
      <c r="C314" s="3" t="s">
        <v>14</v>
      </c>
      <c r="D314" s="4">
        <v>0.4</v>
      </c>
      <c r="E314" s="42">
        <v>1.8</v>
      </c>
      <c r="F314" s="45">
        <v>434</v>
      </c>
      <c r="G314" s="44">
        <v>2.2000000000000002</v>
      </c>
      <c r="H314" s="21">
        <f t="shared" si="5"/>
        <v>687.45600000000024</v>
      </c>
      <c r="I314" s="6" t="s">
        <v>149</v>
      </c>
      <c r="J314" s="17"/>
    </row>
    <row r="315" spans="1:10" ht="13.95" customHeight="1" x14ac:dyDescent="0.3">
      <c r="A315" s="3">
        <v>45971</v>
      </c>
      <c r="B315" s="3" t="s">
        <v>18</v>
      </c>
      <c r="C315" s="3" t="s">
        <v>1259</v>
      </c>
      <c r="D315" s="4">
        <v>0.2</v>
      </c>
      <c r="E315" s="42">
        <v>1.55</v>
      </c>
      <c r="F315" s="45">
        <v>434</v>
      </c>
      <c r="G315" s="44">
        <v>2.2000000000000002</v>
      </c>
      <c r="H315" s="21">
        <f t="shared" si="5"/>
        <v>295.98800000000006</v>
      </c>
      <c r="I315" s="6" t="s">
        <v>150</v>
      </c>
      <c r="J315" s="17"/>
    </row>
    <row r="316" spans="1:10" ht="13.95" customHeight="1" x14ac:dyDescent="0.3">
      <c r="A316" s="3">
        <v>45972</v>
      </c>
      <c r="B316" s="3" t="s">
        <v>20</v>
      </c>
      <c r="C316" s="3" t="s">
        <v>1259</v>
      </c>
      <c r="D316" s="4">
        <v>0.22</v>
      </c>
      <c r="E316" s="42">
        <v>1.6</v>
      </c>
      <c r="F316" s="45">
        <v>434</v>
      </c>
      <c r="G316" s="44">
        <v>2.2000000000000002</v>
      </c>
      <c r="H316" s="21">
        <f t="shared" si="5"/>
        <v>336.08960000000002</v>
      </c>
      <c r="I316" s="6" t="s">
        <v>150</v>
      </c>
      <c r="J316" s="17"/>
    </row>
    <row r="317" spans="1:10" ht="13.95" customHeight="1" x14ac:dyDescent="0.3">
      <c r="A317" s="3">
        <v>45973</v>
      </c>
      <c r="B317" s="3" t="s">
        <v>5</v>
      </c>
      <c r="C317" s="3" t="s">
        <v>1259</v>
      </c>
      <c r="D317" s="4">
        <v>0.2</v>
      </c>
      <c r="E317" s="42">
        <v>1.55</v>
      </c>
      <c r="F317" s="45">
        <v>434</v>
      </c>
      <c r="G317" s="44">
        <v>2.2000000000000002</v>
      </c>
      <c r="H317" s="21">
        <f t="shared" si="5"/>
        <v>295.98800000000006</v>
      </c>
      <c r="I317" s="6" t="s">
        <v>150</v>
      </c>
      <c r="J317" s="17"/>
    </row>
    <row r="318" spans="1:10" ht="13.95" customHeight="1" x14ac:dyDescent="0.3">
      <c r="A318" s="3">
        <v>45974</v>
      </c>
      <c r="B318" s="3" t="s">
        <v>8</v>
      </c>
      <c r="C318" s="3" t="s">
        <v>1259</v>
      </c>
      <c r="D318" s="4">
        <v>0.25</v>
      </c>
      <c r="E318" s="42">
        <v>1.65</v>
      </c>
      <c r="F318" s="45">
        <v>434</v>
      </c>
      <c r="G318" s="44">
        <v>2.2000000000000002</v>
      </c>
      <c r="H318" s="21">
        <f t="shared" si="5"/>
        <v>393.85499999999996</v>
      </c>
      <c r="I318" s="6" t="s">
        <v>1410</v>
      </c>
      <c r="J318" s="17"/>
    </row>
    <row r="319" spans="1:10" ht="13.95" customHeight="1" x14ac:dyDescent="0.3">
      <c r="A319" s="3">
        <v>45975</v>
      </c>
      <c r="B319" s="3" t="s">
        <v>11</v>
      </c>
      <c r="C319" s="3" t="s">
        <v>14</v>
      </c>
      <c r="D319" s="4">
        <v>0.38</v>
      </c>
      <c r="E319" s="42">
        <v>1.75</v>
      </c>
      <c r="F319" s="45">
        <v>434</v>
      </c>
      <c r="G319" s="44">
        <v>2.2000000000000002</v>
      </c>
      <c r="H319" s="21">
        <f t="shared" si="5"/>
        <v>634.94200000000012</v>
      </c>
      <c r="I319" s="6" t="s">
        <v>97</v>
      </c>
      <c r="J319" s="17"/>
    </row>
    <row r="320" spans="1:10" ht="13.95" customHeight="1" x14ac:dyDescent="0.3">
      <c r="A320" s="3">
        <v>45976</v>
      </c>
      <c r="B320" s="3" t="s">
        <v>13</v>
      </c>
      <c r="C320" s="3" t="s">
        <v>14</v>
      </c>
      <c r="D320" s="4">
        <v>0.5</v>
      </c>
      <c r="E320" s="42">
        <v>1.95</v>
      </c>
      <c r="F320" s="45">
        <v>434</v>
      </c>
      <c r="G320" s="44">
        <v>2.2000000000000002</v>
      </c>
      <c r="H320" s="21">
        <f t="shared" si="5"/>
        <v>930.93000000000006</v>
      </c>
      <c r="I320" s="6" t="s">
        <v>390</v>
      </c>
      <c r="J320" s="17"/>
    </row>
    <row r="321" spans="1:10" ht="13.95" customHeight="1" x14ac:dyDescent="0.3">
      <c r="A321" s="3">
        <v>45977</v>
      </c>
      <c r="B321" s="3" t="s">
        <v>16</v>
      </c>
      <c r="C321" s="3" t="s">
        <v>14</v>
      </c>
      <c r="D321" s="4">
        <v>0.45</v>
      </c>
      <c r="E321" s="42">
        <v>1.85</v>
      </c>
      <c r="F321" s="45">
        <v>434</v>
      </c>
      <c r="G321" s="44">
        <v>2.2000000000000002</v>
      </c>
      <c r="H321" s="21">
        <f t="shared" si="5"/>
        <v>794.87100000000021</v>
      </c>
      <c r="I321" s="6" t="s">
        <v>149</v>
      </c>
      <c r="J321" s="17"/>
    </row>
    <row r="322" spans="1:10" ht="13.95" customHeight="1" x14ac:dyDescent="0.3">
      <c r="A322" s="3">
        <v>45978</v>
      </c>
      <c r="B322" s="3" t="s">
        <v>18</v>
      </c>
      <c r="C322" s="3" t="s">
        <v>1259</v>
      </c>
      <c r="D322" s="4">
        <v>0.18</v>
      </c>
      <c r="E322" s="42">
        <v>1.55</v>
      </c>
      <c r="F322" s="45">
        <v>434</v>
      </c>
      <c r="G322" s="44">
        <v>2.2000000000000002</v>
      </c>
      <c r="H322" s="21">
        <f t="shared" ref="H322:H365" si="6">(F322*D322)*E322*G322</f>
        <v>266.38919999999996</v>
      </c>
      <c r="I322" s="6" t="s">
        <v>1475</v>
      </c>
      <c r="J322" s="17"/>
    </row>
    <row r="323" spans="1:10" ht="13.95" customHeight="1" x14ac:dyDescent="0.3">
      <c r="A323" s="3">
        <v>45979</v>
      </c>
      <c r="B323" s="3" t="s">
        <v>20</v>
      </c>
      <c r="C323" s="3" t="s">
        <v>1259</v>
      </c>
      <c r="D323" s="4">
        <v>0.2</v>
      </c>
      <c r="E323" s="42">
        <v>1.55</v>
      </c>
      <c r="F323" s="45">
        <v>434</v>
      </c>
      <c r="G323" s="44">
        <v>2.2000000000000002</v>
      </c>
      <c r="H323" s="21">
        <f t="shared" si="6"/>
        <v>295.98800000000006</v>
      </c>
      <c r="I323" s="6" t="s">
        <v>150</v>
      </c>
      <c r="J323" s="17"/>
    </row>
    <row r="324" spans="1:10" ht="13.95" customHeight="1" x14ac:dyDescent="0.3">
      <c r="A324" s="3">
        <v>45980</v>
      </c>
      <c r="B324" s="3" t="s">
        <v>5</v>
      </c>
      <c r="C324" s="3" t="s">
        <v>1259</v>
      </c>
      <c r="D324" s="4">
        <v>0.2</v>
      </c>
      <c r="E324" s="42">
        <v>1.55</v>
      </c>
      <c r="F324" s="45">
        <v>434</v>
      </c>
      <c r="G324" s="44">
        <v>2.2000000000000002</v>
      </c>
      <c r="H324" s="21">
        <f t="shared" si="6"/>
        <v>295.98800000000006</v>
      </c>
      <c r="I324" s="6" t="s">
        <v>150</v>
      </c>
      <c r="J324" s="17"/>
    </row>
    <row r="325" spans="1:10" ht="13.95" customHeight="1" x14ac:dyDescent="0.3">
      <c r="A325" s="3">
        <v>45981</v>
      </c>
      <c r="B325" s="3" t="s">
        <v>8</v>
      </c>
      <c r="C325" s="3" t="s">
        <v>1259</v>
      </c>
      <c r="D325" s="4">
        <v>0.22</v>
      </c>
      <c r="E325" s="42">
        <v>1.6</v>
      </c>
      <c r="F325" s="45">
        <v>434</v>
      </c>
      <c r="G325" s="44">
        <v>2.2000000000000002</v>
      </c>
      <c r="H325" s="21">
        <f t="shared" si="6"/>
        <v>336.08960000000002</v>
      </c>
      <c r="I325" s="6" t="s">
        <v>150</v>
      </c>
      <c r="J325" s="17"/>
    </row>
    <row r="326" spans="1:10" ht="13.95" customHeight="1" x14ac:dyDescent="0.3">
      <c r="A326" s="3">
        <v>45982</v>
      </c>
      <c r="B326" s="3" t="s">
        <v>11</v>
      </c>
      <c r="C326" s="3" t="s">
        <v>14</v>
      </c>
      <c r="D326" s="4">
        <v>0.35</v>
      </c>
      <c r="E326" s="42">
        <v>1.75</v>
      </c>
      <c r="F326" s="45">
        <v>434</v>
      </c>
      <c r="G326" s="44">
        <v>2.2000000000000002</v>
      </c>
      <c r="H326" s="21">
        <f t="shared" si="6"/>
        <v>584.81499999999994</v>
      </c>
      <c r="I326" s="6" t="s">
        <v>97</v>
      </c>
      <c r="J326" s="17"/>
    </row>
    <row r="327" spans="1:10" ht="13.95" customHeight="1" x14ac:dyDescent="0.3">
      <c r="A327" s="3">
        <v>45983</v>
      </c>
      <c r="B327" s="3" t="s">
        <v>13</v>
      </c>
      <c r="C327" s="3" t="s">
        <v>14</v>
      </c>
      <c r="D327" s="4">
        <v>0.45</v>
      </c>
      <c r="E327" s="42">
        <v>1.9</v>
      </c>
      <c r="F327" s="45">
        <v>434</v>
      </c>
      <c r="G327" s="44">
        <v>2.2000000000000002</v>
      </c>
      <c r="H327" s="21">
        <f t="shared" si="6"/>
        <v>816.35400000000004</v>
      </c>
      <c r="I327" s="6" t="s">
        <v>1476</v>
      </c>
      <c r="J327" s="17"/>
    </row>
    <row r="328" spans="1:10" ht="13.95" customHeight="1" x14ac:dyDescent="0.3">
      <c r="A328" s="3">
        <v>45984</v>
      </c>
      <c r="B328" s="3" t="s">
        <v>16</v>
      </c>
      <c r="C328" s="3" t="s">
        <v>14</v>
      </c>
      <c r="D328" s="4">
        <v>0.4</v>
      </c>
      <c r="E328" s="42">
        <v>1.8</v>
      </c>
      <c r="F328" s="45">
        <v>434</v>
      </c>
      <c r="G328" s="44">
        <v>2.2000000000000002</v>
      </c>
      <c r="H328" s="21">
        <f t="shared" si="6"/>
        <v>687.45600000000024</v>
      </c>
      <c r="I328" s="6" t="s">
        <v>149</v>
      </c>
      <c r="J328" s="17"/>
    </row>
    <row r="329" spans="1:10" ht="13.95" customHeight="1" x14ac:dyDescent="0.3">
      <c r="A329" s="3">
        <v>45985</v>
      </c>
      <c r="B329" s="3" t="s">
        <v>18</v>
      </c>
      <c r="C329" s="3" t="s">
        <v>1259</v>
      </c>
      <c r="D329" s="4">
        <v>0.2</v>
      </c>
      <c r="E329" s="42">
        <v>1.55</v>
      </c>
      <c r="F329" s="45">
        <v>434</v>
      </c>
      <c r="G329" s="44">
        <v>2.2000000000000002</v>
      </c>
      <c r="H329" s="21">
        <f t="shared" si="6"/>
        <v>295.98800000000006</v>
      </c>
      <c r="I329" s="6" t="s">
        <v>150</v>
      </c>
      <c r="J329" s="17"/>
    </row>
    <row r="330" spans="1:10" ht="13.95" customHeight="1" x14ac:dyDescent="0.3">
      <c r="A330" s="3">
        <v>45986</v>
      </c>
      <c r="B330" s="3" t="s">
        <v>20</v>
      </c>
      <c r="C330" s="3" t="s">
        <v>1259</v>
      </c>
      <c r="D330" s="4">
        <v>0.22</v>
      </c>
      <c r="E330" s="42">
        <v>1.6</v>
      </c>
      <c r="F330" s="45">
        <v>434</v>
      </c>
      <c r="G330" s="44">
        <v>2.2000000000000002</v>
      </c>
      <c r="H330" s="21">
        <f t="shared" si="6"/>
        <v>336.08960000000002</v>
      </c>
      <c r="I330" s="6" t="s">
        <v>150</v>
      </c>
      <c r="J330" s="17"/>
    </row>
    <row r="331" spans="1:10" ht="13.95" customHeight="1" x14ac:dyDescent="0.3">
      <c r="A331" s="3">
        <v>45987</v>
      </c>
      <c r="B331" s="3" t="s">
        <v>5</v>
      </c>
      <c r="C331" s="3" t="s">
        <v>1259</v>
      </c>
      <c r="D331" s="4">
        <v>0.25</v>
      </c>
      <c r="E331" s="42">
        <v>1.6</v>
      </c>
      <c r="F331" s="45">
        <v>434</v>
      </c>
      <c r="G331" s="44">
        <v>2.2000000000000002</v>
      </c>
      <c r="H331" s="21">
        <f t="shared" si="6"/>
        <v>381.92000000000007</v>
      </c>
      <c r="I331" s="6" t="s">
        <v>1477</v>
      </c>
      <c r="J331" s="17"/>
    </row>
    <row r="332" spans="1:10" ht="13.95" customHeight="1" x14ac:dyDescent="0.3">
      <c r="A332" s="3">
        <v>45988</v>
      </c>
      <c r="B332" s="3" t="s">
        <v>8</v>
      </c>
      <c r="C332" s="3" t="s">
        <v>1259</v>
      </c>
      <c r="D332" s="4">
        <v>0.28000000000000003</v>
      </c>
      <c r="E332" s="42">
        <v>1.65</v>
      </c>
      <c r="F332" s="45">
        <v>434</v>
      </c>
      <c r="G332" s="44">
        <v>2.2000000000000002</v>
      </c>
      <c r="H332" s="21">
        <f t="shared" si="6"/>
        <v>441.11760000000004</v>
      </c>
      <c r="I332" s="6" t="s">
        <v>82</v>
      </c>
      <c r="J332" s="17"/>
    </row>
    <row r="333" spans="1:10" ht="13.95" customHeight="1" x14ac:dyDescent="0.3">
      <c r="A333" s="3">
        <v>45989</v>
      </c>
      <c r="B333" s="3" t="s">
        <v>11</v>
      </c>
      <c r="C333" s="3" t="s">
        <v>14</v>
      </c>
      <c r="D333" s="4">
        <v>0.4</v>
      </c>
      <c r="E333" s="42">
        <v>1.8</v>
      </c>
      <c r="F333" s="45">
        <v>434</v>
      </c>
      <c r="G333" s="44">
        <v>2.2000000000000002</v>
      </c>
      <c r="H333" s="21">
        <f t="shared" si="6"/>
        <v>687.45600000000024</v>
      </c>
      <c r="I333" s="6" t="s">
        <v>97</v>
      </c>
      <c r="J333" s="17"/>
    </row>
    <row r="334" spans="1:10" ht="13.95" customHeight="1" x14ac:dyDescent="0.3">
      <c r="A334" s="3">
        <v>45990</v>
      </c>
      <c r="B334" s="3" t="s">
        <v>13</v>
      </c>
      <c r="C334" s="3" t="s">
        <v>14</v>
      </c>
      <c r="D334" s="4">
        <v>0.55000000000000004</v>
      </c>
      <c r="E334" s="42">
        <v>2.0499999999999998</v>
      </c>
      <c r="F334" s="45">
        <v>434</v>
      </c>
      <c r="G334" s="44">
        <v>2.2000000000000002</v>
      </c>
      <c r="H334" s="21">
        <f t="shared" si="6"/>
        <v>1076.537</v>
      </c>
      <c r="I334" s="6" t="s">
        <v>1478</v>
      </c>
      <c r="J334" s="17"/>
    </row>
    <row r="335" spans="1:10" ht="13.95" customHeight="1" x14ac:dyDescent="0.3">
      <c r="A335" s="3">
        <v>45991</v>
      </c>
      <c r="B335" s="3" t="s">
        <v>16</v>
      </c>
      <c r="C335" s="3" t="s">
        <v>14</v>
      </c>
      <c r="D335" s="4">
        <v>0.5</v>
      </c>
      <c r="E335" s="42">
        <v>1.9</v>
      </c>
      <c r="F335" s="45">
        <v>434</v>
      </c>
      <c r="G335" s="44">
        <v>2.2000000000000002</v>
      </c>
      <c r="H335" s="21">
        <f t="shared" si="6"/>
        <v>907.06</v>
      </c>
      <c r="I335" s="6" t="s">
        <v>783</v>
      </c>
      <c r="J335" s="17"/>
    </row>
    <row r="336" spans="1:10" ht="13.95" customHeight="1" x14ac:dyDescent="0.3">
      <c r="A336" s="3">
        <v>45962</v>
      </c>
      <c r="B336" s="3" t="s">
        <v>13</v>
      </c>
      <c r="C336" s="3" t="s">
        <v>1467</v>
      </c>
      <c r="D336" s="4">
        <v>0.6</v>
      </c>
      <c r="E336" s="42">
        <v>2.1</v>
      </c>
      <c r="F336" s="45">
        <v>434</v>
      </c>
      <c r="G336" s="44">
        <v>2.2000000000000002</v>
      </c>
      <c r="H336" s="21">
        <f t="shared" si="6"/>
        <v>1203.0480000000002</v>
      </c>
      <c r="I336" s="6" t="s">
        <v>1468</v>
      </c>
      <c r="J336" s="17"/>
    </row>
    <row r="337" spans="1:10" ht="13.95" customHeight="1" x14ac:dyDescent="0.3">
      <c r="A337" s="3">
        <v>45963</v>
      </c>
      <c r="B337" s="3" t="s">
        <v>16</v>
      </c>
      <c r="C337" s="3" t="s">
        <v>14</v>
      </c>
      <c r="D337" s="4">
        <v>0.5</v>
      </c>
      <c r="E337" s="42">
        <v>1.9</v>
      </c>
      <c r="F337" s="45">
        <v>434</v>
      </c>
      <c r="G337" s="44">
        <v>2.2000000000000002</v>
      </c>
      <c r="H337" s="21">
        <f t="shared" si="6"/>
        <v>907.06</v>
      </c>
      <c r="I337" s="6" t="s">
        <v>1469</v>
      </c>
      <c r="J337" s="17"/>
    </row>
    <row r="338" spans="1:10" ht="13.95" customHeight="1" x14ac:dyDescent="0.3">
      <c r="A338" s="3">
        <v>45964</v>
      </c>
      <c r="B338" s="3" t="s">
        <v>18</v>
      </c>
      <c r="C338" s="3" t="s">
        <v>1259</v>
      </c>
      <c r="D338" s="4">
        <v>0.25</v>
      </c>
      <c r="E338" s="42">
        <v>1.6</v>
      </c>
      <c r="F338" s="45">
        <v>434</v>
      </c>
      <c r="G338" s="44">
        <v>2.2000000000000002</v>
      </c>
      <c r="H338" s="21">
        <f t="shared" si="6"/>
        <v>381.92000000000007</v>
      </c>
      <c r="I338" s="6" t="s">
        <v>1470</v>
      </c>
      <c r="J338" s="17"/>
    </row>
    <row r="339" spans="1:10" ht="13.95" customHeight="1" x14ac:dyDescent="0.3">
      <c r="A339" s="3">
        <v>45965</v>
      </c>
      <c r="B339" s="3" t="s">
        <v>20</v>
      </c>
      <c r="C339" s="3" t="s">
        <v>1259</v>
      </c>
      <c r="D339" s="4">
        <v>0.22</v>
      </c>
      <c r="E339" s="42">
        <v>1.6</v>
      </c>
      <c r="F339" s="45">
        <v>434</v>
      </c>
      <c r="G339" s="44">
        <v>2.2000000000000002</v>
      </c>
      <c r="H339" s="21">
        <f t="shared" si="6"/>
        <v>336.08960000000002</v>
      </c>
      <c r="I339" s="6" t="s">
        <v>1471</v>
      </c>
      <c r="J339" s="17"/>
    </row>
    <row r="340" spans="1:10" ht="13.95" customHeight="1" x14ac:dyDescent="0.3">
      <c r="A340" s="3">
        <v>45966</v>
      </c>
      <c r="B340" s="3" t="s">
        <v>5</v>
      </c>
      <c r="C340" s="3" t="s">
        <v>1259</v>
      </c>
      <c r="D340" s="4">
        <v>0.2</v>
      </c>
      <c r="E340" s="42">
        <v>1.55</v>
      </c>
      <c r="F340" s="45">
        <v>434</v>
      </c>
      <c r="G340" s="44">
        <v>2.2000000000000002</v>
      </c>
      <c r="H340" s="21">
        <f t="shared" si="6"/>
        <v>295.98800000000006</v>
      </c>
      <c r="I340" s="6" t="s">
        <v>1472</v>
      </c>
      <c r="J340" s="17"/>
    </row>
    <row r="341" spans="1:10" ht="13.95" customHeight="1" x14ac:dyDescent="0.3">
      <c r="A341" s="3">
        <v>45967</v>
      </c>
      <c r="B341" s="3" t="s">
        <v>8</v>
      </c>
      <c r="C341" s="3" t="s">
        <v>1259</v>
      </c>
      <c r="D341" s="4">
        <v>0.25</v>
      </c>
      <c r="E341" s="42">
        <v>1.65</v>
      </c>
      <c r="F341" s="45">
        <v>434</v>
      </c>
      <c r="G341" s="44">
        <v>2.2000000000000002</v>
      </c>
      <c r="H341" s="21">
        <f t="shared" si="6"/>
        <v>393.85499999999996</v>
      </c>
      <c r="I341" s="6" t="s">
        <v>1473</v>
      </c>
      <c r="J341" s="17"/>
    </row>
    <row r="342" spans="1:10" ht="13.95" customHeight="1" x14ac:dyDescent="0.3">
      <c r="A342" s="3">
        <v>45968</v>
      </c>
      <c r="B342" s="3" t="s">
        <v>11</v>
      </c>
      <c r="C342" s="3" t="s">
        <v>14</v>
      </c>
      <c r="D342" s="4">
        <v>0.35</v>
      </c>
      <c r="E342" s="42">
        <v>1.75</v>
      </c>
      <c r="F342" s="45">
        <v>434</v>
      </c>
      <c r="G342" s="44">
        <v>2.2000000000000002</v>
      </c>
      <c r="H342" s="21">
        <f t="shared" si="6"/>
        <v>584.81499999999994</v>
      </c>
      <c r="I342" s="6" t="s">
        <v>282</v>
      </c>
      <c r="J342" s="17"/>
    </row>
    <row r="343" spans="1:10" ht="13.95" customHeight="1" x14ac:dyDescent="0.3">
      <c r="A343" s="3">
        <v>45969</v>
      </c>
      <c r="B343" s="3" t="s">
        <v>13</v>
      </c>
      <c r="C343" s="3" t="s">
        <v>14</v>
      </c>
      <c r="D343" s="4">
        <v>0.45</v>
      </c>
      <c r="E343" s="42">
        <v>1.9</v>
      </c>
      <c r="F343" s="45">
        <v>434</v>
      </c>
      <c r="G343" s="44">
        <v>2.2000000000000002</v>
      </c>
      <c r="H343" s="21">
        <f t="shared" si="6"/>
        <v>816.35400000000004</v>
      </c>
      <c r="I343" s="6" t="s">
        <v>1474</v>
      </c>
      <c r="J343" s="17"/>
    </row>
    <row r="344" spans="1:10" ht="13.95" customHeight="1" x14ac:dyDescent="0.3">
      <c r="A344" s="3">
        <v>45970</v>
      </c>
      <c r="B344" s="3" t="s">
        <v>16</v>
      </c>
      <c r="C344" s="3" t="s">
        <v>14</v>
      </c>
      <c r="D344" s="4">
        <v>0.4</v>
      </c>
      <c r="E344" s="42">
        <v>1.8</v>
      </c>
      <c r="F344" s="45">
        <v>434</v>
      </c>
      <c r="G344" s="44">
        <v>2.2000000000000002</v>
      </c>
      <c r="H344" s="21">
        <f t="shared" si="6"/>
        <v>687.45600000000024</v>
      </c>
      <c r="I344" s="6" t="s">
        <v>149</v>
      </c>
      <c r="J344" s="17"/>
    </row>
    <row r="345" spans="1:10" ht="13.95" customHeight="1" x14ac:dyDescent="0.3">
      <c r="A345" s="3">
        <v>45971</v>
      </c>
      <c r="B345" s="3" t="s">
        <v>18</v>
      </c>
      <c r="C345" s="3" t="s">
        <v>1259</v>
      </c>
      <c r="D345" s="4">
        <v>0.2</v>
      </c>
      <c r="E345" s="42">
        <v>1.55</v>
      </c>
      <c r="F345" s="45">
        <v>434</v>
      </c>
      <c r="G345" s="44">
        <v>2.2000000000000002</v>
      </c>
      <c r="H345" s="21">
        <f t="shared" si="6"/>
        <v>295.98800000000006</v>
      </c>
      <c r="I345" s="6" t="s">
        <v>150</v>
      </c>
      <c r="J345" s="17"/>
    </row>
    <row r="346" spans="1:10" ht="13.95" customHeight="1" x14ac:dyDescent="0.3">
      <c r="A346" s="3">
        <v>45972</v>
      </c>
      <c r="B346" s="3" t="s">
        <v>20</v>
      </c>
      <c r="C346" s="3" t="s">
        <v>1259</v>
      </c>
      <c r="D346" s="4">
        <v>0.22</v>
      </c>
      <c r="E346" s="42">
        <v>1.6</v>
      </c>
      <c r="F346" s="45">
        <v>434</v>
      </c>
      <c r="G346" s="44">
        <v>2.2000000000000002</v>
      </c>
      <c r="H346" s="21">
        <f t="shared" si="6"/>
        <v>336.08960000000002</v>
      </c>
      <c r="I346" s="6" t="s">
        <v>150</v>
      </c>
      <c r="J346" s="17"/>
    </row>
    <row r="347" spans="1:10" ht="13.95" customHeight="1" x14ac:dyDescent="0.3">
      <c r="A347" s="3">
        <v>45973</v>
      </c>
      <c r="B347" s="3" t="s">
        <v>5</v>
      </c>
      <c r="C347" s="3" t="s">
        <v>1259</v>
      </c>
      <c r="D347" s="4">
        <v>0.2</v>
      </c>
      <c r="E347" s="42">
        <v>1.55</v>
      </c>
      <c r="F347" s="45">
        <v>434</v>
      </c>
      <c r="G347" s="44">
        <v>2.2000000000000002</v>
      </c>
      <c r="H347" s="21">
        <f t="shared" si="6"/>
        <v>295.98800000000006</v>
      </c>
      <c r="I347" s="6" t="s">
        <v>150</v>
      </c>
      <c r="J347" s="17"/>
    </row>
    <row r="348" spans="1:10" ht="13.95" customHeight="1" x14ac:dyDescent="0.3">
      <c r="A348" s="3">
        <v>45974</v>
      </c>
      <c r="B348" s="3" t="s">
        <v>8</v>
      </c>
      <c r="C348" s="3" t="s">
        <v>1259</v>
      </c>
      <c r="D348" s="4">
        <v>0.25</v>
      </c>
      <c r="E348" s="42">
        <v>1.65</v>
      </c>
      <c r="F348" s="45">
        <v>434</v>
      </c>
      <c r="G348" s="44">
        <v>2.2000000000000002</v>
      </c>
      <c r="H348" s="21">
        <f t="shared" si="6"/>
        <v>393.85499999999996</v>
      </c>
      <c r="I348" s="6" t="s">
        <v>1410</v>
      </c>
      <c r="J348" s="17"/>
    </row>
    <row r="349" spans="1:10" ht="13.95" customHeight="1" x14ac:dyDescent="0.3">
      <c r="A349" s="3">
        <v>45975</v>
      </c>
      <c r="B349" s="3" t="s">
        <v>11</v>
      </c>
      <c r="C349" s="3" t="s">
        <v>14</v>
      </c>
      <c r="D349" s="4">
        <v>0.38</v>
      </c>
      <c r="E349" s="42">
        <v>1.75</v>
      </c>
      <c r="F349" s="45">
        <v>434</v>
      </c>
      <c r="G349" s="44">
        <v>2.2000000000000002</v>
      </c>
      <c r="H349" s="21">
        <f t="shared" si="6"/>
        <v>634.94200000000012</v>
      </c>
      <c r="I349" s="6" t="s">
        <v>97</v>
      </c>
      <c r="J349" s="17"/>
    </row>
    <row r="350" spans="1:10" ht="13.95" customHeight="1" x14ac:dyDescent="0.3">
      <c r="A350" s="3">
        <v>45976</v>
      </c>
      <c r="B350" s="3" t="s">
        <v>13</v>
      </c>
      <c r="C350" s="3" t="s">
        <v>14</v>
      </c>
      <c r="D350" s="4">
        <v>0.5</v>
      </c>
      <c r="E350" s="42">
        <v>1.95</v>
      </c>
      <c r="F350" s="45">
        <v>434</v>
      </c>
      <c r="G350" s="44">
        <v>2.2000000000000002</v>
      </c>
      <c r="H350" s="21">
        <f t="shared" si="6"/>
        <v>930.93000000000006</v>
      </c>
      <c r="I350" s="6" t="s">
        <v>390</v>
      </c>
      <c r="J350" s="17"/>
    </row>
    <row r="351" spans="1:10" ht="13.95" customHeight="1" x14ac:dyDescent="0.3">
      <c r="A351" s="3">
        <v>45977</v>
      </c>
      <c r="B351" s="3" t="s">
        <v>16</v>
      </c>
      <c r="C351" s="3" t="s">
        <v>14</v>
      </c>
      <c r="D351" s="4">
        <v>0.45</v>
      </c>
      <c r="E351" s="42">
        <v>1.85</v>
      </c>
      <c r="F351" s="45">
        <v>434</v>
      </c>
      <c r="G351" s="44">
        <v>2.2000000000000002</v>
      </c>
      <c r="H351" s="21">
        <f t="shared" si="6"/>
        <v>794.87100000000021</v>
      </c>
      <c r="I351" s="6" t="s">
        <v>149</v>
      </c>
      <c r="J351" s="17"/>
    </row>
    <row r="352" spans="1:10" ht="13.95" customHeight="1" x14ac:dyDescent="0.3">
      <c r="A352" s="3">
        <v>45978</v>
      </c>
      <c r="B352" s="3" t="s">
        <v>18</v>
      </c>
      <c r="C352" s="3" t="s">
        <v>1259</v>
      </c>
      <c r="D352" s="4">
        <v>0.18</v>
      </c>
      <c r="E352" s="42">
        <v>1.55</v>
      </c>
      <c r="F352" s="45">
        <v>434</v>
      </c>
      <c r="G352" s="44">
        <v>2.2000000000000002</v>
      </c>
      <c r="H352" s="21">
        <f t="shared" si="6"/>
        <v>266.38919999999996</v>
      </c>
      <c r="I352" s="6" t="s">
        <v>1475</v>
      </c>
      <c r="J352" s="17"/>
    </row>
    <row r="353" spans="1:10" ht="13.95" customHeight="1" x14ac:dyDescent="0.3">
      <c r="A353" s="3">
        <v>45979</v>
      </c>
      <c r="B353" s="3" t="s">
        <v>20</v>
      </c>
      <c r="C353" s="3" t="s">
        <v>1259</v>
      </c>
      <c r="D353" s="4">
        <v>0.2</v>
      </c>
      <c r="E353" s="42">
        <v>1.55</v>
      </c>
      <c r="F353" s="45">
        <v>434</v>
      </c>
      <c r="G353" s="44">
        <v>2.2000000000000002</v>
      </c>
      <c r="H353" s="21">
        <f t="shared" si="6"/>
        <v>295.98800000000006</v>
      </c>
      <c r="I353" s="6" t="s">
        <v>150</v>
      </c>
      <c r="J353" s="17"/>
    </row>
    <row r="354" spans="1:10" ht="13.95" customHeight="1" x14ac:dyDescent="0.3">
      <c r="A354" s="3">
        <v>45980</v>
      </c>
      <c r="B354" s="3" t="s">
        <v>5</v>
      </c>
      <c r="C354" s="3" t="s">
        <v>1259</v>
      </c>
      <c r="D354" s="4">
        <v>0.2</v>
      </c>
      <c r="E354" s="42">
        <v>1.55</v>
      </c>
      <c r="F354" s="45">
        <v>434</v>
      </c>
      <c r="G354" s="44">
        <v>2.2000000000000002</v>
      </c>
      <c r="H354" s="21">
        <f t="shared" si="6"/>
        <v>295.98800000000006</v>
      </c>
      <c r="I354" s="6" t="s">
        <v>150</v>
      </c>
      <c r="J354" s="17"/>
    </row>
    <row r="355" spans="1:10" ht="13.95" customHeight="1" x14ac:dyDescent="0.3">
      <c r="A355" s="3">
        <v>45981</v>
      </c>
      <c r="B355" s="3" t="s">
        <v>8</v>
      </c>
      <c r="C355" s="3" t="s">
        <v>1259</v>
      </c>
      <c r="D355" s="4">
        <v>0.22</v>
      </c>
      <c r="E355" s="42">
        <v>1.6</v>
      </c>
      <c r="F355" s="45">
        <v>434</v>
      </c>
      <c r="G355" s="44">
        <v>2.2000000000000002</v>
      </c>
      <c r="H355" s="21">
        <f t="shared" si="6"/>
        <v>336.08960000000002</v>
      </c>
      <c r="I355" s="6" t="s">
        <v>150</v>
      </c>
      <c r="J355" s="17"/>
    </row>
    <row r="356" spans="1:10" ht="13.95" customHeight="1" x14ac:dyDescent="0.3">
      <c r="A356" s="3">
        <v>45982</v>
      </c>
      <c r="B356" s="3" t="s">
        <v>11</v>
      </c>
      <c r="C356" s="3" t="s">
        <v>14</v>
      </c>
      <c r="D356" s="4">
        <v>0.35</v>
      </c>
      <c r="E356" s="42">
        <v>1.75</v>
      </c>
      <c r="F356" s="45">
        <v>434</v>
      </c>
      <c r="G356" s="44">
        <v>2.2000000000000002</v>
      </c>
      <c r="H356" s="21">
        <f t="shared" si="6"/>
        <v>584.81499999999994</v>
      </c>
      <c r="I356" s="6" t="s">
        <v>97</v>
      </c>
      <c r="J356" s="17"/>
    </row>
    <row r="357" spans="1:10" ht="13.95" customHeight="1" x14ac:dyDescent="0.3">
      <c r="A357" s="3">
        <v>45983</v>
      </c>
      <c r="B357" s="3" t="s">
        <v>13</v>
      </c>
      <c r="C357" s="3" t="s">
        <v>14</v>
      </c>
      <c r="D357" s="4">
        <v>0.45</v>
      </c>
      <c r="E357" s="42">
        <v>1.9</v>
      </c>
      <c r="F357" s="45">
        <v>434</v>
      </c>
      <c r="G357" s="44">
        <v>2.2000000000000002</v>
      </c>
      <c r="H357" s="21">
        <f t="shared" si="6"/>
        <v>816.35400000000004</v>
      </c>
      <c r="I357" s="6" t="s">
        <v>1476</v>
      </c>
      <c r="J357" s="17"/>
    </row>
    <row r="358" spans="1:10" ht="13.95" customHeight="1" x14ac:dyDescent="0.3">
      <c r="A358" s="3">
        <v>45984</v>
      </c>
      <c r="B358" s="3" t="s">
        <v>16</v>
      </c>
      <c r="C358" s="3" t="s">
        <v>14</v>
      </c>
      <c r="D358" s="4">
        <v>0.4</v>
      </c>
      <c r="E358" s="42">
        <v>1.8</v>
      </c>
      <c r="F358" s="45">
        <v>434</v>
      </c>
      <c r="G358" s="44">
        <v>2.2000000000000002</v>
      </c>
      <c r="H358" s="21">
        <f t="shared" si="6"/>
        <v>687.45600000000024</v>
      </c>
      <c r="I358" s="6" t="s">
        <v>149</v>
      </c>
      <c r="J358" s="17"/>
    </row>
    <row r="359" spans="1:10" ht="13.95" customHeight="1" x14ac:dyDescent="0.3">
      <c r="A359" s="3">
        <v>45985</v>
      </c>
      <c r="B359" s="3" t="s">
        <v>18</v>
      </c>
      <c r="C359" s="3" t="s">
        <v>1259</v>
      </c>
      <c r="D359" s="4">
        <v>0.2</v>
      </c>
      <c r="E359" s="42">
        <v>1.55</v>
      </c>
      <c r="F359" s="45">
        <v>434</v>
      </c>
      <c r="G359" s="44">
        <v>2.2000000000000002</v>
      </c>
      <c r="H359" s="21">
        <f t="shared" si="6"/>
        <v>295.98800000000006</v>
      </c>
      <c r="I359" s="6" t="s">
        <v>150</v>
      </c>
      <c r="J359" s="17"/>
    </row>
    <row r="360" spans="1:10" ht="13.95" customHeight="1" x14ac:dyDescent="0.3">
      <c r="A360" s="3">
        <v>45986</v>
      </c>
      <c r="B360" s="3" t="s">
        <v>20</v>
      </c>
      <c r="C360" s="3" t="s">
        <v>1259</v>
      </c>
      <c r="D360" s="4">
        <v>0.22</v>
      </c>
      <c r="E360" s="42">
        <v>1.6</v>
      </c>
      <c r="F360" s="45">
        <v>434</v>
      </c>
      <c r="G360" s="44">
        <v>2.2000000000000002</v>
      </c>
      <c r="H360" s="21">
        <f t="shared" si="6"/>
        <v>336.08960000000002</v>
      </c>
      <c r="I360" s="6" t="s">
        <v>150</v>
      </c>
      <c r="J360" s="17"/>
    </row>
    <row r="361" spans="1:10" ht="13.95" customHeight="1" x14ac:dyDescent="0.3">
      <c r="A361" s="3">
        <v>45987</v>
      </c>
      <c r="B361" s="3" t="s">
        <v>5</v>
      </c>
      <c r="C361" s="3" t="s">
        <v>1259</v>
      </c>
      <c r="D361" s="4">
        <v>0.25</v>
      </c>
      <c r="E361" s="42">
        <v>1.6</v>
      </c>
      <c r="F361" s="45">
        <v>434</v>
      </c>
      <c r="G361" s="44">
        <v>2.2000000000000002</v>
      </c>
      <c r="H361" s="21">
        <f t="shared" si="6"/>
        <v>381.92000000000007</v>
      </c>
      <c r="I361" s="6" t="s">
        <v>1477</v>
      </c>
      <c r="J361" s="17"/>
    </row>
    <row r="362" spans="1:10" ht="13.95" customHeight="1" x14ac:dyDescent="0.3">
      <c r="A362" s="3">
        <v>45988</v>
      </c>
      <c r="B362" s="3" t="s">
        <v>8</v>
      </c>
      <c r="C362" s="3" t="s">
        <v>1259</v>
      </c>
      <c r="D362" s="4">
        <v>0.28000000000000003</v>
      </c>
      <c r="E362" s="42">
        <v>1.65</v>
      </c>
      <c r="F362" s="45">
        <v>434</v>
      </c>
      <c r="G362" s="44">
        <v>2.2000000000000002</v>
      </c>
      <c r="H362" s="21">
        <f t="shared" si="6"/>
        <v>441.11760000000004</v>
      </c>
      <c r="I362" s="6" t="s">
        <v>82</v>
      </c>
      <c r="J362" s="17"/>
    </row>
    <row r="363" spans="1:10" ht="13.95" customHeight="1" x14ac:dyDescent="0.3">
      <c r="A363" s="3">
        <v>45989</v>
      </c>
      <c r="B363" s="3" t="s">
        <v>11</v>
      </c>
      <c r="C363" s="3" t="s">
        <v>14</v>
      </c>
      <c r="D363" s="4">
        <v>0.4</v>
      </c>
      <c r="E363" s="42">
        <v>1.8</v>
      </c>
      <c r="F363" s="45">
        <v>434</v>
      </c>
      <c r="G363" s="44">
        <v>2.2000000000000002</v>
      </c>
      <c r="H363" s="21">
        <f t="shared" si="6"/>
        <v>687.45600000000024</v>
      </c>
      <c r="I363" s="6" t="s">
        <v>97</v>
      </c>
      <c r="J363" s="17"/>
    </row>
    <row r="364" spans="1:10" ht="13.95" customHeight="1" x14ac:dyDescent="0.3">
      <c r="A364" s="3">
        <v>45990</v>
      </c>
      <c r="B364" s="3" t="s">
        <v>13</v>
      </c>
      <c r="C364" s="3" t="s">
        <v>14</v>
      </c>
      <c r="D364" s="4">
        <v>0.55000000000000004</v>
      </c>
      <c r="E364" s="42">
        <v>2.0499999999999998</v>
      </c>
      <c r="F364" s="45">
        <v>434</v>
      </c>
      <c r="G364" s="44">
        <v>2.2000000000000002</v>
      </c>
      <c r="H364" s="21">
        <f t="shared" si="6"/>
        <v>1076.537</v>
      </c>
      <c r="I364" s="6" t="s">
        <v>1478</v>
      </c>
      <c r="J364" s="17"/>
    </row>
    <row r="365" spans="1:10" ht="13.95" customHeight="1" x14ac:dyDescent="0.3">
      <c r="A365" s="3">
        <v>45991</v>
      </c>
      <c r="B365" s="3" t="s">
        <v>16</v>
      </c>
      <c r="C365" s="3" t="s">
        <v>14</v>
      </c>
      <c r="D365" s="4">
        <v>0.5</v>
      </c>
      <c r="E365" s="42">
        <v>1.9</v>
      </c>
      <c r="F365" s="45">
        <v>434</v>
      </c>
      <c r="G365" s="44">
        <v>2.2000000000000002</v>
      </c>
      <c r="H365" s="21">
        <f t="shared" si="6"/>
        <v>907.06</v>
      </c>
      <c r="I365" s="6" t="s">
        <v>783</v>
      </c>
      <c r="J365" s="17"/>
    </row>
    <row r="366" spans="1:10" ht="13.95" customHeight="1" x14ac:dyDescent="0.3">
      <c r="A366" s="3">
        <v>45992</v>
      </c>
      <c r="B366" s="3" t="s">
        <v>18</v>
      </c>
      <c r="C366" s="3" t="s">
        <v>1259</v>
      </c>
      <c r="D366" s="4">
        <v>0.22</v>
      </c>
      <c r="E366" s="42">
        <v>1.55</v>
      </c>
      <c r="F366" s="45">
        <v>434</v>
      </c>
      <c r="G366" s="44">
        <v>2.2000000000000002</v>
      </c>
      <c r="H366" s="21">
        <f t="shared" ref="H366:H367" si="7">(F366*D366)*E366*G366</f>
        <v>325.58680000000004</v>
      </c>
      <c r="I366" s="6" t="s">
        <v>1471</v>
      </c>
      <c r="J366" s="17"/>
    </row>
    <row r="367" spans="1:10" ht="13.95" customHeight="1" x14ac:dyDescent="0.3">
      <c r="A367" s="3">
        <v>45993</v>
      </c>
      <c r="B367" s="3" t="s">
        <v>20</v>
      </c>
      <c r="C367" s="3" t="s">
        <v>1259</v>
      </c>
      <c r="D367" s="4">
        <v>0.2</v>
      </c>
      <c r="E367" s="42">
        <v>1.55</v>
      </c>
      <c r="F367" s="45">
        <v>434</v>
      </c>
      <c r="G367" s="44">
        <v>2.2000000000000002</v>
      </c>
      <c r="H367" s="21">
        <f t="shared" si="7"/>
        <v>295.98800000000006</v>
      </c>
      <c r="I367" s="6" t="s">
        <v>150</v>
      </c>
      <c r="J367" s="17"/>
    </row>
    <row r="368" spans="1:10" ht="13.95" customHeight="1" x14ac:dyDescent="0.3">
      <c r="A368" s="3">
        <v>45994</v>
      </c>
      <c r="B368" s="3" t="s">
        <v>5</v>
      </c>
      <c r="C368" s="3" t="s">
        <v>1259</v>
      </c>
      <c r="D368" s="4">
        <v>0.2</v>
      </c>
      <c r="E368" s="42">
        <v>1.55</v>
      </c>
      <c r="F368" s="45">
        <v>434</v>
      </c>
      <c r="G368" s="44">
        <v>2.2000000000000002</v>
      </c>
      <c r="H368" s="21">
        <f t="shared" ref="H368:H396" si="8">(F368*D368)*E368*G368</f>
        <v>295.98800000000006</v>
      </c>
      <c r="I368" s="6" t="s">
        <v>150</v>
      </c>
      <c r="J368" s="17"/>
    </row>
    <row r="369" spans="1:10" ht="13.95" customHeight="1" x14ac:dyDescent="0.3">
      <c r="A369" s="3">
        <v>45995</v>
      </c>
      <c r="B369" s="3" t="s">
        <v>8</v>
      </c>
      <c r="C369" s="3" t="s">
        <v>1259</v>
      </c>
      <c r="D369" s="4">
        <v>0.25</v>
      </c>
      <c r="E369" s="42">
        <v>1.6</v>
      </c>
      <c r="F369" s="45">
        <v>434</v>
      </c>
      <c r="G369" s="44">
        <v>2.2000000000000002</v>
      </c>
      <c r="H369" s="21">
        <f t="shared" si="8"/>
        <v>381.92000000000007</v>
      </c>
      <c r="I369" s="6" t="s">
        <v>1473</v>
      </c>
      <c r="J369" s="17"/>
    </row>
    <row r="370" spans="1:10" ht="13.95" customHeight="1" x14ac:dyDescent="0.3">
      <c r="A370" s="3">
        <v>45996</v>
      </c>
      <c r="B370" s="3" t="s">
        <v>11</v>
      </c>
      <c r="C370" s="3" t="s">
        <v>14</v>
      </c>
      <c r="D370" s="4">
        <v>0.35</v>
      </c>
      <c r="E370" s="42">
        <v>1.75</v>
      </c>
      <c r="F370" s="45">
        <v>434</v>
      </c>
      <c r="G370" s="44">
        <v>2.2000000000000002</v>
      </c>
      <c r="H370" s="21">
        <f t="shared" si="8"/>
        <v>584.81499999999994</v>
      </c>
      <c r="I370" s="6" t="s">
        <v>1124</v>
      </c>
      <c r="J370" s="17"/>
    </row>
    <row r="371" spans="1:10" ht="13.95" customHeight="1" x14ac:dyDescent="0.3">
      <c r="A371" s="3">
        <v>45997</v>
      </c>
      <c r="B371" s="3" t="s">
        <v>13</v>
      </c>
      <c r="C371" s="3" t="s">
        <v>14</v>
      </c>
      <c r="D371" s="4">
        <v>0.5</v>
      </c>
      <c r="E371" s="42">
        <v>2</v>
      </c>
      <c r="F371" s="45">
        <v>434</v>
      </c>
      <c r="G371" s="44">
        <v>2.2000000000000002</v>
      </c>
      <c r="H371" s="21">
        <f t="shared" si="8"/>
        <v>954.80000000000007</v>
      </c>
      <c r="I371" s="6" t="s">
        <v>1318</v>
      </c>
      <c r="J371" s="17"/>
    </row>
    <row r="372" spans="1:10" ht="13.95" customHeight="1" x14ac:dyDescent="0.3">
      <c r="A372" s="3">
        <v>45998</v>
      </c>
      <c r="B372" s="3" t="s">
        <v>16</v>
      </c>
      <c r="C372" s="3" t="s">
        <v>14</v>
      </c>
      <c r="D372" s="4">
        <v>0.45</v>
      </c>
      <c r="E372" s="42">
        <v>1.85</v>
      </c>
      <c r="F372" s="45">
        <v>434</v>
      </c>
      <c r="G372" s="44">
        <v>2.2000000000000002</v>
      </c>
      <c r="H372" s="21">
        <f t="shared" si="8"/>
        <v>794.87100000000021</v>
      </c>
      <c r="I372" s="6" t="s">
        <v>139</v>
      </c>
      <c r="J372" s="17"/>
    </row>
    <row r="373" spans="1:10" ht="13.95" customHeight="1" x14ac:dyDescent="0.3">
      <c r="A373" s="3">
        <v>45999</v>
      </c>
      <c r="B373" s="3" t="s">
        <v>18</v>
      </c>
      <c r="C373" s="3" t="s">
        <v>1259</v>
      </c>
      <c r="D373" s="4">
        <v>0.2</v>
      </c>
      <c r="E373" s="42">
        <v>1.55</v>
      </c>
      <c r="F373" s="45">
        <v>434</v>
      </c>
      <c r="G373" s="44">
        <v>2.2000000000000002</v>
      </c>
      <c r="H373" s="21">
        <f t="shared" si="8"/>
        <v>295.98800000000006</v>
      </c>
      <c r="I373" s="6" t="s">
        <v>150</v>
      </c>
      <c r="J373" s="17"/>
    </row>
    <row r="374" spans="1:10" ht="13.95" customHeight="1" x14ac:dyDescent="0.3">
      <c r="A374" s="3">
        <v>46000</v>
      </c>
      <c r="B374" s="3" t="s">
        <v>20</v>
      </c>
      <c r="C374" s="3" t="s">
        <v>1259</v>
      </c>
      <c r="D374" s="4">
        <v>0.18</v>
      </c>
      <c r="E374" s="42">
        <v>1.55</v>
      </c>
      <c r="F374" s="45">
        <v>434</v>
      </c>
      <c r="G374" s="44">
        <v>2.2000000000000002</v>
      </c>
      <c r="H374" s="21">
        <f t="shared" si="8"/>
        <v>266.38919999999996</v>
      </c>
      <c r="I374" s="6" t="s">
        <v>1486</v>
      </c>
      <c r="J374" s="17"/>
    </row>
    <row r="375" spans="1:10" ht="13.95" customHeight="1" x14ac:dyDescent="0.3">
      <c r="A375" s="3">
        <v>46001</v>
      </c>
      <c r="B375" s="3" t="s">
        <v>5</v>
      </c>
      <c r="C375" s="3" t="s">
        <v>1259</v>
      </c>
      <c r="D375" s="4">
        <v>0.2</v>
      </c>
      <c r="E375" s="42">
        <v>1.55</v>
      </c>
      <c r="F375" s="45">
        <v>434</v>
      </c>
      <c r="G375" s="44">
        <v>2.2000000000000002</v>
      </c>
      <c r="H375" s="21">
        <f t="shared" si="8"/>
        <v>295.98800000000006</v>
      </c>
      <c r="I375" s="6" t="s">
        <v>150</v>
      </c>
      <c r="J375" s="17"/>
    </row>
    <row r="376" spans="1:10" ht="13.95" customHeight="1" x14ac:dyDescent="0.3">
      <c r="A376" s="3">
        <v>46002</v>
      </c>
      <c r="B376" s="3" t="s">
        <v>8</v>
      </c>
      <c r="C376" s="3" t="s">
        <v>1259</v>
      </c>
      <c r="D376" s="4">
        <v>0.22</v>
      </c>
      <c r="E376" s="42">
        <v>1.6</v>
      </c>
      <c r="F376" s="45">
        <v>434</v>
      </c>
      <c r="G376" s="44">
        <v>2.2000000000000002</v>
      </c>
      <c r="H376" s="21">
        <f t="shared" si="8"/>
        <v>336.08960000000002</v>
      </c>
      <c r="I376" s="6" t="s">
        <v>150</v>
      </c>
      <c r="J376" s="17"/>
    </row>
    <row r="377" spans="1:10" ht="13.95" customHeight="1" x14ac:dyDescent="0.3">
      <c r="A377" s="3">
        <v>46003</v>
      </c>
      <c r="B377" s="3" t="s">
        <v>11</v>
      </c>
      <c r="C377" s="3" t="s">
        <v>14</v>
      </c>
      <c r="D377" s="4">
        <v>0.35</v>
      </c>
      <c r="E377" s="42">
        <v>1.75</v>
      </c>
      <c r="F377" s="45">
        <v>434</v>
      </c>
      <c r="G377" s="44">
        <v>2.2000000000000002</v>
      </c>
      <c r="H377" s="21">
        <f t="shared" si="8"/>
        <v>584.81499999999994</v>
      </c>
      <c r="I377" s="6" t="s">
        <v>97</v>
      </c>
      <c r="J377" s="17"/>
    </row>
    <row r="378" spans="1:10" ht="13.95" customHeight="1" x14ac:dyDescent="0.3">
      <c r="A378" s="3">
        <v>46004</v>
      </c>
      <c r="B378" s="3" t="s">
        <v>13</v>
      </c>
      <c r="C378" s="3" t="s">
        <v>14</v>
      </c>
      <c r="D378" s="4">
        <v>0.55000000000000004</v>
      </c>
      <c r="E378" s="42">
        <v>2.0499999999999998</v>
      </c>
      <c r="F378" s="45">
        <v>434</v>
      </c>
      <c r="G378" s="44">
        <v>2.2000000000000002</v>
      </c>
      <c r="H378" s="21">
        <f t="shared" si="8"/>
        <v>1076.537</v>
      </c>
      <c r="I378" s="6" t="s">
        <v>1630</v>
      </c>
      <c r="J378" s="17"/>
    </row>
    <row r="379" spans="1:10" ht="13.95" customHeight="1" x14ac:dyDescent="0.3">
      <c r="A379" s="3">
        <v>46005</v>
      </c>
      <c r="B379" s="3" t="s">
        <v>16</v>
      </c>
      <c r="C379" s="3" t="s">
        <v>14</v>
      </c>
      <c r="D379" s="4">
        <v>0.45</v>
      </c>
      <c r="E379" s="42">
        <v>1.85</v>
      </c>
      <c r="F379" s="45">
        <v>434</v>
      </c>
      <c r="G379" s="44">
        <v>2.2000000000000002</v>
      </c>
      <c r="H379" s="21">
        <f t="shared" si="8"/>
        <v>794.87100000000021</v>
      </c>
      <c r="I379" s="6" t="s">
        <v>149</v>
      </c>
      <c r="J379" s="17"/>
    </row>
    <row r="380" spans="1:10" ht="13.95" customHeight="1" x14ac:dyDescent="0.3">
      <c r="A380" s="3">
        <v>46006</v>
      </c>
      <c r="B380" s="3" t="s">
        <v>18</v>
      </c>
      <c r="C380" s="3" t="s">
        <v>1259</v>
      </c>
      <c r="D380" s="4">
        <v>0.22</v>
      </c>
      <c r="E380" s="42">
        <v>1.55</v>
      </c>
      <c r="F380" s="45">
        <v>434</v>
      </c>
      <c r="G380" s="44">
        <v>2.2000000000000002</v>
      </c>
      <c r="H380" s="21">
        <f t="shared" si="8"/>
        <v>325.58680000000004</v>
      </c>
      <c r="I380" s="6" t="s">
        <v>150</v>
      </c>
      <c r="J380" s="17"/>
    </row>
    <row r="381" spans="1:10" ht="13.95" customHeight="1" x14ac:dyDescent="0.3">
      <c r="A381" s="3">
        <v>46007</v>
      </c>
      <c r="B381" s="3" t="s">
        <v>20</v>
      </c>
      <c r="C381" s="3" t="s">
        <v>1259</v>
      </c>
      <c r="D381" s="4">
        <v>0.2</v>
      </c>
      <c r="E381" s="42">
        <v>1.55</v>
      </c>
      <c r="F381" s="45">
        <v>434</v>
      </c>
      <c r="G381" s="44">
        <v>2.2000000000000002</v>
      </c>
      <c r="H381" s="21">
        <f t="shared" si="8"/>
        <v>295.98800000000006</v>
      </c>
      <c r="I381" s="6" t="s">
        <v>150</v>
      </c>
      <c r="J381" s="17"/>
    </row>
    <row r="382" spans="1:10" ht="13.95" customHeight="1" x14ac:dyDescent="0.3">
      <c r="A382" s="3">
        <v>46008</v>
      </c>
      <c r="B382" s="3" t="s">
        <v>5</v>
      </c>
      <c r="C382" s="3" t="s">
        <v>1259</v>
      </c>
      <c r="D382" s="4">
        <v>0.25</v>
      </c>
      <c r="E382" s="42">
        <v>1.65</v>
      </c>
      <c r="F382" s="45">
        <v>434</v>
      </c>
      <c r="G382" s="44">
        <v>2.2000000000000002</v>
      </c>
      <c r="H382" s="21">
        <f t="shared" si="8"/>
        <v>393.85499999999996</v>
      </c>
      <c r="I382" s="6" t="s">
        <v>150</v>
      </c>
      <c r="J382" s="17"/>
    </row>
    <row r="383" spans="1:10" ht="13.95" customHeight="1" x14ac:dyDescent="0.3">
      <c r="A383" s="3">
        <v>46009</v>
      </c>
      <c r="B383" s="3" t="s">
        <v>8</v>
      </c>
      <c r="C383" s="3" t="s">
        <v>44</v>
      </c>
      <c r="D383" s="4">
        <v>0.35</v>
      </c>
      <c r="E383" s="42">
        <v>1.75</v>
      </c>
      <c r="F383" s="45">
        <v>434</v>
      </c>
      <c r="G383" s="44">
        <v>2.2000000000000002</v>
      </c>
      <c r="H383" s="21">
        <f t="shared" si="8"/>
        <v>584.81499999999994</v>
      </c>
      <c r="I383" s="6" t="s">
        <v>1559</v>
      </c>
      <c r="J383" s="17"/>
    </row>
    <row r="384" spans="1:10" ht="13.95" customHeight="1" x14ac:dyDescent="0.3">
      <c r="A384" s="3">
        <v>46010</v>
      </c>
      <c r="B384" s="3" t="s">
        <v>11</v>
      </c>
      <c r="C384" s="3" t="s">
        <v>658</v>
      </c>
      <c r="D384" s="4">
        <v>0.5</v>
      </c>
      <c r="E384" s="42">
        <v>1.85</v>
      </c>
      <c r="F384" s="45">
        <v>434</v>
      </c>
      <c r="G384" s="44">
        <v>2.2000000000000002</v>
      </c>
      <c r="H384" s="21">
        <f t="shared" si="8"/>
        <v>883.19000000000017</v>
      </c>
      <c r="I384" s="6" t="s">
        <v>1489</v>
      </c>
      <c r="J384" s="17"/>
    </row>
    <row r="385" spans="1:10" ht="13.95" customHeight="1" x14ac:dyDescent="0.3">
      <c r="A385" s="3">
        <v>46011</v>
      </c>
      <c r="B385" s="3" t="s">
        <v>13</v>
      </c>
      <c r="C385" s="3" t="s">
        <v>658</v>
      </c>
      <c r="D385" s="4">
        <v>0.65</v>
      </c>
      <c r="E385" s="42">
        <v>2.15</v>
      </c>
      <c r="F385" s="45">
        <v>434</v>
      </c>
      <c r="G385" s="44">
        <v>2.2000000000000002</v>
      </c>
      <c r="H385" s="21">
        <f t="shared" si="8"/>
        <v>1334.3330000000001</v>
      </c>
      <c r="I385" s="6" t="s">
        <v>1631</v>
      </c>
      <c r="J385" s="17"/>
    </row>
    <row r="386" spans="1:10" ht="13.95" customHeight="1" x14ac:dyDescent="0.3">
      <c r="A386" s="3">
        <v>46012</v>
      </c>
      <c r="B386" s="3" t="s">
        <v>16</v>
      </c>
      <c r="C386" s="3" t="s">
        <v>658</v>
      </c>
      <c r="D386" s="4">
        <v>0.6</v>
      </c>
      <c r="E386" s="42">
        <v>2</v>
      </c>
      <c r="F386" s="45">
        <v>434</v>
      </c>
      <c r="G386" s="44">
        <v>2.2000000000000002</v>
      </c>
      <c r="H386" s="21">
        <f t="shared" si="8"/>
        <v>1145.76</v>
      </c>
      <c r="I386" s="6" t="s">
        <v>1404</v>
      </c>
      <c r="J386" s="17"/>
    </row>
    <row r="387" spans="1:10" ht="13.95" customHeight="1" x14ac:dyDescent="0.3">
      <c r="A387" s="3">
        <v>46013</v>
      </c>
      <c r="B387" s="3" t="s">
        <v>18</v>
      </c>
      <c r="C387" s="3" t="s">
        <v>658</v>
      </c>
      <c r="D387" s="4">
        <v>0.55000000000000004</v>
      </c>
      <c r="E387" s="42">
        <v>1.9</v>
      </c>
      <c r="F387" s="45">
        <v>434</v>
      </c>
      <c r="G387" s="44">
        <v>2.2000000000000002</v>
      </c>
      <c r="H387" s="21">
        <f t="shared" si="8"/>
        <v>997.76600000000019</v>
      </c>
      <c r="I387" s="6" t="s">
        <v>1632</v>
      </c>
      <c r="J387" s="17"/>
    </row>
    <row r="388" spans="1:10" ht="13.95" customHeight="1" x14ac:dyDescent="0.3">
      <c r="A388" s="3">
        <v>46014</v>
      </c>
      <c r="B388" s="3" t="s">
        <v>20</v>
      </c>
      <c r="C388" s="3" t="s">
        <v>658</v>
      </c>
      <c r="D388" s="4">
        <v>0.6</v>
      </c>
      <c r="E388" s="42">
        <v>1.9</v>
      </c>
      <c r="F388" s="45">
        <v>434</v>
      </c>
      <c r="G388" s="44">
        <v>2.2000000000000002</v>
      </c>
      <c r="H388" s="21">
        <f t="shared" si="8"/>
        <v>1088.472</v>
      </c>
      <c r="I388" s="6" t="s">
        <v>514</v>
      </c>
      <c r="J388" s="17"/>
    </row>
    <row r="389" spans="1:10" ht="13.95" customHeight="1" x14ac:dyDescent="0.3">
      <c r="A389" s="3">
        <v>46015</v>
      </c>
      <c r="B389" s="3" t="s">
        <v>5</v>
      </c>
      <c r="C389" s="3" t="s">
        <v>662</v>
      </c>
      <c r="D389" s="4">
        <v>0.75</v>
      </c>
      <c r="E389" s="42">
        <v>2.5</v>
      </c>
      <c r="F389" s="45">
        <v>434</v>
      </c>
      <c r="G389" s="44">
        <v>2.2000000000000002</v>
      </c>
      <c r="H389" s="21">
        <f t="shared" si="8"/>
        <v>1790.2500000000002</v>
      </c>
      <c r="I389" s="6" t="s">
        <v>1633</v>
      </c>
      <c r="J389" s="17"/>
    </row>
    <row r="390" spans="1:10" ht="13.95" customHeight="1" x14ac:dyDescent="0.3">
      <c r="A390" s="3">
        <v>46016</v>
      </c>
      <c r="B390" s="3" t="s">
        <v>8</v>
      </c>
      <c r="C390" s="3" t="s">
        <v>299</v>
      </c>
      <c r="D390" s="4">
        <v>0.7</v>
      </c>
      <c r="E390" s="42">
        <v>2.25</v>
      </c>
      <c r="F390" s="45">
        <v>434</v>
      </c>
      <c r="G390" s="44">
        <v>2.2000000000000002</v>
      </c>
      <c r="H390" s="21">
        <f t="shared" si="8"/>
        <v>1503.81</v>
      </c>
      <c r="I390" s="6" t="s">
        <v>1563</v>
      </c>
      <c r="J390" s="17"/>
    </row>
    <row r="391" spans="1:10" ht="13.95" customHeight="1" x14ac:dyDescent="0.3">
      <c r="A391" s="3">
        <v>46017</v>
      </c>
      <c r="B391" s="3" t="s">
        <v>11</v>
      </c>
      <c r="C391" s="3" t="s">
        <v>1564</v>
      </c>
      <c r="D391" s="4">
        <v>0.75</v>
      </c>
      <c r="E391" s="42">
        <v>2.1</v>
      </c>
      <c r="F391" s="45">
        <v>434</v>
      </c>
      <c r="G391" s="44">
        <v>2.2000000000000002</v>
      </c>
      <c r="H391" s="21">
        <f t="shared" si="8"/>
        <v>1503.8100000000002</v>
      </c>
      <c r="I391" s="6" t="s">
        <v>1463</v>
      </c>
      <c r="J391" s="17"/>
    </row>
    <row r="392" spans="1:10" ht="13.95" customHeight="1" x14ac:dyDescent="0.3">
      <c r="A392" s="3">
        <v>46018</v>
      </c>
      <c r="B392" s="3" t="s">
        <v>13</v>
      </c>
      <c r="C392" s="3" t="s">
        <v>1564</v>
      </c>
      <c r="D392" s="4">
        <v>0.85</v>
      </c>
      <c r="E392" s="42">
        <v>2.35</v>
      </c>
      <c r="F392" s="45">
        <v>434</v>
      </c>
      <c r="G392" s="44">
        <v>2.2000000000000002</v>
      </c>
      <c r="H392" s="21">
        <f t="shared" si="8"/>
        <v>1907.213</v>
      </c>
      <c r="I392" s="6" t="s">
        <v>1323</v>
      </c>
      <c r="J392" s="17"/>
    </row>
    <row r="393" spans="1:10" ht="13.95" customHeight="1" x14ac:dyDescent="0.3">
      <c r="A393" s="3">
        <v>46019</v>
      </c>
      <c r="B393" s="3" t="s">
        <v>16</v>
      </c>
      <c r="C393" s="3" t="s">
        <v>1564</v>
      </c>
      <c r="D393" s="4">
        <v>0.8</v>
      </c>
      <c r="E393" s="42">
        <v>2.2000000000000002</v>
      </c>
      <c r="F393" s="45">
        <v>434</v>
      </c>
      <c r="G393" s="44">
        <v>2.2000000000000002</v>
      </c>
      <c r="H393" s="21">
        <f t="shared" si="8"/>
        <v>1680.4480000000005</v>
      </c>
      <c r="I393" s="6" t="s">
        <v>149</v>
      </c>
      <c r="J393" s="17"/>
    </row>
    <row r="394" spans="1:10" ht="13.95" customHeight="1" x14ac:dyDescent="0.3">
      <c r="A394" s="3">
        <v>46020</v>
      </c>
      <c r="B394" s="3" t="s">
        <v>18</v>
      </c>
      <c r="C394" s="3" t="s">
        <v>1565</v>
      </c>
      <c r="D394" s="4">
        <v>0.85</v>
      </c>
      <c r="E394" s="42">
        <v>2.15</v>
      </c>
      <c r="F394" s="45">
        <v>434</v>
      </c>
      <c r="G394" s="44">
        <v>2.2000000000000002</v>
      </c>
      <c r="H394" s="21">
        <f t="shared" si="8"/>
        <v>1744.8969999999999</v>
      </c>
      <c r="I394" s="6" t="s">
        <v>1634</v>
      </c>
      <c r="J394" s="17"/>
    </row>
    <row r="395" spans="1:10" ht="13.95" customHeight="1" x14ac:dyDescent="0.3">
      <c r="A395" s="3">
        <v>46021</v>
      </c>
      <c r="B395" s="3" t="s">
        <v>20</v>
      </c>
      <c r="C395" s="3" t="s">
        <v>1565</v>
      </c>
      <c r="D395" s="4">
        <v>0.95</v>
      </c>
      <c r="E395" s="42">
        <v>2.25</v>
      </c>
      <c r="F395" s="45">
        <v>434</v>
      </c>
      <c r="G395" s="44">
        <v>2.2000000000000002</v>
      </c>
      <c r="H395" s="21">
        <f t="shared" si="8"/>
        <v>2040.885</v>
      </c>
      <c r="I395" s="6" t="s">
        <v>667</v>
      </c>
      <c r="J395" s="17"/>
    </row>
    <row r="396" spans="1:10" ht="13.95" customHeight="1" x14ac:dyDescent="0.3">
      <c r="A396" s="3">
        <v>46022</v>
      </c>
      <c r="B396" s="3" t="s">
        <v>5</v>
      </c>
      <c r="C396" s="3" t="s">
        <v>1567</v>
      </c>
      <c r="D396" s="4">
        <v>1</v>
      </c>
      <c r="E396" s="42">
        <v>3</v>
      </c>
      <c r="F396" s="45">
        <v>434</v>
      </c>
      <c r="G396" s="44">
        <v>2.2000000000000002</v>
      </c>
      <c r="H396" s="21">
        <f t="shared" si="8"/>
        <v>2864.4</v>
      </c>
      <c r="I396" s="6" t="s">
        <v>1568</v>
      </c>
      <c r="J396" s="1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840B6-F4A9-4EB8-99F0-BF7B485E8929}">
  <sheetPr>
    <tabColor theme="8" tint="-0.249977111117893"/>
  </sheetPr>
  <dimension ref="A1:K367"/>
  <sheetViews>
    <sheetView workbookViewId="0">
      <selection activeCell="A2" sqref="A2:XFD2"/>
    </sheetView>
  </sheetViews>
  <sheetFormatPr baseColWidth="10" defaultRowHeight="14.4" x14ac:dyDescent="0.3"/>
  <cols>
    <col min="1" max="1" width="15.109375" customWidth="1"/>
    <col min="2" max="2" width="18.21875" bestFit="1" customWidth="1"/>
    <col min="4" max="4" width="14.77734375" customWidth="1"/>
    <col min="5" max="5" width="13.6640625" style="38" customWidth="1"/>
    <col min="6" max="6" width="11.5546875" style="8"/>
    <col min="7" max="7" width="11.5546875" style="46"/>
    <col min="8" max="9" width="11.5546875" style="36"/>
    <col min="10" max="10" width="33.5546875" customWidth="1"/>
  </cols>
  <sheetData>
    <row r="1" spans="1:11" ht="28.2" thickBot="1" x14ac:dyDescent="0.35">
      <c r="A1" s="1" t="s">
        <v>333</v>
      </c>
      <c r="B1" s="34" t="s">
        <v>670</v>
      </c>
      <c r="C1" s="34" t="s">
        <v>0</v>
      </c>
      <c r="D1" s="34" t="s">
        <v>1</v>
      </c>
      <c r="E1" s="37" t="s">
        <v>2</v>
      </c>
      <c r="F1" s="41" t="s">
        <v>3</v>
      </c>
      <c r="G1" s="47" t="s">
        <v>359</v>
      </c>
      <c r="H1" s="35" t="s">
        <v>360</v>
      </c>
      <c r="I1" s="35" t="s">
        <v>361</v>
      </c>
      <c r="J1" s="27" t="s">
        <v>4</v>
      </c>
    </row>
    <row r="2" spans="1:11" ht="13.95" customHeight="1" x14ac:dyDescent="0.3">
      <c r="A2" s="3">
        <v>45658</v>
      </c>
      <c r="B2" s="3" t="s">
        <v>1635</v>
      </c>
      <c r="C2" s="19" t="s">
        <v>5</v>
      </c>
      <c r="D2" s="19" t="s">
        <v>735</v>
      </c>
      <c r="E2" s="4">
        <v>0.85</v>
      </c>
      <c r="F2" s="42">
        <v>2.4500000000000002</v>
      </c>
      <c r="G2" s="45">
        <v>391</v>
      </c>
      <c r="H2" s="22">
        <v>1.9</v>
      </c>
      <c r="I2" s="30">
        <f t="shared" ref="I2" si="0">(G2*E2)*F2*H2</f>
        <v>1547.0892499999998</v>
      </c>
      <c r="J2" s="6" t="s">
        <v>1479</v>
      </c>
      <c r="K2" s="17"/>
    </row>
    <row r="3" spans="1:11" ht="13.95" customHeight="1" x14ac:dyDescent="0.3">
      <c r="A3" s="3">
        <v>45659</v>
      </c>
      <c r="B3" s="3" t="s">
        <v>1635</v>
      </c>
      <c r="C3" s="19" t="s">
        <v>8</v>
      </c>
      <c r="D3" s="19" t="s">
        <v>1259</v>
      </c>
      <c r="E3" s="4">
        <v>0.45</v>
      </c>
      <c r="F3" s="42">
        <v>1.85</v>
      </c>
      <c r="G3" s="45">
        <v>391</v>
      </c>
      <c r="H3" s="22">
        <v>1.9</v>
      </c>
      <c r="I3" s="30">
        <f t="shared" ref="I3:I66" si="1">(G3*E3)*F3*H3</f>
        <v>618.46425000000011</v>
      </c>
      <c r="J3" s="6" t="s">
        <v>1480</v>
      </c>
      <c r="K3" s="17"/>
    </row>
    <row r="4" spans="1:11" ht="13.95" customHeight="1" x14ac:dyDescent="0.3">
      <c r="A4" s="3">
        <v>45660</v>
      </c>
      <c r="B4" s="3" t="s">
        <v>1635</v>
      </c>
      <c r="C4" s="19" t="s">
        <v>11</v>
      </c>
      <c r="D4" s="19" t="s">
        <v>44</v>
      </c>
      <c r="E4" s="4">
        <v>0.48</v>
      </c>
      <c r="F4" s="42">
        <v>1.9</v>
      </c>
      <c r="G4" s="45">
        <v>391</v>
      </c>
      <c r="H4" s="22">
        <v>1.9</v>
      </c>
      <c r="I4" s="30">
        <f t="shared" si="1"/>
        <v>677.52479999999991</v>
      </c>
      <c r="J4" s="6" t="s">
        <v>67</v>
      </c>
      <c r="K4" s="17"/>
    </row>
    <row r="5" spans="1:11" ht="13.95" customHeight="1" x14ac:dyDescent="0.3">
      <c r="A5" s="3">
        <v>45661</v>
      </c>
      <c r="B5" s="3" t="s">
        <v>1635</v>
      </c>
      <c r="C5" s="19" t="s">
        <v>13</v>
      </c>
      <c r="D5" s="19" t="s">
        <v>14</v>
      </c>
      <c r="E5" s="4">
        <v>0.6</v>
      </c>
      <c r="F5" s="42">
        <v>2.15</v>
      </c>
      <c r="G5" s="45">
        <v>391</v>
      </c>
      <c r="H5" s="22">
        <v>1.9</v>
      </c>
      <c r="I5" s="30">
        <f t="shared" si="1"/>
        <v>958.34099999999989</v>
      </c>
      <c r="J5" s="6" t="s">
        <v>1481</v>
      </c>
      <c r="K5" s="17"/>
    </row>
    <row r="6" spans="1:11" ht="13.95" customHeight="1" x14ac:dyDescent="0.3">
      <c r="A6" s="3">
        <v>45662</v>
      </c>
      <c r="B6" s="3" t="s">
        <v>1635</v>
      </c>
      <c r="C6" s="19" t="s">
        <v>16</v>
      </c>
      <c r="D6" s="19" t="s">
        <v>14</v>
      </c>
      <c r="E6" s="4">
        <v>0.55000000000000004</v>
      </c>
      <c r="F6" s="42">
        <v>2.0499999999999998</v>
      </c>
      <c r="G6" s="45">
        <v>391</v>
      </c>
      <c r="H6" s="22">
        <v>1.9</v>
      </c>
      <c r="I6" s="30">
        <f t="shared" si="1"/>
        <v>837.61974999999984</v>
      </c>
      <c r="J6" s="6" t="s">
        <v>238</v>
      </c>
      <c r="K6" s="17"/>
    </row>
    <row r="7" spans="1:11" ht="13.95" customHeight="1" x14ac:dyDescent="0.3">
      <c r="A7" s="3">
        <v>45663</v>
      </c>
      <c r="B7" s="3" t="s">
        <v>1635</v>
      </c>
      <c r="C7" s="19" t="s">
        <v>18</v>
      </c>
      <c r="D7" s="19" t="s">
        <v>736</v>
      </c>
      <c r="E7" s="4">
        <v>0.38</v>
      </c>
      <c r="F7" s="42">
        <v>1.8</v>
      </c>
      <c r="G7" s="45">
        <v>391</v>
      </c>
      <c r="H7" s="22">
        <v>1.9</v>
      </c>
      <c r="I7" s="30">
        <f t="shared" si="1"/>
        <v>508.14359999999999</v>
      </c>
      <c r="J7" s="6" t="s">
        <v>1482</v>
      </c>
      <c r="K7" s="17"/>
    </row>
    <row r="8" spans="1:11" ht="13.95" customHeight="1" x14ac:dyDescent="0.3">
      <c r="A8" s="3">
        <v>45664</v>
      </c>
      <c r="B8" s="3" t="s">
        <v>1635</v>
      </c>
      <c r="C8" s="19" t="s">
        <v>20</v>
      </c>
      <c r="D8" s="19" t="s">
        <v>736</v>
      </c>
      <c r="E8" s="4">
        <v>0.35</v>
      </c>
      <c r="F8" s="42">
        <v>1.8</v>
      </c>
      <c r="G8" s="45">
        <v>391</v>
      </c>
      <c r="H8" s="22">
        <v>1.9</v>
      </c>
      <c r="I8" s="30">
        <f t="shared" si="1"/>
        <v>468.02699999999993</v>
      </c>
      <c r="J8" s="6" t="s">
        <v>1482</v>
      </c>
      <c r="K8" s="17"/>
    </row>
    <row r="9" spans="1:11" ht="13.95" customHeight="1" x14ac:dyDescent="0.3">
      <c r="A9" s="3">
        <v>45665</v>
      </c>
      <c r="B9" s="3" t="s">
        <v>1635</v>
      </c>
      <c r="C9" s="19" t="s">
        <v>5</v>
      </c>
      <c r="D9" s="19" t="s">
        <v>736</v>
      </c>
      <c r="E9" s="4">
        <v>0.35</v>
      </c>
      <c r="F9" s="42">
        <v>1.8</v>
      </c>
      <c r="G9" s="45">
        <v>391</v>
      </c>
      <c r="H9" s="22">
        <v>1.9</v>
      </c>
      <c r="I9" s="30">
        <f t="shared" si="1"/>
        <v>468.02699999999993</v>
      </c>
      <c r="J9" s="6" t="s">
        <v>1483</v>
      </c>
      <c r="K9" s="17"/>
    </row>
    <row r="10" spans="1:11" ht="13.95" customHeight="1" x14ac:dyDescent="0.3">
      <c r="A10" s="3">
        <v>45666</v>
      </c>
      <c r="B10" s="3" t="s">
        <v>1635</v>
      </c>
      <c r="C10" s="19" t="s">
        <v>8</v>
      </c>
      <c r="D10" s="19" t="s">
        <v>736</v>
      </c>
      <c r="E10" s="4">
        <v>0.38</v>
      </c>
      <c r="F10" s="42">
        <v>1.8</v>
      </c>
      <c r="G10" s="45">
        <v>391</v>
      </c>
      <c r="H10" s="22">
        <v>1.9</v>
      </c>
      <c r="I10" s="30">
        <f t="shared" si="1"/>
        <v>508.14359999999999</v>
      </c>
      <c r="J10" s="6" t="s">
        <v>1484</v>
      </c>
      <c r="K10" s="17"/>
    </row>
    <row r="11" spans="1:11" ht="13.95" customHeight="1" x14ac:dyDescent="0.3">
      <c r="A11" s="3">
        <v>45667</v>
      </c>
      <c r="B11" s="3" t="s">
        <v>1635</v>
      </c>
      <c r="C11" s="19" t="s">
        <v>11</v>
      </c>
      <c r="D11" s="19" t="s">
        <v>44</v>
      </c>
      <c r="E11" s="4">
        <v>0.45</v>
      </c>
      <c r="F11" s="42">
        <v>1.9</v>
      </c>
      <c r="G11" s="45">
        <v>391</v>
      </c>
      <c r="H11" s="22">
        <v>1.9</v>
      </c>
      <c r="I11" s="30">
        <f t="shared" si="1"/>
        <v>635.17949999999996</v>
      </c>
      <c r="J11" s="6" t="s">
        <v>1124</v>
      </c>
      <c r="K11" s="17"/>
    </row>
    <row r="12" spans="1:11" ht="13.95" customHeight="1" x14ac:dyDescent="0.3">
      <c r="A12" s="3">
        <v>45668</v>
      </c>
      <c r="B12" s="3" t="s">
        <v>1635</v>
      </c>
      <c r="C12" s="19" t="s">
        <v>13</v>
      </c>
      <c r="D12" s="19" t="s">
        <v>14</v>
      </c>
      <c r="E12" s="4">
        <v>0.55000000000000004</v>
      </c>
      <c r="F12" s="42">
        <v>2.1</v>
      </c>
      <c r="G12" s="45">
        <v>391</v>
      </c>
      <c r="H12" s="22">
        <v>1.9</v>
      </c>
      <c r="I12" s="30">
        <f t="shared" si="1"/>
        <v>858.04949999999997</v>
      </c>
      <c r="J12" s="6" t="s">
        <v>1485</v>
      </c>
      <c r="K12" s="17"/>
    </row>
    <row r="13" spans="1:11" ht="13.95" customHeight="1" x14ac:dyDescent="0.3">
      <c r="A13" s="3">
        <v>45669</v>
      </c>
      <c r="B13" s="3" t="s">
        <v>1635</v>
      </c>
      <c r="C13" s="19" t="s">
        <v>16</v>
      </c>
      <c r="D13" s="19" t="s">
        <v>14</v>
      </c>
      <c r="E13" s="4">
        <v>0.5</v>
      </c>
      <c r="F13" s="42">
        <v>2</v>
      </c>
      <c r="G13" s="45">
        <v>391</v>
      </c>
      <c r="H13" s="22">
        <v>1.9</v>
      </c>
      <c r="I13" s="30">
        <f t="shared" si="1"/>
        <v>742.9</v>
      </c>
      <c r="J13" s="6" t="s">
        <v>149</v>
      </c>
      <c r="K13" s="17"/>
    </row>
    <row r="14" spans="1:11" ht="13.95" customHeight="1" x14ac:dyDescent="0.3">
      <c r="A14" s="3">
        <v>45670</v>
      </c>
      <c r="B14" s="3" t="s">
        <v>1635</v>
      </c>
      <c r="C14" s="19" t="s">
        <v>18</v>
      </c>
      <c r="D14" s="19" t="s">
        <v>736</v>
      </c>
      <c r="E14" s="4">
        <v>0.35</v>
      </c>
      <c r="F14" s="42">
        <v>1.8</v>
      </c>
      <c r="G14" s="45">
        <v>391</v>
      </c>
      <c r="H14" s="22">
        <v>1.9</v>
      </c>
      <c r="I14" s="30">
        <f t="shared" si="1"/>
        <v>468.02699999999993</v>
      </c>
      <c r="J14" s="6" t="s">
        <v>150</v>
      </c>
      <c r="K14" s="17"/>
    </row>
    <row r="15" spans="1:11" ht="13.95" customHeight="1" x14ac:dyDescent="0.3">
      <c r="A15" s="3">
        <v>45671</v>
      </c>
      <c r="B15" s="3" t="s">
        <v>1635</v>
      </c>
      <c r="C15" s="19" t="s">
        <v>20</v>
      </c>
      <c r="D15" s="19" t="s">
        <v>1269</v>
      </c>
      <c r="E15" s="4">
        <v>0.55000000000000004</v>
      </c>
      <c r="F15" s="42">
        <v>2.15</v>
      </c>
      <c r="G15" s="45">
        <v>391</v>
      </c>
      <c r="H15" s="22">
        <v>1.9</v>
      </c>
      <c r="I15" s="30">
        <f t="shared" si="1"/>
        <v>878.47924999999998</v>
      </c>
      <c r="J15" s="6" t="s">
        <v>1366</v>
      </c>
      <c r="K15" s="17"/>
    </row>
    <row r="16" spans="1:11" ht="13.95" customHeight="1" x14ac:dyDescent="0.3">
      <c r="A16" s="3">
        <v>45672</v>
      </c>
      <c r="B16" s="3" t="s">
        <v>1635</v>
      </c>
      <c r="C16" s="19" t="s">
        <v>5</v>
      </c>
      <c r="D16" s="19" t="s">
        <v>736</v>
      </c>
      <c r="E16" s="4">
        <v>0.35</v>
      </c>
      <c r="F16" s="42">
        <v>1.8</v>
      </c>
      <c r="G16" s="45">
        <v>391</v>
      </c>
      <c r="H16" s="22">
        <v>1.9</v>
      </c>
      <c r="I16" s="30">
        <f t="shared" si="1"/>
        <v>468.02699999999993</v>
      </c>
      <c r="J16" s="6" t="s">
        <v>150</v>
      </c>
      <c r="K16" s="17"/>
    </row>
    <row r="17" spans="1:11" ht="13.95" customHeight="1" x14ac:dyDescent="0.3">
      <c r="A17" s="3">
        <v>45673</v>
      </c>
      <c r="B17" s="3" t="s">
        <v>1635</v>
      </c>
      <c r="C17" s="19" t="s">
        <v>8</v>
      </c>
      <c r="D17" s="19" t="s">
        <v>736</v>
      </c>
      <c r="E17" s="4">
        <v>0.35</v>
      </c>
      <c r="F17" s="42">
        <v>1.8</v>
      </c>
      <c r="G17" s="45">
        <v>391</v>
      </c>
      <c r="H17" s="22">
        <v>1.9</v>
      </c>
      <c r="I17" s="30">
        <f t="shared" si="1"/>
        <v>468.02699999999993</v>
      </c>
      <c r="J17" s="6" t="s">
        <v>150</v>
      </c>
      <c r="K17" s="17"/>
    </row>
    <row r="18" spans="1:11" ht="13.95" customHeight="1" x14ac:dyDescent="0.3">
      <c r="A18" s="3">
        <v>45674</v>
      </c>
      <c r="B18" s="3" t="s">
        <v>1635</v>
      </c>
      <c r="C18" s="19" t="s">
        <v>11</v>
      </c>
      <c r="D18" s="19" t="s">
        <v>44</v>
      </c>
      <c r="E18" s="4">
        <v>0.42</v>
      </c>
      <c r="F18" s="42">
        <v>1.9</v>
      </c>
      <c r="G18" s="45">
        <v>391</v>
      </c>
      <c r="H18" s="22">
        <v>1.9</v>
      </c>
      <c r="I18" s="30">
        <f t="shared" si="1"/>
        <v>592.8341999999999</v>
      </c>
      <c r="J18" s="6" t="s">
        <v>97</v>
      </c>
      <c r="K18" s="17"/>
    </row>
    <row r="19" spans="1:11" ht="13.95" customHeight="1" x14ac:dyDescent="0.3">
      <c r="A19" s="3">
        <v>45675</v>
      </c>
      <c r="B19" s="3" t="s">
        <v>1635</v>
      </c>
      <c r="C19" s="19" t="s">
        <v>13</v>
      </c>
      <c r="D19" s="19" t="s">
        <v>14</v>
      </c>
      <c r="E19" s="4">
        <v>0.55000000000000004</v>
      </c>
      <c r="F19" s="42">
        <v>2.1</v>
      </c>
      <c r="G19" s="45">
        <v>391</v>
      </c>
      <c r="H19" s="22">
        <v>1.9</v>
      </c>
      <c r="I19" s="30">
        <f t="shared" si="1"/>
        <v>858.04949999999997</v>
      </c>
      <c r="J19" s="6" t="s">
        <v>97</v>
      </c>
      <c r="K19" s="17"/>
    </row>
    <row r="20" spans="1:11" ht="13.95" customHeight="1" x14ac:dyDescent="0.3">
      <c r="A20" s="3">
        <v>45676</v>
      </c>
      <c r="B20" s="3" t="s">
        <v>1635</v>
      </c>
      <c r="C20" s="19" t="s">
        <v>16</v>
      </c>
      <c r="D20" s="19" t="s">
        <v>14</v>
      </c>
      <c r="E20" s="4">
        <v>0.5</v>
      </c>
      <c r="F20" s="42">
        <v>2</v>
      </c>
      <c r="G20" s="45">
        <v>391</v>
      </c>
      <c r="H20" s="22">
        <v>1.9</v>
      </c>
      <c r="I20" s="30">
        <f t="shared" si="1"/>
        <v>742.9</v>
      </c>
      <c r="J20" s="6" t="s">
        <v>149</v>
      </c>
      <c r="K20" s="17"/>
    </row>
    <row r="21" spans="1:11" ht="13.95" customHeight="1" x14ac:dyDescent="0.3">
      <c r="A21" s="3">
        <v>45677</v>
      </c>
      <c r="B21" s="3" t="s">
        <v>1635</v>
      </c>
      <c r="C21" s="19" t="s">
        <v>18</v>
      </c>
      <c r="D21" s="19" t="s">
        <v>736</v>
      </c>
      <c r="E21" s="4">
        <v>0.32</v>
      </c>
      <c r="F21" s="42">
        <v>1.8</v>
      </c>
      <c r="G21" s="45">
        <v>391</v>
      </c>
      <c r="H21" s="22">
        <v>1.9</v>
      </c>
      <c r="I21" s="30">
        <f t="shared" si="1"/>
        <v>427.91039999999998</v>
      </c>
      <c r="J21" s="6" t="s">
        <v>1486</v>
      </c>
      <c r="K21" s="17"/>
    </row>
    <row r="22" spans="1:11" ht="13.95" customHeight="1" x14ac:dyDescent="0.3">
      <c r="A22" s="3">
        <v>45678</v>
      </c>
      <c r="B22" s="3" t="s">
        <v>1635</v>
      </c>
      <c r="C22" s="19" t="s">
        <v>20</v>
      </c>
      <c r="D22" s="19" t="s">
        <v>736</v>
      </c>
      <c r="E22" s="4">
        <v>0.3</v>
      </c>
      <c r="F22" s="42">
        <v>1.75</v>
      </c>
      <c r="G22" s="45">
        <v>391</v>
      </c>
      <c r="H22" s="22">
        <v>1.9</v>
      </c>
      <c r="I22" s="30">
        <f t="shared" si="1"/>
        <v>390.02249999999998</v>
      </c>
      <c r="J22" s="6" t="s">
        <v>1487</v>
      </c>
      <c r="K22" s="17"/>
    </row>
    <row r="23" spans="1:11" ht="13.95" customHeight="1" x14ac:dyDescent="0.3">
      <c r="A23" s="3">
        <v>45679</v>
      </c>
      <c r="B23" s="3" t="s">
        <v>1635</v>
      </c>
      <c r="C23" s="19" t="s">
        <v>5</v>
      </c>
      <c r="D23" s="19" t="s">
        <v>736</v>
      </c>
      <c r="E23" s="4">
        <v>0.32</v>
      </c>
      <c r="F23" s="42">
        <v>1.8</v>
      </c>
      <c r="G23" s="45">
        <v>391</v>
      </c>
      <c r="H23" s="22">
        <v>1.9</v>
      </c>
      <c r="I23" s="30">
        <f t="shared" si="1"/>
        <v>427.91039999999998</v>
      </c>
      <c r="J23" s="6" t="s">
        <v>150</v>
      </c>
      <c r="K23" s="17"/>
    </row>
    <row r="24" spans="1:11" ht="13.95" customHeight="1" x14ac:dyDescent="0.3">
      <c r="A24" s="3">
        <v>45680</v>
      </c>
      <c r="B24" s="3" t="s">
        <v>1635</v>
      </c>
      <c r="C24" s="19" t="s">
        <v>8</v>
      </c>
      <c r="D24" s="19" t="s">
        <v>44</v>
      </c>
      <c r="E24" s="4">
        <v>0.4</v>
      </c>
      <c r="F24" s="42">
        <v>1.85</v>
      </c>
      <c r="G24" s="45">
        <v>391</v>
      </c>
      <c r="H24" s="22">
        <v>1.9</v>
      </c>
      <c r="I24" s="30">
        <f t="shared" si="1"/>
        <v>549.74599999999998</v>
      </c>
      <c r="J24" s="6" t="s">
        <v>1488</v>
      </c>
      <c r="K24" s="17"/>
    </row>
    <row r="25" spans="1:11" ht="13.95" customHeight="1" x14ac:dyDescent="0.3">
      <c r="A25" s="3">
        <v>45681</v>
      </c>
      <c r="B25" s="3" t="s">
        <v>1635</v>
      </c>
      <c r="C25" s="19" t="s">
        <v>11</v>
      </c>
      <c r="D25" s="19" t="s">
        <v>658</v>
      </c>
      <c r="E25" s="4">
        <v>0.55000000000000004</v>
      </c>
      <c r="F25" s="42">
        <v>1.95</v>
      </c>
      <c r="G25" s="45">
        <v>391</v>
      </c>
      <c r="H25" s="22">
        <v>1.9</v>
      </c>
      <c r="I25" s="30">
        <f t="shared" si="1"/>
        <v>796.76025000000004</v>
      </c>
      <c r="J25" s="6" t="s">
        <v>1489</v>
      </c>
      <c r="K25" s="17"/>
    </row>
    <row r="26" spans="1:11" ht="13.95" customHeight="1" x14ac:dyDescent="0.3">
      <c r="A26" s="3">
        <v>45682</v>
      </c>
      <c r="B26" s="3" t="s">
        <v>1635</v>
      </c>
      <c r="C26" s="19" t="s">
        <v>13</v>
      </c>
      <c r="D26" s="19" t="s">
        <v>658</v>
      </c>
      <c r="E26" s="4">
        <v>0.7</v>
      </c>
      <c r="F26" s="42">
        <v>2.2000000000000002</v>
      </c>
      <c r="G26" s="45">
        <v>391</v>
      </c>
      <c r="H26" s="22">
        <v>1.9</v>
      </c>
      <c r="I26" s="30">
        <f t="shared" si="1"/>
        <v>1144.066</v>
      </c>
      <c r="J26" s="6" t="s">
        <v>1490</v>
      </c>
      <c r="K26" s="17"/>
    </row>
    <row r="27" spans="1:11" ht="13.95" customHeight="1" x14ac:dyDescent="0.3">
      <c r="A27" s="3">
        <v>45683</v>
      </c>
      <c r="B27" s="3" t="s">
        <v>1635</v>
      </c>
      <c r="C27" s="19" t="s">
        <v>16</v>
      </c>
      <c r="D27" s="19" t="s">
        <v>658</v>
      </c>
      <c r="E27" s="4">
        <v>0.65</v>
      </c>
      <c r="F27" s="42">
        <v>2.1</v>
      </c>
      <c r="G27" s="45">
        <v>391</v>
      </c>
      <c r="H27" s="22">
        <v>1.9</v>
      </c>
      <c r="I27" s="30">
        <f t="shared" si="1"/>
        <v>1014.0585</v>
      </c>
      <c r="J27" s="6" t="s">
        <v>1404</v>
      </c>
      <c r="K27" s="17"/>
    </row>
    <row r="28" spans="1:11" ht="13.95" customHeight="1" x14ac:dyDescent="0.3">
      <c r="A28" s="3">
        <v>45684</v>
      </c>
      <c r="B28" s="3" t="s">
        <v>1635</v>
      </c>
      <c r="C28" s="19" t="s">
        <v>18</v>
      </c>
      <c r="D28" s="19" t="s">
        <v>658</v>
      </c>
      <c r="E28" s="4">
        <v>0.55000000000000004</v>
      </c>
      <c r="F28" s="42">
        <v>1.9</v>
      </c>
      <c r="G28" s="45">
        <v>391</v>
      </c>
      <c r="H28" s="22">
        <v>1.9</v>
      </c>
      <c r="I28" s="30">
        <f t="shared" si="1"/>
        <v>776.33050000000003</v>
      </c>
      <c r="J28" s="6" t="s">
        <v>1405</v>
      </c>
      <c r="K28" s="17"/>
    </row>
    <row r="29" spans="1:11" ht="13.95" customHeight="1" x14ac:dyDescent="0.3">
      <c r="A29" s="3">
        <v>45685</v>
      </c>
      <c r="B29" s="3" t="s">
        <v>1635</v>
      </c>
      <c r="C29" s="19" t="s">
        <v>20</v>
      </c>
      <c r="D29" s="19" t="s">
        <v>658</v>
      </c>
      <c r="E29" s="4">
        <v>0.55000000000000004</v>
      </c>
      <c r="F29" s="42">
        <v>1.9</v>
      </c>
      <c r="G29" s="45">
        <v>391</v>
      </c>
      <c r="H29" s="22">
        <v>1.9</v>
      </c>
      <c r="I29" s="30">
        <f t="shared" si="1"/>
        <v>776.33050000000003</v>
      </c>
      <c r="J29" s="6" t="s">
        <v>1405</v>
      </c>
      <c r="K29" s="17"/>
    </row>
    <row r="30" spans="1:11" ht="13.95" customHeight="1" x14ac:dyDescent="0.3">
      <c r="A30" s="3">
        <v>45686</v>
      </c>
      <c r="B30" s="3" t="s">
        <v>1635</v>
      </c>
      <c r="C30" s="19" t="s">
        <v>5</v>
      </c>
      <c r="D30" s="19" t="s">
        <v>658</v>
      </c>
      <c r="E30" s="4">
        <v>0.5</v>
      </c>
      <c r="F30" s="42">
        <v>1.85</v>
      </c>
      <c r="G30" s="45">
        <v>391</v>
      </c>
      <c r="H30" s="22">
        <v>1.9</v>
      </c>
      <c r="I30" s="30">
        <f t="shared" si="1"/>
        <v>687.1825</v>
      </c>
      <c r="J30" s="6" t="s">
        <v>717</v>
      </c>
      <c r="K30" s="17"/>
    </row>
    <row r="31" spans="1:11" ht="13.95" customHeight="1" x14ac:dyDescent="0.3">
      <c r="A31" s="3">
        <v>45687</v>
      </c>
      <c r="B31" s="3" t="s">
        <v>1635</v>
      </c>
      <c r="C31" s="19" t="s">
        <v>8</v>
      </c>
      <c r="D31" s="19" t="s">
        <v>658</v>
      </c>
      <c r="E31" s="4">
        <v>0.55000000000000004</v>
      </c>
      <c r="F31" s="42">
        <v>1.9</v>
      </c>
      <c r="G31" s="45">
        <v>391</v>
      </c>
      <c r="H31" s="22">
        <v>1.9</v>
      </c>
      <c r="I31" s="30">
        <f t="shared" si="1"/>
        <v>776.33050000000003</v>
      </c>
      <c r="J31" s="6" t="s">
        <v>717</v>
      </c>
      <c r="K31" s="17"/>
    </row>
    <row r="32" spans="1:11" ht="13.95" customHeight="1" x14ac:dyDescent="0.3">
      <c r="A32" s="3">
        <v>45688</v>
      </c>
      <c r="B32" s="3" t="s">
        <v>1635</v>
      </c>
      <c r="C32" s="19" t="s">
        <v>11</v>
      </c>
      <c r="D32" s="19" t="s">
        <v>658</v>
      </c>
      <c r="E32" s="4">
        <v>0.65</v>
      </c>
      <c r="F32" s="42">
        <v>2</v>
      </c>
      <c r="G32" s="45">
        <v>391</v>
      </c>
      <c r="H32" s="22">
        <v>1.9</v>
      </c>
      <c r="I32" s="30">
        <f t="shared" si="1"/>
        <v>965.77</v>
      </c>
      <c r="J32" s="6" t="s">
        <v>82</v>
      </c>
      <c r="K32" s="17"/>
    </row>
    <row r="33" spans="1:11" ht="13.95" customHeight="1" x14ac:dyDescent="0.3">
      <c r="A33" s="3">
        <v>45689</v>
      </c>
      <c r="B33" s="3" t="s">
        <v>1635</v>
      </c>
      <c r="C33" s="19" t="s">
        <v>13</v>
      </c>
      <c r="D33" s="19" t="s">
        <v>1491</v>
      </c>
      <c r="E33" s="4">
        <v>0.7</v>
      </c>
      <c r="F33" s="42">
        <v>2.2000000000000002</v>
      </c>
      <c r="G33" s="45">
        <v>391</v>
      </c>
      <c r="H33" s="22">
        <v>1.9</v>
      </c>
      <c r="I33" s="30">
        <f t="shared" si="1"/>
        <v>1144.066</v>
      </c>
      <c r="J33" s="6" t="s">
        <v>1492</v>
      </c>
      <c r="K33" s="17"/>
    </row>
    <row r="34" spans="1:11" ht="13.95" customHeight="1" x14ac:dyDescent="0.3">
      <c r="A34" s="3">
        <v>45690</v>
      </c>
      <c r="B34" s="3" t="s">
        <v>1635</v>
      </c>
      <c r="C34" s="19" t="s">
        <v>16</v>
      </c>
      <c r="D34" s="19" t="s">
        <v>1491</v>
      </c>
      <c r="E34" s="4">
        <v>0.65</v>
      </c>
      <c r="F34" s="42">
        <v>2.1</v>
      </c>
      <c r="G34" s="45">
        <v>391</v>
      </c>
      <c r="H34" s="22">
        <v>1.9</v>
      </c>
      <c r="I34" s="30">
        <f t="shared" si="1"/>
        <v>1014.0585</v>
      </c>
      <c r="J34" s="6" t="s">
        <v>1336</v>
      </c>
      <c r="K34" s="17"/>
    </row>
    <row r="35" spans="1:11" ht="13.95" customHeight="1" x14ac:dyDescent="0.3">
      <c r="A35" s="3">
        <v>45691</v>
      </c>
      <c r="B35" s="3" t="s">
        <v>1635</v>
      </c>
      <c r="C35" s="19" t="s">
        <v>18</v>
      </c>
      <c r="D35" s="19" t="s">
        <v>1493</v>
      </c>
      <c r="E35" s="4">
        <v>0.4</v>
      </c>
      <c r="F35" s="42">
        <v>1.8</v>
      </c>
      <c r="G35" s="45">
        <v>391</v>
      </c>
      <c r="H35" s="22">
        <v>1.9</v>
      </c>
      <c r="I35" s="30">
        <f t="shared" si="1"/>
        <v>534.88800000000003</v>
      </c>
      <c r="J35" s="6" t="s">
        <v>1494</v>
      </c>
      <c r="K35" s="17"/>
    </row>
    <row r="36" spans="1:11" ht="13.95" customHeight="1" x14ac:dyDescent="0.3">
      <c r="A36" s="3">
        <v>45692</v>
      </c>
      <c r="B36" s="3" t="s">
        <v>1635</v>
      </c>
      <c r="C36" s="19" t="s">
        <v>20</v>
      </c>
      <c r="D36" s="19" t="s">
        <v>1493</v>
      </c>
      <c r="E36" s="4">
        <v>0.35</v>
      </c>
      <c r="F36" s="42">
        <v>1.75</v>
      </c>
      <c r="G36" s="45">
        <v>391</v>
      </c>
      <c r="H36" s="22">
        <v>1.9</v>
      </c>
      <c r="I36" s="30">
        <f t="shared" si="1"/>
        <v>455.02624999999995</v>
      </c>
      <c r="J36" s="6" t="s">
        <v>1495</v>
      </c>
      <c r="K36" s="17"/>
    </row>
    <row r="37" spans="1:11" ht="13.95" customHeight="1" x14ac:dyDescent="0.3">
      <c r="A37" s="3">
        <v>45693</v>
      </c>
      <c r="B37" s="3" t="s">
        <v>1635</v>
      </c>
      <c r="C37" s="19" t="s">
        <v>5</v>
      </c>
      <c r="D37" s="19" t="s">
        <v>1493</v>
      </c>
      <c r="E37" s="4">
        <v>0.35</v>
      </c>
      <c r="F37" s="42">
        <v>1.75</v>
      </c>
      <c r="G37" s="45">
        <v>391</v>
      </c>
      <c r="H37" s="22">
        <v>1.9</v>
      </c>
      <c r="I37" s="30">
        <f t="shared" si="1"/>
        <v>455.02624999999995</v>
      </c>
      <c r="J37" s="6" t="s">
        <v>1496</v>
      </c>
      <c r="K37" s="17"/>
    </row>
    <row r="38" spans="1:11" ht="13.95" customHeight="1" x14ac:dyDescent="0.3">
      <c r="A38" s="3">
        <v>45694</v>
      </c>
      <c r="B38" s="3" t="s">
        <v>1635</v>
      </c>
      <c r="C38" s="19" t="s">
        <v>8</v>
      </c>
      <c r="D38" s="19" t="s">
        <v>1493</v>
      </c>
      <c r="E38" s="4">
        <v>0.38</v>
      </c>
      <c r="F38" s="42">
        <v>1.8</v>
      </c>
      <c r="G38" s="45">
        <v>391</v>
      </c>
      <c r="H38" s="22">
        <v>1.9</v>
      </c>
      <c r="I38" s="30">
        <f t="shared" si="1"/>
        <v>508.14359999999999</v>
      </c>
      <c r="J38" s="6" t="s">
        <v>150</v>
      </c>
      <c r="K38" s="17"/>
    </row>
    <row r="39" spans="1:11" ht="13.95" customHeight="1" x14ac:dyDescent="0.3">
      <c r="A39" s="3">
        <v>45695</v>
      </c>
      <c r="B39" s="3" t="s">
        <v>1635</v>
      </c>
      <c r="C39" s="19" t="s">
        <v>11</v>
      </c>
      <c r="D39" s="19" t="s">
        <v>14</v>
      </c>
      <c r="E39" s="4">
        <v>0.45</v>
      </c>
      <c r="F39" s="42">
        <v>1.95</v>
      </c>
      <c r="G39" s="45">
        <v>391</v>
      </c>
      <c r="H39" s="22">
        <v>1.9</v>
      </c>
      <c r="I39" s="30">
        <f t="shared" si="1"/>
        <v>651.89475000000004</v>
      </c>
      <c r="J39" s="6" t="s">
        <v>67</v>
      </c>
      <c r="K39" s="17"/>
    </row>
    <row r="40" spans="1:11" ht="13.95" customHeight="1" x14ac:dyDescent="0.3">
      <c r="A40" s="3">
        <v>45696</v>
      </c>
      <c r="B40" s="3" t="s">
        <v>1635</v>
      </c>
      <c r="C40" s="19" t="s">
        <v>13</v>
      </c>
      <c r="D40" s="19" t="s">
        <v>14</v>
      </c>
      <c r="E40" s="4">
        <v>0.55000000000000004</v>
      </c>
      <c r="F40" s="42">
        <v>2.1</v>
      </c>
      <c r="G40" s="45">
        <v>391</v>
      </c>
      <c r="H40" s="22">
        <v>1.9</v>
      </c>
      <c r="I40" s="30">
        <f t="shared" si="1"/>
        <v>858.04949999999997</v>
      </c>
      <c r="J40" s="6" t="s">
        <v>1399</v>
      </c>
      <c r="K40" s="17"/>
    </row>
    <row r="41" spans="1:11" ht="13.95" customHeight="1" x14ac:dyDescent="0.3">
      <c r="A41" s="3">
        <v>45697</v>
      </c>
      <c r="B41" s="3" t="s">
        <v>1635</v>
      </c>
      <c r="C41" s="19" t="s">
        <v>16</v>
      </c>
      <c r="D41" s="19" t="s">
        <v>14</v>
      </c>
      <c r="E41" s="4">
        <v>0.5</v>
      </c>
      <c r="F41" s="42">
        <v>2</v>
      </c>
      <c r="G41" s="45">
        <v>391</v>
      </c>
      <c r="H41" s="22">
        <v>1.9</v>
      </c>
      <c r="I41" s="30">
        <f t="shared" si="1"/>
        <v>742.9</v>
      </c>
      <c r="J41" s="6" t="s">
        <v>149</v>
      </c>
      <c r="K41" s="17"/>
    </row>
    <row r="42" spans="1:11" ht="13.95" customHeight="1" x14ac:dyDescent="0.3">
      <c r="A42" s="3">
        <v>45698</v>
      </c>
      <c r="B42" s="3" t="s">
        <v>1635</v>
      </c>
      <c r="C42" s="19" t="s">
        <v>18</v>
      </c>
      <c r="D42" s="19" t="s">
        <v>1493</v>
      </c>
      <c r="E42" s="4">
        <v>0.35</v>
      </c>
      <c r="F42" s="42">
        <v>1.75</v>
      </c>
      <c r="G42" s="45">
        <v>391</v>
      </c>
      <c r="H42" s="22">
        <v>1.9</v>
      </c>
      <c r="I42" s="30">
        <f t="shared" si="1"/>
        <v>455.02624999999995</v>
      </c>
      <c r="J42" s="6" t="s">
        <v>150</v>
      </c>
      <c r="K42" s="17"/>
    </row>
    <row r="43" spans="1:11" ht="13.95" customHeight="1" x14ac:dyDescent="0.3">
      <c r="A43" s="3">
        <v>46002</v>
      </c>
      <c r="B43" s="3" t="s">
        <v>1635</v>
      </c>
      <c r="C43" s="19" t="s">
        <v>20</v>
      </c>
      <c r="D43" s="19" t="s">
        <v>1493</v>
      </c>
      <c r="E43" s="4">
        <v>0.38</v>
      </c>
      <c r="F43" s="42">
        <v>1.8</v>
      </c>
      <c r="G43" s="45">
        <v>391</v>
      </c>
      <c r="H43" s="22">
        <v>1.9</v>
      </c>
      <c r="I43" s="30">
        <f t="shared" si="1"/>
        <v>508.14359999999999</v>
      </c>
      <c r="J43" s="6" t="s">
        <v>150</v>
      </c>
      <c r="K43" s="17"/>
    </row>
    <row r="44" spans="1:11" ht="13.95" customHeight="1" x14ac:dyDescent="0.3">
      <c r="A44" s="3">
        <v>45700</v>
      </c>
      <c r="B44" s="3" t="s">
        <v>1635</v>
      </c>
      <c r="C44" s="19" t="s">
        <v>5</v>
      </c>
      <c r="D44" s="19" t="s">
        <v>1497</v>
      </c>
      <c r="E44" s="4">
        <v>0.45</v>
      </c>
      <c r="F44" s="42">
        <v>1.9</v>
      </c>
      <c r="G44" s="45">
        <v>391</v>
      </c>
      <c r="H44" s="22">
        <v>1.9</v>
      </c>
      <c r="I44" s="30">
        <f t="shared" si="1"/>
        <v>635.17949999999996</v>
      </c>
      <c r="J44" s="6" t="s">
        <v>1412</v>
      </c>
      <c r="K44" s="17"/>
    </row>
    <row r="45" spans="1:11" ht="13.95" customHeight="1" x14ac:dyDescent="0.3">
      <c r="A45" s="3">
        <v>45701</v>
      </c>
      <c r="B45" s="3" t="s">
        <v>1635</v>
      </c>
      <c r="C45" s="19" t="s">
        <v>8</v>
      </c>
      <c r="D45" s="19" t="s">
        <v>1497</v>
      </c>
      <c r="E45" s="4">
        <v>0.55000000000000004</v>
      </c>
      <c r="F45" s="42">
        <v>2</v>
      </c>
      <c r="G45" s="45">
        <v>391</v>
      </c>
      <c r="H45" s="22">
        <v>1.9</v>
      </c>
      <c r="I45" s="30">
        <f t="shared" si="1"/>
        <v>817.19</v>
      </c>
      <c r="J45" s="6" t="s">
        <v>1498</v>
      </c>
      <c r="K45" s="17"/>
    </row>
    <row r="46" spans="1:11" ht="13.95" customHeight="1" x14ac:dyDescent="0.3">
      <c r="A46" s="3">
        <v>45702</v>
      </c>
      <c r="B46" s="3" t="s">
        <v>1635</v>
      </c>
      <c r="C46" s="19" t="s">
        <v>11</v>
      </c>
      <c r="D46" s="19" t="s">
        <v>557</v>
      </c>
      <c r="E46" s="4">
        <v>0.85</v>
      </c>
      <c r="F46" s="42">
        <v>2.5</v>
      </c>
      <c r="G46" s="45">
        <v>391</v>
      </c>
      <c r="H46" s="22">
        <v>1.9</v>
      </c>
      <c r="I46" s="30">
        <f t="shared" si="1"/>
        <v>1578.6624999999997</v>
      </c>
      <c r="J46" s="6" t="s">
        <v>1499</v>
      </c>
      <c r="K46" s="17"/>
    </row>
    <row r="47" spans="1:11" ht="13.95" customHeight="1" x14ac:dyDescent="0.3">
      <c r="A47" s="3">
        <v>45703</v>
      </c>
      <c r="B47" s="3" t="s">
        <v>1635</v>
      </c>
      <c r="C47" s="19" t="s">
        <v>13</v>
      </c>
      <c r="D47" s="19" t="s">
        <v>14</v>
      </c>
      <c r="E47" s="4">
        <v>0.8</v>
      </c>
      <c r="F47" s="42">
        <v>2.25</v>
      </c>
      <c r="G47" s="45">
        <v>391</v>
      </c>
      <c r="H47" s="22">
        <v>1.9</v>
      </c>
      <c r="I47" s="30">
        <f t="shared" si="1"/>
        <v>1337.22</v>
      </c>
      <c r="J47" s="6" t="s">
        <v>197</v>
      </c>
      <c r="K47" s="17"/>
    </row>
    <row r="48" spans="1:11" ht="13.95" customHeight="1" x14ac:dyDescent="0.3">
      <c r="A48" s="3">
        <v>45704</v>
      </c>
      <c r="B48" s="3" t="s">
        <v>1635</v>
      </c>
      <c r="C48" s="19" t="s">
        <v>16</v>
      </c>
      <c r="D48" s="19" t="s">
        <v>14</v>
      </c>
      <c r="E48" s="4">
        <v>0.7</v>
      </c>
      <c r="F48" s="42">
        <v>2.1</v>
      </c>
      <c r="G48" s="45">
        <v>391</v>
      </c>
      <c r="H48" s="22">
        <v>1.9</v>
      </c>
      <c r="I48" s="30">
        <f t="shared" si="1"/>
        <v>1092.0629999999999</v>
      </c>
      <c r="J48" s="6" t="s">
        <v>559</v>
      </c>
      <c r="K48" s="17"/>
    </row>
    <row r="49" spans="1:11" ht="13.95" customHeight="1" x14ac:dyDescent="0.3">
      <c r="A49" s="3">
        <v>45705</v>
      </c>
      <c r="B49" s="3" t="s">
        <v>1635</v>
      </c>
      <c r="C49" s="19" t="s">
        <v>18</v>
      </c>
      <c r="D49" s="19" t="s">
        <v>1493</v>
      </c>
      <c r="E49" s="4">
        <v>0.35</v>
      </c>
      <c r="F49" s="42">
        <v>1.8</v>
      </c>
      <c r="G49" s="45">
        <v>391</v>
      </c>
      <c r="H49" s="22">
        <v>1.9</v>
      </c>
      <c r="I49" s="30">
        <f t="shared" si="1"/>
        <v>468.02699999999993</v>
      </c>
      <c r="J49" s="6" t="s">
        <v>774</v>
      </c>
      <c r="K49" s="17"/>
    </row>
    <row r="50" spans="1:11" ht="13.95" customHeight="1" x14ac:dyDescent="0.3">
      <c r="A50" s="3">
        <v>45706</v>
      </c>
      <c r="B50" s="3" t="s">
        <v>1635</v>
      </c>
      <c r="C50" s="19" t="s">
        <v>20</v>
      </c>
      <c r="D50" s="19" t="s">
        <v>1493</v>
      </c>
      <c r="E50" s="4">
        <v>0.35</v>
      </c>
      <c r="F50" s="42">
        <v>1.75</v>
      </c>
      <c r="G50" s="45">
        <v>391</v>
      </c>
      <c r="H50" s="22">
        <v>1.9</v>
      </c>
      <c r="I50" s="30">
        <f t="shared" si="1"/>
        <v>455.02624999999995</v>
      </c>
      <c r="J50" s="6" t="s">
        <v>150</v>
      </c>
      <c r="K50" s="17"/>
    </row>
    <row r="51" spans="1:11" ht="13.95" customHeight="1" x14ac:dyDescent="0.3">
      <c r="A51" s="3">
        <v>45707</v>
      </c>
      <c r="B51" s="3" t="s">
        <v>1635</v>
      </c>
      <c r="C51" s="19" t="s">
        <v>5</v>
      </c>
      <c r="D51" s="19" t="s">
        <v>1493</v>
      </c>
      <c r="E51" s="4">
        <v>0.32</v>
      </c>
      <c r="F51" s="42">
        <v>1.75</v>
      </c>
      <c r="G51" s="45">
        <v>391</v>
      </c>
      <c r="H51" s="22">
        <v>1.9</v>
      </c>
      <c r="I51" s="30">
        <f t="shared" si="1"/>
        <v>416.024</v>
      </c>
      <c r="J51" s="6" t="s">
        <v>150</v>
      </c>
      <c r="K51" s="17"/>
    </row>
    <row r="52" spans="1:11" ht="13.95" customHeight="1" x14ac:dyDescent="0.3">
      <c r="A52" s="3">
        <v>45708</v>
      </c>
      <c r="B52" s="3" t="s">
        <v>1635</v>
      </c>
      <c r="C52" s="19" t="s">
        <v>8</v>
      </c>
      <c r="D52" s="19" t="s">
        <v>1493</v>
      </c>
      <c r="E52" s="4">
        <v>0.35</v>
      </c>
      <c r="F52" s="42">
        <v>1.8</v>
      </c>
      <c r="G52" s="45">
        <v>391</v>
      </c>
      <c r="H52" s="22">
        <v>1.9</v>
      </c>
      <c r="I52" s="30">
        <f t="shared" si="1"/>
        <v>468.02699999999993</v>
      </c>
      <c r="J52" s="6" t="s">
        <v>1283</v>
      </c>
      <c r="K52" s="17"/>
    </row>
    <row r="53" spans="1:11" ht="13.95" customHeight="1" x14ac:dyDescent="0.3">
      <c r="A53" s="3">
        <v>45709</v>
      </c>
      <c r="B53" s="3" t="s">
        <v>1635</v>
      </c>
      <c r="C53" s="19" t="s">
        <v>11</v>
      </c>
      <c r="D53" s="19" t="s">
        <v>14</v>
      </c>
      <c r="E53" s="4">
        <v>0.42</v>
      </c>
      <c r="F53" s="42">
        <v>1.9</v>
      </c>
      <c r="G53" s="45">
        <v>391</v>
      </c>
      <c r="H53" s="22">
        <v>1.9</v>
      </c>
      <c r="I53" s="30">
        <f t="shared" si="1"/>
        <v>592.8341999999999</v>
      </c>
      <c r="J53" s="6" t="s">
        <v>97</v>
      </c>
      <c r="K53" s="17"/>
    </row>
    <row r="54" spans="1:11" ht="13.95" customHeight="1" x14ac:dyDescent="0.3">
      <c r="A54" s="3">
        <v>45710</v>
      </c>
      <c r="B54" s="3" t="s">
        <v>1635</v>
      </c>
      <c r="C54" s="19" t="s">
        <v>13</v>
      </c>
      <c r="D54" s="19" t="s">
        <v>14</v>
      </c>
      <c r="E54" s="4">
        <v>0.55000000000000004</v>
      </c>
      <c r="F54" s="42">
        <v>2.15</v>
      </c>
      <c r="G54" s="45">
        <v>391</v>
      </c>
      <c r="H54" s="22">
        <v>1.9</v>
      </c>
      <c r="I54" s="30">
        <f t="shared" si="1"/>
        <v>878.47924999999998</v>
      </c>
      <c r="J54" s="6" t="s">
        <v>1485</v>
      </c>
      <c r="K54" s="17"/>
    </row>
    <row r="55" spans="1:11" ht="13.95" customHeight="1" x14ac:dyDescent="0.3">
      <c r="A55" s="3">
        <v>45711</v>
      </c>
      <c r="B55" s="3" t="s">
        <v>1635</v>
      </c>
      <c r="C55" s="19" t="s">
        <v>16</v>
      </c>
      <c r="D55" s="19" t="s">
        <v>14</v>
      </c>
      <c r="E55" s="4">
        <v>0.5</v>
      </c>
      <c r="F55" s="42">
        <v>2</v>
      </c>
      <c r="G55" s="45">
        <v>391</v>
      </c>
      <c r="H55" s="22">
        <v>1.9</v>
      </c>
      <c r="I55" s="30">
        <f t="shared" si="1"/>
        <v>742.9</v>
      </c>
      <c r="J55" s="6" t="s">
        <v>149</v>
      </c>
      <c r="K55" s="17"/>
    </row>
    <row r="56" spans="1:11" ht="13.95" customHeight="1" x14ac:dyDescent="0.3">
      <c r="A56" s="3">
        <v>45712</v>
      </c>
      <c r="B56" s="3" t="s">
        <v>1635</v>
      </c>
      <c r="C56" s="19" t="s">
        <v>18</v>
      </c>
      <c r="D56" s="19" t="s">
        <v>1493</v>
      </c>
      <c r="E56" s="4">
        <v>0.32</v>
      </c>
      <c r="F56" s="42">
        <v>1.75</v>
      </c>
      <c r="G56" s="45">
        <v>391</v>
      </c>
      <c r="H56" s="22">
        <v>1.9</v>
      </c>
      <c r="I56" s="30">
        <f t="shared" si="1"/>
        <v>416.024</v>
      </c>
      <c r="J56" s="6" t="s">
        <v>150</v>
      </c>
      <c r="K56" s="17"/>
    </row>
    <row r="57" spans="1:11" ht="13.95" customHeight="1" x14ac:dyDescent="0.3">
      <c r="A57" s="3">
        <v>45713</v>
      </c>
      <c r="B57" s="3" t="s">
        <v>1635</v>
      </c>
      <c r="C57" s="19" t="s">
        <v>20</v>
      </c>
      <c r="D57" s="19" t="s">
        <v>1493</v>
      </c>
      <c r="E57" s="4">
        <v>0.3</v>
      </c>
      <c r="F57" s="42">
        <v>1.75</v>
      </c>
      <c r="G57" s="45">
        <v>391</v>
      </c>
      <c r="H57" s="22">
        <v>1.9</v>
      </c>
      <c r="I57" s="30">
        <f t="shared" si="1"/>
        <v>390.02249999999998</v>
      </c>
      <c r="J57" s="6" t="s">
        <v>1472</v>
      </c>
      <c r="K57" s="17"/>
    </row>
    <row r="58" spans="1:11" ht="13.95" customHeight="1" x14ac:dyDescent="0.3">
      <c r="A58" s="3">
        <v>45714</v>
      </c>
      <c r="B58" s="3" t="s">
        <v>1635</v>
      </c>
      <c r="C58" s="19" t="s">
        <v>5</v>
      </c>
      <c r="D58" s="19" t="s">
        <v>1493</v>
      </c>
      <c r="E58" s="4">
        <v>0.32</v>
      </c>
      <c r="F58" s="42">
        <v>1.75</v>
      </c>
      <c r="G58" s="45">
        <v>391</v>
      </c>
      <c r="H58" s="22">
        <v>1.9</v>
      </c>
      <c r="I58" s="30">
        <f t="shared" si="1"/>
        <v>416.024</v>
      </c>
      <c r="J58" s="6" t="s">
        <v>150</v>
      </c>
      <c r="K58" s="17"/>
    </row>
    <row r="59" spans="1:11" ht="13.95" customHeight="1" x14ac:dyDescent="0.3">
      <c r="A59" s="3">
        <v>45715</v>
      </c>
      <c r="B59" s="3" t="s">
        <v>1635</v>
      </c>
      <c r="C59" s="19" t="s">
        <v>8</v>
      </c>
      <c r="D59" s="19" t="s">
        <v>44</v>
      </c>
      <c r="E59" s="4">
        <v>0.4</v>
      </c>
      <c r="F59" s="42">
        <v>1.85</v>
      </c>
      <c r="G59" s="45">
        <v>391</v>
      </c>
      <c r="H59" s="22">
        <v>1.9</v>
      </c>
      <c r="I59" s="30">
        <f t="shared" si="1"/>
        <v>549.74599999999998</v>
      </c>
      <c r="J59" s="6" t="s">
        <v>1500</v>
      </c>
      <c r="K59" s="17"/>
    </row>
    <row r="60" spans="1:11" ht="13.95" customHeight="1" x14ac:dyDescent="0.3">
      <c r="A60" s="3">
        <v>45716</v>
      </c>
      <c r="B60" s="3" t="s">
        <v>1635</v>
      </c>
      <c r="C60" s="19" t="s">
        <v>11</v>
      </c>
      <c r="D60" s="19" t="s">
        <v>1417</v>
      </c>
      <c r="E60" s="4">
        <v>0.5</v>
      </c>
      <c r="F60" s="42">
        <v>2</v>
      </c>
      <c r="G60" s="45">
        <v>391</v>
      </c>
      <c r="H60" s="22">
        <v>1.9</v>
      </c>
      <c r="I60" s="30">
        <f t="shared" si="1"/>
        <v>742.9</v>
      </c>
      <c r="J60" s="6" t="s">
        <v>1266</v>
      </c>
      <c r="K60" s="17"/>
    </row>
    <row r="61" spans="1:11" ht="13.95" customHeight="1" x14ac:dyDescent="0.3">
      <c r="A61" s="3">
        <v>45717</v>
      </c>
      <c r="B61" s="3" t="s">
        <v>1635</v>
      </c>
      <c r="C61" s="19" t="s">
        <v>13</v>
      </c>
      <c r="D61" s="19" t="s">
        <v>708</v>
      </c>
      <c r="E61" s="4">
        <v>0.65</v>
      </c>
      <c r="F61" s="42">
        <v>2.4</v>
      </c>
      <c r="G61" s="45">
        <v>391</v>
      </c>
      <c r="H61" s="22">
        <v>1.9</v>
      </c>
      <c r="I61" s="30">
        <f t="shared" si="1"/>
        <v>1158.924</v>
      </c>
      <c r="J61" s="6" t="s">
        <v>1501</v>
      </c>
      <c r="K61" s="17"/>
    </row>
    <row r="62" spans="1:11" ht="13.95" customHeight="1" x14ac:dyDescent="0.3">
      <c r="A62" s="3">
        <v>45718</v>
      </c>
      <c r="B62" s="3" t="s">
        <v>1635</v>
      </c>
      <c r="C62" s="19" t="s">
        <v>16</v>
      </c>
      <c r="D62" s="19" t="s">
        <v>76</v>
      </c>
      <c r="E62" s="4">
        <v>0.55000000000000004</v>
      </c>
      <c r="F62" s="42">
        <v>2.1</v>
      </c>
      <c r="G62" s="45">
        <v>391</v>
      </c>
      <c r="H62" s="22">
        <v>1.9</v>
      </c>
      <c r="I62" s="30">
        <f t="shared" si="1"/>
        <v>858.04949999999997</v>
      </c>
      <c r="J62" s="6" t="s">
        <v>1304</v>
      </c>
      <c r="K62" s="17"/>
    </row>
    <row r="63" spans="1:11" ht="13.95" customHeight="1" x14ac:dyDescent="0.3">
      <c r="A63" s="3">
        <v>45719</v>
      </c>
      <c r="B63" s="3" t="s">
        <v>1635</v>
      </c>
      <c r="C63" s="19" t="s">
        <v>18</v>
      </c>
      <c r="D63" s="19" t="s">
        <v>76</v>
      </c>
      <c r="E63" s="4">
        <v>0.35</v>
      </c>
      <c r="F63" s="42">
        <v>1.8</v>
      </c>
      <c r="G63" s="45">
        <v>391</v>
      </c>
      <c r="H63" s="22">
        <v>1.9</v>
      </c>
      <c r="I63" s="30">
        <f t="shared" si="1"/>
        <v>468.02699999999993</v>
      </c>
      <c r="J63" s="6" t="s">
        <v>1297</v>
      </c>
      <c r="K63" s="17"/>
    </row>
    <row r="64" spans="1:11" ht="13.95" customHeight="1" x14ac:dyDescent="0.3">
      <c r="A64" s="3">
        <v>45720</v>
      </c>
      <c r="B64" s="3" t="s">
        <v>1635</v>
      </c>
      <c r="C64" s="19" t="s">
        <v>20</v>
      </c>
      <c r="D64" s="19" t="s">
        <v>76</v>
      </c>
      <c r="E64" s="4">
        <v>0.32</v>
      </c>
      <c r="F64" s="42">
        <v>1.8</v>
      </c>
      <c r="G64" s="45">
        <v>391</v>
      </c>
      <c r="H64" s="22">
        <v>1.9</v>
      </c>
      <c r="I64" s="30">
        <f t="shared" si="1"/>
        <v>427.91039999999998</v>
      </c>
      <c r="J64" s="6" t="s">
        <v>1297</v>
      </c>
      <c r="K64" s="17"/>
    </row>
    <row r="65" spans="1:11" ht="13.95" customHeight="1" x14ac:dyDescent="0.3">
      <c r="A65" s="3">
        <v>45721</v>
      </c>
      <c r="B65" s="3" t="s">
        <v>1635</v>
      </c>
      <c r="C65" s="19" t="s">
        <v>5</v>
      </c>
      <c r="D65" s="19" t="s">
        <v>76</v>
      </c>
      <c r="E65" s="4">
        <v>0.3</v>
      </c>
      <c r="F65" s="42">
        <v>1.75</v>
      </c>
      <c r="G65" s="45">
        <v>391</v>
      </c>
      <c r="H65" s="22">
        <v>1.9</v>
      </c>
      <c r="I65" s="30">
        <f t="shared" si="1"/>
        <v>390.02249999999998</v>
      </c>
      <c r="J65" s="6" t="s">
        <v>1502</v>
      </c>
      <c r="K65" s="17"/>
    </row>
    <row r="66" spans="1:11" ht="13.95" customHeight="1" x14ac:dyDescent="0.3">
      <c r="A66" s="3">
        <v>45722</v>
      </c>
      <c r="B66" s="3" t="s">
        <v>1635</v>
      </c>
      <c r="C66" s="19" t="s">
        <v>8</v>
      </c>
      <c r="D66" s="19" t="s">
        <v>76</v>
      </c>
      <c r="E66" s="4">
        <v>0.35</v>
      </c>
      <c r="F66" s="42">
        <v>1.8</v>
      </c>
      <c r="G66" s="45">
        <v>391</v>
      </c>
      <c r="H66" s="22">
        <v>1.9</v>
      </c>
      <c r="I66" s="30">
        <f t="shared" si="1"/>
        <v>468.02699999999993</v>
      </c>
      <c r="J66" s="6" t="s">
        <v>150</v>
      </c>
      <c r="K66" s="17"/>
    </row>
    <row r="67" spans="1:11" ht="13.95" customHeight="1" x14ac:dyDescent="0.3">
      <c r="A67" s="3">
        <v>45723</v>
      </c>
      <c r="B67" s="3" t="s">
        <v>1635</v>
      </c>
      <c r="C67" s="19" t="s">
        <v>11</v>
      </c>
      <c r="D67" s="19" t="s">
        <v>76</v>
      </c>
      <c r="E67" s="4">
        <v>0.45</v>
      </c>
      <c r="F67" s="42">
        <v>2</v>
      </c>
      <c r="G67" s="45">
        <v>391</v>
      </c>
      <c r="H67" s="22">
        <v>1.9</v>
      </c>
      <c r="I67" s="30">
        <f t="shared" ref="I67:I130" si="2">(G67*E67)*F67*H67</f>
        <v>668.61</v>
      </c>
      <c r="J67" s="6" t="s">
        <v>67</v>
      </c>
      <c r="K67" s="17"/>
    </row>
    <row r="68" spans="1:11" ht="13.95" customHeight="1" x14ac:dyDescent="0.3">
      <c r="A68" s="3">
        <v>45724</v>
      </c>
      <c r="B68" s="3" t="s">
        <v>1635</v>
      </c>
      <c r="C68" s="19" t="s">
        <v>13</v>
      </c>
      <c r="D68" s="19" t="s">
        <v>850</v>
      </c>
      <c r="E68" s="4">
        <v>0.7</v>
      </c>
      <c r="F68" s="42">
        <v>2.5</v>
      </c>
      <c r="G68" s="45">
        <v>391</v>
      </c>
      <c r="H68" s="22">
        <v>1.9</v>
      </c>
      <c r="I68" s="30">
        <f t="shared" si="2"/>
        <v>1300.075</v>
      </c>
      <c r="J68" s="6" t="s">
        <v>1503</v>
      </c>
      <c r="K68" s="17"/>
    </row>
    <row r="69" spans="1:11" ht="13.95" customHeight="1" x14ac:dyDescent="0.3">
      <c r="A69" s="3">
        <v>45725</v>
      </c>
      <c r="B69" s="3" t="s">
        <v>1635</v>
      </c>
      <c r="C69" s="19" t="s">
        <v>16</v>
      </c>
      <c r="D69" s="19" t="s">
        <v>76</v>
      </c>
      <c r="E69" s="4">
        <v>0.6</v>
      </c>
      <c r="F69" s="42">
        <v>2.1</v>
      </c>
      <c r="G69" s="45">
        <v>391</v>
      </c>
      <c r="H69" s="22">
        <v>1.9</v>
      </c>
      <c r="I69" s="30">
        <f t="shared" si="2"/>
        <v>936.05399999999997</v>
      </c>
      <c r="J69" s="6" t="s">
        <v>149</v>
      </c>
      <c r="K69" s="17"/>
    </row>
    <row r="70" spans="1:11" ht="13.95" customHeight="1" x14ac:dyDescent="0.3">
      <c r="A70" s="3">
        <v>45726</v>
      </c>
      <c r="B70" s="3" t="s">
        <v>1635</v>
      </c>
      <c r="C70" s="19" t="s">
        <v>18</v>
      </c>
      <c r="D70" s="19" t="s">
        <v>76</v>
      </c>
      <c r="E70" s="4">
        <v>0.3</v>
      </c>
      <c r="F70" s="42">
        <v>1.75</v>
      </c>
      <c r="G70" s="45">
        <v>391</v>
      </c>
      <c r="H70" s="22">
        <v>1.9</v>
      </c>
      <c r="I70" s="30">
        <f t="shared" si="2"/>
        <v>390.02249999999998</v>
      </c>
      <c r="J70" s="6" t="s">
        <v>150</v>
      </c>
      <c r="K70" s="17"/>
    </row>
    <row r="71" spans="1:11" ht="13.95" customHeight="1" x14ac:dyDescent="0.3">
      <c r="A71" s="3">
        <v>45727</v>
      </c>
      <c r="B71" s="3" t="s">
        <v>1635</v>
      </c>
      <c r="C71" s="19" t="s">
        <v>20</v>
      </c>
      <c r="D71" s="19" t="s">
        <v>76</v>
      </c>
      <c r="E71" s="4">
        <v>0.3</v>
      </c>
      <c r="F71" s="42">
        <v>1.75</v>
      </c>
      <c r="G71" s="45">
        <v>391</v>
      </c>
      <c r="H71" s="22">
        <v>1.9</v>
      </c>
      <c r="I71" s="30">
        <f t="shared" si="2"/>
        <v>390.02249999999998</v>
      </c>
      <c r="J71" s="6" t="s">
        <v>150</v>
      </c>
      <c r="K71" s="17"/>
    </row>
    <row r="72" spans="1:11" ht="13.95" customHeight="1" x14ac:dyDescent="0.3">
      <c r="A72" s="3">
        <v>45728</v>
      </c>
      <c r="B72" s="3" t="s">
        <v>1635</v>
      </c>
      <c r="C72" s="19" t="s">
        <v>5</v>
      </c>
      <c r="D72" s="19" t="s">
        <v>76</v>
      </c>
      <c r="E72" s="4">
        <v>0.3</v>
      </c>
      <c r="F72" s="42">
        <v>1.75</v>
      </c>
      <c r="G72" s="45">
        <v>391</v>
      </c>
      <c r="H72" s="22">
        <v>1.9</v>
      </c>
      <c r="I72" s="30">
        <f t="shared" si="2"/>
        <v>390.02249999999998</v>
      </c>
      <c r="J72" s="6" t="s">
        <v>150</v>
      </c>
      <c r="K72" s="17"/>
    </row>
    <row r="73" spans="1:11" ht="13.95" customHeight="1" x14ac:dyDescent="0.3">
      <c r="A73" s="3">
        <v>45729</v>
      </c>
      <c r="B73" s="3" t="s">
        <v>1635</v>
      </c>
      <c r="C73" s="19" t="s">
        <v>8</v>
      </c>
      <c r="D73" s="19" t="s">
        <v>76</v>
      </c>
      <c r="E73" s="4">
        <v>0.35</v>
      </c>
      <c r="F73" s="42">
        <v>1.8</v>
      </c>
      <c r="G73" s="45">
        <v>391</v>
      </c>
      <c r="H73" s="22">
        <v>1.9</v>
      </c>
      <c r="I73" s="30">
        <f t="shared" si="2"/>
        <v>468.02699999999993</v>
      </c>
      <c r="J73" s="6" t="s">
        <v>150</v>
      </c>
      <c r="K73" s="17"/>
    </row>
    <row r="74" spans="1:11" ht="13.95" customHeight="1" x14ac:dyDescent="0.3">
      <c r="A74" s="3">
        <v>45730</v>
      </c>
      <c r="B74" s="3" t="s">
        <v>1635</v>
      </c>
      <c r="C74" s="19" t="s">
        <v>11</v>
      </c>
      <c r="D74" s="19" t="s">
        <v>76</v>
      </c>
      <c r="E74" s="4">
        <v>0.5</v>
      </c>
      <c r="F74" s="42">
        <v>2.0499999999999998</v>
      </c>
      <c r="G74" s="45">
        <v>391</v>
      </c>
      <c r="H74" s="22">
        <v>1.9</v>
      </c>
      <c r="I74" s="30">
        <f t="shared" si="2"/>
        <v>761.47249999999997</v>
      </c>
      <c r="J74" s="6" t="s">
        <v>97</v>
      </c>
      <c r="K74" s="17"/>
    </row>
    <row r="75" spans="1:11" ht="13.95" customHeight="1" x14ac:dyDescent="0.3">
      <c r="A75" s="3">
        <v>45731</v>
      </c>
      <c r="B75" s="3" t="s">
        <v>1635</v>
      </c>
      <c r="C75" s="19" t="s">
        <v>13</v>
      </c>
      <c r="D75" s="19" t="s">
        <v>76</v>
      </c>
      <c r="E75" s="4">
        <v>0.6</v>
      </c>
      <c r="F75" s="42">
        <v>2.2999999999999998</v>
      </c>
      <c r="G75" s="45">
        <v>391</v>
      </c>
      <c r="H75" s="22">
        <v>1.9</v>
      </c>
      <c r="I75" s="30">
        <f t="shared" si="2"/>
        <v>1025.2019999999998</v>
      </c>
      <c r="J75" s="6" t="s">
        <v>1422</v>
      </c>
      <c r="K75" s="17"/>
    </row>
    <row r="76" spans="1:11" ht="13.95" customHeight="1" x14ac:dyDescent="0.3">
      <c r="A76" s="3">
        <v>45732</v>
      </c>
      <c r="B76" s="3" t="s">
        <v>1635</v>
      </c>
      <c r="C76" s="19" t="s">
        <v>16</v>
      </c>
      <c r="D76" s="19" t="s">
        <v>76</v>
      </c>
      <c r="E76" s="4">
        <v>0.55000000000000004</v>
      </c>
      <c r="F76" s="42">
        <v>2.1</v>
      </c>
      <c r="G76" s="45">
        <v>391</v>
      </c>
      <c r="H76" s="22">
        <v>1.9</v>
      </c>
      <c r="I76" s="30">
        <f t="shared" si="2"/>
        <v>858.04949999999997</v>
      </c>
      <c r="J76" s="6" t="s">
        <v>149</v>
      </c>
      <c r="K76" s="17"/>
    </row>
    <row r="77" spans="1:11" ht="13.95" customHeight="1" x14ac:dyDescent="0.3">
      <c r="A77" s="3">
        <v>45733</v>
      </c>
      <c r="B77" s="3" t="s">
        <v>1635</v>
      </c>
      <c r="C77" s="19" t="s">
        <v>18</v>
      </c>
      <c r="D77" s="19" t="s">
        <v>76</v>
      </c>
      <c r="E77" s="4">
        <v>0.3</v>
      </c>
      <c r="F77" s="42">
        <v>1.75</v>
      </c>
      <c r="G77" s="45">
        <v>391</v>
      </c>
      <c r="H77" s="22">
        <v>1.9</v>
      </c>
      <c r="I77" s="30">
        <f t="shared" si="2"/>
        <v>390.02249999999998</v>
      </c>
      <c r="J77" s="6" t="s">
        <v>150</v>
      </c>
      <c r="K77" s="17"/>
    </row>
    <row r="78" spans="1:11" ht="13.95" customHeight="1" x14ac:dyDescent="0.3">
      <c r="A78" s="3">
        <v>45734</v>
      </c>
      <c r="B78" s="3" t="s">
        <v>1635</v>
      </c>
      <c r="C78" s="19" t="s">
        <v>20</v>
      </c>
      <c r="D78" s="19" t="s">
        <v>76</v>
      </c>
      <c r="E78" s="4">
        <v>0.32</v>
      </c>
      <c r="F78" s="42">
        <v>1.8</v>
      </c>
      <c r="G78" s="45">
        <v>391</v>
      </c>
      <c r="H78" s="22">
        <v>1.9</v>
      </c>
      <c r="I78" s="30">
        <f t="shared" si="2"/>
        <v>427.91039999999998</v>
      </c>
      <c r="J78" s="6" t="s">
        <v>150</v>
      </c>
      <c r="K78" s="17"/>
    </row>
    <row r="79" spans="1:11" ht="13.95" customHeight="1" x14ac:dyDescent="0.3">
      <c r="A79" s="3">
        <v>45735</v>
      </c>
      <c r="B79" s="3" t="s">
        <v>1635</v>
      </c>
      <c r="C79" s="19" t="s">
        <v>5</v>
      </c>
      <c r="D79" s="19" t="s">
        <v>994</v>
      </c>
      <c r="E79" s="4">
        <v>0.45</v>
      </c>
      <c r="F79" s="42">
        <v>2</v>
      </c>
      <c r="G79" s="45">
        <v>391</v>
      </c>
      <c r="H79" s="22">
        <v>1.9</v>
      </c>
      <c r="I79" s="30">
        <f t="shared" si="2"/>
        <v>668.61</v>
      </c>
      <c r="J79" s="6" t="s">
        <v>1305</v>
      </c>
      <c r="K79" s="17"/>
    </row>
    <row r="80" spans="1:11" ht="13.95" customHeight="1" x14ac:dyDescent="0.3">
      <c r="A80" s="3">
        <v>45736</v>
      </c>
      <c r="B80" s="3" t="s">
        <v>1635</v>
      </c>
      <c r="C80" s="19" t="s">
        <v>8</v>
      </c>
      <c r="D80" s="19" t="s">
        <v>383</v>
      </c>
      <c r="E80" s="4">
        <v>0.65</v>
      </c>
      <c r="F80" s="42">
        <v>2.2999999999999998</v>
      </c>
      <c r="G80" s="45">
        <v>391</v>
      </c>
      <c r="H80" s="22">
        <v>1.9</v>
      </c>
      <c r="I80" s="30">
        <f t="shared" si="2"/>
        <v>1110.6354999999999</v>
      </c>
      <c r="J80" s="6" t="s">
        <v>1504</v>
      </c>
      <c r="K80" s="17"/>
    </row>
    <row r="81" spans="1:11" ht="13.95" customHeight="1" x14ac:dyDescent="0.3">
      <c r="A81" s="3">
        <v>45737</v>
      </c>
      <c r="B81" s="3" t="s">
        <v>1635</v>
      </c>
      <c r="C81" s="19" t="s">
        <v>11</v>
      </c>
      <c r="D81" s="19" t="s">
        <v>76</v>
      </c>
      <c r="E81" s="4">
        <v>0.55000000000000004</v>
      </c>
      <c r="F81" s="42">
        <v>2.1</v>
      </c>
      <c r="G81" s="45">
        <v>391</v>
      </c>
      <c r="H81" s="22">
        <v>1.9</v>
      </c>
      <c r="I81" s="30">
        <f t="shared" si="2"/>
        <v>858.04949999999997</v>
      </c>
      <c r="J81" s="6" t="s">
        <v>97</v>
      </c>
      <c r="K81" s="17"/>
    </row>
    <row r="82" spans="1:11" ht="13.95" customHeight="1" x14ac:dyDescent="0.3">
      <c r="A82" s="3">
        <v>45738</v>
      </c>
      <c r="B82" s="3" t="s">
        <v>1635</v>
      </c>
      <c r="C82" s="19" t="s">
        <v>13</v>
      </c>
      <c r="D82" s="19" t="s">
        <v>76</v>
      </c>
      <c r="E82" s="4">
        <v>0.7</v>
      </c>
      <c r="F82" s="42">
        <v>2.35</v>
      </c>
      <c r="G82" s="45">
        <v>391</v>
      </c>
      <c r="H82" s="22">
        <v>1.9</v>
      </c>
      <c r="I82" s="30">
        <f t="shared" si="2"/>
        <v>1222.0705</v>
      </c>
      <c r="J82" s="6" t="s">
        <v>1505</v>
      </c>
      <c r="K82" s="17"/>
    </row>
    <row r="83" spans="1:11" ht="13.95" customHeight="1" x14ac:dyDescent="0.3">
      <c r="A83" s="3">
        <v>45739</v>
      </c>
      <c r="B83" s="3" t="s">
        <v>1635</v>
      </c>
      <c r="C83" s="19" t="s">
        <v>16</v>
      </c>
      <c r="D83" s="19" t="s">
        <v>76</v>
      </c>
      <c r="E83" s="4">
        <v>0.6</v>
      </c>
      <c r="F83" s="42">
        <v>2.15</v>
      </c>
      <c r="G83" s="45">
        <v>391</v>
      </c>
      <c r="H83" s="22">
        <v>1.9</v>
      </c>
      <c r="I83" s="30">
        <f t="shared" si="2"/>
        <v>958.34099999999989</v>
      </c>
      <c r="J83" s="6" t="s">
        <v>149</v>
      </c>
      <c r="K83" s="17"/>
    </row>
    <row r="84" spans="1:11" ht="13.95" customHeight="1" x14ac:dyDescent="0.3">
      <c r="A84" s="3">
        <v>45740</v>
      </c>
      <c r="B84" s="3" t="s">
        <v>1635</v>
      </c>
      <c r="C84" s="19" t="s">
        <v>18</v>
      </c>
      <c r="D84" s="19" t="s">
        <v>76</v>
      </c>
      <c r="E84" s="4">
        <v>0.35</v>
      </c>
      <c r="F84" s="42">
        <v>1.8</v>
      </c>
      <c r="G84" s="45">
        <v>391</v>
      </c>
      <c r="H84" s="22">
        <v>1.9</v>
      </c>
      <c r="I84" s="30">
        <f t="shared" si="2"/>
        <v>468.02699999999993</v>
      </c>
      <c r="J84" s="6" t="s">
        <v>150</v>
      </c>
      <c r="K84" s="17"/>
    </row>
    <row r="85" spans="1:11" ht="13.95" customHeight="1" x14ac:dyDescent="0.3">
      <c r="A85" s="3">
        <v>45741</v>
      </c>
      <c r="B85" s="3" t="s">
        <v>1635</v>
      </c>
      <c r="C85" s="19" t="s">
        <v>20</v>
      </c>
      <c r="D85" s="19" t="s">
        <v>76</v>
      </c>
      <c r="E85" s="4">
        <v>0.35</v>
      </c>
      <c r="F85" s="42">
        <v>1.8</v>
      </c>
      <c r="G85" s="45">
        <v>391</v>
      </c>
      <c r="H85" s="22">
        <v>1.9</v>
      </c>
      <c r="I85" s="30">
        <f t="shared" si="2"/>
        <v>468.02699999999993</v>
      </c>
      <c r="J85" s="6" t="s">
        <v>150</v>
      </c>
      <c r="K85" s="17"/>
    </row>
    <row r="86" spans="1:11" ht="13.95" customHeight="1" x14ac:dyDescent="0.3">
      <c r="A86" s="3">
        <v>45742</v>
      </c>
      <c r="B86" s="3" t="s">
        <v>1635</v>
      </c>
      <c r="C86" s="19" t="s">
        <v>5</v>
      </c>
      <c r="D86" s="19" t="s">
        <v>76</v>
      </c>
      <c r="E86" s="4">
        <v>0.38</v>
      </c>
      <c r="F86" s="42">
        <v>1.8</v>
      </c>
      <c r="G86" s="45">
        <v>391</v>
      </c>
      <c r="H86" s="22">
        <v>1.9</v>
      </c>
      <c r="I86" s="30">
        <f t="shared" si="2"/>
        <v>508.14359999999999</v>
      </c>
      <c r="J86" s="6" t="s">
        <v>150</v>
      </c>
      <c r="K86" s="17"/>
    </row>
    <row r="87" spans="1:11" ht="13.95" customHeight="1" x14ac:dyDescent="0.3">
      <c r="A87" s="3">
        <v>45743</v>
      </c>
      <c r="B87" s="3" t="s">
        <v>1635</v>
      </c>
      <c r="C87" s="19" t="s">
        <v>8</v>
      </c>
      <c r="D87" s="19" t="s">
        <v>76</v>
      </c>
      <c r="E87" s="4">
        <v>0.45</v>
      </c>
      <c r="F87" s="42">
        <v>1.95</v>
      </c>
      <c r="G87" s="45">
        <v>391</v>
      </c>
      <c r="H87" s="22">
        <v>1.9</v>
      </c>
      <c r="I87" s="30">
        <f t="shared" si="2"/>
        <v>651.89475000000004</v>
      </c>
      <c r="J87" s="6" t="s">
        <v>1506</v>
      </c>
      <c r="K87" s="17"/>
    </row>
    <row r="88" spans="1:11" ht="13.95" customHeight="1" x14ac:dyDescent="0.3">
      <c r="A88" s="3">
        <v>45744</v>
      </c>
      <c r="B88" s="3" t="s">
        <v>1635</v>
      </c>
      <c r="C88" s="19" t="s">
        <v>11</v>
      </c>
      <c r="D88" s="19" t="s">
        <v>1310</v>
      </c>
      <c r="E88" s="4">
        <v>0.65</v>
      </c>
      <c r="F88" s="42">
        <v>2.4500000000000002</v>
      </c>
      <c r="G88" s="45">
        <v>391</v>
      </c>
      <c r="H88" s="22">
        <v>1.9</v>
      </c>
      <c r="I88" s="30">
        <f t="shared" si="2"/>
        <v>1183.06825</v>
      </c>
      <c r="J88" s="6" t="s">
        <v>1507</v>
      </c>
      <c r="K88" s="17"/>
    </row>
    <row r="89" spans="1:11" ht="13.95" customHeight="1" x14ac:dyDescent="0.3">
      <c r="A89" s="3">
        <v>45745</v>
      </c>
      <c r="B89" s="3" t="s">
        <v>1635</v>
      </c>
      <c r="C89" s="19" t="s">
        <v>13</v>
      </c>
      <c r="D89" s="19" t="s">
        <v>904</v>
      </c>
      <c r="E89" s="4">
        <v>0.8</v>
      </c>
      <c r="F89" s="42">
        <v>2.5499999999999998</v>
      </c>
      <c r="G89" s="45">
        <v>391</v>
      </c>
      <c r="H89" s="22">
        <v>1.9</v>
      </c>
      <c r="I89" s="30">
        <f t="shared" si="2"/>
        <v>1515.5159999999998</v>
      </c>
      <c r="J89" s="6" t="s">
        <v>1508</v>
      </c>
      <c r="K89" s="17"/>
    </row>
    <row r="90" spans="1:11" ht="13.95" customHeight="1" x14ac:dyDescent="0.3">
      <c r="A90" s="3">
        <v>45746</v>
      </c>
      <c r="B90" s="3" t="s">
        <v>1635</v>
      </c>
      <c r="C90" s="19" t="s">
        <v>16</v>
      </c>
      <c r="D90" s="19" t="s">
        <v>574</v>
      </c>
      <c r="E90" s="4">
        <v>0.95</v>
      </c>
      <c r="F90" s="42">
        <v>2.8</v>
      </c>
      <c r="G90" s="45">
        <v>391</v>
      </c>
      <c r="H90" s="22">
        <v>1.9</v>
      </c>
      <c r="I90" s="30">
        <f t="shared" si="2"/>
        <v>1976.1139999999998</v>
      </c>
      <c r="J90" s="6" t="s">
        <v>1435</v>
      </c>
      <c r="K90" s="17"/>
    </row>
    <row r="91" spans="1:11" ht="13.95" customHeight="1" x14ac:dyDescent="0.3">
      <c r="A91" s="3">
        <v>45747</v>
      </c>
      <c r="B91" s="3" t="s">
        <v>1635</v>
      </c>
      <c r="C91" s="19" t="s">
        <v>18</v>
      </c>
      <c r="D91" s="19" t="s">
        <v>574</v>
      </c>
      <c r="E91" s="4">
        <v>0.9</v>
      </c>
      <c r="F91" s="42">
        <v>2.5</v>
      </c>
      <c r="G91" s="45">
        <v>391</v>
      </c>
      <c r="H91" s="22">
        <v>1.9</v>
      </c>
      <c r="I91" s="30">
        <f t="shared" si="2"/>
        <v>1671.5250000000001</v>
      </c>
      <c r="J91" s="6" t="s">
        <v>530</v>
      </c>
      <c r="K91" s="17"/>
    </row>
    <row r="92" spans="1:11" ht="13.95" customHeight="1" x14ac:dyDescent="0.3">
      <c r="A92" s="3">
        <v>45748</v>
      </c>
      <c r="B92" s="3" t="s">
        <v>1635</v>
      </c>
      <c r="C92" s="19" t="s">
        <v>20</v>
      </c>
      <c r="D92" s="19" t="s">
        <v>1314</v>
      </c>
      <c r="E92" s="4">
        <v>0.65</v>
      </c>
      <c r="F92" s="42">
        <v>1.9</v>
      </c>
      <c r="G92" s="45">
        <v>391</v>
      </c>
      <c r="H92" s="22">
        <v>1.9</v>
      </c>
      <c r="I92" s="30">
        <f t="shared" si="2"/>
        <v>917.48149999999998</v>
      </c>
      <c r="J92" s="6" t="s">
        <v>1509</v>
      </c>
      <c r="K92" s="17"/>
    </row>
    <row r="93" spans="1:11" ht="13.95" customHeight="1" x14ac:dyDescent="0.3">
      <c r="A93" s="3">
        <v>45749</v>
      </c>
      <c r="B93" s="3" t="s">
        <v>1635</v>
      </c>
      <c r="C93" s="19" t="s">
        <v>5</v>
      </c>
      <c r="D93" s="19" t="s">
        <v>1259</v>
      </c>
      <c r="E93" s="4">
        <v>0.45</v>
      </c>
      <c r="F93" s="42">
        <v>1.75</v>
      </c>
      <c r="G93" s="45">
        <v>391</v>
      </c>
      <c r="H93" s="22">
        <v>1.9</v>
      </c>
      <c r="I93" s="30">
        <f t="shared" si="2"/>
        <v>585.03375000000005</v>
      </c>
      <c r="J93" s="6" t="s">
        <v>150</v>
      </c>
      <c r="K93" s="17"/>
    </row>
    <row r="94" spans="1:11" ht="13.95" customHeight="1" x14ac:dyDescent="0.3">
      <c r="A94" s="3">
        <v>45750</v>
      </c>
      <c r="B94" s="3" t="s">
        <v>1635</v>
      </c>
      <c r="C94" s="19" t="s">
        <v>8</v>
      </c>
      <c r="D94" s="19" t="s">
        <v>1259</v>
      </c>
      <c r="E94" s="4">
        <v>0.42</v>
      </c>
      <c r="F94" s="42">
        <v>1.75</v>
      </c>
      <c r="G94" s="45">
        <v>391</v>
      </c>
      <c r="H94" s="22">
        <v>1.9</v>
      </c>
      <c r="I94" s="30">
        <f t="shared" si="2"/>
        <v>546.03149999999994</v>
      </c>
      <c r="J94" s="6" t="s">
        <v>150</v>
      </c>
      <c r="K94" s="17"/>
    </row>
    <row r="95" spans="1:11" ht="13.95" customHeight="1" x14ac:dyDescent="0.3">
      <c r="A95" s="3">
        <v>45751</v>
      </c>
      <c r="B95" s="3" t="s">
        <v>1635</v>
      </c>
      <c r="C95" s="19" t="s">
        <v>11</v>
      </c>
      <c r="D95" s="19" t="s">
        <v>14</v>
      </c>
      <c r="E95" s="4">
        <v>0.55000000000000004</v>
      </c>
      <c r="F95" s="42">
        <v>1.95</v>
      </c>
      <c r="G95" s="45">
        <v>391</v>
      </c>
      <c r="H95" s="22">
        <v>1.9</v>
      </c>
      <c r="I95" s="30">
        <f t="shared" si="2"/>
        <v>796.76025000000004</v>
      </c>
      <c r="J95" s="6" t="s">
        <v>124</v>
      </c>
      <c r="K95" s="17"/>
    </row>
    <row r="96" spans="1:11" ht="13.95" customHeight="1" x14ac:dyDescent="0.3">
      <c r="A96" s="3">
        <v>45752</v>
      </c>
      <c r="B96" s="3" t="s">
        <v>1635</v>
      </c>
      <c r="C96" s="19" t="s">
        <v>13</v>
      </c>
      <c r="D96" s="19" t="s">
        <v>14</v>
      </c>
      <c r="E96" s="4">
        <v>0.65</v>
      </c>
      <c r="F96" s="42">
        <v>2.15</v>
      </c>
      <c r="G96" s="45">
        <v>391</v>
      </c>
      <c r="H96" s="22">
        <v>1.9</v>
      </c>
      <c r="I96" s="30">
        <f t="shared" si="2"/>
        <v>1038.2027499999999</v>
      </c>
      <c r="J96" s="6" t="s">
        <v>1346</v>
      </c>
      <c r="K96" s="17"/>
    </row>
    <row r="97" spans="1:11" ht="13.95" customHeight="1" x14ac:dyDescent="0.3">
      <c r="A97" s="3">
        <v>45753</v>
      </c>
      <c r="B97" s="3" t="s">
        <v>1635</v>
      </c>
      <c r="C97" s="19" t="s">
        <v>16</v>
      </c>
      <c r="D97" s="19" t="s">
        <v>14</v>
      </c>
      <c r="E97" s="4">
        <v>0.6</v>
      </c>
      <c r="F97" s="42">
        <v>2.0499999999999998</v>
      </c>
      <c r="G97" s="45">
        <v>391</v>
      </c>
      <c r="H97" s="22">
        <v>1.9</v>
      </c>
      <c r="I97" s="30">
        <f t="shared" si="2"/>
        <v>913.76699999999983</v>
      </c>
      <c r="J97" s="6" t="s">
        <v>139</v>
      </c>
      <c r="K97" s="17"/>
    </row>
    <row r="98" spans="1:11" ht="13.95" customHeight="1" x14ac:dyDescent="0.3">
      <c r="A98" s="3">
        <v>45754</v>
      </c>
      <c r="B98" s="3" t="s">
        <v>1635</v>
      </c>
      <c r="C98" s="19" t="s">
        <v>18</v>
      </c>
      <c r="D98" s="19" t="s">
        <v>1259</v>
      </c>
      <c r="E98" s="4">
        <v>0.4</v>
      </c>
      <c r="F98" s="42">
        <v>1.75</v>
      </c>
      <c r="G98" s="45">
        <v>391</v>
      </c>
      <c r="H98" s="22">
        <v>1.9</v>
      </c>
      <c r="I98" s="30">
        <f t="shared" si="2"/>
        <v>520.03</v>
      </c>
      <c r="J98" s="6" t="s">
        <v>150</v>
      </c>
      <c r="K98" s="17"/>
    </row>
    <row r="99" spans="1:11" ht="13.95" customHeight="1" x14ac:dyDescent="0.3">
      <c r="A99" s="3">
        <v>45755</v>
      </c>
      <c r="B99" s="3" t="s">
        <v>1635</v>
      </c>
      <c r="C99" s="19" t="s">
        <v>20</v>
      </c>
      <c r="D99" s="19" t="s">
        <v>994</v>
      </c>
      <c r="E99" s="4">
        <v>0.5</v>
      </c>
      <c r="F99" s="42">
        <v>1.9</v>
      </c>
      <c r="G99" s="45">
        <v>391</v>
      </c>
      <c r="H99" s="22">
        <v>1.9</v>
      </c>
      <c r="I99" s="30">
        <f t="shared" si="2"/>
        <v>705.755</v>
      </c>
      <c r="J99" s="6" t="s">
        <v>1510</v>
      </c>
      <c r="K99" s="17"/>
    </row>
    <row r="100" spans="1:11" ht="13.95" customHeight="1" x14ac:dyDescent="0.3">
      <c r="A100" s="3">
        <v>45756</v>
      </c>
      <c r="B100" s="3" t="s">
        <v>1635</v>
      </c>
      <c r="C100" s="19" t="s">
        <v>5</v>
      </c>
      <c r="D100" s="19" t="s">
        <v>1112</v>
      </c>
      <c r="E100" s="4">
        <v>0.7</v>
      </c>
      <c r="F100" s="42">
        <v>2.2000000000000002</v>
      </c>
      <c r="G100" s="45">
        <v>391</v>
      </c>
      <c r="H100" s="22">
        <v>1.9</v>
      </c>
      <c r="I100" s="30">
        <f t="shared" si="2"/>
        <v>1144.066</v>
      </c>
      <c r="J100" s="6" t="s">
        <v>1511</v>
      </c>
      <c r="K100" s="17"/>
    </row>
    <row r="101" spans="1:11" ht="13.95" customHeight="1" x14ac:dyDescent="0.3">
      <c r="A101" s="3">
        <v>45757</v>
      </c>
      <c r="B101" s="3" t="s">
        <v>1635</v>
      </c>
      <c r="C101" s="19" t="s">
        <v>8</v>
      </c>
      <c r="D101" s="19" t="s">
        <v>1259</v>
      </c>
      <c r="E101" s="4">
        <v>0.45</v>
      </c>
      <c r="F101" s="42">
        <v>1.8</v>
      </c>
      <c r="G101" s="45">
        <v>391</v>
      </c>
      <c r="H101" s="22">
        <v>1.9</v>
      </c>
      <c r="I101" s="30">
        <f t="shared" si="2"/>
        <v>601.74900000000002</v>
      </c>
      <c r="J101" s="6" t="s">
        <v>774</v>
      </c>
      <c r="K101" s="17"/>
    </row>
    <row r="102" spans="1:11" ht="13.95" customHeight="1" x14ac:dyDescent="0.3">
      <c r="A102" s="3">
        <v>45758</v>
      </c>
      <c r="B102" s="3" t="s">
        <v>1635</v>
      </c>
      <c r="C102" s="19" t="s">
        <v>11</v>
      </c>
      <c r="D102" s="19" t="s">
        <v>14</v>
      </c>
      <c r="E102" s="4">
        <v>0.55000000000000004</v>
      </c>
      <c r="F102" s="42">
        <v>1.95</v>
      </c>
      <c r="G102" s="45">
        <v>391</v>
      </c>
      <c r="H102" s="22">
        <v>1.9</v>
      </c>
      <c r="I102" s="30">
        <f t="shared" si="2"/>
        <v>796.76025000000004</v>
      </c>
      <c r="J102" s="6" t="s">
        <v>97</v>
      </c>
      <c r="K102" s="17"/>
    </row>
    <row r="103" spans="1:11" ht="13.95" customHeight="1" x14ac:dyDescent="0.3">
      <c r="A103" s="3">
        <v>45759</v>
      </c>
      <c r="B103" s="3" t="s">
        <v>1635</v>
      </c>
      <c r="C103" s="19" t="s">
        <v>13</v>
      </c>
      <c r="D103" s="19" t="s">
        <v>14</v>
      </c>
      <c r="E103" s="4">
        <v>0.68</v>
      </c>
      <c r="F103" s="42">
        <v>2.2000000000000002</v>
      </c>
      <c r="G103" s="45">
        <v>391</v>
      </c>
      <c r="H103" s="22">
        <v>1.9</v>
      </c>
      <c r="I103" s="30">
        <f t="shared" si="2"/>
        <v>1111.3784000000001</v>
      </c>
      <c r="J103" s="6" t="s">
        <v>746</v>
      </c>
      <c r="K103" s="17"/>
    </row>
    <row r="104" spans="1:11" ht="13.95" customHeight="1" x14ac:dyDescent="0.3">
      <c r="A104" s="3">
        <v>45760</v>
      </c>
      <c r="B104" s="3" t="s">
        <v>1635</v>
      </c>
      <c r="C104" s="19" t="s">
        <v>16</v>
      </c>
      <c r="D104" s="19" t="s">
        <v>14</v>
      </c>
      <c r="E104" s="4">
        <v>0.6</v>
      </c>
      <c r="F104" s="42">
        <v>2.0499999999999998</v>
      </c>
      <c r="G104" s="45">
        <v>391</v>
      </c>
      <c r="H104" s="22">
        <v>1.9</v>
      </c>
      <c r="I104" s="30">
        <f t="shared" si="2"/>
        <v>913.76699999999983</v>
      </c>
      <c r="J104" s="6" t="s">
        <v>149</v>
      </c>
      <c r="K104" s="17"/>
    </row>
    <row r="105" spans="1:11" ht="13.95" customHeight="1" x14ac:dyDescent="0.3">
      <c r="A105" s="3">
        <v>45761</v>
      </c>
      <c r="B105" s="3" t="s">
        <v>1635</v>
      </c>
      <c r="C105" s="19" t="s">
        <v>18</v>
      </c>
      <c r="D105" s="19" t="s">
        <v>1434</v>
      </c>
      <c r="E105" s="4">
        <v>0.65</v>
      </c>
      <c r="F105" s="42">
        <v>1.95</v>
      </c>
      <c r="G105" s="45">
        <v>391</v>
      </c>
      <c r="H105" s="22">
        <v>1.9</v>
      </c>
      <c r="I105" s="30">
        <f t="shared" si="2"/>
        <v>941.62574999999993</v>
      </c>
      <c r="J105" s="6" t="s">
        <v>1512</v>
      </c>
      <c r="K105" s="17"/>
    </row>
    <row r="106" spans="1:11" ht="13.95" customHeight="1" x14ac:dyDescent="0.3">
      <c r="A106" s="3">
        <v>45762</v>
      </c>
      <c r="B106" s="3" t="s">
        <v>1635</v>
      </c>
      <c r="C106" s="19" t="s">
        <v>20</v>
      </c>
      <c r="D106" s="19" t="s">
        <v>1434</v>
      </c>
      <c r="E106" s="4">
        <v>0.7</v>
      </c>
      <c r="F106" s="42">
        <v>2</v>
      </c>
      <c r="G106" s="45">
        <v>391</v>
      </c>
      <c r="H106" s="22">
        <v>1.9</v>
      </c>
      <c r="I106" s="30">
        <f t="shared" si="2"/>
        <v>1040.06</v>
      </c>
      <c r="J106" s="6" t="s">
        <v>1513</v>
      </c>
      <c r="K106" s="17"/>
    </row>
    <row r="107" spans="1:11" ht="13.95" customHeight="1" x14ac:dyDescent="0.3">
      <c r="A107" s="3">
        <v>45763</v>
      </c>
      <c r="B107" s="3" t="s">
        <v>1635</v>
      </c>
      <c r="C107" s="19" t="s">
        <v>5</v>
      </c>
      <c r="D107" s="19" t="s">
        <v>1434</v>
      </c>
      <c r="E107" s="4">
        <v>0.72</v>
      </c>
      <c r="F107" s="42">
        <v>2</v>
      </c>
      <c r="G107" s="45">
        <v>391</v>
      </c>
      <c r="H107" s="22">
        <v>1.9</v>
      </c>
      <c r="I107" s="30">
        <f t="shared" si="2"/>
        <v>1069.7759999999998</v>
      </c>
      <c r="J107" s="6" t="s">
        <v>838</v>
      </c>
      <c r="K107" s="17"/>
    </row>
    <row r="108" spans="1:11" ht="13.95" customHeight="1" x14ac:dyDescent="0.3">
      <c r="A108" s="3">
        <v>45764</v>
      </c>
      <c r="B108" s="3" t="s">
        <v>1635</v>
      </c>
      <c r="C108" s="19" t="s">
        <v>8</v>
      </c>
      <c r="D108" s="19" t="s">
        <v>1434</v>
      </c>
      <c r="E108" s="4">
        <v>0.75</v>
      </c>
      <c r="F108" s="42">
        <v>2.0499999999999998</v>
      </c>
      <c r="G108" s="45">
        <v>391</v>
      </c>
      <c r="H108" s="22">
        <v>1.9</v>
      </c>
      <c r="I108" s="30">
        <f t="shared" si="2"/>
        <v>1142.2087499999998</v>
      </c>
      <c r="J108" s="6" t="s">
        <v>1321</v>
      </c>
      <c r="K108" s="17"/>
    </row>
    <row r="109" spans="1:11" ht="13.95" customHeight="1" x14ac:dyDescent="0.3">
      <c r="A109" s="3">
        <v>45765</v>
      </c>
      <c r="B109" s="3" t="s">
        <v>1635</v>
      </c>
      <c r="C109" s="19" t="s">
        <v>11</v>
      </c>
      <c r="D109" s="19" t="s">
        <v>1118</v>
      </c>
      <c r="E109" s="4">
        <v>0.85</v>
      </c>
      <c r="F109" s="42">
        <v>2.2000000000000002</v>
      </c>
      <c r="G109" s="45">
        <v>391</v>
      </c>
      <c r="H109" s="22">
        <v>1.9</v>
      </c>
      <c r="I109" s="30">
        <f t="shared" si="2"/>
        <v>1389.223</v>
      </c>
      <c r="J109" s="6" t="s">
        <v>1514</v>
      </c>
      <c r="K109" s="17"/>
    </row>
    <row r="110" spans="1:11" ht="13.95" customHeight="1" x14ac:dyDescent="0.3">
      <c r="A110" s="3">
        <v>45766</v>
      </c>
      <c r="B110" s="3" t="s">
        <v>1635</v>
      </c>
      <c r="C110" s="19" t="s">
        <v>13</v>
      </c>
      <c r="D110" s="19" t="s">
        <v>1322</v>
      </c>
      <c r="E110" s="4">
        <v>0.9</v>
      </c>
      <c r="F110" s="42">
        <v>2.4500000000000002</v>
      </c>
      <c r="G110" s="45">
        <v>391</v>
      </c>
      <c r="H110" s="22">
        <v>1.9</v>
      </c>
      <c r="I110" s="30">
        <f t="shared" si="2"/>
        <v>1638.0945000000004</v>
      </c>
      <c r="J110" s="6" t="s">
        <v>1515</v>
      </c>
      <c r="K110" s="17"/>
    </row>
    <row r="111" spans="1:11" ht="13.95" customHeight="1" x14ac:dyDescent="0.3">
      <c r="A111" s="3">
        <v>45767</v>
      </c>
      <c r="B111" s="3" t="s">
        <v>1635</v>
      </c>
      <c r="C111" s="19" t="s">
        <v>16</v>
      </c>
      <c r="D111" s="19" t="s">
        <v>905</v>
      </c>
      <c r="E111" s="4">
        <v>0.95</v>
      </c>
      <c r="F111" s="42">
        <v>2.7</v>
      </c>
      <c r="G111" s="45">
        <v>391</v>
      </c>
      <c r="H111" s="22">
        <v>1.9</v>
      </c>
      <c r="I111" s="30">
        <f t="shared" si="2"/>
        <v>1905.5385000000001</v>
      </c>
      <c r="J111" s="6" t="s">
        <v>1435</v>
      </c>
      <c r="K111" s="17"/>
    </row>
    <row r="112" spans="1:11" ht="13.95" customHeight="1" x14ac:dyDescent="0.3">
      <c r="A112" s="3">
        <v>45768</v>
      </c>
      <c r="B112" s="3" t="s">
        <v>1635</v>
      </c>
      <c r="C112" s="19" t="s">
        <v>18</v>
      </c>
      <c r="D112" s="19" t="s">
        <v>1325</v>
      </c>
      <c r="E112" s="4">
        <v>0.8</v>
      </c>
      <c r="F112" s="42">
        <v>2.15</v>
      </c>
      <c r="G112" s="45">
        <v>391</v>
      </c>
      <c r="H112" s="22">
        <v>1.9</v>
      </c>
      <c r="I112" s="30">
        <f t="shared" si="2"/>
        <v>1277.788</v>
      </c>
      <c r="J112" s="6" t="s">
        <v>1516</v>
      </c>
      <c r="K112" s="17"/>
    </row>
    <row r="113" spans="1:11" ht="13.95" customHeight="1" x14ac:dyDescent="0.3">
      <c r="A113" s="3">
        <v>45769</v>
      </c>
      <c r="B113" s="3" t="s">
        <v>1635</v>
      </c>
      <c r="C113" s="19" t="s">
        <v>20</v>
      </c>
      <c r="D113" s="19" t="s">
        <v>1259</v>
      </c>
      <c r="E113" s="4">
        <v>0.55000000000000004</v>
      </c>
      <c r="F113" s="42">
        <v>1.85</v>
      </c>
      <c r="G113" s="45">
        <v>391</v>
      </c>
      <c r="H113" s="22">
        <v>1.9</v>
      </c>
      <c r="I113" s="30">
        <f t="shared" si="2"/>
        <v>755.90075000000002</v>
      </c>
      <c r="J113" s="6" t="s">
        <v>1437</v>
      </c>
      <c r="K113" s="17"/>
    </row>
    <row r="114" spans="1:11" ht="13.95" customHeight="1" x14ac:dyDescent="0.3">
      <c r="A114" s="3">
        <v>45770</v>
      </c>
      <c r="B114" s="3" t="s">
        <v>1635</v>
      </c>
      <c r="C114" s="19" t="s">
        <v>5</v>
      </c>
      <c r="D114" s="19" t="s">
        <v>1259</v>
      </c>
      <c r="E114" s="4">
        <v>0.5</v>
      </c>
      <c r="F114" s="42">
        <v>1.8</v>
      </c>
      <c r="G114" s="45">
        <v>391</v>
      </c>
      <c r="H114" s="22">
        <v>1.9</v>
      </c>
      <c r="I114" s="30">
        <f t="shared" si="2"/>
        <v>668.61</v>
      </c>
      <c r="J114" s="6" t="s">
        <v>150</v>
      </c>
      <c r="K114" s="17"/>
    </row>
    <row r="115" spans="1:11" ht="13.95" customHeight="1" x14ac:dyDescent="0.3">
      <c r="A115" s="3">
        <v>45771</v>
      </c>
      <c r="B115" s="3" t="s">
        <v>1635</v>
      </c>
      <c r="C115" s="19" t="s">
        <v>8</v>
      </c>
      <c r="D115" s="19" t="s">
        <v>1259</v>
      </c>
      <c r="E115" s="4">
        <v>0.48</v>
      </c>
      <c r="F115" s="42">
        <v>1.8</v>
      </c>
      <c r="G115" s="45">
        <v>391</v>
      </c>
      <c r="H115" s="22">
        <v>1.9</v>
      </c>
      <c r="I115" s="30">
        <f t="shared" si="2"/>
        <v>641.86559999999997</v>
      </c>
      <c r="J115" s="6" t="s">
        <v>150</v>
      </c>
      <c r="K115" s="17"/>
    </row>
    <row r="116" spans="1:11" ht="13.95" customHeight="1" x14ac:dyDescent="0.3">
      <c r="A116" s="3">
        <v>45772</v>
      </c>
      <c r="B116" s="3" t="s">
        <v>1635</v>
      </c>
      <c r="C116" s="19" t="s">
        <v>11</v>
      </c>
      <c r="D116" s="19" t="s">
        <v>14</v>
      </c>
      <c r="E116" s="4">
        <v>0.55000000000000004</v>
      </c>
      <c r="F116" s="42">
        <v>2</v>
      </c>
      <c r="G116" s="45">
        <v>391</v>
      </c>
      <c r="H116" s="22">
        <v>1.9</v>
      </c>
      <c r="I116" s="30">
        <f t="shared" si="2"/>
        <v>817.19</v>
      </c>
      <c r="J116" s="6" t="s">
        <v>97</v>
      </c>
      <c r="K116" s="17"/>
    </row>
    <row r="117" spans="1:11" ht="13.95" customHeight="1" x14ac:dyDescent="0.3">
      <c r="A117" s="3">
        <v>45773</v>
      </c>
      <c r="B117" s="3" t="s">
        <v>1635</v>
      </c>
      <c r="C117" s="19" t="s">
        <v>13</v>
      </c>
      <c r="D117" s="19" t="s">
        <v>14</v>
      </c>
      <c r="E117" s="4">
        <v>0.65</v>
      </c>
      <c r="F117" s="42">
        <v>2.2000000000000002</v>
      </c>
      <c r="G117" s="45">
        <v>391</v>
      </c>
      <c r="H117" s="22">
        <v>1.9</v>
      </c>
      <c r="I117" s="30">
        <f t="shared" si="2"/>
        <v>1062.3470000000002</v>
      </c>
      <c r="J117" s="6" t="s">
        <v>746</v>
      </c>
      <c r="K117" s="17"/>
    </row>
    <row r="118" spans="1:11" ht="13.95" customHeight="1" x14ac:dyDescent="0.3">
      <c r="A118" s="3">
        <v>45774</v>
      </c>
      <c r="B118" s="3" t="s">
        <v>1635</v>
      </c>
      <c r="C118" s="19" t="s">
        <v>16</v>
      </c>
      <c r="D118" s="19" t="s">
        <v>14</v>
      </c>
      <c r="E118" s="4">
        <v>0.6</v>
      </c>
      <c r="F118" s="42">
        <v>2.0499999999999998</v>
      </c>
      <c r="G118" s="45">
        <v>391</v>
      </c>
      <c r="H118" s="22">
        <v>1.9</v>
      </c>
      <c r="I118" s="30">
        <f t="shared" si="2"/>
        <v>913.76699999999983</v>
      </c>
      <c r="J118" s="6" t="s">
        <v>149</v>
      </c>
      <c r="K118" s="17"/>
    </row>
    <row r="119" spans="1:11" ht="13.95" customHeight="1" x14ac:dyDescent="0.3">
      <c r="A119" s="3">
        <v>45775</v>
      </c>
      <c r="B119" s="3" t="s">
        <v>1635</v>
      </c>
      <c r="C119" s="19" t="s">
        <v>18</v>
      </c>
      <c r="D119" s="19" t="s">
        <v>1259</v>
      </c>
      <c r="E119" s="4">
        <v>0.45</v>
      </c>
      <c r="F119" s="42">
        <v>1.8</v>
      </c>
      <c r="G119" s="45">
        <v>391</v>
      </c>
      <c r="H119" s="22">
        <v>1.9</v>
      </c>
      <c r="I119" s="30">
        <f t="shared" si="2"/>
        <v>601.74900000000002</v>
      </c>
      <c r="J119" s="6" t="s">
        <v>99</v>
      </c>
      <c r="K119" s="17"/>
    </row>
    <row r="120" spans="1:11" ht="13.95" customHeight="1" x14ac:dyDescent="0.3">
      <c r="A120" s="3">
        <v>45776</v>
      </c>
      <c r="B120" s="3" t="s">
        <v>1635</v>
      </c>
      <c r="C120" s="19" t="s">
        <v>20</v>
      </c>
      <c r="D120" s="19" t="s">
        <v>1259</v>
      </c>
      <c r="E120" s="4">
        <v>0.45</v>
      </c>
      <c r="F120" s="42">
        <v>1.8</v>
      </c>
      <c r="G120" s="45">
        <v>391</v>
      </c>
      <c r="H120" s="22">
        <v>1.9</v>
      </c>
      <c r="I120" s="30">
        <f t="shared" si="2"/>
        <v>601.74900000000002</v>
      </c>
      <c r="J120" s="6" t="s">
        <v>71</v>
      </c>
      <c r="K120" s="17"/>
    </row>
    <row r="121" spans="1:11" ht="13.95" customHeight="1" x14ac:dyDescent="0.3">
      <c r="A121" s="3">
        <v>45777</v>
      </c>
      <c r="B121" s="3" t="s">
        <v>1635</v>
      </c>
      <c r="C121" s="19" t="s">
        <v>5</v>
      </c>
      <c r="D121" s="19" t="s">
        <v>994</v>
      </c>
      <c r="E121" s="4">
        <v>0.6</v>
      </c>
      <c r="F121" s="42">
        <v>2.0499999999999998</v>
      </c>
      <c r="G121" s="45">
        <v>391</v>
      </c>
      <c r="H121" s="22">
        <v>1.9</v>
      </c>
      <c r="I121" s="30">
        <f t="shared" si="2"/>
        <v>913.76699999999983</v>
      </c>
      <c r="J121" s="6" t="s">
        <v>1438</v>
      </c>
      <c r="K121" s="17"/>
    </row>
    <row r="122" spans="1:11" ht="13.95" customHeight="1" x14ac:dyDescent="0.3">
      <c r="A122" s="3">
        <v>45778</v>
      </c>
      <c r="B122" s="3" t="s">
        <v>1635</v>
      </c>
      <c r="C122" s="19" t="s">
        <v>8</v>
      </c>
      <c r="D122" s="19" t="s">
        <v>742</v>
      </c>
      <c r="E122" s="4">
        <v>0.75</v>
      </c>
      <c r="F122" s="42">
        <v>2.25</v>
      </c>
      <c r="G122" s="45">
        <v>391</v>
      </c>
      <c r="H122" s="22">
        <v>1.9</v>
      </c>
      <c r="I122" s="30">
        <f t="shared" si="2"/>
        <v>1253.64375</v>
      </c>
      <c r="J122" s="6" t="s">
        <v>1517</v>
      </c>
      <c r="K122" s="17"/>
    </row>
    <row r="123" spans="1:11" ht="13.95" customHeight="1" x14ac:dyDescent="0.3">
      <c r="A123" s="3">
        <v>45779</v>
      </c>
      <c r="B123" s="3" t="s">
        <v>1635</v>
      </c>
      <c r="C123" s="19" t="s">
        <v>11</v>
      </c>
      <c r="D123" s="19" t="s">
        <v>1518</v>
      </c>
      <c r="E123" s="4">
        <v>0.7</v>
      </c>
      <c r="F123" s="42">
        <v>2.0499999999999998</v>
      </c>
      <c r="G123" s="45">
        <v>391</v>
      </c>
      <c r="H123" s="22">
        <v>1.9</v>
      </c>
      <c r="I123" s="30">
        <f t="shared" si="2"/>
        <v>1066.0614999999998</v>
      </c>
      <c r="J123" s="6" t="s">
        <v>1519</v>
      </c>
      <c r="K123" s="17"/>
    </row>
    <row r="124" spans="1:11" ht="13.95" customHeight="1" x14ac:dyDescent="0.3">
      <c r="A124" s="3">
        <v>45780</v>
      </c>
      <c r="B124" s="3" t="s">
        <v>1635</v>
      </c>
      <c r="C124" s="19" t="s">
        <v>13</v>
      </c>
      <c r="D124" s="19" t="s">
        <v>14</v>
      </c>
      <c r="E124" s="4">
        <v>0.75</v>
      </c>
      <c r="F124" s="42">
        <v>2.35</v>
      </c>
      <c r="G124" s="45">
        <v>391</v>
      </c>
      <c r="H124" s="22">
        <v>1.9</v>
      </c>
      <c r="I124" s="30">
        <f t="shared" si="2"/>
        <v>1309.3612499999999</v>
      </c>
      <c r="J124" s="6" t="s">
        <v>1335</v>
      </c>
      <c r="K124" s="17"/>
    </row>
    <row r="125" spans="1:11" ht="13.95" customHeight="1" x14ac:dyDescent="0.3">
      <c r="A125" s="3">
        <v>45781</v>
      </c>
      <c r="B125" s="3" t="s">
        <v>1635</v>
      </c>
      <c r="C125" s="19" t="s">
        <v>16</v>
      </c>
      <c r="D125" s="19" t="s">
        <v>14</v>
      </c>
      <c r="E125" s="4">
        <v>0.65</v>
      </c>
      <c r="F125" s="42">
        <v>2.15</v>
      </c>
      <c r="G125" s="45">
        <v>391</v>
      </c>
      <c r="H125" s="22">
        <v>1.9</v>
      </c>
      <c r="I125" s="30">
        <f t="shared" si="2"/>
        <v>1038.2027499999999</v>
      </c>
      <c r="J125" s="6" t="s">
        <v>139</v>
      </c>
      <c r="K125" s="17"/>
    </row>
    <row r="126" spans="1:11" ht="13.95" customHeight="1" x14ac:dyDescent="0.3">
      <c r="A126" s="3">
        <v>45782</v>
      </c>
      <c r="B126" s="3" t="s">
        <v>1635</v>
      </c>
      <c r="C126" s="19" t="s">
        <v>18</v>
      </c>
      <c r="D126" s="19" t="s">
        <v>1340</v>
      </c>
      <c r="E126" s="4">
        <v>0.6</v>
      </c>
      <c r="F126" s="42">
        <v>1.9</v>
      </c>
      <c r="G126" s="45">
        <v>391</v>
      </c>
      <c r="H126" s="22">
        <v>1.9</v>
      </c>
      <c r="I126" s="30">
        <f t="shared" si="2"/>
        <v>846.90599999999984</v>
      </c>
      <c r="J126" s="6" t="s">
        <v>1520</v>
      </c>
      <c r="K126" s="17"/>
    </row>
    <row r="127" spans="1:11" ht="13.95" customHeight="1" x14ac:dyDescent="0.3">
      <c r="A127" s="3">
        <v>45783</v>
      </c>
      <c r="B127" s="3" t="s">
        <v>1635</v>
      </c>
      <c r="C127" s="19" t="s">
        <v>20</v>
      </c>
      <c r="D127" s="19" t="s">
        <v>1340</v>
      </c>
      <c r="E127" s="4">
        <v>0.57999999999999996</v>
      </c>
      <c r="F127" s="42">
        <v>1.9</v>
      </c>
      <c r="G127" s="45">
        <v>391</v>
      </c>
      <c r="H127" s="22">
        <v>1.9</v>
      </c>
      <c r="I127" s="30">
        <f t="shared" si="2"/>
        <v>818.67579999999987</v>
      </c>
      <c r="J127" s="6" t="s">
        <v>1375</v>
      </c>
      <c r="K127" s="17"/>
    </row>
    <row r="128" spans="1:11" ht="13.95" customHeight="1" x14ac:dyDescent="0.3">
      <c r="A128" s="3">
        <v>45784</v>
      </c>
      <c r="B128" s="3" t="s">
        <v>1635</v>
      </c>
      <c r="C128" s="19" t="s">
        <v>5</v>
      </c>
      <c r="D128" s="19" t="s">
        <v>1340</v>
      </c>
      <c r="E128" s="4">
        <v>0.6</v>
      </c>
      <c r="F128" s="42">
        <v>1.85</v>
      </c>
      <c r="G128" s="45">
        <v>391</v>
      </c>
      <c r="H128" s="22">
        <v>1.9</v>
      </c>
      <c r="I128" s="30">
        <f t="shared" si="2"/>
        <v>824.61899999999991</v>
      </c>
      <c r="J128" s="6" t="s">
        <v>143</v>
      </c>
      <c r="K128" s="17"/>
    </row>
    <row r="129" spans="1:11" ht="13.95" customHeight="1" x14ac:dyDescent="0.3">
      <c r="A129" s="3">
        <v>45785</v>
      </c>
      <c r="B129" s="3" t="s">
        <v>1635</v>
      </c>
      <c r="C129" s="19" t="s">
        <v>8</v>
      </c>
      <c r="D129" s="19" t="s">
        <v>1340</v>
      </c>
      <c r="E129" s="4">
        <v>0.62</v>
      </c>
      <c r="F129" s="42">
        <v>1.9</v>
      </c>
      <c r="G129" s="45">
        <v>391</v>
      </c>
      <c r="H129" s="22">
        <v>1.9</v>
      </c>
      <c r="I129" s="30">
        <f t="shared" si="2"/>
        <v>875.13619999999992</v>
      </c>
      <c r="J129" s="6" t="s">
        <v>143</v>
      </c>
      <c r="K129" s="17"/>
    </row>
    <row r="130" spans="1:11" ht="13.95" customHeight="1" x14ac:dyDescent="0.3">
      <c r="A130" s="3">
        <v>45786</v>
      </c>
      <c r="B130" s="3" t="s">
        <v>1635</v>
      </c>
      <c r="C130" s="19" t="s">
        <v>11</v>
      </c>
      <c r="D130" s="19" t="s">
        <v>14</v>
      </c>
      <c r="E130" s="4">
        <v>0.68</v>
      </c>
      <c r="F130" s="42">
        <v>2.1</v>
      </c>
      <c r="G130" s="45">
        <v>391</v>
      </c>
      <c r="H130" s="22">
        <v>1.9</v>
      </c>
      <c r="I130" s="30">
        <f t="shared" si="2"/>
        <v>1060.8612000000001</v>
      </c>
      <c r="J130" s="6" t="s">
        <v>97</v>
      </c>
      <c r="K130" s="17"/>
    </row>
    <row r="131" spans="1:11" ht="13.95" customHeight="1" x14ac:dyDescent="0.3">
      <c r="A131" s="3">
        <v>45787</v>
      </c>
      <c r="B131" s="3" t="s">
        <v>1635</v>
      </c>
      <c r="C131" s="19" t="s">
        <v>13</v>
      </c>
      <c r="D131" s="19" t="s">
        <v>14</v>
      </c>
      <c r="E131" s="4">
        <v>0.75</v>
      </c>
      <c r="F131" s="42">
        <v>2.4500000000000002</v>
      </c>
      <c r="G131" s="45">
        <v>391</v>
      </c>
      <c r="H131" s="22">
        <v>1.9</v>
      </c>
      <c r="I131" s="30">
        <f t="shared" ref="I131:I194" si="3">(G131*E131)*F131*H131</f>
        <v>1365.0787500000001</v>
      </c>
      <c r="J131" s="6" t="s">
        <v>1337</v>
      </c>
      <c r="K131" s="17"/>
    </row>
    <row r="132" spans="1:11" ht="13.95" customHeight="1" x14ac:dyDescent="0.3">
      <c r="A132" s="3">
        <v>45788</v>
      </c>
      <c r="B132" s="3" t="s">
        <v>1635</v>
      </c>
      <c r="C132" s="19" t="s">
        <v>16</v>
      </c>
      <c r="D132" s="19" t="s">
        <v>14</v>
      </c>
      <c r="E132" s="4">
        <v>0.7</v>
      </c>
      <c r="F132" s="42">
        <v>2.2000000000000002</v>
      </c>
      <c r="G132" s="45">
        <v>391</v>
      </c>
      <c r="H132" s="22">
        <v>1.9</v>
      </c>
      <c r="I132" s="30">
        <f t="shared" si="3"/>
        <v>1144.066</v>
      </c>
      <c r="J132" s="6" t="s">
        <v>149</v>
      </c>
      <c r="K132" s="17"/>
    </row>
    <row r="133" spans="1:11" ht="13.95" customHeight="1" x14ac:dyDescent="0.3">
      <c r="A133" s="3">
        <v>45789</v>
      </c>
      <c r="B133" s="3" t="s">
        <v>1635</v>
      </c>
      <c r="C133" s="19" t="s">
        <v>18</v>
      </c>
      <c r="D133" s="19" t="s">
        <v>1340</v>
      </c>
      <c r="E133" s="4">
        <v>0.62</v>
      </c>
      <c r="F133" s="42">
        <v>1.95</v>
      </c>
      <c r="G133" s="45">
        <v>391</v>
      </c>
      <c r="H133" s="22">
        <v>1.9</v>
      </c>
      <c r="I133" s="30">
        <f t="shared" si="3"/>
        <v>898.1660999999998</v>
      </c>
      <c r="J133" s="6" t="s">
        <v>1521</v>
      </c>
      <c r="K133" s="17"/>
    </row>
    <row r="134" spans="1:11" ht="13.95" customHeight="1" x14ac:dyDescent="0.3">
      <c r="A134" s="3">
        <v>45790</v>
      </c>
      <c r="B134" s="3" t="s">
        <v>1635</v>
      </c>
      <c r="C134" s="19" t="s">
        <v>20</v>
      </c>
      <c r="D134" s="19" t="s">
        <v>1340</v>
      </c>
      <c r="E134" s="4">
        <v>0.6</v>
      </c>
      <c r="F134" s="42">
        <v>1.95</v>
      </c>
      <c r="G134" s="45">
        <v>391</v>
      </c>
      <c r="H134" s="22">
        <v>1.9</v>
      </c>
      <c r="I134" s="30">
        <f t="shared" si="3"/>
        <v>869.19299999999987</v>
      </c>
      <c r="J134" s="6" t="s">
        <v>71</v>
      </c>
      <c r="K134" s="17"/>
    </row>
    <row r="135" spans="1:11" ht="13.95" customHeight="1" x14ac:dyDescent="0.3">
      <c r="A135" s="3">
        <v>45791</v>
      </c>
      <c r="B135" s="3" t="s">
        <v>1635</v>
      </c>
      <c r="C135" s="19" t="s">
        <v>5</v>
      </c>
      <c r="D135" s="19" t="s">
        <v>1340</v>
      </c>
      <c r="E135" s="4">
        <v>0.65</v>
      </c>
      <c r="F135" s="42">
        <v>1.9</v>
      </c>
      <c r="G135" s="45">
        <v>391</v>
      </c>
      <c r="H135" s="22">
        <v>1.9</v>
      </c>
      <c r="I135" s="30">
        <f t="shared" si="3"/>
        <v>917.48149999999998</v>
      </c>
      <c r="J135" s="6" t="s">
        <v>71</v>
      </c>
      <c r="K135" s="17"/>
    </row>
    <row r="136" spans="1:11" ht="13.95" customHeight="1" x14ac:dyDescent="0.3">
      <c r="A136" s="3">
        <v>45792</v>
      </c>
      <c r="B136" s="3" t="s">
        <v>1635</v>
      </c>
      <c r="C136" s="19" t="s">
        <v>8</v>
      </c>
      <c r="D136" s="19" t="s">
        <v>1340</v>
      </c>
      <c r="E136" s="4">
        <v>0.68</v>
      </c>
      <c r="F136" s="42">
        <v>1.95</v>
      </c>
      <c r="G136" s="45">
        <v>391</v>
      </c>
      <c r="H136" s="22">
        <v>1.9</v>
      </c>
      <c r="I136" s="30">
        <f t="shared" si="3"/>
        <v>985.08539999999994</v>
      </c>
      <c r="J136" s="6" t="s">
        <v>1522</v>
      </c>
      <c r="K136" s="17"/>
    </row>
    <row r="137" spans="1:11" ht="13.95" customHeight="1" x14ac:dyDescent="0.3">
      <c r="A137" s="3">
        <v>45793</v>
      </c>
      <c r="B137" s="3" t="s">
        <v>1635</v>
      </c>
      <c r="C137" s="19" t="s">
        <v>11</v>
      </c>
      <c r="D137" s="19" t="s">
        <v>14</v>
      </c>
      <c r="E137" s="4">
        <v>0.75</v>
      </c>
      <c r="F137" s="42">
        <v>2.15</v>
      </c>
      <c r="G137" s="45">
        <v>391</v>
      </c>
      <c r="H137" s="22">
        <v>1.9</v>
      </c>
      <c r="I137" s="30">
        <f t="shared" si="3"/>
        <v>1197.9262499999998</v>
      </c>
      <c r="J137" s="6" t="s">
        <v>97</v>
      </c>
      <c r="K137" s="17"/>
    </row>
    <row r="138" spans="1:11" ht="13.95" customHeight="1" x14ac:dyDescent="0.3">
      <c r="A138" s="3">
        <v>45794</v>
      </c>
      <c r="B138" s="3" t="s">
        <v>1635</v>
      </c>
      <c r="C138" s="19" t="s">
        <v>13</v>
      </c>
      <c r="D138" s="19" t="s">
        <v>14</v>
      </c>
      <c r="E138" s="4">
        <v>0.85</v>
      </c>
      <c r="F138" s="42">
        <v>2.5</v>
      </c>
      <c r="G138" s="45">
        <v>391</v>
      </c>
      <c r="H138" s="22">
        <v>1.9</v>
      </c>
      <c r="I138" s="30">
        <f t="shared" si="3"/>
        <v>1578.6624999999997</v>
      </c>
      <c r="J138" s="6" t="s">
        <v>1523</v>
      </c>
      <c r="K138" s="17"/>
    </row>
    <row r="139" spans="1:11" ht="13.95" customHeight="1" x14ac:dyDescent="0.3">
      <c r="A139" s="3">
        <v>45795</v>
      </c>
      <c r="B139" s="3" t="s">
        <v>1635</v>
      </c>
      <c r="C139" s="19" t="s">
        <v>16</v>
      </c>
      <c r="D139" s="19" t="s">
        <v>14</v>
      </c>
      <c r="E139" s="4">
        <v>0.8</v>
      </c>
      <c r="F139" s="42">
        <v>2.25</v>
      </c>
      <c r="G139" s="45">
        <v>391</v>
      </c>
      <c r="H139" s="22">
        <v>1.9</v>
      </c>
      <c r="I139" s="30">
        <f t="shared" si="3"/>
        <v>1337.22</v>
      </c>
      <c r="J139" s="6" t="s">
        <v>149</v>
      </c>
      <c r="K139" s="17"/>
    </row>
    <row r="140" spans="1:11" ht="13.95" customHeight="1" x14ac:dyDescent="0.3">
      <c r="A140" s="3">
        <v>45796</v>
      </c>
      <c r="B140" s="3" t="s">
        <v>1635</v>
      </c>
      <c r="C140" s="19" t="s">
        <v>18</v>
      </c>
      <c r="D140" s="19" t="s">
        <v>1340</v>
      </c>
      <c r="E140" s="4">
        <v>0.68</v>
      </c>
      <c r="F140" s="42">
        <v>2</v>
      </c>
      <c r="G140" s="45">
        <v>391</v>
      </c>
      <c r="H140" s="22">
        <v>1.9</v>
      </c>
      <c r="I140" s="30">
        <f t="shared" si="3"/>
        <v>1010.3439999999999</v>
      </c>
      <c r="J140" s="6" t="s">
        <v>1524</v>
      </c>
      <c r="K140" s="17"/>
    </row>
    <row r="141" spans="1:11" ht="13.95" customHeight="1" x14ac:dyDescent="0.3">
      <c r="A141" s="3">
        <v>45797</v>
      </c>
      <c r="B141" s="3" t="s">
        <v>1635</v>
      </c>
      <c r="C141" s="19" t="s">
        <v>20</v>
      </c>
      <c r="D141" s="19" t="s">
        <v>1340</v>
      </c>
      <c r="E141" s="4">
        <v>0.7</v>
      </c>
      <c r="F141" s="42">
        <v>2</v>
      </c>
      <c r="G141" s="45">
        <v>391</v>
      </c>
      <c r="H141" s="22">
        <v>1.9</v>
      </c>
      <c r="I141" s="30">
        <f t="shared" si="3"/>
        <v>1040.06</v>
      </c>
      <c r="J141" s="6" t="s">
        <v>1524</v>
      </c>
      <c r="K141" s="17"/>
    </row>
    <row r="142" spans="1:11" ht="13.95" customHeight="1" x14ac:dyDescent="0.3">
      <c r="A142" s="3">
        <v>45798</v>
      </c>
      <c r="B142" s="3" t="s">
        <v>1635</v>
      </c>
      <c r="C142" s="19" t="s">
        <v>5</v>
      </c>
      <c r="D142" s="19" t="s">
        <v>1340</v>
      </c>
      <c r="E142" s="4">
        <v>0.72</v>
      </c>
      <c r="F142" s="42">
        <v>1.95</v>
      </c>
      <c r="G142" s="45">
        <v>391</v>
      </c>
      <c r="H142" s="22">
        <v>1.9</v>
      </c>
      <c r="I142" s="30">
        <f t="shared" si="3"/>
        <v>1043.0315999999998</v>
      </c>
      <c r="J142" s="6" t="s">
        <v>71</v>
      </c>
      <c r="K142" s="17"/>
    </row>
    <row r="143" spans="1:11" ht="13.95" customHeight="1" x14ac:dyDescent="0.3">
      <c r="A143" s="3">
        <v>45799</v>
      </c>
      <c r="B143" s="3" t="s">
        <v>1635</v>
      </c>
      <c r="C143" s="19" t="s">
        <v>8</v>
      </c>
      <c r="D143" s="19" t="s">
        <v>1340</v>
      </c>
      <c r="E143" s="4">
        <v>0.75</v>
      </c>
      <c r="F143" s="42">
        <v>2</v>
      </c>
      <c r="G143" s="45">
        <v>391</v>
      </c>
      <c r="H143" s="22">
        <v>1.9</v>
      </c>
      <c r="I143" s="30">
        <f t="shared" si="3"/>
        <v>1114.3499999999999</v>
      </c>
      <c r="J143" s="6" t="s">
        <v>71</v>
      </c>
      <c r="K143" s="17"/>
    </row>
    <row r="144" spans="1:11" ht="13.95" customHeight="1" x14ac:dyDescent="0.3">
      <c r="A144" s="3">
        <v>45800</v>
      </c>
      <c r="B144" s="3" t="s">
        <v>1635</v>
      </c>
      <c r="C144" s="19" t="s">
        <v>11</v>
      </c>
      <c r="D144" s="19" t="s">
        <v>14</v>
      </c>
      <c r="E144" s="4">
        <v>0.8</v>
      </c>
      <c r="F144" s="42">
        <v>2.2000000000000002</v>
      </c>
      <c r="G144" s="45">
        <v>391</v>
      </c>
      <c r="H144" s="22">
        <v>1.9</v>
      </c>
      <c r="I144" s="30">
        <f t="shared" si="3"/>
        <v>1307.5040000000001</v>
      </c>
      <c r="J144" s="6" t="s">
        <v>97</v>
      </c>
      <c r="K144" s="17"/>
    </row>
    <row r="145" spans="1:11" ht="13.95" customHeight="1" x14ac:dyDescent="0.3">
      <c r="A145" s="3">
        <v>45801</v>
      </c>
      <c r="B145" s="3" t="s">
        <v>1635</v>
      </c>
      <c r="C145" s="19" t="s">
        <v>13</v>
      </c>
      <c r="D145" s="19" t="s">
        <v>14</v>
      </c>
      <c r="E145" s="4">
        <v>0.9</v>
      </c>
      <c r="F145" s="42">
        <v>2.5499999999999998</v>
      </c>
      <c r="G145" s="45">
        <v>391</v>
      </c>
      <c r="H145" s="22">
        <v>1.9</v>
      </c>
      <c r="I145" s="30">
        <f t="shared" si="3"/>
        <v>1704.9555</v>
      </c>
      <c r="J145" s="6" t="s">
        <v>1525</v>
      </c>
      <c r="K145" s="17"/>
    </row>
    <row r="146" spans="1:11" ht="13.95" customHeight="1" x14ac:dyDescent="0.3">
      <c r="A146" s="3">
        <v>45802</v>
      </c>
      <c r="B146" s="3" t="s">
        <v>1635</v>
      </c>
      <c r="C146" s="19" t="s">
        <v>16</v>
      </c>
      <c r="D146" s="19" t="s">
        <v>14</v>
      </c>
      <c r="E146" s="4">
        <v>0.85</v>
      </c>
      <c r="F146" s="42">
        <v>2.2999999999999998</v>
      </c>
      <c r="G146" s="45">
        <v>391</v>
      </c>
      <c r="H146" s="22">
        <v>1.9</v>
      </c>
      <c r="I146" s="30">
        <f t="shared" si="3"/>
        <v>1452.3694999999996</v>
      </c>
      <c r="J146" s="6" t="s">
        <v>139</v>
      </c>
      <c r="K146" s="17"/>
    </row>
    <row r="147" spans="1:11" ht="13.95" customHeight="1" x14ac:dyDescent="0.3">
      <c r="A147" s="3">
        <v>45803</v>
      </c>
      <c r="B147" s="3" t="s">
        <v>1635</v>
      </c>
      <c r="C147" s="19" t="s">
        <v>18</v>
      </c>
      <c r="D147" s="19" t="s">
        <v>1340</v>
      </c>
      <c r="E147" s="4">
        <v>0.75</v>
      </c>
      <c r="F147" s="42">
        <v>2.0499999999999998</v>
      </c>
      <c r="G147" s="45">
        <v>391</v>
      </c>
      <c r="H147" s="22">
        <v>1.9</v>
      </c>
      <c r="I147" s="30">
        <f t="shared" si="3"/>
        <v>1142.2087499999998</v>
      </c>
      <c r="J147" s="6" t="s">
        <v>461</v>
      </c>
      <c r="K147" s="17"/>
    </row>
    <row r="148" spans="1:11" ht="13.95" customHeight="1" x14ac:dyDescent="0.3">
      <c r="A148" s="3">
        <v>45804</v>
      </c>
      <c r="B148" s="3" t="s">
        <v>1635</v>
      </c>
      <c r="C148" s="19" t="s">
        <v>20</v>
      </c>
      <c r="D148" s="19" t="s">
        <v>1340</v>
      </c>
      <c r="E148" s="4">
        <v>0.78</v>
      </c>
      <c r="F148" s="42">
        <v>2.0499999999999998</v>
      </c>
      <c r="G148" s="45">
        <v>391</v>
      </c>
      <c r="H148" s="22">
        <v>1.9</v>
      </c>
      <c r="I148" s="30">
        <f t="shared" si="3"/>
        <v>1187.8970999999999</v>
      </c>
      <c r="J148" s="6" t="s">
        <v>461</v>
      </c>
      <c r="K148" s="17"/>
    </row>
    <row r="149" spans="1:11" ht="13.95" customHeight="1" x14ac:dyDescent="0.3">
      <c r="A149" s="3">
        <v>45805</v>
      </c>
      <c r="B149" s="3" t="s">
        <v>1635</v>
      </c>
      <c r="C149" s="19" t="s">
        <v>5</v>
      </c>
      <c r="D149" s="19" t="s">
        <v>1340</v>
      </c>
      <c r="E149" s="4">
        <v>0.75</v>
      </c>
      <c r="F149" s="42">
        <v>2</v>
      </c>
      <c r="G149" s="45">
        <v>391</v>
      </c>
      <c r="H149" s="22">
        <v>1.9</v>
      </c>
      <c r="I149" s="30">
        <f t="shared" si="3"/>
        <v>1114.3499999999999</v>
      </c>
      <c r="J149" s="6" t="s">
        <v>71</v>
      </c>
      <c r="K149" s="17"/>
    </row>
    <row r="150" spans="1:11" ht="13.95" customHeight="1" x14ac:dyDescent="0.3">
      <c r="A150" s="3">
        <v>45806</v>
      </c>
      <c r="B150" s="3" t="s">
        <v>1635</v>
      </c>
      <c r="C150" s="19" t="s">
        <v>8</v>
      </c>
      <c r="D150" s="19" t="s">
        <v>1340</v>
      </c>
      <c r="E150" s="4">
        <v>0.8</v>
      </c>
      <c r="F150" s="42">
        <v>2.0499999999999998</v>
      </c>
      <c r="G150" s="45">
        <v>391</v>
      </c>
      <c r="H150" s="22">
        <v>1.9</v>
      </c>
      <c r="I150" s="30">
        <f t="shared" si="3"/>
        <v>1218.356</v>
      </c>
      <c r="J150" s="6" t="s">
        <v>71</v>
      </c>
      <c r="K150" s="17"/>
    </row>
    <row r="151" spans="1:11" ht="13.95" customHeight="1" x14ac:dyDescent="0.3">
      <c r="A151" s="3">
        <v>45807</v>
      </c>
      <c r="B151" s="3" t="s">
        <v>1635</v>
      </c>
      <c r="C151" s="19" t="s">
        <v>11</v>
      </c>
      <c r="D151" s="19" t="s">
        <v>44</v>
      </c>
      <c r="E151" s="4">
        <v>0.85</v>
      </c>
      <c r="F151" s="42">
        <v>2.25</v>
      </c>
      <c r="G151" s="45">
        <v>391</v>
      </c>
      <c r="H151" s="22">
        <v>1.9</v>
      </c>
      <c r="I151" s="30">
        <f t="shared" si="3"/>
        <v>1420.7962499999999</v>
      </c>
      <c r="J151" s="6" t="s">
        <v>197</v>
      </c>
      <c r="K151" s="17"/>
    </row>
    <row r="152" spans="1:11" ht="13.95" customHeight="1" x14ac:dyDescent="0.3">
      <c r="A152" s="3">
        <v>45808</v>
      </c>
      <c r="B152" s="3" t="s">
        <v>1635</v>
      </c>
      <c r="C152" s="19" t="s">
        <v>13</v>
      </c>
      <c r="D152" s="19" t="s">
        <v>14</v>
      </c>
      <c r="E152" s="4">
        <v>0.95</v>
      </c>
      <c r="F152" s="42">
        <v>2.65</v>
      </c>
      <c r="G152" s="45">
        <v>391</v>
      </c>
      <c r="H152" s="22">
        <v>1.9</v>
      </c>
      <c r="I152" s="30">
        <f t="shared" si="3"/>
        <v>1870.2507499999999</v>
      </c>
      <c r="J152" s="6" t="s">
        <v>1435</v>
      </c>
      <c r="K152" s="17"/>
    </row>
    <row r="153" spans="1:11" ht="13.95" customHeight="1" x14ac:dyDescent="0.3">
      <c r="A153" s="3">
        <v>45809</v>
      </c>
      <c r="B153" s="3" t="s">
        <v>1635</v>
      </c>
      <c r="C153" s="19" t="s">
        <v>16</v>
      </c>
      <c r="D153" s="19" t="s">
        <v>14</v>
      </c>
      <c r="E153" s="4">
        <v>0.9</v>
      </c>
      <c r="F153" s="42">
        <v>2.25</v>
      </c>
      <c r="G153" s="45">
        <v>391</v>
      </c>
      <c r="H153" s="22">
        <v>1.9</v>
      </c>
      <c r="I153" s="30">
        <f t="shared" si="3"/>
        <v>1504.3725000000002</v>
      </c>
      <c r="J153" s="6" t="s">
        <v>153</v>
      </c>
      <c r="K153" s="17"/>
    </row>
    <row r="154" spans="1:11" ht="13.95" customHeight="1" x14ac:dyDescent="0.3">
      <c r="A154" s="3">
        <v>45810</v>
      </c>
      <c r="B154" s="3" t="s">
        <v>1635</v>
      </c>
      <c r="C154" s="19" t="s">
        <v>18</v>
      </c>
      <c r="D154" s="19" t="s">
        <v>1340</v>
      </c>
      <c r="E154" s="4">
        <v>0.8</v>
      </c>
      <c r="F154" s="42">
        <v>2</v>
      </c>
      <c r="G154" s="45">
        <v>391</v>
      </c>
      <c r="H154" s="22">
        <v>1.9</v>
      </c>
      <c r="I154" s="30">
        <f t="shared" si="3"/>
        <v>1188.6400000000001</v>
      </c>
      <c r="J154" s="6" t="s">
        <v>1331</v>
      </c>
      <c r="K154" s="17"/>
    </row>
    <row r="155" spans="1:11" ht="13.95" customHeight="1" x14ac:dyDescent="0.3">
      <c r="A155" s="3">
        <v>45811</v>
      </c>
      <c r="B155" s="3" t="s">
        <v>1635</v>
      </c>
      <c r="C155" s="19" t="s">
        <v>20</v>
      </c>
      <c r="D155" s="19" t="s">
        <v>1340</v>
      </c>
      <c r="E155" s="4">
        <v>0.82</v>
      </c>
      <c r="F155" s="42">
        <v>2</v>
      </c>
      <c r="G155" s="45">
        <v>391</v>
      </c>
      <c r="H155" s="22">
        <v>1.9</v>
      </c>
      <c r="I155" s="30">
        <f t="shared" si="3"/>
        <v>1218.356</v>
      </c>
      <c r="J155" s="6" t="s">
        <v>1375</v>
      </c>
      <c r="K155" s="17"/>
    </row>
    <row r="156" spans="1:11" ht="13.95" customHeight="1" x14ac:dyDescent="0.3">
      <c r="A156" s="3">
        <v>45812</v>
      </c>
      <c r="B156" s="3" t="s">
        <v>1635</v>
      </c>
      <c r="C156" s="19" t="s">
        <v>5</v>
      </c>
      <c r="D156" s="19" t="s">
        <v>1340</v>
      </c>
      <c r="E156" s="4">
        <v>0.8</v>
      </c>
      <c r="F156" s="42">
        <v>1.95</v>
      </c>
      <c r="G156" s="45">
        <v>391</v>
      </c>
      <c r="H156" s="22">
        <v>1.9</v>
      </c>
      <c r="I156" s="30">
        <f t="shared" si="3"/>
        <v>1158.924</v>
      </c>
      <c r="J156" s="6" t="s">
        <v>71</v>
      </c>
      <c r="K156" s="17"/>
    </row>
    <row r="157" spans="1:11" ht="13.95" customHeight="1" x14ac:dyDescent="0.3">
      <c r="A157" s="3">
        <v>45813</v>
      </c>
      <c r="B157" s="3" t="s">
        <v>1635</v>
      </c>
      <c r="C157" s="19" t="s">
        <v>8</v>
      </c>
      <c r="D157" s="19" t="s">
        <v>1072</v>
      </c>
      <c r="E157" s="4">
        <v>0.85</v>
      </c>
      <c r="F157" s="42">
        <v>2.15</v>
      </c>
      <c r="G157" s="45">
        <v>391</v>
      </c>
      <c r="H157" s="22">
        <v>1.9</v>
      </c>
      <c r="I157" s="30">
        <f t="shared" si="3"/>
        <v>1357.6497499999998</v>
      </c>
      <c r="J157" s="6" t="s">
        <v>1440</v>
      </c>
      <c r="K157" s="17"/>
    </row>
    <row r="158" spans="1:11" ht="13.95" customHeight="1" x14ac:dyDescent="0.3">
      <c r="A158" s="3">
        <v>45814</v>
      </c>
      <c r="B158" s="3" t="s">
        <v>1635</v>
      </c>
      <c r="C158" s="19" t="s">
        <v>11</v>
      </c>
      <c r="D158" s="19" t="s">
        <v>1142</v>
      </c>
      <c r="E158" s="4">
        <v>0.98</v>
      </c>
      <c r="F158" s="42">
        <v>2.65</v>
      </c>
      <c r="G158" s="45">
        <v>391</v>
      </c>
      <c r="H158" s="22">
        <v>1.9</v>
      </c>
      <c r="I158" s="30">
        <f t="shared" si="3"/>
        <v>1929.3112999999998</v>
      </c>
      <c r="J158" s="6" t="s">
        <v>1526</v>
      </c>
      <c r="K158" s="17"/>
    </row>
    <row r="159" spans="1:11" ht="13.95" customHeight="1" x14ac:dyDescent="0.3">
      <c r="A159" s="3">
        <v>45815</v>
      </c>
      <c r="B159" s="3" t="s">
        <v>1635</v>
      </c>
      <c r="C159" s="19" t="s">
        <v>13</v>
      </c>
      <c r="D159" s="19" t="s">
        <v>1142</v>
      </c>
      <c r="E159" s="4">
        <v>1</v>
      </c>
      <c r="F159" s="42">
        <v>2.75</v>
      </c>
      <c r="G159" s="45">
        <v>391</v>
      </c>
      <c r="H159" s="22">
        <v>1.9</v>
      </c>
      <c r="I159" s="30">
        <f t="shared" si="3"/>
        <v>2042.9749999999999</v>
      </c>
      <c r="J159" s="6" t="s">
        <v>1527</v>
      </c>
      <c r="K159" s="17"/>
    </row>
    <row r="160" spans="1:11" ht="13.95" customHeight="1" x14ac:dyDescent="0.3">
      <c r="A160" s="3">
        <v>45816</v>
      </c>
      <c r="B160" s="3" t="s">
        <v>1635</v>
      </c>
      <c r="C160" s="19" t="s">
        <v>16</v>
      </c>
      <c r="D160" s="19" t="s">
        <v>1344</v>
      </c>
      <c r="E160" s="4">
        <v>0.95</v>
      </c>
      <c r="F160" s="42">
        <v>2.4</v>
      </c>
      <c r="G160" s="45">
        <v>391</v>
      </c>
      <c r="H160" s="22">
        <v>1.9</v>
      </c>
      <c r="I160" s="30">
        <f t="shared" si="3"/>
        <v>1693.8119999999997</v>
      </c>
      <c r="J160" s="6" t="s">
        <v>1336</v>
      </c>
      <c r="K160" s="17"/>
    </row>
    <row r="161" spans="1:11" ht="13.95" customHeight="1" x14ac:dyDescent="0.3">
      <c r="A161" s="3">
        <v>45817</v>
      </c>
      <c r="B161" s="3" t="s">
        <v>1635</v>
      </c>
      <c r="C161" s="19" t="s">
        <v>18</v>
      </c>
      <c r="D161" s="19" t="s">
        <v>1340</v>
      </c>
      <c r="E161" s="4">
        <v>0.85</v>
      </c>
      <c r="F161" s="42">
        <v>2.0499999999999998</v>
      </c>
      <c r="G161" s="45">
        <v>391</v>
      </c>
      <c r="H161" s="22">
        <v>1.9</v>
      </c>
      <c r="I161" s="30">
        <f t="shared" si="3"/>
        <v>1294.5032499999998</v>
      </c>
      <c r="J161" s="6" t="s">
        <v>446</v>
      </c>
      <c r="K161" s="17"/>
    </row>
    <row r="162" spans="1:11" ht="13.95" customHeight="1" x14ac:dyDescent="0.3">
      <c r="A162" s="3">
        <v>45818</v>
      </c>
      <c r="B162" s="3" t="s">
        <v>1635</v>
      </c>
      <c r="C162" s="19" t="s">
        <v>20</v>
      </c>
      <c r="D162" s="19" t="s">
        <v>1340</v>
      </c>
      <c r="E162" s="4">
        <v>0.88</v>
      </c>
      <c r="F162" s="42">
        <v>2.0499999999999998</v>
      </c>
      <c r="G162" s="45">
        <v>391</v>
      </c>
      <c r="H162" s="22">
        <v>1.9</v>
      </c>
      <c r="I162" s="30">
        <f t="shared" si="3"/>
        <v>1340.1915999999999</v>
      </c>
      <c r="J162" s="6" t="s">
        <v>446</v>
      </c>
      <c r="K162" s="17"/>
    </row>
    <row r="163" spans="1:11" ht="13.95" customHeight="1" x14ac:dyDescent="0.3">
      <c r="A163" s="3">
        <v>45819</v>
      </c>
      <c r="B163" s="3" t="s">
        <v>1635</v>
      </c>
      <c r="C163" s="19" t="s">
        <v>5</v>
      </c>
      <c r="D163" s="19" t="s">
        <v>1340</v>
      </c>
      <c r="E163" s="4">
        <v>0.85</v>
      </c>
      <c r="F163" s="42">
        <v>2</v>
      </c>
      <c r="G163" s="45">
        <v>391</v>
      </c>
      <c r="H163" s="22">
        <v>1.9</v>
      </c>
      <c r="I163" s="30">
        <f t="shared" si="3"/>
        <v>1262.9299999999998</v>
      </c>
      <c r="J163" s="6" t="s">
        <v>71</v>
      </c>
      <c r="K163" s="17"/>
    </row>
    <row r="164" spans="1:11" ht="13.95" customHeight="1" x14ac:dyDescent="0.3">
      <c r="A164" s="3">
        <v>45820</v>
      </c>
      <c r="B164" s="3" t="s">
        <v>1635</v>
      </c>
      <c r="C164" s="19" t="s">
        <v>8</v>
      </c>
      <c r="D164" s="19" t="s">
        <v>1340</v>
      </c>
      <c r="E164" s="4">
        <v>0.88</v>
      </c>
      <c r="F164" s="42">
        <v>2.1</v>
      </c>
      <c r="G164" s="45">
        <v>391</v>
      </c>
      <c r="H164" s="22">
        <v>1.9</v>
      </c>
      <c r="I164" s="30">
        <f t="shared" si="3"/>
        <v>1372.8791999999999</v>
      </c>
      <c r="J164" s="6" t="s">
        <v>603</v>
      </c>
      <c r="K164" s="17"/>
    </row>
    <row r="165" spans="1:11" ht="13.95" customHeight="1" x14ac:dyDescent="0.3">
      <c r="A165" s="3">
        <v>45821</v>
      </c>
      <c r="B165" s="3" t="s">
        <v>1635</v>
      </c>
      <c r="C165" s="19" t="s">
        <v>11</v>
      </c>
      <c r="D165" s="19" t="s">
        <v>14</v>
      </c>
      <c r="E165" s="4">
        <v>0.92</v>
      </c>
      <c r="F165" s="42">
        <v>2.2999999999999998</v>
      </c>
      <c r="G165" s="45">
        <v>391</v>
      </c>
      <c r="H165" s="22">
        <v>1.9</v>
      </c>
      <c r="I165" s="30">
        <f t="shared" si="3"/>
        <v>1571.9764</v>
      </c>
      <c r="J165" s="6" t="s">
        <v>67</v>
      </c>
      <c r="K165" s="17"/>
    </row>
    <row r="166" spans="1:11" ht="13.95" customHeight="1" x14ac:dyDescent="0.3">
      <c r="A166" s="3">
        <v>45822</v>
      </c>
      <c r="B166" s="3" t="s">
        <v>1635</v>
      </c>
      <c r="C166" s="19" t="s">
        <v>13</v>
      </c>
      <c r="D166" s="19" t="s">
        <v>14</v>
      </c>
      <c r="E166" s="4">
        <v>0.98</v>
      </c>
      <c r="F166" s="42">
        <v>2.6</v>
      </c>
      <c r="G166" s="45">
        <v>391</v>
      </c>
      <c r="H166" s="22">
        <v>1.9</v>
      </c>
      <c r="I166" s="30">
        <f t="shared" si="3"/>
        <v>1892.9092000000001</v>
      </c>
      <c r="J166" s="6" t="s">
        <v>1364</v>
      </c>
      <c r="K166" s="17"/>
    </row>
    <row r="167" spans="1:11" ht="13.95" customHeight="1" x14ac:dyDescent="0.3">
      <c r="A167" s="3">
        <v>45823</v>
      </c>
      <c r="B167" s="3" t="s">
        <v>1635</v>
      </c>
      <c r="C167" s="19" t="s">
        <v>16</v>
      </c>
      <c r="D167" s="19" t="s">
        <v>14</v>
      </c>
      <c r="E167" s="4">
        <v>0.95</v>
      </c>
      <c r="F167" s="42">
        <v>2.4</v>
      </c>
      <c r="G167" s="45">
        <v>391</v>
      </c>
      <c r="H167" s="22">
        <v>1.9</v>
      </c>
      <c r="I167" s="30">
        <f t="shared" si="3"/>
        <v>1693.8119999999997</v>
      </c>
      <c r="J167" s="6" t="s">
        <v>1528</v>
      </c>
      <c r="K167" s="17"/>
    </row>
    <row r="168" spans="1:11" ht="13.95" customHeight="1" x14ac:dyDescent="0.3">
      <c r="A168" s="3">
        <v>45824</v>
      </c>
      <c r="B168" s="3" t="s">
        <v>1635</v>
      </c>
      <c r="C168" s="19" t="s">
        <v>18</v>
      </c>
      <c r="D168" s="19" t="s">
        <v>1347</v>
      </c>
      <c r="E168" s="4">
        <v>0.9</v>
      </c>
      <c r="F168" s="42">
        <v>2.1</v>
      </c>
      <c r="G168" s="45">
        <v>391</v>
      </c>
      <c r="H168" s="22">
        <v>1.9</v>
      </c>
      <c r="I168" s="30">
        <f t="shared" si="3"/>
        <v>1404.0810000000001</v>
      </c>
      <c r="J168" s="6" t="s">
        <v>476</v>
      </c>
      <c r="K168" s="17"/>
    </row>
    <row r="169" spans="1:11" ht="13.95" customHeight="1" x14ac:dyDescent="0.3">
      <c r="A169" s="3">
        <v>45825</v>
      </c>
      <c r="B169" s="3" t="s">
        <v>1635</v>
      </c>
      <c r="C169" s="19" t="s">
        <v>20</v>
      </c>
      <c r="D169" s="19" t="s">
        <v>1347</v>
      </c>
      <c r="E169" s="4">
        <v>0.92</v>
      </c>
      <c r="F169" s="42">
        <v>2.1</v>
      </c>
      <c r="G169" s="45">
        <v>391</v>
      </c>
      <c r="H169" s="22">
        <v>1.9</v>
      </c>
      <c r="I169" s="30">
        <f t="shared" si="3"/>
        <v>1435.2828</v>
      </c>
      <c r="J169" s="6" t="s">
        <v>476</v>
      </c>
      <c r="K169" s="17"/>
    </row>
    <row r="170" spans="1:11" ht="13.95" customHeight="1" x14ac:dyDescent="0.3">
      <c r="A170" s="3">
        <v>45826</v>
      </c>
      <c r="B170" s="3" t="s">
        <v>1635</v>
      </c>
      <c r="C170" s="19" t="s">
        <v>5</v>
      </c>
      <c r="D170" s="19" t="s">
        <v>1347</v>
      </c>
      <c r="E170" s="4">
        <v>0.9</v>
      </c>
      <c r="F170" s="42">
        <v>2.0499999999999998</v>
      </c>
      <c r="G170" s="45">
        <v>391</v>
      </c>
      <c r="H170" s="22">
        <v>1.9</v>
      </c>
      <c r="I170" s="30">
        <f t="shared" si="3"/>
        <v>1370.6505</v>
      </c>
      <c r="J170" s="6" t="s">
        <v>71</v>
      </c>
      <c r="K170" s="17"/>
    </row>
    <row r="171" spans="1:11" ht="13.95" customHeight="1" x14ac:dyDescent="0.3">
      <c r="A171" s="3">
        <v>45827</v>
      </c>
      <c r="B171" s="3" t="s">
        <v>1635</v>
      </c>
      <c r="C171" s="19" t="s">
        <v>8</v>
      </c>
      <c r="D171" s="19" t="s">
        <v>1347</v>
      </c>
      <c r="E171" s="4">
        <v>0.92</v>
      </c>
      <c r="F171" s="42">
        <v>2.1</v>
      </c>
      <c r="G171" s="45">
        <v>391</v>
      </c>
      <c r="H171" s="22">
        <v>1.9</v>
      </c>
      <c r="I171" s="30">
        <f t="shared" si="3"/>
        <v>1435.2828</v>
      </c>
      <c r="J171" s="6" t="s">
        <v>71</v>
      </c>
      <c r="K171" s="17"/>
    </row>
    <row r="172" spans="1:11" ht="13.95" customHeight="1" x14ac:dyDescent="0.3">
      <c r="A172" s="3">
        <v>45828</v>
      </c>
      <c r="B172" s="3" t="s">
        <v>1635</v>
      </c>
      <c r="C172" s="19" t="s">
        <v>11</v>
      </c>
      <c r="D172" s="19" t="s">
        <v>14</v>
      </c>
      <c r="E172" s="4">
        <v>0.95</v>
      </c>
      <c r="F172" s="42">
        <v>2.35</v>
      </c>
      <c r="G172" s="45">
        <v>391</v>
      </c>
      <c r="H172" s="22">
        <v>1.9</v>
      </c>
      <c r="I172" s="30">
        <f t="shared" si="3"/>
        <v>1658.5242499999999</v>
      </c>
      <c r="J172" s="6" t="s">
        <v>97</v>
      </c>
      <c r="K172" s="17"/>
    </row>
    <row r="173" spans="1:11" ht="13.95" customHeight="1" x14ac:dyDescent="0.3">
      <c r="A173" s="3">
        <v>45829</v>
      </c>
      <c r="B173" s="3" t="s">
        <v>1635</v>
      </c>
      <c r="C173" s="19" t="s">
        <v>13</v>
      </c>
      <c r="D173" s="19" t="s">
        <v>14</v>
      </c>
      <c r="E173" s="4">
        <v>1</v>
      </c>
      <c r="F173" s="42">
        <v>2.7</v>
      </c>
      <c r="G173" s="45">
        <v>391</v>
      </c>
      <c r="H173" s="22">
        <v>1.9</v>
      </c>
      <c r="I173" s="30">
        <f t="shared" si="3"/>
        <v>2005.83</v>
      </c>
      <c r="J173" s="6" t="s">
        <v>1450</v>
      </c>
      <c r="K173" s="17"/>
    </row>
    <row r="174" spans="1:11" ht="13.95" customHeight="1" x14ac:dyDescent="0.3">
      <c r="A174" s="3">
        <v>45830</v>
      </c>
      <c r="B174" s="3" t="s">
        <v>1635</v>
      </c>
      <c r="C174" s="19" t="s">
        <v>16</v>
      </c>
      <c r="D174" s="19" t="s">
        <v>14</v>
      </c>
      <c r="E174" s="4">
        <v>0.98</v>
      </c>
      <c r="F174" s="42">
        <v>2.5</v>
      </c>
      <c r="G174" s="45">
        <v>391</v>
      </c>
      <c r="H174" s="22">
        <v>1.9</v>
      </c>
      <c r="I174" s="30">
        <f t="shared" si="3"/>
        <v>1820.105</v>
      </c>
      <c r="J174" s="6" t="s">
        <v>149</v>
      </c>
      <c r="K174" s="17"/>
    </row>
    <row r="175" spans="1:11" ht="13.95" customHeight="1" x14ac:dyDescent="0.3">
      <c r="A175" s="3">
        <v>45831</v>
      </c>
      <c r="B175" s="3" t="s">
        <v>1635</v>
      </c>
      <c r="C175" s="19" t="s">
        <v>18</v>
      </c>
      <c r="D175" s="19" t="s">
        <v>1347</v>
      </c>
      <c r="E175" s="4">
        <v>0.95</v>
      </c>
      <c r="F175" s="42">
        <v>2.2000000000000002</v>
      </c>
      <c r="G175" s="45">
        <v>391</v>
      </c>
      <c r="H175" s="22">
        <v>1.9</v>
      </c>
      <c r="I175" s="30">
        <f t="shared" si="3"/>
        <v>1552.6610000000001</v>
      </c>
      <c r="J175" s="6" t="s">
        <v>1348</v>
      </c>
      <c r="K175" s="17"/>
    </row>
    <row r="176" spans="1:11" ht="13.95" customHeight="1" x14ac:dyDescent="0.3">
      <c r="A176" s="3">
        <v>45832</v>
      </c>
      <c r="B176" s="3" t="s">
        <v>1635</v>
      </c>
      <c r="C176" s="19" t="s">
        <v>20</v>
      </c>
      <c r="D176" s="19" t="s">
        <v>1347</v>
      </c>
      <c r="E176" s="4">
        <v>0.98</v>
      </c>
      <c r="F176" s="42">
        <v>2.2000000000000002</v>
      </c>
      <c r="G176" s="45">
        <v>391</v>
      </c>
      <c r="H176" s="22">
        <v>1.9</v>
      </c>
      <c r="I176" s="30">
        <f t="shared" si="3"/>
        <v>1601.6924000000001</v>
      </c>
      <c r="J176" s="6" t="s">
        <v>1348</v>
      </c>
      <c r="K176" s="17"/>
    </row>
    <row r="177" spans="1:11" ht="13.95" customHeight="1" x14ac:dyDescent="0.3">
      <c r="A177" s="3">
        <v>45833</v>
      </c>
      <c r="B177" s="3" t="s">
        <v>1635</v>
      </c>
      <c r="C177" s="19" t="s">
        <v>5</v>
      </c>
      <c r="D177" s="19" t="s">
        <v>1347</v>
      </c>
      <c r="E177" s="4">
        <v>0.95</v>
      </c>
      <c r="F177" s="42">
        <v>2.15</v>
      </c>
      <c r="G177" s="45">
        <v>391</v>
      </c>
      <c r="H177" s="22">
        <v>1.9</v>
      </c>
      <c r="I177" s="30">
        <f t="shared" si="3"/>
        <v>1517.3732499999999</v>
      </c>
      <c r="J177" s="6" t="s">
        <v>71</v>
      </c>
      <c r="K177" s="17"/>
    </row>
    <row r="178" spans="1:11" ht="13.95" customHeight="1" x14ac:dyDescent="0.3">
      <c r="A178" s="3">
        <v>45834</v>
      </c>
      <c r="B178" s="3" t="s">
        <v>1635</v>
      </c>
      <c r="C178" s="19" t="s">
        <v>8</v>
      </c>
      <c r="D178" s="19" t="s">
        <v>1347</v>
      </c>
      <c r="E178" s="4">
        <v>0.98</v>
      </c>
      <c r="F178" s="42">
        <v>2.2000000000000002</v>
      </c>
      <c r="G178" s="45">
        <v>391</v>
      </c>
      <c r="H178" s="22">
        <v>1.9</v>
      </c>
      <c r="I178" s="30">
        <f t="shared" si="3"/>
        <v>1601.6924000000001</v>
      </c>
      <c r="J178" s="6" t="s">
        <v>71</v>
      </c>
      <c r="K178" s="17"/>
    </row>
    <row r="179" spans="1:11" ht="13.95" customHeight="1" x14ac:dyDescent="0.3">
      <c r="A179" s="3">
        <v>45835</v>
      </c>
      <c r="B179" s="3" t="s">
        <v>1635</v>
      </c>
      <c r="C179" s="19" t="s">
        <v>11</v>
      </c>
      <c r="D179" s="19" t="s">
        <v>44</v>
      </c>
      <c r="E179" s="4">
        <v>1</v>
      </c>
      <c r="F179" s="42">
        <v>2.4500000000000002</v>
      </c>
      <c r="G179" s="45">
        <v>391</v>
      </c>
      <c r="H179" s="22">
        <v>1.9</v>
      </c>
      <c r="I179" s="30">
        <f t="shared" si="3"/>
        <v>1820.105</v>
      </c>
      <c r="J179" s="6" t="s">
        <v>1529</v>
      </c>
      <c r="K179" s="17"/>
    </row>
    <row r="180" spans="1:11" ht="13.95" customHeight="1" x14ac:dyDescent="0.3">
      <c r="A180" s="3">
        <v>45836</v>
      </c>
      <c r="B180" s="3" t="s">
        <v>1635</v>
      </c>
      <c r="C180" s="19" t="s">
        <v>13</v>
      </c>
      <c r="D180" s="19" t="s">
        <v>995</v>
      </c>
      <c r="E180" s="4">
        <v>1</v>
      </c>
      <c r="F180" s="42">
        <v>2.8</v>
      </c>
      <c r="G180" s="45">
        <v>391</v>
      </c>
      <c r="H180" s="22">
        <v>1.9</v>
      </c>
      <c r="I180" s="30">
        <f t="shared" si="3"/>
        <v>2080.12</v>
      </c>
      <c r="J180" s="6" t="s">
        <v>1435</v>
      </c>
      <c r="K180" s="17"/>
    </row>
    <row r="181" spans="1:11" ht="13.95" customHeight="1" x14ac:dyDescent="0.3">
      <c r="A181" s="3">
        <v>45837</v>
      </c>
      <c r="B181" s="3" t="s">
        <v>1635</v>
      </c>
      <c r="C181" s="19" t="s">
        <v>16</v>
      </c>
      <c r="D181" s="19" t="s">
        <v>14</v>
      </c>
      <c r="E181" s="4">
        <v>1</v>
      </c>
      <c r="F181" s="42">
        <v>2.6</v>
      </c>
      <c r="G181" s="45">
        <v>391</v>
      </c>
      <c r="H181" s="22">
        <v>1.9</v>
      </c>
      <c r="I181" s="30">
        <f t="shared" si="3"/>
        <v>1931.54</v>
      </c>
      <c r="J181" s="6" t="s">
        <v>1336</v>
      </c>
      <c r="K181" s="17"/>
    </row>
    <row r="182" spans="1:11" ht="13.95" customHeight="1" x14ac:dyDescent="0.3">
      <c r="A182" s="3">
        <v>45838</v>
      </c>
      <c r="B182" s="3" t="s">
        <v>1635</v>
      </c>
      <c r="C182" s="19" t="s">
        <v>18</v>
      </c>
      <c r="D182" s="19" t="s">
        <v>1347</v>
      </c>
      <c r="E182" s="4">
        <v>0.98</v>
      </c>
      <c r="F182" s="42">
        <v>2.2999999999999998</v>
      </c>
      <c r="G182" s="45">
        <v>391</v>
      </c>
      <c r="H182" s="22">
        <v>1.9</v>
      </c>
      <c r="I182" s="30">
        <f t="shared" si="3"/>
        <v>1674.4965999999999</v>
      </c>
      <c r="J182" s="6" t="s">
        <v>1149</v>
      </c>
      <c r="K182" s="17"/>
    </row>
    <row r="183" spans="1:11" ht="13.95" customHeight="1" x14ac:dyDescent="0.3">
      <c r="A183" s="3">
        <v>45839</v>
      </c>
      <c r="B183" s="3" t="s">
        <v>1635</v>
      </c>
      <c r="C183" s="19" t="s">
        <v>20</v>
      </c>
      <c r="D183" s="19" t="s">
        <v>1347</v>
      </c>
      <c r="E183" s="4">
        <v>0.98</v>
      </c>
      <c r="F183" s="42">
        <v>2.25</v>
      </c>
      <c r="G183" s="45">
        <v>391</v>
      </c>
      <c r="H183" s="22">
        <v>1.9</v>
      </c>
      <c r="I183" s="30">
        <f t="shared" si="3"/>
        <v>1638.0944999999999</v>
      </c>
      <c r="J183" s="6" t="s">
        <v>1350</v>
      </c>
      <c r="K183" s="17"/>
    </row>
    <row r="184" spans="1:11" ht="13.95" customHeight="1" x14ac:dyDescent="0.3">
      <c r="A184" s="3">
        <v>45840</v>
      </c>
      <c r="B184" s="3" t="s">
        <v>1635</v>
      </c>
      <c r="C184" s="19" t="s">
        <v>5</v>
      </c>
      <c r="D184" s="19" t="s">
        <v>1347</v>
      </c>
      <c r="E184" s="4">
        <v>0.98</v>
      </c>
      <c r="F184" s="42">
        <v>2.2000000000000002</v>
      </c>
      <c r="G184" s="45">
        <v>391</v>
      </c>
      <c r="H184" s="22">
        <v>1.9</v>
      </c>
      <c r="I184" s="30">
        <f t="shared" si="3"/>
        <v>1601.6924000000001</v>
      </c>
      <c r="J184" s="6" t="s">
        <v>1350</v>
      </c>
      <c r="K184" s="17"/>
    </row>
    <row r="185" spans="1:11" ht="13.95" customHeight="1" x14ac:dyDescent="0.3">
      <c r="A185" s="3">
        <v>45841</v>
      </c>
      <c r="B185" s="3" t="s">
        <v>1635</v>
      </c>
      <c r="C185" s="19" t="s">
        <v>8</v>
      </c>
      <c r="D185" s="19" t="s">
        <v>1347</v>
      </c>
      <c r="E185" s="4">
        <v>1</v>
      </c>
      <c r="F185" s="42">
        <v>2.25</v>
      </c>
      <c r="G185" s="45">
        <v>391</v>
      </c>
      <c r="H185" s="22">
        <v>1.9</v>
      </c>
      <c r="I185" s="30">
        <f t="shared" si="3"/>
        <v>1671.5249999999999</v>
      </c>
      <c r="J185" s="6" t="s">
        <v>531</v>
      </c>
      <c r="K185" s="17"/>
    </row>
    <row r="186" spans="1:11" ht="13.95" customHeight="1" x14ac:dyDescent="0.3">
      <c r="A186" s="3">
        <v>45842</v>
      </c>
      <c r="B186" s="3" t="s">
        <v>1635</v>
      </c>
      <c r="C186" s="19" t="s">
        <v>11</v>
      </c>
      <c r="D186" s="19" t="s">
        <v>829</v>
      </c>
      <c r="E186" s="4">
        <v>1</v>
      </c>
      <c r="F186" s="42">
        <v>2.4500000000000002</v>
      </c>
      <c r="G186" s="45">
        <v>391</v>
      </c>
      <c r="H186" s="22">
        <v>1.9</v>
      </c>
      <c r="I186" s="30">
        <f t="shared" si="3"/>
        <v>1820.105</v>
      </c>
      <c r="J186" s="6" t="s">
        <v>1530</v>
      </c>
      <c r="K186" s="17"/>
    </row>
    <row r="187" spans="1:11" ht="13.95" customHeight="1" x14ac:dyDescent="0.3">
      <c r="A187" s="3">
        <v>45843</v>
      </c>
      <c r="B187" s="3" t="s">
        <v>1635</v>
      </c>
      <c r="C187" s="19" t="s">
        <v>13</v>
      </c>
      <c r="D187" s="19" t="s">
        <v>829</v>
      </c>
      <c r="E187" s="4">
        <v>1</v>
      </c>
      <c r="F187" s="42">
        <v>2.75</v>
      </c>
      <c r="G187" s="45">
        <v>391</v>
      </c>
      <c r="H187" s="22">
        <v>1.9</v>
      </c>
      <c r="I187" s="30">
        <f t="shared" si="3"/>
        <v>2042.9749999999999</v>
      </c>
      <c r="J187" s="6" t="s">
        <v>1531</v>
      </c>
      <c r="K187" s="17"/>
    </row>
    <row r="188" spans="1:11" ht="13.95" customHeight="1" x14ac:dyDescent="0.3">
      <c r="A188" s="3">
        <v>45844</v>
      </c>
      <c r="B188" s="3" t="s">
        <v>1635</v>
      </c>
      <c r="C188" s="19" t="s">
        <v>16</v>
      </c>
      <c r="D188" s="19" t="s">
        <v>829</v>
      </c>
      <c r="E188" s="4">
        <v>1</v>
      </c>
      <c r="F188" s="42">
        <v>2.5499999999999998</v>
      </c>
      <c r="G188" s="45">
        <v>391</v>
      </c>
      <c r="H188" s="22">
        <v>1.9</v>
      </c>
      <c r="I188" s="30">
        <f t="shared" si="3"/>
        <v>1894.3949999999998</v>
      </c>
      <c r="J188" s="6" t="s">
        <v>139</v>
      </c>
      <c r="K188" s="17"/>
    </row>
    <row r="189" spans="1:11" ht="13.95" customHeight="1" x14ac:dyDescent="0.3">
      <c r="A189" s="3">
        <v>45845</v>
      </c>
      <c r="B189" s="3" t="s">
        <v>1635</v>
      </c>
      <c r="C189" s="19" t="s">
        <v>18</v>
      </c>
      <c r="D189" s="19" t="s">
        <v>1347</v>
      </c>
      <c r="E189" s="4">
        <v>1</v>
      </c>
      <c r="F189" s="42">
        <v>2.25</v>
      </c>
      <c r="G189" s="45">
        <v>391</v>
      </c>
      <c r="H189" s="22">
        <v>1.9</v>
      </c>
      <c r="I189" s="30">
        <f t="shared" si="3"/>
        <v>1671.5249999999999</v>
      </c>
      <c r="J189" s="6" t="s">
        <v>446</v>
      </c>
      <c r="K189" s="17"/>
    </row>
    <row r="190" spans="1:11" ht="13.95" customHeight="1" x14ac:dyDescent="0.3">
      <c r="A190" s="3">
        <v>45846</v>
      </c>
      <c r="B190" s="3" t="s">
        <v>1635</v>
      </c>
      <c r="C190" s="19" t="s">
        <v>20</v>
      </c>
      <c r="D190" s="19" t="s">
        <v>1347</v>
      </c>
      <c r="E190" s="4">
        <v>1</v>
      </c>
      <c r="F190" s="42">
        <v>2.2000000000000002</v>
      </c>
      <c r="G190" s="45">
        <v>391</v>
      </c>
      <c r="H190" s="22">
        <v>1.9</v>
      </c>
      <c r="I190" s="30">
        <f t="shared" si="3"/>
        <v>1634.38</v>
      </c>
      <c r="J190" s="6" t="s">
        <v>446</v>
      </c>
      <c r="K190" s="17"/>
    </row>
    <row r="191" spans="1:11" ht="13.95" customHeight="1" x14ac:dyDescent="0.3">
      <c r="A191" s="3">
        <v>45847</v>
      </c>
      <c r="B191" s="3" t="s">
        <v>1635</v>
      </c>
      <c r="C191" s="19" t="s">
        <v>5</v>
      </c>
      <c r="D191" s="19" t="s">
        <v>1347</v>
      </c>
      <c r="E191" s="4">
        <v>0.98</v>
      </c>
      <c r="F191" s="42">
        <v>2.2000000000000002</v>
      </c>
      <c r="G191" s="45">
        <v>391</v>
      </c>
      <c r="H191" s="22">
        <v>1.9</v>
      </c>
      <c r="I191" s="30">
        <f t="shared" si="3"/>
        <v>1601.6924000000001</v>
      </c>
      <c r="J191" s="6" t="s">
        <v>1532</v>
      </c>
      <c r="K191" s="17"/>
    </row>
    <row r="192" spans="1:11" ht="13.95" customHeight="1" x14ac:dyDescent="0.3">
      <c r="A192" s="3">
        <v>45848</v>
      </c>
      <c r="B192" s="3" t="s">
        <v>1635</v>
      </c>
      <c r="C192" s="19" t="s">
        <v>8</v>
      </c>
      <c r="D192" s="19" t="s">
        <v>1347</v>
      </c>
      <c r="E192" s="4">
        <v>1</v>
      </c>
      <c r="F192" s="42">
        <v>2.2999999999999998</v>
      </c>
      <c r="G192" s="45">
        <v>391</v>
      </c>
      <c r="H192" s="22">
        <v>1.9</v>
      </c>
      <c r="I192" s="30">
        <f t="shared" si="3"/>
        <v>1708.6699999999998</v>
      </c>
      <c r="J192" s="6" t="s">
        <v>1283</v>
      </c>
      <c r="K192" s="17"/>
    </row>
    <row r="193" spans="1:11" ht="13.95" customHeight="1" x14ac:dyDescent="0.3">
      <c r="A193" s="3">
        <v>45849</v>
      </c>
      <c r="B193" s="3" t="s">
        <v>1635</v>
      </c>
      <c r="C193" s="19" t="s">
        <v>11</v>
      </c>
      <c r="D193" s="19" t="s">
        <v>829</v>
      </c>
      <c r="E193" s="4">
        <v>1</v>
      </c>
      <c r="F193" s="42">
        <v>2.5499999999999998</v>
      </c>
      <c r="G193" s="45">
        <v>391</v>
      </c>
      <c r="H193" s="22">
        <v>1.9</v>
      </c>
      <c r="I193" s="30">
        <f t="shared" si="3"/>
        <v>1894.3949999999998</v>
      </c>
      <c r="J193" s="6" t="s">
        <v>97</v>
      </c>
      <c r="K193" s="17"/>
    </row>
    <row r="194" spans="1:11" ht="13.95" customHeight="1" x14ac:dyDescent="0.3">
      <c r="A194" s="3">
        <v>45850</v>
      </c>
      <c r="B194" s="3" t="s">
        <v>1635</v>
      </c>
      <c r="C194" s="19" t="s">
        <v>13</v>
      </c>
      <c r="D194" s="19" t="s">
        <v>829</v>
      </c>
      <c r="E194" s="4">
        <v>1</v>
      </c>
      <c r="F194" s="42">
        <v>2.85</v>
      </c>
      <c r="G194" s="45">
        <v>391</v>
      </c>
      <c r="H194" s="22">
        <v>1.9</v>
      </c>
      <c r="I194" s="30">
        <f t="shared" si="3"/>
        <v>2117.2650000000003</v>
      </c>
      <c r="J194" s="6" t="s">
        <v>1533</v>
      </c>
      <c r="K194" s="17"/>
    </row>
    <row r="195" spans="1:11" ht="13.95" customHeight="1" x14ac:dyDescent="0.3">
      <c r="A195" s="3">
        <v>45851</v>
      </c>
      <c r="B195" s="3" t="s">
        <v>1635</v>
      </c>
      <c r="C195" s="19" t="s">
        <v>16</v>
      </c>
      <c r="D195" s="19" t="s">
        <v>829</v>
      </c>
      <c r="E195" s="4">
        <v>1</v>
      </c>
      <c r="F195" s="42">
        <v>2.6</v>
      </c>
      <c r="G195" s="45">
        <v>391</v>
      </c>
      <c r="H195" s="22">
        <v>1.9</v>
      </c>
      <c r="I195" s="30">
        <f t="shared" ref="I195:I258" si="4">(G195*E195)*F195*H195</f>
        <v>1931.54</v>
      </c>
      <c r="J195" s="6" t="s">
        <v>149</v>
      </c>
      <c r="K195" s="17"/>
    </row>
    <row r="196" spans="1:11" ht="13.95" customHeight="1" x14ac:dyDescent="0.3">
      <c r="A196" s="3">
        <v>45852</v>
      </c>
      <c r="B196" s="3" t="s">
        <v>1635</v>
      </c>
      <c r="C196" s="19" t="s">
        <v>18</v>
      </c>
      <c r="D196" s="19" t="s">
        <v>1447</v>
      </c>
      <c r="E196" s="4">
        <v>1</v>
      </c>
      <c r="F196" s="42">
        <v>2.4</v>
      </c>
      <c r="G196" s="45">
        <v>391</v>
      </c>
      <c r="H196" s="22">
        <v>1.9</v>
      </c>
      <c r="I196" s="30">
        <f t="shared" si="4"/>
        <v>1782.9599999999998</v>
      </c>
      <c r="J196" s="6" t="s">
        <v>1534</v>
      </c>
      <c r="K196" s="17"/>
    </row>
    <row r="197" spans="1:11" ht="13.95" customHeight="1" x14ac:dyDescent="0.3">
      <c r="A197" s="3">
        <v>45853</v>
      </c>
      <c r="B197" s="3" t="s">
        <v>1635</v>
      </c>
      <c r="C197" s="19" t="s">
        <v>20</v>
      </c>
      <c r="D197" s="19" t="s">
        <v>1347</v>
      </c>
      <c r="E197" s="4">
        <v>1</v>
      </c>
      <c r="F197" s="42">
        <v>2.25</v>
      </c>
      <c r="G197" s="45">
        <v>391</v>
      </c>
      <c r="H197" s="22">
        <v>1.9</v>
      </c>
      <c r="I197" s="30">
        <f t="shared" si="4"/>
        <v>1671.5249999999999</v>
      </c>
      <c r="J197" s="6" t="s">
        <v>603</v>
      </c>
      <c r="K197" s="17"/>
    </row>
    <row r="198" spans="1:11" ht="13.95" customHeight="1" x14ac:dyDescent="0.3">
      <c r="A198" s="3">
        <v>45854</v>
      </c>
      <c r="B198" s="3" t="s">
        <v>1635</v>
      </c>
      <c r="C198" s="19" t="s">
        <v>5</v>
      </c>
      <c r="D198" s="19" t="s">
        <v>1347</v>
      </c>
      <c r="E198" s="4">
        <v>0.98</v>
      </c>
      <c r="F198" s="42">
        <v>2.2000000000000002</v>
      </c>
      <c r="G198" s="45">
        <v>391</v>
      </c>
      <c r="H198" s="22">
        <v>1.9</v>
      </c>
      <c r="I198" s="30">
        <f t="shared" si="4"/>
        <v>1601.6924000000001</v>
      </c>
      <c r="J198" s="6" t="s">
        <v>603</v>
      </c>
      <c r="K198" s="17"/>
    </row>
    <row r="199" spans="1:11" ht="13.95" customHeight="1" x14ac:dyDescent="0.3">
      <c r="A199" s="3">
        <v>45855</v>
      </c>
      <c r="B199" s="3" t="s">
        <v>1635</v>
      </c>
      <c r="C199" s="19" t="s">
        <v>8</v>
      </c>
      <c r="D199" s="19" t="s">
        <v>1347</v>
      </c>
      <c r="E199" s="4">
        <v>1</v>
      </c>
      <c r="F199" s="42">
        <v>2.2999999999999998</v>
      </c>
      <c r="G199" s="45">
        <v>391</v>
      </c>
      <c r="H199" s="22">
        <v>1.9</v>
      </c>
      <c r="I199" s="30">
        <f t="shared" si="4"/>
        <v>1708.6699999999998</v>
      </c>
      <c r="J199" s="6" t="s">
        <v>603</v>
      </c>
      <c r="K199" s="17"/>
    </row>
    <row r="200" spans="1:11" ht="13.95" customHeight="1" x14ac:dyDescent="0.3">
      <c r="A200" s="3">
        <v>45856</v>
      </c>
      <c r="B200" s="3" t="s">
        <v>1635</v>
      </c>
      <c r="C200" s="19" t="s">
        <v>11</v>
      </c>
      <c r="D200" s="19" t="s">
        <v>829</v>
      </c>
      <c r="E200" s="4">
        <v>1</v>
      </c>
      <c r="F200" s="42">
        <v>2.6</v>
      </c>
      <c r="G200" s="45">
        <v>391</v>
      </c>
      <c r="H200" s="22">
        <v>1.9</v>
      </c>
      <c r="I200" s="30">
        <f t="shared" si="4"/>
        <v>1931.54</v>
      </c>
      <c r="J200" s="6" t="s">
        <v>97</v>
      </c>
      <c r="K200" s="17"/>
    </row>
    <row r="201" spans="1:11" ht="13.95" customHeight="1" x14ac:dyDescent="0.3">
      <c r="A201" s="3">
        <v>45857</v>
      </c>
      <c r="B201" s="3" t="s">
        <v>1635</v>
      </c>
      <c r="C201" s="19" t="s">
        <v>13</v>
      </c>
      <c r="D201" s="19" t="s">
        <v>829</v>
      </c>
      <c r="E201" s="4">
        <v>1</v>
      </c>
      <c r="F201" s="42">
        <v>2.8</v>
      </c>
      <c r="G201" s="45">
        <v>391</v>
      </c>
      <c r="H201" s="22">
        <v>1.9</v>
      </c>
      <c r="I201" s="30">
        <f t="shared" si="4"/>
        <v>2080.12</v>
      </c>
      <c r="J201" s="6" t="s">
        <v>1535</v>
      </c>
      <c r="K201" s="17"/>
    </row>
    <row r="202" spans="1:11" ht="13.95" customHeight="1" x14ac:dyDescent="0.3">
      <c r="A202" s="3">
        <v>45858</v>
      </c>
      <c r="B202" s="3" t="s">
        <v>1635</v>
      </c>
      <c r="C202" s="19" t="s">
        <v>16</v>
      </c>
      <c r="D202" s="19" t="s">
        <v>829</v>
      </c>
      <c r="E202" s="4">
        <v>1</v>
      </c>
      <c r="F202" s="42">
        <v>2.6</v>
      </c>
      <c r="G202" s="45">
        <v>391</v>
      </c>
      <c r="H202" s="22">
        <v>1.9</v>
      </c>
      <c r="I202" s="30">
        <f t="shared" si="4"/>
        <v>1931.54</v>
      </c>
      <c r="J202" s="6" t="s">
        <v>149</v>
      </c>
      <c r="K202" s="17"/>
    </row>
    <row r="203" spans="1:11" ht="13.95" customHeight="1" x14ac:dyDescent="0.3">
      <c r="A203" s="3">
        <v>45859</v>
      </c>
      <c r="B203" s="3" t="s">
        <v>1635</v>
      </c>
      <c r="C203" s="19" t="s">
        <v>18</v>
      </c>
      <c r="D203" s="19" t="s">
        <v>1347</v>
      </c>
      <c r="E203" s="4">
        <v>1</v>
      </c>
      <c r="F203" s="42">
        <v>2.25</v>
      </c>
      <c r="G203" s="45">
        <v>391</v>
      </c>
      <c r="H203" s="22">
        <v>1.9</v>
      </c>
      <c r="I203" s="30">
        <f t="shared" si="4"/>
        <v>1671.5249999999999</v>
      </c>
      <c r="J203" s="6" t="s">
        <v>461</v>
      </c>
      <c r="K203" s="17"/>
    </row>
    <row r="204" spans="1:11" ht="13.95" customHeight="1" x14ac:dyDescent="0.3">
      <c r="A204" s="3">
        <v>45860</v>
      </c>
      <c r="B204" s="3" t="s">
        <v>1635</v>
      </c>
      <c r="C204" s="19" t="s">
        <v>20</v>
      </c>
      <c r="D204" s="19" t="s">
        <v>1347</v>
      </c>
      <c r="E204" s="4">
        <v>1</v>
      </c>
      <c r="F204" s="42">
        <v>2.25</v>
      </c>
      <c r="G204" s="45">
        <v>391</v>
      </c>
      <c r="H204" s="22">
        <v>1.9</v>
      </c>
      <c r="I204" s="30">
        <f t="shared" si="4"/>
        <v>1671.5249999999999</v>
      </c>
      <c r="J204" s="6" t="s">
        <v>461</v>
      </c>
      <c r="K204" s="17"/>
    </row>
    <row r="205" spans="1:11" ht="13.95" customHeight="1" x14ac:dyDescent="0.3">
      <c r="A205" s="3">
        <v>45861</v>
      </c>
      <c r="B205" s="3" t="s">
        <v>1635</v>
      </c>
      <c r="C205" s="19" t="s">
        <v>5</v>
      </c>
      <c r="D205" s="19" t="s">
        <v>1347</v>
      </c>
      <c r="E205" s="4">
        <v>1</v>
      </c>
      <c r="F205" s="42">
        <v>2.2000000000000002</v>
      </c>
      <c r="G205" s="45">
        <v>391</v>
      </c>
      <c r="H205" s="22">
        <v>1.9</v>
      </c>
      <c r="I205" s="30">
        <f t="shared" si="4"/>
        <v>1634.38</v>
      </c>
      <c r="J205" s="6" t="s">
        <v>461</v>
      </c>
      <c r="K205" s="17"/>
    </row>
    <row r="206" spans="1:11" ht="13.95" customHeight="1" x14ac:dyDescent="0.3">
      <c r="A206" s="3">
        <v>45862</v>
      </c>
      <c r="B206" s="3" t="s">
        <v>1635</v>
      </c>
      <c r="C206" s="19" t="s">
        <v>8</v>
      </c>
      <c r="D206" s="19" t="s">
        <v>994</v>
      </c>
      <c r="E206" s="4">
        <v>1</v>
      </c>
      <c r="F206" s="42">
        <v>2.35</v>
      </c>
      <c r="G206" s="45">
        <v>391</v>
      </c>
      <c r="H206" s="22">
        <v>1.9</v>
      </c>
      <c r="I206" s="30">
        <f t="shared" si="4"/>
        <v>1745.8150000000001</v>
      </c>
      <c r="J206" s="6" t="s">
        <v>1451</v>
      </c>
      <c r="K206" s="17"/>
    </row>
    <row r="207" spans="1:11" ht="13.95" customHeight="1" x14ac:dyDescent="0.3">
      <c r="A207" s="3">
        <v>45863</v>
      </c>
      <c r="B207" s="3" t="s">
        <v>1635</v>
      </c>
      <c r="C207" s="19" t="s">
        <v>11</v>
      </c>
      <c r="D207" s="19" t="s">
        <v>1010</v>
      </c>
      <c r="E207" s="4">
        <v>1</v>
      </c>
      <c r="F207" s="42">
        <v>2.75</v>
      </c>
      <c r="G207" s="45">
        <v>391</v>
      </c>
      <c r="H207" s="22">
        <v>1.9</v>
      </c>
      <c r="I207" s="30">
        <f t="shared" si="4"/>
        <v>2042.9749999999999</v>
      </c>
      <c r="J207" s="6" t="s">
        <v>1536</v>
      </c>
      <c r="K207" s="17"/>
    </row>
    <row r="208" spans="1:11" ht="13.95" customHeight="1" x14ac:dyDescent="0.3">
      <c r="A208" s="3">
        <v>45864</v>
      </c>
      <c r="B208" s="3" t="s">
        <v>1635</v>
      </c>
      <c r="C208" s="19" t="s">
        <v>13</v>
      </c>
      <c r="D208" s="19" t="s">
        <v>829</v>
      </c>
      <c r="E208" s="4">
        <v>1</v>
      </c>
      <c r="F208" s="42">
        <v>2.85</v>
      </c>
      <c r="G208" s="45">
        <v>391</v>
      </c>
      <c r="H208" s="22">
        <v>1.9</v>
      </c>
      <c r="I208" s="30">
        <f t="shared" si="4"/>
        <v>2117.2650000000003</v>
      </c>
      <c r="J208" s="6" t="s">
        <v>1537</v>
      </c>
      <c r="K208" s="17"/>
    </row>
    <row r="209" spans="1:11" ht="13.95" customHeight="1" x14ac:dyDescent="0.3">
      <c r="A209" s="3">
        <v>45865</v>
      </c>
      <c r="B209" s="3" t="s">
        <v>1635</v>
      </c>
      <c r="C209" s="19" t="s">
        <v>16</v>
      </c>
      <c r="D209" s="19" t="s">
        <v>829</v>
      </c>
      <c r="E209" s="4">
        <v>1</v>
      </c>
      <c r="F209" s="42">
        <v>2.65</v>
      </c>
      <c r="G209" s="45">
        <v>391</v>
      </c>
      <c r="H209" s="22">
        <v>1.9</v>
      </c>
      <c r="I209" s="30">
        <f t="shared" si="4"/>
        <v>1968.6849999999997</v>
      </c>
      <c r="J209" s="6" t="s">
        <v>139</v>
      </c>
      <c r="K209" s="17"/>
    </row>
    <row r="210" spans="1:11" ht="13.95" customHeight="1" x14ac:dyDescent="0.3">
      <c r="A210" s="3">
        <v>45866</v>
      </c>
      <c r="B210" s="3" t="s">
        <v>1635</v>
      </c>
      <c r="C210" s="19" t="s">
        <v>18</v>
      </c>
      <c r="D210" s="19" t="s">
        <v>1347</v>
      </c>
      <c r="E210" s="4">
        <v>1</v>
      </c>
      <c r="F210" s="42">
        <v>2.2999999999999998</v>
      </c>
      <c r="G210" s="45">
        <v>391</v>
      </c>
      <c r="H210" s="22">
        <v>1.9</v>
      </c>
      <c r="I210" s="30">
        <f t="shared" si="4"/>
        <v>1708.6699999999998</v>
      </c>
      <c r="J210" s="6" t="s">
        <v>461</v>
      </c>
      <c r="K210" s="17"/>
    </row>
    <row r="211" spans="1:11" ht="13.95" customHeight="1" x14ac:dyDescent="0.3">
      <c r="A211" s="3">
        <v>45867</v>
      </c>
      <c r="B211" s="3" t="s">
        <v>1635</v>
      </c>
      <c r="C211" s="19" t="s">
        <v>20</v>
      </c>
      <c r="D211" s="19" t="s">
        <v>1347</v>
      </c>
      <c r="E211" s="4">
        <v>1</v>
      </c>
      <c r="F211" s="42">
        <v>2.25</v>
      </c>
      <c r="G211" s="45">
        <v>391</v>
      </c>
      <c r="H211" s="22">
        <v>1.9</v>
      </c>
      <c r="I211" s="30">
        <f t="shared" si="4"/>
        <v>1671.5249999999999</v>
      </c>
      <c r="J211" s="6" t="s">
        <v>461</v>
      </c>
      <c r="K211" s="17"/>
    </row>
    <row r="212" spans="1:11" ht="13.95" customHeight="1" x14ac:dyDescent="0.3">
      <c r="A212" s="3">
        <v>45868</v>
      </c>
      <c r="B212" s="3" t="s">
        <v>1635</v>
      </c>
      <c r="C212" s="19" t="s">
        <v>5</v>
      </c>
      <c r="D212" s="19" t="s">
        <v>1347</v>
      </c>
      <c r="E212" s="4">
        <v>1</v>
      </c>
      <c r="F212" s="42">
        <v>2.25</v>
      </c>
      <c r="G212" s="45">
        <v>391</v>
      </c>
      <c r="H212" s="22">
        <v>1.9</v>
      </c>
      <c r="I212" s="30">
        <f t="shared" si="4"/>
        <v>1671.5249999999999</v>
      </c>
      <c r="J212" s="6" t="s">
        <v>461</v>
      </c>
      <c r="K212" s="17"/>
    </row>
    <row r="213" spans="1:11" ht="13.95" customHeight="1" x14ac:dyDescent="0.3">
      <c r="A213" s="3">
        <v>45869</v>
      </c>
      <c r="B213" s="3" t="s">
        <v>1635</v>
      </c>
      <c r="C213" s="19" t="s">
        <v>8</v>
      </c>
      <c r="D213" s="19" t="s">
        <v>1538</v>
      </c>
      <c r="E213" s="4">
        <v>1</v>
      </c>
      <c r="F213" s="42">
        <v>2.35</v>
      </c>
      <c r="G213" s="45">
        <v>391</v>
      </c>
      <c r="H213" s="22">
        <v>1.9</v>
      </c>
      <c r="I213" s="30">
        <f t="shared" si="4"/>
        <v>1745.8150000000001</v>
      </c>
      <c r="J213" s="6" t="s">
        <v>1539</v>
      </c>
      <c r="K213" s="17"/>
    </row>
    <row r="214" spans="1:11" ht="13.95" customHeight="1" x14ac:dyDescent="0.3">
      <c r="A214" s="3">
        <v>45870</v>
      </c>
      <c r="B214" s="3" t="s">
        <v>1635</v>
      </c>
      <c r="C214" s="19" t="s">
        <v>11</v>
      </c>
      <c r="D214" s="19" t="s">
        <v>1347</v>
      </c>
      <c r="E214" s="4">
        <v>1</v>
      </c>
      <c r="F214" s="42">
        <v>2.5499999999999998</v>
      </c>
      <c r="G214" s="45">
        <v>391</v>
      </c>
      <c r="H214" s="22">
        <v>1.9</v>
      </c>
      <c r="I214" s="30">
        <f t="shared" si="4"/>
        <v>1894.3949999999998</v>
      </c>
      <c r="J214" s="6" t="s">
        <v>1385</v>
      </c>
      <c r="K214" s="17"/>
    </row>
    <row r="215" spans="1:11" ht="13.95" customHeight="1" x14ac:dyDescent="0.3">
      <c r="A215" s="3">
        <v>45871</v>
      </c>
      <c r="B215" s="3" t="s">
        <v>1635</v>
      </c>
      <c r="C215" s="19" t="s">
        <v>13</v>
      </c>
      <c r="D215" s="19" t="s">
        <v>829</v>
      </c>
      <c r="E215" s="4">
        <v>1</v>
      </c>
      <c r="F215" s="42">
        <v>2.85</v>
      </c>
      <c r="G215" s="45">
        <v>391</v>
      </c>
      <c r="H215" s="22">
        <v>1.9</v>
      </c>
      <c r="I215" s="30">
        <f t="shared" si="4"/>
        <v>2117.2650000000003</v>
      </c>
      <c r="J215" s="6" t="s">
        <v>1391</v>
      </c>
      <c r="K215" s="17"/>
    </row>
    <row r="216" spans="1:11" ht="13.95" customHeight="1" x14ac:dyDescent="0.3">
      <c r="A216" s="3">
        <v>45872</v>
      </c>
      <c r="B216" s="3" t="s">
        <v>1635</v>
      </c>
      <c r="C216" s="19" t="s">
        <v>16</v>
      </c>
      <c r="D216" s="19" t="s">
        <v>829</v>
      </c>
      <c r="E216" s="4">
        <v>1</v>
      </c>
      <c r="F216" s="42">
        <v>2.65</v>
      </c>
      <c r="G216" s="45">
        <v>391</v>
      </c>
      <c r="H216" s="22">
        <v>1.9</v>
      </c>
      <c r="I216" s="30">
        <f t="shared" si="4"/>
        <v>1968.6849999999997</v>
      </c>
      <c r="J216" s="6" t="s">
        <v>139</v>
      </c>
      <c r="K216" s="17"/>
    </row>
    <row r="217" spans="1:11" ht="13.95" customHeight="1" x14ac:dyDescent="0.3">
      <c r="A217" s="3">
        <v>45873</v>
      </c>
      <c r="B217" s="3" t="s">
        <v>1635</v>
      </c>
      <c r="C217" s="19" t="s">
        <v>18</v>
      </c>
      <c r="D217" s="19" t="s">
        <v>1347</v>
      </c>
      <c r="E217" s="4">
        <v>1</v>
      </c>
      <c r="F217" s="42">
        <v>2.2999999999999998</v>
      </c>
      <c r="G217" s="45">
        <v>391</v>
      </c>
      <c r="H217" s="22">
        <v>1.9</v>
      </c>
      <c r="I217" s="30">
        <f t="shared" si="4"/>
        <v>1708.6699999999998</v>
      </c>
      <c r="J217" s="6" t="s">
        <v>1386</v>
      </c>
      <c r="K217" s="17"/>
    </row>
    <row r="218" spans="1:11" ht="13.95" customHeight="1" x14ac:dyDescent="0.3">
      <c r="A218" s="3">
        <v>45874</v>
      </c>
      <c r="B218" s="3" t="s">
        <v>1635</v>
      </c>
      <c r="C218" s="19" t="s">
        <v>20</v>
      </c>
      <c r="D218" s="19" t="s">
        <v>1347</v>
      </c>
      <c r="E218" s="4">
        <v>1</v>
      </c>
      <c r="F218" s="42">
        <v>2.2999999999999998</v>
      </c>
      <c r="G218" s="45">
        <v>391</v>
      </c>
      <c r="H218" s="22">
        <v>1.9</v>
      </c>
      <c r="I218" s="30">
        <f t="shared" si="4"/>
        <v>1708.6699999999998</v>
      </c>
      <c r="J218" s="6" t="s">
        <v>1386</v>
      </c>
      <c r="K218" s="17"/>
    </row>
    <row r="219" spans="1:11" ht="13.95" customHeight="1" x14ac:dyDescent="0.3">
      <c r="A219" s="3">
        <v>45875</v>
      </c>
      <c r="B219" s="3" t="s">
        <v>1635</v>
      </c>
      <c r="C219" s="19" t="s">
        <v>5</v>
      </c>
      <c r="D219" s="19" t="s">
        <v>1347</v>
      </c>
      <c r="E219" s="4">
        <v>1</v>
      </c>
      <c r="F219" s="42">
        <v>2.2999999999999998</v>
      </c>
      <c r="G219" s="45">
        <v>391</v>
      </c>
      <c r="H219" s="22">
        <v>1.9</v>
      </c>
      <c r="I219" s="30">
        <f t="shared" si="4"/>
        <v>1708.6699999999998</v>
      </c>
      <c r="J219" s="6" t="s">
        <v>1386</v>
      </c>
      <c r="K219" s="17"/>
    </row>
    <row r="220" spans="1:11" ht="13.95" customHeight="1" x14ac:dyDescent="0.3">
      <c r="A220" s="3">
        <v>45876</v>
      </c>
      <c r="B220" s="3" t="s">
        <v>1635</v>
      </c>
      <c r="C220" s="19" t="s">
        <v>8</v>
      </c>
      <c r="D220" s="19" t="s">
        <v>1347</v>
      </c>
      <c r="E220" s="4">
        <v>1</v>
      </c>
      <c r="F220" s="42">
        <v>2.35</v>
      </c>
      <c r="G220" s="45">
        <v>391</v>
      </c>
      <c r="H220" s="22">
        <v>1.9</v>
      </c>
      <c r="I220" s="30">
        <f t="shared" si="4"/>
        <v>1745.8150000000001</v>
      </c>
      <c r="J220" s="6" t="s">
        <v>82</v>
      </c>
      <c r="K220" s="17"/>
    </row>
    <row r="221" spans="1:11" ht="13.95" customHeight="1" x14ac:dyDescent="0.3">
      <c r="A221" s="3">
        <v>45877</v>
      </c>
      <c r="B221" s="3" t="s">
        <v>1635</v>
      </c>
      <c r="C221" s="19" t="s">
        <v>11</v>
      </c>
      <c r="D221" s="19" t="s">
        <v>829</v>
      </c>
      <c r="E221" s="4">
        <v>1</v>
      </c>
      <c r="F221" s="42">
        <v>2.6</v>
      </c>
      <c r="G221" s="45">
        <v>391</v>
      </c>
      <c r="H221" s="22">
        <v>1.9</v>
      </c>
      <c r="I221" s="30">
        <f t="shared" si="4"/>
        <v>1931.54</v>
      </c>
      <c r="J221" s="6" t="s">
        <v>97</v>
      </c>
      <c r="K221" s="17"/>
    </row>
    <row r="222" spans="1:11" ht="13.95" customHeight="1" x14ac:dyDescent="0.3">
      <c r="A222" s="3">
        <v>45878</v>
      </c>
      <c r="B222" s="3" t="s">
        <v>1635</v>
      </c>
      <c r="C222" s="19" t="s">
        <v>13</v>
      </c>
      <c r="D222" s="19" t="s">
        <v>829</v>
      </c>
      <c r="E222" s="4">
        <v>1</v>
      </c>
      <c r="F222" s="42">
        <v>2.9</v>
      </c>
      <c r="G222" s="45">
        <v>391</v>
      </c>
      <c r="H222" s="22">
        <v>1.9</v>
      </c>
      <c r="I222" s="30">
        <f t="shared" si="4"/>
        <v>2154.41</v>
      </c>
      <c r="J222" s="6" t="s">
        <v>1392</v>
      </c>
      <c r="K222" s="17"/>
    </row>
    <row r="223" spans="1:11" ht="13.95" customHeight="1" x14ac:dyDescent="0.3">
      <c r="A223" s="3">
        <v>45879</v>
      </c>
      <c r="B223" s="3" t="s">
        <v>1635</v>
      </c>
      <c r="C223" s="19" t="s">
        <v>16</v>
      </c>
      <c r="D223" s="19" t="s">
        <v>829</v>
      </c>
      <c r="E223" s="4">
        <v>1</v>
      </c>
      <c r="F223" s="42">
        <v>2.65</v>
      </c>
      <c r="G223" s="45">
        <v>391</v>
      </c>
      <c r="H223" s="22">
        <v>1.9</v>
      </c>
      <c r="I223" s="30">
        <f t="shared" si="4"/>
        <v>1968.6849999999997</v>
      </c>
      <c r="J223" s="6" t="s">
        <v>1336</v>
      </c>
      <c r="K223" s="17"/>
    </row>
    <row r="224" spans="1:11" ht="13.95" customHeight="1" x14ac:dyDescent="0.3">
      <c r="A224" s="3">
        <v>45880</v>
      </c>
      <c r="B224" s="3" t="s">
        <v>1635</v>
      </c>
      <c r="C224" s="19" t="s">
        <v>18</v>
      </c>
      <c r="D224" s="19" t="s">
        <v>1347</v>
      </c>
      <c r="E224" s="4">
        <v>1</v>
      </c>
      <c r="F224" s="42">
        <v>2.2999999999999998</v>
      </c>
      <c r="G224" s="45">
        <v>391</v>
      </c>
      <c r="H224" s="22">
        <v>1.9</v>
      </c>
      <c r="I224" s="30">
        <f t="shared" si="4"/>
        <v>1708.6699999999998</v>
      </c>
      <c r="J224" s="6" t="s">
        <v>476</v>
      </c>
      <c r="K224" s="17"/>
    </row>
    <row r="225" spans="1:11" ht="13.95" customHeight="1" x14ac:dyDescent="0.3">
      <c r="A225" s="3">
        <v>45881</v>
      </c>
      <c r="B225" s="3" t="s">
        <v>1635</v>
      </c>
      <c r="C225" s="19" t="s">
        <v>20</v>
      </c>
      <c r="D225" s="19" t="s">
        <v>994</v>
      </c>
      <c r="E225" s="4">
        <v>1</v>
      </c>
      <c r="F225" s="42">
        <v>2.5</v>
      </c>
      <c r="G225" s="45">
        <v>391</v>
      </c>
      <c r="H225" s="22">
        <v>1.9</v>
      </c>
      <c r="I225" s="30">
        <f t="shared" si="4"/>
        <v>1857.25</v>
      </c>
      <c r="J225" s="6" t="s">
        <v>1453</v>
      </c>
      <c r="K225" s="17"/>
    </row>
    <row r="226" spans="1:11" ht="13.95" customHeight="1" x14ac:dyDescent="0.3">
      <c r="A226" s="3">
        <v>45882</v>
      </c>
      <c r="B226" s="3" t="s">
        <v>1635</v>
      </c>
      <c r="C226" s="19" t="s">
        <v>5</v>
      </c>
      <c r="D226" s="19" t="s">
        <v>850</v>
      </c>
      <c r="E226" s="4">
        <v>1</v>
      </c>
      <c r="F226" s="42">
        <v>2.85</v>
      </c>
      <c r="G226" s="45">
        <v>391</v>
      </c>
      <c r="H226" s="22">
        <v>1.9</v>
      </c>
      <c r="I226" s="30">
        <f t="shared" si="4"/>
        <v>2117.2650000000003</v>
      </c>
      <c r="J226" s="6" t="s">
        <v>1540</v>
      </c>
      <c r="K226" s="17"/>
    </row>
    <row r="227" spans="1:11" ht="13.95" customHeight="1" x14ac:dyDescent="0.3">
      <c r="A227" s="3">
        <v>45883</v>
      </c>
      <c r="B227" s="3" t="s">
        <v>1635</v>
      </c>
      <c r="C227" s="19" t="s">
        <v>8</v>
      </c>
      <c r="D227" s="19" t="s">
        <v>1347</v>
      </c>
      <c r="E227" s="4">
        <v>1</v>
      </c>
      <c r="F227" s="42">
        <v>2.35</v>
      </c>
      <c r="G227" s="45">
        <v>391</v>
      </c>
      <c r="H227" s="22">
        <v>1.9</v>
      </c>
      <c r="I227" s="30">
        <f t="shared" si="4"/>
        <v>1745.8150000000001</v>
      </c>
      <c r="J227" s="6" t="s">
        <v>476</v>
      </c>
      <c r="K227" s="17"/>
    </row>
    <row r="228" spans="1:11" ht="13.95" customHeight="1" x14ac:dyDescent="0.3">
      <c r="A228" s="3">
        <v>45884</v>
      </c>
      <c r="B228" s="3" t="s">
        <v>1635</v>
      </c>
      <c r="C228" s="19" t="s">
        <v>11</v>
      </c>
      <c r="D228" s="19" t="s">
        <v>829</v>
      </c>
      <c r="E228" s="4">
        <v>1</v>
      </c>
      <c r="F228" s="42">
        <v>2.6</v>
      </c>
      <c r="G228" s="45">
        <v>391</v>
      </c>
      <c r="H228" s="22">
        <v>1.9</v>
      </c>
      <c r="I228" s="30">
        <f t="shared" si="4"/>
        <v>1931.54</v>
      </c>
      <c r="J228" s="6" t="s">
        <v>97</v>
      </c>
      <c r="K228" s="17"/>
    </row>
    <row r="229" spans="1:11" ht="13.95" customHeight="1" x14ac:dyDescent="0.3">
      <c r="A229" s="3">
        <v>45885</v>
      </c>
      <c r="B229" s="3" t="s">
        <v>1635</v>
      </c>
      <c r="C229" s="19" t="s">
        <v>13</v>
      </c>
      <c r="D229" s="19" t="s">
        <v>829</v>
      </c>
      <c r="E229" s="4">
        <v>1</v>
      </c>
      <c r="F229" s="42">
        <v>2.9</v>
      </c>
      <c r="G229" s="45">
        <v>391</v>
      </c>
      <c r="H229" s="22">
        <v>1.9</v>
      </c>
      <c r="I229" s="30">
        <f t="shared" si="4"/>
        <v>2154.41</v>
      </c>
      <c r="J229" s="6" t="s">
        <v>1541</v>
      </c>
      <c r="K229" s="17"/>
    </row>
    <row r="230" spans="1:11" ht="13.95" customHeight="1" x14ac:dyDescent="0.3">
      <c r="A230" s="3">
        <v>45886</v>
      </c>
      <c r="B230" s="3" t="s">
        <v>1635</v>
      </c>
      <c r="C230" s="19" t="s">
        <v>16</v>
      </c>
      <c r="D230" s="19" t="s">
        <v>829</v>
      </c>
      <c r="E230" s="4">
        <v>1</v>
      </c>
      <c r="F230" s="42">
        <v>2.65</v>
      </c>
      <c r="G230" s="45">
        <v>391</v>
      </c>
      <c r="H230" s="22">
        <v>1.9</v>
      </c>
      <c r="I230" s="30">
        <f t="shared" si="4"/>
        <v>1968.6849999999997</v>
      </c>
      <c r="J230" s="6" t="s">
        <v>149</v>
      </c>
      <c r="K230" s="17"/>
    </row>
    <row r="231" spans="1:11" ht="13.95" customHeight="1" x14ac:dyDescent="0.3">
      <c r="A231" s="3">
        <v>45887</v>
      </c>
      <c r="B231" s="3" t="s">
        <v>1635</v>
      </c>
      <c r="C231" s="19" t="s">
        <v>18</v>
      </c>
      <c r="D231" s="19" t="s">
        <v>1347</v>
      </c>
      <c r="E231" s="4">
        <v>1</v>
      </c>
      <c r="F231" s="42">
        <v>2.2999999999999998</v>
      </c>
      <c r="G231" s="45">
        <v>391</v>
      </c>
      <c r="H231" s="22">
        <v>1.9</v>
      </c>
      <c r="I231" s="30">
        <f t="shared" si="4"/>
        <v>1708.6699999999998</v>
      </c>
      <c r="J231" s="6" t="s">
        <v>476</v>
      </c>
      <c r="K231" s="17"/>
    </row>
    <row r="232" spans="1:11" ht="13.95" customHeight="1" x14ac:dyDescent="0.3">
      <c r="A232" s="3">
        <v>45888</v>
      </c>
      <c r="B232" s="3" t="s">
        <v>1635</v>
      </c>
      <c r="C232" s="19" t="s">
        <v>20</v>
      </c>
      <c r="D232" s="19" t="s">
        <v>1347</v>
      </c>
      <c r="E232" s="4">
        <v>1</v>
      </c>
      <c r="F232" s="42">
        <v>2.2999999999999998</v>
      </c>
      <c r="G232" s="45">
        <v>391</v>
      </c>
      <c r="H232" s="22">
        <v>1.9</v>
      </c>
      <c r="I232" s="30">
        <f t="shared" si="4"/>
        <v>1708.6699999999998</v>
      </c>
      <c r="J232" s="6" t="s">
        <v>476</v>
      </c>
      <c r="K232" s="17"/>
    </row>
    <row r="233" spans="1:11" ht="13.95" customHeight="1" x14ac:dyDescent="0.3">
      <c r="A233" s="3">
        <v>45889</v>
      </c>
      <c r="B233" s="3" t="s">
        <v>1635</v>
      </c>
      <c r="C233" s="19" t="s">
        <v>5</v>
      </c>
      <c r="D233" s="19" t="s">
        <v>1347</v>
      </c>
      <c r="E233" s="4">
        <v>1</v>
      </c>
      <c r="F233" s="42">
        <v>2.2999999999999998</v>
      </c>
      <c r="G233" s="45">
        <v>391</v>
      </c>
      <c r="H233" s="22">
        <v>1.9</v>
      </c>
      <c r="I233" s="30">
        <f t="shared" si="4"/>
        <v>1708.6699999999998</v>
      </c>
      <c r="J233" s="6" t="s">
        <v>476</v>
      </c>
      <c r="K233" s="17"/>
    </row>
    <row r="234" spans="1:11" ht="13.95" customHeight="1" x14ac:dyDescent="0.3">
      <c r="A234" s="3">
        <v>45890</v>
      </c>
      <c r="B234" s="3" t="s">
        <v>1635</v>
      </c>
      <c r="C234" s="19" t="s">
        <v>8</v>
      </c>
      <c r="D234" s="19" t="s">
        <v>1347</v>
      </c>
      <c r="E234" s="4">
        <v>1</v>
      </c>
      <c r="F234" s="42">
        <v>2.35</v>
      </c>
      <c r="G234" s="45">
        <v>391</v>
      </c>
      <c r="H234" s="22">
        <v>1.9</v>
      </c>
      <c r="I234" s="30">
        <f t="shared" si="4"/>
        <v>1745.8150000000001</v>
      </c>
      <c r="J234" s="6" t="s">
        <v>476</v>
      </c>
      <c r="K234" s="17"/>
    </row>
    <row r="235" spans="1:11" ht="13.95" customHeight="1" x14ac:dyDescent="0.3">
      <c r="A235" s="3">
        <v>45891</v>
      </c>
      <c r="B235" s="3" t="s">
        <v>1635</v>
      </c>
      <c r="C235" s="19" t="s">
        <v>11</v>
      </c>
      <c r="D235" s="19" t="s">
        <v>829</v>
      </c>
      <c r="E235" s="4">
        <v>1</v>
      </c>
      <c r="F235" s="42">
        <v>2.6</v>
      </c>
      <c r="G235" s="45">
        <v>391</v>
      </c>
      <c r="H235" s="22">
        <v>1.9</v>
      </c>
      <c r="I235" s="30">
        <f t="shared" si="4"/>
        <v>1931.54</v>
      </c>
      <c r="J235" s="6" t="s">
        <v>97</v>
      </c>
      <c r="K235" s="17"/>
    </row>
    <row r="236" spans="1:11" ht="13.95" customHeight="1" x14ac:dyDescent="0.3">
      <c r="A236" s="3">
        <v>45892</v>
      </c>
      <c r="B236" s="3" t="s">
        <v>1635</v>
      </c>
      <c r="C236" s="19" t="s">
        <v>13</v>
      </c>
      <c r="D236" s="19" t="s">
        <v>829</v>
      </c>
      <c r="E236" s="4">
        <v>1</v>
      </c>
      <c r="F236" s="42">
        <v>2.9</v>
      </c>
      <c r="G236" s="45">
        <v>391</v>
      </c>
      <c r="H236" s="22">
        <v>1.9</v>
      </c>
      <c r="I236" s="30">
        <f t="shared" si="4"/>
        <v>2154.41</v>
      </c>
      <c r="J236" s="6" t="s">
        <v>1542</v>
      </c>
      <c r="K236" s="17"/>
    </row>
    <row r="237" spans="1:11" ht="13.95" customHeight="1" x14ac:dyDescent="0.3">
      <c r="A237" s="3">
        <v>45893</v>
      </c>
      <c r="B237" s="3" t="s">
        <v>1635</v>
      </c>
      <c r="C237" s="19" t="s">
        <v>16</v>
      </c>
      <c r="D237" s="19" t="s">
        <v>829</v>
      </c>
      <c r="E237" s="4">
        <v>1</v>
      </c>
      <c r="F237" s="42">
        <v>2.65</v>
      </c>
      <c r="G237" s="45">
        <v>391</v>
      </c>
      <c r="H237" s="22">
        <v>1.9</v>
      </c>
      <c r="I237" s="30">
        <f t="shared" si="4"/>
        <v>1968.6849999999997</v>
      </c>
      <c r="J237" s="6" t="s">
        <v>149</v>
      </c>
      <c r="K237" s="17"/>
    </row>
    <row r="238" spans="1:11" ht="13.95" customHeight="1" x14ac:dyDescent="0.3">
      <c r="A238" s="3">
        <v>45894</v>
      </c>
      <c r="B238" s="3" t="s">
        <v>1635</v>
      </c>
      <c r="C238" s="19" t="s">
        <v>18</v>
      </c>
      <c r="D238" s="19" t="s">
        <v>1347</v>
      </c>
      <c r="E238" s="4">
        <v>1</v>
      </c>
      <c r="F238" s="42">
        <v>2.2999999999999998</v>
      </c>
      <c r="G238" s="45">
        <v>391</v>
      </c>
      <c r="H238" s="22">
        <v>1.9</v>
      </c>
      <c r="I238" s="30">
        <f t="shared" si="4"/>
        <v>1708.6699999999998</v>
      </c>
      <c r="J238" s="6" t="s">
        <v>70</v>
      </c>
      <c r="K238" s="17"/>
    </row>
    <row r="239" spans="1:11" ht="13.95" customHeight="1" x14ac:dyDescent="0.3">
      <c r="A239" s="3">
        <v>45895</v>
      </c>
      <c r="B239" s="3" t="s">
        <v>1635</v>
      </c>
      <c r="C239" s="19" t="s">
        <v>20</v>
      </c>
      <c r="D239" s="19" t="s">
        <v>1347</v>
      </c>
      <c r="E239" s="4">
        <v>1</v>
      </c>
      <c r="F239" s="42">
        <v>2.2999999999999998</v>
      </c>
      <c r="G239" s="45">
        <v>391</v>
      </c>
      <c r="H239" s="22">
        <v>1.9</v>
      </c>
      <c r="I239" s="30">
        <f t="shared" si="4"/>
        <v>1708.6699999999998</v>
      </c>
      <c r="J239" s="6" t="s">
        <v>476</v>
      </c>
      <c r="K239" s="17"/>
    </row>
    <row r="240" spans="1:11" ht="13.95" customHeight="1" x14ac:dyDescent="0.3">
      <c r="A240" s="3">
        <v>45896</v>
      </c>
      <c r="B240" s="3" t="s">
        <v>1635</v>
      </c>
      <c r="C240" s="19" t="s">
        <v>5</v>
      </c>
      <c r="D240" s="19" t="s">
        <v>1347</v>
      </c>
      <c r="E240" s="4">
        <v>0.98</v>
      </c>
      <c r="F240" s="42">
        <v>2.25</v>
      </c>
      <c r="G240" s="45">
        <v>391</v>
      </c>
      <c r="H240" s="22">
        <v>1.9</v>
      </c>
      <c r="I240" s="30">
        <f t="shared" si="4"/>
        <v>1638.0944999999999</v>
      </c>
      <c r="J240" s="6" t="s">
        <v>1543</v>
      </c>
      <c r="K240" s="17"/>
    </row>
    <row r="241" spans="1:11" ht="13.95" customHeight="1" x14ac:dyDescent="0.3">
      <c r="A241" s="3">
        <v>45897</v>
      </c>
      <c r="B241" s="3" t="s">
        <v>1635</v>
      </c>
      <c r="C241" s="19" t="s">
        <v>8</v>
      </c>
      <c r="D241" s="19" t="s">
        <v>1347</v>
      </c>
      <c r="E241" s="4">
        <v>1</v>
      </c>
      <c r="F241" s="42">
        <v>2.2999999999999998</v>
      </c>
      <c r="G241" s="45">
        <v>391</v>
      </c>
      <c r="H241" s="22">
        <v>1.9</v>
      </c>
      <c r="I241" s="30">
        <f t="shared" si="4"/>
        <v>1708.6699999999998</v>
      </c>
      <c r="J241" s="6" t="s">
        <v>70</v>
      </c>
      <c r="K241" s="17"/>
    </row>
    <row r="242" spans="1:11" ht="13.95" customHeight="1" x14ac:dyDescent="0.3">
      <c r="A242" s="3">
        <v>45898</v>
      </c>
      <c r="B242" s="3" t="s">
        <v>1635</v>
      </c>
      <c r="C242" s="19" t="s">
        <v>11</v>
      </c>
      <c r="D242" s="19" t="s">
        <v>14</v>
      </c>
      <c r="E242" s="4">
        <v>1</v>
      </c>
      <c r="F242" s="42">
        <v>2.6</v>
      </c>
      <c r="G242" s="45">
        <v>391</v>
      </c>
      <c r="H242" s="22">
        <v>1.9</v>
      </c>
      <c r="I242" s="30">
        <f t="shared" si="4"/>
        <v>1931.54</v>
      </c>
      <c r="J242" s="6" t="s">
        <v>1389</v>
      </c>
      <c r="K242" s="17"/>
    </row>
    <row r="243" spans="1:11" ht="13.95" customHeight="1" x14ac:dyDescent="0.3">
      <c r="A243" s="3">
        <v>45899</v>
      </c>
      <c r="B243" s="3" t="s">
        <v>1635</v>
      </c>
      <c r="C243" s="19" t="s">
        <v>13</v>
      </c>
      <c r="D243" s="19" t="s">
        <v>14</v>
      </c>
      <c r="E243" s="4">
        <v>1</v>
      </c>
      <c r="F243" s="42">
        <v>2.95</v>
      </c>
      <c r="G243" s="45">
        <v>391</v>
      </c>
      <c r="H243" s="22">
        <v>1.9</v>
      </c>
      <c r="I243" s="30">
        <f t="shared" si="4"/>
        <v>2191.5549999999998</v>
      </c>
      <c r="J243" s="6" t="s">
        <v>1544</v>
      </c>
      <c r="K243" s="17"/>
    </row>
    <row r="244" spans="1:11" ht="13.95" customHeight="1" x14ac:dyDescent="0.3">
      <c r="A244" s="3">
        <v>45900</v>
      </c>
      <c r="B244" s="3" t="s">
        <v>1635</v>
      </c>
      <c r="C244" s="19" t="s">
        <v>16</v>
      </c>
      <c r="D244" s="19" t="s">
        <v>14</v>
      </c>
      <c r="E244" s="4">
        <v>1</v>
      </c>
      <c r="F244" s="42">
        <v>2.65</v>
      </c>
      <c r="G244" s="45">
        <v>391</v>
      </c>
      <c r="H244" s="22">
        <v>1.9</v>
      </c>
      <c r="I244" s="30">
        <f t="shared" si="4"/>
        <v>1968.6849999999997</v>
      </c>
      <c r="J244" s="6" t="s">
        <v>1390</v>
      </c>
      <c r="K244" s="17"/>
    </row>
    <row r="245" spans="1:11" ht="13.95" customHeight="1" x14ac:dyDescent="0.3">
      <c r="A245" s="3">
        <v>45901</v>
      </c>
      <c r="B245" s="3" t="s">
        <v>1635</v>
      </c>
      <c r="C245" s="19" t="s">
        <v>18</v>
      </c>
      <c r="D245" s="19" t="s">
        <v>1545</v>
      </c>
      <c r="E245" s="4">
        <v>0.85</v>
      </c>
      <c r="F245" s="42">
        <v>2.15</v>
      </c>
      <c r="G245" s="45">
        <v>391</v>
      </c>
      <c r="H245" s="22">
        <v>1.9</v>
      </c>
      <c r="I245" s="30">
        <f t="shared" si="4"/>
        <v>1357.6497499999998</v>
      </c>
      <c r="J245" s="6" t="s">
        <v>1546</v>
      </c>
      <c r="K245" s="17"/>
    </row>
    <row r="246" spans="1:11" ht="13.95" customHeight="1" x14ac:dyDescent="0.3">
      <c r="A246" s="3">
        <v>45902</v>
      </c>
      <c r="B246" s="3" t="s">
        <v>1635</v>
      </c>
      <c r="C246" s="19" t="s">
        <v>20</v>
      </c>
      <c r="D246" s="19" t="s">
        <v>1330</v>
      </c>
      <c r="E246" s="4">
        <v>0.82</v>
      </c>
      <c r="F246" s="42">
        <v>2.1</v>
      </c>
      <c r="G246" s="45">
        <v>391</v>
      </c>
      <c r="H246" s="22">
        <v>1.9</v>
      </c>
      <c r="I246" s="30">
        <f t="shared" si="4"/>
        <v>1279.2737999999999</v>
      </c>
      <c r="J246" s="6" t="s">
        <v>603</v>
      </c>
      <c r="K246" s="17"/>
    </row>
    <row r="247" spans="1:11" ht="13.95" customHeight="1" x14ac:dyDescent="0.3">
      <c r="A247" s="3">
        <v>45903</v>
      </c>
      <c r="B247" s="3" t="s">
        <v>1635</v>
      </c>
      <c r="C247" s="19" t="s">
        <v>5</v>
      </c>
      <c r="D247" s="19" t="s">
        <v>1330</v>
      </c>
      <c r="E247" s="4">
        <v>0.8</v>
      </c>
      <c r="F247" s="42">
        <v>2.1</v>
      </c>
      <c r="G247" s="45">
        <v>391</v>
      </c>
      <c r="H247" s="22">
        <v>1.9</v>
      </c>
      <c r="I247" s="30">
        <f t="shared" si="4"/>
        <v>1248.0719999999999</v>
      </c>
      <c r="J247" s="6" t="s">
        <v>1483</v>
      </c>
      <c r="K247" s="17"/>
    </row>
    <row r="248" spans="1:11" ht="13.95" customHeight="1" x14ac:dyDescent="0.3">
      <c r="A248" s="3">
        <v>45904</v>
      </c>
      <c r="B248" s="3" t="s">
        <v>1635</v>
      </c>
      <c r="C248" s="19" t="s">
        <v>8</v>
      </c>
      <c r="D248" s="19" t="s">
        <v>1330</v>
      </c>
      <c r="E248" s="4">
        <v>0.8</v>
      </c>
      <c r="F248" s="42">
        <v>2.1</v>
      </c>
      <c r="G248" s="45">
        <v>391</v>
      </c>
      <c r="H248" s="22">
        <v>1.9</v>
      </c>
      <c r="I248" s="30">
        <f t="shared" si="4"/>
        <v>1248.0719999999999</v>
      </c>
      <c r="J248" s="6" t="s">
        <v>603</v>
      </c>
      <c r="K248" s="17"/>
    </row>
    <row r="249" spans="1:11" ht="13.95" customHeight="1" x14ac:dyDescent="0.3">
      <c r="A249" s="3">
        <v>45905</v>
      </c>
      <c r="B249" s="3" t="s">
        <v>1635</v>
      </c>
      <c r="C249" s="19" t="s">
        <v>11</v>
      </c>
      <c r="D249" s="19" t="s">
        <v>14</v>
      </c>
      <c r="E249" s="4">
        <v>0.85</v>
      </c>
      <c r="F249" s="42">
        <v>2.25</v>
      </c>
      <c r="G249" s="45">
        <v>391</v>
      </c>
      <c r="H249" s="22">
        <v>1.9</v>
      </c>
      <c r="I249" s="30">
        <f t="shared" si="4"/>
        <v>1420.7962499999999</v>
      </c>
      <c r="J249" s="6" t="s">
        <v>1547</v>
      </c>
      <c r="K249" s="17"/>
    </row>
    <row r="250" spans="1:11" ht="13.95" customHeight="1" x14ac:dyDescent="0.3">
      <c r="A250" s="3">
        <v>45906</v>
      </c>
      <c r="B250" s="3" t="s">
        <v>1635</v>
      </c>
      <c r="C250" s="19" t="s">
        <v>13</v>
      </c>
      <c r="D250" s="19" t="s">
        <v>14</v>
      </c>
      <c r="E250" s="4">
        <v>0.9</v>
      </c>
      <c r="F250" s="42">
        <v>2.6</v>
      </c>
      <c r="G250" s="45">
        <v>391</v>
      </c>
      <c r="H250" s="22">
        <v>1.9</v>
      </c>
      <c r="I250" s="30">
        <f t="shared" si="4"/>
        <v>1738.3860000000002</v>
      </c>
      <c r="J250" s="6" t="s">
        <v>1548</v>
      </c>
      <c r="K250" s="17"/>
    </row>
    <row r="251" spans="1:11" ht="13.95" customHeight="1" x14ac:dyDescent="0.3">
      <c r="A251" s="3">
        <v>45907</v>
      </c>
      <c r="B251" s="3" t="s">
        <v>1635</v>
      </c>
      <c r="C251" s="19" t="s">
        <v>16</v>
      </c>
      <c r="D251" s="19" t="s">
        <v>14</v>
      </c>
      <c r="E251" s="4">
        <v>0.85</v>
      </c>
      <c r="F251" s="42">
        <v>2.2999999999999998</v>
      </c>
      <c r="G251" s="45">
        <v>391</v>
      </c>
      <c r="H251" s="22">
        <v>1.9</v>
      </c>
      <c r="I251" s="30">
        <f t="shared" si="4"/>
        <v>1452.3694999999996</v>
      </c>
      <c r="J251" s="6" t="s">
        <v>139</v>
      </c>
      <c r="K251" s="17"/>
    </row>
    <row r="252" spans="1:11" ht="13.95" customHeight="1" x14ac:dyDescent="0.3">
      <c r="A252" s="3">
        <v>45908</v>
      </c>
      <c r="B252" s="3" t="s">
        <v>1635</v>
      </c>
      <c r="C252" s="19" t="s">
        <v>18</v>
      </c>
      <c r="D252" s="19" t="s">
        <v>1330</v>
      </c>
      <c r="E252" s="4">
        <v>0.78</v>
      </c>
      <c r="F252" s="42">
        <v>2.0499999999999998</v>
      </c>
      <c r="G252" s="45">
        <v>391</v>
      </c>
      <c r="H252" s="22">
        <v>1.9</v>
      </c>
      <c r="I252" s="30">
        <f t="shared" si="4"/>
        <v>1187.8970999999999</v>
      </c>
      <c r="J252" s="6" t="s">
        <v>527</v>
      </c>
      <c r="K252" s="17"/>
    </row>
    <row r="253" spans="1:11" ht="13.95" customHeight="1" x14ac:dyDescent="0.3">
      <c r="A253" s="3">
        <v>45909</v>
      </c>
      <c r="B253" s="3" t="s">
        <v>1635</v>
      </c>
      <c r="C253" s="19" t="s">
        <v>20</v>
      </c>
      <c r="D253" s="19" t="s">
        <v>1330</v>
      </c>
      <c r="E253" s="4">
        <v>0.75</v>
      </c>
      <c r="F253" s="42">
        <v>2.0499999999999998</v>
      </c>
      <c r="G253" s="45">
        <v>391</v>
      </c>
      <c r="H253" s="22">
        <v>1.9</v>
      </c>
      <c r="I253" s="30">
        <f t="shared" si="4"/>
        <v>1142.2087499999998</v>
      </c>
      <c r="J253" s="6" t="s">
        <v>527</v>
      </c>
      <c r="K253" s="17"/>
    </row>
    <row r="254" spans="1:11" ht="13.95" customHeight="1" x14ac:dyDescent="0.3">
      <c r="A254" s="3">
        <v>45910</v>
      </c>
      <c r="B254" s="3" t="s">
        <v>1635</v>
      </c>
      <c r="C254" s="19" t="s">
        <v>5</v>
      </c>
      <c r="D254" s="19" t="s">
        <v>1330</v>
      </c>
      <c r="E254" s="4">
        <v>0.75</v>
      </c>
      <c r="F254" s="42">
        <v>2.0499999999999998</v>
      </c>
      <c r="G254" s="45">
        <v>391</v>
      </c>
      <c r="H254" s="22">
        <v>1.9</v>
      </c>
      <c r="I254" s="30">
        <f t="shared" si="4"/>
        <v>1142.2087499999998</v>
      </c>
      <c r="J254" s="6" t="s">
        <v>71</v>
      </c>
      <c r="K254" s="17"/>
    </row>
    <row r="255" spans="1:11" ht="13.95" customHeight="1" x14ac:dyDescent="0.3">
      <c r="A255" s="3">
        <v>45911</v>
      </c>
      <c r="B255" s="3" t="s">
        <v>1635</v>
      </c>
      <c r="C255" s="19" t="s">
        <v>8</v>
      </c>
      <c r="D255" s="19" t="s">
        <v>1330</v>
      </c>
      <c r="E255" s="4">
        <v>0.78</v>
      </c>
      <c r="F255" s="42">
        <v>2.1</v>
      </c>
      <c r="G255" s="45">
        <v>391</v>
      </c>
      <c r="H255" s="22">
        <v>1.9</v>
      </c>
      <c r="I255" s="30">
        <f t="shared" si="4"/>
        <v>1216.8702000000001</v>
      </c>
      <c r="J255" s="6" t="s">
        <v>1522</v>
      </c>
      <c r="K255" s="17"/>
    </row>
    <row r="256" spans="1:11" ht="13.95" customHeight="1" x14ac:dyDescent="0.3">
      <c r="A256" s="3">
        <v>45912</v>
      </c>
      <c r="B256" s="3" t="s">
        <v>1635</v>
      </c>
      <c r="C256" s="19" t="s">
        <v>11</v>
      </c>
      <c r="D256" s="19" t="s">
        <v>14</v>
      </c>
      <c r="E256" s="4">
        <v>0.82</v>
      </c>
      <c r="F256" s="42">
        <v>2.2000000000000002</v>
      </c>
      <c r="G256" s="45">
        <v>391</v>
      </c>
      <c r="H256" s="22">
        <v>1.9</v>
      </c>
      <c r="I256" s="30">
        <f t="shared" si="4"/>
        <v>1340.1916000000001</v>
      </c>
      <c r="J256" s="6" t="s">
        <v>97</v>
      </c>
      <c r="K256" s="17"/>
    </row>
    <row r="257" spans="1:11" ht="13.95" customHeight="1" x14ac:dyDescent="0.3">
      <c r="A257" s="3">
        <v>45913</v>
      </c>
      <c r="B257" s="3" t="s">
        <v>1635</v>
      </c>
      <c r="C257" s="19" t="s">
        <v>13</v>
      </c>
      <c r="D257" s="19" t="s">
        <v>14</v>
      </c>
      <c r="E257" s="4">
        <v>0.88</v>
      </c>
      <c r="F257" s="42">
        <v>2.5499999999999998</v>
      </c>
      <c r="G257" s="45">
        <v>391</v>
      </c>
      <c r="H257" s="22">
        <v>1.9</v>
      </c>
      <c r="I257" s="30">
        <f t="shared" si="4"/>
        <v>1667.0675999999996</v>
      </c>
      <c r="J257" s="6" t="s">
        <v>1541</v>
      </c>
      <c r="K257" s="17"/>
    </row>
    <row r="258" spans="1:11" ht="13.95" customHeight="1" x14ac:dyDescent="0.3">
      <c r="A258" s="3">
        <v>45914</v>
      </c>
      <c r="B258" s="3" t="s">
        <v>1635</v>
      </c>
      <c r="C258" s="19" t="s">
        <v>16</v>
      </c>
      <c r="D258" s="19" t="s">
        <v>14</v>
      </c>
      <c r="E258" s="4">
        <v>0.85</v>
      </c>
      <c r="F258" s="42">
        <v>2.2999999999999998</v>
      </c>
      <c r="G258" s="45">
        <v>391</v>
      </c>
      <c r="H258" s="22">
        <v>1.9</v>
      </c>
      <c r="I258" s="30">
        <f t="shared" si="4"/>
        <v>1452.3694999999996</v>
      </c>
      <c r="J258" s="6" t="s">
        <v>149</v>
      </c>
      <c r="K258" s="17"/>
    </row>
    <row r="259" spans="1:11" ht="13.95" customHeight="1" x14ac:dyDescent="0.3">
      <c r="A259" s="3">
        <v>45915</v>
      </c>
      <c r="B259" s="3" t="s">
        <v>1635</v>
      </c>
      <c r="C259" s="19" t="s">
        <v>18</v>
      </c>
      <c r="D259" s="19" t="s">
        <v>1330</v>
      </c>
      <c r="E259" s="4">
        <v>0.75</v>
      </c>
      <c r="F259" s="42">
        <v>2.0499999999999998</v>
      </c>
      <c r="G259" s="45">
        <v>391</v>
      </c>
      <c r="H259" s="22">
        <v>1.9</v>
      </c>
      <c r="I259" s="30">
        <f t="shared" ref="I259:I322" si="5">(G259*E259)*F259*H259</f>
        <v>1142.2087499999998</v>
      </c>
      <c r="J259" s="6" t="s">
        <v>70</v>
      </c>
      <c r="K259" s="17"/>
    </row>
    <row r="260" spans="1:11" ht="13.95" customHeight="1" x14ac:dyDescent="0.3">
      <c r="A260" s="3">
        <v>45916</v>
      </c>
      <c r="B260" s="3" t="s">
        <v>1635</v>
      </c>
      <c r="C260" s="19" t="s">
        <v>20</v>
      </c>
      <c r="D260" s="19" t="s">
        <v>1330</v>
      </c>
      <c r="E260" s="4">
        <v>0.72</v>
      </c>
      <c r="F260" s="42">
        <v>2</v>
      </c>
      <c r="G260" s="45">
        <v>391</v>
      </c>
      <c r="H260" s="22">
        <v>1.9</v>
      </c>
      <c r="I260" s="30">
        <f t="shared" si="5"/>
        <v>1069.7759999999998</v>
      </c>
      <c r="J260" s="6" t="s">
        <v>71</v>
      </c>
      <c r="K260" s="17"/>
    </row>
    <row r="261" spans="1:11" ht="13.95" customHeight="1" x14ac:dyDescent="0.3">
      <c r="A261" s="3">
        <v>45917</v>
      </c>
      <c r="B261" s="3" t="s">
        <v>1635</v>
      </c>
      <c r="C261" s="19" t="s">
        <v>5</v>
      </c>
      <c r="D261" s="19" t="s">
        <v>1330</v>
      </c>
      <c r="E261" s="4">
        <v>0.7</v>
      </c>
      <c r="F261" s="42">
        <v>2</v>
      </c>
      <c r="G261" s="45">
        <v>391</v>
      </c>
      <c r="H261" s="22">
        <v>1.9</v>
      </c>
      <c r="I261" s="30">
        <f t="shared" si="5"/>
        <v>1040.06</v>
      </c>
      <c r="J261" s="6" t="s">
        <v>71</v>
      </c>
      <c r="K261" s="17"/>
    </row>
    <row r="262" spans="1:11" ht="13.95" customHeight="1" x14ac:dyDescent="0.3">
      <c r="A262" s="3">
        <v>45918</v>
      </c>
      <c r="B262" s="3" t="s">
        <v>1635</v>
      </c>
      <c r="C262" s="19" t="s">
        <v>8</v>
      </c>
      <c r="D262" s="19" t="s">
        <v>1330</v>
      </c>
      <c r="E262" s="4">
        <v>0.75</v>
      </c>
      <c r="F262" s="42">
        <v>2.1</v>
      </c>
      <c r="G262" s="45">
        <v>391</v>
      </c>
      <c r="H262" s="22">
        <v>1.9</v>
      </c>
      <c r="I262" s="30">
        <f t="shared" si="5"/>
        <v>1170.0675000000001</v>
      </c>
      <c r="J262" s="6" t="s">
        <v>1410</v>
      </c>
      <c r="K262" s="17"/>
    </row>
    <row r="263" spans="1:11" ht="13.95" customHeight="1" x14ac:dyDescent="0.3">
      <c r="A263" s="3">
        <v>45919</v>
      </c>
      <c r="B263" s="3" t="s">
        <v>1635</v>
      </c>
      <c r="C263" s="19" t="s">
        <v>11</v>
      </c>
      <c r="D263" s="19" t="s">
        <v>14</v>
      </c>
      <c r="E263" s="4">
        <v>0.8</v>
      </c>
      <c r="F263" s="42">
        <v>2.2000000000000002</v>
      </c>
      <c r="G263" s="45">
        <v>391</v>
      </c>
      <c r="H263" s="22">
        <v>1.9</v>
      </c>
      <c r="I263" s="30">
        <f t="shared" si="5"/>
        <v>1307.5040000000001</v>
      </c>
      <c r="J263" s="6" t="s">
        <v>97</v>
      </c>
      <c r="K263" s="17"/>
    </row>
    <row r="264" spans="1:11" ht="13.95" customHeight="1" x14ac:dyDescent="0.3">
      <c r="A264" s="3">
        <v>45920</v>
      </c>
      <c r="B264" s="3" t="s">
        <v>1635</v>
      </c>
      <c r="C264" s="19" t="s">
        <v>13</v>
      </c>
      <c r="D264" s="19" t="s">
        <v>14</v>
      </c>
      <c r="E264" s="4">
        <v>0.85</v>
      </c>
      <c r="F264" s="42">
        <v>2.5</v>
      </c>
      <c r="G264" s="45">
        <v>391</v>
      </c>
      <c r="H264" s="22">
        <v>1.9</v>
      </c>
      <c r="I264" s="30">
        <f t="shared" si="5"/>
        <v>1578.6624999999997</v>
      </c>
      <c r="J264" s="6" t="s">
        <v>1549</v>
      </c>
      <c r="K264" s="17"/>
    </row>
    <row r="265" spans="1:11" ht="13.95" customHeight="1" x14ac:dyDescent="0.3">
      <c r="A265" s="3">
        <v>45921</v>
      </c>
      <c r="B265" s="3" t="s">
        <v>1635</v>
      </c>
      <c r="C265" s="19" t="s">
        <v>16</v>
      </c>
      <c r="D265" s="19" t="s">
        <v>14</v>
      </c>
      <c r="E265" s="4">
        <v>0.8</v>
      </c>
      <c r="F265" s="42">
        <v>2.2999999999999998</v>
      </c>
      <c r="G265" s="45">
        <v>391</v>
      </c>
      <c r="H265" s="22">
        <v>1.9</v>
      </c>
      <c r="I265" s="30">
        <f t="shared" si="5"/>
        <v>1366.9359999999999</v>
      </c>
      <c r="J265" s="6" t="s">
        <v>149</v>
      </c>
      <c r="K265" s="17"/>
    </row>
    <row r="266" spans="1:11" ht="13.95" customHeight="1" x14ac:dyDescent="0.3">
      <c r="A266" s="3">
        <v>45922</v>
      </c>
      <c r="B266" s="3" t="s">
        <v>1635</v>
      </c>
      <c r="C266" s="19" t="s">
        <v>18</v>
      </c>
      <c r="D266" s="19" t="s">
        <v>1330</v>
      </c>
      <c r="E266" s="4">
        <v>0.7</v>
      </c>
      <c r="F266" s="42">
        <v>2</v>
      </c>
      <c r="G266" s="45">
        <v>391</v>
      </c>
      <c r="H266" s="22">
        <v>1.9</v>
      </c>
      <c r="I266" s="30">
        <f t="shared" si="5"/>
        <v>1040.06</v>
      </c>
      <c r="J266" s="6" t="s">
        <v>150</v>
      </c>
      <c r="K266" s="17"/>
    </row>
    <row r="267" spans="1:11" ht="13.95" customHeight="1" x14ac:dyDescent="0.3">
      <c r="A267" s="3">
        <v>45923</v>
      </c>
      <c r="B267" s="3" t="s">
        <v>1635</v>
      </c>
      <c r="C267" s="19" t="s">
        <v>20</v>
      </c>
      <c r="D267" s="19" t="s">
        <v>1330</v>
      </c>
      <c r="E267" s="4">
        <v>0.68</v>
      </c>
      <c r="F267" s="42">
        <v>2</v>
      </c>
      <c r="G267" s="45">
        <v>391</v>
      </c>
      <c r="H267" s="22">
        <v>1.9</v>
      </c>
      <c r="I267" s="30">
        <f t="shared" si="5"/>
        <v>1010.3439999999999</v>
      </c>
      <c r="J267" s="6" t="s">
        <v>150</v>
      </c>
      <c r="K267" s="17"/>
    </row>
    <row r="268" spans="1:11" ht="13.95" customHeight="1" x14ac:dyDescent="0.3">
      <c r="A268" s="3">
        <v>45924</v>
      </c>
      <c r="B268" s="3" t="s">
        <v>1635</v>
      </c>
      <c r="C268" s="19" t="s">
        <v>5</v>
      </c>
      <c r="D268" s="19" t="s">
        <v>1330</v>
      </c>
      <c r="E268" s="4">
        <v>0.65</v>
      </c>
      <c r="F268" s="42">
        <v>1.95</v>
      </c>
      <c r="G268" s="45">
        <v>391</v>
      </c>
      <c r="H268" s="22">
        <v>1.9</v>
      </c>
      <c r="I268" s="30">
        <f t="shared" si="5"/>
        <v>941.62574999999993</v>
      </c>
      <c r="J268" s="6" t="s">
        <v>71</v>
      </c>
      <c r="K268" s="17"/>
    </row>
    <row r="269" spans="1:11" ht="13.95" customHeight="1" x14ac:dyDescent="0.3">
      <c r="A269" s="3">
        <v>45925</v>
      </c>
      <c r="B269" s="3" t="s">
        <v>1635</v>
      </c>
      <c r="C269" s="19" t="s">
        <v>8</v>
      </c>
      <c r="D269" s="19" t="s">
        <v>1330</v>
      </c>
      <c r="E269" s="4">
        <v>0.7</v>
      </c>
      <c r="F269" s="42">
        <v>2.0499999999999998</v>
      </c>
      <c r="G269" s="45">
        <v>391</v>
      </c>
      <c r="H269" s="22">
        <v>1.9</v>
      </c>
      <c r="I269" s="30">
        <f t="shared" si="5"/>
        <v>1066.0614999999998</v>
      </c>
      <c r="J269" s="6" t="s">
        <v>71</v>
      </c>
      <c r="K269" s="17"/>
    </row>
    <row r="270" spans="1:11" ht="13.95" customHeight="1" x14ac:dyDescent="0.3">
      <c r="A270" s="3">
        <v>45926</v>
      </c>
      <c r="B270" s="3" t="s">
        <v>1635</v>
      </c>
      <c r="C270" s="19" t="s">
        <v>11</v>
      </c>
      <c r="D270" s="19" t="s">
        <v>14</v>
      </c>
      <c r="E270" s="4">
        <v>0.75</v>
      </c>
      <c r="F270" s="42">
        <v>2.2000000000000002</v>
      </c>
      <c r="G270" s="45">
        <v>391</v>
      </c>
      <c r="H270" s="22">
        <v>1.9</v>
      </c>
      <c r="I270" s="30">
        <f t="shared" si="5"/>
        <v>1225.7850000000001</v>
      </c>
      <c r="J270" s="6" t="s">
        <v>97</v>
      </c>
      <c r="K270" s="17"/>
    </row>
    <row r="271" spans="1:11" ht="13.95" customHeight="1" x14ac:dyDescent="0.3">
      <c r="A271" s="3">
        <v>45927</v>
      </c>
      <c r="B271" s="3" t="s">
        <v>1635</v>
      </c>
      <c r="C271" s="19" t="s">
        <v>13</v>
      </c>
      <c r="D271" s="19" t="s">
        <v>14</v>
      </c>
      <c r="E271" s="4">
        <v>0.82</v>
      </c>
      <c r="F271" s="42">
        <v>2.5499999999999998</v>
      </c>
      <c r="G271" s="45">
        <v>391</v>
      </c>
      <c r="H271" s="22">
        <v>1.9</v>
      </c>
      <c r="I271" s="30">
        <f t="shared" si="5"/>
        <v>1553.4038999999998</v>
      </c>
      <c r="J271" s="6" t="s">
        <v>1550</v>
      </c>
      <c r="K271" s="17"/>
    </row>
    <row r="272" spans="1:11" ht="13.95" customHeight="1" x14ac:dyDescent="0.3">
      <c r="A272" s="3">
        <v>45928</v>
      </c>
      <c r="B272" s="3" t="s">
        <v>1635</v>
      </c>
      <c r="C272" s="19" t="s">
        <v>16</v>
      </c>
      <c r="D272" s="19" t="s">
        <v>14</v>
      </c>
      <c r="E272" s="4">
        <v>0.78</v>
      </c>
      <c r="F272" s="42">
        <v>2.2999999999999998</v>
      </c>
      <c r="G272" s="45">
        <v>391</v>
      </c>
      <c r="H272" s="22">
        <v>1.9</v>
      </c>
      <c r="I272" s="30">
        <f t="shared" si="5"/>
        <v>1332.7625999999998</v>
      </c>
      <c r="J272" s="6" t="s">
        <v>149</v>
      </c>
      <c r="K272" s="17"/>
    </row>
    <row r="273" spans="1:11" ht="13.95" customHeight="1" x14ac:dyDescent="0.3">
      <c r="A273" s="3">
        <v>45929</v>
      </c>
      <c r="B273" s="3" t="s">
        <v>1635</v>
      </c>
      <c r="C273" s="19" t="s">
        <v>18</v>
      </c>
      <c r="D273" s="19" t="s">
        <v>1330</v>
      </c>
      <c r="E273" s="4">
        <v>0.7</v>
      </c>
      <c r="F273" s="42">
        <v>2</v>
      </c>
      <c r="G273" s="45">
        <v>391</v>
      </c>
      <c r="H273" s="22">
        <v>1.9</v>
      </c>
      <c r="I273" s="30">
        <f t="shared" si="5"/>
        <v>1040.06</v>
      </c>
      <c r="J273" s="6" t="s">
        <v>99</v>
      </c>
      <c r="K273" s="17"/>
    </row>
    <row r="274" spans="1:11" ht="13.95" customHeight="1" x14ac:dyDescent="0.3">
      <c r="A274" s="3">
        <v>45930</v>
      </c>
      <c r="B274" s="3" t="s">
        <v>1635</v>
      </c>
      <c r="C274" s="19" t="s">
        <v>20</v>
      </c>
      <c r="D274" s="19" t="s">
        <v>1330</v>
      </c>
      <c r="E274" s="4">
        <v>0.72</v>
      </c>
      <c r="F274" s="42">
        <v>2.0499999999999998</v>
      </c>
      <c r="G274" s="45">
        <v>391</v>
      </c>
      <c r="H274" s="22">
        <v>1.9</v>
      </c>
      <c r="I274" s="30">
        <f t="shared" si="5"/>
        <v>1096.5203999999997</v>
      </c>
      <c r="J274" s="6" t="s">
        <v>1458</v>
      </c>
      <c r="K274" s="17"/>
    </row>
    <row r="275" spans="1:11" ht="13.95" customHeight="1" x14ac:dyDescent="0.3">
      <c r="A275" s="3">
        <v>45931</v>
      </c>
      <c r="B275" s="3" t="s">
        <v>1635</v>
      </c>
      <c r="C275" s="19" t="s">
        <v>5</v>
      </c>
      <c r="D275" s="19" t="s">
        <v>1259</v>
      </c>
      <c r="E275" s="4">
        <v>0.65</v>
      </c>
      <c r="F275" s="42">
        <v>1.95</v>
      </c>
      <c r="G275" s="45">
        <v>391</v>
      </c>
      <c r="H275" s="22">
        <v>1.9</v>
      </c>
      <c r="I275" s="30">
        <f t="shared" si="5"/>
        <v>941.62574999999993</v>
      </c>
      <c r="J275" s="6" t="s">
        <v>1551</v>
      </c>
      <c r="K275" s="17"/>
    </row>
    <row r="276" spans="1:11" ht="13.95" customHeight="1" x14ac:dyDescent="0.3">
      <c r="A276" s="3">
        <v>45932</v>
      </c>
      <c r="B276" s="3" t="s">
        <v>1635</v>
      </c>
      <c r="C276" s="19" t="s">
        <v>8</v>
      </c>
      <c r="D276" s="19" t="s">
        <v>1259</v>
      </c>
      <c r="E276" s="4">
        <v>0.6</v>
      </c>
      <c r="F276" s="42">
        <v>1.9</v>
      </c>
      <c r="G276" s="45">
        <v>391</v>
      </c>
      <c r="H276" s="22">
        <v>1.9</v>
      </c>
      <c r="I276" s="30">
        <f t="shared" si="5"/>
        <v>846.90599999999984</v>
      </c>
      <c r="J276" s="6" t="s">
        <v>150</v>
      </c>
      <c r="K276" s="17"/>
    </row>
    <row r="277" spans="1:11" ht="13.95" customHeight="1" x14ac:dyDescent="0.3">
      <c r="A277" s="3">
        <v>45933</v>
      </c>
      <c r="B277" s="3" t="s">
        <v>1635</v>
      </c>
      <c r="C277" s="19" t="s">
        <v>11</v>
      </c>
      <c r="D277" s="19" t="s">
        <v>14</v>
      </c>
      <c r="E277" s="4">
        <v>0.68</v>
      </c>
      <c r="F277" s="42">
        <v>2.1</v>
      </c>
      <c r="G277" s="45">
        <v>391</v>
      </c>
      <c r="H277" s="22">
        <v>1.9</v>
      </c>
      <c r="I277" s="30">
        <f t="shared" si="5"/>
        <v>1060.8612000000001</v>
      </c>
      <c r="J277" s="6" t="s">
        <v>1124</v>
      </c>
      <c r="K277" s="17"/>
    </row>
    <row r="278" spans="1:11" ht="13.95" customHeight="1" x14ac:dyDescent="0.3">
      <c r="A278" s="3">
        <v>45934</v>
      </c>
      <c r="B278" s="3" t="s">
        <v>1635</v>
      </c>
      <c r="C278" s="19" t="s">
        <v>13</v>
      </c>
      <c r="D278" s="19" t="s">
        <v>14</v>
      </c>
      <c r="E278" s="4">
        <v>0.75</v>
      </c>
      <c r="F278" s="42">
        <v>2.5</v>
      </c>
      <c r="G278" s="45">
        <v>391</v>
      </c>
      <c r="H278" s="22">
        <v>1.9</v>
      </c>
      <c r="I278" s="30">
        <f t="shared" si="5"/>
        <v>1392.9375</v>
      </c>
      <c r="J278" s="6" t="s">
        <v>1460</v>
      </c>
      <c r="K278" s="17"/>
    </row>
    <row r="279" spans="1:11" ht="13.95" customHeight="1" x14ac:dyDescent="0.3">
      <c r="A279" s="3">
        <v>45935</v>
      </c>
      <c r="B279" s="3" t="s">
        <v>1635</v>
      </c>
      <c r="C279" s="19" t="s">
        <v>16</v>
      </c>
      <c r="D279" s="19" t="s">
        <v>14</v>
      </c>
      <c r="E279" s="4">
        <v>0.7</v>
      </c>
      <c r="F279" s="42">
        <v>2.2000000000000002</v>
      </c>
      <c r="G279" s="45">
        <v>391</v>
      </c>
      <c r="H279" s="22">
        <v>1.9</v>
      </c>
      <c r="I279" s="30">
        <f t="shared" si="5"/>
        <v>1144.066</v>
      </c>
      <c r="J279" s="6" t="s">
        <v>139</v>
      </c>
      <c r="K279" s="17"/>
    </row>
    <row r="280" spans="1:11" ht="13.95" customHeight="1" x14ac:dyDescent="0.3">
      <c r="A280" s="3">
        <v>45936</v>
      </c>
      <c r="B280" s="3" t="s">
        <v>1635</v>
      </c>
      <c r="C280" s="19" t="s">
        <v>18</v>
      </c>
      <c r="D280" s="19" t="s">
        <v>1259</v>
      </c>
      <c r="E280" s="4">
        <v>0.55000000000000004</v>
      </c>
      <c r="F280" s="42">
        <v>1.85</v>
      </c>
      <c r="G280" s="45">
        <v>391</v>
      </c>
      <c r="H280" s="22">
        <v>1.9</v>
      </c>
      <c r="I280" s="30">
        <f t="shared" si="5"/>
        <v>755.90075000000002</v>
      </c>
      <c r="J280" s="6" t="s">
        <v>150</v>
      </c>
      <c r="K280" s="17"/>
    </row>
    <row r="281" spans="1:11" ht="13.95" customHeight="1" x14ac:dyDescent="0.3">
      <c r="A281" s="3">
        <v>45937</v>
      </c>
      <c r="B281" s="3" t="s">
        <v>1635</v>
      </c>
      <c r="C281" s="19" t="s">
        <v>20</v>
      </c>
      <c r="D281" s="19" t="s">
        <v>1259</v>
      </c>
      <c r="E281" s="4">
        <v>0.52</v>
      </c>
      <c r="F281" s="42">
        <v>1.85</v>
      </c>
      <c r="G281" s="45">
        <v>391</v>
      </c>
      <c r="H281" s="22">
        <v>1.9</v>
      </c>
      <c r="I281" s="30">
        <f t="shared" si="5"/>
        <v>714.66980000000001</v>
      </c>
      <c r="J281" s="6" t="s">
        <v>150</v>
      </c>
      <c r="K281" s="17"/>
    </row>
    <row r="282" spans="1:11" ht="13.95" customHeight="1" x14ac:dyDescent="0.3">
      <c r="A282" s="3">
        <v>45938</v>
      </c>
      <c r="B282" s="3" t="s">
        <v>1635</v>
      </c>
      <c r="C282" s="19" t="s">
        <v>5</v>
      </c>
      <c r="D282" s="19" t="s">
        <v>1259</v>
      </c>
      <c r="E282" s="4">
        <v>0.5</v>
      </c>
      <c r="F282" s="42">
        <v>1.85</v>
      </c>
      <c r="G282" s="45">
        <v>391</v>
      </c>
      <c r="H282" s="22">
        <v>1.9</v>
      </c>
      <c r="I282" s="30">
        <f t="shared" si="5"/>
        <v>687.1825</v>
      </c>
      <c r="J282" s="6" t="s">
        <v>71</v>
      </c>
      <c r="K282" s="17"/>
    </row>
    <row r="283" spans="1:11" ht="13.95" customHeight="1" x14ac:dyDescent="0.3">
      <c r="A283" s="3">
        <v>45939</v>
      </c>
      <c r="B283" s="3" t="s">
        <v>1635</v>
      </c>
      <c r="C283" s="19" t="s">
        <v>8</v>
      </c>
      <c r="D283" s="19" t="s">
        <v>1259</v>
      </c>
      <c r="E283" s="4">
        <v>0.55000000000000004</v>
      </c>
      <c r="F283" s="42">
        <v>1.9</v>
      </c>
      <c r="G283" s="45">
        <v>391</v>
      </c>
      <c r="H283" s="22">
        <v>1.9</v>
      </c>
      <c r="I283" s="30">
        <f t="shared" si="5"/>
        <v>776.33050000000003</v>
      </c>
      <c r="J283" s="6" t="s">
        <v>1410</v>
      </c>
      <c r="K283" s="17"/>
    </row>
    <row r="284" spans="1:11" ht="13.95" customHeight="1" x14ac:dyDescent="0.3">
      <c r="A284" s="3">
        <v>45940</v>
      </c>
      <c r="B284" s="3" t="s">
        <v>1635</v>
      </c>
      <c r="C284" s="19" t="s">
        <v>11</v>
      </c>
      <c r="D284" s="19" t="s">
        <v>14</v>
      </c>
      <c r="E284" s="4">
        <v>0.65</v>
      </c>
      <c r="F284" s="42">
        <v>2.1</v>
      </c>
      <c r="G284" s="45">
        <v>391</v>
      </c>
      <c r="H284" s="22">
        <v>1.9</v>
      </c>
      <c r="I284" s="30">
        <f t="shared" si="5"/>
        <v>1014.0585</v>
      </c>
      <c r="J284" s="6" t="s">
        <v>97</v>
      </c>
      <c r="K284" s="17"/>
    </row>
    <row r="285" spans="1:11" ht="13.95" customHeight="1" x14ac:dyDescent="0.3">
      <c r="A285" s="3">
        <v>45941</v>
      </c>
      <c r="B285" s="3" t="s">
        <v>1635</v>
      </c>
      <c r="C285" s="19" t="s">
        <v>13</v>
      </c>
      <c r="D285" s="19" t="s">
        <v>14</v>
      </c>
      <c r="E285" s="4">
        <v>0.72</v>
      </c>
      <c r="F285" s="42">
        <v>2.4</v>
      </c>
      <c r="G285" s="45">
        <v>391</v>
      </c>
      <c r="H285" s="22">
        <v>1.9</v>
      </c>
      <c r="I285" s="30">
        <f t="shared" si="5"/>
        <v>1283.7311999999997</v>
      </c>
      <c r="J285" s="6" t="s">
        <v>746</v>
      </c>
      <c r="K285" s="17"/>
    </row>
    <row r="286" spans="1:11" ht="13.95" customHeight="1" x14ac:dyDescent="0.3">
      <c r="A286" s="3">
        <v>45942</v>
      </c>
      <c r="B286" s="3" t="s">
        <v>1635</v>
      </c>
      <c r="C286" s="19" t="s">
        <v>16</v>
      </c>
      <c r="D286" s="19" t="s">
        <v>14</v>
      </c>
      <c r="E286" s="4">
        <v>0.65</v>
      </c>
      <c r="F286" s="42">
        <v>2.15</v>
      </c>
      <c r="G286" s="45">
        <v>391</v>
      </c>
      <c r="H286" s="22">
        <v>1.9</v>
      </c>
      <c r="I286" s="30">
        <f t="shared" si="5"/>
        <v>1038.2027499999999</v>
      </c>
      <c r="J286" s="6" t="s">
        <v>149</v>
      </c>
      <c r="K286" s="17"/>
    </row>
    <row r="287" spans="1:11" ht="13.95" customHeight="1" x14ac:dyDescent="0.3">
      <c r="A287" s="3">
        <v>45943</v>
      </c>
      <c r="B287" s="3" t="s">
        <v>1635</v>
      </c>
      <c r="C287" s="19" t="s">
        <v>18</v>
      </c>
      <c r="D287" s="19" t="s">
        <v>1259</v>
      </c>
      <c r="E287" s="4">
        <v>0.5</v>
      </c>
      <c r="F287" s="42">
        <v>1.85</v>
      </c>
      <c r="G287" s="45">
        <v>391</v>
      </c>
      <c r="H287" s="22">
        <v>1.9</v>
      </c>
      <c r="I287" s="30">
        <f t="shared" si="5"/>
        <v>687.1825</v>
      </c>
      <c r="J287" s="6" t="s">
        <v>150</v>
      </c>
      <c r="K287" s="17"/>
    </row>
    <row r="288" spans="1:11" ht="13.95" customHeight="1" x14ac:dyDescent="0.3">
      <c r="A288" s="3">
        <v>45944</v>
      </c>
      <c r="B288" s="3" t="s">
        <v>1635</v>
      </c>
      <c r="C288" s="19" t="s">
        <v>20</v>
      </c>
      <c r="D288" s="19" t="s">
        <v>1259</v>
      </c>
      <c r="E288" s="4">
        <v>0.55000000000000004</v>
      </c>
      <c r="F288" s="42">
        <v>1.85</v>
      </c>
      <c r="G288" s="45">
        <v>391</v>
      </c>
      <c r="H288" s="22">
        <v>1.9</v>
      </c>
      <c r="I288" s="30">
        <f t="shared" si="5"/>
        <v>755.90075000000002</v>
      </c>
      <c r="J288" s="6" t="s">
        <v>150</v>
      </c>
      <c r="K288" s="17"/>
    </row>
    <row r="289" spans="1:11" ht="13.95" customHeight="1" x14ac:dyDescent="0.3">
      <c r="A289" s="3">
        <v>45945</v>
      </c>
      <c r="B289" s="3" t="s">
        <v>1635</v>
      </c>
      <c r="C289" s="19" t="s">
        <v>5</v>
      </c>
      <c r="D289" s="19" t="s">
        <v>865</v>
      </c>
      <c r="E289" s="4">
        <v>0.68</v>
      </c>
      <c r="F289" s="42">
        <v>2.2000000000000002</v>
      </c>
      <c r="G289" s="45">
        <v>391</v>
      </c>
      <c r="H289" s="22">
        <v>1.9</v>
      </c>
      <c r="I289" s="30">
        <f t="shared" si="5"/>
        <v>1111.3784000000001</v>
      </c>
      <c r="J289" s="6" t="s">
        <v>1511</v>
      </c>
      <c r="K289" s="17"/>
    </row>
    <row r="290" spans="1:11" ht="13.95" customHeight="1" x14ac:dyDescent="0.3">
      <c r="A290" s="3">
        <v>45946</v>
      </c>
      <c r="B290" s="3" t="s">
        <v>1635</v>
      </c>
      <c r="C290" s="19" t="s">
        <v>8</v>
      </c>
      <c r="D290" s="19" t="s">
        <v>1259</v>
      </c>
      <c r="E290" s="4">
        <v>0.55000000000000004</v>
      </c>
      <c r="F290" s="42">
        <v>1.9</v>
      </c>
      <c r="G290" s="45">
        <v>391</v>
      </c>
      <c r="H290" s="22">
        <v>1.9</v>
      </c>
      <c r="I290" s="30">
        <f t="shared" si="5"/>
        <v>776.33050000000003</v>
      </c>
      <c r="J290" s="6" t="s">
        <v>70</v>
      </c>
      <c r="K290" s="17"/>
    </row>
    <row r="291" spans="1:11" ht="13.95" customHeight="1" x14ac:dyDescent="0.3">
      <c r="A291" s="3">
        <v>45947</v>
      </c>
      <c r="B291" s="3" t="s">
        <v>1635</v>
      </c>
      <c r="C291" s="19" t="s">
        <v>11</v>
      </c>
      <c r="D291" s="19" t="s">
        <v>1434</v>
      </c>
      <c r="E291" s="4">
        <v>0.72</v>
      </c>
      <c r="F291" s="42">
        <v>2.1</v>
      </c>
      <c r="G291" s="45">
        <v>391</v>
      </c>
      <c r="H291" s="22">
        <v>1.9</v>
      </c>
      <c r="I291" s="30">
        <f t="shared" si="5"/>
        <v>1123.2647999999999</v>
      </c>
      <c r="J291" s="6" t="s">
        <v>1461</v>
      </c>
      <c r="K291" s="17"/>
    </row>
    <row r="292" spans="1:11" ht="13.95" customHeight="1" x14ac:dyDescent="0.3">
      <c r="A292" s="3">
        <v>45948</v>
      </c>
      <c r="B292" s="3" t="s">
        <v>1635</v>
      </c>
      <c r="C292" s="19" t="s">
        <v>13</v>
      </c>
      <c r="D292" s="19" t="s">
        <v>1434</v>
      </c>
      <c r="E292" s="4">
        <v>0.8</v>
      </c>
      <c r="F292" s="42">
        <v>2.4500000000000002</v>
      </c>
      <c r="G292" s="45">
        <v>391</v>
      </c>
      <c r="H292" s="22">
        <v>1.9</v>
      </c>
      <c r="I292" s="30">
        <f t="shared" si="5"/>
        <v>1456.0840000000003</v>
      </c>
      <c r="J292" s="6" t="s">
        <v>1323</v>
      </c>
      <c r="K292" s="17"/>
    </row>
    <row r="293" spans="1:11" ht="13.95" customHeight="1" x14ac:dyDescent="0.3">
      <c r="A293" s="3">
        <v>45949</v>
      </c>
      <c r="B293" s="3" t="s">
        <v>1635</v>
      </c>
      <c r="C293" s="19" t="s">
        <v>16</v>
      </c>
      <c r="D293" s="19" t="s">
        <v>1434</v>
      </c>
      <c r="E293" s="4">
        <v>0.75</v>
      </c>
      <c r="F293" s="42">
        <v>2.25</v>
      </c>
      <c r="G293" s="45">
        <v>391</v>
      </c>
      <c r="H293" s="22">
        <v>1.9</v>
      </c>
      <c r="I293" s="30">
        <f t="shared" si="5"/>
        <v>1253.64375</v>
      </c>
      <c r="J293" s="6" t="s">
        <v>1275</v>
      </c>
      <c r="K293" s="17"/>
    </row>
    <row r="294" spans="1:11" ht="13.95" customHeight="1" x14ac:dyDescent="0.3">
      <c r="A294" s="3">
        <v>45950</v>
      </c>
      <c r="B294" s="3" t="s">
        <v>1635</v>
      </c>
      <c r="C294" s="19" t="s">
        <v>18</v>
      </c>
      <c r="D294" s="19" t="s">
        <v>1434</v>
      </c>
      <c r="E294" s="4">
        <v>0.72</v>
      </c>
      <c r="F294" s="42">
        <v>2.0499999999999998</v>
      </c>
      <c r="G294" s="45">
        <v>391</v>
      </c>
      <c r="H294" s="22">
        <v>1.9</v>
      </c>
      <c r="I294" s="30">
        <f t="shared" si="5"/>
        <v>1096.5203999999997</v>
      </c>
      <c r="J294" s="6" t="s">
        <v>1552</v>
      </c>
      <c r="K294" s="17"/>
    </row>
    <row r="295" spans="1:11" ht="13.95" customHeight="1" x14ac:dyDescent="0.3">
      <c r="A295" s="3">
        <v>45951</v>
      </c>
      <c r="B295" s="3" t="s">
        <v>1635</v>
      </c>
      <c r="C295" s="19" t="s">
        <v>20</v>
      </c>
      <c r="D295" s="19" t="s">
        <v>1434</v>
      </c>
      <c r="E295" s="4">
        <v>0.7</v>
      </c>
      <c r="F295" s="42">
        <v>2.0499999999999998</v>
      </c>
      <c r="G295" s="45">
        <v>391</v>
      </c>
      <c r="H295" s="22">
        <v>1.9</v>
      </c>
      <c r="I295" s="30">
        <f t="shared" si="5"/>
        <v>1066.0614999999998</v>
      </c>
      <c r="J295" s="6" t="s">
        <v>1552</v>
      </c>
      <c r="K295" s="17"/>
    </row>
    <row r="296" spans="1:11" ht="13.95" customHeight="1" x14ac:dyDescent="0.3">
      <c r="A296" s="3">
        <v>45952</v>
      </c>
      <c r="B296" s="3" t="s">
        <v>1635</v>
      </c>
      <c r="C296" s="19" t="s">
        <v>5</v>
      </c>
      <c r="D296" s="19" t="s">
        <v>1434</v>
      </c>
      <c r="E296" s="4">
        <v>0.72</v>
      </c>
      <c r="F296" s="42">
        <v>2.0499999999999998</v>
      </c>
      <c r="G296" s="45">
        <v>391</v>
      </c>
      <c r="H296" s="22">
        <v>1.9</v>
      </c>
      <c r="I296" s="30">
        <f t="shared" si="5"/>
        <v>1096.5203999999997</v>
      </c>
      <c r="J296" s="6" t="s">
        <v>1552</v>
      </c>
      <c r="K296" s="17"/>
    </row>
    <row r="297" spans="1:11" ht="13.95" customHeight="1" x14ac:dyDescent="0.3">
      <c r="A297" s="3">
        <v>45953</v>
      </c>
      <c r="B297" s="3" t="s">
        <v>1635</v>
      </c>
      <c r="C297" s="19" t="s">
        <v>8</v>
      </c>
      <c r="D297" s="19" t="s">
        <v>1434</v>
      </c>
      <c r="E297" s="4">
        <v>0.75</v>
      </c>
      <c r="F297" s="42">
        <v>2.1</v>
      </c>
      <c r="G297" s="45">
        <v>391</v>
      </c>
      <c r="H297" s="22">
        <v>1.9</v>
      </c>
      <c r="I297" s="30">
        <f t="shared" si="5"/>
        <v>1170.0675000000001</v>
      </c>
      <c r="J297" s="6" t="s">
        <v>1552</v>
      </c>
      <c r="K297" s="17"/>
    </row>
    <row r="298" spans="1:11" ht="13.95" customHeight="1" x14ac:dyDescent="0.3">
      <c r="A298" s="3">
        <v>45954</v>
      </c>
      <c r="B298" s="3" t="s">
        <v>1635</v>
      </c>
      <c r="C298" s="19" t="s">
        <v>11</v>
      </c>
      <c r="D298" s="19" t="s">
        <v>14</v>
      </c>
      <c r="E298" s="4">
        <v>0.8</v>
      </c>
      <c r="F298" s="42">
        <v>2.25</v>
      </c>
      <c r="G298" s="45">
        <v>391</v>
      </c>
      <c r="H298" s="22">
        <v>1.9</v>
      </c>
      <c r="I298" s="30">
        <f t="shared" si="5"/>
        <v>1337.22</v>
      </c>
      <c r="J298" s="6" t="s">
        <v>1463</v>
      </c>
      <c r="K298" s="17"/>
    </row>
    <row r="299" spans="1:11" ht="13.95" customHeight="1" x14ac:dyDescent="0.3">
      <c r="A299" s="3">
        <v>45955</v>
      </c>
      <c r="B299" s="3" t="s">
        <v>1635</v>
      </c>
      <c r="C299" s="19" t="s">
        <v>13</v>
      </c>
      <c r="D299" s="19" t="s">
        <v>14</v>
      </c>
      <c r="E299" s="4">
        <v>0.88</v>
      </c>
      <c r="F299" s="42">
        <v>2.5499999999999998</v>
      </c>
      <c r="G299" s="45">
        <v>391</v>
      </c>
      <c r="H299" s="22">
        <v>1.9</v>
      </c>
      <c r="I299" s="30">
        <f t="shared" si="5"/>
        <v>1667.0675999999996</v>
      </c>
      <c r="J299" s="6" t="s">
        <v>1553</v>
      </c>
      <c r="K299" s="17"/>
    </row>
    <row r="300" spans="1:11" ht="13.95" customHeight="1" x14ac:dyDescent="0.3">
      <c r="A300" s="3">
        <v>45956</v>
      </c>
      <c r="B300" s="3" t="s">
        <v>1635</v>
      </c>
      <c r="C300" s="19" t="s">
        <v>16</v>
      </c>
      <c r="D300" s="19" t="s">
        <v>14</v>
      </c>
      <c r="E300" s="4">
        <v>0.82</v>
      </c>
      <c r="F300" s="42">
        <v>2.2999999999999998</v>
      </c>
      <c r="G300" s="45">
        <v>391</v>
      </c>
      <c r="H300" s="22">
        <v>1.9</v>
      </c>
      <c r="I300" s="30">
        <f t="shared" si="5"/>
        <v>1401.1093999999998</v>
      </c>
      <c r="J300" s="6" t="s">
        <v>149</v>
      </c>
      <c r="K300" s="17"/>
    </row>
    <row r="301" spans="1:11" ht="13.95" customHeight="1" x14ac:dyDescent="0.3">
      <c r="A301" s="3">
        <v>45957</v>
      </c>
      <c r="B301" s="3" t="s">
        <v>1635</v>
      </c>
      <c r="C301" s="19" t="s">
        <v>18</v>
      </c>
      <c r="D301" s="19" t="s">
        <v>1259</v>
      </c>
      <c r="E301" s="4">
        <v>0.65</v>
      </c>
      <c r="F301" s="42">
        <v>1.95</v>
      </c>
      <c r="G301" s="45">
        <v>391</v>
      </c>
      <c r="H301" s="22">
        <v>1.9</v>
      </c>
      <c r="I301" s="30">
        <f t="shared" si="5"/>
        <v>941.62574999999993</v>
      </c>
      <c r="J301" s="6" t="s">
        <v>1371</v>
      </c>
      <c r="K301" s="17"/>
    </row>
    <row r="302" spans="1:11" ht="13.95" customHeight="1" x14ac:dyDescent="0.3">
      <c r="A302" s="3">
        <v>45958</v>
      </c>
      <c r="B302" s="3" t="s">
        <v>1635</v>
      </c>
      <c r="C302" s="19" t="s">
        <v>20</v>
      </c>
      <c r="D302" s="19" t="s">
        <v>1259</v>
      </c>
      <c r="E302" s="4">
        <v>0.6</v>
      </c>
      <c r="F302" s="42">
        <v>1.9</v>
      </c>
      <c r="G302" s="45">
        <v>391</v>
      </c>
      <c r="H302" s="22">
        <v>1.9</v>
      </c>
      <c r="I302" s="30">
        <f t="shared" si="5"/>
        <v>846.90599999999984</v>
      </c>
      <c r="J302" s="6" t="s">
        <v>150</v>
      </c>
      <c r="K302" s="17"/>
    </row>
    <row r="303" spans="1:11" ht="13.95" customHeight="1" x14ac:dyDescent="0.3">
      <c r="A303" s="3">
        <v>45959</v>
      </c>
      <c r="B303" s="3" t="s">
        <v>1635</v>
      </c>
      <c r="C303" s="19" t="s">
        <v>5</v>
      </c>
      <c r="D303" s="19" t="s">
        <v>1259</v>
      </c>
      <c r="E303" s="4">
        <v>0.57999999999999996</v>
      </c>
      <c r="F303" s="42">
        <v>1.9</v>
      </c>
      <c r="G303" s="45">
        <v>391</v>
      </c>
      <c r="H303" s="22">
        <v>1.9</v>
      </c>
      <c r="I303" s="30">
        <f t="shared" si="5"/>
        <v>818.67579999999987</v>
      </c>
      <c r="J303" s="6" t="s">
        <v>150</v>
      </c>
      <c r="K303" s="17"/>
    </row>
    <row r="304" spans="1:11" ht="13.95" customHeight="1" x14ac:dyDescent="0.3">
      <c r="A304" s="3">
        <v>45960</v>
      </c>
      <c r="B304" s="3" t="s">
        <v>1635</v>
      </c>
      <c r="C304" s="19" t="s">
        <v>8</v>
      </c>
      <c r="D304" s="19" t="s">
        <v>1465</v>
      </c>
      <c r="E304" s="4">
        <v>0.65</v>
      </c>
      <c r="F304" s="42">
        <v>2</v>
      </c>
      <c r="G304" s="45">
        <v>391</v>
      </c>
      <c r="H304" s="22">
        <v>1.9</v>
      </c>
      <c r="I304" s="30">
        <f t="shared" si="5"/>
        <v>965.77</v>
      </c>
      <c r="J304" s="6" t="s">
        <v>1466</v>
      </c>
      <c r="K304" s="17"/>
    </row>
    <row r="305" spans="1:11" ht="13.95" customHeight="1" x14ac:dyDescent="0.3">
      <c r="A305" s="3">
        <v>45961</v>
      </c>
      <c r="B305" s="3" t="s">
        <v>1635</v>
      </c>
      <c r="C305" s="19" t="s">
        <v>11</v>
      </c>
      <c r="D305" s="19" t="s">
        <v>867</v>
      </c>
      <c r="E305" s="4">
        <v>0.78</v>
      </c>
      <c r="F305" s="42">
        <v>2.5</v>
      </c>
      <c r="G305" s="45">
        <v>391</v>
      </c>
      <c r="H305" s="22">
        <v>1.9</v>
      </c>
      <c r="I305" s="30">
        <f t="shared" si="5"/>
        <v>1448.655</v>
      </c>
      <c r="J305" s="6" t="s">
        <v>1554</v>
      </c>
      <c r="K305" s="17"/>
    </row>
    <row r="306" spans="1:11" ht="13.95" customHeight="1" x14ac:dyDescent="0.3">
      <c r="A306" s="3">
        <v>45962</v>
      </c>
      <c r="B306" s="3" t="s">
        <v>1635</v>
      </c>
      <c r="C306" s="19" t="s">
        <v>13</v>
      </c>
      <c r="D306" s="19" t="s">
        <v>1467</v>
      </c>
      <c r="E306" s="4">
        <v>0.65</v>
      </c>
      <c r="F306" s="42">
        <v>2.15</v>
      </c>
      <c r="G306" s="45">
        <v>391</v>
      </c>
      <c r="H306" s="22">
        <v>1.9</v>
      </c>
      <c r="I306" s="30">
        <f t="shared" si="5"/>
        <v>1038.2027499999999</v>
      </c>
      <c r="J306" s="6" t="s">
        <v>1468</v>
      </c>
      <c r="K306" s="17"/>
    </row>
    <row r="307" spans="1:11" ht="13.95" customHeight="1" x14ac:dyDescent="0.3">
      <c r="A307" s="3">
        <v>45963</v>
      </c>
      <c r="B307" s="3" t="s">
        <v>1635</v>
      </c>
      <c r="C307" s="19" t="s">
        <v>16</v>
      </c>
      <c r="D307" s="19" t="s">
        <v>14</v>
      </c>
      <c r="E307" s="4">
        <v>0.55000000000000004</v>
      </c>
      <c r="F307" s="42">
        <v>1.95</v>
      </c>
      <c r="G307" s="45">
        <v>391</v>
      </c>
      <c r="H307" s="22">
        <v>1.9</v>
      </c>
      <c r="I307" s="30">
        <f t="shared" si="5"/>
        <v>796.76025000000004</v>
      </c>
      <c r="J307" s="6" t="s">
        <v>1469</v>
      </c>
      <c r="K307" s="17"/>
    </row>
    <row r="308" spans="1:11" ht="13.95" customHeight="1" x14ac:dyDescent="0.3">
      <c r="A308" s="3">
        <v>45964</v>
      </c>
      <c r="B308" s="3" t="s">
        <v>1635</v>
      </c>
      <c r="C308" s="19" t="s">
        <v>18</v>
      </c>
      <c r="D308" s="19" t="s">
        <v>1259</v>
      </c>
      <c r="E308" s="4">
        <v>0.35</v>
      </c>
      <c r="F308" s="42">
        <v>1.75</v>
      </c>
      <c r="G308" s="45">
        <v>391</v>
      </c>
      <c r="H308" s="22">
        <v>1.9</v>
      </c>
      <c r="I308" s="30">
        <f t="shared" si="5"/>
        <v>455.02624999999995</v>
      </c>
      <c r="J308" s="6" t="s">
        <v>1555</v>
      </c>
      <c r="K308" s="17"/>
    </row>
    <row r="309" spans="1:11" ht="13.95" customHeight="1" x14ac:dyDescent="0.3">
      <c r="A309" s="3">
        <v>45965</v>
      </c>
      <c r="B309" s="3" t="s">
        <v>1635</v>
      </c>
      <c r="C309" s="19" t="s">
        <v>20</v>
      </c>
      <c r="D309" s="19" t="s">
        <v>1259</v>
      </c>
      <c r="E309" s="4">
        <v>0.32</v>
      </c>
      <c r="F309" s="42">
        <v>1.75</v>
      </c>
      <c r="G309" s="45">
        <v>391</v>
      </c>
      <c r="H309" s="22">
        <v>1.9</v>
      </c>
      <c r="I309" s="30">
        <f t="shared" si="5"/>
        <v>416.024</v>
      </c>
      <c r="J309" s="6" t="s">
        <v>1471</v>
      </c>
      <c r="K309" s="17"/>
    </row>
    <row r="310" spans="1:11" ht="13.95" customHeight="1" x14ac:dyDescent="0.3">
      <c r="A310" s="3">
        <v>45966</v>
      </c>
      <c r="B310" s="3" t="s">
        <v>1635</v>
      </c>
      <c r="C310" s="19" t="s">
        <v>5</v>
      </c>
      <c r="D310" s="19" t="s">
        <v>1259</v>
      </c>
      <c r="E310" s="4">
        <v>0.3</v>
      </c>
      <c r="F310" s="42">
        <v>1.7</v>
      </c>
      <c r="G310" s="45">
        <v>391</v>
      </c>
      <c r="H310" s="22">
        <v>1.9</v>
      </c>
      <c r="I310" s="30">
        <f t="shared" si="5"/>
        <v>378.87899999999996</v>
      </c>
      <c r="J310" s="6" t="s">
        <v>1472</v>
      </c>
      <c r="K310" s="17"/>
    </row>
    <row r="311" spans="1:11" ht="13.95" customHeight="1" x14ac:dyDescent="0.3">
      <c r="A311" s="3">
        <v>45967</v>
      </c>
      <c r="B311" s="3" t="s">
        <v>1635</v>
      </c>
      <c r="C311" s="19" t="s">
        <v>8</v>
      </c>
      <c r="D311" s="19" t="s">
        <v>1259</v>
      </c>
      <c r="E311" s="4">
        <v>0.35</v>
      </c>
      <c r="F311" s="42">
        <v>1.8</v>
      </c>
      <c r="G311" s="45">
        <v>391</v>
      </c>
      <c r="H311" s="22">
        <v>1.9</v>
      </c>
      <c r="I311" s="30">
        <f t="shared" si="5"/>
        <v>468.02699999999993</v>
      </c>
      <c r="J311" s="6" t="s">
        <v>1473</v>
      </c>
      <c r="K311" s="17"/>
    </row>
    <row r="312" spans="1:11" ht="13.95" customHeight="1" x14ac:dyDescent="0.3">
      <c r="A312" s="3">
        <v>45968</v>
      </c>
      <c r="B312" s="3" t="s">
        <v>1635</v>
      </c>
      <c r="C312" s="19" t="s">
        <v>11</v>
      </c>
      <c r="D312" s="19" t="s">
        <v>14</v>
      </c>
      <c r="E312" s="4">
        <v>0.4</v>
      </c>
      <c r="F312" s="42">
        <v>1.9</v>
      </c>
      <c r="G312" s="45">
        <v>391</v>
      </c>
      <c r="H312" s="22">
        <v>1.9</v>
      </c>
      <c r="I312" s="30">
        <f t="shared" si="5"/>
        <v>564.60400000000004</v>
      </c>
      <c r="J312" s="6" t="s">
        <v>1124</v>
      </c>
      <c r="K312" s="17"/>
    </row>
    <row r="313" spans="1:11" ht="13.95" customHeight="1" x14ac:dyDescent="0.3">
      <c r="A313" s="3">
        <v>45969</v>
      </c>
      <c r="B313" s="3" t="s">
        <v>1635</v>
      </c>
      <c r="C313" s="19" t="s">
        <v>13</v>
      </c>
      <c r="D313" s="19" t="s">
        <v>14</v>
      </c>
      <c r="E313" s="4">
        <v>0.55000000000000004</v>
      </c>
      <c r="F313" s="42">
        <v>2.2000000000000002</v>
      </c>
      <c r="G313" s="45">
        <v>391</v>
      </c>
      <c r="H313" s="22">
        <v>1.9</v>
      </c>
      <c r="I313" s="30">
        <f t="shared" si="5"/>
        <v>898.90900000000011</v>
      </c>
      <c r="J313" s="6" t="s">
        <v>1474</v>
      </c>
      <c r="K313" s="17"/>
    </row>
    <row r="314" spans="1:11" ht="13.95" customHeight="1" x14ac:dyDescent="0.3">
      <c r="A314" s="3">
        <v>45970</v>
      </c>
      <c r="B314" s="3" t="s">
        <v>1635</v>
      </c>
      <c r="C314" s="19" t="s">
        <v>16</v>
      </c>
      <c r="D314" s="19" t="s">
        <v>14</v>
      </c>
      <c r="E314" s="4">
        <v>0.45</v>
      </c>
      <c r="F314" s="42">
        <v>1.95</v>
      </c>
      <c r="G314" s="45">
        <v>391</v>
      </c>
      <c r="H314" s="22">
        <v>1.9</v>
      </c>
      <c r="I314" s="30">
        <f t="shared" si="5"/>
        <v>651.89475000000004</v>
      </c>
      <c r="J314" s="6" t="s">
        <v>149</v>
      </c>
      <c r="K314" s="17"/>
    </row>
    <row r="315" spans="1:11" ht="13.95" customHeight="1" x14ac:dyDescent="0.3">
      <c r="A315" s="3">
        <v>45971</v>
      </c>
      <c r="B315" s="3" t="s">
        <v>1635</v>
      </c>
      <c r="C315" s="19" t="s">
        <v>18</v>
      </c>
      <c r="D315" s="19" t="s">
        <v>1259</v>
      </c>
      <c r="E315" s="4">
        <v>0.32</v>
      </c>
      <c r="F315" s="42">
        <v>1.75</v>
      </c>
      <c r="G315" s="45">
        <v>391</v>
      </c>
      <c r="H315" s="22">
        <v>1.9</v>
      </c>
      <c r="I315" s="30">
        <f t="shared" si="5"/>
        <v>416.024</v>
      </c>
      <c r="J315" s="6" t="s">
        <v>150</v>
      </c>
      <c r="K315" s="17"/>
    </row>
    <row r="316" spans="1:11" ht="13.95" customHeight="1" x14ac:dyDescent="0.3">
      <c r="A316" s="3">
        <v>45972</v>
      </c>
      <c r="B316" s="3" t="s">
        <v>1635</v>
      </c>
      <c r="C316" s="19" t="s">
        <v>20</v>
      </c>
      <c r="D316" s="19" t="s">
        <v>1259</v>
      </c>
      <c r="E316" s="4">
        <v>0.3</v>
      </c>
      <c r="F316" s="42">
        <v>1.75</v>
      </c>
      <c r="G316" s="45">
        <v>391</v>
      </c>
      <c r="H316" s="22">
        <v>1.9</v>
      </c>
      <c r="I316" s="30">
        <f t="shared" si="5"/>
        <v>390.02249999999998</v>
      </c>
      <c r="J316" s="6" t="s">
        <v>150</v>
      </c>
      <c r="K316" s="17"/>
    </row>
    <row r="317" spans="1:11" ht="13.95" customHeight="1" x14ac:dyDescent="0.3">
      <c r="A317" s="3">
        <v>45973</v>
      </c>
      <c r="B317" s="3" t="s">
        <v>1635</v>
      </c>
      <c r="C317" s="19" t="s">
        <v>5</v>
      </c>
      <c r="D317" s="19" t="s">
        <v>1259</v>
      </c>
      <c r="E317" s="4">
        <v>0.28000000000000003</v>
      </c>
      <c r="F317" s="42">
        <v>1.7</v>
      </c>
      <c r="G317" s="45">
        <v>391</v>
      </c>
      <c r="H317" s="22">
        <v>1.9</v>
      </c>
      <c r="I317" s="30">
        <f t="shared" si="5"/>
        <v>353.62040000000002</v>
      </c>
      <c r="J317" s="6" t="s">
        <v>150</v>
      </c>
      <c r="K317" s="17"/>
    </row>
    <row r="318" spans="1:11" ht="13.95" customHeight="1" x14ac:dyDescent="0.3">
      <c r="A318" s="3">
        <v>45974</v>
      </c>
      <c r="B318" s="3" t="s">
        <v>1635</v>
      </c>
      <c r="C318" s="19" t="s">
        <v>8</v>
      </c>
      <c r="D318" s="19" t="s">
        <v>1259</v>
      </c>
      <c r="E318" s="4">
        <v>0.32</v>
      </c>
      <c r="F318" s="42">
        <v>1.75</v>
      </c>
      <c r="G318" s="45">
        <v>391</v>
      </c>
      <c r="H318" s="22">
        <v>1.9</v>
      </c>
      <c r="I318" s="30">
        <f t="shared" si="5"/>
        <v>416.024</v>
      </c>
      <c r="J318" s="6" t="s">
        <v>150</v>
      </c>
      <c r="K318" s="17"/>
    </row>
    <row r="319" spans="1:11" ht="13.95" customHeight="1" x14ac:dyDescent="0.3">
      <c r="A319" s="3">
        <v>45975</v>
      </c>
      <c r="B319" s="3" t="s">
        <v>1635</v>
      </c>
      <c r="C319" s="19" t="s">
        <v>11</v>
      </c>
      <c r="D319" s="19" t="s">
        <v>14</v>
      </c>
      <c r="E319" s="4">
        <v>0.4</v>
      </c>
      <c r="F319" s="42">
        <v>1.9</v>
      </c>
      <c r="G319" s="45">
        <v>391</v>
      </c>
      <c r="H319" s="22">
        <v>1.9</v>
      </c>
      <c r="I319" s="30">
        <f t="shared" si="5"/>
        <v>564.60400000000004</v>
      </c>
      <c r="J319" s="6" t="s">
        <v>97</v>
      </c>
      <c r="K319" s="17"/>
    </row>
    <row r="320" spans="1:11" ht="13.95" customHeight="1" x14ac:dyDescent="0.3">
      <c r="A320" s="3">
        <v>45976</v>
      </c>
      <c r="B320" s="3" t="s">
        <v>1635</v>
      </c>
      <c r="C320" s="19" t="s">
        <v>13</v>
      </c>
      <c r="D320" s="19" t="s">
        <v>14</v>
      </c>
      <c r="E320" s="4">
        <v>0.5</v>
      </c>
      <c r="F320" s="42">
        <v>2.1</v>
      </c>
      <c r="G320" s="45">
        <v>391</v>
      </c>
      <c r="H320" s="22">
        <v>1.9</v>
      </c>
      <c r="I320" s="30">
        <f t="shared" si="5"/>
        <v>780.04499999999996</v>
      </c>
      <c r="J320" s="6" t="s">
        <v>1556</v>
      </c>
      <c r="K320" s="17"/>
    </row>
    <row r="321" spans="1:11" ht="13.95" customHeight="1" x14ac:dyDescent="0.3">
      <c r="A321" s="3">
        <v>45977</v>
      </c>
      <c r="B321" s="3" t="s">
        <v>1635</v>
      </c>
      <c r="C321" s="19" t="s">
        <v>16</v>
      </c>
      <c r="D321" s="19" t="s">
        <v>14</v>
      </c>
      <c r="E321" s="4">
        <v>0.45</v>
      </c>
      <c r="F321" s="42">
        <v>1.95</v>
      </c>
      <c r="G321" s="45">
        <v>391</v>
      </c>
      <c r="H321" s="22">
        <v>1.9</v>
      </c>
      <c r="I321" s="30">
        <f t="shared" si="5"/>
        <v>651.89475000000004</v>
      </c>
      <c r="J321" s="6" t="s">
        <v>149</v>
      </c>
      <c r="K321" s="17"/>
    </row>
    <row r="322" spans="1:11" ht="13.95" customHeight="1" x14ac:dyDescent="0.3">
      <c r="A322" s="3">
        <v>45978</v>
      </c>
      <c r="B322" s="3" t="s">
        <v>1635</v>
      </c>
      <c r="C322" s="19" t="s">
        <v>18</v>
      </c>
      <c r="D322" s="19" t="s">
        <v>1259</v>
      </c>
      <c r="E322" s="4">
        <v>0.28000000000000003</v>
      </c>
      <c r="F322" s="42">
        <v>1.7</v>
      </c>
      <c r="G322" s="45">
        <v>391</v>
      </c>
      <c r="H322" s="22">
        <v>1.9</v>
      </c>
      <c r="I322" s="30">
        <f t="shared" si="5"/>
        <v>353.62040000000002</v>
      </c>
      <c r="J322" s="6" t="s">
        <v>270</v>
      </c>
      <c r="K322" s="17"/>
    </row>
    <row r="323" spans="1:11" ht="13.95" customHeight="1" x14ac:dyDescent="0.3">
      <c r="A323" s="3">
        <v>45979</v>
      </c>
      <c r="B323" s="3" t="s">
        <v>1635</v>
      </c>
      <c r="C323" s="19" t="s">
        <v>20</v>
      </c>
      <c r="D323" s="19" t="s">
        <v>1259</v>
      </c>
      <c r="E323" s="4">
        <v>0.3</v>
      </c>
      <c r="F323" s="42">
        <v>1.75</v>
      </c>
      <c r="G323" s="45">
        <v>391</v>
      </c>
      <c r="H323" s="22">
        <v>1.9</v>
      </c>
      <c r="I323" s="30">
        <f t="shared" ref="I323:I366" si="6">(G323*E323)*F323*H323</f>
        <v>390.02249999999998</v>
      </c>
      <c r="J323" s="6" t="s">
        <v>150</v>
      </c>
      <c r="K323" s="17"/>
    </row>
    <row r="324" spans="1:11" ht="13.95" customHeight="1" x14ac:dyDescent="0.3">
      <c r="A324" s="3">
        <v>45980</v>
      </c>
      <c r="B324" s="3" t="s">
        <v>1635</v>
      </c>
      <c r="C324" s="19" t="s">
        <v>5</v>
      </c>
      <c r="D324" s="19" t="s">
        <v>1259</v>
      </c>
      <c r="E324" s="4">
        <v>0.32</v>
      </c>
      <c r="F324" s="42">
        <v>1.75</v>
      </c>
      <c r="G324" s="45">
        <v>391</v>
      </c>
      <c r="H324" s="22">
        <v>1.9</v>
      </c>
      <c r="I324" s="30">
        <f t="shared" si="6"/>
        <v>416.024</v>
      </c>
      <c r="J324" s="6" t="s">
        <v>150</v>
      </c>
      <c r="K324" s="17"/>
    </row>
    <row r="325" spans="1:11" ht="13.95" customHeight="1" x14ac:dyDescent="0.3">
      <c r="A325" s="3">
        <v>45981</v>
      </c>
      <c r="B325" s="3" t="s">
        <v>1635</v>
      </c>
      <c r="C325" s="19" t="s">
        <v>8</v>
      </c>
      <c r="D325" s="19" t="s">
        <v>1259</v>
      </c>
      <c r="E325" s="4">
        <v>0.35</v>
      </c>
      <c r="F325" s="42">
        <v>1.8</v>
      </c>
      <c r="G325" s="45">
        <v>391</v>
      </c>
      <c r="H325" s="22">
        <v>1.9</v>
      </c>
      <c r="I325" s="30">
        <f t="shared" si="6"/>
        <v>468.02699999999993</v>
      </c>
      <c r="J325" s="6" t="s">
        <v>1522</v>
      </c>
      <c r="K325" s="17"/>
    </row>
    <row r="326" spans="1:11" ht="13.95" customHeight="1" x14ac:dyDescent="0.3">
      <c r="A326" s="3">
        <v>45982</v>
      </c>
      <c r="B326" s="3" t="s">
        <v>1635</v>
      </c>
      <c r="C326" s="19" t="s">
        <v>11</v>
      </c>
      <c r="D326" s="19" t="s">
        <v>14</v>
      </c>
      <c r="E326" s="4">
        <v>0.42</v>
      </c>
      <c r="F326" s="42">
        <v>1.95</v>
      </c>
      <c r="G326" s="45">
        <v>391</v>
      </c>
      <c r="H326" s="22">
        <v>1.9</v>
      </c>
      <c r="I326" s="30">
        <f t="shared" si="6"/>
        <v>608.43509999999992</v>
      </c>
      <c r="J326" s="6" t="s">
        <v>97</v>
      </c>
      <c r="K326" s="17"/>
    </row>
    <row r="327" spans="1:11" ht="13.95" customHeight="1" x14ac:dyDescent="0.3">
      <c r="A327" s="3">
        <v>45983</v>
      </c>
      <c r="B327" s="3" t="s">
        <v>1635</v>
      </c>
      <c r="C327" s="19" t="s">
        <v>13</v>
      </c>
      <c r="D327" s="19" t="s">
        <v>14</v>
      </c>
      <c r="E327" s="4">
        <v>0.55000000000000004</v>
      </c>
      <c r="F327" s="42">
        <v>2.25</v>
      </c>
      <c r="G327" s="45">
        <v>391</v>
      </c>
      <c r="H327" s="22">
        <v>1.9</v>
      </c>
      <c r="I327" s="30">
        <f t="shared" si="6"/>
        <v>919.33875</v>
      </c>
      <c r="J327" s="6" t="s">
        <v>1557</v>
      </c>
      <c r="K327" s="17"/>
    </row>
    <row r="328" spans="1:11" ht="13.95" customHeight="1" x14ac:dyDescent="0.3">
      <c r="A328" s="3">
        <v>45984</v>
      </c>
      <c r="B328" s="3" t="s">
        <v>1635</v>
      </c>
      <c r="C328" s="19" t="s">
        <v>16</v>
      </c>
      <c r="D328" s="19" t="s">
        <v>14</v>
      </c>
      <c r="E328" s="4">
        <v>0.48</v>
      </c>
      <c r="F328" s="42">
        <v>2</v>
      </c>
      <c r="G328" s="45">
        <v>391</v>
      </c>
      <c r="H328" s="22">
        <v>1.9</v>
      </c>
      <c r="I328" s="30">
        <f t="shared" si="6"/>
        <v>713.18399999999997</v>
      </c>
      <c r="J328" s="6" t="s">
        <v>139</v>
      </c>
      <c r="K328" s="17"/>
    </row>
    <row r="329" spans="1:11" ht="13.95" customHeight="1" x14ac:dyDescent="0.3">
      <c r="A329" s="3">
        <v>45985</v>
      </c>
      <c r="B329" s="3" t="s">
        <v>1635</v>
      </c>
      <c r="C329" s="19" t="s">
        <v>18</v>
      </c>
      <c r="D329" s="19" t="s">
        <v>1259</v>
      </c>
      <c r="E329" s="4">
        <v>0.3</v>
      </c>
      <c r="F329" s="42">
        <v>1.75</v>
      </c>
      <c r="G329" s="45">
        <v>391</v>
      </c>
      <c r="H329" s="22">
        <v>1.9</v>
      </c>
      <c r="I329" s="30">
        <f t="shared" si="6"/>
        <v>390.02249999999998</v>
      </c>
      <c r="J329" s="6" t="s">
        <v>150</v>
      </c>
      <c r="K329" s="17"/>
    </row>
    <row r="330" spans="1:11" ht="13.95" customHeight="1" x14ac:dyDescent="0.3">
      <c r="A330" s="3">
        <v>45986</v>
      </c>
      <c r="B330" s="3" t="s">
        <v>1635</v>
      </c>
      <c r="C330" s="19" t="s">
        <v>20</v>
      </c>
      <c r="D330" s="19" t="s">
        <v>1259</v>
      </c>
      <c r="E330" s="4">
        <v>0.32</v>
      </c>
      <c r="F330" s="42">
        <v>1.75</v>
      </c>
      <c r="G330" s="45">
        <v>391</v>
      </c>
      <c r="H330" s="22">
        <v>1.9</v>
      </c>
      <c r="I330" s="30">
        <f t="shared" si="6"/>
        <v>416.024</v>
      </c>
      <c r="J330" s="6" t="s">
        <v>150</v>
      </c>
      <c r="K330" s="17"/>
    </row>
    <row r="331" spans="1:11" ht="13.95" customHeight="1" x14ac:dyDescent="0.3">
      <c r="A331" s="3">
        <v>45987</v>
      </c>
      <c r="B331" s="3" t="s">
        <v>1635</v>
      </c>
      <c r="C331" s="19" t="s">
        <v>5</v>
      </c>
      <c r="D331" s="19" t="s">
        <v>1259</v>
      </c>
      <c r="E331" s="4">
        <v>0.35</v>
      </c>
      <c r="F331" s="42">
        <v>1.8</v>
      </c>
      <c r="G331" s="45">
        <v>391</v>
      </c>
      <c r="H331" s="22">
        <v>1.9</v>
      </c>
      <c r="I331" s="30">
        <f t="shared" si="6"/>
        <v>468.02699999999993</v>
      </c>
      <c r="J331" s="6" t="s">
        <v>71</v>
      </c>
      <c r="K331" s="17"/>
    </row>
    <row r="332" spans="1:11" ht="13.95" customHeight="1" x14ac:dyDescent="0.3">
      <c r="A332" s="3">
        <v>45988</v>
      </c>
      <c r="B332" s="3" t="s">
        <v>1635</v>
      </c>
      <c r="C332" s="19" t="s">
        <v>8</v>
      </c>
      <c r="D332" s="19" t="s">
        <v>1259</v>
      </c>
      <c r="E332" s="4">
        <v>0.38</v>
      </c>
      <c r="F332" s="42">
        <v>1.8</v>
      </c>
      <c r="G332" s="45">
        <v>391</v>
      </c>
      <c r="H332" s="22">
        <v>1.9</v>
      </c>
      <c r="I332" s="30">
        <f t="shared" si="6"/>
        <v>508.14359999999999</v>
      </c>
      <c r="J332" s="6" t="s">
        <v>70</v>
      </c>
      <c r="K332" s="17"/>
    </row>
    <row r="333" spans="1:11" ht="13.95" customHeight="1" x14ac:dyDescent="0.3">
      <c r="A333" s="3">
        <v>45989</v>
      </c>
      <c r="B333" s="3" t="s">
        <v>1635</v>
      </c>
      <c r="C333" s="19" t="s">
        <v>11</v>
      </c>
      <c r="D333" s="19" t="s">
        <v>14</v>
      </c>
      <c r="E333" s="4">
        <v>0.45</v>
      </c>
      <c r="F333" s="42">
        <v>2</v>
      </c>
      <c r="G333" s="45">
        <v>391</v>
      </c>
      <c r="H333" s="22">
        <v>1.9</v>
      </c>
      <c r="I333" s="30">
        <f t="shared" si="6"/>
        <v>668.61</v>
      </c>
      <c r="J333" s="6" t="s">
        <v>97</v>
      </c>
      <c r="K333" s="17"/>
    </row>
    <row r="334" spans="1:11" ht="13.95" customHeight="1" x14ac:dyDescent="0.3">
      <c r="A334" s="3">
        <v>45990</v>
      </c>
      <c r="B334" s="3" t="s">
        <v>1635</v>
      </c>
      <c r="C334" s="19" t="s">
        <v>13</v>
      </c>
      <c r="D334" s="19" t="s">
        <v>14</v>
      </c>
      <c r="E334" s="4">
        <v>0.6</v>
      </c>
      <c r="F334" s="42">
        <v>2.2999999999999998</v>
      </c>
      <c r="G334" s="45">
        <v>391</v>
      </c>
      <c r="H334" s="22">
        <v>1.9</v>
      </c>
      <c r="I334" s="30">
        <f t="shared" si="6"/>
        <v>1025.2019999999998</v>
      </c>
      <c r="J334" s="6" t="s">
        <v>1478</v>
      </c>
      <c r="K334" s="17"/>
    </row>
    <row r="335" spans="1:11" ht="13.95" customHeight="1" x14ac:dyDescent="0.3">
      <c r="A335" s="3">
        <v>45991</v>
      </c>
      <c r="B335" s="3" t="s">
        <v>1635</v>
      </c>
      <c r="C335" s="19" t="s">
        <v>16</v>
      </c>
      <c r="D335" s="19" t="s">
        <v>14</v>
      </c>
      <c r="E335" s="4">
        <v>0.55000000000000004</v>
      </c>
      <c r="F335" s="42">
        <v>2.0499999999999998</v>
      </c>
      <c r="G335" s="45">
        <v>391</v>
      </c>
      <c r="H335" s="22">
        <v>1.9</v>
      </c>
      <c r="I335" s="30">
        <f t="shared" si="6"/>
        <v>837.61974999999984</v>
      </c>
      <c r="J335" s="6" t="s">
        <v>99</v>
      </c>
      <c r="K335" s="17"/>
    </row>
    <row r="336" spans="1:11" ht="13.95" customHeight="1" x14ac:dyDescent="0.3">
      <c r="A336" s="3">
        <v>45992</v>
      </c>
      <c r="B336" s="3" t="s">
        <v>1635</v>
      </c>
      <c r="C336" s="19" t="s">
        <v>18</v>
      </c>
      <c r="D336" s="19" t="s">
        <v>1259</v>
      </c>
      <c r="E336" s="4">
        <v>0.32</v>
      </c>
      <c r="F336" s="42">
        <v>1.75</v>
      </c>
      <c r="G336" s="45">
        <v>391</v>
      </c>
      <c r="H336" s="22">
        <v>1.9</v>
      </c>
      <c r="I336" s="30">
        <f t="shared" si="6"/>
        <v>416.024</v>
      </c>
      <c r="J336" s="6" t="s">
        <v>1459</v>
      </c>
      <c r="K336" s="17"/>
    </row>
    <row r="337" spans="1:11" ht="13.95" customHeight="1" x14ac:dyDescent="0.3">
      <c r="A337" s="3">
        <v>45993</v>
      </c>
      <c r="B337" s="3" t="s">
        <v>1635</v>
      </c>
      <c r="C337" s="19" t="s">
        <v>20</v>
      </c>
      <c r="D337" s="19" t="s">
        <v>1259</v>
      </c>
      <c r="E337" s="4">
        <v>0.3</v>
      </c>
      <c r="F337" s="42">
        <v>1.75</v>
      </c>
      <c r="G337" s="45">
        <v>391</v>
      </c>
      <c r="H337" s="22">
        <v>1.9</v>
      </c>
      <c r="I337" s="30">
        <f t="shared" si="6"/>
        <v>390.02249999999998</v>
      </c>
      <c r="J337" s="6" t="s">
        <v>150</v>
      </c>
      <c r="K337" s="17"/>
    </row>
    <row r="338" spans="1:11" ht="13.95" customHeight="1" x14ac:dyDescent="0.3">
      <c r="A338" s="3">
        <v>45994</v>
      </c>
      <c r="B338" s="3" t="s">
        <v>1635</v>
      </c>
      <c r="C338" s="19" t="s">
        <v>5</v>
      </c>
      <c r="D338" s="19" t="s">
        <v>1259</v>
      </c>
      <c r="E338" s="4">
        <v>0.3</v>
      </c>
      <c r="F338" s="42">
        <v>1.75</v>
      </c>
      <c r="G338" s="45">
        <v>391</v>
      </c>
      <c r="H338" s="22">
        <v>1.9</v>
      </c>
      <c r="I338" s="30">
        <f t="shared" si="6"/>
        <v>390.02249999999998</v>
      </c>
      <c r="J338" s="6" t="s">
        <v>150</v>
      </c>
      <c r="K338" s="17"/>
    </row>
    <row r="339" spans="1:11" ht="13.95" customHeight="1" x14ac:dyDescent="0.3">
      <c r="A339" s="3">
        <v>45995</v>
      </c>
      <c r="B339" s="3" t="s">
        <v>1635</v>
      </c>
      <c r="C339" s="19" t="s">
        <v>8</v>
      </c>
      <c r="D339" s="19" t="s">
        <v>1259</v>
      </c>
      <c r="E339" s="4">
        <v>0.35</v>
      </c>
      <c r="F339" s="42">
        <v>1.8</v>
      </c>
      <c r="G339" s="45">
        <v>391</v>
      </c>
      <c r="H339" s="22">
        <v>1.9</v>
      </c>
      <c r="I339" s="30">
        <f t="shared" si="6"/>
        <v>468.02699999999993</v>
      </c>
      <c r="J339" s="6" t="s">
        <v>1473</v>
      </c>
      <c r="K339" s="17"/>
    </row>
    <row r="340" spans="1:11" ht="13.95" customHeight="1" x14ac:dyDescent="0.3">
      <c r="A340" s="3">
        <v>45996</v>
      </c>
      <c r="B340" s="3" t="s">
        <v>1635</v>
      </c>
      <c r="C340" s="19" t="s">
        <v>11</v>
      </c>
      <c r="D340" s="19" t="s">
        <v>14</v>
      </c>
      <c r="E340" s="4">
        <v>0.45</v>
      </c>
      <c r="F340" s="42">
        <v>1.95</v>
      </c>
      <c r="G340" s="45">
        <v>391</v>
      </c>
      <c r="H340" s="22">
        <v>1.9</v>
      </c>
      <c r="I340" s="30">
        <f t="shared" si="6"/>
        <v>651.89475000000004</v>
      </c>
      <c r="J340" s="6" t="s">
        <v>1124</v>
      </c>
      <c r="K340" s="17"/>
    </row>
    <row r="341" spans="1:11" ht="13.95" customHeight="1" x14ac:dyDescent="0.3">
      <c r="A341" s="3">
        <v>45997</v>
      </c>
      <c r="B341" s="3" t="s">
        <v>1635</v>
      </c>
      <c r="C341" s="19" t="s">
        <v>13</v>
      </c>
      <c r="D341" s="19" t="s">
        <v>14</v>
      </c>
      <c r="E341" s="4">
        <v>0.6</v>
      </c>
      <c r="F341" s="42">
        <v>2.2000000000000002</v>
      </c>
      <c r="G341" s="45">
        <v>391</v>
      </c>
      <c r="H341" s="22">
        <v>1.9</v>
      </c>
      <c r="I341" s="30">
        <f t="shared" si="6"/>
        <v>980.62799999999993</v>
      </c>
      <c r="J341" s="6" t="s">
        <v>1558</v>
      </c>
      <c r="K341" s="17"/>
    </row>
    <row r="342" spans="1:11" ht="13.95" customHeight="1" x14ac:dyDescent="0.3">
      <c r="A342" s="3">
        <v>45998</v>
      </c>
      <c r="B342" s="3" t="s">
        <v>1635</v>
      </c>
      <c r="C342" s="19" t="s">
        <v>16</v>
      </c>
      <c r="D342" s="19" t="s">
        <v>14</v>
      </c>
      <c r="E342" s="4">
        <v>0.55000000000000004</v>
      </c>
      <c r="F342" s="42">
        <v>2.0499999999999998</v>
      </c>
      <c r="G342" s="45">
        <v>391</v>
      </c>
      <c r="H342" s="22">
        <v>1.9</v>
      </c>
      <c r="I342" s="30">
        <f t="shared" si="6"/>
        <v>837.61974999999984</v>
      </c>
      <c r="J342" s="6" t="s">
        <v>139</v>
      </c>
      <c r="K342" s="17"/>
    </row>
    <row r="343" spans="1:11" ht="13.95" customHeight="1" x14ac:dyDescent="0.3">
      <c r="A343" s="3">
        <v>45999</v>
      </c>
      <c r="B343" s="3" t="s">
        <v>1635</v>
      </c>
      <c r="C343" s="19" t="s">
        <v>18</v>
      </c>
      <c r="D343" s="19" t="s">
        <v>1259</v>
      </c>
      <c r="E343" s="4">
        <v>0.32</v>
      </c>
      <c r="F343" s="42">
        <v>1.75</v>
      </c>
      <c r="G343" s="45">
        <v>391</v>
      </c>
      <c r="H343" s="22">
        <v>1.9</v>
      </c>
      <c r="I343" s="30">
        <f t="shared" si="6"/>
        <v>416.024</v>
      </c>
      <c r="J343" s="6" t="s">
        <v>150</v>
      </c>
      <c r="K343" s="17"/>
    </row>
    <row r="344" spans="1:11" ht="13.95" customHeight="1" x14ac:dyDescent="0.3">
      <c r="A344" s="3">
        <v>46000</v>
      </c>
      <c r="B344" s="3" t="s">
        <v>1635</v>
      </c>
      <c r="C344" s="19" t="s">
        <v>20</v>
      </c>
      <c r="D344" s="19" t="s">
        <v>1259</v>
      </c>
      <c r="E344" s="4">
        <v>0.3</v>
      </c>
      <c r="F344" s="42">
        <v>1.75</v>
      </c>
      <c r="G344" s="45">
        <v>391</v>
      </c>
      <c r="H344" s="22">
        <v>1.9</v>
      </c>
      <c r="I344" s="30">
        <f t="shared" si="6"/>
        <v>390.02249999999998</v>
      </c>
      <c r="J344" s="6" t="s">
        <v>150</v>
      </c>
      <c r="K344" s="17"/>
    </row>
    <row r="345" spans="1:11" ht="13.95" customHeight="1" x14ac:dyDescent="0.3">
      <c r="A345" s="3">
        <v>46001</v>
      </c>
      <c r="B345" s="3" t="s">
        <v>1635</v>
      </c>
      <c r="C345" s="19" t="s">
        <v>5</v>
      </c>
      <c r="D345" s="19" t="s">
        <v>1259</v>
      </c>
      <c r="E345" s="4">
        <v>0.3</v>
      </c>
      <c r="F345" s="42">
        <v>1.75</v>
      </c>
      <c r="G345" s="45">
        <v>391</v>
      </c>
      <c r="H345" s="22">
        <v>1.9</v>
      </c>
      <c r="I345" s="30">
        <f t="shared" si="6"/>
        <v>390.02249999999998</v>
      </c>
      <c r="J345" s="6" t="s">
        <v>150</v>
      </c>
      <c r="K345" s="17"/>
    </row>
    <row r="346" spans="1:11" ht="13.95" customHeight="1" x14ac:dyDescent="0.3">
      <c r="A346" s="3">
        <v>46002</v>
      </c>
      <c r="B346" s="3" t="s">
        <v>1635</v>
      </c>
      <c r="C346" s="19" t="s">
        <v>8</v>
      </c>
      <c r="D346" s="19" t="s">
        <v>1259</v>
      </c>
      <c r="E346" s="4">
        <v>0.35</v>
      </c>
      <c r="F346" s="42">
        <v>1.8</v>
      </c>
      <c r="G346" s="45">
        <v>391</v>
      </c>
      <c r="H346" s="22">
        <v>1.9</v>
      </c>
      <c r="I346" s="30">
        <f t="shared" si="6"/>
        <v>468.02699999999993</v>
      </c>
      <c r="J346" s="6" t="s">
        <v>150</v>
      </c>
      <c r="K346" s="17"/>
    </row>
    <row r="347" spans="1:11" ht="13.95" customHeight="1" x14ac:dyDescent="0.3">
      <c r="A347" s="3">
        <v>46003</v>
      </c>
      <c r="B347" s="3" t="s">
        <v>1635</v>
      </c>
      <c r="C347" s="19" t="s">
        <v>11</v>
      </c>
      <c r="D347" s="19" t="s">
        <v>14</v>
      </c>
      <c r="E347" s="4">
        <v>0.48</v>
      </c>
      <c r="F347" s="42">
        <v>1.95</v>
      </c>
      <c r="G347" s="45">
        <v>391</v>
      </c>
      <c r="H347" s="22">
        <v>1.9</v>
      </c>
      <c r="I347" s="30">
        <f t="shared" si="6"/>
        <v>695.35439999999994</v>
      </c>
      <c r="J347" s="6" t="s">
        <v>97</v>
      </c>
      <c r="K347" s="17"/>
    </row>
    <row r="348" spans="1:11" ht="13.95" customHeight="1" x14ac:dyDescent="0.3">
      <c r="A348" s="3">
        <v>46004</v>
      </c>
      <c r="B348" s="3" t="s">
        <v>1635</v>
      </c>
      <c r="C348" s="19" t="s">
        <v>13</v>
      </c>
      <c r="D348" s="19" t="s">
        <v>14</v>
      </c>
      <c r="E348" s="4">
        <v>0.65</v>
      </c>
      <c r="F348" s="42">
        <v>2.2999999999999998</v>
      </c>
      <c r="G348" s="45">
        <v>391</v>
      </c>
      <c r="H348" s="22">
        <v>1.9</v>
      </c>
      <c r="I348" s="30">
        <f t="shared" si="6"/>
        <v>1110.6354999999999</v>
      </c>
      <c r="J348" s="6" t="s">
        <v>1474</v>
      </c>
      <c r="K348" s="17"/>
    </row>
    <row r="349" spans="1:11" ht="13.95" customHeight="1" x14ac:dyDescent="0.3">
      <c r="A349" s="3">
        <v>46005</v>
      </c>
      <c r="B349" s="3" t="s">
        <v>1635</v>
      </c>
      <c r="C349" s="19" t="s">
        <v>16</v>
      </c>
      <c r="D349" s="19" t="s">
        <v>14</v>
      </c>
      <c r="E349" s="4">
        <v>0.55000000000000004</v>
      </c>
      <c r="F349" s="42">
        <v>2.1</v>
      </c>
      <c r="G349" s="45">
        <v>391</v>
      </c>
      <c r="H349" s="22">
        <v>1.9</v>
      </c>
      <c r="I349" s="30">
        <f t="shared" si="6"/>
        <v>858.04949999999997</v>
      </c>
      <c r="J349" s="6" t="s">
        <v>149</v>
      </c>
      <c r="K349" s="17"/>
    </row>
    <row r="350" spans="1:11" ht="13.95" customHeight="1" x14ac:dyDescent="0.3">
      <c r="A350" s="3">
        <v>46006</v>
      </c>
      <c r="B350" s="3" t="s">
        <v>1635</v>
      </c>
      <c r="C350" s="19" t="s">
        <v>18</v>
      </c>
      <c r="D350" s="19" t="s">
        <v>1259</v>
      </c>
      <c r="E350" s="4">
        <v>0.3</v>
      </c>
      <c r="F350" s="42">
        <v>1.75</v>
      </c>
      <c r="G350" s="45">
        <v>391</v>
      </c>
      <c r="H350" s="22">
        <v>1.9</v>
      </c>
      <c r="I350" s="30">
        <f t="shared" si="6"/>
        <v>390.02249999999998</v>
      </c>
      <c r="J350" s="6" t="s">
        <v>1486</v>
      </c>
      <c r="K350" s="17"/>
    </row>
    <row r="351" spans="1:11" ht="13.95" customHeight="1" x14ac:dyDescent="0.3">
      <c r="A351" s="3">
        <v>46007</v>
      </c>
      <c r="B351" s="3" t="s">
        <v>1635</v>
      </c>
      <c r="C351" s="19" t="s">
        <v>20</v>
      </c>
      <c r="D351" s="19" t="s">
        <v>1259</v>
      </c>
      <c r="E351" s="4">
        <v>0.28000000000000003</v>
      </c>
      <c r="F351" s="42">
        <v>1.75</v>
      </c>
      <c r="G351" s="45">
        <v>391</v>
      </c>
      <c r="H351" s="22">
        <v>1.9</v>
      </c>
      <c r="I351" s="30">
        <f t="shared" si="6"/>
        <v>364.02100000000002</v>
      </c>
      <c r="J351" s="6" t="s">
        <v>1487</v>
      </c>
      <c r="K351" s="17"/>
    </row>
    <row r="352" spans="1:11" ht="13.95" customHeight="1" x14ac:dyDescent="0.3">
      <c r="A352" s="3">
        <v>46008</v>
      </c>
      <c r="B352" s="3" t="s">
        <v>1635</v>
      </c>
      <c r="C352" s="19" t="s">
        <v>5</v>
      </c>
      <c r="D352" s="19" t="s">
        <v>1259</v>
      </c>
      <c r="E352" s="4">
        <v>0.3</v>
      </c>
      <c r="F352" s="42">
        <v>1.8</v>
      </c>
      <c r="G352" s="45">
        <v>391</v>
      </c>
      <c r="H352" s="22">
        <v>1.9</v>
      </c>
      <c r="I352" s="30">
        <f t="shared" si="6"/>
        <v>401.16599999999994</v>
      </c>
      <c r="J352" s="6" t="s">
        <v>150</v>
      </c>
      <c r="K352" s="17"/>
    </row>
    <row r="353" spans="1:11" ht="13.95" customHeight="1" x14ac:dyDescent="0.3">
      <c r="A353" s="3">
        <v>46009</v>
      </c>
      <c r="B353" s="3" t="s">
        <v>1635</v>
      </c>
      <c r="C353" s="19" t="s">
        <v>8</v>
      </c>
      <c r="D353" s="19" t="s">
        <v>44</v>
      </c>
      <c r="E353" s="4">
        <v>0.4</v>
      </c>
      <c r="F353" s="42">
        <v>1.9</v>
      </c>
      <c r="G353" s="45">
        <v>391</v>
      </c>
      <c r="H353" s="22">
        <v>1.9</v>
      </c>
      <c r="I353" s="30">
        <f t="shared" si="6"/>
        <v>564.60400000000004</v>
      </c>
      <c r="J353" s="6" t="s">
        <v>1559</v>
      </c>
      <c r="K353" s="17"/>
    </row>
    <row r="354" spans="1:11" ht="13.95" customHeight="1" x14ac:dyDescent="0.3">
      <c r="A354" s="3">
        <v>46010</v>
      </c>
      <c r="B354" s="3" t="s">
        <v>1635</v>
      </c>
      <c r="C354" s="19" t="s">
        <v>11</v>
      </c>
      <c r="D354" s="19" t="s">
        <v>658</v>
      </c>
      <c r="E354" s="4">
        <v>0.55000000000000004</v>
      </c>
      <c r="F354" s="42">
        <v>2.0499999999999998</v>
      </c>
      <c r="G354" s="45">
        <v>391</v>
      </c>
      <c r="H354" s="22">
        <v>1.9</v>
      </c>
      <c r="I354" s="30">
        <f t="shared" si="6"/>
        <v>837.61974999999984</v>
      </c>
      <c r="J354" s="6" t="s">
        <v>1560</v>
      </c>
      <c r="K354" s="17"/>
    </row>
    <row r="355" spans="1:11" ht="13.95" customHeight="1" x14ac:dyDescent="0.3">
      <c r="A355" s="3">
        <v>46011</v>
      </c>
      <c r="B355" s="3" t="s">
        <v>1635</v>
      </c>
      <c r="C355" s="19" t="s">
        <v>13</v>
      </c>
      <c r="D355" s="19" t="s">
        <v>658</v>
      </c>
      <c r="E355" s="4">
        <v>0.7</v>
      </c>
      <c r="F355" s="42">
        <v>2.2000000000000002</v>
      </c>
      <c r="G355" s="45">
        <v>391</v>
      </c>
      <c r="H355" s="22">
        <v>1.9</v>
      </c>
      <c r="I355" s="30">
        <f t="shared" si="6"/>
        <v>1144.066</v>
      </c>
      <c r="J355" s="6" t="s">
        <v>1490</v>
      </c>
      <c r="K355" s="17"/>
    </row>
    <row r="356" spans="1:11" ht="13.95" customHeight="1" x14ac:dyDescent="0.3">
      <c r="A356" s="3">
        <v>46012</v>
      </c>
      <c r="B356" s="3" t="s">
        <v>1635</v>
      </c>
      <c r="C356" s="19" t="s">
        <v>16</v>
      </c>
      <c r="D356" s="19" t="s">
        <v>658</v>
      </c>
      <c r="E356" s="4">
        <v>0.65</v>
      </c>
      <c r="F356" s="42">
        <v>2.1</v>
      </c>
      <c r="G356" s="45">
        <v>391</v>
      </c>
      <c r="H356" s="22">
        <v>1.9</v>
      </c>
      <c r="I356" s="30">
        <f t="shared" si="6"/>
        <v>1014.0585</v>
      </c>
      <c r="J356" s="6" t="s">
        <v>1404</v>
      </c>
      <c r="K356" s="17"/>
    </row>
    <row r="357" spans="1:11" ht="13.95" customHeight="1" x14ac:dyDescent="0.3">
      <c r="A357" s="3">
        <v>46013</v>
      </c>
      <c r="B357" s="3" t="s">
        <v>1635</v>
      </c>
      <c r="C357" s="19" t="s">
        <v>18</v>
      </c>
      <c r="D357" s="19" t="s">
        <v>658</v>
      </c>
      <c r="E357" s="4">
        <v>0.6</v>
      </c>
      <c r="F357" s="42">
        <v>2</v>
      </c>
      <c r="G357" s="45">
        <v>391</v>
      </c>
      <c r="H357" s="22">
        <v>1.9</v>
      </c>
      <c r="I357" s="30">
        <f t="shared" si="6"/>
        <v>891.4799999999999</v>
      </c>
      <c r="J357" s="6" t="s">
        <v>717</v>
      </c>
      <c r="K357" s="17"/>
    </row>
    <row r="358" spans="1:11" ht="13.95" customHeight="1" x14ac:dyDescent="0.3">
      <c r="A358" s="3">
        <v>46014</v>
      </c>
      <c r="B358" s="3" t="s">
        <v>1635</v>
      </c>
      <c r="C358" s="19" t="s">
        <v>20</v>
      </c>
      <c r="D358" s="19" t="s">
        <v>658</v>
      </c>
      <c r="E358" s="4">
        <v>0.68</v>
      </c>
      <c r="F358" s="42">
        <v>2.1</v>
      </c>
      <c r="G358" s="45">
        <v>391</v>
      </c>
      <c r="H358" s="22">
        <v>1.9</v>
      </c>
      <c r="I358" s="30">
        <f t="shared" si="6"/>
        <v>1060.8612000000001</v>
      </c>
      <c r="J358" s="6" t="s">
        <v>1561</v>
      </c>
      <c r="K358" s="17"/>
    </row>
    <row r="359" spans="1:11" ht="13.95" customHeight="1" x14ac:dyDescent="0.3">
      <c r="A359" s="3">
        <v>46015</v>
      </c>
      <c r="B359" s="3" t="s">
        <v>1635</v>
      </c>
      <c r="C359" s="19" t="s">
        <v>5</v>
      </c>
      <c r="D359" s="19" t="s">
        <v>662</v>
      </c>
      <c r="E359" s="4">
        <v>0.85</v>
      </c>
      <c r="F359" s="42">
        <v>2.65</v>
      </c>
      <c r="G359" s="45">
        <v>391</v>
      </c>
      <c r="H359" s="22">
        <v>1.9</v>
      </c>
      <c r="I359" s="30">
        <f t="shared" si="6"/>
        <v>1673.3822499999997</v>
      </c>
      <c r="J359" s="6" t="s">
        <v>1562</v>
      </c>
      <c r="K359" s="17"/>
    </row>
    <row r="360" spans="1:11" ht="13.95" customHeight="1" x14ac:dyDescent="0.3">
      <c r="A360" s="3">
        <v>46016</v>
      </c>
      <c r="B360" s="3" t="s">
        <v>1635</v>
      </c>
      <c r="C360" s="19" t="s">
        <v>8</v>
      </c>
      <c r="D360" s="19" t="s">
        <v>299</v>
      </c>
      <c r="E360" s="4">
        <v>0.8</v>
      </c>
      <c r="F360" s="42">
        <v>2.35</v>
      </c>
      <c r="G360" s="45">
        <v>391</v>
      </c>
      <c r="H360" s="22">
        <v>1.9</v>
      </c>
      <c r="I360" s="30">
        <f t="shared" si="6"/>
        <v>1396.652</v>
      </c>
      <c r="J360" s="6" t="s">
        <v>1563</v>
      </c>
      <c r="K360" s="17"/>
    </row>
    <row r="361" spans="1:11" ht="13.95" customHeight="1" x14ac:dyDescent="0.3">
      <c r="A361" s="3">
        <v>46017</v>
      </c>
      <c r="B361" s="3" t="s">
        <v>1635</v>
      </c>
      <c r="C361" s="19" t="s">
        <v>11</v>
      </c>
      <c r="D361" s="19" t="s">
        <v>1564</v>
      </c>
      <c r="E361" s="4">
        <v>0.85</v>
      </c>
      <c r="F361" s="42">
        <v>2.25</v>
      </c>
      <c r="G361" s="45">
        <v>391</v>
      </c>
      <c r="H361" s="22">
        <v>1.9</v>
      </c>
      <c r="I361" s="30">
        <f t="shared" si="6"/>
        <v>1420.7962499999999</v>
      </c>
      <c r="J361" s="6" t="s">
        <v>1463</v>
      </c>
      <c r="K361" s="17"/>
    </row>
    <row r="362" spans="1:11" ht="13.95" customHeight="1" x14ac:dyDescent="0.3">
      <c r="A362" s="3">
        <v>46018</v>
      </c>
      <c r="B362" s="3" t="s">
        <v>1635</v>
      </c>
      <c r="C362" s="19" t="s">
        <v>13</v>
      </c>
      <c r="D362" s="19" t="s">
        <v>1564</v>
      </c>
      <c r="E362" s="4">
        <v>0.9</v>
      </c>
      <c r="F362" s="42">
        <v>2.4500000000000002</v>
      </c>
      <c r="G362" s="45">
        <v>391</v>
      </c>
      <c r="H362" s="22">
        <v>1.9</v>
      </c>
      <c r="I362" s="30">
        <f t="shared" si="6"/>
        <v>1638.0945000000004</v>
      </c>
      <c r="J362" s="6" t="s">
        <v>1323</v>
      </c>
      <c r="K362" s="17"/>
    </row>
    <row r="363" spans="1:11" ht="13.95" customHeight="1" x14ac:dyDescent="0.3">
      <c r="A363" s="3">
        <v>46019</v>
      </c>
      <c r="B363" s="3" t="s">
        <v>1635</v>
      </c>
      <c r="C363" s="19" t="s">
        <v>16</v>
      </c>
      <c r="D363" s="19" t="s">
        <v>1564</v>
      </c>
      <c r="E363" s="4">
        <v>0.85</v>
      </c>
      <c r="F363" s="42">
        <v>2.25</v>
      </c>
      <c r="G363" s="45">
        <v>391</v>
      </c>
      <c r="H363" s="22">
        <v>1.9</v>
      </c>
      <c r="I363" s="30">
        <f t="shared" si="6"/>
        <v>1420.7962499999999</v>
      </c>
      <c r="J363" s="6" t="s">
        <v>139</v>
      </c>
      <c r="K363" s="17"/>
    </row>
    <row r="364" spans="1:11" ht="13.95" customHeight="1" x14ac:dyDescent="0.3">
      <c r="A364" s="3">
        <v>46020</v>
      </c>
      <c r="B364" s="3" t="s">
        <v>1635</v>
      </c>
      <c r="C364" s="19" t="s">
        <v>18</v>
      </c>
      <c r="D364" s="19" t="s">
        <v>1565</v>
      </c>
      <c r="E364" s="4">
        <v>0.9</v>
      </c>
      <c r="F364" s="42">
        <v>2.2000000000000002</v>
      </c>
      <c r="G364" s="45">
        <v>391</v>
      </c>
      <c r="H364" s="22">
        <v>1.9</v>
      </c>
      <c r="I364" s="30">
        <f t="shared" si="6"/>
        <v>1470.9420000000002</v>
      </c>
      <c r="J364" s="6" t="s">
        <v>531</v>
      </c>
      <c r="K364" s="17"/>
    </row>
    <row r="365" spans="1:11" ht="13.95" customHeight="1" x14ac:dyDescent="0.3">
      <c r="A365" s="3">
        <v>46021</v>
      </c>
      <c r="B365" s="3" t="s">
        <v>1635</v>
      </c>
      <c r="C365" s="19" t="s">
        <v>20</v>
      </c>
      <c r="D365" s="19" t="s">
        <v>1565</v>
      </c>
      <c r="E365" s="4">
        <v>0.95</v>
      </c>
      <c r="F365" s="42">
        <v>2.4</v>
      </c>
      <c r="G365" s="45">
        <v>391</v>
      </c>
      <c r="H365" s="22">
        <v>1.9</v>
      </c>
      <c r="I365" s="30">
        <f t="shared" si="6"/>
        <v>1693.8119999999997</v>
      </c>
      <c r="J365" s="6" t="s">
        <v>1566</v>
      </c>
      <c r="K365" s="17"/>
    </row>
    <row r="366" spans="1:11" ht="13.95" customHeight="1" x14ac:dyDescent="0.3">
      <c r="A366" s="3">
        <v>46022</v>
      </c>
      <c r="B366" s="3" t="s">
        <v>1635</v>
      </c>
      <c r="C366" s="19" t="s">
        <v>5</v>
      </c>
      <c r="D366" s="19" t="s">
        <v>1567</v>
      </c>
      <c r="E366" s="4">
        <v>1</v>
      </c>
      <c r="F366" s="42">
        <v>3.15</v>
      </c>
      <c r="G366" s="45">
        <v>391</v>
      </c>
      <c r="H366" s="22">
        <v>1.9</v>
      </c>
      <c r="I366" s="30">
        <f t="shared" si="6"/>
        <v>2340.1349999999998</v>
      </c>
      <c r="J366" s="6" t="s">
        <v>1568</v>
      </c>
      <c r="K366" s="17"/>
    </row>
    <row r="367" spans="1:11" x14ac:dyDescent="0.3">
      <c r="G367" s="8"/>
      <c r="H367" s="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5940C-3ADB-46FA-A87B-1DD47E1A2F0A}">
  <sheetPr>
    <tabColor theme="8" tint="-0.249977111117893"/>
  </sheetPr>
  <dimension ref="A1:K366"/>
  <sheetViews>
    <sheetView workbookViewId="0">
      <selection activeCell="A2" sqref="A2:XFD2"/>
    </sheetView>
  </sheetViews>
  <sheetFormatPr baseColWidth="10" defaultRowHeight="14.4" x14ac:dyDescent="0.3"/>
  <cols>
    <col min="1" max="1" width="13.109375" bestFit="1" customWidth="1"/>
    <col min="2" max="2" width="18.77734375" bestFit="1" customWidth="1"/>
    <col min="3" max="3" width="11.33203125" customWidth="1"/>
    <col min="4" max="4" width="22.44140625" customWidth="1"/>
    <col min="5" max="5" width="11.5546875" style="38"/>
    <col min="6" max="6" width="11.5546875" style="8"/>
    <col min="7" max="7" width="11.5546875" style="46"/>
    <col min="8" max="8" width="11.5546875" style="36"/>
    <col min="10" max="10" width="39.109375" customWidth="1"/>
  </cols>
  <sheetData>
    <row r="1" spans="1:11" ht="28.2" thickBot="1" x14ac:dyDescent="0.35">
      <c r="A1" s="1" t="s">
        <v>333</v>
      </c>
      <c r="B1" s="1" t="s">
        <v>1637</v>
      </c>
      <c r="C1" s="34" t="s">
        <v>0</v>
      </c>
      <c r="D1" s="34" t="s">
        <v>1</v>
      </c>
      <c r="E1" s="37" t="s">
        <v>2</v>
      </c>
      <c r="F1" s="41" t="s">
        <v>3</v>
      </c>
      <c r="G1" s="47" t="s">
        <v>359</v>
      </c>
      <c r="H1" s="35" t="s">
        <v>360</v>
      </c>
      <c r="I1" s="47" t="s">
        <v>361</v>
      </c>
      <c r="J1" s="27" t="s">
        <v>4</v>
      </c>
    </row>
    <row r="2" spans="1:11" ht="13.95" customHeight="1" x14ac:dyDescent="0.3">
      <c r="A2" s="3">
        <v>45658</v>
      </c>
      <c r="B2" s="3" t="s">
        <v>1636</v>
      </c>
      <c r="C2" s="3" t="s">
        <v>5</v>
      </c>
      <c r="D2" s="3" t="s">
        <v>735</v>
      </c>
      <c r="E2" s="4">
        <v>0.85</v>
      </c>
      <c r="F2" s="42">
        <v>2.4500000000000002</v>
      </c>
      <c r="G2" s="45">
        <v>476</v>
      </c>
      <c r="H2" s="44">
        <v>1.9</v>
      </c>
      <c r="I2" s="6">
        <f t="shared" ref="I2" si="0">(G2*E2)*F2*H2</f>
        <v>1883.4129999999998</v>
      </c>
      <c r="J2" s="45" t="s">
        <v>1569</v>
      </c>
      <c r="K2" s="17"/>
    </row>
    <row r="3" spans="1:11" ht="13.95" customHeight="1" x14ac:dyDescent="0.3">
      <c r="A3" s="3">
        <v>45659</v>
      </c>
      <c r="B3" s="3" t="s">
        <v>1636</v>
      </c>
      <c r="C3" s="3" t="s">
        <v>8</v>
      </c>
      <c r="D3" s="3" t="s">
        <v>1259</v>
      </c>
      <c r="E3" s="4">
        <v>0.45</v>
      </c>
      <c r="F3" s="42">
        <v>1.8</v>
      </c>
      <c r="G3" s="45">
        <v>476</v>
      </c>
      <c r="H3" s="44">
        <v>1.9</v>
      </c>
      <c r="I3" s="6">
        <f t="shared" ref="I3:I66" si="1">(G3*E3)*F3*H3</f>
        <v>732.56400000000008</v>
      </c>
      <c r="J3" s="45" t="s">
        <v>1570</v>
      </c>
      <c r="K3" s="17"/>
    </row>
    <row r="4" spans="1:11" ht="13.95" customHeight="1" x14ac:dyDescent="0.3">
      <c r="A4" s="3">
        <v>45660</v>
      </c>
      <c r="B4" s="3" t="s">
        <v>1636</v>
      </c>
      <c r="C4" s="3" t="s">
        <v>11</v>
      </c>
      <c r="D4" s="3" t="s">
        <v>14</v>
      </c>
      <c r="E4" s="4">
        <v>0.5</v>
      </c>
      <c r="F4" s="42">
        <v>1.9</v>
      </c>
      <c r="G4" s="45">
        <v>476</v>
      </c>
      <c r="H4" s="44">
        <v>1.9</v>
      </c>
      <c r="I4" s="6">
        <f t="shared" si="1"/>
        <v>859.18</v>
      </c>
      <c r="J4" s="45" t="s">
        <v>1571</v>
      </c>
      <c r="K4" s="17"/>
    </row>
    <row r="5" spans="1:11" ht="13.95" customHeight="1" x14ac:dyDescent="0.3">
      <c r="A5" s="3">
        <v>45661</v>
      </c>
      <c r="B5" s="3" t="s">
        <v>1636</v>
      </c>
      <c r="C5" s="3" t="s">
        <v>13</v>
      </c>
      <c r="D5" s="3" t="s">
        <v>14</v>
      </c>
      <c r="E5" s="4">
        <v>0.65</v>
      </c>
      <c r="F5" s="42">
        <v>2.15</v>
      </c>
      <c r="G5" s="45">
        <v>476</v>
      </c>
      <c r="H5" s="44">
        <v>1.9</v>
      </c>
      <c r="I5" s="6">
        <f t="shared" si="1"/>
        <v>1263.8990000000001</v>
      </c>
      <c r="J5" s="45" t="s">
        <v>1572</v>
      </c>
      <c r="K5" s="17"/>
    </row>
    <row r="6" spans="1:11" ht="13.95" customHeight="1" x14ac:dyDescent="0.3">
      <c r="A6" s="3">
        <v>45662</v>
      </c>
      <c r="B6" s="3" t="s">
        <v>1636</v>
      </c>
      <c r="C6" s="3" t="s">
        <v>16</v>
      </c>
      <c r="D6" s="3" t="s">
        <v>14</v>
      </c>
      <c r="E6" s="4">
        <v>0.55000000000000004</v>
      </c>
      <c r="F6" s="42">
        <v>2</v>
      </c>
      <c r="G6" s="45">
        <v>476</v>
      </c>
      <c r="H6" s="44">
        <v>1.9</v>
      </c>
      <c r="I6" s="6">
        <f t="shared" si="1"/>
        <v>994.84</v>
      </c>
      <c r="J6" s="45" t="s">
        <v>139</v>
      </c>
      <c r="K6" s="17"/>
    </row>
    <row r="7" spans="1:11" ht="13.95" customHeight="1" x14ac:dyDescent="0.3">
      <c r="A7" s="3">
        <v>45663</v>
      </c>
      <c r="B7" s="3" t="s">
        <v>1636</v>
      </c>
      <c r="C7" s="3" t="s">
        <v>18</v>
      </c>
      <c r="D7" s="3" t="s">
        <v>1573</v>
      </c>
      <c r="E7" s="4">
        <v>0.4</v>
      </c>
      <c r="F7" s="42">
        <v>1.85</v>
      </c>
      <c r="G7" s="45">
        <v>476</v>
      </c>
      <c r="H7" s="44">
        <v>1.9</v>
      </c>
      <c r="I7" s="6">
        <f t="shared" si="1"/>
        <v>669.25599999999997</v>
      </c>
      <c r="J7" s="45" t="s">
        <v>1574</v>
      </c>
      <c r="K7" s="17"/>
    </row>
    <row r="8" spans="1:11" ht="13.95" customHeight="1" x14ac:dyDescent="0.3">
      <c r="A8" s="3">
        <v>45664</v>
      </c>
      <c r="B8" s="3" t="s">
        <v>1636</v>
      </c>
      <c r="C8" s="3" t="s">
        <v>20</v>
      </c>
      <c r="D8" s="3" t="s">
        <v>1573</v>
      </c>
      <c r="E8" s="4">
        <v>0.38</v>
      </c>
      <c r="F8" s="42">
        <v>1.8</v>
      </c>
      <c r="G8" s="45">
        <v>476</v>
      </c>
      <c r="H8" s="44">
        <v>1.9</v>
      </c>
      <c r="I8" s="6">
        <f t="shared" si="1"/>
        <v>618.6096</v>
      </c>
      <c r="J8" s="45" t="s">
        <v>52</v>
      </c>
      <c r="K8" s="17"/>
    </row>
    <row r="9" spans="1:11" ht="13.95" customHeight="1" x14ac:dyDescent="0.3">
      <c r="A9" s="3">
        <v>45665</v>
      </c>
      <c r="B9" s="3" t="s">
        <v>1636</v>
      </c>
      <c r="C9" s="3" t="s">
        <v>5</v>
      </c>
      <c r="D9" s="3" t="s">
        <v>1573</v>
      </c>
      <c r="E9" s="4">
        <v>0.38</v>
      </c>
      <c r="F9" s="42">
        <v>1.8</v>
      </c>
      <c r="G9" s="45">
        <v>476</v>
      </c>
      <c r="H9" s="44">
        <v>1.9</v>
      </c>
      <c r="I9" s="6">
        <f t="shared" si="1"/>
        <v>618.6096</v>
      </c>
      <c r="J9" s="45" t="s">
        <v>52</v>
      </c>
      <c r="K9" s="17"/>
    </row>
    <row r="10" spans="1:11" ht="13.95" customHeight="1" x14ac:dyDescent="0.3">
      <c r="A10" s="3">
        <v>45666</v>
      </c>
      <c r="B10" s="3" t="s">
        <v>1636</v>
      </c>
      <c r="C10" s="3" t="s">
        <v>8</v>
      </c>
      <c r="D10" s="3" t="s">
        <v>1259</v>
      </c>
      <c r="E10" s="4">
        <v>0.4</v>
      </c>
      <c r="F10" s="42">
        <v>1.85</v>
      </c>
      <c r="G10" s="45">
        <v>476</v>
      </c>
      <c r="H10" s="44">
        <v>1.9</v>
      </c>
      <c r="I10" s="6">
        <f t="shared" si="1"/>
        <v>669.25599999999997</v>
      </c>
      <c r="J10" s="45" t="s">
        <v>1522</v>
      </c>
      <c r="K10" s="17"/>
    </row>
    <row r="11" spans="1:11" ht="13.95" customHeight="1" x14ac:dyDescent="0.3">
      <c r="A11" s="3">
        <v>45667</v>
      </c>
      <c r="B11" s="3" t="s">
        <v>1636</v>
      </c>
      <c r="C11" s="3" t="s">
        <v>11</v>
      </c>
      <c r="D11" s="3" t="s">
        <v>14</v>
      </c>
      <c r="E11" s="4">
        <v>0.45</v>
      </c>
      <c r="F11" s="42">
        <v>1.95</v>
      </c>
      <c r="G11" s="45">
        <v>476</v>
      </c>
      <c r="H11" s="44">
        <v>1.9</v>
      </c>
      <c r="I11" s="6">
        <f t="shared" si="1"/>
        <v>793.61099999999999</v>
      </c>
      <c r="J11" s="45" t="s">
        <v>97</v>
      </c>
      <c r="K11" s="17"/>
    </row>
    <row r="12" spans="1:11" ht="13.95" customHeight="1" x14ac:dyDescent="0.3">
      <c r="A12" s="3">
        <v>45668</v>
      </c>
      <c r="B12" s="3" t="s">
        <v>1636</v>
      </c>
      <c r="C12" s="3" t="s">
        <v>13</v>
      </c>
      <c r="D12" s="3" t="s">
        <v>14</v>
      </c>
      <c r="E12" s="4">
        <v>0.6</v>
      </c>
      <c r="F12" s="42">
        <v>2.15</v>
      </c>
      <c r="G12" s="45">
        <v>476</v>
      </c>
      <c r="H12" s="44">
        <v>1.9</v>
      </c>
      <c r="I12" s="6">
        <f t="shared" si="1"/>
        <v>1166.6759999999997</v>
      </c>
      <c r="J12" s="45" t="s">
        <v>1399</v>
      </c>
      <c r="K12" s="17"/>
    </row>
    <row r="13" spans="1:11" ht="13.95" customHeight="1" x14ac:dyDescent="0.3">
      <c r="A13" s="3">
        <v>45669</v>
      </c>
      <c r="B13" s="3" t="s">
        <v>1636</v>
      </c>
      <c r="C13" s="3" t="s">
        <v>16</v>
      </c>
      <c r="D13" s="3" t="s">
        <v>14</v>
      </c>
      <c r="E13" s="4">
        <v>0.55000000000000004</v>
      </c>
      <c r="F13" s="42">
        <v>2</v>
      </c>
      <c r="G13" s="45">
        <v>476</v>
      </c>
      <c r="H13" s="44">
        <v>1.9</v>
      </c>
      <c r="I13" s="6">
        <f t="shared" si="1"/>
        <v>994.84</v>
      </c>
      <c r="J13" s="45" t="s">
        <v>149</v>
      </c>
      <c r="K13" s="17"/>
    </row>
    <row r="14" spans="1:11" ht="13.95" customHeight="1" x14ac:dyDescent="0.3">
      <c r="A14" s="3">
        <v>45670</v>
      </c>
      <c r="B14" s="3" t="s">
        <v>1636</v>
      </c>
      <c r="C14" s="3" t="s">
        <v>18</v>
      </c>
      <c r="D14" s="3" t="s">
        <v>1259</v>
      </c>
      <c r="E14" s="4">
        <v>0.35</v>
      </c>
      <c r="F14" s="42">
        <v>1.75</v>
      </c>
      <c r="G14" s="45">
        <v>476</v>
      </c>
      <c r="H14" s="44">
        <v>1.9</v>
      </c>
      <c r="I14" s="6">
        <f t="shared" si="1"/>
        <v>553.94500000000005</v>
      </c>
      <c r="J14" s="45" t="s">
        <v>270</v>
      </c>
      <c r="K14" s="17"/>
    </row>
    <row r="15" spans="1:11" ht="13.95" customHeight="1" x14ac:dyDescent="0.3">
      <c r="A15" s="3">
        <v>45671</v>
      </c>
      <c r="B15" s="3" t="s">
        <v>1636</v>
      </c>
      <c r="C15" s="3" t="s">
        <v>20</v>
      </c>
      <c r="D15" s="3" t="s">
        <v>1269</v>
      </c>
      <c r="E15" s="4">
        <v>0.5</v>
      </c>
      <c r="F15" s="42">
        <v>2.1</v>
      </c>
      <c r="G15" s="45">
        <v>476</v>
      </c>
      <c r="H15" s="44">
        <v>1.9</v>
      </c>
      <c r="I15" s="6">
        <f t="shared" si="1"/>
        <v>949.62</v>
      </c>
      <c r="J15" s="45" t="s">
        <v>1575</v>
      </c>
      <c r="K15" s="17"/>
    </row>
    <row r="16" spans="1:11" ht="13.95" customHeight="1" x14ac:dyDescent="0.3">
      <c r="A16" s="3">
        <v>45672</v>
      </c>
      <c r="B16" s="3" t="s">
        <v>1636</v>
      </c>
      <c r="C16" s="3" t="s">
        <v>5</v>
      </c>
      <c r="D16" s="3" t="s">
        <v>1259</v>
      </c>
      <c r="E16" s="4">
        <v>0.35</v>
      </c>
      <c r="F16" s="42">
        <v>1.8</v>
      </c>
      <c r="G16" s="45">
        <v>476</v>
      </c>
      <c r="H16" s="44">
        <v>1.9</v>
      </c>
      <c r="I16" s="6">
        <f t="shared" si="1"/>
        <v>569.77199999999993</v>
      </c>
      <c r="J16" s="45" t="s">
        <v>1576</v>
      </c>
      <c r="K16" s="17"/>
    </row>
    <row r="17" spans="1:11" ht="13.95" customHeight="1" x14ac:dyDescent="0.3">
      <c r="A17" s="3">
        <v>45673</v>
      </c>
      <c r="B17" s="3" t="s">
        <v>1636</v>
      </c>
      <c r="C17" s="3" t="s">
        <v>8</v>
      </c>
      <c r="D17" s="3" t="s">
        <v>1259</v>
      </c>
      <c r="E17" s="4">
        <v>0.38</v>
      </c>
      <c r="F17" s="42">
        <v>1.8</v>
      </c>
      <c r="G17" s="45">
        <v>476</v>
      </c>
      <c r="H17" s="44">
        <v>1.9</v>
      </c>
      <c r="I17" s="6">
        <f t="shared" si="1"/>
        <v>618.6096</v>
      </c>
      <c r="J17" s="45" t="s">
        <v>150</v>
      </c>
      <c r="K17" s="17"/>
    </row>
    <row r="18" spans="1:11" ht="13.95" customHeight="1" x14ac:dyDescent="0.3">
      <c r="A18" s="3">
        <v>45674</v>
      </c>
      <c r="B18" s="3" t="s">
        <v>1636</v>
      </c>
      <c r="C18" s="3" t="s">
        <v>11</v>
      </c>
      <c r="D18" s="3" t="s">
        <v>14</v>
      </c>
      <c r="E18" s="4">
        <v>0.45</v>
      </c>
      <c r="F18" s="42">
        <v>1.9</v>
      </c>
      <c r="G18" s="45">
        <v>476</v>
      </c>
      <c r="H18" s="44">
        <v>1.9</v>
      </c>
      <c r="I18" s="6">
        <f t="shared" si="1"/>
        <v>773.26199999999994</v>
      </c>
      <c r="J18" s="45" t="s">
        <v>97</v>
      </c>
      <c r="K18" s="17"/>
    </row>
    <row r="19" spans="1:11" ht="13.95" customHeight="1" x14ac:dyDescent="0.3">
      <c r="A19" s="3">
        <v>45675</v>
      </c>
      <c r="B19" s="3" t="s">
        <v>1636</v>
      </c>
      <c r="C19" s="3" t="s">
        <v>13</v>
      </c>
      <c r="D19" s="3" t="s">
        <v>14</v>
      </c>
      <c r="E19" s="4">
        <v>0.6</v>
      </c>
      <c r="F19" s="42">
        <v>2.15</v>
      </c>
      <c r="G19" s="45">
        <v>476</v>
      </c>
      <c r="H19" s="44">
        <v>1.9</v>
      </c>
      <c r="I19" s="6">
        <f t="shared" si="1"/>
        <v>1166.6759999999997</v>
      </c>
      <c r="J19" s="45" t="s">
        <v>1577</v>
      </c>
      <c r="K19" s="17"/>
    </row>
    <row r="20" spans="1:11" ht="13.95" customHeight="1" x14ac:dyDescent="0.3">
      <c r="A20" s="3">
        <v>45676</v>
      </c>
      <c r="B20" s="3" t="s">
        <v>1636</v>
      </c>
      <c r="C20" s="3" t="s">
        <v>16</v>
      </c>
      <c r="D20" s="3" t="s">
        <v>14</v>
      </c>
      <c r="E20" s="4">
        <v>0.55000000000000004</v>
      </c>
      <c r="F20" s="42">
        <v>2</v>
      </c>
      <c r="G20" s="45">
        <v>476</v>
      </c>
      <c r="H20" s="44">
        <v>1.9</v>
      </c>
      <c r="I20" s="6">
        <f t="shared" si="1"/>
        <v>994.84</v>
      </c>
      <c r="J20" s="45" t="s">
        <v>149</v>
      </c>
      <c r="K20" s="17"/>
    </row>
    <row r="21" spans="1:11" ht="13.95" customHeight="1" x14ac:dyDescent="0.3">
      <c r="A21" s="3">
        <v>45677</v>
      </c>
      <c r="B21" s="3" t="s">
        <v>1636</v>
      </c>
      <c r="C21" s="3" t="s">
        <v>18</v>
      </c>
      <c r="D21" s="3" t="s">
        <v>1259</v>
      </c>
      <c r="E21" s="4">
        <v>0.32</v>
      </c>
      <c r="F21" s="42">
        <v>1.75</v>
      </c>
      <c r="G21" s="45">
        <v>476</v>
      </c>
      <c r="H21" s="44">
        <v>1.9</v>
      </c>
      <c r="I21" s="6">
        <f t="shared" si="1"/>
        <v>506.464</v>
      </c>
      <c r="J21" s="45" t="s">
        <v>150</v>
      </c>
      <c r="K21" s="17"/>
    </row>
    <row r="22" spans="1:11" ht="13.95" customHeight="1" x14ac:dyDescent="0.3">
      <c r="A22" s="3">
        <v>45678</v>
      </c>
      <c r="B22" s="3" t="s">
        <v>1636</v>
      </c>
      <c r="C22" s="3" t="s">
        <v>20</v>
      </c>
      <c r="D22" s="3" t="s">
        <v>1259</v>
      </c>
      <c r="E22" s="4">
        <v>0.3</v>
      </c>
      <c r="F22" s="42">
        <v>1.75</v>
      </c>
      <c r="G22" s="45">
        <v>476</v>
      </c>
      <c r="H22" s="44">
        <v>1.9</v>
      </c>
      <c r="I22" s="6">
        <f t="shared" si="1"/>
        <v>474.80999999999995</v>
      </c>
      <c r="J22" s="45" t="s">
        <v>1472</v>
      </c>
      <c r="K22" s="17"/>
    </row>
    <row r="23" spans="1:11" ht="13.95" customHeight="1" x14ac:dyDescent="0.3">
      <c r="A23" s="3">
        <v>45679</v>
      </c>
      <c r="B23" s="3" t="s">
        <v>1636</v>
      </c>
      <c r="C23" s="3" t="s">
        <v>5</v>
      </c>
      <c r="D23" s="3" t="s">
        <v>1259</v>
      </c>
      <c r="E23" s="4">
        <v>0.3</v>
      </c>
      <c r="F23" s="42">
        <v>1.75</v>
      </c>
      <c r="G23" s="45">
        <v>476</v>
      </c>
      <c r="H23" s="44">
        <v>1.9</v>
      </c>
      <c r="I23" s="6">
        <f t="shared" si="1"/>
        <v>474.80999999999995</v>
      </c>
      <c r="J23" s="45" t="s">
        <v>1472</v>
      </c>
      <c r="K23" s="17"/>
    </row>
    <row r="24" spans="1:11" ht="13.95" customHeight="1" x14ac:dyDescent="0.3">
      <c r="A24" s="3">
        <v>45680</v>
      </c>
      <c r="B24" s="3" t="s">
        <v>1636</v>
      </c>
      <c r="C24" s="3" t="s">
        <v>8</v>
      </c>
      <c r="D24" s="3" t="s">
        <v>44</v>
      </c>
      <c r="E24" s="4">
        <v>0.4</v>
      </c>
      <c r="F24" s="42">
        <v>1.85</v>
      </c>
      <c r="G24" s="45">
        <v>476</v>
      </c>
      <c r="H24" s="44">
        <v>1.9</v>
      </c>
      <c r="I24" s="6">
        <f t="shared" si="1"/>
        <v>669.25599999999997</v>
      </c>
      <c r="J24" s="45" t="s">
        <v>1578</v>
      </c>
      <c r="K24" s="17"/>
    </row>
    <row r="25" spans="1:11" ht="13.95" customHeight="1" x14ac:dyDescent="0.3">
      <c r="A25" s="3">
        <v>45681</v>
      </c>
      <c r="B25" s="3" t="s">
        <v>1636</v>
      </c>
      <c r="C25" s="3" t="s">
        <v>11</v>
      </c>
      <c r="D25" s="3" t="s">
        <v>658</v>
      </c>
      <c r="E25" s="4">
        <v>0.55000000000000004</v>
      </c>
      <c r="F25" s="42">
        <v>2</v>
      </c>
      <c r="G25" s="45">
        <v>476</v>
      </c>
      <c r="H25" s="44">
        <v>1.9</v>
      </c>
      <c r="I25" s="6">
        <f t="shared" si="1"/>
        <v>994.84</v>
      </c>
      <c r="J25" s="45" t="s">
        <v>1489</v>
      </c>
      <c r="K25" s="17"/>
    </row>
    <row r="26" spans="1:11" ht="13.95" customHeight="1" x14ac:dyDescent="0.3">
      <c r="A26" s="3">
        <v>45682</v>
      </c>
      <c r="B26" s="3" t="s">
        <v>1636</v>
      </c>
      <c r="C26" s="3" t="s">
        <v>13</v>
      </c>
      <c r="D26" s="3" t="s">
        <v>658</v>
      </c>
      <c r="E26" s="4">
        <v>0.75</v>
      </c>
      <c r="F26" s="42">
        <v>2.25</v>
      </c>
      <c r="G26" s="45">
        <v>476</v>
      </c>
      <c r="H26" s="44">
        <v>1.9</v>
      </c>
      <c r="I26" s="6">
        <f t="shared" si="1"/>
        <v>1526.175</v>
      </c>
      <c r="J26" s="45" t="s">
        <v>1579</v>
      </c>
      <c r="K26" s="17"/>
    </row>
    <row r="27" spans="1:11" ht="13.95" customHeight="1" x14ac:dyDescent="0.3">
      <c r="A27" s="3">
        <v>45683</v>
      </c>
      <c r="B27" s="3" t="s">
        <v>1636</v>
      </c>
      <c r="C27" s="3" t="s">
        <v>16</v>
      </c>
      <c r="D27" s="3" t="s">
        <v>658</v>
      </c>
      <c r="E27" s="4">
        <v>0.7</v>
      </c>
      <c r="F27" s="42">
        <v>2.15</v>
      </c>
      <c r="G27" s="45">
        <v>476</v>
      </c>
      <c r="H27" s="44">
        <v>1.9</v>
      </c>
      <c r="I27" s="6">
        <f t="shared" si="1"/>
        <v>1361.1219999999998</v>
      </c>
      <c r="J27" s="45" t="s">
        <v>1275</v>
      </c>
      <c r="K27" s="17"/>
    </row>
    <row r="28" spans="1:11" ht="13.95" customHeight="1" x14ac:dyDescent="0.3">
      <c r="A28" s="3">
        <v>45684</v>
      </c>
      <c r="B28" s="3" t="s">
        <v>1636</v>
      </c>
      <c r="C28" s="3" t="s">
        <v>18</v>
      </c>
      <c r="D28" s="3" t="s">
        <v>658</v>
      </c>
      <c r="E28" s="4">
        <v>0.6</v>
      </c>
      <c r="F28" s="42">
        <v>1.95</v>
      </c>
      <c r="G28" s="45">
        <v>476</v>
      </c>
      <c r="H28" s="44">
        <v>1.9</v>
      </c>
      <c r="I28" s="6">
        <f t="shared" si="1"/>
        <v>1058.1479999999999</v>
      </c>
      <c r="J28" s="45" t="s">
        <v>1580</v>
      </c>
      <c r="K28" s="17"/>
    </row>
    <row r="29" spans="1:11" ht="13.95" customHeight="1" x14ac:dyDescent="0.3">
      <c r="A29" s="3">
        <v>45685</v>
      </c>
      <c r="B29" s="3" t="s">
        <v>1636</v>
      </c>
      <c r="C29" s="3" t="s">
        <v>20</v>
      </c>
      <c r="D29" s="3" t="s">
        <v>658</v>
      </c>
      <c r="E29" s="4">
        <v>0.6</v>
      </c>
      <c r="F29" s="42">
        <v>1.95</v>
      </c>
      <c r="G29" s="45">
        <v>476</v>
      </c>
      <c r="H29" s="44">
        <v>1.9</v>
      </c>
      <c r="I29" s="6">
        <f t="shared" si="1"/>
        <v>1058.1479999999999</v>
      </c>
      <c r="J29" s="45" t="s">
        <v>1580</v>
      </c>
      <c r="K29" s="17"/>
    </row>
    <row r="30" spans="1:11" ht="13.95" customHeight="1" x14ac:dyDescent="0.3">
      <c r="A30" s="3">
        <v>45686</v>
      </c>
      <c r="B30" s="3" t="s">
        <v>1636</v>
      </c>
      <c r="C30" s="3" t="s">
        <v>5</v>
      </c>
      <c r="D30" s="3" t="s">
        <v>658</v>
      </c>
      <c r="E30" s="4">
        <v>0.62</v>
      </c>
      <c r="F30" s="42">
        <v>1.95</v>
      </c>
      <c r="G30" s="45">
        <v>476</v>
      </c>
      <c r="H30" s="44">
        <v>1.9</v>
      </c>
      <c r="I30" s="6">
        <f t="shared" si="1"/>
        <v>1093.4195999999999</v>
      </c>
      <c r="J30" s="45" t="s">
        <v>52</v>
      </c>
      <c r="K30" s="17"/>
    </row>
    <row r="31" spans="1:11" ht="13.95" customHeight="1" x14ac:dyDescent="0.3">
      <c r="A31" s="3">
        <v>45687</v>
      </c>
      <c r="B31" s="3" t="s">
        <v>1636</v>
      </c>
      <c r="C31" s="3" t="s">
        <v>8</v>
      </c>
      <c r="D31" s="3" t="s">
        <v>658</v>
      </c>
      <c r="E31" s="4">
        <v>0.65</v>
      </c>
      <c r="F31" s="42">
        <v>2</v>
      </c>
      <c r="G31" s="45">
        <v>476</v>
      </c>
      <c r="H31" s="44">
        <v>1.9</v>
      </c>
      <c r="I31" s="6">
        <f t="shared" si="1"/>
        <v>1175.72</v>
      </c>
      <c r="J31" s="45" t="s">
        <v>1581</v>
      </c>
      <c r="K31" s="17"/>
    </row>
    <row r="32" spans="1:11" ht="13.95" customHeight="1" x14ac:dyDescent="0.3">
      <c r="A32" s="3">
        <v>45688</v>
      </c>
      <c r="B32" s="3" t="s">
        <v>1636</v>
      </c>
      <c r="C32" s="3" t="s">
        <v>11</v>
      </c>
      <c r="D32" s="3" t="s">
        <v>658</v>
      </c>
      <c r="E32" s="4">
        <v>0.75</v>
      </c>
      <c r="F32" s="42">
        <v>2.1</v>
      </c>
      <c r="G32" s="45">
        <v>476</v>
      </c>
      <c r="H32" s="44">
        <v>1.9</v>
      </c>
      <c r="I32" s="6">
        <f t="shared" si="1"/>
        <v>1424.43</v>
      </c>
      <c r="J32" s="45" t="s">
        <v>1582</v>
      </c>
      <c r="K32" s="17"/>
    </row>
    <row r="33" spans="1:11" ht="13.95" customHeight="1" x14ac:dyDescent="0.3">
      <c r="A33" s="3">
        <v>45689</v>
      </c>
      <c r="B33" s="3" t="s">
        <v>1636</v>
      </c>
      <c r="C33" s="3" t="s">
        <v>13</v>
      </c>
      <c r="D33" s="3" t="s">
        <v>1491</v>
      </c>
      <c r="E33" s="4">
        <v>0.8</v>
      </c>
      <c r="F33" s="42">
        <v>2.25</v>
      </c>
      <c r="G33" s="45">
        <v>476</v>
      </c>
      <c r="H33" s="44">
        <v>1.9</v>
      </c>
      <c r="I33" s="6">
        <f t="shared" si="1"/>
        <v>1627.92</v>
      </c>
      <c r="J33" s="45" t="s">
        <v>1583</v>
      </c>
      <c r="K33" s="17"/>
    </row>
    <row r="34" spans="1:11" ht="13.95" customHeight="1" x14ac:dyDescent="0.3">
      <c r="A34" s="3">
        <v>45690</v>
      </c>
      <c r="B34" s="3" t="s">
        <v>1636</v>
      </c>
      <c r="C34" s="3" t="s">
        <v>16</v>
      </c>
      <c r="D34" s="3" t="s">
        <v>1491</v>
      </c>
      <c r="E34" s="4">
        <v>0.75</v>
      </c>
      <c r="F34" s="42">
        <v>2.15</v>
      </c>
      <c r="G34" s="45">
        <v>476</v>
      </c>
      <c r="H34" s="44">
        <v>1.9</v>
      </c>
      <c r="I34" s="6">
        <f t="shared" si="1"/>
        <v>1458.3449999999998</v>
      </c>
      <c r="J34" s="45" t="s">
        <v>1584</v>
      </c>
      <c r="K34" s="17"/>
    </row>
    <row r="35" spans="1:11" ht="13.95" customHeight="1" x14ac:dyDescent="0.3">
      <c r="A35" s="3">
        <v>45691</v>
      </c>
      <c r="B35" s="3" t="s">
        <v>1636</v>
      </c>
      <c r="C35" s="3" t="s">
        <v>18</v>
      </c>
      <c r="D35" s="3" t="s">
        <v>1259</v>
      </c>
      <c r="E35" s="4">
        <v>0.4</v>
      </c>
      <c r="F35" s="42">
        <v>1.8</v>
      </c>
      <c r="G35" s="45">
        <v>476</v>
      </c>
      <c r="H35" s="44">
        <v>1.9</v>
      </c>
      <c r="I35" s="6">
        <f t="shared" si="1"/>
        <v>651.16800000000001</v>
      </c>
      <c r="J35" s="45" t="s">
        <v>1585</v>
      </c>
      <c r="K35" s="17"/>
    </row>
    <row r="36" spans="1:11" ht="13.95" customHeight="1" x14ac:dyDescent="0.3">
      <c r="A36" s="3">
        <v>45692</v>
      </c>
      <c r="B36" s="3" t="s">
        <v>1636</v>
      </c>
      <c r="C36" s="3" t="s">
        <v>20</v>
      </c>
      <c r="D36" s="3" t="s">
        <v>1259</v>
      </c>
      <c r="E36" s="4">
        <v>0.35</v>
      </c>
      <c r="F36" s="42">
        <v>1.75</v>
      </c>
      <c r="G36" s="45">
        <v>476</v>
      </c>
      <c r="H36" s="44">
        <v>1.9</v>
      </c>
      <c r="I36" s="6">
        <f t="shared" si="1"/>
        <v>553.94500000000005</v>
      </c>
      <c r="J36" s="45" t="s">
        <v>1586</v>
      </c>
      <c r="K36" s="17"/>
    </row>
    <row r="37" spans="1:11" ht="13.95" customHeight="1" x14ac:dyDescent="0.3">
      <c r="A37" s="3">
        <v>45693</v>
      </c>
      <c r="B37" s="3" t="s">
        <v>1636</v>
      </c>
      <c r="C37" s="3" t="s">
        <v>5</v>
      </c>
      <c r="D37" s="3" t="s">
        <v>1259</v>
      </c>
      <c r="E37" s="4">
        <v>0.35</v>
      </c>
      <c r="F37" s="42">
        <v>1.75</v>
      </c>
      <c r="G37" s="45">
        <v>476</v>
      </c>
      <c r="H37" s="44">
        <v>1.9</v>
      </c>
      <c r="I37" s="6">
        <f t="shared" si="1"/>
        <v>553.94500000000005</v>
      </c>
      <c r="J37" s="45" t="s">
        <v>1586</v>
      </c>
      <c r="K37" s="17"/>
    </row>
    <row r="38" spans="1:11" ht="13.95" customHeight="1" x14ac:dyDescent="0.3">
      <c r="A38" s="3">
        <v>45694</v>
      </c>
      <c r="B38" s="3" t="s">
        <v>1636</v>
      </c>
      <c r="C38" s="3" t="s">
        <v>8</v>
      </c>
      <c r="D38" s="3" t="s">
        <v>1259</v>
      </c>
      <c r="E38" s="4">
        <v>0.38</v>
      </c>
      <c r="F38" s="42">
        <v>1.8</v>
      </c>
      <c r="G38" s="45">
        <v>476</v>
      </c>
      <c r="H38" s="44">
        <v>1.9</v>
      </c>
      <c r="I38" s="6">
        <f t="shared" si="1"/>
        <v>618.6096</v>
      </c>
      <c r="J38" s="45" t="s">
        <v>1410</v>
      </c>
      <c r="K38" s="17"/>
    </row>
    <row r="39" spans="1:11" ht="13.95" customHeight="1" x14ac:dyDescent="0.3">
      <c r="A39" s="3">
        <v>45695</v>
      </c>
      <c r="B39" s="3" t="s">
        <v>1636</v>
      </c>
      <c r="C39" s="3" t="s">
        <v>11</v>
      </c>
      <c r="D39" s="3" t="s">
        <v>14</v>
      </c>
      <c r="E39" s="4">
        <v>0.45</v>
      </c>
      <c r="F39" s="42">
        <v>1.95</v>
      </c>
      <c r="G39" s="45">
        <v>476</v>
      </c>
      <c r="H39" s="44">
        <v>1.9</v>
      </c>
      <c r="I39" s="6">
        <f t="shared" si="1"/>
        <v>793.61099999999999</v>
      </c>
      <c r="J39" s="45" t="s">
        <v>67</v>
      </c>
      <c r="K39" s="17"/>
    </row>
    <row r="40" spans="1:11" ht="13.95" customHeight="1" x14ac:dyDescent="0.3">
      <c r="A40" s="3">
        <v>45696</v>
      </c>
      <c r="B40" s="3" t="s">
        <v>1636</v>
      </c>
      <c r="C40" s="3" t="s">
        <v>13</v>
      </c>
      <c r="D40" s="3" t="s">
        <v>14</v>
      </c>
      <c r="E40" s="4">
        <v>0.6</v>
      </c>
      <c r="F40" s="42">
        <v>2.15</v>
      </c>
      <c r="G40" s="45">
        <v>476</v>
      </c>
      <c r="H40" s="44">
        <v>1.9</v>
      </c>
      <c r="I40" s="6">
        <f t="shared" si="1"/>
        <v>1166.6759999999997</v>
      </c>
      <c r="J40" s="45" t="s">
        <v>1399</v>
      </c>
      <c r="K40" s="17"/>
    </row>
    <row r="41" spans="1:11" ht="13.95" customHeight="1" x14ac:dyDescent="0.3">
      <c r="A41" s="3">
        <v>45697</v>
      </c>
      <c r="B41" s="3" t="s">
        <v>1636</v>
      </c>
      <c r="C41" s="3" t="s">
        <v>16</v>
      </c>
      <c r="D41" s="3" t="s">
        <v>14</v>
      </c>
      <c r="E41" s="4">
        <v>0.55000000000000004</v>
      </c>
      <c r="F41" s="42">
        <v>2</v>
      </c>
      <c r="G41" s="45">
        <v>476</v>
      </c>
      <c r="H41" s="44">
        <v>1.9</v>
      </c>
      <c r="I41" s="6">
        <f t="shared" si="1"/>
        <v>994.84</v>
      </c>
      <c r="J41" s="45" t="s">
        <v>139</v>
      </c>
      <c r="K41" s="17"/>
    </row>
    <row r="42" spans="1:11" ht="13.95" customHeight="1" x14ac:dyDescent="0.3">
      <c r="A42" s="3">
        <v>45698</v>
      </c>
      <c r="B42" s="3" t="s">
        <v>1636</v>
      </c>
      <c r="C42" s="3" t="s">
        <v>18</v>
      </c>
      <c r="D42" s="3" t="s">
        <v>1259</v>
      </c>
      <c r="E42" s="4">
        <v>0.35</v>
      </c>
      <c r="F42" s="42">
        <v>1.75</v>
      </c>
      <c r="G42" s="45">
        <v>476</v>
      </c>
      <c r="H42" s="44">
        <v>1.9</v>
      </c>
      <c r="I42" s="6">
        <f t="shared" si="1"/>
        <v>553.94500000000005</v>
      </c>
      <c r="J42" s="45" t="s">
        <v>150</v>
      </c>
      <c r="K42" s="17"/>
    </row>
    <row r="43" spans="1:11" ht="13.95" customHeight="1" x14ac:dyDescent="0.3">
      <c r="A43" s="3">
        <v>45699</v>
      </c>
      <c r="B43" s="3" t="s">
        <v>1636</v>
      </c>
      <c r="C43" s="3" t="s">
        <v>20</v>
      </c>
      <c r="D43" s="3" t="s">
        <v>1259</v>
      </c>
      <c r="E43" s="4">
        <v>0.32</v>
      </c>
      <c r="F43" s="42">
        <v>1.75</v>
      </c>
      <c r="G43" s="45">
        <v>476</v>
      </c>
      <c r="H43" s="44">
        <v>1.9</v>
      </c>
      <c r="I43" s="6">
        <f t="shared" si="1"/>
        <v>506.464</v>
      </c>
      <c r="J43" s="45" t="s">
        <v>150</v>
      </c>
      <c r="K43" s="17"/>
    </row>
    <row r="44" spans="1:11" ht="13.95" customHeight="1" x14ac:dyDescent="0.3">
      <c r="A44" s="3">
        <v>45700</v>
      </c>
      <c r="B44" s="3" t="s">
        <v>1636</v>
      </c>
      <c r="C44" s="3" t="s">
        <v>5</v>
      </c>
      <c r="D44" s="3" t="s">
        <v>1070</v>
      </c>
      <c r="E44" s="4">
        <v>0.4</v>
      </c>
      <c r="F44" s="42">
        <v>1.85</v>
      </c>
      <c r="G44" s="45">
        <v>476</v>
      </c>
      <c r="H44" s="44">
        <v>1.9</v>
      </c>
      <c r="I44" s="6">
        <f t="shared" si="1"/>
        <v>669.25599999999997</v>
      </c>
      <c r="J44" s="45" t="s">
        <v>1587</v>
      </c>
      <c r="K44" s="17"/>
    </row>
    <row r="45" spans="1:11" ht="13.95" customHeight="1" x14ac:dyDescent="0.3">
      <c r="A45" s="3">
        <v>45701</v>
      </c>
      <c r="B45" s="3" t="s">
        <v>1636</v>
      </c>
      <c r="C45" s="3" t="s">
        <v>8</v>
      </c>
      <c r="D45" s="3" t="s">
        <v>1497</v>
      </c>
      <c r="E45" s="4">
        <v>0.5</v>
      </c>
      <c r="F45" s="42">
        <v>1.95</v>
      </c>
      <c r="G45" s="45">
        <v>476</v>
      </c>
      <c r="H45" s="44">
        <v>1.9</v>
      </c>
      <c r="I45" s="6">
        <f t="shared" si="1"/>
        <v>881.78999999999985</v>
      </c>
      <c r="J45" s="45" t="s">
        <v>1498</v>
      </c>
      <c r="K45" s="17"/>
    </row>
    <row r="46" spans="1:11" ht="13.95" customHeight="1" x14ac:dyDescent="0.3">
      <c r="A46" s="3">
        <v>45702</v>
      </c>
      <c r="B46" s="3" t="s">
        <v>1636</v>
      </c>
      <c r="C46" s="3" t="s">
        <v>11</v>
      </c>
      <c r="D46" s="3" t="s">
        <v>1286</v>
      </c>
      <c r="E46" s="4">
        <v>0.85</v>
      </c>
      <c r="F46" s="42">
        <v>2.5499999999999998</v>
      </c>
      <c r="G46" s="45">
        <v>476</v>
      </c>
      <c r="H46" s="44">
        <v>1.9</v>
      </c>
      <c r="I46" s="6">
        <f t="shared" si="1"/>
        <v>1960.2869999999996</v>
      </c>
      <c r="J46" s="45" t="s">
        <v>1588</v>
      </c>
      <c r="K46" s="17"/>
    </row>
    <row r="47" spans="1:11" ht="13.95" customHeight="1" x14ac:dyDescent="0.3">
      <c r="A47" s="3">
        <v>45703</v>
      </c>
      <c r="B47" s="3" t="s">
        <v>1636</v>
      </c>
      <c r="C47" s="3" t="s">
        <v>13</v>
      </c>
      <c r="D47" s="3" t="s">
        <v>14</v>
      </c>
      <c r="E47" s="4">
        <v>0.8</v>
      </c>
      <c r="F47" s="42">
        <v>2.25</v>
      </c>
      <c r="G47" s="45">
        <v>476</v>
      </c>
      <c r="H47" s="44">
        <v>1.9</v>
      </c>
      <c r="I47" s="6">
        <f t="shared" si="1"/>
        <v>1627.92</v>
      </c>
      <c r="J47" s="45" t="s">
        <v>197</v>
      </c>
      <c r="K47" s="17"/>
    </row>
    <row r="48" spans="1:11" ht="13.95" customHeight="1" x14ac:dyDescent="0.3">
      <c r="A48" s="3">
        <v>45704</v>
      </c>
      <c r="B48" s="3" t="s">
        <v>1636</v>
      </c>
      <c r="C48" s="3" t="s">
        <v>16</v>
      </c>
      <c r="D48" s="3" t="s">
        <v>14</v>
      </c>
      <c r="E48" s="4">
        <v>0.7</v>
      </c>
      <c r="F48" s="42">
        <v>2.1</v>
      </c>
      <c r="G48" s="45">
        <v>476</v>
      </c>
      <c r="H48" s="44">
        <v>1.9</v>
      </c>
      <c r="I48" s="6">
        <f t="shared" si="1"/>
        <v>1329.4680000000001</v>
      </c>
      <c r="J48" s="45" t="s">
        <v>559</v>
      </c>
      <c r="K48" s="17"/>
    </row>
    <row r="49" spans="1:11" ht="13.95" customHeight="1" x14ac:dyDescent="0.3">
      <c r="A49" s="3">
        <v>45705</v>
      </c>
      <c r="B49" s="3" t="s">
        <v>1636</v>
      </c>
      <c r="C49" s="3" t="s">
        <v>18</v>
      </c>
      <c r="D49" s="3" t="s">
        <v>1259</v>
      </c>
      <c r="E49" s="4">
        <v>0.35</v>
      </c>
      <c r="F49" s="42">
        <v>1.75</v>
      </c>
      <c r="G49" s="45">
        <v>476</v>
      </c>
      <c r="H49" s="44">
        <v>1.9</v>
      </c>
      <c r="I49" s="6">
        <f t="shared" si="1"/>
        <v>553.94500000000005</v>
      </c>
      <c r="J49" s="45" t="s">
        <v>774</v>
      </c>
      <c r="K49" s="17"/>
    </row>
    <row r="50" spans="1:11" ht="13.95" customHeight="1" x14ac:dyDescent="0.3">
      <c r="A50" s="3">
        <v>45706</v>
      </c>
      <c r="B50" s="3" t="s">
        <v>1636</v>
      </c>
      <c r="C50" s="3" t="s">
        <v>20</v>
      </c>
      <c r="D50" s="3" t="s">
        <v>1259</v>
      </c>
      <c r="E50" s="4">
        <v>0.32</v>
      </c>
      <c r="F50" s="42">
        <v>1.75</v>
      </c>
      <c r="G50" s="45">
        <v>476</v>
      </c>
      <c r="H50" s="44">
        <v>1.9</v>
      </c>
      <c r="I50" s="6">
        <f t="shared" si="1"/>
        <v>506.464</v>
      </c>
      <c r="J50" s="45" t="s">
        <v>1589</v>
      </c>
      <c r="K50" s="17"/>
    </row>
    <row r="51" spans="1:11" ht="13.95" customHeight="1" x14ac:dyDescent="0.3">
      <c r="A51" s="3">
        <v>45707</v>
      </c>
      <c r="B51" s="3" t="s">
        <v>1636</v>
      </c>
      <c r="C51" s="3" t="s">
        <v>5</v>
      </c>
      <c r="D51" s="3" t="s">
        <v>1259</v>
      </c>
      <c r="E51" s="4">
        <v>0.32</v>
      </c>
      <c r="F51" s="42">
        <v>1.75</v>
      </c>
      <c r="G51" s="45">
        <v>476</v>
      </c>
      <c r="H51" s="44">
        <v>1.9</v>
      </c>
      <c r="I51" s="6">
        <f t="shared" si="1"/>
        <v>506.464</v>
      </c>
      <c r="J51" s="45" t="s">
        <v>1589</v>
      </c>
      <c r="K51" s="17"/>
    </row>
    <row r="52" spans="1:11" ht="13.95" customHeight="1" x14ac:dyDescent="0.3">
      <c r="A52" s="3">
        <v>45708</v>
      </c>
      <c r="B52" s="3" t="s">
        <v>1636</v>
      </c>
      <c r="C52" s="3" t="s">
        <v>8</v>
      </c>
      <c r="D52" s="3" t="s">
        <v>1259</v>
      </c>
      <c r="E52" s="4">
        <v>0.35</v>
      </c>
      <c r="F52" s="42">
        <v>1.8</v>
      </c>
      <c r="G52" s="45">
        <v>476</v>
      </c>
      <c r="H52" s="44">
        <v>1.9</v>
      </c>
      <c r="I52" s="6">
        <f t="shared" si="1"/>
        <v>569.77199999999993</v>
      </c>
      <c r="J52" s="45" t="s">
        <v>150</v>
      </c>
      <c r="K52" s="17"/>
    </row>
    <row r="53" spans="1:11" ht="13.95" customHeight="1" x14ac:dyDescent="0.3">
      <c r="A53" s="3">
        <v>45709</v>
      </c>
      <c r="B53" s="3" t="s">
        <v>1636</v>
      </c>
      <c r="C53" s="3" t="s">
        <v>11</v>
      </c>
      <c r="D53" s="3" t="s">
        <v>14</v>
      </c>
      <c r="E53" s="4">
        <v>0.45</v>
      </c>
      <c r="F53" s="42">
        <v>1.9</v>
      </c>
      <c r="G53" s="45">
        <v>476</v>
      </c>
      <c r="H53" s="44">
        <v>1.9</v>
      </c>
      <c r="I53" s="6">
        <f t="shared" si="1"/>
        <v>773.26199999999994</v>
      </c>
      <c r="J53" s="45" t="s">
        <v>97</v>
      </c>
      <c r="K53" s="17"/>
    </row>
    <row r="54" spans="1:11" ht="13.95" customHeight="1" x14ac:dyDescent="0.3">
      <c r="A54" s="3">
        <v>45710</v>
      </c>
      <c r="B54" s="3" t="s">
        <v>1636</v>
      </c>
      <c r="C54" s="3" t="s">
        <v>13</v>
      </c>
      <c r="D54" s="3" t="s">
        <v>14</v>
      </c>
      <c r="E54" s="4">
        <v>0.55000000000000004</v>
      </c>
      <c r="F54" s="42">
        <v>2.15</v>
      </c>
      <c r="G54" s="45">
        <v>476</v>
      </c>
      <c r="H54" s="44">
        <v>1.9</v>
      </c>
      <c r="I54" s="6">
        <f t="shared" si="1"/>
        <v>1069.453</v>
      </c>
      <c r="J54" s="45" t="s">
        <v>1577</v>
      </c>
      <c r="K54" s="17"/>
    </row>
    <row r="55" spans="1:11" ht="13.95" customHeight="1" x14ac:dyDescent="0.3">
      <c r="A55" s="3">
        <v>45711</v>
      </c>
      <c r="B55" s="3" t="s">
        <v>1636</v>
      </c>
      <c r="C55" s="3" t="s">
        <v>16</v>
      </c>
      <c r="D55" s="3" t="s">
        <v>14</v>
      </c>
      <c r="E55" s="4">
        <v>0.5</v>
      </c>
      <c r="F55" s="42">
        <v>2</v>
      </c>
      <c r="G55" s="45">
        <v>476</v>
      </c>
      <c r="H55" s="44">
        <v>1.9</v>
      </c>
      <c r="I55" s="6">
        <f t="shared" si="1"/>
        <v>904.4</v>
      </c>
      <c r="J55" s="45" t="s">
        <v>149</v>
      </c>
      <c r="K55" s="17"/>
    </row>
    <row r="56" spans="1:11" ht="13.95" customHeight="1" x14ac:dyDescent="0.3">
      <c r="A56" s="3">
        <v>45712</v>
      </c>
      <c r="B56" s="3" t="s">
        <v>1636</v>
      </c>
      <c r="C56" s="3" t="s">
        <v>18</v>
      </c>
      <c r="D56" s="3" t="s">
        <v>1259</v>
      </c>
      <c r="E56" s="4">
        <v>0.32</v>
      </c>
      <c r="F56" s="42">
        <v>1.75</v>
      </c>
      <c r="G56" s="45">
        <v>476</v>
      </c>
      <c r="H56" s="44">
        <v>1.9</v>
      </c>
      <c r="I56" s="6">
        <f t="shared" si="1"/>
        <v>506.464</v>
      </c>
      <c r="J56" s="45" t="s">
        <v>150</v>
      </c>
      <c r="K56" s="17"/>
    </row>
    <row r="57" spans="1:11" ht="13.95" customHeight="1" x14ac:dyDescent="0.3">
      <c r="A57" s="3">
        <v>45713</v>
      </c>
      <c r="B57" s="3" t="s">
        <v>1636</v>
      </c>
      <c r="C57" s="3" t="s">
        <v>20</v>
      </c>
      <c r="D57" s="3" t="s">
        <v>1259</v>
      </c>
      <c r="E57" s="4">
        <v>0.3</v>
      </c>
      <c r="F57" s="42">
        <v>1.75</v>
      </c>
      <c r="G57" s="45">
        <v>476</v>
      </c>
      <c r="H57" s="44">
        <v>1.9</v>
      </c>
      <c r="I57" s="6">
        <f t="shared" si="1"/>
        <v>474.80999999999995</v>
      </c>
      <c r="J57" s="45" t="s">
        <v>1487</v>
      </c>
      <c r="K57" s="17"/>
    </row>
    <row r="58" spans="1:11" ht="13.95" customHeight="1" x14ac:dyDescent="0.3">
      <c r="A58" s="3">
        <v>45714</v>
      </c>
      <c r="B58" s="3" t="s">
        <v>1636</v>
      </c>
      <c r="C58" s="3" t="s">
        <v>5</v>
      </c>
      <c r="D58" s="3" t="s">
        <v>1259</v>
      </c>
      <c r="E58" s="4">
        <v>0.32</v>
      </c>
      <c r="F58" s="42">
        <v>1.75</v>
      </c>
      <c r="G58" s="45">
        <v>476</v>
      </c>
      <c r="H58" s="44">
        <v>1.9</v>
      </c>
      <c r="I58" s="6">
        <f t="shared" si="1"/>
        <v>506.464</v>
      </c>
      <c r="J58" s="45" t="s">
        <v>150</v>
      </c>
      <c r="K58" s="17"/>
    </row>
    <row r="59" spans="1:11" ht="13.95" customHeight="1" x14ac:dyDescent="0.3">
      <c r="A59" s="3">
        <v>45715</v>
      </c>
      <c r="B59" s="3" t="s">
        <v>1636</v>
      </c>
      <c r="C59" s="3" t="s">
        <v>8</v>
      </c>
      <c r="D59" s="3" t="s">
        <v>44</v>
      </c>
      <c r="E59" s="4">
        <v>0.4</v>
      </c>
      <c r="F59" s="42">
        <v>1.85</v>
      </c>
      <c r="G59" s="45">
        <v>476</v>
      </c>
      <c r="H59" s="44">
        <v>1.9</v>
      </c>
      <c r="I59" s="6">
        <f t="shared" si="1"/>
        <v>669.25599999999997</v>
      </c>
      <c r="J59" s="45" t="s">
        <v>1500</v>
      </c>
      <c r="K59" s="17"/>
    </row>
    <row r="60" spans="1:11" ht="13.95" customHeight="1" x14ac:dyDescent="0.3">
      <c r="A60" s="3">
        <v>45716</v>
      </c>
      <c r="B60" s="3" t="s">
        <v>1636</v>
      </c>
      <c r="C60" s="3" t="s">
        <v>11</v>
      </c>
      <c r="D60" s="3" t="s">
        <v>1417</v>
      </c>
      <c r="E60" s="4">
        <v>0.55000000000000004</v>
      </c>
      <c r="F60" s="42">
        <v>2</v>
      </c>
      <c r="G60" s="45">
        <v>476</v>
      </c>
      <c r="H60" s="44">
        <v>1.9</v>
      </c>
      <c r="I60" s="6">
        <f t="shared" si="1"/>
        <v>994.84</v>
      </c>
      <c r="J60" s="45" t="s">
        <v>1590</v>
      </c>
      <c r="K60" s="17"/>
    </row>
    <row r="61" spans="1:11" ht="13.95" customHeight="1" x14ac:dyDescent="0.3">
      <c r="A61" s="3">
        <v>45717</v>
      </c>
      <c r="B61" s="3" t="s">
        <v>1636</v>
      </c>
      <c r="C61" s="3" t="s">
        <v>13</v>
      </c>
      <c r="D61" s="3" t="s">
        <v>708</v>
      </c>
      <c r="E61" s="4">
        <v>0.6</v>
      </c>
      <c r="F61" s="42">
        <v>2.4</v>
      </c>
      <c r="G61" s="45">
        <v>476</v>
      </c>
      <c r="H61" s="44">
        <v>1.9</v>
      </c>
      <c r="I61" s="6">
        <f t="shared" si="1"/>
        <v>1302.3359999999998</v>
      </c>
      <c r="J61" s="45" t="s">
        <v>1591</v>
      </c>
      <c r="K61" s="17"/>
    </row>
    <row r="62" spans="1:11" ht="13.95" customHeight="1" x14ac:dyDescent="0.3">
      <c r="A62" s="3">
        <v>45718</v>
      </c>
      <c r="B62" s="3" t="s">
        <v>1636</v>
      </c>
      <c r="C62" s="3" t="s">
        <v>16</v>
      </c>
      <c r="D62" s="3" t="s">
        <v>76</v>
      </c>
      <c r="E62" s="4">
        <v>0.5</v>
      </c>
      <c r="F62" s="42">
        <v>2.1</v>
      </c>
      <c r="G62" s="45">
        <v>476</v>
      </c>
      <c r="H62" s="44">
        <v>1.9</v>
      </c>
      <c r="I62" s="6">
        <f t="shared" si="1"/>
        <v>949.62</v>
      </c>
      <c r="J62" s="45" t="s">
        <v>1304</v>
      </c>
      <c r="K62" s="17"/>
    </row>
    <row r="63" spans="1:11" ht="13.95" customHeight="1" x14ac:dyDescent="0.3">
      <c r="A63" s="3">
        <v>45719</v>
      </c>
      <c r="B63" s="3" t="s">
        <v>1636</v>
      </c>
      <c r="C63" s="3" t="s">
        <v>18</v>
      </c>
      <c r="D63" s="3" t="s">
        <v>76</v>
      </c>
      <c r="E63" s="4">
        <v>0.3</v>
      </c>
      <c r="F63" s="42">
        <v>1.8</v>
      </c>
      <c r="G63" s="45">
        <v>476</v>
      </c>
      <c r="H63" s="44">
        <v>1.9</v>
      </c>
      <c r="I63" s="6">
        <f t="shared" si="1"/>
        <v>488.37599999999992</v>
      </c>
      <c r="J63" s="45" t="s">
        <v>1297</v>
      </c>
      <c r="K63" s="17"/>
    </row>
    <row r="64" spans="1:11" ht="13.95" customHeight="1" x14ac:dyDescent="0.3">
      <c r="A64" s="3">
        <v>45720</v>
      </c>
      <c r="B64" s="3" t="s">
        <v>1636</v>
      </c>
      <c r="C64" s="3" t="s">
        <v>20</v>
      </c>
      <c r="D64" s="3" t="s">
        <v>76</v>
      </c>
      <c r="E64" s="4">
        <v>0.3</v>
      </c>
      <c r="F64" s="42">
        <v>1.75</v>
      </c>
      <c r="G64" s="45">
        <v>476</v>
      </c>
      <c r="H64" s="44">
        <v>1.9</v>
      </c>
      <c r="I64" s="6">
        <f t="shared" si="1"/>
        <v>474.80999999999995</v>
      </c>
      <c r="J64" s="45" t="s">
        <v>1592</v>
      </c>
      <c r="K64" s="17"/>
    </row>
    <row r="65" spans="1:11" ht="13.95" customHeight="1" x14ac:dyDescent="0.3">
      <c r="A65" s="3">
        <v>45721</v>
      </c>
      <c r="B65" s="3" t="s">
        <v>1636</v>
      </c>
      <c r="C65" s="3" t="s">
        <v>5</v>
      </c>
      <c r="D65" s="3" t="s">
        <v>76</v>
      </c>
      <c r="E65" s="4">
        <v>0.32</v>
      </c>
      <c r="F65" s="42">
        <v>1.75</v>
      </c>
      <c r="G65" s="45">
        <v>476</v>
      </c>
      <c r="H65" s="44">
        <v>1.9</v>
      </c>
      <c r="I65" s="6">
        <f t="shared" si="1"/>
        <v>506.464</v>
      </c>
      <c r="J65" s="45" t="s">
        <v>1592</v>
      </c>
      <c r="K65" s="17"/>
    </row>
    <row r="66" spans="1:11" ht="13.95" customHeight="1" x14ac:dyDescent="0.3">
      <c r="A66" s="3">
        <v>45722</v>
      </c>
      <c r="B66" s="3" t="s">
        <v>1636</v>
      </c>
      <c r="C66" s="3" t="s">
        <v>8</v>
      </c>
      <c r="D66" s="3" t="s">
        <v>76</v>
      </c>
      <c r="E66" s="4">
        <v>0.35</v>
      </c>
      <c r="F66" s="42">
        <v>1.8</v>
      </c>
      <c r="G66" s="45">
        <v>476</v>
      </c>
      <c r="H66" s="44">
        <v>1.9</v>
      </c>
      <c r="I66" s="6">
        <f t="shared" si="1"/>
        <v>569.77199999999993</v>
      </c>
      <c r="J66" s="45" t="s">
        <v>150</v>
      </c>
      <c r="K66" s="17"/>
    </row>
    <row r="67" spans="1:11" ht="13.95" customHeight="1" x14ac:dyDescent="0.3">
      <c r="A67" s="3">
        <v>45723</v>
      </c>
      <c r="B67" s="3" t="s">
        <v>1636</v>
      </c>
      <c r="C67" s="3" t="s">
        <v>11</v>
      </c>
      <c r="D67" s="3" t="s">
        <v>14</v>
      </c>
      <c r="E67" s="4">
        <v>0.45</v>
      </c>
      <c r="F67" s="42">
        <v>2.0499999999999998</v>
      </c>
      <c r="G67" s="45">
        <v>476</v>
      </c>
      <c r="H67" s="44">
        <v>1.9</v>
      </c>
      <c r="I67" s="6">
        <f t="shared" ref="I67:I130" si="2">(G67*E67)*F67*H67</f>
        <v>834.30899999999997</v>
      </c>
      <c r="J67" s="45" t="s">
        <v>67</v>
      </c>
      <c r="K67" s="17"/>
    </row>
    <row r="68" spans="1:11" ht="13.95" customHeight="1" x14ac:dyDescent="0.3">
      <c r="A68" s="3">
        <v>45724</v>
      </c>
      <c r="B68" s="3" t="s">
        <v>1636</v>
      </c>
      <c r="C68" s="3" t="s">
        <v>13</v>
      </c>
      <c r="D68" s="3" t="s">
        <v>850</v>
      </c>
      <c r="E68" s="4">
        <v>0.7</v>
      </c>
      <c r="F68" s="42">
        <v>2.5</v>
      </c>
      <c r="G68" s="45">
        <v>476</v>
      </c>
      <c r="H68" s="44">
        <v>1.9</v>
      </c>
      <c r="I68" s="6">
        <f t="shared" si="2"/>
        <v>1582.6999999999998</v>
      </c>
      <c r="J68" s="45" t="s">
        <v>1503</v>
      </c>
      <c r="K68" s="17"/>
    </row>
    <row r="69" spans="1:11" ht="13.95" customHeight="1" x14ac:dyDescent="0.3">
      <c r="A69" s="3">
        <v>45725</v>
      </c>
      <c r="B69" s="3" t="s">
        <v>1636</v>
      </c>
      <c r="C69" s="3" t="s">
        <v>16</v>
      </c>
      <c r="D69" s="3" t="s">
        <v>76</v>
      </c>
      <c r="E69" s="4">
        <v>0.6</v>
      </c>
      <c r="F69" s="42">
        <v>2.1</v>
      </c>
      <c r="G69" s="45">
        <v>476</v>
      </c>
      <c r="H69" s="44">
        <v>1.9</v>
      </c>
      <c r="I69" s="6">
        <f t="shared" si="2"/>
        <v>1139.5439999999999</v>
      </c>
      <c r="J69" s="45" t="s">
        <v>149</v>
      </c>
      <c r="K69" s="17"/>
    </row>
    <row r="70" spans="1:11" ht="13.95" customHeight="1" x14ac:dyDescent="0.3">
      <c r="A70" s="3">
        <v>45726</v>
      </c>
      <c r="B70" s="3" t="s">
        <v>1636</v>
      </c>
      <c r="C70" s="3" t="s">
        <v>18</v>
      </c>
      <c r="D70" s="3" t="s">
        <v>76</v>
      </c>
      <c r="E70" s="4">
        <v>0.3</v>
      </c>
      <c r="F70" s="42">
        <v>1.75</v>
      </c>
      <c r="G70" s="45">
        <v>476</v>
      </c>
      <c r="H70" s="44">
        <v>1.9</v>
      </c>
      <c r="I70" s="6">
        <f t="shared" si="2"/>
        <v>474.80999999999995</v>
      </c>
      <c r="J70" s="45" t="s">
        <v>150</v>
      </c>
      <c r="K70" s="17"/>
    </row>
    <row r="71" spans="1:11" ht="13.95" customHeight="1" x14ac:dyDescent="0.3">
      <c r="A71" s="3">
        <v>45727</v>
      </c>
      <c r="B71" s="3" t="s">
        <v>1636</v>
      </c>
      <c r="C71" s="3" t="s">
        <v>20</v>
      </c>
      <c r="D71" s="3" t="s">
        <v>76</v>
      </c>
      <c r="E71" s="4">
        <v>0.3</v>
      </c>
      <c r="F71" s="42">
        <v>1.75</v>
      </c>
      <c r="G71" s="45">
        <v>476</v>
      </c>
      <c r="H71" s="44">
        <v>1.9</v>
      </c>
      <c r="I71" s="6">
        <f t="shared" si="2"/>
        <v>474.80999999999995</v>
      </c>
      <c r="J71" s="45" t="s">
        <v>150</v>
      </c>
      <c r="K71" s="17"/>
    </row>
    <row r="72" spans="1:11" ht="13.95" customHeight="1" x14ac:dyDescent="0.3">
      <c r="A72" s="3">
        <v>45728</v>
      </c>
      <c r="B72" s="3" t="s">
        <v>1636</v>
      </c>
      <c r="C72" s="3" t="s">
        <v>5</v>
      </c>
      <c r="D72" s="3" t="s">
        <v>76</v>
      </c>
      <c r="E72" s="4">
        <v>0.3</v>
      </c>
      <c r="F72" s="42">
        <v>1.75</v>
      </c>
      <c r="G72" s="45">
        <v>476</v>
      </c>
      <c r="H72" s="44">
        <v>1.9</v>
      </c>
      <c r="I72" s="6">
        <f t="shared" si="2"/>
        <v>474.80999999999995</v>
      </c>
      <c r="J72" s="45" t="s">
        <v>150</v>
      </c>
      <c r="K72" s="17"/>
    </row>
    <row r="73" spans="1:11" ht="13.95" customHeight="1" x14ac:dyDescent="0.3">
      <c r="A73" s="3">
        <v>45729</v>
      </c>
      <c r="B73" s="3" t="s">
        <v>1636</v>
      </c>
      <c r="C73" s="3" t="s">
        <v>8</v>
      </c>
      <c r="D73" s="3" t="s">
        <v>76</v>
      </c>
      <c r="E73" s="4">
        <v>0.32</v>
      </c>
      <c r="F73" s="42">
        <v>1.8</v>
      </c>
      <c r="G73" s="45">
        <v>476</v>
      </c>
      <c r="H73" s="44">
        <v>1.9</v>
      </c>
      <c r="I73" s="6">
        <f t="shared" si="2"/>
        <v>520.93439999999998</v>
      </c>
      <c r="J73" s="45" t="s">
        <v>150</v>
      </c>
      <c r="K73" s="17"/>
    </row>
    <row r="74" spans="1:11" ht="13.95" customHeight="1" x14ac:dyDescent="0.3">
      <c r="A74" s="3">
        <v>45730</v>
      </c>
      <c r="B74" s="3" t="s">
        <v>1636</v>
      </c>
      <c r="C74" s="3" t="s">
        <v>11</v>
      </c>
      <c r="D74" s="3" t="s">
        <v>14</v>
      </c>
      <c r="E74" s="4">
        <v>0.5</v>
      </c>
      <c r="F74" s="42">
        <v>2.1</v>
      </c>
      <c r="G74" s="45">
        <v>476</v>
      </c>
      <c r="H74" s="44">
        <v>1.9</v>
      </c>
      <c r="I74" s="6">
        <f t="shared" si="2"/>
        <v>949.62</v>
      </c>
      <c r="J74" s="45" t="s">
        <v>97</v>
      </c>
      <c r="K74" s="17"/>
    </row>
    <row r="75" spans="1:11" ht="13.95" customHeight="1" x14ac:dyDescent="0.3">
      <c r="A75" s="3">
        <v>45731</v>
      </c>
      <c r="B75" s="3" t="s">
        <v>1636</v>
      </c>
      <c r="C75" s="3" t="s">
        <v>13</v>
      </c>
      <c r="D75" s="3" t="s">
        <v>76</v>
      </c>
      <c r="E75" s="4">
        <v>0.6</v>
      </c>
      <c r="F75" s="42">
        <v>2.2999999999999998</v>
      </c>
      <c r="G75" s="45">
        <v>476</v>
      </c>
      <c r="H75" s="44">
        <v>1.9</v>
      </c>
      <c r="I75" s="6">
        <f t="shared" si="2"/>
        <v>1248.0719999999997</v>
      </c>
      <c r="J75" s="45" t="s">
        <v>1593</v>
      </c>
      <c r="K75" s="17"/>
    </row>
    <row r="76" spans="1:11" ht="13.95" customHeight="1" x14ac:dyDescent="0.3">
      <c r="A76" s="3">
        <v>45732</v>
      </c>
      <c r="B76" s="3" t="s">
        <v>1636</v>
      </c>
      <c r="C76" s="3" t="s">
        <v>16</v>
      </c>
      <c r="D76" s="3" t="s">
        <v>76</v>
      </c>
      <c r="E76" s="4">
        <v>0.55000000000000004</v>
      </c>
      <c r="F76" s="42">
        <v>2.1</v>
      </c>
      <c r="G76" s="45">
        <v>476</v>
      </c>
      <c r="H76" s="44">
        <v>1.9</v>
      </c>
      <c r="I76" s="6">
        <f t="shared" si="2"/>
        <v>1044.5820000000001</v>
      </c>
      <c r="J76" s="45" t="s">
        <v>149</v>
      </c>
      <c r="K76" s="17"/>
    </row>
    <row r="77" spans="1:11" ht="13.95" customHeight="1" x14ac:dyDescent="0.3">
      <c r="A77" s="3">
        <v>45733</v>
      </c>
      <c r="B77" s="3" t="s">
        <v>1636</v>
      </c>
      <c r="C77" s="3" t="s">
        <v>18</v>
      </c>
      <c r="D77" s="3" t="s">
        <v>76</v>
      </c>
      <c r="E77" s="4">
        <v>0.3</v>
      </c>
      <c r="F77" s="42">
        <v>1.75</v>
      </c>
      <c r="G77" s="45">
        <v>476</v>
      </c>
      <c r="H77" s="44">
        <v>1.9</v>
      </c>
      <c r="I77" s="6">
        <f t="shared" si="2"/>
        <v>474.80999999999995</v>
      </c>
      <c r="J77" s="45" t="s">
        <v>150</v>
      </c>
      <c r="K77" s="17"/>
    </row>
    <row r="78" spans="1:11" ht="13.95" customHeight="1" x14ac:dyDescent="0.3">
      <c r="A78" s="3">
        <v>45734</v>
      </c>
      <c r="B78" s="3" t="s">
        <v>1636</v>
      </c>
      <c r="C78" s="3" t="s">
        <v>20</v>
      </c>
      <c r="D78" s="3" t="s">
        <v>76</v>
      </c>
      <c r="E78" s="4">
        <v>0.32</v>
      </c>
      <c r="F78" s="42">
        <v>1.8</v>
      </c>
      <c r="G78" s="45">
        <v>476</v>
      </c>
      <c r="H78" s="44">
        <v>1.9</v>
      </c>
      <c r="I78" s="6">
        <f t="shared" si="2"/>
        <v>520.93439999999998</v>
      </c>
      <c r="J78" s="45" t="s">
        <v>150</v>
      </c>
      <c r="K78" s="17"/>
    </row>
    <row r="79" spans="1:11" ht="13.95" customHeight="1" x14ac:dyDescent="0.3">
      <c r="A79" s="3">
        <v>45735</v>
      </c>
      <c r="B79" s="3" t="s">
        <v>1636</v>
      </c>
      <c r="C79" s="3" t="s">
        <v>5</v>
      </c>
      <c r="D79" s="3" t="s">
        <v>994</v>
      </c>
      <c r="E79" s="4">
        <v>0.45</v>
      </c>
      <c r="F79" s="42">
        <v>2</v>
      </c>
      <c r="G79" s="45">
        <v>476</v>
      </c>
      <c r="H79" s="44">
        <v>1.9</v>
      </c>
      <c r="I79" s="6">
        <f t="shared" si="2"/>
        <v>813.96</v>
      </c>
      <c r="J79" s="45" t="s">
        <v>1305</v>
      </c>
      <c r="K79" s="17"/>
    </row>
    <row r="80" spans="1:11" ht="13.95" customHeight="1" x14ac:dyDescent="0.3">
      <c r="A80" s="3">
        <v>45736</v>
      </c>
      <c r="B80" s="3" t="s">
        <v>1636</v>
      </c>
      <c r="C80" s="3" t="s">
        <v>8</v>
      </c>
      <c r="D80" s="3" t="s">
        <v>383</v>
      </c>
      <c r="E80" s="4">
        <v>0.65</v>
      </c>
      <c r="F80" s="42">
        <v>2.2999999999999998</v>
      </c>
      <c r="G80" s="45">
        <v>476</v>
      </c>
      <c r="H80" s="44">
        <v>1.9</v>
      </c>
      <c r="I80" s="6">
        <f t="shared" si="2"/>
        <v>1352.078</v>
      </c>
      <c r="J80" s="45" t="s">
        <v>1504</v>
      </c>
      <c r="K80" s="17"/>
    </row>
    <row r="81" spans="1:11" ht="13.95" customHeight="1" x14ac:dyDescent="0.3">
      <c r="A81" s="3">
        <v>45737</v>
      </c>
      <c r="B81" s="3" t="s">
        <v>1636</v>
      </c>
      <c r="C81" s="3" t="s">
        <v>11</v>
      </c>
      <c r="D81" s="3" t="s">
        <v>76</v>
      </c>
      <c r="E81" s="4">
        <v>0.55000000000000004</v>
      </c>
      <c r="F81" s="42">
        <v>2.1</v>
      </c>
      <c r="G81" s="45">
        <v>476</v>
      </c>
      <c r="H81" s="44">
        <v>1.9</v>
      </c>
      <c r="I81" s="6">
        <f t="shared" si="2"/>
        <v>1044.5820000000001</v>
      </c>
      <c r="J81" s="45" t="s">
        <v>97</v>
      </c>
      <c r="K81" s="17"/>
    </row>
    <row r="82" spans="1:11" ht="13.95" customHeight="1" x14ac:dyDescent="0.3">
      <c r="A82" s="3">
        <v>45738</v>
      </c>
      <c r="B82" s="3" t="s">
        <v>1636</v>
      </c>
      <c r="C82" s="3" t="s">
        <v>13</v>
      </c>
      <c r="D82" s="3" t="s">
        <v>76</v>
      </c>
      <c r="E82" s="4">
        <v>0.7</v>
      </c>
      <c r="F82" s="42">
        <v>2.35</v>
      </c>
      <c r="G82" s="45">
        <v>476</v>
      </c>
      <c r="H82" s="44">
        <v>1.9</v>
      </c>
      <c r="I82" s="6">
        <f t="shared" si="2"/>
        <v>1487.7379999999998</v>
      </c>
      <c r="J82" s="45" t="s">
        <v>1594</v>
      </c>
      <c r="K82" s="17"/>
    </row>
    <row r="83" spans="1:11" ht="13.95" customHeight="1" x14ac:dyDescent="0.3">
      <c r="A83" s="3">
        <v>45739</v>
      </c>
      <c r="B83" s="3" t="s">
        <v>1636</v>
      </c>
      <c r="C83" s="3" t="s">
        <v>16</v>
      </c>
      <c r="D83" s="3" t="s">
        <v>76</v>
      </c>
      <c r="E83" s="4">
        <v>0.6</v>
      </c>
      <c r="F83" s="42">
        <v>2.15</v>
      </c>
      <c r="G83" s="45">
        <v>476</v>
      </c>
      <c r="H83" s="44">
        <v>1.9</v>
      </c>
      <c r="I83" s="6">
        <f t="shared" si="2"/>
        <v>1166.6759999999997</v>
      </c>
      <c r="J83" s="45" t="s">
        <v>149</v>
      </c>
      <c r="K83" s="17"/>
    </row>
    <row r="84" spans="1:11" ht="13.95" customHeight="1" x14ac:dyDescent="0.3">
      <c r="A84" s="3">
        <v>45740</v>
      </c>
      <c r="B84" s="3" t="s">
        <v>1636</v>
      </c>
      <c r="C84" s="3" t="s">
        <v>18</v>
      </c>
      <c r="D84" s="3" t="s">
        <v>76</v>
      </c>
      <c r="E84" s="4">
        <v>0.3</v>
      </c>
      <c r="F84" s="42">
        <v>1.75</v>
      </c>
      <c r="G84" s="45">
        <v>476</v>
      </c>
      <c r="H84" s="44">
        <v>1.9</v>
      </c>
      <c r="I84" s="6">
        <f t="shared" si="2"/>
        <v>474.80999999999995</v>
      </c>
      <c r="J84" s="45" t="s">
        <v>150</v>
      </c>
      <c r="K84" s="17"/>
    </row>
    <row r="85" spans="1:11" ht="13.95" customHeight="1" x14ac:dyDescent="0.3">
      <c r="A85" s="3">
        <v>45741</v>
      </c>
      <c r="B85" s="3" t="s">
        <v>1636</v>
      </c>
      <c r="C85" s="3" t="s">
        <v>20</v>
      </c>
      <c r="D85" s="3" t="s">
        <v>76</v>
      </c>
      <c r="E85" s="4">
        <v>0.3</v>
      </c>
      <c r="F85" s="42">
        <v>1.75</v>
      </c>
      <c r="G85" s="45">
        <v>476</v>
      </c>
      <c r="H85" s="44">
        <v>1.9</v>
      </c>
      <c r="I85" s="6">
        <f t="shared" si="2"/>
        <v>474.80999999999995</v>
      </c>
      <c r="J85" s="45" t="s">
        <v>150</v>
      </c>
      <c r="K85" s="17"/>
    </row>
    <row r="86" spans="1:11" ht="13.95" customHeight="1" x14ac:dyDescent="0.3">
      <c r="A86" s="3">
        <v>45742</v>
      </c>
      <c r="B86" s="3" t="s">
        <v>1636</v>
      </c>
      <c r="C86" s="3" t="s">
        <v>5</v>
      </c>
      <c r="D86" s="3" t="s">
        <v>76</v>
      </c>
      <c r="E86" s="4">
        <v>0.35</v>
      </c>
      <c r="F86" s="42">
        <v>1.8</v>
      </c>
      <c r="G86" s="45">
        <v>476</v>
      </c>
      <c r="H86" s="44">
        <v>1.9</v>
      </c>
      <c r="I86" s="6">
        <f t="shared" si="2"/>
        <v>569.77199999999993</v>
      </c>
      <c r="J86" s="45" t="s">
        <v>150</v>
      </c>
      <c r="K86" s="17"/>
    </row>
    <row r="87" spans="1:11" ht="13.95" customHeight="1" x14ac:dyDescent="0.3">
      <c r="A87" s="3">
        <v>45743</v>
      </c>
      <c r="B87" s="3" t="s">
        <v>1636</v>
      </c>
      <c r="C87" s="3" t="s">
        <v>8</v>
      </c>
      <c r="D87" s="3" t="s">
        <v>76</v>
      </c>
      <c r="E87" s="4">
        <v>0.45</v>
      </c>
      <c r="F87" s="42">
        <v>2</v>
      </c>
      <c r="G87" s="45">
        <v>476</v>
      </c>
      <c r="H87" s="44">
        <v>1.9</v>
      </c>
      <c r="I87" s="6">
        <f t="shared" si="2"/>
        <v>813.96</v>
      </c>
      <c r="J87" s="45" t="s">
        <v>1440</v>
      </c>
      <c r="K87" s="17"/>
    </row>
    <row r="88" spans="1:11" ht="13.95" customHeight="1" x14ac:dyDescent="0.3">
      <c r="A88" s="3">
        <v>45744</v>
      </c>
      <c r="B88" s="3" t="s">
        <v>1636</v>
      </c>
      <c r="C88" s="3" t="s">
        <v>11</v>
      </c>
      <c r="D88" s="3" t="s">
        <v>1310</v>
      </c>
      <c r="E88" s="4">
        <v>0.65</v>
      </c>
      <c r="F88" s="42">
        <v>2.5</v>
      </c>
      <c r="G88" s="45">
        <v>476</v>
      </c>
      <c r="H88" s="44">
        <v>1.9</v>
      </c>
      <c r="I88" s="6">
        <f t="shared" si="2"/>
        <v>1469.65</v>
      </c>
      <c r="J88" s="45" t="s">
        <v>1507</v>
      </c>
      <c r="K88" s="17"/>
    </row>
    <row r="89" spans="1:11" ht="13.95" customHeight="1" x14ac:dyDescent="0.3">
      <c r="A89" s="3">
        <v>45745</v>
      </c>
      <c r="B89" s="3" t="s">
        <v>1636</v>
      </c>
      <c r="C89" s="3" t="s">
        <v>13</v>
      </c>
      <c r="D89" s="3" t="s">
        <v>904</v>
      </c>
      <c r="E89" s="4">
        <v>0.8</v>
      </c>
      <c r="F89" s="42">
        <v>2.6</v>
      </c>
      <c r="G89" s="45">
        <v>476</v>
      </c>
      <c r="H89" s="44">
        <v>1.9</v>
      </c>
      <c r="I89" s="6">
        <f t="shared" si="2"/>
        <v>1881.152</v>
      </c>
      <c r="J89" s="45" t="s">
        <v>1595</v>
      </c>
      <c r="K89" s="17"/>
    </row>
    <row r="90" spans="1:11" ht="13.95" customHeight="1" x14ac:dyDescent="0.3">
      <c r="A90" s="3">
        <v>45746</v>
      </c>
      <c r="B90" s="3" t="s">
        <v>1636</v>
      </c>
      <c r="C90" s="3" t="s">
        <v>16</v>
      </c>
      <c r="D90" s="3" t="s">
        <v>574</v>
      </c>
      <c r="E90" s="4">
        <v>0.95</v>
      </c>
      <c r="F90" s="42">
        <v>2.85</v>
      </c>
      <c r="G90" s="45">
        <v>476</v>
      </c>
      <c r="H90" s="44">
        <v>1.9</v>
      </c>
      <c r="I90" s="6">
        <f t="shared" si="2"/>
        <v>2448.663</v>
      </c>
      <c r="J90" s="45" t="s">
        <v>1435</v>
      </c>
      <c r="K90" s="17"/>
    </row>
    <row r="91" spans="1:11" ht="13.95" customHeight="1" x14ac:dyDescent="0.3">
      <c r="A91" s="3">
        <v>45747</v>
      </c>
      <c r="B91" s="3" t="s">
        <v>1636</v>
      </c>
      <c r="C91" s="3" t="s">
        <v>18</v>
      </c>
      <c r="D91" s="3" t="s">
        <v>574</v>
      </c>
      <c r="E91" s="4">
        <v>0.9</v>
      </c>
      <c r="F91" s="42">
        <v>2.5</v>
      </c>
      <c r="G91" s="45">
        <v>476</v>
      </c>
      <c r="H91" s="44">
        <v>1.9</v>
      </c>
      <c r="I91" s="6">
        <f t="shared" si="2"/>
        <v>2034.8999999999999</v>
      </c>
      <c r="J91" s="45" t="s">
        <v>1563</v>
      </c>
      <c r="K91" s="17"/>
    </row>
    <row r="92" spans="1:11" ht="13.95" customHeight="1" x14ac:dyDescent="0.3">
      <c r="A92" s="3">
        <v>45748</v>
      </c>
      <c r="B92" s="3" t="s">
        <v>1636</v>
      </c>
      <c r="C92" s="3" t="s">
        <v>20</v>
      </c>
      <c r="D92" s="3" t="s">
        <v>1314</v>
      </c>
      <c r="E92" s="4">
        <v>0.6</v>
      </c>
      <c r="F92" s="42">
        <v>1.95</v>
      </c>
      <c r="G92" s="45">
        <v>476</v>
      </c>
      <c r="H92" s="44">
        <v>1.9</v>
      </c>
      <c r="I92" s="6">
        <f t="shared" si="2"/>
        <v>1058.1479999999999</v>
      </c>
      <c r="J92" s="45" t="s">
        <v>1596</v>
      </c>
      <c r="K92" s="17"/>
    </row>
    <row r="93" spans="1:11" ht="13.95" customHeight="1" x14ac:dyDescent="0.3">
      <c r="A93" s="3">
        <v>45749</v>
      </c>
      <c r="B93" s="3" t="s">
        <v>1636</v>
      </c>
      <c r="C93" s="3" t="s">
        <v>5</v>
      </c>
      <c r="D93" s="3" t="s">
        <v>1259</v>
      </c>
      <c r="E93" s="4">
        <v>0.45</v>
      </c>
      <c r="F93" s="42">
        <v>1.8</v>
      </c>
      <c r="G93" s="45">
        <v>476</v>
      </c>
      <c r="H93" s="44">
        <v>1.9</v>
      </c>
      <c r="I93" s="6">
        <f t="shared" si="2"/>
        <v>732.56400000000008</v>
      </c>
      <c r="J93" s="45" t="s">
        <v>1592</v>
      </c>
      <c r="K93" s="17"/>
    </row>
    <row r="94" spans="1:11" ht="13.95" customHeight="1" x14ac:dyDescent="0.3">
      <c r="A94" s="3">
        <v>45750</v>
      </c>
      <c r="B94" s="3" t="s">
        <v>1636</v>
      </c>
      <c r="C94" s="3" t="s">
        <v>8</v>
      </c>
      <c r="D94" s="3" t="s">
        <v>1259</v>
      </c>
      <c r="E94" s="4">
        <v>0.42</v>
      </c>
      <c r="F94" s="42">
        <v>1.8</v>
      </c>
      <c r="G94" s="45">
        <v>476</v>
      </c>
      <c r="H94" s="44">
        <v>1.9</v>
      </c>
      <c r="I94" s="6">
        <f t="shared" si="2"/>
        <v>683.72640000000001</v>
      </c>
      <c r="J94" s="45" t="s">
        <v>150</v>
      </c>
      <c r="K94" s="17"/>
    </row>
    <row r="95" spans="1:11" ht="13.95" customHeight="1" x14ac:dyDescent="0.3">
      <c r="A95" s="3">
        <v>45751</v>
      </c>
      <c r="B95" s="3" t="s">
        <v>1636</v>
      </c>
      <c r="C95" s="3" t="s">
        <v>11</v>
      </c>
      <c r="D95" s="3" t="s">
        <v>14</v>
      </c>
      <c r="E95" s="4">
        <v>0.55000000000000004</v>
      </c>
      <c r="F95" s="42">
        <v>2</v>
      </c>
      <c r="G95" s="45">
        <v>476</v>
      </c>
      <c r="H95" s="44">
        <v>1.9</v>
      </c>
      <c r="I95" s="6">
        <f t="shared" si="2"/>
        <v>994.84</v>
      </c>
      <c r="J95" s="45" t="s">
        <v>124</v>
      </c>
      <c r="K95" s="17"/>
    </row>
    <row r="96" spans="1:11" ht="13.95" customHeight="1" x14ac:dyDescent="0.3">
      <c r="A96" s="3">
        <v>45752</v>
      </c>
      <c r="B96" s="3" t="s">
        <v>1636</v>
      </c>
      <c r="C96" s="3" t="s">
        <v>13</v>
      </c>
      <c r="D96" s="3" t="s">
        <v>14</v>
      </c>
      <c r="E96" s="4">
        <v>0.68</v>
      </c>
      <c r="F96" s="42">
        <v>2.25</v>
      </c>
      <c r="G96" s="45">
        <v>476</v>
      </c>
      <c r="H96" s="44">
        <v>1.9</v>
      </c>
      <c r="I96" s="6">
        <f t="shared" si="2"/>
        <v>1383.732</v>
      </c>
      <c r="J96" s="45" t="s">
        <v>1572</v>
      </c>
      <c r="K96" s="17"/>
    </row>
    <row r="97" spans="1:11" ht="13.95" customHeight="1" x14ac:dyDescent="0.3">
      <c r="A97" s="3">
        <v>45753</v>
      </c>
      <c r="B97" s="3" t="s">
        <v>1636</v>
      </c>
      <c r="C97" s="3" t="s">
        <v>16</v>
      </c>
      <c r="D97" s="3" t="s">
        <v>14</v>
      </c>
      <c r="E97" s="4">
        <v>0.6</v>
      </c>
      <c r="F97" s="42">
        <v>2.1</v>
      </c>
      <c r="G97" s="45">
        <v>476</v>
      </c>
      <c r="H97" s="44">
        <v>1.9</v>
      </c>
      <c r="I97" s="6">
        <f t="shared" si="2"/>
        <v>1139.5439999999999</v>
      </c>
      <c r="J97" s="45" t="s">
        <v>139</v>
      </c>
      <c r="K97" s="17"/>
    </row>
    <row r="98" spans="1:11" ht="13.95" customHeight="1" x14ac:dyDescent="0.3">
      <c r="A98" s="3">
        <v>45754</v>
      </c>
      <c r="B98" s="3" t="s">
        <v>1636</v>
      </c>
      <c r="C98" s="3" t="s">
        <v>18</v>
      </c>
      <c r="D98" s="3" t="s">
        <v>1259</v>
      </c>
      <c r="E98" s="4">
        <v>0.4</v>
      </c>
      <c r="F98" s="42">
        <v>1.85</v>
      </c>
      <c r="G98" s="45">
        <v>476</v>
      </c>
      <c r="H98" s="44">
        <v>1.9</v>
      </c>
      <c r="I98" s="6">
        <f t="shared" si="2"/>
        <v>669.25599999999997</v>
      </c>
      <c r="J98" s="45" t="s">
        <v>150</v>
      </c>
      <c r="K98" s="17"/>
    </row>
    <row r="99" spans="1:11" ht="13.95" customHeight="1" x14ac:dyDescent="0.3">
      <c r="A99" s="3">
        <v>45755</v>
      </c>
      <c r="B99" s="3" t="s">
        <v>1636</v>
      </c>
      <c r="C99" s="3" t="s">
        <v>20</v>
      </c>
      <c r="D99" s="3" t="s">
        <v>994</v>
      </c>
      <c r="E99" s="4">
        <v>0.5</v>
      </c>
      <c r="F99" s="42">
        <v>1.9</v>
      </c>
      <c r="G99" s="45">
        <v>476</v>
      </c>
      <c r="H99" s="44">
        <v>1.9</v>
      </c>
      <c r="I99" s="6">
        <f t="shared" si="2"/>
        <v>859.18</v>
      </c>
      <c r="J99" s="45" t="s">
        <v>1510</v>
      </c>
      <c r="K99" s="17"/>
    </row>
    <row r="100" spans="1:11" ht="13.95" customHeight="1" x14ac:dyDescent="0.3">
      <c r="A100" s="3">
        <v>45756</v>
      </c>
      <c r="B100" s="3" t="s">
        <v>1636</v>
      </c>
      <c r="C100" s="3" t="s">
        <v>5</v>
      </c>
      <c r="D100" s="3" t="s">
        <v>1112</v>
      </c>
      <c r="E100" s="4">
        <v>0.7</v>
      </c>
      <c r="F100" s="42">
        <v>2.25</v>
      </c>
      <c r="G100" s="45">
        <v>476</v>
      </c>
      <c r="H100" s="44">
        <v>1.9</v>
      </c>
      <c r="I100" s="6">
        <f t="shared" si="2"/>
        <v>1424.4299999999998</v>
      </c>
      <c r="J100" s="45" t="s">
        <v>1511</v>
      </c>
      <c r="K100" s="17"/>
    </row>
    <row r="101" spans="1:11" ht="13.95" customHeight="1" x14ac:dyDescent="0.3">
      <c r="A101" s="3">
        <v>45757</v>
      </c>
      <c r="B101" s="3" t="s">
        <v>1636</v>
      </c>
      <c r="C101" s="3" t="s">
        <v>8</v>
      </c>
      <c r="D101" s="3" t="s">
        <v>1259</v>
      </c>
      <c r="E101" s="4">
        <v>0.45</v>
      </c>
      <c r="F101" s="42">
        <v>1.85</v>
      </c>
      <c r="G101" s="45">
        <v>476</v>
      </c>
      <c r="H101" s="44">
        <v>1.9</v>
      </c>
      <c r="I101" s="6">
        <f t="shared" si="2"/>
        <v>752.91300000000001</v>
      </c>
      <c r="J101" s="45" t="s">
        <v>774</v>
      </c>
      <c r="K101" s="17"/>
    </row>
    <row r="102" spans="1:11" ht="13.95" customHeight="1" x14ac:dyDescent="0.3">
      <c r="A102" s="3">
        <v>45758</v>
      </c>
      <c r="B102" s="3" t="s">
        <v>1636</v>
      </c>
      <c r="C102" s="3" t="s">
        <v>11</v>
      </c>
      <c r="D102" s="3" t="s">
        <v>14</v>
      </c>
      <c r="E102" s="4">
        <v>0.55000000000000004</v>
      </c>
      <c r="F102" s="42">
        <v>2</v>
      </c>
      <c r="G102" s="45">
        <v>476</v>
      </c>
      <c r="H102" s="44">
        <v>1.9</v>
      </c>
      <c r="I102" s="6">
        <f t="shared" si="2"/>
        <v>994.84</v>
      </c>
      <c r="J102" s="45" t="s">
        <v>97</v>
      </c>
      <c r="K102" s="17"/>
    </row>
    <row r="103" spans="1:11" ht="13.95" customHeight="1" x14ac:dyDescent="0.3">
      <c r="A103" s="3">
        <v>45759</v>
      </c>
      <c r="B103" s="3" t="s">
        <v>1636</v>
      </c>
      <c r="C103" s="3" t="s">
        <v>13</v>
      </c>
      <c r="D103" s="3" t="s">
        <v>14</v>
      </c>
      <c r="E103" s="4">
        <v>0.7</v>
      </c>
      <c r="F103" s="42">
        <v>2.25</v>
      </c>
      <c r="G103" s="45">
        <v>476</v>
      </c>
      <c r="H103" s="44">
        <v>1.9</v>
      </c>
      <c r="I103" s="6">
        <f t="shared" si="2"/>
        <v>1424.4299999999998</v>
      </c>
      <c r="J103" s="45" t="s">
        <v>1283</v>
      </c>
      <c r="K103" s="17"/>
    </row>
    <row r="104" spans="1:11" ht="13.95" customHeight="1" x14ac:dyDescent="0.3">
      <c r="A104" s="3">
        <v>45760</v>
      </c>
      <c r="B104" s="3" t="s">
        <v>1636</v>
      </c>
      <c r="C104" s="3" t="s">
        <v>16</v>
      </c>
      <c r="D104" s="3" t="s">
        <v>14</v>
      </c>
      <c r="E104" s="4">
        <v>0.65</v>
      </c>
      <c r="F104" s="42">
        <v>2.1</v>
      </c>
      <c r="G104" s="45">
        <v>476</v>
      </c>
      <c r="H104" s="44">
        <v>1.9</v>
      </c>
      <c r="I104" s="6">
        <f t="shared" si="2"/>
        <v>1234.5060000000001</v>
      </c>
      <c r="J104" s="45" t="s">
        <v>149</v>
      </c>
      <c r="K104" s="17"/>
    </row>
    <row r="105" spans="1:11" ht="13.95" customHeight="1" x14ac:dyDescent="0.3">
      <c r="A105" s="3">
        <v>45761</v>
      </c>
      <c r="B105" s="3" t="s">
        <v>1636</v>
      </c>
      <c r="C105" s="3" t="s">
        <v>18</v>
      </c>
      <c r="D105" s="3" t="s">
        <v>1434</v>
      </c>
      <c r="E105" s="4">
        <v>0.65</v>
      </c>
      <c r="F105" s="42">
        <v>2</v>
      </c>
      <c r="G105" s="45">
        <v>476</v>
      </c>
      <c r="H105" s="44">
        <v>1.9</v>
      </c>
      <c r="I105" s="6">
        <f t="shared" si="2"/>
        <v>1175.72</v>
      </c>
      <c r="J105" s="45" t="s">
        <v>1597</v>
      </c>
      <c r="K105" s="17"/>
    </row>
    <row r="106" spans="1:11" ht="13.95" customHeight="1" x14ac:dyDescent="0.3">
      <c r="A106" s="3">
        <v>45762</v>
      </c>
      <c r="B106" s="3" t="s">
        <v>1636</v>
      </c>
      <c r="C106" s="3" t="s">
        <v>20</v>
      </c>
      <c r="D106" s="3" t="s">
        <v>1434</v>
      </c>
      <c r="E106" s="4">
        <v>0.7</v>
      </c>
      <c r="F106" s="42">
        <v>2</v>
      </c>
      <c r="G106" s="45">
        <v>476</v>
      </c>
      <c r="H106" s="44">
        <v>1.9</v>
      </c>
      <c r="I106" s="6">
        <f t="shared" si="2"/>
        <v>1266.1599999999999</v>
      </c>
      <c r="J106" s="45" t="s">
        <v>1598</v>
      </c>
      <c r="K106" s="17"/>
    </row>
    <row r="107" spans="1:11" ht="13.95" customHeight="1" x14ac:dyDescent="0.3">
      <c r="A107" s="3">
        <v>45763</v>
      </c>
      <c r="B107" s="3" t="s">
        <v>1636</v>
      </c>
      <c r="C107" s="3" t="s">
        <v>5</v>
      </c>
      <c r="D107" s="3" t="s">
        <v>1434</v>
      </c>
      <c r="E107" s="4">
        <v>0.72</v>
      </c>
      <c r="F107" s="42">
        <v>2.0499999999999998</v>
      </c>
      <c r="G107" s="45">
        <v>476</v>
      </c>
      <c r="H107" s="44">
        <v>1.9</v>
      </c>
      <c r="I107" s="6">
        <f t="shared" si="2"/>
        <v>1334.8943999999997</v>
      </c>
      <c r="J107" s="45" t="s">
        <v>1599</v>
      </c>
      <c r="K107" s="17"/>
    </row>
    <row r="108" spans="1:11" ht="13.95" customHeight="1" x14ac:dyDescent="0.3">
      <c r="A108" s="3">
        <v>45764</v>
      </c>
      <c r="B108" s="3" t="s">
        <v>1636</v>
      </c>
      <c r="C108" s="3" t="s">
        <v>8</v>
      </c>
      <c r="D108" s="3" t="s">
        <v>1434</v>
      </c>
      <c r="E108" s="4">
        <v>0.75</v>
      </c>
      <c r="F108" s="42">
        <v>2.1</v>
      </c>
      <c r="G108" s="45">
        <v>476</v>
      </c>
      <c r="H108" s="44">
        <v>1.9</v>
      </c>
      <c r="I108" s="6">
        <f t="shared" si="2"/>
        <v>1424.43</v>
      </c>
      <c r="J108" s="45" t="s">
        <v>767</v>
      </c>
      <c r="K108" s="17"/>
    </row>
    <row r="109" spans="1:11" ht="13.95" customHeight="1" x14ac:dyDescent="0.3">
      <c r="A109" s="3">
        <v>45765</v>
      </c>
      <c r="B109" s="3" t="s">
        <v>1636</v>
      </c>
      <c r="C109" s="3" t="s">
        <v>11</v>
      </c>
      <c r="D109" s="3" t="s">
        <v>1118</v>
      </c>
      <c r="E109" s="4">
        <v>0.8</v>
      </c>
      <c r="F109" s="42">
        <v>2.2999999999999998</v>
      </c>
      <c r="G109" s="45">
        <v>476</v>
      </c>
      <c r="H109" s="44">
        <v>1.9</v>
      </c>
      <c r="I109" s="6">
        <f t="shared" si="2"/>
        <v>1664.0959999999998</v>
      </c>
      <c r="J109" s="45" t="s">
        <v>1514</v>
      </c>
      <c r="K109" s="17"/>
    </row>
    <row r="110" spans="1:11" ht="13.95" customHeight="1" x14ac:dyDescent="0.3">
      <c r="A110" s="3">
        <v>45766</v>
      </c>
      <c r="B110" s="3" t="s">
        <v>1636</v>
      </c>
      <c r="C110" s="3" t="s">
        <v>13</v>
      </c>
      <c r="D110" s="3" t="s">
        <v>1322</v>
      </c>
      <c r="E110" s="4">
        <v>0.85</v>
      </c>
      <c r="F110" s="42">
        <v>2.5499999999999998</v>
      </c>
      <c r="G110" s="45">
        <v>476</v>
      </c>
      <c r="H110" s="44">
        <v>1.9</v>
      </c>
      <c r="I110" s="6">
        <f t="shared" si="2"/>
        <v>1960.2869999999996</v>
      </c>
      <c r="J110" s="45" t="s">
        <v>1515</v>
      </c>
      <c r="K110" s="17"/>
    </row>
    <row r="111" spans="1:11" ht="13.95" customHeight="1" x14ac:dyDescent="0.3">
      <c r="A111" s="3">
        <v>45767</v>
      </c>
      <c r="B111" s="3" t="s">
        <v>1636</v>
      </c>
      <c r="C111" s="3" t="s">
        <v>16</v>
      </c>
      <c r="D111" s="3" t="s">
        <v>905</v>
      </c>
      <c r="E111" s="4">
        <v>0.95</v>
      </c>
      <c r="F111" s="42">
        <v>2.8</v>
      </c>
      <c r="G111" s="45">
        <v>476</v>
      </c>
      <c r="H111" s="44">
        <v>1.9</v>
      </c>
      <c r="I111" s="6">
        <f t="shared" si="2"/>
        <v>2405.7039999999997</v>
      </c>
      <c r="J111" s="45" t="s">
        <v>1435</v>
      </c>
      <c r="K111" s="17"/>
    </row>
    <row r="112" spans="1:11" ht="13.95" customHeight="1" x14ac:dyDescent="0.3">
      <c r="A112" s="3">
        <v>45768</v>
      </c>
      <c r="B112" s="3" t="s">
        <v>1636</v>
      </c>
      <c r="C112" s="3" t="s">
        <v>18</v>
      </c>
      <c r="D112" s="3" t="s">
        <v>1325</v>
      </c>
      <c r="E112" s="4">
        <v>0.8</v>
      </c>
      <c r="F112" s="42">
        <v>2.2000000000000002</v>
      </c>
      <c r="G112" s="45">
        <v>476</v>
      </c>
      <c r="H112" s="44">
        <v>1.9</v>
      </c>
      <c r="I112" s="6">
        <f t="shared" si="2"/>
        <v>1591.7440000000001</v>
      </c>
      <c r="J112" s="45" t="s">
        <v>48</v>
      </c>
      <c r="K112" s="17"/>
    </row>
    <row r="113" spans="1:11" ht="13.95" customHeight="1" x14ac:dyDescent="0.3">
      <c r="A113" s="3">
        <v>45769</v>
      </c>
      <c r="B113" s="3" t="s">
        <v>1636</v>
      </c>
      <c r="C113" s="3" t="s">
        <v>20</v>
      </c>
      <c r="D113" s="3" t="s">
        <v>1259</v>
      </c>
      <c r="E113" s="4">
        <v>0.5</v>
      </c>
      <c r="F113" s="42">
        <v>1.9</v>
      </c>
      <c r="G113" s="45">
        <v>476</v>
      </c>
      <c r="H113" s="44">
        <v>1.9</v>
      </c>
      <c r="I113" s="6">
        <f t="shared" si="2"/>
        <v>859.18</v>
      </c>
      <c r="J113" s="45" t="s">
        <v>1202</v>
      </c>
      <c r="K113" s="17"/>
    </row>
    <row r="114" spans="1:11" ht="13.95" customHeight="1" x14ac:dyDescent="0.3">
      <c r="A114" s="3">
        <v>45770</v>
      </c>
      <c r="B114" s="3" t="s">
        <v>1636</v>
      </c>
      <c r="C114" s="3" t="s">
        <v>5</v>
      </c>
      <c r="D114" s="3" t="s">
        <v>1259</v>
      </c>
      <c r="E114" s="4">
        <v>0.48</v>
      </c>
      <c r="F114" s="42">
        <v>1.85</v>
      </c>
      <c r="G114" s="45">
        <v>476</v>
      </c>
      <c r="H114" s="44">
        <v>1.9</v>
      </c>
      <c r="I114" s="6">
        <f t="shared" si="2"/>
        <v>803.10719999999992</v>
      </c>
      <c r="J114" s="45" t="s">
        <v>150</v>
      </c>
      <c r="K114" s="17"/>
    </row>
    <row r="115" spans="1:11" ht="13.95" customHeight="1" x14ac:dyDescent="0.3">
      <c r="A115" s="3">
        <v>45771</v>
      </c>
      <c r="B115" s="3" t="s">
        <v>1636</v>
      </c>
      <c r="C115" s="3" t="s">
        <v>8</v>
      </c>
      <c r="D115" s="3" t="s">
        <v>1259</v>
      </c>
      <c r="E115" s="4">
        <v>0.5</v>
      </c>
      <c r="F115" s="42">
        <v>1.85</v>
      </c>
      <c r="G115" s="45">
        <v>476</v>
      </c>
      <c r="H115" s="44">
        <v>1.9</v>
      </c>
      <c r="I115" s="6">
        <f t="shared" si="2"/>
        <v>836.56999999999994</v>
      </c>
      <c r="J115" s="45" t="s">
        <v>150</v>
      </c>
      <c r="K115" s="17"/>
    </row>
    <row r="116" spans="1:11" ht="13.95" customHeight="1" x14ac:dyDescent="0.3">
      <c r="A116" s="3">
        <v>45772</v>
      </c>
      <c r="B116" s="3" t="s">
        <v>1636</v>
      </c>
      <c r="C116" s="3" t="s">
        <v>11</v>
      </c>
      <c r="D116" s="3" t="s">
        <v>14</v>
      </c>
      <c r="E116" s="4">
        <v>0.6</v>
      </c>
      <c r="F116" s="42">
        <v>2.0499999999999998</v>
      </c>
      <c r="G116" s="45">
        <v>476</v>
      </c>
      <c r="H116" s="44">
        <v>1.9</v>
      </c>
      <c r="I116" s="6">
        <f t="shared" si="2"/>
        <v>1112.4119999999998</v>
      </c>
      <c r="J116" s="45" t="s">
        <v>97</v>
      </c>
      <c r="K116" s="17"/>
    </row>
    <row r="117" spans="1:11" ht="13.95" customHeight="1" x14ac:dyDescent="0.3">
      <c r="A117" s="3">
        <v>45773</v>
      </c>
      <c r="B117" s="3" t="s">
        <v>1636</v>
      </c>
      <c r="C117" s="3" t="s">
        <v>13</v>
      </c>
      <c r="D117" s="3" t="s">
        <v>14</v>
      </c>
      <c r="E117" s="4">
        <v>0.7</v>
      </c>
      <c r="F117" s="42">
        <v>2.2999999999999998</v>
      </c>
      <c r="G117" s="45">
        <v>476</v>
      </c>
      <c r="H117" s="44">
        <v>1.9</v>
      </c>
      <c r="I117" s="6">
        <f t="shared" si="2"/>
        <v>1456.0839999999998</v>
      </c>
      <c r="J117" s="45" t="s">
        <v>746</v>
      </c>
      <c r="K117" s="17"/>
    </row>
    <row r="118" spans="1:11" ht="13.95" customHeight="1" x14ac:dyDescent="0.3">
      <c r="A118" s="3">
        <v>45774</v>
      </c>
      <c r="B118" s="3" t="s">
        <v>1636</v>
      </c>
      <c r="C118" s="3" t="s">
        <v>16</v>
      </c>
      <c r="D118" s="3" t="s">
        <v>14</v>
      </c>
      <c r="E118" s="4">
        <v>0.65</v>
      </c>
      <c r="F118" s="42">
        <v>2.15</v>
      </c>
      <c r="G118" s="45">
        <v>476</v>
      </c>
      <c r="H118" s="44">
        <v>1.9</v>
      </c>
      <c r="I118" s="6">
        <f t="shared" si="2"/>
        <v>1263.8990000000001</v>
      </c>
      <c r="J118" s="45" t="s">
        <v>149</v>
      </c>
      <c r="K118" s="17"/>
    </row>
    <row r="119" spans="1:11" ht="13.95" customHeight="1" x14ac:dyDescent="0.3">
      <c r="A119" s="3">
        <v>45775</v>
      </c>
      <c r="B119" s="3" t="s">
        <v>1636</v>
      </c>
      <c r="C119" s="3" t="s">
        <v>18</v>
      </c>
      <c r="D119" s="3" t="s">
        <v>1259</v>
      </c>
      <c r="E119" s="4">
        <v>0.45</v>
      </c>
      <c r="F119" s="42">
        <v>1.85</v>
      </c>
      <c r="G119" s="45">
        <v>476</v>
      </c>
      <c r="H119" s="44">
        <v>1.9</v>
      </c>
      <c r="I119" s="6">
        <f t="shared" si="2"/>
        <v>752.91300000000001</v>
      </c>
      <c r="J119" s="45" t="s">
        <v>150</v>
      </c>
      <c r="K119" s="17"/>
    </row>
    <row r="120" spans="1:11" ht="13.95" customHeight="1" x14ac:dyDescent="0.3">
      <c r="A120" s="3">
        <v>45776</v>
      </c>
      <c r="B120" s="3" t="s">
        <v>1636</v>
      </c>
      <c r="C120" s="3" t="s">
        <v>20</v>
      </c>
      <c r="D120" s="3" t="s">
        <v>1259</v>
      </c>
      <c r="E120" s="4">
        <v>0.45</v>
      </c>
      <c r="F120" s="42">
        <v>1.85</v>
      </c>
      <c r="G120" s="45">
        <v>476</v>
      </c>
      <c r="H120" s="44">
        <v>1.9</v>
      </c>
      <c r="I120" s="6">
        <f t="shared" si="2"/>
        <v>752.91300000000001</v>
      </c>
      <c r="J120" s="45" t="s">
        <v>150</v>
      </c>
      <c r="K120" s="17"/>
    </row>
    <row r="121" spans="1:11" ht="13.95" customHeight="1" x14ac:dyDescent="0.3">
      <c r="A121" s="3">
        <v>45777</v>
      </c>
      <c r="B121" s="3" t="s">
        <v>1636</v>
      </c>
      <c r="C121" s="3" t="s">
        <v>5</v>
      </c>
      <c r="D121" s="3" t="s">
        <v>994</v>
      </c>
      <c r="E121" s="4">
        <v>0.65</v>
      </c>
      <c r="F121" s="42">
        <v>2.15</v>
      </c>
      <c r="G121" s="45">
        <v>476</v>
      </c>
      <c r="H121" s="44">
        <v>1.9</v>
      </c>
      <c r="I121" s="6">
        <f t="shared" si="2"/>
        <v>1263.8990000000001</v>
      </c>
      <c r="J121" s="45" t="s">
        <v>1438</v>
      </c>
      <c r="K121" s="17"/>
    </row>
    <row r="122" spans="1:11" ht="13.95" customHeight="1" x14ac:dyDescent="0.3">
      <c r="A122" s="3">
        <v>45778</v>
      </c>
      <c r="B122" s="3" t="s">
        <v>1636</v>
      </c>
      <c r="C122" s="3" t="s">
        <v>8</v>
      </c>
      <c r="D122" s="3" t="s">
        <v>742</v>
      </c>
      <c r="E122" s="4">
        <v>0.75</v>
      </c>
      <c r="F122" s="42">
        <v>2.2999999999999998</v>
      </c>
      <c r="G122" s="45">
        <v>476</v>
      </c>
      <c r="H122" s="44">
        <v>1.9</v>
      </c>
      <c r="I122" s="6">
        <f t="shared" si="2"/>
        <v>1560.0899999999997</v>
      </c>
      <c r="J122" s="45" t="s">
        <v>1511</v>
      </c>
      <c r="K122" s="17"/>
    </row>
    <row r="123" spans="1:11" ht="13.95" customHeight="1" x14ac:dyDescent="0.3">
      <c r="A123" s="3">
        <v>45779</v>
      </c>
      <c r="B123" s="3" t="s">
        <v>1636</v>
      </c>
      <c r="C123" s="3" t="s">
        <v>11</v>
      </c>
      <c r="D123" s="3" t="s">
        <v>1518</v>
      </c>
      <c r="E123" s="4">
        <v>0.7</v>
      </c>
      <c r="F123" s="42">
        <v>2.1</v>
      </c>
      <c r="G123" s="45">
        <v>476</v>
      </c>
      <c r="H123" s="44">
        <v>1.9</v>
      </c>
      <c r="I123" s="6">
        <f t="shared" si="2"/>
        <v>1329.4680000000001</v>
      </c>
      <c r="J123" s="45" t="s">
        <v>197</v>
      </c>
      <c r="K123" s="17"/>
    </row>
    <row r="124" spans="1:11" ht="13.95" customHeight="1" x14ac:dyDescent="0.3">
      <c r="A124" s="3">
        <v>45780</v>
      </c>
      <c r="B124" s="3" t="s">
        <v>1636</v>
      </c>
      <c r="C124" s="3" t="s">
        <v>13</v>
      </c>
      <c r="D124" s="3" t="s">
        <v>14</v>
      </c>
      <c r="E124" s="4">
        <v>0.75</v>
      </c>
      <c r="F124" s="42">
        <v>2.4500000000000002</v>
      </c>
      <c r="G124" s="45">
        <v>476</v>
      </c>
      <c r="H124" s="44">
        <v>1.9</v>
      </c>
      <c r="I124" s="6">
        <f t="shared" si="2"/>
        <v>1661.835</v>
      </c>
      <c r="J124" s="45" t="s">
        <v>1346</v>
      </c>
      <c r="K124" s="17"/>
    </row>
    <row r="125" spans="1:11" ht="13.95" customHeight="1" x14ac:dyDescent="0.3">
      <c r="A125" s="3">
        <v>45781</v>
      </c>
      <c r="B125" s="3" t="s">
        <v>1636</v>
      </c>
      <c r="C125" s="3" t="s">
        <v>16</v>
      </c>
      <c r="D125" s="3" t="s">
        <v>14</v>
      </c>
      <c r="E125" s="4">
        <v>0.65</v>
      </c>
      <c r="F125" s="42">
        <v>2.15</v>
      </c>
      <c r="G125" s="45">
        <v>476</v>
      </c>
      <c r="H125" s="44">
        <v>1.9</v>
      </c>
      <c r="I125" s="6">
        <f t="shared" si="2"/>
        <v>1263.8990000000001</v>
      </c>
      <c r="J125" s="45" t="s">
        <v>139</v>
      </c>
      <c r="K125" s="17"/>
    </row>
    <row r="126" spans="1:11" ht="13.95" customHeight="1" x14ac:dyDescent="0.3">
      <c r="A126" s="3">
        <v>45782</v>
      </c>
      <c r="B126" s="3" t="s">
        <v>1636</v>
      </c>
      <c r="C126" s="3" t="s">
        <v>18</v>
      </c>
      <c r="D126" s="3" t="s">
        <v>1330</v>
      </c>
      <c r="E126" s="4">
        <v>0.55000000000000004</v>
      </c>
      <c r="F126" s="42">
        <v>1.9</v>
      </c>
      <c r="G126" s="45">
        <v>476</v>
      </c>
      <c r="H126" s="44">
        <v>1.9</v>
      </c>
      <c r="I126" s="6">
        <f t="shared" si="2"/>
        <v>945.09799999999996</v>
      </c>
      <c r="J126" s="45" t="s">
        <v>1600</v>
      </c>
      <c r="K126" s="17"/>
    </row>
    <row r="127" spans="1:11" ht="13.95" customHeight="1" x14ac:dyDescent="0.3">
      <c r="A127" s="3">
        <v>45783</v>
      </c>
      <c r="B127" s="3" t="s">
        <v>1636</v>
      </c>
      <c r="C127" s="3" t="s">
        <v>20</v>
      </c>
      <c r="D127" s="3" t="s">
        <v>1330</v>
      </c>
      <c r="E127" s="4">
        <v>0.52</v>
      </c>
      <c r="F127" s="42">
        <v>1.9</v>
      </c>
      <c r="G127" s="45">
        <v>476</v>
      </c>
      <c r="H127" s="44">
        <v>1.9</v>
      </c>
      <c r="I127" s="6">
        <f t="shared" si="2"/>
        <v>893.54719999999998</v>
      </c>
      <c r="J127" s="45" t="s">
        <v>603</v>
      </c>
      <c r="K127" s="17"/>
    </row>
    <row r="128" spans="1:11" ht="13.95" customHeight="1" x14ac:dyDescent="0.3">
      <c r="A128" s="3">
        <v>45784</v>
      </c>
      <c r="B128" s="3" t="s">
        <v>1636</v>
      </c>
      <c r="C128" s="3" t="s">
        <v>5</v>
      </c>
      <c r="D128" s="3" t="s">
        <v>1330</v>
      </c>
      <c r="E128" s="4">
        <v>0.55000000000000004</v>
      </c>
      <c r="F128" s="42">
        <v>1.9</v>
      </c>
      <c r="G128" s="45">
        <v>476</v>
      </c>
      <c r="H128" s="44">
        <v>1.9</v>
      </c>
      <c r="I128" s="6">
        <f t="shared" si="2"/>
        <v>945.09799999999996</v>
      </c>
      <c r="J128" s="45" t="s">
        <v>1522</v>
      </c>
      <c r="K128" s="17"/>
    </row>
    <row r="129" spans="1:11" ht="13.95" customHeight="1" x14ac:dyDescent="0.3">
      <c r="A129" s="3">
        <v>45785</v>
      </c>
      <c r="B129" s="3" t="s">
        <v>1636</v>
      </c>
      <c r="C129" s="3" t="s">
        <v>8</v>
      </c>
      <c r="D129" s="3" t="s">
        <v>1330</v>
      </c>
      <c r="E129" s="4">
        <v>0.57999999999999996</v>
      </c>
      <c r="F129" s="42">
        <v>1.95</v>
      </c>
      <c r="G129" s="45">
        <v>476</v>
      </c>
      <c r="H129" s="44">
        <v>1.9</v>
      </c>
      <c r="I129" s="6">
        <f t="shared" si="2"/>
        <v>1022.8764</v>
      </c>
      <c r="J129" s="45" t="s">
        <v>71</v>
      </c>
      <c r="K129" s="17"/>
    </row>
    <row r="130" spans="1:11" ht="13.95" customHeight="1" x14ac:dyDescent="0.3">
      <c r="A130" s="3">
        <v>45786</v>
      </c>
      <c r="B130" s="3" t="s">
        <v>1636</v>
      </c>
      <c r="C130" s="3" t="s">
        <v>11</v>
      </c>
      <c r="D130" s="3" t="s">
        <v>14</v>
      </c>
      <c r="E130" s="4">
        <v>0.65</v>
      </c>
      <c r="F130" s="42">
        <v>2.15</v>
      </c>
      <c r="G130" s="45">
        <v>476</v>
      </c>
      <c r="H130" s="44">
        <v>1.9</v>
      </c>
      <c r="I130" s="6">
        <f t="shared" si="2"/>
        <v>1263.8990000000001</v>
      </c>
      <c r="J130" s="45" t="s">
        <v>67</v>
      </c>
      <c r="K130" s="17"/>
    </row>
    <row r="131" spans="1:11" ht="13.95" customHeight="1" x14ac:dyDescent="0.3">
      <c r="A131" s="3">
        <v>45787</v>
      </c>
      <c r="B131" s="3" t="s">
        <v>1636</v>
      </c>
      <c r="C131" s="3" t="s">
        <v>13</v>
      </c>
      <c r="D131" s="3" t="s">
        <v>14</v>
      </c>
      <c r="E131" s="4">
        <v>0.72</v>
      </c>
      <c r="F131" s="42">
        <v>2.5</v>
      </c>
      <c r="G131" s="45">
        <v>476</v>
      </c>
      <c r="H131" s="44">
        <v>1.9</v>
      </c>
      <c r="I131" s="6">
        <f t="shared" ref="I131:I194" si="3">(G131*E131)*F131*H131</f>
        <v>1627.9199999999998</v>
      </c>
      <c r="J131" s="45" t="s">
        <v>1541</v>
      </c>
      <c r="K131" s="17"/>
    </row>
    <row r="132" spans="1:11" ht="13.95" customHeight="1" x14ac:dyDescent="0.3">
      <c r="A132" s="3">
        <v>45788</v>
      </c>
      <c r="B132" s="3" t="s">
        <v>1636</v>
      </c>
      <c r="C132" s="3" t="s">
        <v>16</v>
      </c>
      <c r="D132" s="3" t="s">
        <v>14</v>
      </c>
      <c r="E132" s="4">
        <v>0.68</v>
      </c>
      <c r="F132" s="42">
        <v>2.2000000000000002</v>
      </c>
      <c r="G132" s="45">
        <v>476</v>
      </c>
      <c r="H132" s="44">
        <v>1.9</v>
      </c>
      <c r="I132" s="6">
        <f t="shared" si="3"/>
        <v>1352.9824000000001</v>
      </c>
      <c r="J132" s="45" t="s">
        <v>149</v>
      </c>
      <c r="K132" s="17"/>
    </row>
    <row r="133" spans="1:11" ht="13.95" customHeight="1" x14ac:dyDescent="0.3">
      <c r="A133" s="3">
        <v>45789</v>
      </c>
      <c r="B133" s="3" t="s">
        <v>1636</v>
      </c>
      <c r="C133" s="3" t="s">
        <v>18</v>
      </c>
      <c r="D133" s="3" t="s">
        <v>1330</v>
      </c>
      <c r="E133" s="4">
        <v>0.55000000000000004</v>
      </c>
      <c r="F133" s="42">
        <v>1.95</v>
      </c>
      <c r="G133" s="45">
        <v>476</v>
      </c>
      <c r="H133" s="44">
        <v>1.9</v>
      </c>
      <c r="I133" s="6">
        <f t="shared" si="3"/>
        <v>969.96899999999994</v>
      </c>
      <c r="J133" s="45" t="s">
        <v>1601</v>
      </c>
      <c r="K133" s="17"/>
    </row>
    <row r="134" spans="1:11" ht="13.95" customHeight="1" x14ac:dyDescent="0.3">
      <c r="A134" s="3">
        <v>45790</v>
      </c>
      <c r="B134" s="3" t="s">
        <v>1636</v>
      </c>
      <c r="C134" s="3" t="s">
        <v>20</v>
      </c>
      <c r="D134" s="3" t="s">
        <v>1330</v>
      </c>
      <c r="E134" s="4">
        <v>0.55000000000000004</v>
      </c>
      <c r="F134" s="42">
        <v>1.9</v>
      </c>
      <c r="G134" s="45">
        <v>476</v>
      </c>
      <c r="H134" s="44">
        <v>1.9</v>
      </c>
      <c r="I134" s="6">
        <f t="shared" si="3"/>
        <v>945.09799999999996</v>
      </c>
      <c r="J134" s="45" t="s">
        <v>150</v>
      </c>
      <c r="K134" s="17"/>
    </row>
    <row r="135" spans="1:11" ht="13.95" customHeight="1" x14ac:dyDescent="0.3">
      <c r="A135" s="3">
        <v>45791</v>
      </c>
      <c r="B135" s="3" t="s">
        <v>1636</v>
      </c>
      <c r="C135" s="3" t="s">
        <v>5</v>
      </c>
      <c r="D135" s="3" t="s">
        <v>1330</v>
      </c>
      <c r="E135" s="4">
        <v>0.57999999999999996</v>
      </c>
      <c r="F135" s="42">
        <v>1.95</v>
      </c>
      <c r="G135" s="45">
        <v>476</v>
      </c>
      <c r="H135" s="44">
        <v>1.9</v>
      </c>
      <c r="I135" s="6">
        <f t="shared" si="3"/>
        <v>1022.8764</v>
      </c>
      <c r="J135" s="45" t="s">
        <v>150</v>
      </c>
      <c r="K135" s="17"/>
    </row>
    <row r="136" spans="1:11" ht="13.95" customHeight="1" x14ac:dyDescent="0.3">
      <c r="A136" s="3">
        <v>45792</v>
      </c>
      <c r="B136" s="3" t="s">
        <v>1636</v>
      </c>
      <c r="C136" s="3" t="s">
        <v>8</v>
      </c>
      <c r="D136" s="3" t="s">
        <v>1330</v>
      </c>
      <c r="E136" s="4">
        <v>0.62</v>
      </c>
      <c r="F136" s="42">
        <v>2</v>
      </c>
      <c r="G136" s="45">
        <v>476</v>
      </c>
      <c r="H136" s="44">
        <v>1.9</v>
      </c>
      <c r="I136" s="6">
        <f t="shared" si="3"/>
        <v>1121.4559999999999</v>
      </c>
      <c r="J136" s="45" t="s">
        <v>1410</v>
      </c>
      <c r="K136" s="17"/>
    </row>
    <row r="137" spans="1:11" ht="13.95" customHeight="1" x14ac:dyDescent="0.3">
      <c r="A137" s="3">
        <v>45793</v>
      </c>
      <c r="B137" s="3" t="s">
        <v>1636</v>
      </c>
      <c r="C137" s="3" t="s">
        <v>11</v>
      </c>
      <c r="D137" s="3" t="s">
        <v>14</v>
      </c>
      <c r="E137" s="4">
        <v>0.7</v>
      </c>
      <c r="F137" s="42">
        <v>2.2000000000000002</v>
      </c>
      <c r="G137" s="45">
        <v>476</v>
      </c>
      <c r="H137" s="44">
        <v>1.9</v>
      </c>
      <c r="I137" s="6">
        <f t="shared" si="3"/>
        <v>1392.7760000000001</v>
      </c>
      <c r="J137" s="45" t="s">
        <v>97</v>
      </c>
      <c r="K137" s="17"/>
    </row>
    <row r="138" spans="1:11" ht="13.95" customHeight="1" x14ac:dyDescent="0.3">
      <c r="A138" s="3">
        <v>45794</v>
      </c>
      <c r="B138" s="3" t="s">
        <v>1636</v>
      </c>
      <c r="C138" s="3" t="s">
        <v>13</v>
      </c>
      <c r="D138" s="3" t="s">
        <v>14</v>
      </c>
      <c r="E138" s="4">
        <v>0.8</v>
      </c>
      <c r="F138" s="42">
        <v>2.5499999999999998</v>
      </c>
      <c r="G138" s="45">
        <v>476</v>
      </c>
      <c r="H138" s="44">
        <v>1.9</v>
      </c>
      <c r="I138" s="6">
        <f t="shared" si="3"/>
        <v>1844.9759999999999</v>
      </c>
      <c r="J138" s="45" t="s">
        <v>1572</v>
      </c>
      <c r="K138" s="17"/>
    </row>
    <row r="139" spans="1:11" ht="13.95" customHeight="1" x14ac:dyDescent="0.3">
      <c r="A139" s="3">
        <v>45795</v>
      </c>
      <c r="B139" s="3" t="s">
        <v>1636</v>
      </c>
      <c r="C139" s="3" t="s">
        <v>16</v>
      </c>
      <c r="D139" s="3" t="s">
        <v>14</v>
      </c>
      <c r="E139" s="4">
        <v>0.75</v>
      </c>
      <c r="F139" s="42">
        <v>2.2999999999999998</v>
      </c>
      <c r="G139" s="45">
        <v>476</v>
      </c>
      <c r="H139" s="44">
        <v>1.9</v>
      </c>
      <c r="I139" s="6">
        <f t="shared" si="3"/>
        <v>1560.0899999999997</v>
      </c>
      <c r="J139" s="45" t="s">
        <v>1336</v>
      </c>
      <c r="K139" s="17"/>
    </row>
    <row r="140" spans="1:11" ht="13.95" customHeight="1" x14ac:dyDescent="0.3">
      <c r="A140" s="3">
        <v>45796</v>
      </c>
      <c r="B140" s="3" t="s">
        <v>1636</v>
      </c>
      <c r="C140" s="3" t="s">
        <v>18</v>
      </c>
      <c r="D140" s="3" t="s">
        <v>1330</v>
      </c>
      <c r="E140" s="4">
        <v>0.6</v>
      </c>
      <c r="F140" s="42">
        <v>2</v>
      </c>
      <c r="G140" s="45">
        <v>476</v>
      </c>
      <c r="H140" s="44">
        <v>1.9</v>
      </c>
      <c r="I140" s="6">
        <f t="shared" si="3"/>
        <v>1085.2799999999997</v>
      </c>
      <c r="J140" s="45" t="s">
        <v>603</v>
      </c>
      <c r="K140" s="17"/>
    </row>
    <row r="141" spans="1:11" ht="13.95" customHeight="1" x14ac:dyDescent="0.3">
      <c r="A141" s="3">
        <v>45797</v>
      </c>
      <c r="B141" s="3" t="s">
        <v>1636</v>
      </c>
      <c r="C141" s="3" t="s">
        <v>20</v>
      </c>
      <c r="D141" s="3" t="s">
        <v>1330</v>
      </c>
      <c r="E141" s="4">
        <v>0.62</v>
      </c>
      <c r="F141" s="42">
        <v>2</v>
      </c>
      <c r="G141" s="45">
        <v>476</v>
      </c>
      <c r="H141" s="44">
        <v>1.9</v>
      </c>
      <c r="I141" s="6">
        <f t="shared" si="3"/>
        <v>1121.4559999999999</v>
      </c>
      <c r="J141" s="45" t="s">
        <v>603</v>
      </c>
      <c r="K141" s="17"/>
    </row>
    <row r="142" spans="1:11" ht="13.95" customHeight="1" x14ac:dyDescent="0.3">
      <c r="A142" s="3">
        <v>45798</v>
      </c>
      <c r="B142" s="3" t="s">
        <v>1636</v>
      </c>
      <c r="C142" s="3" t="s">
        <v>5</v>
      </c>
      <c r="D142" s="3" t="s">
        <v>1330</v>
      </c>
      <c r="E142" s="4">
        <v>0.65</v>
      </c>
      <c r="F142" s="42">
        <v>2.0499999999999998</v>
      </c>
      <c r="G142" s="45">
        <v>476</v>
      </c>
      <c r="H142" s="44">
        <v>1.9</v>
      </c>
      <c r="I142" s="6">
        <f t="shared" si="3"/>
        <v>1205.1129999999998</v>
      </c>
      <c r="J142" s="45" t="s">
        <v>71</v>
      </c>
      <c r="K142" s="17"/>
    </row>
    <row r="143" spans="1:11" ht="13.95" customHeight="1" x14ac:dyDescent="0.3">
      <c r="A143" s="3">
        <v>45799</v>
      </c>
      <c r="B143" s="3" t="s">
        <v>1636</v>
      </c>
      <c r="C143" s="3" t="s">
        <v>8</v>
      </c>
      <c r="D143" s="3" t="s">
        <v>1330</v>
      </c>
      <c r="E143" s="4">
        <v>0.68</v>
      </c>
      <c r="F143" s="42">
        <v>2.0499999999999998</v>
      </c>
      <c r="G143" s="45">
        <v>476</v>
      </c>
      <c r="H143" s="44">
        <v>1.9</v>
      </c>
      <c r="I143" s="6">
        <f t="shared" si="3"/>
        <v>1260.7335999999998</v>
      </c>
      <c r="J143" s="45" t="s">
        <v>71</v>
      </c>
      <c r="K143" s="17"/>
    </row>
    <row r="144" spans="1:11" ht="13.95" customHeight="1" x14ac:dyDescent="0.3">
      <c r="A144" s="3">
        <v>45800</v>
      </c>
      <c r="B144" s="3" t="s">
        <v>1636</v>
      </c>
      <c r="C144" s="3" t="s">
        <v>11</v>
      </c>
      <c r="D144" s="3" t="s">
        <v>14</v>
      </c>
      <c r="E144" s="4">
        <v>0.75</v>
      </c>
      <c r="F144" s="42">
        <v>2.25</v>
      </c>
      <c r="G144" s="45">
        <v>476</v>
      </c>
      <c r="H144" s="44">
        <v>1.9</v>
      </c>
      <c r="I144" s="6">
        <f t="shared" si="3"/>
        <v>1526.175</v>
      </c>
      <c r="J144" s="45" t="s">
        <v>752</v>
      </c>
      <c r="K144" s="17"/>
    </row>
    <row r="145" spans="1:11" ht="13.95" customHeight="1" x14ac:dyDescent="0.3">
      <c r="A145" s="3">
        <v>45801</v>
      </c>
      <c r="B145" s="3" t="s">
        <v>1636</v>
      </c>
      <c r="C145" s="3" t="s">
        <v>13</v>
      </c>
      <c r="D145" s="3" t="s">
        <v>14</v>
      </c>
      <c r="E145" s="4">
        <v>0.85</v>
      </c>
      <c r="F145" s="42">
        <v>2.6</v>
      </c>
      <c r="G145" s="45">
        <v>476</v>
      </c>
      <c r="H145" s="44">
        <v>1.9</v>
      </c>
      <c r="I145" s="6">
        <f t="shared" si="3"/>
        <v>1998.7239999999999</v>
      </c>
      <c r="J145" s="45" t="s">
        <v>1602</v>
      </c>
      <c r="K145" s="17"/>
    </row>
    <row r="146" spans="1:11" ht="13.95" customHeight="1" x14ac:dyDescent="0.3">
      <c r="A146" s="3">
        <v>45802</v>
      </c>
      <c r="B146" s="3" t="s">
        <v>1636</v>
      </c>
      <c r="C146" s="3" t="s">
        <v>16</v>
      </c>
      <c r="D146" s="3" t="s">
        <v>14</v>
      </c>
      <c r="E146" s="4">
        <v>0.8</v>
      </c>
      <c r="F146" s="42">
        <v>2.35</v>
      </c>
      <c r="G146" s="45">
        <v>476</v>
      </c>
      <c r="H146" s="44">
        <v>1.9</v>
      </c>
      <c r="I146" s="6">
        <f t="shared" si="3"/>
        <v>1700.2720000000002</v>
      </c>
      <c r="J146" s="45" t="s">
        <v>149</v>
      </c>
      <c r="K146" s="17"/>
    </row>
    <row r="147" spans="1:11" ht="13.95" customHeight="1" x14ac:dyDescent="0.3">
      <c r="A147" s="3">
        <v>45803</v>
      </c>
      <c r="B147" s="3" t="s">
        <v>1636</v>
      </c>
      <c r="C147" s="3" t="s">
        <v>18</v>
      </c>
      <c r="D147" s="3" t="s">
        <v>1330</v>
      </c>
      <c r="E147" s="4">
        <v>0.7</v>
      </c>
      <c r="F147" s="42">
        <v>2.0499999999999998</v>
      </c>
      <c r="G147" s="45">
        <v>476</v>
      </c>
      <c r="H147" s="44">
        <v>1.9</v>
      </c>
      <c r="I147" s="6">
        <f t="shared" si="3"/>
        <v>1297.8139999999999</v>
      </c>
      <c r="J147" s="45" t="s">
        <v>461</v>
      </c>
      <c r="K147" s="17"/>
    </row>
    <row r="148" spans="1:11" ht="13.95" customHeight="1" x14ac:dyDescent="0.3">
      <c r="A148" s="3">
        <v>45804</v>
      </c>
      <c r="B148" s="3" t="s">
        <v>1636</v>
      </c>
      <c r="C148" s="3" t="s">
        <v>20</v>
      </c>
      <c r="D148" s="3" t="s">
        <v>1330</v>
      </c>
      <c r="E148" s="4">
        <v>0.72</v>
      </c>
      <c r="F148" s="42">
        <v>2.1</v>
      </c>
      <c r="G148" s="45">
        <v>476</v>
      </c>
      <c r="H148" s="44">
        <v>1.9</v>
      </c>
      <c r="I148" s="6">
        <f t="shared" si="3"/>
        <v>1367.4528</v>
      </c>
      <c r="J148" s="45" t="s">
        <v>461</v>
      </c>
      <c r="K148" s="17"/>
    </row>
    <row r="149" spans="1:11" ht="13.95" customHeight="1" x14ac:dyDescent="0.3">
      <c r="A149" s="3">
        <v>45805</v>
      </c>
      <c r="B149" s="3" t="s">
        <v>1636</v>
      </c>
      <c r="C149" s="3" t="s">
        <v>5</v>
      </c>
      <c r="D149" s="3" t="s">
        <v>1330</v>
      </c>
      <c r="E149" s="4">
        <v>0.75</v>
      </c>
      <c r="F149" s="42">
        <v>2.1</v>
      </c>
      <c r="G149" s="45">
        <v>476</v>
      </c>
      <c r="H149" s="44">
        <v>1.9</v>
      </c>
      <c r="I149" s="6">
        <f t="shared" si="3"/>
        <v>1424.43</v>
      </c>
      <c r="J149" s="45" t="s">
        <v>71</v>
      </c>
      <c r="K149" s="17"/>
    </row>
    <row r="150" spans="1:11" ht="13.95" customHeight="1" x14ac:dyDescent="0.3">
      <c r="A150" s="3">
        <v>45806</v>
      </c>
      <c r="B150" s="3" t="s">
        <v>1636</v>
      </c>
      <c r="C150" s="3" t="s">
        <v>8</v>
      </c>
      <c r="D150" s="3" t="s">
        <v>1330</v>
      </c>
      <c r="E150" s="4">
        <v>0.78</v>
      </c>
      <c r="F150" s="42">
        <v>2.15</v>
      </c>
      <c r="G150" s="45">
        <v>476</v>
      </c>
      <c r="H150" s="44">
        <v>1.9</v>
      </c>
      <c r="I150" s="6">
        <f t="shared" si="3"/>
        <v>1516.6788000000001</v>
      </c>
      <c r="J150" s="45" t="s">
        <v>71</v>
      </c>
      <c r="K150" s="17"/>
    </row>
    <row r="151" spans="1:11" ht="13.95" customHeight="1" x14ac:dyDescent="0.3">
      <c r="A151" s="3">
        <v>45807</v>
      </c>
      <c r="B151" s="3" t="s">
        <v>1636</v>
      </c>
      <c r="C151" s="3" t="s">
        <v>11</v>
      </c>
      <c r="D151" s="3" t="s">
        <v>44</v>
      </c>
      <c r="E151" s="4">
        <v>0.85</v>
      </c>
      <c r="F151" s="42">
        <v>2.35</v>
      </c>
      <c r="G151" s="45">
        <v>476</v>
      </c>
      <c r="H151" s="44">
        <v>1.9</v>
      </c>
      <c r="I151" s="6">
        <f t="shared" si="3"/>
        <v>1806.5389999999998</v>
      </c>
      <c r="J151" s="45" t="s">
        <v>1603</v>
      </c>
      <c r="K151" s="17"/>
    </row>
    <row r="152" spans="1:11" ht="13.95" customHeight="1" x14ac:dyDescent="0.3">
      <c r="A152" s="3">
        <v>45808</v>
      </c>
      <c r="B152" s="3" t="s">
        <v>1636</v>
      </c>
      <c r="C152" s="3" t="s">
        <v>13</v>
      </c>
      <c r="D152" s="3" t="s">
        <v>14</v>
      </c>
      <c r="E152" s="4">
        <v>0.95</v>
      </c>
      <c r="F152" s="42">
        <v>2.75</v>
      </c>
      <c r="G152" s="45">
        <v>476</v>
      </c>
      <c r="H152" s="44">
        <v>1.9</v>
      </c>
      <c r="I152" s="6">
        <f t="shared" si="3"/>
        <v>2362.7449999999999</v>
      </c>
      <c r="J152" s="45" t="s">
        <v>1435</v>
      </c>
      <c r="K152" s="17"/>
    </row>
    <row r="153" spans="1:11" ht="13.95" customHeight="1" x14ac:dyDescent="0.3">
      <c r="A153" s="3">
        <v>45809</v>
      </c>
      <c r="B153" s="3" t="s">
        <v>1636</v>
      </c>
      <c r="C153" s="3" t="s">
        <v>16</v>
      </c>
      <c r="D153" s="3" t="s">
        <v>14</v>
      </c>
      <c r="E153" s="4">
        <v>0.9</v>
      </c>
      <c r="F153" s="42">
        <v>2.2999999999999998</v>
      </c>
      <c r="G153" s="45">
        <v>476</v>
      </c>
      <c r="H153" s="44">
        <v>1.9</v>
      </c>
      <c r="I153" s="6">
        <f t="shared" si="3"/>
        <v>1872.1079999999999</v>
      </c>
      <c r="J153" s="45" t="s">
        <v>153</v>
      </c>
      <c r="K153" s="17"/>
    </row>
    <row r="154" spans="1:11" ht="13.95" customHeight="1" x14ac:dyDescent="0.3">
      <c r="A154" s="3">
        <v>45810</v>
      </c>
      <c r="B154" s="3" t="s">
        <v>1636</v>
      </c>
      <c r="C154" s="3" t="s">
        <v>18</v>
      </c>
      <c r="D154" s="3" t="s">
        <v>1340</v>
      </c>
      <c r="E154" s="4">
        <v>0.82</v>
      </c>
      <c r="F154" s="42">
        <v>2.0499999999999998</v>
      </c>
      <c r="G154" s="45">
        <v>476</v>
      </c>
      <c r="H154" s="44">
        <v>1.9</v>
      </c>
      <c r="I154" s="6">
        <f t="shared" si="3"/>
        <v>1520.2963999999997</v>
      </c>
      <c r="J154" s="45" t="s">
        <v>1331</v>
      </c>
      <c r="K154" s="17"/>
    </row>
    <row r="155" spans="1:11" ht="13.95" customHeight="1" x14ac:dyDescent="0.3">
      <c r="A155" s="3">
        <v>45811</v>
      </c>
      <c r="B155" s="3" t="s">
        <v>1636</v>
      </c>
      <c r="C155" s="3" t="s">
        <v>20</v>
      </c>
      <c r="D155" s="3" t="s">
        <v>1340</v>
      </c>
      <c r="E155" s="4">
        <v>0.8</v>
      </c>
      <c r="F155" s="42">
        <v>2.0499999999999998</v>
      </c>
      <c r="G155" s="45">
        <v>476</v>
      </c>
      <c r="H155" s="44">
        <v>1.9</v>
      </c>
      <c r="I155" s="6">
        <f t="shared" si="3"/>
        <v>1483.2159999999999</v>
      </c>
      <c r="J155" s="45" t="s">
        <v>1375</v>
      </c>
      <c r="K155" s="17"/>
    </row>
    <row r="156" spans="1:11" ht="13.95" customHeight="1" x14ac:dyDescent="0.3">
      <c r="A156" s="3">
        <v>45812</v>
      </c>
      <c r="B156" s="3" t="s">
        <v>1636</v>
      </c>
      <c r="C156" s="3" t="s">
        <v>5</v>
      </c>
      <c r="D156" s="3" t="s">
        <v>1340</v>
      </c>
      <c r="E156" s="4">
        <v>0.82</v>
      </c>
      <c r="F156" s="42">
        <v>2</v>
      </c>
      <c r="G156" s="45">
        <v>476</v>
      </c>
      <c r="H156" s="44">
        <v>1.9</v>
      </c>
      <c r="I156" s="6">
        <f t="shared" si="3"/>
        <v>1483.2159999999999</v>
      </c>
      <c r="J156" s="45" t="s">
        <v>71</v>
      </c>
      <c r="K156" s="17"/>
    </row>
    <row r="157" spans="1:11" ht="13.95" customHeight="1" x14ac:dyDescent="0.3">
      <c r="A157" s="3">
        <v>45813</v>
      </c>
      <c r="B157" s="3" t="s">
        <v>1636</v>
      </c>
      <c r="C157" s="3" t="s">
        <v>8</v>
      </c>
      <c r="D157" s="3" t="s">
        <v>1072</v>
      </c>
      <c r="E157" s="4">
        <v>0.85</v>
      </c>
      <c r="F157" s="42">
        <v>2.2000000000000002</v>
      </c>
      <c r="G157" s="45">
        <v>476</v>
      </c>
      <c r="H157" s="44">
        <v>1.9</v>
      </c>
      <c r="I157" s="6">
        <f t="shared" si="3"/>
        <v>1691.2279999999998</v>
      </c>
      <c r="J157" s="45" t="s">
        <v>1440</v>
      </c>
      <c r="K157" s="17"/>
    </row>
    <row r="158" spans="1:11" ht="13.95" customHeight="1" x14ac:dyDescent="0.3">
      <c r="A158" s="3">
        <v>45814</v>
      </c>
      <c r="B158" s="3" t="s">
        <v>1636</v>
      </c>
      <c r="C158" s="3" t="s">
        <v>11</v>
      </c>
      <c r="D158" s="3" t="s">
        <v>1142</v>
      </c>
      <c r="E158" s="4">
        <v>0.98</v>
      </c>
      <c r="F158" s="42">
        <v>2.7</v>
      </c>
      <c r="G158" s="45">
        <v>476</v>
      </c>
      <c r="H158" s="44">
        <v>1.9</v>
      </c>
      <c r="I158" s="6">
        <f t="shared" si="3"/>
        <v>2393.0424000000003</v>
      </c>
      <c r="J158" s="45" t="s">
        <v>1604</v>
      </c>
      <c r="K158" s="17"/>
    </row>
    <row r="159" spans="1:11" ht="13.95" customHeight="1" x14ac:dyDescent="0.3">
      <c r="A159" s="3">
        <v>45815</v>
      </c>
      <c r="B159" s="3" t="s">
        <v>1636</v>
      </c>
      <c r="C159" s="3" t="s">
        <v>13</v>
      </c>
      <c r="D159" s="3" t="s">
        <v>1142</v>
      </c>
      <c r="E159" s="4">
        <v>1</v>
      </c>
      <c r="F159" s="42">
        <v>2.8</v>
      </c>
      <c r="G159" s="45">
        <v>476</v>
      </c>
      <c r="H159" s="44">
        <v>1.9</v>
      </c>
      <c r="I159" s="6">
        <f t="shared" si="3"/>
        <v>2532.3199999999997</v>
      </c>
      <c r="J159" s="45" t="s">
        <v>1508</v>
      </c>
      <c r="K159" s="17"/>
    </row>
    <row r="160" spans="1:11" ht="13.95" customHeight="1" x14ac:dyDescent="0.3">
      <c r="A160" s="3">
        <v>45816</v>
      </c>
      <c r="B160" s="3" t="s">
        <v>1636</v>
      </c>
      <c r="C160" s="3" t="s">
        <v>16</v>
      </c>
      <c r="D160" s="3" t="s">
        <v>1344</v>
      </c>
      <c r="E160" s="4">
        <v>0.95</v>
      </c>
      <c r="F160" s="42">
        <v>2.4500000000000002</v>
      </c>
      <c r="G160" s="45">
        <v>476</v>
      </c>
      <c r="H160" s="44">
        <v>1.9</v>
      </c>
      <c r="I160" s="6">
        <f t="shared" si="3"/>
        <v>2104.991</v>
      </c>
      <c r="J160" s="45" t="s">
        <v>1336</v>
      </c>
      <c r="K160" s="17"/>
    </row>
    <row r="161" spans="1:11" ht="13.95" customHeight="1" x14ac:dyDescent="0.3">
      <c r="A161" s="3">
        <v>45817</v>
      </c>
      <c r="B161" s="3" t="s">
        <v>1636</v>
      </c>
      <c r="C161" s="3" t="s">
        <v>18</v>
      </c>
      <c r="D161" s="3" t="s">
        <v>1340</v>
      </c>
      <c r="E161" s="4">
        <v>0.85</v>
      </c>
      <c r="F161" s="42">
        <v>2.1</v>
      </c>
      <c r="G161" s="45">
        <v>476</v>
      </c>
      <c r="H161" s="44">
        <v>1.9</v>
      </c>
      <c r="I161" s="6">
        <f t="shared" si="3"/>
        <v>1614.3539999999998</v>
      </c>
      <c r="J161" s="45" t="s">
        <v>1605</v>
      </c>
      <c r="K161" s="17"/>
    </row>
    <row r="162" spans="1:11" ht="13.95" customHeight="1" x14ac:dyDescent="0.3">
      <c r="A162" s="3">
        <v>45818</v>
      </c>
      <c r="B162" s="3" t="s">
        <v>1636</v>
      </c>
      <c r="C162" s="3" t="s">
        <v>20</v>
      </c>
      <c r="D162" s="3" t="s">
        <v>1340</v>
      </c>
      <c r="E162" s="4">
        <v>0.88</v>
      </c>
      <c r="F162" s="42">
        <v>2.1</v>
      </c>
      <c r="G162" s="45">
        <v>476</v>
      </c>
      <c r="H162" s="44">
        <v>1.9</v>
      </c>
      <c r="I162" s="6">
        <f t="shared" si="3"/>
        <v>1671.3312000000001</v>
      </c>
      <c r="J162" s="45" t="s">
        <v>1605</v>
      </c>
      <c r="K162" s="17"/>
    </row>
    <row r="163" spans="1:11" ht="13.95" customHeight="1" x14ac:dyDescent="0.3">
      <c r="A163" s="3">
        <v>45819</v>
      </c>
      <c r="B163" s="3" t="s">
        <v>1636</v>
      </c>
      <c r="C163" s="3" t="s">
        <v>5</v>
      </c>
      <c r="D163" s="3" t="s">
        <v>1340</v>
      </c>
      <c r="E163" s="4">
        <v>0.85</v>
      </c>
      <c r="F163" s="42">
        <v>2.0499999999999998</v>
      </c>
      <c r="G163" s="45">
        <v>476</v>
      </c>
      <c r="H163" s="44">
        <v>1.9</v>
      </c>
      <c r="I163" s="6">
        <f t="shared" si="3"/>
        <v>1575.9169999999997</v>
      </c>
      <c r="J163" s="45" t="s">
        <v>527</v>
      </c>
      <c r="K163" s="17"/>
    </row>
    <row r="164" spans="1:11" ht="13.95" customHeight="1" x14ac:dyDescent="0.3">
      <c r="A164" s="3">
        <v>45820</v>
      </c>
      <c r="B164" s="3" t="s">
        <v>1636</v>
      </c>
      <c r="C164" s="3" t="s">
        <v>8</v>
      </c>
      <c r="D164" s="3" t="s">
        <v>1340</v>
      </c>
      <c r="E164" s="4">
        <v>0.88</v>
      </c>
      <c r="F164" s="42">
        <v>2.15</v>
      </c>
      <c r="G164" s="45">
        <v>476</v>
      </c>
      <c r="H164" s="44">
        <v>1.9</v>
      </c>
      <c r="I164" s="6">
        <f t="shared" si="3"/>
        <v>1711.1247999999998</v>
      </c>
      <c r="J164" s="45" t="s">
        <v>71</v>
      </c>
      <c r="K164" s="17"/>
    </row>
    <row r="165" spans="1:11" ht="13.95" customHeight="1" x14ac:dyDescent="0.3">
      <c r="A165" s="3">
        <v>45821</v>
      </c>
      <c r="B165" s="3" t="s">
        <v>1636</v>
      </c>
      <c r="C165" s="3" t="s">
        <v>11</v>
      </c>
      <c r="D165" s="3" t="s">
        <v>14</v>
      </c>
      <c r="E165" s="4">
        <v>0.92</v>
      </c>
      <c r="F165" s="42">
        <v>2.35</v>
      </c>
      <c r="G165" s="45">
        <v>476</v>
      </c>
      <c r="H165" s="44">
        <v>1.9</v>
      </c>
      <c r="I165" s="6">
        <f t="shared" si="3"/>
        <v>1955.3128000000002</v>
      </c>
      <c r="J165" s="45" t="s">
        <v>67</v>
      </c>
      <c r="K165" s="17"/>
    </row>
    <row r="166" spans="1:11" ht="13.95" customHeight="1" x14ac:dyDescent="0.3">
      <c r="A166" s="3">
        <v>45822</v>
      </c>
      <c r="B166" s="3" t="s">
        <v>1636</v>
      </c>
      <c r="C166" s="3" t="s">
        <v>13</v>
      </c>
      <c r="D166" s="3" t="s">
        <v>14</v>
      </c>
      <c r="E166" s="4">
        <v>1</v>
      </c>
      <c r="F166" s="42">
        <v>2.75</v>
      </c>
      <c r="G166" s="45">
        <v>476</v>
      </c>
      <c r="H166" s="44">
        <v>1.9</v>
      </c>
      <c r="I166" s="6">
        <f t="shared" si="3"/>
        <v>2487.1</v>
      </c>
      <c r="J166" s="45" t="s">
        <v>1525</v>
      </c>
      <c r="K166" s="17"/>
    </row>
    <row r="167" spans="1:11" ht="13.95" customHeight="1" x14ac:dyDescent="0.3">
      <c r="A167" s="3">
        <v>45823</v>
      </c>
      <c r="B167" s="3" t="s">
        <v>1636</v>
      </c>
      <c r="C167" s="3" t="s">
        <v>16</v>
      </c>
      <c r="D167" s="3" t="s">
        <v>14</v>
      </c>
      <c r="E167" s="4">
        <v>0.98</v>
      </c>
      <c r="F167" s="42">
        <v>2.4500000000000002</v>
      </c>
      <c r="G167" s="45">
        <v>476</v>
      </c>
      <c r="H167" s="44">
        <v>1.9</v>
      </c>
      <c r="I167" s="6">
        <f t="shared" si="3"/>
        <v>2171.4644000000003</v>
      </c>
      <c r="J167" s="45" t="s">
        <v>139</v>
      </c>
      <c r="K167" s="17"/>
    </row>
    <row r="168" spans="1:11" ht="13.95" customHeight="1" x14ac:dyDescent="0.3">
      <c r="A168" s="3">
        <v>45824</v>
      </c>
      <c r="B168" s="3" t="s">
        <v>1636</v>
      </c>
      <c r="C168" s="3" t="s">
        <v>18</v>
      </c>
      <c r="D168" s="3" t="s">
        <v>1347</v>
      </c>
      <c r="E168" s="4">
        <v>0.92</v>
      </c>
      <c r="F168" s="42">
        <v>2.15</v>
      </c>
      <c r="G168" s="45">
        <v>476</v>
      </c>
      <c r="H168" s="44">
        <v>1.9</v>
      </c>
      <c r="I168" s="6">
        <f t="shared" si="3"/>
        <v>1788.9032</v>
      </c>
      <c r="J168" s="45" t="s">
        <v>449</v>
      </c>
      <c r="K168" s="17"/>
    </row>
    <row r="169" spans="1:11" ht="13.95" customHeight="1" x14ac:dyDescent="0.3">
      <c r="A169" s="3">
        <v>45825</v>
      </c>
      <c r="B169" s="3" t="s">
        <v>1636</v>
      </c>
      <c r="C169" s="3" t="s">
        <v>20</v>
      </c>
      <c r="D169" s="3" t="s">
        <v>1347</v>
      </c>
      <c r="E169" s="4">
        <v>0.95</v>
      </c>
      <c r="F169" s="42">
        <v>2.15</v>
      </c>
      <c r="G169" s="45">
        <v>476</v>
      </c>
      <c r="H169" s="44">
        <v>1.9</v>
      </c>
      <c r="I169" s="6">
        <f t="shared" si="3"/>
        <v>1847.2369999999996</v>
      </c>
      <c r="J169" s="45" t="s">
        <v>449</v>
      </c>
      <c r="K169" s="17"/>
    </row>
    <row r="170" spans="1:11" ht="13.95" customHeight="1" x14ac:dyDescent="0.3">
      <c r="A170" s="3">
        <v>45826</v>
      </c>
      <c r="B170" s="3" t="s">
        <v>1636</v>
      </c>
      <c r="C170" s="3" t="s">
        <v>5</v>
      </c>
      <c r="D170" s="3" t="s">
        <v>1347</v>
      </c>
      <c r="E170" s="4">
        <v>0.92</v>
      </c>
      <c r="F170" s="42">
        <v>2.1</v>
      </c>
      <c r="G170" s="45">
        <v>476</v>
      </c>
      <c r="H170" s="44">
        <v>1.9</v>
      </c>
      <c r="I170" s="6">
        <f t="shared" si="3"/>
        <v>1747.3008</v>
      </c>
      <c r="J170" s="45" t="s">
        <v>838</v>
      </c>
      <c r="K170" s="17"/>
    </row>
    <row r="171" spans="1:11" ht="13.95" customHeight="1" x14ac:dyDescent="0.3">
      <c r="A171" s="3">
        <v>45827</v>
      </c>
      <c r="B171" s="3" t="s">
        <v>1636</v>
      </c>
      <c r="C171" s="3" t="s">
        <v>8</v>
      </c>
      <c r="D171" s="3" t="s">
        <v>1347</v>
      </c>
      <c r="E171" s="4">
        <v>0.95</v>
      </c>
      <c r="F171" s="42">
        <v>2.15</v>
      </c>
      <c r="G171" s="45">
        <v>476</v>
      </c>
      <c r="H171" s="44">
        <v>1.9</v>
      </c>
      <c r="I171" s="6">
        <f t="shared" si="3"/>
        <v>1847.2369999999996</v>
      </c>
      <c r="J171" s="45" t="s">
        <v>71</v>
      </c>
      <c r="K171" s="17"/>
    </row>
    <row r="172" spans="1:11" ht="13.95" customHeight="1" x14ac:dyDescent="0.3">
      <c r="A172" s="3">
        <v>45828</v>
      </c>
      <c r="B172" s="3" t="s">
        <v>1636</v>
      </c>
      <c r="C172" s="3" t="s">
        <v>11</v>
      </c>
      <c r="D172" s="3" t="s">
        <v>14</v>
      </c>
      <c r="E172" s="4">
        <v>0.98</v>
      </c>
      <c r="F172" s="42">
        <v>2.4</v>
      </c>
      <c r="G172" s="45">
        <v>476</v>
      </c>
      <c r="H172" s="44">
        <v>1.9</v>
      </c>
      <c r="I172" s="6">
        <f t="shared" si="3"/>
        <v>2127.1487999999999</v>
      </c>
      <c r="J172" s="45" t="s">
        <v>97</v>
      </c>
      <c r="K172" s="17"/>
    </row>
    <row r="173" spans="1:11" ht="13.95" customHeight="1" x14ac:dyDescent="0.3">
      <c r="A173" s="3">
        <v>45829</v>
      </c>
      <c r="B173" s="3" t="s">
        <v>1636</v>
      </c>
      <c r="C173" s="3" t="s">
        <v>13</v>
      </c>
      <c r="D173" s="3" t="s">
        <v>14</v>
      </c>
      <c r="E173" s="4">
        <v>1</v>
      </c>
      <c r="F173" s="42">
        <v>2.85</v>
      </c>
      <c r="G173" s="45">
        <v>476</v>
      </c>
      <c r="H173" s="44">
        <v>1.9</v>
      </c>
      <c r="I173" s="6">
        <f t="shared" si="3"/>
        <v>2577.54</v>
      </c>
      <c r="J173" s="45" t="s">
        <v>1606</v>
      </c>
      <c r="K173" s="17"/>
    </row>
    <row r="174" spans="1:11" ht="13.95" customHeight="1" x14ac:dyDescent="0.3">
      <c r="A174" s="3">
        <v>45830</v>
      </c>
      <c r="B174" s="3" t="s">
        <v>1636</v>
      </c>
      <c r="C174" s="3" t="s">
        <v>16</v>
      </c>
      <c r="D174" s="3" t="s">
        <v>14</v>
      </c>
      <c r="E174" s="4">
        <v>1</v>
      </c>
      <c r="F174" s="42">
        <v>2.5499999999999998</v>
      </c>
      <c r="G174" s="45">
        <v>476</v>
      </c>
      <c r="H174" s="44">
        <v>1.9</v>
      </c>
      <c r="I174" s="6">
        <f t="shared" si="3"/>
        <v>2306.2199999999998</v>
      </c>
      <c r="J174" s="45" t="s">
        <v>149</v>
      </c>
      <c r="K174" s="17"/>
    </row>
    <row r="175" spans="1:11" ht="13.95" customHeight="1" x14ac:dyDescent="0.3">
      <c r="A175" s="3">
        <v>45831</v>
      </c>
      <c r="B175" s="3" t="s">
        <v>1636</v>
      </c>
      <c r="C175" s="3" t="s">
        <v>18</v>
      </c>
      <c r="D175" s="3" t="s">
        <v>1347</v>
      </c>
      <c r="E175" s="4">
        <v>0.95</v>
      </c>
      <c r="F175" s="42">
        <v>2.2000000000000002</v>
      </c>
      <c r="G175" s="45">
        <v>476</v>
      </c>
      <c r="H175" s="44">
        <v>1.9</v>
      </c>
      <c r="I175" s="6">
        <f t="shared" si="3"/>
        <v>1890.1959999999999</v>
      </c>
      <c r="J175" s="45" t="s">
        <v>461</v>
      </c>
      <c r="K175" s="17"/>
    </row>
    <row r="176" spans="1:11" ht="13.95" customHeight="1" x14ac:dyDescent="0.3">
      <c r="A176" s="3">
        <v>45832</v>
      </c>
      <c r="B176" s="3" t="s">
        <v>1636</v>
      </c>
      <c r="C176" s="3" t="s">
        <v>20</v>
      </c>
      <c r="D176" s="3" t="s">
        <v>1347</v>
      </c>
      <c r="E176" s="4">
        <v>0.98</v>
      </c>
      <c r="F176" s="42">
        <v>2.2000000000000002</v>
      </c>
      <c r="G176" s="45">
        <v>476</v>
      </c>
      <c r="H176" s="44">
        <v>1.9</v>
      </c>
      <c r="I176" s="6">
        <f t="shared" si="3"/>
        <v>1949.8864000000001</v>
      </c>
      <c r="J176" s="45" t="s">
        <v>461</v>
      </c>
      <c r="K176" s="17"/>
    </row>
    <row r="177" spans="1:11" ht="13.95" customHeight="1" x14ac:dyDescent="0.3">
      <c r="A177" s="3">
        <v>45833</v>
      </c>
      <c r="B177" s="3" t="s">
        <v>1636</v>
      </c>
      <c r="C177" s="3" t="s">
        <v>5</v>
      </c>
      <c r="D177" s="3" t="s">
        <v>1347</v>
      </c>
      <c r="E177" s="4">
        <v>0.95</v>
      </c>
      <c r="F177" s="42">
        <v>2.15</v>
      </c>
      <c r="G177" s="45">
        <v>476</v>
      </c>
      <c r="H177" s="44">
        <v>1.9</v>
      </c>
      <c r="I177" s="6">
        <f t="shared" si="3"/>
        <v>1847.2369999999996</v>
      </c>
      <c r="J177" s="45" t="s">
        <v>71</v>
      </c>
      <c r="K177" s="17"/>
    </row>
    <row r="178" spans="1:11" ht="13.95" customHeight="1" x14ac:dyDescent="0.3">
      <c r="A178" s="3">
        <v>45834</v>
      </c>
      <c r="B178" s="3" t="s">
        <v>1636</v>
      </c>
      <c r="C178" s="3" t="s">
        <v>8</v>
      </c>
      <c r="D178" s="3" t="s">
        <v>1347</v>
      </c>
      <c r="E178" s="4">
        <v>0.98</v>
      </c>
      <c r="F178" s="42">
        <v>2.25</v>
      </c>
      <c r="G178" s="45">
        <v>476</v>
      </c>
      <c r="H178" s="44">
        <v>1.9</v>
      </c>
      <c r="I178" s="6">
        <f t="shared" si="3"/>
        <v>1994.2019999999998</v>
      </c>
      <c r="J178" s="45" t="s">
        <v>71</v>
      </c>
      <c r="K178" s="17"/>
    </row>
    <row r="179" spans="1:11" ht="13.95" customHeight="1" x14ac:dyDescent="0.3">
      <c r="A179" s="3">
        <v>45835</v>
      </c>
      <c r="B179" s="3" t="s">
        <v>1636</v>
      </c>
      <c r="C179" s="3" t="s">
        <v>11</v>
      </c>
      <c r="D179" s="3" t="s">
        <v>44</v>
      </c>
      <c r="E179" s="4">
        <v>1</v>
      </c>
      <c r="F179" s="42">
        <v>2.5</v>
      </c>
      <c r="G179" s="45">
        <v>476</v>
      </c>
      <c r="H179" s="44">
        <v>1.9</v>
      </c>
      <c r="I179" s="6">
        <f t="shared" si="3"/>
        <v>2261</v>
      </c>
      <c r="J179" s="45" t="s">
        <v>1529</v>
      </c>
      <c r="K179" s="17"/>
    </row>
    <row r="180" spans="1:11" ht="13.95" customHeight="1" x14ac:dyDescent="0.3">
      <c r="A180" s="3">
        <v>45836</v>
      </c>
      <c r="B180" s="3" t="s">
        <v>1636</v>
      </c>
      <c r="C180" s="3" t="s">
        <v>13</v>
      </c>
      <c r="D180" s="3" t="s">
        <v>995</v>
      </c>
      <c r="E180" s="4">
        <v>1</v>
      </c>
      <c r="F180" s="42">
        <v>2.9</v>
      </c>
      <c r="G180" s="45">
        <v>476</v>
      </c>
      <c r="H180" s="44">
        <v>1.9</v>
      </c>
      <c r="I180" s="6">
        <f t="shared" si="3"/>
        <v>2622.7599999999998</v>
      </c>
      <c r="J180" s="45" t="s">
        <v>1435</v>
      </c>
      <c r="K180" s="17"/>
    </row>
    <row r="181" spans="1:11" ht="13.95" customHeight="1" x14ac:dyDescent="0.3">
      <c r="A181" s="3">
        <v>45837</v>
      </c>
      <c r="B181" s="3" t="s">
        <v>1636</v>
      </c>
      <c r="C181" s="3" t="s">
        <v>16</v>
      </c>
      <c r="D181" s="3" t="s">
        <v>14</v>
      </c>
      <c r="E181" s="4">
        <v>1</v>
      </c>
      <c r="F181" s="42">
        <v>2.65</v>
      </c>
      <c r="G181" s="45">
        <v>476</v>
      </c>
      <c r="H181" s="44">
        <v>1.9</v>
      </c>
      <c r="I181" s="6">
        <f t="shared" si="3"/>
        <v>2396.66</v>
      </c>
      <c r="J181" s="45" t="s">
        <v>1336</v>
      </c>
      <c r="K181" s="17"/>
    </row>
    <row r="182" spans="1:11" ht="13.95" customHeight="1" x14ac:dyDescent="0.3">
      <c r="A182" s="3">
        <v>45838</v>
      </c>
      <c r="B182" s="3" t="s">
        <v>1636</v>
      </c>
      <c r="C182" s="3" t="s">
        <v>18</v>
      </c>
      <c r="D182" s="3" t="s">
        <v>1347</v>
      </c>
      <c r="E182" s="4">
        <v>1</v>
      </c>
      <c r="F182" s="42">
        <v>2.35</v>
      </c>
      <c r="G182" s="45">
        <v>476</v>
      </c>
      <c r="H182" s="44">
        <v>1.9</v>
      </c>
      <c r="I182" s="6">
        <f t="shared" si="3"/>
        <v>2125.34</v>
      </c>
      <c r="J182" s="45" t="s">
        <v>1607</v>
      </c>
      <c r="K182" s="17"/>
    </row>
    <row r="183" spans="1:11" ht="13.95" customHeight="1" x14ac:dyDescent="0.3">
      <c r="A183" s="3">
        <v>45839</v>
      </c>
      <c r="B183" s="3" t="s">
        <v>1636</v>
      </c>
      <c r="C183" s="3" t="s">
        <v>20</v>
      </c>
      <c r="D183" s="3" t="s">
        <v>1347</v>
      </c>
      <c r="E183" s="4">
        <v>0.95</v>
      </c>
      <c r="F183" s="42">
        <v>2.25</v>
      </c>
      <c r="G183" s="45">
        <v>476</v>
      </c>
      <c r="H183" s="44">
        <v>1.9</v>
      </c>
      <c r="I183" s="6">
        <f t="shared" si="3"/>
        <v>1933.1549999999997</v>
      </c>
      <c r="J183" s="45" t="s">
        <v>1350</v>
      </c>
      <c r="K183" s="17"/>
    </row>
    <row r="184" spans="1:11" ht="13.95" customHeight="1" x14ac:dyDescent="0.3">
      <c r="A184" s="3">
        <v>45840</v>
      </c>
      <c r="B184" s="3" t="s">
        <v>1636</v>
      </c>
      <c r="C184" s="3" t="s">
        <v>5</v>
      </c>
      <c r="D184" s="3" t="s">
        <v>1347</v>
      </c>
      <c r="E184" s="4">
        <v>0.95</v>
      </c>
      <c r="F184" s="42">
        <v>2.2000000000000002</v>
      </c>
      <c r="G184" s="45">
        <v>476</v>
      </c>
      <c r="H184" s="44">
        <v>1.9</v>
      </c>
      <c r="I184" s="6">
        <f t="shared" si="3"/>
        <v>1890.1959999999999</v>
      </c>
      <c r="J184" s="45" t="s">
        <v>1350</v>
      </c>
      <c r="K184" s="17"/>
    </row>
    <row r="185" spans="1:11" ht="13.95" customHeight="1" x14ac:dyDescent="0.3">
      <c r="A185" s="3">
        <v>45841</v>
      </c>
      <c r="B185" s="3" t="s">
        <v>1636</v>
      </c>
      <c r="C185" s="3" t="s">
        <v>8</v>
      </c>
      <c r="D185" s="3" t="s">
        <v>1347</v>
      </c>
      <c r="E185" s="4">
        <v>1</v>
      </c>
      <c r="F185" s="42">
        <v>2.2999999999999998</v>
      </c>
      <c r="G185" s="45">
        <v>476</v>
      </c>
      <c r="H185" s="44">
        <v>1.9</v>
      </c>
      <c r="I185" s="6">
        <f t="shared" si="3"/>
        <v>2080.12</v>
      </c>
      <c r="J185" s="45" t="s">
        <v>531</v>
      </c>
      <c r="K185" s="17"/>
    </row>
    <row r="186" spans="1:11" ht="13.95" customHeight="1" x14ac:dyDescent="0.3">
      <c r="A186" s="3">
        <v>45842</v>
      </c>
      <c r="B186" s="3" t="s">
        <v>1636</v>
      </c>
      <c r="C186" s="3" t="s">
        <v>11</v>
      </c>
      <c r="D186" s="3" t="s">
        <v>829</v>
      </c>
      <c r="E186" s="4">
        <v>1</v>
      </c>
      <c r="F186" s="42">
        <v>2.5499999999999998</v>
      </c>
      <c r="G186" s="45">
        <v>476</v>
      </c>
      <c r="H186" s="44">
        <v>1.9</v>
      </c>
      <c r="I186" s="6">
        <f t="shared" si="3"/>
        <v>2306.2199999999998</v>
      </c>
      <c r="J186" s="45" t="s">
        <v>1530</v>
      </c>
      <c r="K186" s="17"/>
    </row>
    <row r="187" spans="1:11" ht="13.95" customHeight="1" x14ac:dyDescent="0.3">
      <c r="A187" s="3">
        <v>45843</v>
      </c>
      <c r="B187" s="3" t="s">
        <v>1636</v>
      </c>
      <c r="C187" s="3" t="s">
        <v>13</v>
      </c>
      <c r="D187" s="3" t="s">
        <v>829</v>
      </c>
      <c r="E187" s="4">
        <v>1</v>
      </c>
      <c r="F187" s="42">
        <v>2.85</v>
      </c>
      <c r="G187" s="45">
        <v>476</v>
      </c>
      <c r="H187" s="44">
        <v>1.9</v>
      </c>
      <c r="I187" s="6">
        <f t="shared" si="3"/>
        <v>2577.54</v>
      </c>
      <c r="J187" s="45" t="s">
        <v>1531</v>
      </c>
      <c r="K187" s="17"/>
    </row>
    <row r="188" spans="1:11" ht="13.95" customHeight="1" x14ac:dyDescent="0.3">
      <c r="A188" s="3">
        <v>45844</v>
      </c>
      <c r="B188" s="3" t="s">
        <v>1636</v>
      </c>
      <c r="C188" s="3" t="s">
        <v>16</v>
      </c>
      <c r="D188" s="3" t="s">
        <v>829</v>
      </c>
      <c r="E188" s="4">
        <v>1</v>
      </c>
      <c r="F188" s="42">
        <v>2.6</v>
      </c>
      <c r="G188" s="45">
        <v>476</v>
      </c>
      <c r="H188" s="44">
        <v>1.9</v>
      </c>
      <c r="I188" s="6">
        <f t="shared" si="3"/>
        <v>2351.44</v>
      </c>
      <c r="J188" s="45" t="s">
        <v>139</v>
      </c>
      <c r="K188" s="17"/>
    </row>
    <row r="189" spans="1:11" ht="13.95" customHeight="1" x14ac:dyDescent="0.3">
      <c r="A189" s="3">
        <v>45845</v>
      </c>
      <c r="B189" s="3" t="s">
        <v>1636</v>
      </c>
      <c r="C189" s="3" t="s">
        <v>18</v>
      </c>
      <c r="D189" s="3" t="s">
        <v>1347</v>
      </c>
      <c r="E189" s="4">
        <v>1</v>
      </c>
      <c r="F189" s="42">
        <v>2.25</v>
      </c>
      <c r="G189" s="45">
        <v>476</v>
      </c>
      <c r="H189" s="44">
        <v>1.9</v>
      </c>
      <c r="I189" s="6">
        <f t="shared" si="3"/>
        <v>2034.8999999999999</v>
      </c>
      <c r="J189" s="45" t="s">
        <v>446</v>
      </c>
      <c r="K189" s="17"/>
    </row>
    <row r="190" spans="1:11" ht="13.95" customHeight="1" x14ac:dyDescent="0.3">
      <c r="A190" s="3">
        <v>45846</v>
      </c>
      <c r="B190" s="3" t="s">
        <v>1636</v>
      </c>
      <c r="C190" s="3" t="s">
        <v>20</v>
      </c>
      <c r="D190" s="3" t="s">
        <v>1347</v>
      </c>
      <c r="E190" s="4">
        <v>1</v>
      </c>
      <c r="F190" s="42">
        <v>2.25</v>
      </c>
      <c r="G190" s="45">
        <v>476</v>
      </c>
      <c r="H190" s="44">
        <v>1.9</v>
      </c>
      <c r="I190" s="6">
        <f t="shared" si="3"/>
        <v>2034.8999999999999</v>
      </c>
      <c r="J190" s="45" t="s">
        <v>446</v>
      </c>
      <c r="K190" s="17"/>
    </row>
    <row r="191" spans="1:11" ht="13.95" customHeight="1" x14ac:dyDescent="0.3">
      <c r="A191" s="3">
        <v>45847</v>
      </c>
      <c r="B191" s="3" t="s">
        <v>1636</v>
      </c>
      <c r="C191" s="3" t="s">
        <v>5</v>
      </c>
      <c r="D191" s="3" t="s">
        <v>1347</v>
      </c>
      <c r="E191" s="4">
        <v>0.98</v>
      </c>
      <c r="F191" s="42">
        <v>2.2000000000000002</v>
      </c>
      <c r="G191" s="45">
        <v>476</v>
      </c>
      <c r="H191" s="44">
        <v>1.9</v>
      </c>
      <c r="I191" s="6">
        <f t="shared" si="3"/>
        <v>1949.8864000000001</v>
      </c>
      <c r="J191" s="45" t="s">
        <v>1532</v>
      </c>
      <c r="K191" s="17"/>
    </row>
    <row r="192" spans="1:11" ht="13.95" customHeight="1" x14ac:dyDescent="0.3">
      <c r="A192" s="3">
        <v>45848</v>
      </c>
      <c r="B192" s="3" t="s">
        <v>1636</v>
      </c>
      <c r="C192" s="3" t="s">
        <v>8</v>
      </c>
      <c r="D192" s="3" t="s">
        <v>1347</v>
      </c>
      <c r="E192" s="4">
        <v>1</v>
      </c>
      <c r="F192" s="42">
        <v>2.2999999999999998</v>
      </c>
      <c r="G192" s="45">
        <v>476</v>
      </c>
      <c r="H192" s="44">
        <v>1.9</v>
      </c>
      <c r="I192" s="6">
        <f t="shared" si="3"/>
        <v>2080.12</v>
      </c>
      <c r="J192" s="45" t="s">
        <v>603</v>
      </c>
      <c r="K192" s="17"/>
    </row>
    <row r="193" spans="1:11" ht="13.95" customHeight="1" x14ac:dyDescent="0.3">
      <c r="A193" s="3">
        <v>45849</v>
      </c>
      <c r="B193" s="3" t="s">
        <v>1636</v>
      </c>
      <c r="C193" s="3" t="s">
        <v>11</v>
      </c>
      <c r="D193" s="3" t="s">
        <v>829</v>
      </c>
      <c r="E193" s="4">
        <v>1</v>
      </c>
      <c r="F193" s="42">
        <v>2.6</v>
      </c>
      <c r="G193" s="45">
        <v>476</v>
      </c>
      <c r="H193" s="44">
        <v>1.9</v>
      </c>
      <c r="I193" s="6">
        <f t="shared" si="3"/>
        <v>2351.44</v>
      </c>
      <c r="J193" s="45" t="s">
        <v>97</v>
      </c>
      <c r="K193" s="17"/>
    </row>
    <row r="194" spans="1:11" ht="13.95" customHeight="1" x14ac:dyDescent="0.3">
      <c r="A194" s="3">
        <v>45850</v>
      </c>
      <c r="B194" s="3" t="s">
        <v>1636</v>
      </c>
      <c r="C194" s="3" t="s">
        <v>13</v>
      </c>
      <c r="D194" s="3" t="s">
        <v>829</v>
      </c>
      <c r="E194" s="4">
        <v>1</v>
      </c>
      <c r="F194" s="42">
        <v>2.9</v>
      </c>
      <c r="G194" s="45">
        <v>476</v>
      </c>
      <c r="H194" s="44">
        <v>1.9</v>
      </c>
      <c r="I194" s="6">
        <f t="shared" si="3"/>
        <v>2622.7599999999998</v>
      </c>
      <c r="J194" s="45" t="s">
        <v>1533</v>
      </c>
      <c r="K194" s="17"/>
    </row>
    <row r="195" spans="1:11" ht="13.95" customHeight="1" x14ac:dyDescent="0.3">
      <c r="A195" s="3">
        <v>45851</v>
      </c>
      <c r="B195" s="3" t="s">
        <v>1636</v>
      </c>
      <c r="C195" s="3" t="s">
        <v>16</v>
      </c>
      <c r="D195" s="3" t="s">
        <v>829</v>
      </c>
      <c r="E195" s="4">
        <v>1</v>
      </c>
      <c r="F195" s="42">
        <v>2.65</v>
      </c>
      <c r="G195" s="45">
        <v>476</v>
      </c>
      <c r="H195" s="44">
        <v>1.9</v>
      </c>
      <c r="I195" s="6">
        <f t="shared" ref="I195:I258" si="4">(G195*E195)*F195*H195</f>
        <v>2396.66</v>
      </c>
      <c r="J195" s="45" t="s">
        <v>1275</v>
      </c>
      <c r="K195" s="17"/>
    </row>
    <row r="196" spans="1:11" ht="13.95" customHeight="1" x14ac:dyDescent="0.3">
      <c r="A196" s="3">
        <v>45852</v>
      </c>
      <c r="B196" s="3" t="s">
        <v>1636</v>
      </c>
      <c r="C196" s="3" t="s">
        <v>18</v>
      </c>
      <c r="D196" s="3" t="s">
        <v>1608</v>
      </c>
      <c r="E196" s="4">
        <v>1</v>
      </c>
      <c r="F196" s="42">
        <v>2.4500000000000002</v>
      </c>
      <c r="G196" s="45">
        <v>476</v>
      </c>
      <c r="H196" s="44">
        <v>1.9</v>
      </c>
      <c r="I196" s="6">
        <f t="shared" si="4"/>
        <v>2215.7800000000002</v>
      </c>
      <c r="J196" s="45" t="s">
        <v>1534</v>
      </c>
      <c r="K196" s="17"/>
    </row>
    <row r="197" spans="1:11" ht="13.95" customHeight="1" x14ac:dyDescent="0.3">
      <c r="A197" s="3">
        <v>45853</v>
      </c>
      <c r="B197" s="3" t="s">
        <v>1636</v>
      </c>
      <c r="C197" s="3" t="s">
        <v>20</v>
      </c>
      <c r="D197" s="3" t="s">
        <v>1347</v>
      </c>
      <c r="E197" s="4">
        <v>1</v>
      </c>
      <c r="F197" s="42">
        <v>2.2999999999999998</v>
      </c>
      <c r="G197" s="45">
        <v>476</v>
      </c>
      <c r="H197" s="44">
        <v>1.9</v>
      </c>
      <c r="I197" s="6">
        <f t="shared" si="4"/>
        <v>2080.12</v>
      </c>
      <c r="J197" s="45" t="s">
        <v>603</v>
      </c>
      <c r="K197" s="17"/>
    </row>
    <row r="198" spans="1:11" ht="13.95" customHeight="1" x14ac:dyDescent="0.3">
      <c r="A198" s="3">
        <v>45854</v>
      </c>
      <c r="B198" s="3" t="s">
        <v>1636</v>
      </c>
      <c r="C198" s="3" t="s">
        <v>5</v>
      </c>
      <c r="D198" s="3" t="s">
        <v>1347</v>
      </c>
      <c r="E198" s="4">
        <v>1</v>
      </c>
      <c r="F198" s="42">
        <v>2.25</v>
      </c>
      <c r="G198" s="45">
        <v>476</v>
      </c>
      <c r="H198" s="44">
        <v>1.9</v>
      </c>
      <c r="I198" s="6">
        <f t="shared" si="4"/>
        <v>2034.8999999999999</v>
      </c>
      <c r="J198" s="45" t="s">
        <v>603</v>
      </c>
      <c r="K198" s="17"/>
    </row>
    <row r="199" spans="1:11" ht="13.95" customHeight="1" x14ac:dyDescent="0.3">
      <c r="A199" s="3">
        <v>45855</v>
      </c>
      <c r="B199" s="3" t="s">
        <v>1636</v>
      </c>
      <c r="C199" s="3" t="s">
        <v>8</v>
      </c>
      <c r="D199" s="3" t="s">
        <v>1347</v>
      </c>
      <c r="E199" s="4">
        <v>1</v>
      </c>
      <c r="F199" s="42">
        <v>2.2999999999999998</v>
      </c>
      <c r="G199" s="45">
        <v>476</v>
      </c>
      <c r="H199" s="44">
        <v>1.9</v>
      </c>
      <c r="I199" s="6">
        <f t="shared" si="4"/>
        <v>2080.12</v>
      </c>
      <c r="J199" s="45" t="s">
        <v>603</v>
      </c>
      <c r="K199" s="17"/>
    </row>
    <row r="200" spans="1:11" ht="13.95" customHeight="1" x14ac:dyDescent="0.3">
      <c r="A200" s="3">
        <v>45856</v>
      </c>
      <c r="B200" s="3" t="s">
        <v>1636</v>
      </c>
      <c r="C200" s="3" t="s">
        <v>11</v>
      </c>
      <c r="D200" s="3" t="s">
        <v>829</v>
      </c>
      <c r="E200" s="4">
        <v>1</v>
      </c>
      <c r="F200" s="42">
        <v>2.65</v>
      </c>
      <c r="G200" s="45">
        <v>476</v>
      </c>
      <c r="H200" s="44">
        <v>1.9</v>
      </c>
      <c r="I200" s="6">
        <f t="shared" si="4"/>
        <v>2396.66</v>
      </c>
      <c r="J200" s="45" t="s">
        <v>97</v>
      </c>
      <c r="K200" s="17"/>
    </row>
    <row r="201" spans="1:11" ht="13.95" customHeight="1" x14ac:dyDescent="0.3">
      <c r="A201" s="3">
        <v>45857</v>
      </c>
      <c r="B201" s="3" t="s">
        <v>1636</v>
      </c>
      <c r="C201" s="3" t="s">
        <v>13</v>
      </c>
      <c r="D201" s="3" t="s">
        <v>829</v>
      </c>
      <c r="E201" s="4">
        <v>1</v>
      </c>
      <c r="F201" s="42">
        <v>2.85</v>
      </c>
      <c r="G201" s="45">
        <v>476</v>
      </c>
      <c r="H201" s="44">
        <v>1.9</v>
      </c>
      <c r="I201" s="6">
        <f t="shared" si="4"/>
        <v>2577.54</v>
      </c>
      <c r="J201" s="45" t="s">
        <v>1535</v>
      </c>
      <c r="K201" s="17"/>
    </row>
    <row r="202" spans="1:11" ht="13.95" customHeight="1" x14ac:dyDescent="0.3">
      <c r="A202" s="3">
        <v>45858</v>
      </c>
      <c r="B202" s="3" t="s">
        <v>1636</v>
      </c>
      <c r="C202" s="3" t="s">
        <v>16</v>
      </c>
      <c r="D202" s="3" t="s">
        <v>829</v>
      </c>
      <c r="E202" s="4">
        <v>1</v>
      </c>
      <c r="F202" s="42">
        <v>2.65</v>
      </c>
      <c r="G202" s="45">
        <v>476</v>
      </c>
      <c r="H202" s="44">
        <v>1.9</v>
      </c>
      <c r="I202" s="6">
        <f t="shared" si="4"/>
        <v>2396.66</v>
      </c>
      <c r="J202" s="45" t="s">
        <v>139</v>
      </c>
      <c r="K202" s="17"/>
    </row>
    <row r="203" spans="1:11" ht="13.95" customHeight="1" x14ac:dyDescent="0.3">
      <c r="A203" s="3">
        <v>45859</v>
      </c>
      <c r="B203" s="3" t="s">
        <v>1636</v>
      </c>
      <c r="C203" s="3" t="s">
        <v>18</v>
      </c>
      <c r="D203" s="3" t="s">
        <v>1347</v>
      </c>
      <c r="E203" s="4">
        <v>1</v>
      </c>
      <c r="F203" s="42">
        <v>2.2999999999999998</v>
      </c>
      <c r="G203" s="45">
        <v>476</v>
      </c>
      <c r="H203" s="44">
        <v>1.9</v>
      </c>
      <c r="I203" s="6">
        <f t="shared" si="4"/>
        <v>2080.12</v>
      </c>
      <c r="J203" s="45" t="s">
        <v>461</v>
      </c>
      <c r="K203" s="17"/>
    </row>
    <row r="204" spans="1:11" ht="13.95" customHeight="1" x14ac:dyDescent="0.3">
      <c r="A204" s="3">
        <v>45860</v>
      </c>
      <c r="B204" s="3" t="s">
        <v>1636</v>
      </c>
      <c r="C204" s="3" t="s">
        <v>20</v>
      </c>
      <c r="D204" s="3" t="s">
        <v>1347</v>
      </c>
      <c r="E204" s="4">
        <v>1</v>
      </c>
      <c r="F204" s="42">
        <v>2.2999999999999998</v>
      </c>
      <c r="G204" s="45">
        <v>476</v>
      </c>
      <c r="H204" s="44">
        <v>1.9</v>
      </c>
      <c r="I204" s="6">
        <f t="shared" si="4"/>
        <v>2080.12</v>
      </c>
      <c r="J204" s="45" t="s">
        <v>461</v>
      </c>
      <c r="K204" s="17"/>
    </row>
    <row r="205" spans="1:11" ht="13.95" customHeight="1" x14ac:dyDescent="0.3">
      <c r="A205" s="3">
        <v>45861</v>
      </c>
      <c r="B205" s="3" t="s">
        <v>1636</v>
      </c>
      <c r="C205" s="3" t="s">
        <v>5</v>
      </c>
      <c r="D205" s="3" t="s">
        <v>1347</v>
      </c>
      <c r="E205" s="4">
        <v>1</v>
      </c>
      <c r="F205" s="42">
        <v>2.25</v>
      </c>
      <c r="G205" s="45">
        <v>476</v>
      </c>
      <c r="H205" s="44">
        <v>1.9</v>
      </c>
      <c r="I205" s="6">
        <f t="shared" si="4"/>
        <v>2034.8999999999999</v>
      </c>
      <c r="J205" s="45" t="s">
        <v>461</v>
      </c>
      <c r="K205" s="17"/>
    </row>
    <row r="206" spans="1:11" ht="13.95" customHeight="1" x14ac:dyDescent="0.3">
      <c r="A206" s="3">
        <v>45862</v>
      </c>
      <c r="B206" s="3" t="s">
        <v>1636</v>
      </c>
      <c r="C206" s="3" t="s">
        <v>8</v>
      </c>
      <c r="D206" s="3" t="s">
        <v>994</v>
      </c>
      <c r="E206" s="4">
        <v>1</v>
      </c>
      <c r="F206" s="42">
        <v>2.4</v>
      </c>
      <c r="G206" s="45">
        <v>476</v>
      </c>
      <c r="H206" s="44">
        <v>1.9</v>
      </c>
      <c r="I206" s="6">
        <f t="shared" si="4"/>
        <v>2170.5599999999995</v>
      </c>
      <c r="J206" s="45" t="s">
        <v>1451</v>
      </c>
      <c r="K206" s="17"/>
    </row>
    <row r="207" spans="1:11" ht="13.95" customHeight="1" x14ac:dyDescent="0.3">
      <c r="A207" s="3">
        <v>45863</v>
      </c>
      <c r="B207" s="3" t="s">
        <v>1636</v>
      </c>
      <c r="C207" s="3" t="s">
        <v>11</v>
      </c>
      <c r="D207" s="3" t="s">
        <v>1010</v>
      </c>
      <c r="E207" s="4">
        <v>1</v>
      </c>
      <c r="F207" s="42">
        <v>2.8</v>
      </c>
      <c r="G207" s="45">
        <v>476</v>
      </c>
      <c r="H207" s="44">
        <v>1.9</v>
      </c>
      <c r="I207" s="6">
        <f t="shared" si="4"/>
        <v>2532.3199999999997</v>
      </c>
      <c r="J207" s="45" t="s">
        <v>1536</v>
      </c>
      <c r="K207" s="17"/>
    </row>
    <row r="208" spans="1:11" ht="13.95" customHeight="1" x14ac:dyDescent="0.3">
      <c r="A208" s="3">
        <v>45864</v>
      </c>
      <c r="B208" s="3" t="s">
        <v>1636</v>
      </c>
      <c r="C208" s="3" t="s">
        <v>13</v>
      </c>
      <c r="D208" s="3" t="s">
        <v>829</v>
      </c>
      <c r="E208" s="4">
        <v>1</v>
      </c>
      <c r="F208" s="42">
        <v>2.95</v>
      </c>
      <c r="G208" s="45">
        <v>476</v>
      </c>
      <c r="H208" s="44">
        <v>1.9</v>
      </c>
      <c r="I208" s="6">
        <f t="shared" si="4"/>
        <v>2667.98</v>
      </c>
      <c r="J208" s="45" t="s">
        <v>1537</v>
      </c>
      <c r="K208" s="17"/>
    </row>
    <row r="209" spans="1:11" ht="13.95" customHeight="1" x14ac:dyDescent="0.3">
      <c r="A209" s="3">
        <v>45865</v>
      </c>
      <c r="B209" s="3" t="s">
        <v>1636</v>
      </c>
      <c r="C209" s="3" t="s">
        <v>16</v>
      </c>
      <c r="D209" s="3" t="s">
        <v>829</v>
      </c>
      <c r="E209" s="4">
        <v>1</v>
      </c>
      <c r="F209" s="42">
        <v>2.7</v>
      </c>
      <c r="G209" s="45">
        <v>476</v>
      </c>
      <c r="H209" s="44">
        <v>1.9</v>
      </c>
      <c r="I209" s="6">
        <f t="shared" si="4"/>
        <v>2441.88</v>
      </c>
      <c r="J209" s="45" t="s">
        <v>139</v>
      </c>
      <c r="K209" s="17"/>
    </row>
    <row r="210" spans="1:11" ht="13.95" customHeight="1" x14ac:dyDescent="0.3">
      <c r="A210" s="3">
        <v>45866</v>
      </c>
      <c r="B210" s="3" t="s">
        <v>1636</v>
      </c>
      <c r="C210" s="3" t="s">
        <v>18</v>
      </c>
      <c r="D210" s="3" t="s">
        <v>1347</v>
      </c>
      <c r="E210" s="4">
        <v>1</v>
      </c>
      <c r="F210" s="42">
        <v>2.35</v>
      </c>
      <c r="G210" s="45">
        <v>476</v>
      </c>
      <c r="H210" s="44">
        <v>1.9</v>
      </c>
      <c r="I210" s="6">
        <f t="shared" si="4"/>
        <v>2125.34</v>
      </c>
      <c r="J210" s="45" t="s">
        <v>461</v>
      </c>
      <c r="K210" s="17"/>
    </row>
    <row r="211" spans="1:11" ht="13.95" customHeight="1" x14ac:dyDescent="0.3">
      <c r="A211" s="3">
        <v>45867</v>
      </c>
      <c r="B211" s="3" t="s">
        <v>1636</v>
      </c>
      <c r="C211" s="3" t="s">
        <v>20</v>
      </c>
      <c r="D211" s="3" t="s">
        <v>1347</v>
      </c>
      <c r="E211" s="4">
        <v>1</v>
      </c>
      <c r="F211" s="42">
        <v>2.2999999999999998</v>
      </c>
      <c r="G211" s="45">
        <v>476</v>
      </c>
      <c r="H211" s="44">
        <v>1.9</v>
      </c>
      <c r="I211" s="6">
        <f t="shared" si="4"/>
        <v>2080.12</v>
      </c>
      <c r="J211" s="45" t="s">
        <v>461</v>
      </c>
      <c r="K211" s="17"/>
    </row>
    <row r="212" spans="1:11" ht="13.95" customHeight="1" x14ac:dyDescent="0.3">
      <c r="A212" s="3">
        <v>45868</v>
      </c>
      <c r="B212" s="3" t="s">
        <v>1636</v>
      </c>
      <c r="C212" s="3" t="s">
        <v>5</v>
      </c>
      <c r="D212" s="3" t="s">
        <v>1347</v>
      </c>
      <c r="E212" s="4">
        <v>1</v>
      </c>
      <c r="F212" s="42">
        <v>2.2999999999999998</v>
      </c>
      <c r="G212" s="45">
        <v>476</v>
      </c>
      <c r="H212" s="44">
        <v>1.9</v>
      </c>
      <c r="I212" s="6">
        <f t="shared" si="4"/>
        <v>2080.12</v>
      </c>
      <c r="J212" s="45" t="s">
        <v>461</v>
      </c>
      <c r="K212" s="17"/>
    </row>
    <row r="213" spans="1:11" ht="13.95" customHeight="1" x14ac:dyDescent="0.3">
      <c r="A213" s="3">
        <v>45869</v>
      </c>
      <c r="B213" s="3" t="s">
        <v>1636</v>
      </c>
      <c r="C213" s="3" t="s">
        <v>8</v>
      </c>
      <c r="D213" s="3" t="s">
        <v>1538</v>
      </c>
      <c r="E213" s="4">
        <v>1</v>
      </c>
      <c r="F213" s="42">
        <v>2.4</v>
      </c>
      <c r="G213" s="45">
        <v>476</v>
      </c>
      <c r="H213" s="44">
        <v>1.9</v>
      </c>
      <c r="I213" s="6">
        <f t="shared" si="4"/>
        <v>2170.5599999999995</v>
      </c>
      <c r="J213" s="45" t="s">
        <v>1539</v>
      </c>
      <c r="K213" s="17"/>
    </row>
    <row r="214" spans="1:11" ht="13.95" customHeight="1" x14ac:dyDescent="0.3">
      <c r="A214" s="3">
        <v>45870</v>
      </c>
      <c r="B214" s="3" t="s">
        <v>1636</v>
      </c>
      <c r="C214" s="3" t="s">
        <v>11</v>
      </c>
      <c r="D214" s="3" t="s">
        <v>1347</v>
      </c>
      <c r="E214" s="4">
        <v>1</v>
      </c>
      <c r="F214" s="42">
        <v>2.6</v>
      </c>
      <c r="G214" s="45">
        <v>476</v>
      </c>
      <c r="H214" s="44">
        <v>1.9</v>
      </c>
      <c r="I214" s="6">
        <f t="shared" si="4"/>
        <v>2351.44</v>
      </c>
      <c r="J214" s="45" t="s">
        <v>1385</v>
      </c>
      <c r="K214" s="17"/>
    </row>
    <row r="215" spans="1:11" ht="13.95" customHeight="1" x14ac:dyDescent="0.3">
      <c r="A215" s="3">
        <v>45871</v>
      </c>
      <c r="B215" s="3" t="s">
        <v>1636</v>
      </c>
      <c r="C215" s="3" t="s">
        <v>13</v>
      </c>
      <c r="D215" s="3" t="s">
        <v>829</v>
      </c>
      <c r="E215" s="4">
        <v>1</v>
      </c>
      <c r="F215" s="42">
        <v>2.95</v>
      </c>
      <c r="G215" s="45">
        <v>476</v>
      </c>
      <c r="H215" s="44">
        <v>1.9</v>
      </c>
      <c r="I215" s="6">
        <f t="shared" si="4"/>
        <v>2667.98</v>
      </c>
      <c r="J215" s="45" t="s">
        <v>1391</v>
      </c>
      <c r="K215" s="17"/>
    </row>
    <row r="216" spans="1:11" ht="13.95" customHeight="1" x14ac:dyDescent="0.3">
      <c r="A216" s="3">
        <v>45872</v>
      </c>
      <c r="B216" s="3" t="s">
        <v>1636</v>
      </c>
      <c r="C216" s="3" t="s">
        <v>16</v>
      </c>
      <c r="D216" s="3" t="s">
        <v>829</v>
      </c>
      <c r="E216" s="4">
        <v>1</v>
      </c>
      <c r="F216" s="42">
        <v>2.7</v>
      </c>
      <c r="G216" s="45">
        <v>476</v>
      </c>
      <c r="H216" s="44">
        <v>1.9</v>
      </c>
      <c r="I216" s="6">
        <f t="shared" si="4"/>
        <v>2441.88</v>
      </c>
      <c r="J216" s="45" t="s">
        <v>139</v>
      </c>
      <c r="K216" s="17"/>
    </row>
    <row r="217" spans="1:11" ht="13.95" customHeight="1" x14ac:dyDescent="0.3">
      <c r="A217" s="3">
        <v>45873</v>
      </c>
      <c r="B217" s="3" t="s">
        <v>1636</v>
      </c>
      <c r="C217" s="3" t="s">
        <v>18</v>
      </c>
      <c r="D217" s="3" t="s">
        <v>1347</v>
      </c>
      <c r="E217" s="4">
        <v>1</v>
      </c>
      <c r="F217" s="42">
        <v>2.35</v>
      </c>
      <c r="G217" s="45">
        <v>476</v>
      </c>
      <c r="H217" s="44">
        <v>1.9</v>
      </c>
      <c r="I217" s="6">
        <f t="shared" si="4"/>
        <v>2125.34</v>
      </c>
      <c r="J217" s="45" t="s">
        <v>1609</v>
      </c>
      <c r="K217" s="17"/>
    </row>
    <row r="218" spans="1:11" ht="13.95" customHeight="1" x14ac:dyDescent="0.3">
      <c r="A218" s="3">
        <v>45874</v>
      </c>
      <c r="B218" s="3" t="s">
        <v>1636</v>
      </c>
      <c r="C218" s="3" t="s">
        <v>20</v>
      </c>
      <c r="D218" s="3" t="s">
        <v>1347</v>
      </c>
      <c r="E218" s="4">
        <v>1</v>
      </c>
      <c r="F218" s="42">
        <v>2.35</v>
      </c>
      <c r="G218" s="45">
        <v>476</v>
      </c>
      <c r="H218" s="44">
        <v>1.9</v>
      </c>
      <c r="I218" s="6">
        <f t="shared" si="4"/>
        <v>2125.34</v>
      </c>
      <c r="J218" s="45" t="s">
        <v>1609</v>
      </c>
      <c r="K218" s="17"/>
    </row>
    <row r="219" spans="1:11" ht="13.95" customHeight="1" x14ac:dyDescent="0.3">
      <c r="A219" s="3">
        <v>45875</v>
      </c>
      <c r="B219" s="3" t="s">
        <v>1636</v>
      </c>
      <c r="C219" s="3" t="s">
        <v>5</v>
      </c>
      <c r="D219" s="3" t="s">
        <v>1347</v>
      </c>
      <c r="E219" s="4">
        <v>1</v>
      </c>
      <c r="F219" s="42">
        <v>2.35</v>
      </c>
      <c r="G219" s="45">
        <v>476</v>
      </c>
      <c r="H219" s="44">
        <v>1.9</v>
      </c>
      <c r="I219" s="6">
        <f t="shared" si="4"/>
        <v>2125.34</v>
      </c>
      <c r="J219" s="45" t="s">
        <v>1609</v>
      </c>
      <c r="K219" s="17"/>
    </row>
    <row r="220" spans="1:11" ht="13.95" customHeight="1" x14ac:dyDescent="0.3">
      <c r="A220" s="3">
        <v>45876</v>
      </c>
      <c r="B220" s="3" t="s">
        <v>1636</v>
      </c>
      <c r="C220" s="3" t="s">
        <v>8</v>
      </c>
      <c r="D220" s="3" t="s">
        <v>1347</v>
      </c>
      <c r="E220" s="4">
        <v>1</v>
      </c>
      <c r="F220" s="42">
        <v>2.4</v>
      </c>
      <c r="G220" s="45">
        <v>476</v>
      </c>
      <c r="H220" s="44">
        <v>1.9</v>
      </c>
      <c r="I220" s="6">
        <f t="shared" si="4"/>
        <v>2170.5599999999995</v>
      </c>
      <c r="J220" s="45" t="s">
        <v>82</v>
      </c>
      <c r="K220" s="17"/>
    </row>
    <row r="221" spans="1:11" ht="13.95" customHeight="1" x14ac:dyDescent="0.3">
      <c r="A221" s="3">
        <v>45877</v>
      </c>
      <c r="B221" s="3" t="s">
        <v>1636</v>
      </c>
      <c r="C221" s="3" t="s">
        <v>11</v>
      </c>
      <c r="D221" s="3" t="s">
        <v>829</v>
      </c>
      <c r="E221" s="4">
        <v>1</v>
      </c>
      <c r="F221" s="42">
        <v>2.65</v>
      </c>
      <c r="G221" s="45">
        <v>476</v>
      </c>
      <c r="H221" s="44">
        <v>1.9</v>
      </c>
      <c r="I221" s="6">
        <f t="shared" si="4"/>
        <v>2396.66</v>
      </c>
      <c r="J221" s="45" t="s">
        <v>97</v>
      </c>
      <c r="K221" s="17"/>
    </row>
    <row r="222" spans="1:11" ht="13.95" customHeight="1" x14ac:dyDescent="0.3">
      <c r="A222" s="3">
        <v>45878</v>
      </c>
      <c r="B222" s="3" t="s">
        <v>1636</v>
      </c>
      <c r="C222" s="3" t="s">
        <v>13</v>
      </c>
      <c r="D222" s="3" t="s">
        <v>829</v>
      </c>
      <c r="E222" s="4">
        <v>1</v>
      </c>
      <c r="F222" s="42">
        <v>3.05</v>
      </c>
      <c r="G222" s="45">
        <v>476</v>
      </c>
      <c r="H222" s="44">
        <v>1.9</v>
      </c>
      <c r="I222" s="6">
        <f t="shared" si="4"/>
        <v>2758.4199999999996</v>
      </c>
      <c r="J222" s="45" t="s">
        <v>1392</v>
      </c>
      <c r="K222" s="17"/>
    </row>
    <row r="223" spans="1:11" ht="13.95" customHeight="1" x14ac:dyDescent="0.3">
      <c r="A223" s="3">
        <v>45879</v>
      </c>
      <c r="B223" s="3" t="s">
        <v>1636</v>
      </c>
      <c r="C223" s="3" t="s">
        <v>16</v>
      </c>
      <c r="D223" s="3" t="s">
        <v>829</v>
      </c>
      <c r="E223" s="4">
        <v>1</v>
      </c>
      <c r="F223" s="42">
        <v>2.7</v>
      </c>
      <c r="G223" s="45">
        <v>476</v>
      </c>
      <c r="H223" s="44">
        <v>1.9</v>
      </c>
      <c r="I223" s="6">
        <f t="shared" si="4"/>
        <v>2441.88</v>
      </c>
      <c r="J223" s="45" t="s">
        <v>1336</v>
      </c>
      <c r="K223" s="17"/>
    </row>
    <row r="224" spans="1:11" ht="13.95" customHeight="1" x14ac:dyDescent="0.3">
      <c r="A224" s="3">
        <v>45880</v>
      </c>
      <c r="B224" s="3" t="s">
        <v>1636</v>
      </c>
      <c r="C224" s="3" t="s">
        <v>18</v>
      </c>
      <c r="D224" s="3" t="s">
        <v>1347</v>
      </c>
      <c r="E224" s="4">
        <v>1</v>
      </c>
      <c r="F224" s="42">
        <v>2.35</v>
      </c>
      <c r="G224" s="45">
        <v>476</v>
      </c>
      <c r="H224" s="44">
        <v>1.9</v>
      </c>
      <c r="I224" s="6">
        <f t="shared" si="4"/>
        <v>2125.34</v>
      </c>
      <c r="J224" s="45" t="s">
        <v>476</v>
      </c>
      <c r="K224" s="17"/>
    </row>
    <row r="225" spans="1:11" ht="13.95" customHeight="1" x14ac:dyDescent="0.3">
      <c r="A225" s="3">
        <v>45881</v>
      </c>
      <c r="B225" s="3" t="s">
        <v>1636</v>
      </c>
      <c r="C225" s="3" t="s">
        <v>20</v>
      </c>
      <c r="D225" s="3" t="s">
        <v>994</v>
      </c>
      <c r="E225" s="4">
        <v>1</v>
      </c>
      <c r="F225" s="42">
        <v>2.5499999999999998</v>
      </c>
      <c r="G225" s="45">
        <v>476</v>
      </c>
      <c r="H225" s="44">
        <v>1.9</v>
      </c>
      <c r="I225" s="6">
        <f t="shared" si="4"/>
        <v>2306.2199999999998</v>
      </c>
      <c r="J225" s="45" t="s">
        <v>1453</v>
      </c>
      <c r="K225" s="17"/>
    </row>
    <row r="226" spans="1:11" ht="13.95" customHeight="1" x14ac:dyDescent="0.3">
      <c r="A226" s="3">
        <v>45882</v>
      </c>
      <c r="B226" s="3" t="s">
        <v>1636</v>
      </c>
      <c r="C226" s="3" t="s">
        <v>5</v>
      </c>
      <c r="D226" s="3" t="s">
        <v>850</v>
      </c>
      <c r="E226" s="4">
        <v>1</v>
      </c>
      <c r="F226" s="42">
        <v>2.95</v>
      </c>
      <c r="G226" s="45">
        <v>476</v>
      </c>
      <c r="H226" s="44">
        <v>1.9</v>
      </c>
      <c r="I226" s="6">
        <f t="shared" si="4"/>
        <v>2667.98</v>
      </c>
      <c r="J226" s="45" t="s">
        <v>1540</v>
      </c>
      <c r="K226" s="17"/>
    </row>
    <row r="227" spans="1:11" ht="13.95" customHeight="1" x14ac:dyDescent="0.3">
      <c r="A227" s="3">
        <v>45883</v>
      </c>
      <c r="B227" s="3" t="s">
        <v>1636</v>
      </c>
      <c r="C227" s="3" t="s">
        <v>8</v>
      </c>
      <c r="D227" s="3" t="s">
        <v>1347</v>
      </c>
      <c r="E227" s="4">
        <v>1</v>
      </c>
      <c r="F227" s="42">
        <v>2.4</v>
      </c>
      <c r="G227" s="45">
        <v>476</v>
      </c>
      <c r="H227" s="44">
        <v>1.9</v>
      </c>
      <c r="I227" s="6">
        <f t="shared" si="4"/>
        <v>2170.5599999999995</v>
      </c>
      <c r="J227" s="45" t="s">
        <v>476</v>
      </c>
      <c r="K227" s="17"/>
    </row>
    <row r="228" spans="1:11" ht="13.95" customHeight="1" x14ac:dyDescent="0.3">
      <c r="A228" s="3">
        <v>45884</v>
      </c>
      <c r="B228" s="3" t="s">
        <v>1636</v>
      </c>
      <c r="C228" s="3" t="s">
        <v>11</v>
      </c>
      <c r="D228" s="3" t="s">
        <v>829</v>
      </c>
      <c r="E228" s="4">
        <v>1</v>
      </c>
      <c r="F228" s="42">
        <v>2.65</v>
      </c>
      <c r="G228" s="45">
        <v>476</v>
      </c>
      <c r="H228" s="44">
        <v>1.9</v>
      </c>
      <c r="I228" s="6">
        <f t="shared" si="4"/>
        <v>2396.66</v>
      </c>
      <c r="J228" s="45" t="s">
        <v>97</v>
      </c>
      <c r="K228" s="17"/>
    </row>
    <row r="229" spans="1:11" ht="13.95" customHeight="1" x14ac:dyDescent="0.3">
      <c r="A229" s="3">
        <v>45885</v>
      </c>
      <c r="B229" s="3" t="s">
        <v>1636</v>
      </c>
      <c r="C229" s="3" t="s">
        <v>13</v>
      </c>
      <c r="D229" s="3" t="s">
        <v>829</v>
      </c>
      <c r="E229" s="4">
        <v>1</v>
      </c>
      <c r="F229" s="42">
        <v>3</v>
      </c>
      <c r="G229" s="45">
        <v>476</v>
      </c>
      <c r="H229" s="44">
        <v>1.9</v>
      </c>
      <c r="I229" s="6">
        <f t="shared" si="4"/>
        <v>2713.2</v>
      </c>
      <c r="J229" s="45" t="s">
        <v>1541</v>
      </c>
      <c r="K229" s="17"/>
    </row>
    <row r="230" spans="1:11" ht="13.95" customHeight="1" x14ac:dyDescent="0.3">
      <c r="A230" s="3">
        <v>45886</v>
      </c>
      <c r="B230" s="3" t="s">
        <v>1636</v>
      </c>
      <c r="C230" s="3" t="s">
        <v>16</v>
      </c>
      <c r="D230" s="3" t="s">
        <v>829</v>
      </c>
      <c r="E230" s="4">
        <v>1</v>
      </c>
      <c r="F230" s="42">
        <v>2.7</v>
      </c>
      <c r="G230" s="45">
        <v>476</v>
      </c>
      <c r="H230" s="44">
        <v>1.9</v>
      </c>
      <c r="I230" s="6">
        <f t="shared" si="4"/>
        <v>2441.88</v>
      </c>
      <c r="J230" s="45" t="s">
        <v>149</v>
      </c>
      <c r="K230" s="17"/>
    </row>
    <row r="231" spans="1:11" ht="13.95" customHeight="1" x14ac:dyDescent="0.3">
      <c r="A231" s="3">
        <v>45887</v>
      </c>
      <c r="B231" s="3" t="s">
        <v>1636</v>
      </c>
      <c r="C231" s="3" t="s">
        <v>18</v>
      </c>
      <c r="D231" s="3" t="s">
        <v>1347</v>
      </c>
      <c r="E231" s="4">
        <v>1</v>
      </c>
      <c r="F231" s="42">
        <v>2.35</v>
      </c>
      <c r="G231" s="45">
        <v>476</v>
      </c>
      <c r="H231" s="44">
        <v>1.9</v>
      </c>
      <c r="I231" s="6">
        <f t="shared" si="4"/>
        <v>2125.34</v>
      </c>
      <c r="J231" s="45" t="s">
        <v>476</v>
      </c>
      <c r="K231" s="17"/>
    </row>
    <row r="232" spans="1:11" ht="13.95" customHeight="1" x14ac:dyDescent="0.3">
      <c r="A232" s="3">
        <v>45888</v>
      </c>
      <c r="B232" s="3" t="s">
        <v>1636</v>
      </c>
      <c r="C232" s="3" t="s">
        <v>20</v>
      </c>
      <c r="D232" s="3" t="s">
        <v>1347</v>
      </c>
      <c r="E232" s="4">
        <v>1</v>
      </c>
      <c r="F232" s="42">
        <v>2.35</v>
      </c>
      <c r="G232" s="45">
        <v>476</v>
      </c>
      <c r="H232" s="44">
        <v>1.9</v>
      </c>
      <c r="I232" s="6">
        <f t="shared" si="4"/>
        <v>2125.34</v>
      </c>
      <c r="J232" s="45" t="s">
        <v>476</v>
      </c>
      <c r="K232" s="17"/>
    </row>
    <row r="233" spans="1:11" ht="13.95" customHeight="1" x14ac:dyDescent="0.3">
      <c r="A233" s="3">
        <v>45889</v>
      </c>
      <c r="B233" s="3" t="s">
        <v>1636</v>
      </c>
      <c r="C233" s="3" t="s">
        <v>5</v>
      </c>
      <c r="D233" s="3" t="s">
        <v>1347</v>
      </c>
      <c r="E233" s="4">
        <v>1</v>
      </c>
      <c r="F233" s="42">
        <v>2.35</v>
      </c>
      <c r="G233" s="45">
        <v>476</v>
      </c>
      <c r="H233" s="44">
        <v>1.9</v>
      </c>
      <c r="I233" s="6">
        <f t="shared" si="4"/>
        <v>2125.34</v>
      </c>
      <c r="J233" s="45" t="s">
        <v>476</v>
      </c>
      <c r="K233" s="17"/>
    </row>
    <row r="234" spans="1:11" ht="13.95" customHeight="1" x14ac:dyDescent="0.3">
      <c r="A234" s="3">
        <v>45890</v>
      </c>
      <c r="B234" s="3" t="s">
        <v>1636</v>
      </c>
      <c r="C234" s="3" t="s">
        <v>8</v>
      </c>
      <c r="D234" s="3" t="s">
        <v>1347</v>
      </c>
      <c r="E234" s="4">
        <v>1</v>
      </c>
      <c r="F234" s="42">
        <v>2.4</v>
      </c>
      <c r="G234" s="45">
        <v>476</v>
      </c>
      <c r="H234" s="44">
        <v>1.9</v>
      </c>
      <c r="I234" s="6">
        <f t="shared" si="4"/>
        <v>2170.5599999999995</v>
      </c>
      <c r="J234" s="45" t="s">
        <v>476</v>
      </c>
      <c r="K234" s="17"/>
    </row>
    <row r="235" spans="1:11" ht="13.95" customHeight="1" x14ac:dyDescent="0.3">
      <c r="A235" s="3">
        <v>45891</v>
      </c>
      <c r="B235" s="3" t="s">
        <v>1636</v>
      </c>
      <c r="C235" s="3" t="s">
        <v>11</v>
      </c>
      <c r="D235" s="3" t="s">
        <v>829</v>
      </c>
      <c r="E235" s="4">
        <v>1</v>
      </c>
      <c r="F235" s="42">
        <v>2.65</v>
      </c>
      <c r="G235" s="45">
        <v>476</v>
      </c>
      <c r="H235" s="44">
        <v>1.9</v>
      </c>
      <c r="I235" s="6">
        <f t="shared" si="4"/>
        <v>2396.66</v>
      </c>
      <c r="J235" s="45" t="s">
        <v>97</v>
      </c>
      <c r="K235" s="17"/>
    </row>
    <row r="236" spans="1:11" ht="13.95" customHeight="1" x14ac:dyDescent="0.3">
      <c r="A236" s="3">
        <v>45892</v>
      </c>
      <c r="B236" s="3" t="s">
        <v>1636</v>
      </c>
      <c r="C236" s="3" t="s">
        <v>13</v>
      </c>
      <c r="D236" s="3" t="s">
        <v>829</v>
      </c>
      <c r="E236" s="4">
        <v>1</v>
      </c>
      <c r="F236" s="42">
        <v>3</v>
      </c>
      <c r="G236" s="45">
        <v>476</v>
      </c>
      <c r="H236" s="44">
        <v>1.9</v>
      </c>
      <c r="I236" s="6">
        <f t="shared" si="4"/>
        <v>2713.2</v>
      </c>
      <c r="J236" s="45" t="s">
        <v>1542</v>
      </c>
      <c r="K236" s="17"/>
    </row>
    <row r="237" spans="1:11" ht="13.95" customHeight="1" x14ac:dyDescent="0.3">
      <c r="A237" s="3">
        <v>45893</v>
      </c>
      <c r="B237" s="3" t="s">
        <v>1636</v>
      </c>
      <c r="C237" s="3" t="s">
        <v>16</v>
      </c>
      <c r="D237" s="3" t="s">
        <v>829</v>
      </c>
      <c r="E237" s="4">
        <v>1</v>
      </c>
      <c r="F237" s="42">
        <v>2.75</v>
      </c>
      <c r="G237" s="45">
        <v>476</v>
      </c>
      <c r="H237" s="44">
        <v>1.9</v>
      </c>
      <c r="I237" s="6">
        <f t="shared" si="4"/>
        <v>2487.1</v>
      </c>
      <c r="J237" s="45" t="s">
        <v>149</v>
      </c>
      <c r="K237" s="17"/>
    </row>
    <row r="238" spans="1:11" ht="13.95" customHeight="1" x14ac:dyDescent="0.3">
      <c r="A238" s="3">
        <v>45894</v>
      </c>
      <c r="B238" s="3" t="s">
        <v>1636</v>
      </c>
      <c r="C238" s="3" t="s">
        <v>18</v>
      </c>
      <c r="D238" s="3" t="s">
        <v>1347</v>
      </c>
      <c r="E238" s="4">
        <v>1</v>
      </c>
      <c r="F238" s="42">
        <v>2.4</v>
      </c>
      <c r="G238" s="45">
        <v>476</v>
      </c>
      <c r="H238" s="44">
        <v>1.9</v>
      </c>
      <c r="I238" s="6">
        <f t="shared" si="4"/>
        <v>2170.5599999999995</v>
      </c>
      <c r="J238" s="45" t="s">
        <v>70</v>
      </c>
      <c r="K238" s="17"/>
    </row>
    <row r="239" spans="1:11" ht="13.95" customHeight="1" x14ac:dyDescent="0.3">
      <c r="A239" s="3">
        <v>45895</v>
      </c>
      <c r="B239" s="3" t="s">
        <v>1636</v>
      </c>
      <c r="C239" s="3" t="s">
        <v>20</v>
      </c>
      <c r="D239" s="3" t="s">
        <v>1347</v>
      </c>
      <c r="E239" s="4">
        <v>1</v>
      </c>
      <c r="F239" s="42">
        <v>2.35</v>
      </c>
      <c r="G239" s="45">
        <v>476</v>
      </c>
      <c r="H239" s="44">
        <v>1.9</v>
      </c>
      <c r="I239" s="6">
        <f t="shared" si="4"/>
        <v>2125.34</v>
      </c>
      <c r="J239" s="45" t="s">
        <v>476</v>
      </c>
      <c r="K239" s="17"/>
    </row>
    <row r="240" spans="1:11" ht="13.95" customHeight="1" x14ac:dyDescent="0.3">
      <c r="A240" s="3">
        <v>45896</v>
      </c>
      <c r="B240" s="3" t="s">
        <v>1636</v>
      </c>
      <c r="C240" s="3" t="s">
        <v>5</v>
      </c>
      <c r="D240" s="3" t="s">
        <v>1347</v>
      </c>
      <c r="E240" s="4">
        <v>0.98</v>
      </c>
      <c r="F240" s="42">
        <v>2.2999999999999998</v>
      </c>
      <c r="G240" s="45">
        <v>476</v>
      </c>
      <c r="H240" s="44">
        <v>1.9</v>
      </c>
      <c r="I240" s="6">
        <f t="shared" si="4"/>
        <v>2038.5175999999999</v>
      </c>
      <c r="J240" s="45" t="s">
        <v>1543</v>
      </c>
      <c r="K240" s="17"/>
    </row>
    <row r="241" spans="1:11" ht="13.95" customHeight="1" x14ac:dyDescent="0.3">
      <c r="A241" s="3">
        <v>45897</v>
      </c>
      <c r="B241" s="3" t="s">
        <v>1636</v>
      </c>
      <c r="C241" s="3" t="s">
        <v>8</v>
      </c>
      <c r="D241" s="3" t="s">
        <v>1347</v>
      </c>
      <c r="E241" s="4">
        <v>1</v>
      </c>
      <c r="F241" s="42">
        <v>2.35</v>
      </c>
      <c r="G241" s="45">
        <v>476</v>
      </c>
      <c r="H241" s="44">
        <v>1.9</v>
      </c>
      <c r="I241" s="6">
        <f t="shared" si="4"/>
        <v>2125.34</v>
      </c>
      <c r="J241" s="45" t="s">
        <v>70</v>
      </c>
      <c r="K241" s="17"/>
    </row>
    <row r="242" spans="1:11" ht="13.95" customHeight="1" x14ac:dyDescent="0.3">
      <c r="A242" s="3">
        <v>45898</v>
      </c>
      <c r="B242" s="3" t="s">
        <v>1636</v>
      </c>
      <c r="C242" s="3" t="s">
        <v>11</v>
      </c>
      <c r="D242" s="3" t="s">
        <v>14</v>
      </c>
      <c r="E242" s="4">
        <v>1</v>
      </c>
      <c r="F242" s="42">
        <v>2.65</v>
      </c>
      <c r="G242" s="45">
        <v>476</v>
      </c>
      <c r="H242" s="44">
        <v>1.9</v>
      </c>
      <c r="I242" s="6">
        <f t="shared" si="4"/>
        <v>2396.66</v>
      </c>
      <c r="J242" s="45" t="s">
        <v>1389</v>
      </c>
      <c r="K242" s="17"/>
    </row>
    <row r="243" spans="1:11" ht="13.95" customHeight="1" x14ac:dyDescent="0.3">
      <c r="A243" s="3">
        <v>45899</v>
      </c>
      <c r="B243" s="3" t="s">
        <v>1636</v>
      </c>
      <c r="C243" s="3" t="s">
        <v>13</v>
      </c>
      <c r="D243" s="3" t="s">
        <v>14</v>
      </c>
      <c r="E243" s="4">
        <v>1</v>
      </c>
      <c r="F243" s="42">
        <v>3.1</v>
      </c>
      <c r="G243" s="45">
        <v>476</v>
      </c>
      <c r="H243" s="44">
        <v>1.9</v>
      </c>
      <c r="I243" s="6">
        <f t="shared" si="4"/>
        <v>2803.6400000000003</v>
      </c>
      <c r="J243" s="45" t="s">
        <v>1544</v>
      </c>
      <c r="K243" s="17"/>
    </row>
    <row r="244" spans="1:11" ht="13.95" customHeight="1" x14ac:dyDescent="0.3">
      <c r="A244" s="3">
        <v>45900</v>
      </c>
      <c r="B244" s="3" t="s">
        <v>1636</v>
      </c>
      <c r="C244" s="3" t="s">
        <v>16</v>
      </c>
      <c r="D244" s="3" t="s">
        <v>14</v>
      </c>
      <c r="E244" s="4">
        <v>1</v>
      </c>
      <c r="F244" s="42">
        <v>2.75</v>
      </c>
      <c r="G244" s="45">
        <v>476</v>
      </c>
      <c r="H244" s="44">
        <v>1.9</v>
      </c>
      <c r="I244" s="6">
        <f t="shared" si="4"/>
        <v>2487.1</v>
      </c>
      <c r="J244" s="45" t="s">
        <v>1390</v>
      </c>
      <c r="K244" s="17"/>
    </row>
    <row r="245" spans="1:11" ht="13.95" customHeight="1" x14ac:dyDescent="0.3">
      <c r="A245" s="3">
        <v>45901</v>
      </c>
      <c r="B245" s="3" t="s">
        <v>1636</v>
      </c>
      <c r="C245" s="3" t="s">
        <v>18</v>
      </c>
      <c r="D245" s="3" t="s">
        <v>1545</v>
      </c>
      <c r="E245" s="4">
        <v>0.85</v>
      </c>
      <c r="F245" s="42">
        <v>2.25</v>
      </c>
      <c r="G245" s="45">
        <v>476</v>
      </c>
      <c r="H245" s="44">
        <v>1.9</v>
      </c>
      <c r="I245" s="6">
        <f t="shared" si="4"/>
        <v>1729.6649999999997</v>
      </c>
      <c r="J245" s="45" t="s">
        <v>1610</v>
      </c>
      <c r="K245" s="17"/>
    </row>
    <row r="246" spans="1:11" ht="13.95" customHeight="1" x14ac:dyDescent="0.3">
      <c r="A246" s="3">
        <v>45902</v>
      </c>
      <c r="B246" s="3" t="s">
        <v>1636</v>
      </c>
      <c r="C246" s="3" t="s">
        <v>20</v>
      </c>
      <c r="D246" s="3" t="s">
        <v>1340</v>
      </c>
      <c r="E246" s="4">
        <v>0.8</v>
      </c>
      <c r="F246" s="42">
        <v>2.15</v>
      </c>
      <c r="G246" s="45">
        <v>476</v>
      </c>
      <c r="H246" s="44">
        <v>1.9</v>
      </c>
      <c r="I246" s="6">
        <f t="shared" si="4"/>
        <v>1555.568</v>
      </c>
      <c r="J246" s="45" t="s">
        <v>1611</v>
      </c>
      <c r="K246" s="17"/>
    </row>
    <row r="247" spans="1:11" ht="13.95" customHeight="1" x14ac:dyDescent="0.3">
      <c r="A247" s="3">
        <v>45903</v>
      </c>
      <c r="B247" s="3" t="s">
        <v>1636</v>
      </c>
      <c r="C247" s="3" t="s">
        <v>5</v>
      </c>
      <c r="D247" s="3" t="s">
        <v>1340</v>
      </c>
      <c r="E247" s="4">
        <v>0.78</v>
      </c>
      <c r="F247" s="42">
        <v>2.1</v>
      </c>
      <c r="G247" s="45">
        <v>476</v>
      </c>
      <c r="H247" s="44">
        <v>1.9</v>
      </c>
      <c r="I247" s="6">
        <f t="shared" si="4"/>
        <v>1481.4072000000001</v>
      </c>
      <c r="J247" s="45" t="s">
        <v>1612</v>
      </c>
      <c r="K247" s="17"/>
    </row>
    <row r="248" spans="1:11" ht="13.95" customHeight="1" x14ac:dyDescent="0.3">
      <c r="A248" s="3">
        <v>45904</v>
      </c>
      <c r="B248" s="3" t="s">
        <v>1636</v>
      </c>
      <c r="C248" s="3" t="s">
        <v>8</v>
      </c>
      <c r="D248" s="3" t="s">
        <v>1340</v>
      </c>
      <c r="E248" s="4">
        <v>0.8</v>
      </c>
      <c r="F248" s="42">
        <v>2.1</v>
      </c>
      <c r="G248" s="45">
        <v>476</v>
      </c>
      <c r="H248" s="44">
        <v>1.9</v>
      </c>
      <c r="I248" s="6">
        <f t="shared" si="4"/>
        <v>1519.3920000000001</v>
      </c>
      <c r="J248" s="45" t="s">
        <v>603</v>
      </c>
      <c r="K248" s="17"/>
    </row>
    <row r="249" spans="1:11" ht="13.95" customHeight="1" x14ac:dyDescent="0.3">
      <c r="A249" s="3">
        <v>45905</v>
      </c>
      <c r="B249" s="3" t="s">
        <v>1636</v>
      </c>
      <c r="C249" s="3" t="s">
        <v>11</v>
      </c>
      <c r="D249" s="3" t="s">
        <v>14</v>
      </c>
      <c r="E249" s="4">
        <v>0.85</v>
      </c>
      <c r="F249" s="42">
        <v>2.25</v>
      </c>
      <c r="G249" s="45">
        <v>476</v>
      </c>
      <c r="H249" s="44">
        <v>1.9</v>
      </c>
      <c r="I249" s="6">
        <f t="shared" si="4"/>
        <v>1729.6649999999997</v>
      </c>
      <c r="J249" s="45" t="s">
        <v>97</v>
      </c>
      <c r="K249" s="17"/>
    </row>
    <row r="250" spans="1:11" ht="13.95" customHeight="1" x14ac:dyDescent="0.3">
      <c r="A250" s="3">
        <v>45906</v>
      </c>
      <c r="B250" s="3" t="s">
        <v>1636</v>
      </c>
      <c r="C250" s="3" t="s">
        <v>13</v>
      </c>
      <c r="D250" s="3" t="s">
        <v>14</v>
      </c>
      <c r="E250" s="4">
        <v>0.9</v>
      </c>
      <c r="F250" s="42">
        <v>2.65</v>
      </c>
      <c r="G250" s="45">
        <v>476</v>
      </c>
      <c r="H250" s="44">
        <v>1.9</v>
      </c>
      <c r="I250" s="6">
        <f t="shared" si="4"/>
        <v>2156.9939999999997</v>
      </c>
      <c r="J250" s="45" t="s">
        <v>1613</v>
      </c>
      <c r="K250" s="17"/>
    </row>
    <row r="251" spans="1:11" ht="13.95" customHeight="1" x14ac:dyDescent="0.3">
      <c r="A251" s="3">
        <v>45907</v>
      </c>
      <c r="B251" s="3" t="s">
        <v>1636</v>
      </c>
      <c r="C251" s="3" t="s">
        <v>16</v>
      </c>
      <c r="D251" s="3" t="s">
        <v>14</v>
      </c>
      <c r="E251" s="4">
        <v>0.85</v>
      </c>
      <c r="F251" s="42">
        <v>2.35</v>
      </c>
      <c r="G251" s="45">
        <v>476</v>
      </c>
      <c r="H251" s="44">
        <v>1.9</v>
      </c>
      <c r="I251" s="6">
        <f t="shared" si="4"/>
        <v>1806.5389999999998</v>
      </c>
      <c r="J251" s="45" t="s">
        <v>139</v>
      </c>
      <c r="K251" s="17"/>
    </row>
    <row r="252" spans="1:11" ht="13.95" customHeight="1" x14ac:dyDescent="0.3">
      <c r="A252" s="3">
        <v>45908</v>
      </c>
      <c r="B252" s="3" t="s">
        <v>1636</v>
      </c>
      <c r="C252" s="3" t="s">
        <v>18</v>
      </c>
      <c r="D252" s="3" t="s">
        <v>1340</v>
      </c>
      <c r="E252" s="4">
        <v>0.75</v>
      </c>
      <c r="F252" s="42">
        <v>2.1</v>
      </c>
      <c r="G252" s="45">
        <v>476</v>
      </c>
      <c r="H252" s="44">
        <v>1.9</v>
      </c>
      <c r="I252" s="6">
        <f t="shared" si="4"/>
        <v>1424.43</v>
      </c>
      <c r="J252" s="45" t="s">
        <v>150</v>
      </c>
      <c r="K252" s="17"/>
    </row>
    <row r="253" spans="1:11" ht="13.95" customHeight="1" x14ac:dyDescent="0.3">
      <c r="A253" s="3">
        <v>45909</v>
      </c>
      <c r="B253" s="3" t="s">
        <v>1636</v>
      </c>
      <c r="C253" s="3" t="s">
        <v>20</v>
      </c>
      <c r="D253" s="3" t="s">
        <v>1340</v>
      </c>
      <c r="E253" s="4">
        <v>0.72</v>
      </c>
      <c r="F253" s="42">
        <v>2.0499999999999998</v>
      </c>
      <c r="G253" s="45">
        <v>476</v>
      </c>
      <c r="H253" s="44">
        <v>1.9</v>
      </c>
      <c r="I253" s="6">
        <f t="shared" si="4"/>
        <v>1334.8943999999997</v>
      </c>
      <c r="J253" s="45" t="s">
        <v>150</v>
      </c>
      <c r="K253" s="17"/>
    </row>
    <row r="254" spans="1:11" ht="13.95" customHeight="1" x14ac:dyDescent="0.3">
      <c r="A254" s="3">
        <v>45910</v>
      </c>
      <c r="B254" s="3" t="s">
        <v>1636</v>
      </c>
      <c r="C254" s="3" t="s">
        <v>5</v>
      </c>
      <c r="D254" s="3" t="s">
        <v>1340</v>
      </c>
      <c r="E254" s="4">
        <v>0.72</v>
      </c>
      <c r="F254" s="42">
        <v>2.0499999999999998</v>
      </c>
      <c r="G254" s="45">
        <v>476</v>
      </c>
      <c r="H254" s="44">
        <v>1.9</v>
      </c>
      <c r="I254" s="6">
        <f t="shared" si="4"/>
        <v>1334.8943999999997</v>
      </c>
      <c r="J254" s="45" t="s">
        <v>71</v>
      </c>
      <c r="K254" s="17"/>
    </row>
    <row r="255" spans="1:11" ht="13.95" customHeight="1" x14ac:dyDescent="0.3">
      <c r="A255" s="3">
        <v>45911</v>
      </c>
      <c r="B255" s="3" t="s">
        <v>1636</v>
      </c>
      <c r="C255" s="3" t="s">
        <v>8</v>
      </c>
      <c r="D255" s="3" t="s">
        <v>1340</v>
      </c>
      <c r="E255" s="4">
        <v>0.75</v>
      </c>
      <c r="F255" s="42">
        <v>2.1</v>
      </c>
      <c r="G255" s="45">
        <v>476</v>
      </c>
      <c r="H255" s="44">
        <v>1.9</v>
      </c>
      <c r="I255" s="6">
        <f t="shared" si="4"/>
        <v>1424.43</v>
      </c>
      <c r="J255" s="45" t="s">
        <v>1410</v>
      </c>
      <c r="K255" s="17"/>
    </row>
    <row r="256" spans="1:11" ht="13.95" customHeight="1" x14ac:dyDescent="0.3">
      <c r="A256" s="3">
        <v>45912</v>
      </c>
      <c r="B256" s="3" t="s">
        <v>1636</v>
      </c>
      <c r="C256" s="3" t="s">
        <v>11</v>
      </c>
      <c r="D256" s="3" t="s">
        <v>14</v>
      </c>
      <c r="E256" s="4">
        <v>0.8</v>
      </c>
      <c r="F256" s="42">
        <v>2.25</v>
      </c>
      <c r="G256" s="45">
        <v>476</v>
      </c>
      <c r="H256" s="44">
        <v>1.9</v>
      </c>
      <c r="I256" s="6">
        <f t="shared" si="4"/>
        <v>1627.92</v>
      </c>
      <c r="J256" s="45" t="s">
        <v>97</v>
      </c>
      <c r="K256" s="17"/>
    </row>
    <row r="257" spans="1:11" ht="13.95" customHeight="1" x14ac:dyDescent="0.3">
      <c r="A257" s="3">
        <v>45913</v>
      </c>
      <c r="B257" s="3" t="s">
        <v>1636</v>
      </c>
      <c r="C257" s="3" t="s">
        <v>13</v>
      </c>
      <c r="D257" s="3" t="s">
        <v>14</v>
      </c>
      <c r="E257" s="4">
        <v>0.88</v>
      </c>
      <c r="F257" s="42">
        <v>2.6</v>
      </c>
      <c r="G257" s="45">
        <v>476</v>
      </c>
      <c r="H257" s="44">
        <v>1.9</v>
      </c>
      <c r="I257" s="6">
        <f t="shared" si="4"/>
        <v>2069.2671999999998</v>
      </c>
      <c r="J257" s="45" t="s">
        <v>1535</v>
      </c>
      <c r="K257" s="17"/>
    </row>
    <row r="258" spans="1:11" ht="13.95" customHeight="1" x14ac:dyDescent="0.3">
      <c r="A258" s="3">
        <v>45914</v>
      </c>
      <c r="B258" s="3" t="s">
        <v>1636</v>
      </c>
      <c r="C258" s="3" t="s">
        <v>16</v>
      </c>
      <c r="D258" s="3" t="s">
        <v>14</v>
      </c>
      <c r="E258" s="4">
        <v>0.85</v>
      </c>
      <c r="F258" s="42">
        <v>2.35</v>
      </c>
      <c r="G258" s="45">
        <v>476</v>
      </c>
      <c r="H258" s="44">
        <v>1.9</v>
      </c>
      <c r="I258" s="6">
        <f t="shared" si="4"/>
        <v>1806.5389999999998</v>
      </c>
      <c r="J258" s="45" t="s">
        <v>149</v>
      </c>
      <c r="K258" s="17"/>
    </row>
    <row r="259" spans="1:11" ht="13.95" customHeight="1" x14ac:dyDescent="0.3">
      <c r="A259" s="3">
        <v>45915</v>
      </c>
      <c r="B259" s="3" t="s">
        <v>1636</v>
      </c>
      <c r="C259" s="3" t="s">
        <v>18</v>
      </c>
      <c r="D259" s="3" t="s">
        <v>1340</v>
      </c>
      <c r="E259" s="4">
        <v>0.7</v>
      </c>
      <c r="F259" s="42">
        <v>2.0499999999999998</v>
      </c>
      <c r="G259" s="45">
        <v>476</v>
      </c>
      <c r="H259" s="44">
        <v>1.9</v>
      </c>
      <c r="I259" s="6">
        <f t="shared" ref="I259:I322" si="5">(G259*E259)*F259*H259</f>
        <v>1297.8139999999999</v>
      </c>
      <c r="J259" s="45" t="s">
        <v>70</v>
      </c>
      <c r="K259" s="17"/>
    </row>
    <row r="260" spans="1:11" ht="13.95" customHeight="1" x14ac:dyDescent="0.3">
      <c r="A260" s="3">
        <v>45916</v>
      </c>
      <c r="B260" s="3" t="s">
        <v>1636</v>
      </c>
      <c r="C260" s="3" t="s">
        <v>20</v>
      </c>
      <c r="D260" s="3" t="s">
        <v>1340</v>
      </c>
      <c r="E260" s="4">
        <v>0.68</v>
      </c>
      <c r="F260" s="42">
        <v>2</v>
      </c>
      <c r="G260" s="45">
        <v>476</v>
      </c>
      <c r="H260" s="44">
        <v>1.9</v>
      </c>
      <c r="I260" s="6">
        <f t="shared" si="5"/>
        <v>1229.9839999999999</v>
      </c>
      <c r="J260" s="45" t="s">
        <v>150</v>
      </c>
      <c r="K260" s="17"/>
    </row>
    <row r="261" spans="1:11" ht="13.95" customHeight="1" x14ac:dyDescent="0.3">
      <c r="A261" s="3">
        <v>45917</v>
      </c>
      <c r="B261" s="3" t="s">
        <v>1636</v>
      </c>
      <c r="C261" s="3" t="s">
        <v>5</v>
      </c>
      <c r="D261" s="3" t="s">
        <v>1340</v>
      </c>
      <c r="E261" s="4">
        <v>0.7</v>
      </c>
      <c r="F261" s="42">
        <v>2</v>
      </c>
      <c r="G261" s="45">
        <v>476</v>
      </c>
      <c r="H261" s="44">
        <v>1.9</v>
      </c>
      <c r="I261" s="6">
        <f t="shared" si="5"/>
        <v>1266.1599999999999</v>
      </c>
      <c r="J261" s="45" t="s">
        <v>150</v>
      </c>
      <c r="K261" s="17"/>
    </row>
    <row r="262" spans="1:11" ht="13.95" customHeight="1" x14ac:dyDescent="0.3">
      <c r="A262" s="3">
        <v>45918</v>
      </c>
      <c r="B262" s="3" t="s">
        <v>1636</v>
      </c>
      <c r="C262" s="3" t="s">
        <v>8</v>
      </c>
      <c r="D262" s="3" t="s">
        <v>1340</v>
      </c>
      <c r="E262" s="4">
        <v>0.72</v>
      </c>
      <c r="F262" s="42">
        <v>2.1</v>
      </c>
      <c r="G262" s="45">
        <v>476</v>
      </c>
      <c r="H262" s="44">
        <v>1.9</v>
      </c>
      <c r="I262" s="6">
        <f t="shared" si="5"/>
        <v>1367.4528</v>
      </c>
      <c r="J262" s="45" t="s">
        <v>1522</v>
      </c>
      <c r="K262" s="17"/>
    </row>
    <row r="263" spans="1:11" ht="13.95" customHeight="1" x14ac:dyDescent="0.3">
      <c r="A263" s="3">
        <v>45919</v>
      </c>
      <c r="B263" s="3" t="s">
        <v>1636</v>
      </c>
      <c r="C263" s="3" t="s">
        <v>11</v>
      </c>
      <c r="D263" s="3" t="s">
        <v>14</v>
      </c>
      <c r="E263" s="4">
        <v>0.78</v>
      </c>
      <c r="F263" s="42">
        <v>2.2000000000000002</v>
      </c>
      <c r="G263" s="45">
        <v>476</v>
      </c>
      <c r="H263" s="44">
        <v>1.9</v>
      </c>
      <c r="I263" s="6">
        <f t="shared" si="5"/>
        <v>1551.9504000000002</v>
      </c>
      <c r="J263" s="45" t="s">
        <v>97</v>
      </c>
      <c r="K263" s="17"/>
    </row>
    <row r="264" spans="1:11" ht="13.95" customHeight="1" x14ac:dyDescent="0.3">
      <c r="A264" s="3">
        <v>45920</v>
      </c>
      <c r="B264" s="3" t="s">
        <v>1636</v>
      </c>
      <c r="C264" s="3" t="s">
        <v>13</v>
      </c>
      <c r="D264" s="3" t="s">
        <v>14</v>
      </c>
      <c r="E264" s="4">
        <v>0.85</v>
      </c>
      <c r="F264" s="42">
        <v>2.5499999999999998</v>
      </c>
      <c r="G264" s="45">
        <v>476</v>
      </c>
      <c r="H264" s="44">
        <v>1.9</v>
      </c>
      <c r="I264" s="6">
        <f t="shared" si="5"/>
        <v>1960.2869999999996</v>
      </c>
      <c r="J264" s="45" t="s">
        <v>1614</v>
      </c>
      <c r="K264" s="17"/>
    </row>
    <row r="265" spans="1:11" ht="13.95" customHeight="1" x14ac:dyDescent="0.3">
      <c r="A265" s="3">
        <v>45921</v>
      </c>
      <c r="B265" s="3" t="s">
        <v>1636</v>
      </c>
      <c r="C265" s="3" t="s">
        <v>16</v>
      </c>
      <c r="D265" s="3" t="s">
        <v>14</v>
      </c>
      <c r="E265" s="4">
        <v>0.82</v>
      </c>
      <c r="F265" s="42">
        <v>2.2999999999999998</v>
      </c>
      <c r="G265" s="45">
        <v>476</v>
      </c>
      <c r="H265" s="44">
        <v>1.9</v>
      </c>
      <c r="I265" s="6">
        <f t="shared" si="5"/>
        <v>1705.6983999999998</v>
      </c>
      <c r="J265" s="45" t="s">
        <v>149</v>
      </c>
      <c r="K265" s="17"/>
    </row>
    <row r="266" spans="1:11" ht="13.95" customHeight="1" x14ac:dyDescent="0.3">
      <c r="A266" s="3">
        <v>45922</v>
      </c>
      <c r="B266" s="3" t="s">
        <v>1636</v>
      </c>
      <c r="C266" s="3" t="s">
        <v>18</v>
      </c>
      <c r="D266" s="3" t="s">
        <v>1340</v>
      </c>
      <c r="E266" s="4">
        <v>0.68</v>
      </c>
      <c r="F266" s="42">
        <v>2</v>
      </c>
      <c r="G266" s="45">
        <v>476</v>
      </c>
      <c r="H266" s="44">
        <v>1.9</v>
      </c>
      <c r="I266" s="6">
        <f t="shared" si="5"/>
        <v>1229.9839999999999</v>
      </c>
      <c r="J266" s="45" t="s">
        <v>150</v>
      </c>
      <c r="K266" s="17"/>
    </row>
    <row r="267" spans="1:11" ht="13.95" customHeight="1" x14ac:dyDescent="0.3">
      <c r="A267" s="3">
        <v>45923</v>
      </c>
      <c r="B267" s="3" t="s">
        <v>1636</v>
      </c>
      <c r="C267" s="3" t="s">
        <v>20</v>
      </c>
      <c r="D267" s="3" t="s">
        <v>1340</v>
      </c>
      <c r="E267" s="4">
        <v>0.65</v>
      </c>
      <c r="F267" s="42">
        <v>2</v>
      </c>
      <c r="G267" s="45">
        <v>476</v>
      </c>
      <c r="H267" s="44">
        <v>1.9</v>
      </c>
      <c r="I267" s="6">
        <f t="shared" si="5"/>
        <v>1175.72</v>
      </c>
      <c r="J267" s="45" t="s">
        <v>150</v>
      </c>
      <c r="K267" s="17"/>
    </row>
    <row r="268" spans="1:11" ht="13.95" customHeight="1" x14ac:dyDescent="0.3">
      <c r="A268" s="3">
        <v>45771</v>
      </c>
      <c r="B268" s="3" t="s">
        <v>1636</v>
      </c>
      <c r="C268" s="3" t="s">
        <v>5</v>
      </c>
      <c r="D268" s="3" t="s">
        <v>1340</v>
      </c>
      <c r="E268" s="4">
        <v>0.62</v>
      </c>
      <c r="F268" s="42">
        <v>1.95</v>
      </c>
      <c r="G268" s="45">
        <v>476</v>
      </c>
      <c r="H268" s="44">
        <v>1.9</v>
      </c>
      <c r="I268" s="6">
        <f t="shared" si="5"/>
        <v>1093.4195999999999</v>
      </c>
      <c r="J268" s="45" t="s">
        <v>71</v>
      </c>
      <c r="K268" s="17"/>
    </row>
    <row r="269" spans="1:11" ht="13.95" customHeight="1" x14ac:dyDescent="0.3">
      <c r="A269" s="3">
        <v>45925</v>
      </c>
      <c r="B269" s="3" t="s">
        <v>1636</v>
      </c>
      <c r="C269" s="3" t="s">
        <v>8</v>
      </c>
      <c r="D269" s="3" t="s">
        <v>1340</v>
      </c>
      <c r="E269" s="4">
        <v>0.68</v>
      </c>
      <c r="F269" s="42">
        <v>2.0499999999999998</v>
      </c>
      <c r="G269" s="45">
        <v>476</v>
      </c>
      <c r="H269" s="44">
        <v>1.9</v>
      </c>
      <c r="I269" s="6">
        <f t="shared" si="5"/>
        <v>1260.7335999999998</v>
      </c>
      <c r="J269" s="45" t="s">
        <v>71</v>
      </c>
      <c r="K269" s="17"/>
    </row>
    <row r="270" spans="1:11" ht="13.95" customHeight="1" x14ac:dyDescent="0.3">
      <c r="A270" s="3">
        <v>45926</v>
      </c>
      <c r="B270" s="3" t="s">
        <v>1636</v>
      </c>
      <c r="C270" s="3" t="s">
        <v>11</v>
      </c>
      <c r="D270" s="3" t="s">
        <v>14</v>
      </c>
      <c r="E270" s="4">
        <v>0.75</v>
      </c>
      <c r="F270" s="42">
        <v>2.25</v>
      </c>
      <c r="G270" s="45">
        <v>476</v>
      </c>
      <c r="H270" s="44">
        <v>1.9</v>
      </c>
      <c r="I270" s="6">
        <f t="shared" si="5"/>
        <v>1526.175</v>
      </c>
      <c r="J270" s="45" t="s">
        <v>97</v>
      </c>
      <c r="K270" s="17"/>
    </row>
    <row r="271" spans="1:11" ht="13.95" customHeight="1" x14ac:dyDescent="0.3">
      <c r="A271" s="3">
        <v>45927</v>
      </c>
      <c r="B271" s="3" t="s">
        <v>1636</v>
      </c>
      <c r="C271" s="3" t="s">
        <v>13</v>
      </c>
      <c r="D271" s="3" t="s">
        <v>14</v>
      </c>
      <c r="E271" s="4">
        <v>0.82</v>
      </c>
      <c r="F271" s="42">
        <v>2.5499999999999998</v>
      </c>
      <c r="G271" s="45">
        <v>476</v>
      </c>
      <c r="H271" s="44">
        <v>1.9</v>
      </c>
      <c r="I271" s="6">
        <f t="shared" si="5"/>
        <v>1891.1003999999998</v>
      </c>
      <c r="J271" s="45" t="s">
        <v>1615</v>
      </c>
      <c r="K271" s="17"/>
    </row>
    <row r="272" spans="1:11" ht="13.95" customHeight="1" x14ac:dyDescent="0.3">
      <c r="A272" s="3">
        <v>45928</v>
      </c>
      <c r="B272" s="3" t="s">
        <v>1636</v>
      </c>
      <c r="C272" s="3" t="s">
        <v>16</v>
      </c>
      <c r="D272" s="3" t="s">
        <v>14</v>
      </c>
      <c r="E272" s="4">
        <v>0.78</v>
      </c>
      <c r="F272" s="42">
        <v>2.35</v>
      </c>
      <c r="G272" s="45">
        <v>476</v>
      </c>
      <c r="H272" s="44">
        <v>1.9</v>
      </c>
      <c r="I272" s="6">
        <f t="shared" si="5"/>
        <v>1657.7652000000003</v>
      </c>
      <c r="J272" s="45" t="s">
        <v>149</v>
      </c>
      <c r="K272" s="17"/>
    </row>
    <row r="273" spans="1:11" ht="13.95" customHeight="1" x14ac:dyDescent="0.3">
      <c r="A273" s="3">
        <v>45929</v>
      </c>
      <c r="B273" s="3" t="s">
        <v>1636</v>
      </c>
      <c r="C273" s="3" t="s">
        <v>18</v>
      </c>
      <c r="D273" s="3" t="s">
        <v>1340</v>
      </c>
      <c r="E273" s="4">
        <v>0.65</v>
      </c>
      <c r="F273" s="42">
        <v>2.0499999999999998</v>
      </c>
      <c r="G273" s="45">
        <v>476</v>
      </c>
      <c r="H273" s="44">
        <v>1.9</v>
      </c>
      <c r="I273" s="6">
        <f t="shared" si="5"/>
        <v>1205.1129999999998</v>
      </c>
      <c r="J273" s="45" t="s">
        <v>99</v>
      </c>
      <c r="K273" s="17"/>
    </row>
    <row r="274" spans="1:11" ht="13.95" customHeight="1" x14ac:dyDescent="0.3">
      <c r="A274" s="3">
        <v>45930</v>
      </c>
      <c r="B274" s="3" t="s">
        <v>1636</v>
      </c>
      <c r="C274" s="3" t="s">
        <v>20</v>
      </c>
      <c r="D274" s="3" t="s">
        <v>1340</v>
      </c>
      <c r="E274" s="4">
        <v>0.68</v>
      </c>
      <c r="F274" s="42">
        <v>2.1</v>
      </c>
      <c r="G274" s="45">
        <v>476</v>
      </c>
      <c r="H274" s="44">
        <v>1.9</v>
      </c>
      <c r="I274" s="6">
        <f t="shared" si="5"/>
        <v>1291.4832000000001</v>
      </c>
      <c r="J274" s="45" t="s">
        <v>1458</v>
      </c>
      <c r="K274" s="17"/>
    </row>
    <row r="275" spans="1:11" ht="13.95" customHeight="1" x14ac:dyDescent="0.3">
      <c r="A275" s="3">
        <v>45931</v>
      </c>
      <c r="B275" s="3" t="s">
        <v>1636</v>
      </c>
      <c r="C275" s="3" t="s">
        <v>5</v>
      </c>
      <c r="D275" s="3" t="s">
        <v>1259</v>
      </c>
      <c r="E275" s="4">
        <v>0.62</v>
      </c>
      <c r="F275" s="42">
        <v>1.95</v>
      </c>
      <c r="G275" s="45">
        <v>476</v>
      </c>
      <c r="H275" s="44">
        <v>1.9</v>
      </c>
      <c r="I275" s="6">
        <f t="shared" si="5"/>
        <v>1093.4195999999999</v>
      </c>
      <c r="J275" s="45" t="s">
        <v>1616</v>
      </c>
      <c r="K275" s="17"/>
    </row>
    <row r="276" spans="1:11" ht="13.95" customHeight="1" x14ac:dyDescent="0.3">
      <c r="A276" s="3">
        <v>45932</v>
      </c>
      <c r="B276" s="3" t="s">
        <v>1636</v>
      </c>
      <c r="C276" s="3" t="s">
        <v>8</v>
      </c>
      <c r="D276" s="3" t="s">
        <v>1259</v>
      </c>
      <c r="E276" s="4">
        <v>0.57999999999999996</v>
      </c>
      <c r="F276" s="42">
        <v>1.9</v>
      </c>
      <c r="G276" s="45">
        <v>476</v>
      </c>
      <c r="H276" s="44">
        <v>1.9</v>
      </c>
      <c r="I276" s="6">
        <f t="shared" si="5"/>
        <v>996.64879999999982</v>
      </c>
      <c r="J276" s="45" t="s">
        <v>150</v>
      </c>
      <c r="K276" s="17"/>
    </row>
    <row r="277" spans="1:11" ht="13.95" customHeight="1" x14ac:dyDescent="0.3">
      <c r="A277" s="3">
        <v>45933</v>
      </c>
      <c r="B277" s="3" t="s">
        <v>1636</v>
      </c>
      <c r="C277" s="3" t="s">
        <v>11</v>
      </c>
      <c r="D277" s="3" t="s">
        <v>14</v>
      </c>
      <c r="E277" s="4">
        <v>0.65</v>
      </c>
      <c r="F277" s="42">
        <v>2.1</v>
      </c>
      <c r="G277" s="45">
        <v>476</v>
      </c>
      <c r="H277" s="44">
        <v>1.9</v>
      </c>
      <c r="I277" s="6">
        <f t="shared" si="5"/>
        <v>1234.5060000000001</v>
      </c>
      <c r="J277" s="45" t="s">
        <v>1124</v>
      </c>
      <c r="K277" s="17"/>
    </row>
    <row r="278" spans="1:11" ht="13.95" customHeight="1" x14ac:dyDescent="0.3">
      <c r="A278" s="3">
        <v>45934</v>
      </c>
      <c r="B278" s="3" t="s">
        <v>1636</v>
      </c>
      <c r="C278" s="3" t="s">
        <v>13</v>
      </c>
      <c r="D278" s="3" t="s">
        <v>14</v>
      </c>
      <c r="E278" s="4">
        <v>0.72</v>
      </c>
      <c r="F278" s="42">
        <v>2.4500000000000002</v>
      </c>
      <c r="G278" s="45">
        <v>476</v>
      </c>
      <c r="H278" s="44">
        <v>1.9</v>
      </c>
      <c r="I278" s="6">
        <f t="shared" si="5"/>
        <v>1595.3616</v>
      </c>
      <c r="J278" s="45" t="s">
        <v>1613</v>
      </c>
      <c r="K278" s="17"/>
    </row>
    <row r="279" spans="1:11" ht="13.95" customHeight="1" x14ac:dyDescent="0.3">
      <c r="A279" s="3">
        <v>45935</v>
      </c>
      <c r="B279" s="3" t="s">
        <v>1636</v>
      </c>
      <c r="C279" s="3" t="s">
        <v>16</v>
      </c>
      <c r="D279" s="3" t="s">
        <v>14</v>
      </c>
      <c r="E279" s="4">
        <v>0.68</v>
      </c>
      <c r="F279" s="42">
        <v>2.15</v>
      </c>
      <c r="G279" s="45">
        <v>476</v>
      </c>
      <c r="H279" s="44">
        <v>1.9</v>
      </c>
      <c r="I279" s="6">
        <f t="shared" si="5"/>
        <v>1322.2328</v>
      </c>
      <c r="J279" s="45" t="s">
        <v>139</v>
      </c>
      <c r="K279" s="17"/>
    </row>
    <row r="280" spans="1:11" ht="13.95" customHeight="1" x14ac:dyDescent="0.3">
      <c r="A280" s="3">
        <v>45936</v>
      </c>
      <c r="B280" s="3" t="s">
        <v>1636</v>
      </c>
      <c r="C280" s="3" t="s">
        <v>18</v>
      </c>
      <c r="D280" s="3" t="s">
        <v>1259</v>
      </c>
      <c r="E280" s="4">
        <v>0.52</v>
      </c>
      <c r="F280" s="42">
        <v>1.85</v>
      </c>
      <c r="G280" s="45">
        <v>476</v>
      </c>
      <c r="H280" s="44">
        <v>1.9</v>
      </c>
      <c r="I280" s="6">
        <f t="shared" si="5"/>
        <v>870.03280000000007</v>
      </c>
      <c r="J280" s="45" t="s">
        <v>150</v>
      </c>
      <c r="K280" s="17"/>
    </row>
    <row r="281" spans="1:11" ht="13.95" customHeight="1" x14ac:dyDescent="0.3">
      <c r="A281" s="3">
        <v>45937</v>
      </c>
      <c r="B281" s="3" t="s">
        <v>1636</v>
      </c>
      <c r="C281" s="3" t="s">
        <v>20</v>
      </c>
      <c r="D281" s="3" t="s">
        <v>1259</v>
      </c>
      <c r="E281" s="4">
        <v>0.5</v>
      </c>
      <c r="F281" s="42">
        <v>1.85</v>
      </c>
      <c r="G281" s="45">
        <v>476</v>
      </c>
      <c r="H281" s="44">
        <v>1.9</v>
      </c>
      <c r="I281" s="6">
        <f t="shared" si="5"/>
        <v>836.56999999999994</v>
      </c>
      <c r="J281" s="45" t="s">
        <v>150</v>
      </c>
      <c r="K281" s="17"/>
    </row>
    <row r="282" spans="1:11" ht="13.95" customHeight="1" x14ac:dyDescent="0.3">
      <c r="A282" s="3">
        <v>45938</v>
      </c>
      <c r="B282" s="3" t="s">
        <v>1636</v>
      </c>
      <c r="C282" s="3" t="s">
        <v>5</v>
      </c>
      <c r="D282" s="3" t="s">
        <v>1259</v>
      </c>
      <c r="E282" s="4">
        <v>0.5</v>
      </c>
      <c r="F282" s="42">
        <v>1.85</v>
      </c>
      <c r="G282" s="45">
        <v>476</v>
      </c>
      <c r="H282" s="44">
        <v>1.9</v>
      </c>
      <c r="I282" s="6">
        <f t="shared" si="5"/>
        <v>836.56999999999994</v>
      </c>
      <c r="J282" s="45" t="s">
        <v>71</v>
      </c>
      <c r="K282" s="17"/>
    </row>
    <row r="283" spans="1:11" ht="13.95" customHeight="1" x14ac:dyDescent="0.3">
      <c r="A283" s="3">
        <v>45939</v>
      </c>
      <c r="B283" s="3" t="s">
        <v>1636</v>
      </c>
      <c r="C283" s="3" t="s">
        <v>8</v>
      </c>
      <c r="D283" s="3" t="s">
        <v>1259</v>
      </c>
      <c r="E283" s="4">
        <v>0.55000000000000004</v>
      </c>
      <c r="F283" s="42">
        <v>1.9</v>
      </c>
      <c r="G283" s="45">
        <v>476</v>
      </c>
      <c r="H283" s="44">
        <v>1.9</v>
      </c>
      <c r="I283" s="6">
        <f t="shared" si="5"/>
        <v>945.09799999999996</v>
      </c>
      <c r="J283" s="45" t="s">
        <v>1522</v>
      </c>
      <c r="K283" s="17"/>
    </row>
    <row r="284" spans="1:11" ht="13.95" customHeight="1" x14ac:dyDescent="0.3">
      <c r="A284" s="3">
        <v>45940</v>
      </c>
      <c r="B284" s="3" t="s">
        <v>1636</v>
      </c>
      <c r="C284" s="3" t="s">
        <v>11</v>
      </c>
      <c r="D284" s="3" t="s">
        <v>14</v>
      </c>
      <c r="E284" s="4">
        <v>0.65</v>
      </c>
      <c r="F284" s="42">
        <v>2.1</v>
      </c>
      <c r="G284" s="45">
        <v>476</v>
      </c>
      <c r="H284" s="44">
        <v>1.9</v>
      </c>
      <c r="I284" s="6">
        <f t="shared" si="5"/>
        <v>1234.5060000000001</v>
      </c>
      <c r="J284" s="45" t="s">
        <v>97</v>
      </c>
      <c r="K284" s="17"/>
    </row>
    <row r="285" spans="1:11" ht="13.95" customHeight="1" x14ac:dyDescent="0.3">
      <c r="A285" s="3">
        <v>45941</v>
      </c>
      <c r="B285" s="3" t="s">
        <v>1636</v>
      </c>
      <c r="C285" s="3" t="s">
        <v>13</v>
      </c>
      <c r="D285" s="3" t="s">
        <v>14</v>
      </c>
      <c r="E285" s="4">
        <v>0.75</v>
      </c>
      <c r="F285" s="42">
        <v>2.5</v>
      </c>
      <c r="G285" s="45">
        <v>476</v>
      </c>
      <c r="H285" s="44">
        <v>1.9</v>
      </c>
      <c r="I285" s="6">
        <f t="shared" si="5"/>
        <v>1695.75</v>
      </c>
      <c r="J285" s="45" t="s">
        <v>1617</v>
      </c>
      <c r="K285" s="17"/>
    </row>
    <row r="286" spans="1:11" ht="13.95" customHeight="1" x14ac:dyDescent="0.3">
      <c r="A286" s="3">
        <v>45942</v>
      </c>
      <c r="B286" s="3" t="s">
        <v>1636</v>
      </c>
      <c r="C286" s="3" t="s">
        <v>16</v>
      </c>
      <c r="D286" s="3" t="s">
        <v>14</v>
      </c>
      <c r="E286" s="4">
        <v>0.65</v>
      </c>
      <c r="F286" s="42">
        <v>2.15</v>
      </c>
      <c r="G286" s="45">
        <v>476</v>
      </c>
      <c r="H286" s="44">
        <v>1.9</v>
      </c>
      <c r="I286" s="6">
        <f t="shared" si="5"/>
        <v>1263.8990000000001</v>
      </c>
      <c r="J286" s="45" t="s">
        <v>149</v>
      </c>
      <c r="K286" s="17"/>
    </row>
    <row r="287" spans="1:11" ht="13.95" customHeight="1" x14ac:dyDescent="0.3">
      <c r="A287" s="3">
        <v>45943</v>
      </c>
      <c r="B287" s="3" t="s">
        <v>1636</v>
      </c>
      <c r="C287" s="3" t="s">
        <v>18</v>
      </c>
      <c r="D287" s="3" t="s">
        <v>1259</v>
      </c>
      <c r="E287" s="4">
        <v>0.5</v>
      </c>
      <c r="F287" s="42">
        <v>1.85</v>
      </c>
      <c r="G287" s="45">
        <v>476</v>
      </c>
      <c r="H287" s="44">
        <v>1.9</v>
      </c>
      <c r="I287" s="6">
        <f t="shared" si="5"/>
        <v>836.56999999999994</v>
      </c>
      <c r="J287" s="45" t="s">
        <v>150</v>
      </c>
      <c r="K287" s="17"/>
    </row>
    <row r="288" spans="1:11" ht="13.95" customHeight="1" x14ac:dyDescent="0.3">
      <c r="A288" s="3">
        <v>45944</v>
      </c>
      <c r="B288" s="3" t="s">
        <v>1636</v>
      </c>
      <c r="C288" s="3" t="s">
        <v>20</v>
      </c>
      <c r="D288" s="3" t="s">
        <v>1259</v>
      </c>
      <c r="E288" s="4">
        <v>0.52</v>
      </c>
      <c r="F288" s="42">
        <v>1.85</v>
      </c>
      <c r="G288" s="45">
        <v>476</v>
      </c>
      <c r="H288" s="44">
        <v>1.9</v>
      </c>
      <c r="I288" s="6">
        <f t="shared" si="5"/>
        <v>870.03280000000007</v>
      </c>
      <c r="J288" s="45" t="s">
        <v>70</v>
      </c>
      <c r="K288" s="17"/>
    </row>
    <row r="289" spans="1:11" ht="13.95" customHeight="1" x14ac:dyDescent="0.3">
      <c r="A289" s="3">
        <v>45945</v>
      </c>
      <c r="B289" s="3" t="s">
        <v>1636</v>
      </c>
      <c r="C289" s="3" t="s">
        <v>5</v>
      </c>
      <c r="D289" s="3" t="s">
        <v>865</v>
      </c>
      <c r="E289" s="4">
        <v>0.68</v>
      </c>
      <c r="F289" s="42">
        <v>2.2000000000000002</v>
      </c>
      <c r="G289" s="45">
        <v>476</v>
      </c>
      <c r="H289" s="44">
        <v>1.9</v>
      </c>
      <c r="I289" s="6">
        <f t="shared" si="5"/>
        <v>1352.9824000000001</v>
      </c>
      <c r="J289" s="45" t="s">
        <v>1511</v>
      </c>
      <c r="K289" s="17"/>
    </row>
    <row r="290" spans="1:11" ht="13.95" customHeight="1" x14ac:dyDescent="0.3">
      <c r="A290" s="3">
        <v>45946</v>
      </c>
      <c r="B290" s="3" t="s">
        <v>1636</v>
      </c>
      <c r="C290" s="3" t="s">
        <v>8</v>
      </c>
      <c r="D290" s="3" t="s">
        <v>1259</v>
      </c>
      <c r="E290" s="4">
        <v>0.55000000000000004</v>
      </c>
      <c r="F290" s="42">
        <v>1.9</v>
      </c>
      <c r="G290" s="45">
        <v>476</v>
      </c>
      <c r="H290" s="44">
        <v>1.9</v>
      </c>
      <c r="I290" s="6">
        <f t="shared" si="5"/>
        <v>945.09799999999996</v>
      </c>
      <c r="J290" s="45" t="s">
        <v>1618</v>
      </c>
      <c r="K290" s="17"/>
    </row>
    <row r="291" spans="1:11" ht="13.95" customHeight="1" x14ac:dyDescent="0.3">
      <c r="A291" s="3">
        <v>45947</v>
      </c>
      <c r="B291" s="3" t="s">
        <v>1636</v>
      </c>
      <c r="C291" s="3" t="s">
        <v>11</v>
      </c>
      <c r="D291" s="3" t="s">
        <v>1434</v>
      </c>
      <c r="E291" s="4">
        <v>0.75</v>
      </c>
      <c r="F291" s="42">
        <v>2.15</v>
      </c>
      <c r="G291" s="45">
        <v>476</v>
      </c>
      <c r="H291" s="44">
        <v>1.9</v>
      </c>
      <c r="I291" s="6">
        <f t="shared" si="5"/>
        <v>1458.3449999999998</v>
      </c>
      <c r="J291" s="45" t="s">
        <v>1461</v>
      </c>
      <c r="K291" s="17"/>
    </row>
    <row r="292" spans="1:11" ht="13.95" customHeight="1" x14ac:dyDescent="0.3">
      <c r="A292" s="3">
        <v>45948</v>
      </c>
      <c r="B292" s="3" t="s">
        <v>1636</v>
      </c>
      <c r="C292" s="3" t="s">
        <v>13</v>
      </c>
      <c r="D292" s="3" t="s">
        <v>1434</v>
      </c>
      <c r="E292" s="4">
        <v>0.82</v>
      </c>
      <c r="F292" s="42">
        <v>2.5499999999999998</v>
      </c>
      <c r="G292" s="45">
        <v>476</v>
      </c>
      <c r="H292" s="44">
        <v>1.9</v>
      </c>
      <c r="I292" s="6">
        <f t="shared" si="5"/>
        <v>1891.1003999999998</v>
      </c>
      <c r="J292" s="45" t="s">
        <v>1323</v>
      </c>
      <c r="K292" s="17"/>
    </row>
    <row r="293" spans="1:11" ht="13.95" customHeight="1" x14ac:dyDescent="0.3">
      <c r="A293" s="3">
        <v>45949</v>
      </c>
      <c r="B293" s="3" t="s">
        <v>1636</v>
      </c>
      <c r="C293" s="3" t="s">
        <v>16</v>
      </c>
      <c r="D293" s="3" t="s">
        <v>1434</v>
      </c>
      <c r="E293" s="4">
        <v>0.78</v>
      </c>
      <c r="F293" s="42">
        <v>2.25</v>
      </c>
      <c r="G293" s="45">
        <v>476</v>
      </c>
      <c r="H293" s="44">
        <v>1.9</v>
      </c>
      <c r="I293" s="6">
        <f t="shared" si="5"/>
        <v>1587.2220000000002</v>
      </c>
      <c r="J293" s="45" t="s">
        <v>1275</v>
      </c>
      <c r="K293" s="17"/>
    </row>
    <row r="294" spans="1:11" ht="13.95" customHeight="1" x14ac:dyDescent="0.3">
      <c r="A294" s="3">
        <v>45950</v>
      </c>
      <c r="B294" s="3" t="s">
        <v>1636</v>
      </c>
      <c r="C294" s="3" t="s">
        <v>18</v>
      </c>
      <c r="D294" s="3" t="s">
        <v>1434</v>
      </c>
      <c r="E294" s="4">
        <v>0.75</v>
      </c>
      <c r="F294" s="42">
        <v>2.1</v>
      </c>
      <c r="G294" s="45">
        <v>476</v>
      </c>
      <c r="H294" s="44">
        <v>1.9</v>
      </c>
      <c r="I294" s="6">
        <f t="shared" si="5"/>
        <v>1424.43</v>
      </c>
      <c r="J294" s="45" t="s">
        <v>1552</v>
      </c>
      <c r="K294" s="17"/>
    </row>
    <row r="295" spans="1:11" ht="13.95" customHeight="1" x14ac:dyDescent="0.3">
      <c r="A295" s="3">
        <v>45951</v>
      </c>
      <c r="B295" s="3" t="s">
        <v>1636</v>
      </c>
      <c r="C295" s="3" t="s">
        <v>20</v>
      </c>
      <c r="D295" s="3" t="s">
        <v>1434</v>
      </c>
      <c r="E295" s="4">
        <v>0.72</v>
      </c>
      <c r="F295" s="42">
        <v>2.1</v>
      </c>
      <c r="G295" s="45">
        <v>476</v>
      </c>
      <c r="H295" s="44">
        <v>1.9</v>
      </c>
      <c r="I295" s="6">
        <f t="shared" si="5"/>
        <v>1367.4528</v>
      </c>
      <c r="J295" s="45" t="s">
        <v>1552</v>
      </c>
      <c r="K295" s="17"/>
    </row>
    <row r="296" spans="1:11" ht="13.95" customHeight="1" x14ac:dyDescent="0.3">
      <c r="A296" s="3">
        <v>45952</v>
      </c>
      <c r="B296" s="3" t="s">
        <v>1636</v>
      </c>
      <c r="C296" s="3" t="s">
        <v>5</v>
      </c>
      <c r="D296" s="3" t="s">
        <v>1434</v>
      </c>
      <c r="E296" s="4">
        <v>0.75</v>
      </c>
      <c r="F296" s="42">
        <v>2.1</v>
      </c>
      <c r="G296" s="45">
        <v>476</v>
      </c>
      <c r="H296" s="44">
        <v>1.9</v>
      </c>
      <c r="I296" s="6">
        <f t="shared" si="5"/>
        <v>1424.43</v>
      </c>
      <c r="J296" s="45" t="s">
        <v>1552</v>
      </c>
      <c r="K296" s="17"/>
    </row>
    <row r="297" spans="1:11" ht="13.95" customHeight="1" x14ac:dyDescent="0.3">
      <c r="A297" s="3">
        <v>45953</v>
      </c>
      <c r="B297" s="3" t="s">
        <v>1636</v>
      </c>
      <c r="C297" s="3" t="s">
        <v>8</v>
      </c>
      <c r="D297" s="3" t="s">
        <v>1434</v>
      </c>
      <c r="E297" s="4">
        <v>0.78</v>
      </c>
      <c r="F297" s="42">
        <v>2.15</v>
      </c>
      <c r="G297" s="45">
        <v>476</v>
      </c>
      <c r="H297" s="44">
        <v>1.9</v>
      </c>
      <c r="I297" s="6">
        <f t="shared" si="5"/>
        <v>1516.6788000000001</v>
      </c>
      <c r="J297" s="45" t="s">
        <v>1552</v>
      </c>
      <c r="K297" s="17"/>
    </row>
    <row r="298" spans="1:11" ht="13.95" customHeight="1" x14ac:dyDescent="0.3">
      <c r="A298" s="3">
        <v>45954</v>
      </c>
      <c r="B298" s="3" t="s">
        <v>1636</v>
      </c>
      <c r="C298" s="3" t="s">
        <v>11</v>
      </c>
      <c r="D298" s="3" t="s">
        <v>14</v>
      </c>
      <c r="E298" s="4">
        <v>0.85</v>
      </c>
      <c r="F298" s="42">
        <v>2.2999999999999998</v>
      </c>
      <c r="G298" s="45">
        <v>476</v>
      </c>
      <c r="H298" s="44">
        <v>1.9</v>
      </c>
      <c r="I298" s="6">
        <f t="shared" si="5"/>
        <v>1768.1019999999996</v>
      </c>
      <c r="J298" s="45" t="s">
        <v>1463</v>
      </c>
      <c r="K298" s="17"/>
    </row>
    <row r="299" spans="1:11" ht="13.95" customHeight="1" x14ac:dyDescent="0.3">
      <c r="A299" s="3">
        <v>45955</v>
      </c>
      <c r="B299" s="3" t="s">
        <v>1636</v>
      </c>
      <c r="C299" s="3" t="s">
        <v>13</v>
      </c>
      <c r="D299" s="3" t="s">
        <v>14</v>
      </c>
      <c r="E299" s="4">
        <v>0.9</v>
      </c>
      <c r="F299" s="42">
        <v>2.65</v>
      </c>
      <c r="G299" s="45">
        <v>476</v>
      </c>
      <c r="H299" s="44">
        <v>1.9</v>
      </c>
      <c r="I299" s="6">
        <f t="shared" si="5"/>
        <v>2156.9939999999997</v>
      </c>
      <c r="J299" s="45" t="s">
        <v>1553</v>
      </c>
      <c r="K299" s="17"/>
    </row>
    <row r="300" spans="1:11" ht="13.95" customHeight="1" x14ac:dyDescent="0.3">
      <c r="A300" s="3">
        <v>45956</v>
      </c>
      <c r="B300" s="3" t="s">
        <v>1636</v>
      </c>
      <c r="C300" s="3" t="s">
        <v>16</v>
      </c>
      <c r="D300" s="3" t="s">
        <v>14</v>
      </c>
      <c r="E300" s="4">
        <v>0.85</v>
      </c>
      <c r="F300" s="42">
        <v>2.4</v>
      </c>
      <c r="G300" s="45">
        <v>476</v>
      </c>
      <c r="H300" s="44">
        <v>1.9</v>
      </c>
      <c r="I300" s="6">
        <f t="shared" si="5"/>
        <v>1844.9759999999997</v>
      </c>
      <c r="J300" s="45" t="s">
        <v>1336</v>
      </c>
      <c r="K300" s="17"/>
    </row>
    <row r="301" spans="1:11" ht="13.95" customHeight="1" x14ac:dyDescent="0.3">
      <c r="A301" s="3">
        <v>45957</v>
      </c>
      <c r="B301" s="3" t="s">
        <v>1636</v>
      </c>
      <c r="C301" s="3" t="s">
        <v>18</v>
      </c>
      <c r="D301" s="3" t="s">
        <v>1259</v>
      </c>
      <c r="E301" s="4">
        <v>0.65</v>
      </c>
      <c r="F301" s="42">
        <v>1.95</v>
      </c>
      <c r="G301" s="45">
        <v>476</v>
      </c>
      <c r="H301" s="44">
        <v>1.9</v>
      </c>
      <c r="I301" s="6">
        <f t="shared" si="5"/>
        <v>1146.327</v>
      </c>
      <c r="J301" s="45" t="s">
        <v>1371</v>
      </c>
      <c r="K301" s="17"/>
    </row>
    <row r="302" spans="1:11" ht="13.95" customHeight="1" x14ac:dyDescent="0.3">
      <c r="A302" s="3">
        <v>45958</v>
      </c>
      <c r="B302" s="3" t="s">
        <v>1636</v>
      </c>
      <c r="C302" s="3" t="s">
        <v>20</v>
      </c>
      <c r="D302" s="3" t="s">
        <v>1259</v>
      </c>
      <c r="E302" s="4">
        <v>0.6</v>
      </c>
      <c r="F302" s="42">
        <v>1.9</v>
      </c>
      <c r="G302" s="45">
        <v>476</v>
      </c>
      <c r="H302" s="44">
        <v>1.9</v>
      </c>
      <c r="I302" s="6">
        <f t="shared" si="5"/>
        <v>1031.0159999999996</v>
      </c>
      <c r="J302" s="45" t="s">
        <v>150</v>
      </c>
      <c r="K302" s="17"/>
    </row>
    <row r="303" spans="1:11" ht="13.95" customHeight="1" x14ac:dyDescent="0.3">
      <c r="A303" s="3">
        <v>45959</v>
      </c>
      <c r="B303" s="3" t="s">
        <v>1636</v>
      </c>
      <c r="C303" s="3" t="s">
        <v>5</v>
      </c>
      <c r="D303" s="3" t="s">
        <v>1259</v>
      </c>
      <c r="E303" s="4">
        <v>0.57999999999999996</v>
      </c>
      <c r="F303" s="42">
        <v>1.9</v>
      </c>
      <c r="G303" s="45">
        <v>476</v>
      </c>
      <c r="H303" s="44">
        <v>1.9</v>
      </c>
      <c r="I303" s="6">
        <f t="shared" si="5"/>
        <v>996.64879999999982</v>
      </c>
      <c r="J303" s="45" t="s">
        <v>150</v>
      </c>
      <c r="K303" s="17"/>
    </row>
    <row r="304" spans="1:11" ht="13.95" customHeight="1" x14ac:dyDescent="0.3">
      <c r="A304" s="3">
        <v>45960</v>
      </c>
      <c r="B304" s="3" t="s">
        <v>1636</v>
      </c>
      <c r="C304" s="3" t="s">
        <v>8</v>
      </c>
      <c r="D304" s="3" t="s">
        <v>1465</v>
      </c>
      <c r="E304" s="4">
        <v>0.65</v>
      </c>
      <c r="F304" s="42">
        <v>2.0499999999999998</v>
      </c>
      <c r="G304" s="45">
        <v>476</v>
      </c>
      <c r="H304" s="44">
        <v>1.9</v>
      </c>
      <c r="I304" s="6">
        <f t="shared" si="5"/>
        <v>1205.1129999999998</v>
      </c>
      <c r="J304" s="45" t="s">
        <v>1466</v>
      </c>
      <c r="K304" s="17"/>
    </row>
    <row r="305" spans="1:11" ht="13.95" customHeight="1" x14ac:dyDescent="0.3">
      <c r="A305" s="3">
        <v>45961</v>
      </c>
      <c r="B305" s="3" t="s">
        <v>1636</v>
      </c>
      <c r="C305" s="3" t="s">
        <v>11</v>
      </c>
      <c r="D305" s="3" t="s">
        <v>867</v>
      </c>
      <c r="E305" s="4">
        <v>0.8</v>
      </c>
      <c r="F305" s="42">
        <v>2.6</v>
      </c>
      <c r="G305" s="45">
        <v>476</v>
      </c>
      <c r="H305" s="44">
        <v>1.9</v>
      </c>
      <c r="I305" s="6">
        <f t="shared" si="5"/>
        <v>1881.152</v>
      </c>
      <c r="J305" s="45" t="s">
        <v>1372</v>
      </c>
      <c r="K305" s="17"/>
    </row>
    <row r="306" spans="1:11" ht="13.95" customHeight="1" x14ac:dyDescent="0.3">
      <c r="A306" s="3">
        <v>45962</v>
      </c>
      <c r="B306" s="3" t="s">
        <v>1636</v>
      </c>
      <c r="C306" s="3" t="s">
        <v>13</v>
      </c>
      <c r="D306" s="3" t="s">
        <v>1619</v>
      </c>
      <c r="E306" s="4">
        <v>0.65</v>
      </c>
      <c r="F306" s="42">
        <v>2.15</v>
      </c>
      <c r="G306" s="45">
        <v>476</v>
      </c>
      <c r="H306" s="44">
        <v>1.9</v>
      </c>
      <c r="I306" s="6">
        <f t="shared" si="5"/>
        <v>1263.8990000000001</v>
      </c>
      <c r="J306" s="45" t="s">
        <v>1620</v>
      </c>
      <c r="K306" s="17"/>
    </row>
    <row r="307" spans="1:11" ht="13.95" customHeight="1" x14ac:dyDescent="0.3">
      <c r="A307" s="3">
        <v>45963</v>
      </c>
      <c r="B307" s="3" t="s">
        <v>1636</v>
      </c>
      <c r="C307" s="3" t="s">
        <v>16</v>
      </c>
      <c r="D307" s="3" t="s">
        <v>14</v>
      </c>
      <c r="E307" s="4">
        <v>0.5</v>
      </c>
      <c r="F307" s="42">
        <v>1.95</v>
      </c>
      <c r="G307" s="45">
        <v>476</v>
      </c>
      <c r="H307" s="44">
        <v>1.9</v>
      </c>
      <c r="I307" s="6">
        <f t="shared" si="5"/>
        <v>881.78999999999985</v>
      </c>
      <c r="J307" s="45" t="s">
        <v>1469</v>
      </c>
      <c r="K307" s="17"/>
    </row>
    <row r="308" spans="1:11" ht="13.95" customHeight="1" x14ac:dyDescent="0.3">
      <c r="A308" s="3">
        <v>45964</v>
      </c>
      <c r="B308" s="3" t="s">
        <v>1636</v>
      </c>
      <c r="C308" s="3" t="s">
        <v>18</v>
      </c>
      <c r="D308" s="3" t="s">
        <v>1259</v>
      </c>
      <c r="E308" s="4">
        <v>0.35</v>
      </c>
      <c r="F308" s="42">
        <v>1.8</v>
      </c>
      <c r="G308" s="45">
        <v>476</v>
      </c>
      <c r="H308" s="44">
        <v>1.9</v>
      </c>
      <c r="I308" s="6">
        <f t="shared" si="5"/>
        <v>569.77199999999993</v>
      </c>
      <c r="J308" s="45" t="s">
        <v>1621</v>
      </c>
      <c r="K308" s="17"/>
    </row>
    <row r="309" spans="1:11" ht="13.95" customHeight="1" x14ac:dyDescent="0.3">
      <c r="A309" s="3">
        <v>45965</v>
      </c>
      <c r="B309" s="3" t="s">
        <v>1636</v>
      </c>
      <c r="C309" s="3" t="s">
        <v>20</v>
      </c>
      <c r="D309" s="3" t="s">
        <v>1259</v>
      </c>
      <c r="E309" s="4">
        <v>0.32</v>
      </c>
      <c r="F309" s="42">
        <v>1.75</v>
      </c>
      <c r="G309" s="45">
        <v>476</v>
      </c>
      <c r="H309" s="44">
        <v>1.9</v>
      </c>
      <c r="I309" s="6">
        <f t="shared" si="5"/>
        <v>506.464</v>
      </c>
      <c r="J309" s="45" t="s">
        <v>1622</v>
      </c>
      <c r="K309" s="17"/>
    </row>
    <row r="310" spans="1:11" ht="13.95" customHeight="1" x14ac:dyDescent="0.3">
      <c r="A310" s="3">
        <v>45966</v>
      </c>
      <c r="B310" s="3" t="s">
        <v>1636</v>
      </c>
      <c r="C310" s="3" t="s">
        <v>5</v>
      </c>
      <c r="D310" s="3" t="s">
        <v>1259</v>
      </c>
      <c r="E310" s="4">
        <v>0.32</v>
      </c>
      <c r="F310" s="42">
        <v>1.75</v>
      </c>
      <c r="G310" s="45">
        <v>476</v>
      </c>
      <c r="H310" s="44">
        <v>1.9</v>
      </c>
      <c r="I310" s="6">
        <f t="shared" si="5"/>
        <v>506.464</v>
      </c>
      <c r="J310" s="45" t="s">
        <v>1622</v>
      </c>
      <c r="K310" s="17"/>
    </row>
    <row r="311" spans="1:11" ht="13.95" customHeight="1" x14ac:dyDescent="0.3">
      <c r="A311" s="3">
        <v>45967</v>
      </c>
      <c r="B311" s="3" t="s">
        <v>1636</v>
      </c>
      <c r="C311" s="3" t="s">
        <v>8</v>
      </c>
      <c r="D311" s="3" t="s">
        <v>1259</v>
      </c>
      <c r="E311" s="4">
        <v>0.35</v>
      </c>
      <c r="F311" s="42">
        <v>1.8</v>
      </c>
      <c r="G311" s="45">
        <v>476</v>
      </c>
      <c r="H311" s="44">
        <v>1.9</v>
      </c>
      <c r="I311" s="6">
        <f t="shared" si="5"/>
        <v>569.77199999999993</v>
      </c>
      <c r="J311" s="45" t="s">
        <v>1623</v>
      </c>
      <c r="K311" s="17"/>
    </row>
    <row r="312" spans="1:11" ht="13.95" customHeight="1" x14ac:dyDescent="0.3">
      <c r="A312" s="3">
        <v>45968</v>
      </c>
      <c r="B312" s="3" t="s">
        <v>1636</v>
      </c>
      <c r="C312" s="3" t="s">
        <v>11</v>
      </c>
      <c r="D312" s="3" t="s">
        <v>14</v>
      </c>
      <c r="E312" s="4">
        <v>0.4</v>
      </c>
      <c r="F312" s="42">
        <v>1.9</v>
      </c>
      <c r="G312" s="45">
        <v>476</v>
      </c>
      <c r="H312" s="44">
        <v>1.9</v>
      </c>
      <c r="I312" s="6">
        <f t="shared" si="5"/>
        <v>687.34399999999994</v>
      </c>
      <c r="J312" s="45" t="s">
        <v>1124</v>
      </c>
      <c r="K312" s="17"/>
    </row>
    <row r="313" spans="1:11" ht="13.95" customHeight="1" x14ac:dyDescent="0.3">
      <c r="A313" s="3">
        <v>45969</v>
      </c>
      <c r="B313" s="3" t="s">
        <v>1636</v>
      </c>
      <c r="C313" s="3" t="s">
        <v>13</v>
      </c>
      <c r="D313" s="3" t="s">
        <v>14</v>
      </c>
      <c r="E313" s="4">
        <v>0.55000000000000004</v>
      </c>
      <c r="F313" s="42">
        <v>2.25</v>
      </c>
      <c r="G313" s="45">
        <v>476</v>
      </c>
      <c r="H313" s="44">
        <v>1.9</v>
      </c>
      <c r="I313" s="6">
        <f t="shared" si="5"/>
        <v>1119.1950000000002</v>
      </c>
      <c r="J313" s="45" t="s">
        <v>1624</v>
      </c>
      <c r="K313" s="17"/>
    </row>
    <row r="314" spans="1:11" ht="13.95" customHeight="1" x14ac:dyDescent="0.3">
      <c r="A314" s="3">
        <v>45970</v>
      </c>
      <c r="B314" s="3" t="s">
        <v>1636</v>
      </c>
      <c r="C314" s="3" t="s">
        <v>16</v>
      </c>
      <c r="D314" s="3" t="s">
        <v>14</v>
      </c>
      <c r="E314" s="4">
        <v>0.45</v>
      </c>
      <c r="F314" s="42">
        <v>1.95</v>
      </c>
      <c r="G314" s="45">
        <v>476</v>
      </c>
      <c r="H314" s="44">
        <v>1.9</v>
      </c>
      <c r="I314" s="6">
        <f t="shared" si="5"/>
        <v>793.61099999999999</v>
      </c>
      <c r="J314" s="45" t="s">
        <v>149</v>
      </c>
      <c r="K314" s="17"/>
    </row>
    <row r="315" spans="1:11" ht="13.95" customHeight="1" x14ac:dyDescent="0.3">
      <c r="A315" s="3">
        <v>45971</v>
      </c>
      <c r="B315" s="3" t="s">
        <v>1636</v>
      </c>
      <c r="C315" s="3" t="s">
        <v>18</v>
      </c>
      <c r="D315" s="3" t="s">
        <v>1259</v>
      </c>
      <c r="E315" s="4">
        <v>0.3</v>
      </c>
      <c r="F315" s="42">
        <v>1.75</v>
      </c>
      <c r="G315" s="45">
        <v>476</v>
      </c>
      <c r="H315" s="44">
        <v>1.9</v>
      </c>
      <c r="I315" s="6">
        <f t="shared" si="5"/>
        <v>474.80999999999995</v>
      </c>
      <c r="J315" s="45" t="s">
        <v>1471</v>
      </c>
      <c r="K315" s="17"/>
    </row>
    <row r="316" spans="1:11" ht="13.95" customHeight="1" x14ac:dyDescent="0.3">
      <c r="A316" s="3">
        <v>45972</v>
      </c>
      <c r="B316" s="3" t="s">
        <v>1636</v>
      </c>
      <c r="C316" s="3" t="s">
        <v>20</v>
      </c>
      <c r="D316" s="3" t="s">
        <v>1259</v>
      </c>
      <c r="E316" s="4">
        <v>0.3</v>
      </c>
      <c r="F316" s="42">
        <v>1.75</v>
      </c>
      <c r="G316" s="45">
        <v>476</v>
      </c>
      <c r="H316" s="44">
        <v>1.9</v>
      </c>
      <c r="I316" s="6">
        <f t="shared" si="5"/>
        <v>474.80999999999995</v>
      </c>
      <c r="J316" s="45" t="s">
        <v>1586</v>
      </c>
      <c r="K316" s="17"/>
    </row>
    <row r="317" spans="1:11" ht="13.95" customHeight="1" x14ac:dyDescent="0.3">
      <c r="A317" s="3">
        <v>45973</v>
      </c>
      <c r="B317" s="3" t="s">
        <v>1636</v>
      </c>
      <c r="C317" s="3" t="s">
        <v>5</v>
      </c>
      <c r="D317" s="3" t="s">
        <v>1259</v>
      </c>
      <c r="E317" s="4">
        <v>0.3</v>
      </c>
      <c r="F317" s="42">
        <v>1.75</v>
      </c>
      <c r="G317" s="45">
        <v>476</v>
      </c>
      <c r="H317" s="44">
        <v>1.9</v>
      </c>
      <c r="I317" s="6">
        <f t="shared" si="5"/>
        <v>474.80999999999995</v>
      </c>
      <c r="J317" s="45" t="s">
        <v>1586</v>
      </c>
      <c r="K317" s="17"/>
    </row>
    <row r="318" spans="1:11" ht="13.95" customHeight="1" x14ac:dyDescent="0.3">
      <c r="A318" s="3">
        <v>45974</v>
      </c>
      <c r="B318" s="3" t="s">
        <v>1636</v>
      </c>
      <c r="C318" s="3" t="s">
        <v>8</v>
      </c>
      <c r="D318" s="3" t="s">
        <v>1259</v>
      </c>
      <c r="E318" s="4">
        <v>0.32</v>
      </c>
      <c r="F318" s="42">
        <v>1.8</v>
      </c>
      <c r="G318" s="45">
        <v>476</v>
      </c>
      <c r="H318" s="44">
        <v>1.9</v>
      </c>
      <c r="I318" s="6">
        <f t="shared" si="5"/>
        <v>520.93439999999998</v>
      </c>
      <c r="J318" s="45" t="s">
        <v>150</v>
      </c>
      <c r="K318" s="17"/>
    </row>
    <row r="319" spans="1:11" ht="13.95" customHeight="1" x14ac:dyDescent="0.3">
      <c r="A319" s="3">
        <v>45975</v>
      </c>
      <c r="B319" s="3" t="s">
        <v>1636</v>
      </c>
      <c r="C319" s="3" t="s">
        <v>11</v>
      </c>
      <c r="D319" s="3" t="s">
        <v>14</v>
      </c>
      <c r="E319" s="4">
        <v>0.4</v>
      </c>
      <c r="F319" s="42">
        <v>1.9</v>
      </c>
      <c r="G319" s="45">
        <v>476</v>
      </c>
      <c r="H319" s="44">
        <v>1.9</v>
      </c>
      <c r="I319" s="6">
        <f t="shared" si="5"/>
        <v>687.34399999999994</v>
      </c>
      <c r="J319" s="45" t="s">
        <v>97</v>
      </c>
      <c r="K319" s="17"/>
    </row>
    <row r="320" spans="1:11" ht="13.95" customHeight="1" x14ac:dyDescent="0.3">
      <c r="A320" s="3">
        <v>45976</v>
      </c>
      <c r="B320" s="3" t="s">
        <v>1636</v>
      </c>
      <c r="C320" s="3" t="s">
        <v>13</v>
      </c>
      <c r="D320" s="3" t="s">
        <v>14</v>
      </c>
      <c r="E320" s="4">
        <v>0.5</v>
      </c>
      <c r="F320" s="42">
        <v>2.15</v>
      </c>
      <c r="G320" s="45">
        <v>476</v>
      </c>
      <c r="H320" s="44">
        <v>1.9</v>
      </c>
      <c r="I320" s="6">
        <f t="shared" si="5"/>
        <v>972.2299999999999</v>
      </c>
      <c r="J320" s="45" t="s">
        <v>1625</v>
      </c>
      <c r="K320" s="17"/>
    </row>
    <row r="321" spans="1:11" ht="13.95" customHeight="1" x14ac:dyDescent="0.3">
      <c r="A321" s="3">
        <v>45977</v>
      </c>
      <c r="B321" s="3" t="s">
        <v>1636</v>
      </c>
      <c r="C321" s="3" t="s">
        <v>16</v>
      </c>
      <c r="D321" s="3" t="s">
        <v>14</v>
      </c>
      <c r="E321" s="4">
        <v>0.45</v>
      </c>
      <c r="F321" s="42">
        <v>1.95</v>
      </c>
      <c r="G321" s="45">
        <v>476</v>
      </c>
      <c r="H321" s="44">
        <v>1.9</v>
      </c>
      <c r="I321" s="6">
        <f t="shared" si="5"/>
        <v>793.61099999999999</v>
      </c>
      <c r="J321" s="45" t="s">
        <v>149</v>
      </c>
      <c r="K321" s="17"/>
    </row>
    <row r="322" spans="1:11" ht="13.95" customHeight="1" x14ac:dyDescent="0.3">
      <c r="A322" s="3">
        <v>45978</v>
      </c>
      <c r="B322" s="3" t="s">
        <v>1636</v>
      </c>
      <c r="C322" s="3" t="s">
        <v>18</v>
      </c>
      <c r="D322" s="3" t="s">
        <v>1259</v>
      </c>
      <c r="E322" s="4">
        <v>0.28000000000000003</v>
      </c>
      <c r="F322" s="42">
        <v>1.7</v>
      </c>
      <c r="G322" s="45">
        <v>476</v>
      </c>
      <c r="H322" s="44">
        <v>1.9</v>
      </c>
      <c r="I322" s="6">
        <f t="shared" si="5"/>
        <v>430.49439999999998</v>
      </c>
      <c r="J322" s="45" t="s">
        <v>1472</v>
      </c>
      <c r="K322" s="17"/>
    </row>
    <row r="323" spans="1:11" ht="13.95" customHeight="1" x14ac:dyDescent="0.3">
      <c r="A323" s="3">
        <v>45979</v>
      </c>
      <c r="B323" s="3" t="s">
        <v>1636</v>
      </c>
      <c r="C323" s="3" t="s">
        <v>20</v>
      </c>
      <c r="D323" s="3" t="s">
        <v>1259</v>
      </c>
      <c r="E323" s="4">
        <v>0.3</v>
      </c>
      <c r="F323" s="42">
        <v>1.75</v>
      </c>
      <c r="G323" s="45">
        <v>476</v>
      </c>
      <c r="H323" s="44">
        <v>1.9</v>
      </c>
      <c r="I323" s="6">
        <f t="shared" ref="I323:I366" si="6">(G323*E323)*F323*H323</f>
        <v>474.80999999999995</v>
      </c>
      <c r="J323" s="45" t="s">
        <v>150</v>
      </c>
      <c r="K323" s="17"/>
    </row>
    <row r="324" spans="1:11" ht="13.95" customHeight="1" x14ac:dyDescent="0.3">
      <c r="A324" s="3">
        <v>45980</v>
      </c>
      <c r="B324" s="3" t="s">
        <v>1636</v>
      </c>
      <c r="C324" s="3" t="s">
        <v>5</v>
      </c>
      <c r="D324" s="3" t="s">
        <v>1259</v>
      </c>
      <c r="E324" s="4">
        <v>0.32</v>
      </c>
      <c r="F324" s="42">
        <v>1.75</v>
      </c>
      <c r="G324" s="45">
        <v>476</v>
      </c>
      <c r="H324" s="44">
        <v>1.9</v>
      </c>
      <c r="I324" s="6">
        <f t="shared" si="6"/>
        <v>506.464</v>
      </c>
      <c r="J324" s="45" t="s">
        <v>150</v>
      </c>
      <c r="K324" s="17"/>
    </row>
    <row r="325" spans="1:11" ht="13.95" customHeight="1" x14ac:dyDescent="0.3">
      <c r="A325" s="3">
        <v>45981</v>
      </c>
      <c r="B325" s="3" t="s">
        <v>1636</v>
      </c>
      <c r="C325" s="3" t="s">
        <v>8</v>
      </c>
      <c r="D325" s="3" t="s">
        <v>1259</v>
      </c>
      <c r="E325" s="4">
        <v>0.35</v>
      </c>
      <c r="F325" s="42">
        <v>1.85</v>
      </c>
      <c r="G325" s="45">
        <v>476</v>
      </c>
      <c r="H325" s="44">
        <v>1.9</v>
      </c>
      <c r="I325" s="6">
        <f t="shared" si="6"/>
        <v>585.59899999999993</v>
      </c>
      <c r="J325" s="45" t="s">
        <v>1522</v>
      </c>
      <c r="K325" s="17"/>
    </row>
    <row r="326" spans="1:11" ht="13.95" customHeight="1" x14ac:dyDescent="0.3">
      <c r="A326" s="3">
        <v>45982</v>
      </c>
      <c r="B326" s="3" t="s">
        <v>1636</v>
      </c>
      <c r="C326" s="3" t="s">
        <v>11</v>
      </c>
      <c r="D326" s="3" t="s">
        <v>14</v>
      </c>
      <c r="E326" s="4">
        <v>0.42</v>
      </c>
      <c r="F326" s="42">
        <v>1.95</v>
      </c>
      <c r="G326" s="45">
        <v>476</v>
      </c>
      <c r="H326" s="44">
        <v>1.9</v>
      </c>
      <c r="I326" s="6">
        <f t="shared" si="6"/>
        <v>740.70359999999994</v>
      </c>
      <c r="J326" s="45" t="s">
        <v>97</v>
      </c>
      <c r="K326" s="17"/>
    </row>
    <row r="327" spans="1:11" ht="13.95" customHeight="1" x14ac:dyDescent="0.3">
      <c r="A327" s="3">
        <v>45983</v>
      </c>
      <c r="B327" s="3" t="s">
        <v>1636</v>
      </c>
      <c r="C327" s="3" t="s">
        <v>13</v>
      </c>
      <c r="D327" s="3" t="s">
        <v>14</v>
      </c>
      <c r="E327" s="4">
        <v>0.52</v>
      </c>
      <c r="F327" s="42">
        <v>2.25</v>
      </c>
      <c r="G327" s="45">
        <v>476</v>
      </c>
      <c r="H327" s="44">
        <v>1.9</v>
      </c>
      <c r="I327" s="6">
        <f t="shared" si="6"/>
        <v>1058.1480000000001</v>
      </c>
      <c r="J327" s="45" t="s">
        <v>1626</v>
      </c>
      <c r="K327" s="17"/>
    </row>
    <row r="328" spans="1:11" ht="13.95" customHeight="1" x14ac:dyDescent="0.3">
      <c r="A328" s="3">
        <v>45984</v>
      </c>
      <c r="B328" s="3" t="s">
        <v>1636</v>
      </c>
      <c r="C328" s="3" t="s">
        <v>16</v>
      </c>
      <c r="D328" s="3" t="s">
        <v>14</v>
      </c>
      <c r="E328" s="4">
        <v>0.48</v>
      </c>
      <c r="F328" s="42">
        <v>2</v>
      </c>
      <c r="G328" s="45">
        <v>476</v>
      </c>
      <c r="H328" s="44">
        <v>1.9</v>
      </c>
      <c r="I328" s="6">
        <f t="shared" si="6"/>
        <v>868.22399999999993</v>
      </c>
      <c r="J328" s="45" t="s">
        <v>139</v>
      </c>
      <c r="K328" s="17"/>
    </row>
    <row r="329" spans="1:11" ht="13.95" customHeight="1" x14ac:dyDescent="0.3">
      <c r="A329" s="3">
        <v>45985</v>
      </c>
      <c r="B329" s="3" t="s">
        <v>1636</v>
      </c>
      <c r="C329" s="3" t="s">
        <v>18</v>
      </c>
      <c r="D329" s="3" t="s">
        <v>1259</v>
      </c>
      <c r="E329" s="4">
        <v>0.3</v>
      </c>
      <c r="F329" s="42">
        <v>1.75</v>
      </c>
      <c r="G329" s="45">
        <v>476</v>
      </c>
      <c r="H329" s="44">
        <v>1.9</v>
      </c>
      <c r="I329" s="6">
        <f t="shared" si="6"/>
        <v>474.80999999999995</v>
      </c>
      <c r="J329" s="45" t="s">
        <v>150</v>
      </c>
      <c r="K329" s="17"/>
    </row>
    <row r="330" spans="1:11" ht="13.95" customHeight="1" x14ac:dyDescent="0.3">
      <c r="A330" s="3">
        <v>45986</v>
      </c>
      <c r="B330" s="3" t="s">
        <v>1636</v>
      </c>
      <c r="C330" s="3" t="s">
        <v>20</v>
      </c>
      <c r="D330" s="3" t="s">
        <v>1259</v>
      </c>
      <c r="E330" s="4">
        <v>0.3</v>
      </c>
      <c r="F330" s="42">
        <v>1.75</v>
      </c>
      <c r="G330" s="45">
        <v>476</v>
      </c>
      <c r="H330" s="44">
        <v>1.9</v>
      </c>
      <c r="I330" s="6">
        <f t="shared" si="6"/>
        <v>474.80999999999995</v>
      </c>
      <c r="J330" s="45" t="s">
        <v>150</v>
      </c>
      <c r="K330" s="17"/>
    </row>
    <row r="331" spans="1:11" ht="13.95" customHeight="1" x14ac:dyDescent="0.3">
      <c r="A331" s="3">
        <v>45987</v>
      </c>
      <c r="B331" s="3" t="s">
        <v>1636</v>
      </c>
      <c r="C331" s="3" t="s">
        <v>5</v>
      </c>
      <c r="D331" s="3" t="s">
        <v>1259</v>
      </c>
      <c r="E331" s="4">
        <v>0.32</v>
      </c>
      <c r="F331" s="42">
        <v>1.8</v>
      </c>
      <c r="G331" s="45">
        <v>476</v>
      </c>
      <c r="H331" s="44">
        <v>1.9</v>
      </c>
      <c r="I331" s="6">
        <f t="shared" si="6"/>
        <v>520.93439999999998</v>
      </c>
      <c r="J331" s="45" t="s">
        <v>150</v>
      </c>
      <c r="K331" s="17"/>
    </row>
    <row r="332" spans="1:11" ht="13.95" customHeight="1" x14ac:dyDescent="0.3">
      <c r="A332" s="3">
        <v>45988</v>
      </c>
      <c r="B332" s="3" t="s">
        <v>1636</v>
      </c>
      <c r="C332" s="3" t="s">
        <v>8</v>
      </c>
      <c r="D332" s="3" t="s">
        <v>1259</v>
      </c>
      <c r="E332" s="4">
        <v>0.35</v>
      </c>
      <c r="F332" s="42">
        <v>1.85</v>
      </c>
      <c r="G332" s="45">
        <v>476</v>
      </c>
      <c r="H332" s="44">
        <v>1.9</v>
      </c>
      <c r="I332" s="6">
        <f t="shared" si="6"/>
        <v>585.59899999999993</v>
      </c>
      <c r="J332" s="45" t="s">
        <v>150</v>
      </c>
      <c r="K332" s="17"/>
    </row>
    <row r="333" spans="1:11" ht="13.95" customHeight="1" x14ac:dyDescent="0.3">
      <c r="A333" s="3">
        <v>45989</v>
      </c>
      <c r="B333" s="3" t="s">
        <v>1636</v>
      </c>
      <c r="C333" s="3" t="s">
        <v>11</v>
      </c>
      <c r="D333" s="3" t="s">
        <v>14</v>
      </c>
      <c r="E333" s="4">
        <v>0.45</v>
      </c>
      <c r="F333" s="42">
        <v>2</v>
      </c>
      <c r="G333" s="45">
        <v>476</v>
      </c>
      <c r="H333" s="44">
        <v>1.9</v>
      </c>
      <c r="I333" s="6">
        <f t="shared" si="6"/>
        <v>813.96</v>
      </c>
      <c r="J333" s="45" t="s">
        <v>97</v>
      </c>
      <c r="K333" s="17"/>
    </row>
    <row r="334" spans="1:11" ht="13.95" customHeight="1" x14ac:dyDescent="0.3">
      <c r="A334" s="3">
        <v>45990</v>
      </c>
      <c r="B334" s="3" t="s">
        <v>1636</v>
      </c>
      <c r="C334" s="3" t="s">
        <v>13</v>
      </c>
      <c r="D334" s="3" t="s">
        <v>14</v>
      </c>
      <c r="E334" s="4">
        <v>0.6</v>
      </c>
      <c r="F334" s="42">
        <v>2.35</v>
      </c>
      <c r="G334" s="45">
        <v>476</v>
      </c>
      <c r="H334" s="44">
        <v>1.9</v>
      </c>
      <c r="I334" s="6">
        <f t="shared" si="6"/>
        <v>1275.204</v>
      </c>
      <c r="J334" s="45" t="s">
        <v>1478</v>
      </c>
      <c r="K334" s="17"/>
    </row>
    <row r="335" spans="1:11" ht="13.95" customHeight="1" x14ac:dyDescent="0.3">
      <c r="A335" s="3">
        <v>45991</v>
      </c>
      <c r="B335" s="3" t="s">
        <v>1636</v>
      </c>
      <c r="C335" s="3" t="s">
        <v>16</v>
      </c>
      <c r="D335" s="3" t="s">
        <v>14</v>
      </c>
      <c r="E335" s="4">
        <v>0.55000000000000004</v>
      </c>
      <c r="F335" s="42">
        <v>2.0499999999999998</v>
      </c>
      <c r="G335" s="45">
        <v>476</v>
      </c>
      <c r="H335" s="44">
        <v>1.9</v>
      </c>
      <c r="I335" s="6">
        <f t="shared" si="6"/>
        <v>1019.7109999999998</v>
      </c>
      <c r="J335" s="45" t="s">
        <v>99</v>
      </c>
      <c r="K335" s="17"/>
    </row>
    <row r="336" spans="1:11" ht="13.95" customHeight="1" x14ac:dyDescent="0.3">
      <c r="A336" s="3">
        <v>45992</v>
      </c>
      <c r="B336" s="3" t="s">
        <v>1636</v>
      </c>
      <c r="C336" s="3" t="s">
        <v>18</v>
      </c>
      <c r="D336" s="3" t="s">
        <v>1259</v>
      </c>
      <c r="E336" s="4">
        <v>0.35</v>
      </c>
      <c r="F336" s="42">
        <v>1.75</v>
      </c>
      <c r="G336" s="45">
        <v>476</v>
      </c>
      <c r="H336" s="44">
        <v>1.9</v>
      </c>
      <c r="I336" s="6">
        <f t="shared" si="6"/>
        <v>553.94500000000005</v>
      </c>
      <c r="J336" s="45" t="s">
        <v>1627</v>
      </c>
      <c r="K336" s="17"/>
    </row>
    <row r="337" spans="1:11" ht="13.95" customHeight="1" x14ac:dyDescent="0.3">
      <c r="A337" s="3">
        <v>45993</v>
      </c>
      <c r="B337" s="3" t="s">
        <v>1636</v>
      </c>
      <c r="C337" s="3" t="s">
        <v>20</v>
      </c>
      <c r="D337" s="3" t="s">
        <v>1259</v>
      </c>
      <c r="E337" s="4">
        <v>0.32</v>
      </c>
      <c r="F337" s="42">
        <v>1.75</v>
      </c>
      <c r="G337" s="45">
        <v>476</v>
      </c>
      <c r="H337" s="44">
        <v>1.9</v>
      </c>
      <c r="I337" s="6">
        <f t="shared" si="6"/>
        <v>506.464</v>
      </c>
      <c r="J337" s="45" t="s">
        <v>1628</v>
      </c>
      <c r="K337" s="17"/>
    </row>
    <row r="338" spans="1:11" ht="13.95" customHeight="1" x14ac:dyDescent="0.3">
      <c r="A338" s="3">
        <v>45994</v>
      </c>
      <c r="B338" s="3" t="s">
        <v>1636</v>
      </c>
      <c r="C338" s="3" t="s">
        <v>5</v>
      </c>
      <c r="D338" s="3" t="s">
        <v>1259</v>
      </c>
      <c r="E338" s="4">
        <v>0.3</v>
      </c>
      <c r="F338" s="42">
        <v>1.75</v>
      </c>
      <c r="G338" s="45">
        <v>476</v>
      </c>
      <c r="H338" s="44">
        <v>1.9</v>
      </c>
      <c r="I338" s="6">
        <f t="shared" si="6"/>
        <v>474.80999999999995</v>
      </c>
      <c r="J338" s="45" t="s">
        <v>1628</v>
      </c>
      <c r="K338" s="17"/>
    </row>
    <row r="339" spans="1:11" ht="13.95" customHeight="1" x14ac:dyDescent="0.3">
      <c r="A339" s="3">
        <v>45995</v>
      </c>
      <c r="B339" s="3" t="s">
        <v>1636</v>
      </c>
      <c r="C339" s="3" t="s">
        <v>8</v>
      </c>
      <c r="D339" s="3" t="s">
        <v>1259</v>
      </c>
      <c r="E339" s="4">
        <v>0.35</v>
      </c>
      <c r="F339" s="42">
        <v>1.8</v>
      </c>
      <c r="G339" s="45">
        <v>476</v>
      </c>
      <c r="H339" s="44">
        <v>1.9</v>
      </c>
      <c r="I339" s="6">
        <f t="shared" si="6"/>
        <v>569.77199999999993</v>
      </c>
      <c r="J339" s="45" t="s">
        <v>1522</v>
      </c>
      <c r="K339" s="17"/>
    </row>
    <row r="340" spans="1:11" ht="13.95" customHeight="1" x14ac:dyDescent="0.3">
      <c r="A340" s="3">
        <v>45996</v>
      </c>
      <c r="B340" s="3" t="s">
        <v>1636</v>
      </c>
      <c r="C340" s="3" t="s">
        <v>11</v>
      </c>
      <c r="D340" s="3" t="s">
        <v>14</v>
      </c>
      <c r="E340" s="4">
        <v>0.45</v>
      </c>
      <c r="F340" s="42">
        <v>1.95</v>
      </c>
      <c r="G340" s="45">
        <v>476</v>
      </c>
      <c r="H340" s="44">
        <v>1.9</v>
      </c>
      <c r="I340" s="6">
        <f t="shared" si="6"/>
        <v>793.61099999999999</v>
      </c>
      <c r="J340" s="45" t="s">
        <v>1124</v>
      </c>
      <c r="K340" s="17"/>
    </row>
    <row r="341" spans="1:11" ht="13.95" customHeight="1" x14ac:dyDescent="0.3">
      <c r="A341" s="3">
        <v>45997</v>
      </c>
      <c r="B341" s="3" t="s">
        <v>1636</v>
      </c>
      <c r="C341" s="3" t="s">
        <v>13</v>
      </c>
      <c r="D341" s="3" t="s">
        <v>14</v>
      </c>
      <c r="E341" s="4">
        <v>0.57999999999999996</v>
      </c>
      <c r="F341" s="42">
        <v>2.2000000000000002</v>
      </c>
      <c r="G341" s="45">
        <v>476</v>
      </c>
      <c r="H341" s="44">
        <v>1.9</v>
      </c>
      <c r="I341" s="6">
        <f t="shared" si="6"/>
        <v>1154.0143999999998</v>
      </c>
      <c r="J341" s="45" t="s">
        <v>1558</v>
      </c>
      <c r="K341" s="17"/>
    </row>
    <row r="342" spans="1:11" ht="13.95" customHeight="1" x14ac:dyDescent="0.3">
      <c r="A342" s="3">
        <v>45998</v>
      </c>
      <c r="B342" s="3" t="s">
        <v>1636</v>
      </c>
      <c r="C342" s="3" t="s">
        <v>16</v>
      </c>
      <c r="D342" s="3" t="s">
        <v>14</v>
      </c>
      <c r="E342" s="4">
        <v>0.5</v>
      </c>
      <c r="F342" s="42">
        <v>2</v>
      </c>
      <c r="G342" s="45">
        <v>476</v>
      </c>
      <c r="H342" s="44">
        <v>1.9</v>
      </c>
      <c r="I342" s="6">
        <f t="shared" si="6"/>
        <v>904.4</v>
      </c>
      <c r="J342" s="45" t="s">
        <v>139</v>
      </c>
      <c r="K342" s="17"/>
    </row>
    <row r="343" spans="1:11" ht="13.95" customHeight="1" x14ac:dyDescent="0.3">
      <c r="A343" s="3">
        <v>45999</v>
      </c>
      <c r="B343" s="3" t="s">
        <v>1636</v>
      </c>
      <c r="C343" s="3" t="s">
        <v>18</v>
      </c>
      <c r="D343" s="3" t="s">
        <v>1259</v>
      </c>
      <c r="E343" s="4">
        <v>0.32</v>
      </c>
      <c r="F343" s="42">
        <v>1.75</v>
      </c>
      <c r="G343" s="45">
        <v>476</v>
      </c>
      <c r="H343" s="44">
        <v>1.9</v>
      </c>
      <c r="I343" s="6">
        <f t="shared" si="6"/>
        <v>506.464</v>
      </c>
      <c r="J343" s="45" t="s">
        <v>150</v>
      </c>
      <c r="K343" s="17"/>
    </row>
    <row r="344" spans="1:11" ht="13.95" customHeight="1" x14ac:dyDescent="0.3">
      <c r="A344" s="3">
        <v>46000</v>
      </c>
      <c r="B344" s="3" t="s">
        <v>1636</v>
      </c>
      <c r="C344" s="3" t="s">
        <v>20</v>
      </c>
      <c r="D344" s="3" t="s">
        <v>1259</v>
      </c>
      <c r="E344" s="4">
        <v>0.3</v>
      </c>
      <c r="F344" s="42">
        <v>1.75</v>
      </c>
      <c r="G344" s="45">
        <v>476</v>
      </c>
      <c r="H344" s="44">
        <v>1.9</v>
      </c>
      <c r="I344" s="6">
        <f t="shared" si="6"/>
        <v>474.80999999999995</v>
      </c>
      <c r="J344" s="45" t="s">
        <v>150</v>
      </c>
      <c r="K344" s="17"/>
    </row>
    <row r="345" spans="1:11" ht="13.95" customHeight="1" x14ac:dyDescent="0.3">
      <c r="A345" s="3">
        <v>46001</v>
      </c>
      <c r="B345" s="3" t="s">
        <v>1636</v>
      </c>
      <c r="C345" s="3" t="s">
        <v>5</v>
      </c>
      <c r="D345" s="3" t="s">
        <v>1259</v>
      </c>
      <c r="E345" s="4">
        <v>0.3</v>
      </c>
      <c r="F345" s="42">
        <v>1.75</v>
      </c>
      <c r="G345" s="45">
        <v>476</v>
      </c>
      <c r="H345" s="44">
        <v>1.9</v>
      </c>
      <c r="I345" s="6">
        <f t="shared" si="6"/>
        <v>474.80999999999995</v>
      </c>
      <c r="J345" s="45" t="s">
        <v>150</v>
      </c>
      <c r="K345" s="17"/>
    </row>
    <row r="346" spans="1:11" ht="13.95" customHeight="1" x14ac:dyDescent="0.3">
      <c r="A346" s="3">
        <v>46002</v>
      </c>
      <c r="B346" s="3" t="s">
        <v>1636</v>
      </c>
      <c r="C346" s="3" t="s">
        <v>8</v>
      </c>
      <c r="D346" s="3" t="s">
        <v>1259</v>
      </c>
      <c r="E346" s="4">
        <v>0.35</v>
      </c>
      <c r="F346" s="42">
        <v>1.8</v>
      </c>
      <c r="G346" s="45">
        <v>476</v>
      </c>
      <c r="H346" s="44">
        <v>1.9</v>
      </c>
      <c r="I346" s="6">
        <f t="shared" si="6"/>
        <v>569.77199999999993</v>
      </c>
      <c r="J346" s="45" t="s">
        <v>1410</v>
      </c>
      <c r="K346" s="17"/>
    </row>
    <row r="347" spans="1:11" ht="13.95" customHeight="1" x14ac:dyDescent="0.3">
      <c r="A347" s="3">
        <v>46003</v>
      </c>
      <c r="B347" s="3" t="s">
        <v>1636</v>
      </c>
      <c r="C347" s="3" t="s">
        <v>11</v>
      </c>
      <c r="D347" s="3" t="s">
        <v>14</v>
      </c>
      <c r="E347" s="4">
        <v>0.48</v>
      </c>
      <c r="F347" s="42">
        <v>1.95</v>
      </c>
      <c r="G347" s="45">
        <v>476</v>
      </c>
      <c r="H347" s="44">
        <v>1.9</v>
      </c>
      <c r="I347" s="6">
        <f t="shared" si="6"/>
        <v>846.51839999999982</v>
      </c>
      <c r="J347" s="45" t="s">
        <v>97</v>
      </c>
      <c r="K347" s="17"/>
    </row>
    <row r="348" spans="1:11" ht="13.95" customHeight="1" x14ac:dyDescent="0.3">
      <c r="A348" s="3">
        <v>46004</v>
      </c>
      <c r="B348" s="3" t="s">
        <v>1636</v>
      </c>
      <c r="C348" s="3" t="s">
        <v>13</v>
      </c>
      <c r="D348" s="3" t="s">
        <v>14</v>
      </c>
      <c r="E348" s="4">
        <v>0.65</v>
      </c>
      <c r="F348" s="42">
        <v>2.2999999999999998</v>
      </c>
      <c r="G348" s="45">
        <v>476</v>
      </c>
      <c r="H348" s="44">
        <v>1.9</v>
      </c>
      <c r="I348" s="6">
        <f t="shared" si="6"/>
        <v>1352.078</v>
      </c>
      <c r="J348" s="45" t="s">
        <v>1474</v>
      </c>
      <c r="K348" s="17"/>
    </row>
    <row r="349" spans="1:11" ht="13.95" customHeight="1" x14ac:dyDescent="0.3">
      <c r="A349" s="3">
        <v>46005</v>
      </c>
      <c r="B349" s="3" t="s">
        <v>1636</v>
      </c>
      <c r="C349" s="3" t="s">
        <v>16</v>
      </c>
      <c r="D349" s="3" t="s">
        <v>14</v>
      </c>
      <c r="E349" s="4">
        <v>0.55000000000000004</v>
      </c>
      <c r="F349" s="42">
        <v>2.1</v>
      </c>
      <c r="G349" s="45">
        <v>476</v>
      </c>
      <c r="H349" s="44">
        <v>1.9</v>
      </c>
      <c r="I349" s="6">
        <f t="shared" si="6"/>
        <v>1044.5820000000001</v>
      </c>
      <c r="J349" s="45" t="s">
        <v>149</v>
      </c>
      <c r="K349" s="17"/>
    </row>
    <row r="350" spans="1:11" ht="13.95" customHeight="1" x14ac:dyDescent="0.3">
      <c r="A350" s="3">
        <v>46006</v>
      </c>
      <c r="B350" s="3" t="s">
        <v>1636</v>
      </c>
      <c r="C350" s="3" t="s">
        <v>18</v>
      </c>
      <c r="D350" s="3" t="s">
        <v>1259</v>
      </c>
      <c r="E350" s="4">
        <v>0.3</v>
      </c>
      <c r="F350" s="42">
        <v>1.75</v>
      </c>
      <c r="G350" s="45">
        <v>476</v>
      </c>
      <c r="H350" s="44">
        <v>1.9</v>
      </c>
      <c r="I350" s="6">
        <f t="shared" si="6"/>
        <v>474.80999999999995</v>
      </c>
      <c r="J350" s="45" t="s">
        <v>1486</v>
      </c>
      <c r="K350" s="17"/>
    </row>
    <row r="351" spans="1:11" ht="13.95" customHeight="1" x14ac:dyDescent="0.3">
      <c r="A351" s="3">
        <v>46007</v>
      </c>
      <c r="B351" s="3" t="s">
        <v>1636</v>
      </c>
      <c r="C351" s="3" t="s">
        <v>20</v>
      </c>
      <c r="D351" s="3" t="s">
        <v>1259</v>
      </c>
      <c r="E351" s="4">
        <v>0.28000000000000003</v>
      </c>
      <c r="F351" s="42">
        <v>1.75</v>
      </c>
      <c r="G351" s="45">
        <v>476</v>
      </c>
      <c r="H351" s="44">
        <v>1.9</v>
      </c>
      <c r="I351" s="6">
        <f t="shared" si="6"/>
        <v>443.15600000000001</v>
      </c>
      <c r="J351" s="45" t="s">
        <v>1487</v>
      </c>
      <c r="K351" s="17"/>
    </row>
    <row r="352" spans="1:11" ht="13.95" customHeight="1" x14ac:dyDescent="0.3">
      <c r="A352" s="3">
        <v>46008</v>
      </c>
      <c r="B352" s="3" t="s">
        <v>1636</v>
      </c>
      <c r="C352" s="3" t="s">
        <v>5</v>
      </c>
      <c r="D352" s="3" t="s">
        <v>1259</v>
      </c>
      <c r="E352" s="4">
        <v>0.3</v>
      </c>
      <c r="F352" s="42">
        <v>1.8</v>
      </c>
      <c r="G352" s="45">
        <v>476</v>
      </c>
      <c r="H352" s="44">
        <v>1.9</v>
      </c>
      <c r="I352" s="6">
        <f t="shared" si="6"/>
        <v>488.37599999999992</v>
      </c>
      <c r="J352" s="45" t="s">
        <v>150</v>
      </c>
      <c r="K352" s="17"/>
    </row>
    <row r="353" spans="1:11" ht="13.95" customHeight="1" x14ac:dyDescent="0.3">
      <c r="A353" s="3">
        <v>46009</v>
      </c>
      <c r="B353" s="3" t="s">
        <v>1636</v>
      </c>
      <c r="C353" s="3" t="s">
        <v>8</v>
      </c>
      <c r="D353" s="3" t="s">
        <v>44</v>
      </c>
      <c r="E353" s="4">
        <v>0.4</v>
      </c>
      <c r="F353" s="42">
        <v>1.9</v>
      </c>
      <c r="G353" s="45">
        <v>476</v>
      </c>
      <c r="H353" s="44">
        <v>1.9</v>
      </c>
      <c r="I353" s="6">
        <f t="shared" si="6"/>
        <v>687.34399999999994</v>
      </c>
      <c r="J353" s="45" t="s">
        <v>1559</v>
      </c>
      <c r="K353" s="17"/>
    </row>
    <row r="354" spans="1:11" ht="13.95" customHeight="1" x14ac:dyDescent="0.3">
      <c r="A354" s="3">
        <v>46010</v>
      </c>
      <c r="B354" s="3" t="s">
        <v>1636</v>
      </c>
      <c r="C354" s="3" t="s">
        <v>11</v>
      </c>
      <c r="D354" s="3" t="s">
        <v>658</v>
      </c>
      <c r="E354" s="4">
        <v>0.55000000000000004</v>
      </c>
      <c r="F354" s="42">
        <v>2.0499999999999998</v>
      </c>
      <c r="G354" s="45">
        <v>476</v>
      </c>
      <c r="H354" s="44">
        <v>1.9</v>
      </c>
      <c r="I354" s="6">
        <f t="shared" si="6"/>
        <v>1019.7109999999998</v>
      </c>
      <c r="J354" s="45" t="s">
        <v>1560</v>
      </c>
      <c r="K354" s="17"/>
    </row>
    <row r="355" spans="1:11" ht="13.95" customHeight="1" x14ac:dyDescent="0.3">
      <c r="A355" s="3">
        <v>46011</v>
      </c>
      <c r="B355" s="3" t="s">
        <v>1636</v>
      </c>
      <c r="C355" s="3" t="s">
        <v>13</v>
      </c>
      <c r="D355" s="3" t="s">
        <v>658</v>
      </c>
      <c r="E355" s="4">
        <v>0.72</v>
      </c>
      <c r="F355" s="42">
        <v>2.2000000000000002</v>
      </c>
      <c r="G355" s="45">
        <v>476</v>
      </c>
      <c r="H355" s="44">
        <v>1.9</v>
      </c>
      <c r="I355" s="6">
        <f t="shared" si="6"/>
        <v>1432.5696</v>
      </c>
      <c r="J355" s="45" t="s">
        <v>1629</v>
      </c>
      <c r="K355" s="17"/>
    </row>
    <row r="356" spans="1:11" ht="13.95" customHeight="1" x14ac:dyDescent="0.3">
      <c r="A356" s="3">
        <v>46012</v>
      </c>
      <c r="B356" s="3" t="s">
        <v>1636</v>
      </c>
      <c r="C356" s="3" t="s">
        <v>16</v>
      </c>
      <c r="D356" s="3" t="s">
        <v>658</v>
      </c>
      <c r="E356" s="4">
        <v>0.68</v>
      </c>
      <c r="F356" s="42">
        <v>2.1</v>
      </c>
      <c r="G356" s="45">
        <v>476</v>
      </c>
      <c r="H356" s="44">
        <v>1.9</v>
      </c>
      <c r="I356" s="6">
        <f t="shared" si="6"/>
        <v>1291.4832000000001</v>
      </c>
      <c r="J356" s="45" t="s">
        <v>1404</v>
      </c>
      <c r="K356" s="17"/>
    </row>
    <row r="357" spans="1:11" ht="13.95" customHeight="1" x14ac:dyDescent="0.3">
      <c r="A357" s="3">
        <v>46013</v>
      </c>
      <c r="B357" s="3" t="s">
        <v>1636</v>
      </c>
      <c r="C357" s="3" t="s">
        <v>18</v>
      </c>
      <c r="D357" s="3" t="s">
        <v>658</v>
      </c>
      <c r="E357" s="4">
        <v>0.65</v>
      </c>
      <c r="F357" s="42">
        <v>2.0499999999999998</v>
      </c>
      <c r="G357" s="45">
        <v>476</v>
      </c>
      <c r="H357" s="44">
        <v>1.9</v>
      </c>
      <c r="I357" s="6">
        <f t="shared" si="6"/>
        <v>1205.1129999999998</v>
      </c>
      <c r="J357" s="45" t="s">
        <v>717</v>
      </c>
      <c r="K357" s="17"/>
    </row>
    <row r="358" spans="1:11" ht="13.95" customHeight="1" x14ac:dyDescent="0.3">
      <c r="A358" s="3">
        <v>46014</v>
      </c>
      <c r="B358" s="3" t="s">
        <v>1636</v>
      </c>
      <c r="C358" s="3" t="s">
        <v>20</v>
      </c>
      <c r="D358" s="3" t="s">
        <v>658</v>
      </c>
      <c r="E358" s="4">
        <v>0.7</v>
      </c>
      <c r="F358" s="42">
        <v>2.15</v>
      </c>
      <c r="G358" s="45">
        <v>476</v>
      </c>
      <c r="H358" s="44">
        <v>1.9</v>
      </c>
      <c r="I358" s="6">
        <f t="shared" si="6"/>
        <v>1361.1219999999998</v>
      </c>
      <c r="J358" s="45" t="s">
        <v>1561</v>
      </c>
      <c r="K358" s="17"/>
    </row>
    <row r="359" spans="1:11" ht="13.95" customHeight="1" x14ac:dyDescent="0.3">
      <c r="A359" s="3">
        <v>46015</v>
      </c>
      <c r="B359" s="3" t="s">
        <v>1636</v>
      </c>
      <c r="C359" s="3" t="s">
        <v>5</v>
      </c>
      <c r="D359" s="3" t="s">
        <v>662</v>
      </c>
      <c r="E359" s="4">
        <v>0.88</v>
      </c>
      <c r="F359" s="42">
        <v>2.75</v>
      </c>
      <c r="G359" s="45">
        <v>476</v>
      </c>
      <c r="H359" s="44">
        <v>1.9</v>
      </c>
      <c r="I359" s="6">
        <f t="shared" si="6"/>
        <v>2188.6480000000001</v>
      </c>
      <c r="J359" s="45" t="s">
        <v>1562</v>
      </c>
      <c r="K359" s="17"/>
    </row>
    <row r="360" spans="1:11" ht="13.95" customHeight="1" x14ac:dyDescent="0.3">
      <c r="A360" s="3">
        <v>46016</v>
      </c>
      <c r="B360" s="3" t="s">
        <v>1636</v>
      </c>
      <c r="C360" s="3" t="s">
        <v>8</v>
      </c>
      <c r="D360" s="3" t="s">
        <v>299</v>
      </c>
      <c r="E360" s="4">
        <v>0.82</v>
      </c>
      <c r="F360" s="42">
        <v>2.4</v>
      </c>
      <c r="G360" s="45">
        <v>476</v>
      </c>
      <c r="H360" s="44">
        <v>1.9</v>
      </c>
      <c r="I360" s="6">
        <f t="shared" si="6"/>
        <v>1779.8591999999996</v>
      </c>
      <c r="J360" s="45" t="s">
        <v>517</v>
      </c>
      <c r="K360" s="17"/>
    </row>
    <row r="361" spans="1:11" ht="13.95" customHeight="1" x14ac:dyDescent="0.3">
      <c r="A361" s="3">
        <v>46017</v>
      </c>
      <c r="B361" s="3" t="s">
        <v>1636</v>
      </c>
      <c r="C361" s="3" t="s">
        <v>11</v>
      </c>
      <c r="D361" s="3" t="s">
        <v>1564</v>
      </c>
      <c r="E361" s="4">
        <v>0.85</v>
      </c>
      <c r="F361" s="42">
        <v>2.25</v>
      </c>
      <c r="G361" s="45">
        <v>476</v>
      </c>
      <c r="H361" s="44">
        <v>1.9</v>
      </c>
      <c r="I361" s="6">
        <f t="shared" si="6"/>
        <v>1729.6649999999997</v>
      </c>
      <c r="J361" s="45" t="s">
        <v>1463</v>
      </c>
      <c r="K361" s="17"/>
    </row>
    <row r="362" spans="1:11" ht="13.95" customHeight="1" x14ac:dyDescent="0.3">
      <c r="A362" s="3">
        <v>46018</v>
      </c>
      <c r="B362" s="3" t="s">
        <v>1636</v>
      </c>
      <c r="C362" s="3" t="s">
        <v>13</v>
      </c>
      <c r="D362" s="3" t="s">
        <v>1564</v>
      </c>
      <c r="E362" s="4">
        <v>0.92</v>
      </c>
      <c r="F362" s="42">
        <v>2.5</v>
      </c>
      <c r="G362" s="45">
        <v>476</v>
      </c>
      <c r="H362" s="44">
        <v>1.9</v>
      </c>
      <c r="I362" s="6">
        <f t="shared" si="6"/>
        <v>2080.12</v>
      </c>
      <c r="J362" s="45" t="s">
        <v>1323</v>
      </c>
      <c r="K362" s="17"/>
    </row>
    <row r="363" spans="1:11" ht="13.95" customHeight="1" x14ac:dyDescent="0.3">
      <c r="A363" s="3">
        <v>46019</v>
      </c>
      <c r="B363" s="3" t="s">
        <v>1636</v>
      </c>
      <c r="C363" s="3" t="s">
        <v>16</v>
      </c>
      <c r="D363" s="3" t="s">
        <v>1564</v>
      </c>
      <c r="E363" s="4">
        <v>0.88</v>
      </c>
      <c r="F363" s="42">
        <v>2.2999999999999998</v>
      </c>
      <c r="G363" s="45">
        <v>476</v>
      </c>
      <c r="H363" s="44">
        <v>1.9</v>
      </c>
      <c r="I363" s="6">
        <f t="shared" si="6"/>
        <v>1830.5055999999997</v>
      </c>
      <c r="J363" s="45" t="s">
        <v>1336</v>
      </c>
      <c r="K363" s="17"/>
    </row>
    <row r="364" spans="1:11" ht="13.95" customHeight="1" x14ac:dyDescent="0.3">
      <c r="A364" s="3">
        <v>46020</v>
      </c>
      <c r="B364" s="3" t="s">
        <v>1636</v>
      </c>
      <c r="C364" s="3" t="s">
        <v>18</v>
      </c>
      <c r="D364" s="3" t="s">
        <v>1565</v>
      </c>
      <c r="E364" s="4">
        <v>0.92</v>
      </c>
      <c r="F364" s="42">
        <v>2.25</v>
      </c>
      <c r="G364" s="45">
        <v>476</v>
      </c>
      <c r="H364" s="44">
        <v>1.9</v>
      </c>
      <c r="I364" s="6">
        <f t="shared" si="6"/>
        <v>1872.1079999999999</v>
      </c>
      <c r="J364" s="45" t="s">
        <v>531</v>
      </c>
      <c r="K364" s="17"/>
    </row>
    <row r="365" spans="1:11" ht="13.95" customHeight="1" x14ac:dyDescent="0.3">
      <c r="A365" s="3">
        <v>46021</v>
      </c>
      <c r="B365" s="3" t="s">
        <v>1636</v>
      </c>
      <c r="C365" s="3" t="s">
        <v>20</v>
      </c>
      <c r="D365" s="3" t="s">
        <v>1565</v>
      </c>
      <c r="E365" s="4">
        <v>0.95</v>
      </c>
      <c r="F365" s="42">
        <v>2.5499999999999998</v>
      </c>
      <c r="G365" s="45">
        <v>476</v>
      </c>
      <c r="H365" s="44">
        <v>1.9</v>
      </c>
      <c r="I365" s="6">
        <f t="shared" si="6"/>
        <v>2190.9089999999997</v>
      </c>
      <c r="J365" s="45" t="s">
        <v>1566</v>
      </c>
      <c r="K365" s="17"/>
    </row>
    <row r="366" spans="1:11" ht="13.95" customHeight="1" x14ac:dyDescent="0.3">
      <c r="A366" s="3">
        <v>46022</v>
      </c>
      <c r="B366" s="3" t="s">
        <v>1636</v>
      </c>
      <c r="C366" s="3" t="s">
        <v>5</v>
      </c>
      <c r="D366" s="3" t="s">
        <v>1567</v>
      </c>
      <c r="E366" s="4">
        <v>1</v>
      </c>
      <c r="F366" s="42">
        <v>3.25</v>
      </c>
      <c r="G366" s="45">
        <v>476</v>
      </c>
      <c r="H366" s="44">
        <v>1.9</v>
      </c>
      <c r="I366" s="6">
        <f t="shared" si="6"/>
        <v>2939.2999999999997</v>
      </c>
      <c r="J366" s="45" t="s">
        <v>1568</v>
      </c>
      <c r="K366" s="1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CC31F-63E0-496B-B5C6-476C373CE203}">
  <sheetPr>
    <tabColor theme="8" tint="-0.249977111117893"/>
  </sheetPr>
  <dimension ref="A1:M351"/>
  <sheetViews>
    <sheetView topLeftCell="A325" workbookViewId="0">
      <selection activeCell="A331" sqref="A331:XFD331"/>
    </sheetView>
  </sheetViews>
  <sheetFormatPr baseColWidth="10" defaultRowHeight="14.4" x14ac:dyDescent="0.3"/>
  <cols>
    <col min="1" max="1" width="13.5546875" customWidth="1"/>
    <col min="2" max="2" width="26.44140625" customWidth="1"/>
    <col min="10" max="10" width="30.6640625" customWidth="1"/>
  </cols>
  <sheetData>
    <row r="1" spans="1:13" ht="28.2" thickBot="1" x14ac:dyDescent="0.35">
      <c r="A1" s="1" t="s">
        <v>333</v>
      </c>
      <c r="B1" s="1" t="s">
        <v>670</v>
      </c>
      <c r="C1" s="34" t="s">
        <v>0</v>
      </c>
      <c r="D1" s="34" t="s">
        <v>1</v>
      </c>
      <c r="E1" s="37" t="s">
        <v>2</v>
      </c>
      <c r="F1" s="41" t="s">
        <v>3</v>
      </c>
      <c r="G1" s="47" t="s">
        <v>359</v>
      </c>
      <c r="H1" s="35" t="s">
        <v>360</v>
      </c>
      <c r="I1" s="47" t="s">
        <v>361</v>
      </c>
      <c r="J1" s="27" t="s">
        <v>4</v>
      </c>
      <c r="L1">
        <v>377</v>
      </c>
      <c r="M1">
        <v>2.2000000000000002</v>
      </c>
    </row>
    <row r="2" spans="1:13" ht="13.95" customHeight="1" x14ac:dyDescent="0.3">
      <c r="A2" s="3">
        <v>45658</v>
      </c>
      <c r="B2" s="3" t="s">
        <v>1723</v>
      </c>
      <c r="C2" s="19" t="s">
        <v>16</v>
      </c>
      <c r="D2" s="19" t="s">
        <v>735</v>
      </c>
      <c r="E2" s="4">
        <v>0.9</v>
      </c>
      <c r="F2" s="42">
        <v>2.4</v>
      </c>
      <c r="G2" s="45">
        <v>377</v>
      </c>
      <c r="H2" s="22">
        <v>2.2000000000000002</v>
      </c>
      <c r="I2" s="30">
        <f t="shared" ref="I2" si="0">(G2*E2)*F2*H2</f>
        <v>1791.5040000000004</v>
      </c>
      <c r="J2" s="6" t="s">
        <v>1638</v>
      </c>
      <c r="K2" s="17"/>
    </row>
    <row r="3" spans="1:13" ht="13.95" customHeight="1" x14ac:dyDescent="0.3">
      <c r="A3" s="3">
        <v>45659</v>
      </c>
      <c r="B3" s="3" t="s">
        <v>1723</v>
      </c>
      <c r="C3" s="19" t="s">
        <v>8</v>
      </c>
      <c r="D3" s="19" t="s">
        <v>1259</v>
      </c>
      <c r="E3" s="4">
        <v>0.4</v>
      </c>
      <c r="F3" s="42">
        <v>1.75</v>
      </c>
      <c r="G3" s="45">
        <v>377</v>
      </c>
      <c r="H3" s="22">
        <v>2.2000000000000002</v>
      </c>
      <c r="I3" s="30">
        <f t="shared" ref="I3:I4" si="1">(G3*E3)*F3*H3</f>
        <v>580.58000000000015</v>
      </c>
      <c r="J3" s="6" t="s">
        <v>1639</v>
      </c>
      <c r="K3" s="17"/>
    </row>
    <row r="4" spans="1:13" ht="13.95" customHeight="1" x14ac:dyDescent="0.3">
      <c r="A4" s="3">
        <v>45660</v>
      </c>
      <c r="B4" s="3" t="s">
        <v>1723</v>
      </c>
      <c r="C4" s="19" t="s">
        <v>11</v>
      </c>
      <c r="D4" s="19" t="s">
        <v>14</v>
      </c>
      <c r="E4" s="4">
        <v>0.5</v>
      </c>
      <c r="F4" s="42">
        <v>1.85</v>
      </c>
      <c r="G4" s="45">
        <v>377</v>
      </c>
      <c r="H4" s="22">
        <v>2.2000000000000002</v>
      </c>
      <c r="I4" s="30">
        <f t="shared" si="1"/>
        <v>767.19500000000016</v>
      </c>
      <c r="J4" s="6" t="s">
        <v>268</v>
      </c>
      <c r="K4" s="17"/>
    </row>
    <row r="5" spans="1:13" ht="13.95" customHeight="1" x14ac:dyDescent="0.3">
      <c r="A5" s="3">
        <v>45661</v>
      </c>
      <c r="B5" s="3" t="s">
        <v>1723</v>
      </c>
      <c r="C5" s="19" t="s">
        <v>13</v>
      </c>
      <c r="D5" s="19" t="s">
        <v>14</v>
      </c>
      <c r="E5" s="4">
        <v>0.7</v>
      </c>
      <c r="F5" s="42">
        <v>2.1</v>
      </c>
      <c r="G5" s="45">
        <v>377</v>
      </c>
      <c r="H5" s="22">
        <v>2.2000000000000002</v>
      </c>
      <c r="I5" s="30">
        <f t="shared" ref="I5:I68" si="2">(G5*E5)*F5*H5</f>
        <v>1219.2180000000001</v>
      </c>
      <c r="J5" s="6" t="s">
        <v>1640</v>
      </c>
      <c r="K5" s="17"/>
    </row>
    <row r="6" spans="1:13" ht="13.95" customHeight="1" x14ac:dyDescent="0.3">
      <c r="A6" s="3">
        <v>45662</v>
      </c>
      <c r="B6" s="3" t="s">
        <v>1723</v>
      </c>
      <c r="C6" s="19" t="s">
        <v>16</v>
      </c>
      <c r="D6" s="19" t="s">
        <v>14</v>
      </c>
      <c r="E6" s="4">
        <v>0.6</v>
      </c>
      <c r="F6" s="42">
        <v>1.95</v>
      </c>
      <c r="G6" s="45">
        <v>377</v>
      </c>
      <c r="H6" s="22">
        <v>2.2000000000000002</v>
      </c>
      <c r="I6" s="30">
        <f t="shared" si="2"/>
        <v>970.39800000000002</v>
      </c>
      <c r="J6" s="6" t="s">
        <v>139</v>
      </c>
      <c r="K6" s="17"/>
    </row>
    <row r="7" spans="1:13" ht="13.95" customHeight="1" x14ac:dyDescent="0.3">
      <c r="A7" s="3">
        <v>45663</v>
      </c>
      <c r="B7" s="3" t="s">
        <v>1723</v>
      </c>
      <c r="C7" s="19" t="s">
        <v>18</v>
      </c>
      <c r="D7" s="19" t="s">
        <v>1259</v>
      </c>
      <c r="E7" s="4">
        <v>0.35</v>
      </c>
      <c r="F7" s="42">
        <v>1.7</v>
      </c>
      <c r="G7" s="45">
        <v>377</v>
      </c>
      <c r="H7" s="22">
        <v>2.2000000000000002</v>
      </c>
      <c r="I7" s="30">
        <f t="shared" si="2"/>
        <v>493.49299999999999</v>
      </c>
      <c r="J7" s="6" t="s">
        <v>150</v>
      </c>
      <c r="K7" s="17"/>
    </row>
    <row r="8" spans="1:13" ht="13.95" customHeight="1" x14ac:dyDescent="0.3">
      <c r="A8" s="3">
        <v>45664</v>
      </c>
      <c r="B8" s="3" t="s">
        <v>1723</v>
      </c>
      <c r="C8" s="19" t="s">
        <v>20</v>
      </c>
      <c r="D8" s="19" t="s">
        <v>1259</v>
      </c>
      <c r="E8" s="4">
        <v>0.3</v>
      </c>
      <c r="F8" s="42">
        <v>1.7</v>
      </c>
      <c r="G8" s="45">
        <v>377</v>
      </c>
      <c r="H8" s="22">
        <v>2.2000000000000002</v>
      </c>
      <c r="I8" s="30">
        <f t="shared" si="2"/>
        <v>422.99399999999997</v>
      </c>
      <c r="J8" s="6" t="s">
        <v>150</v>
      </c>
      <c r="K8" s="17"/>
    </row>
    <row r="9" spans="1:13" ht="13.95" customHeight="1" x14ac:dyDescent="0.3">
      <c r="A9" s="3">
        <v>45665</v>
      </c>
      <c r="B9" s="3" t="s">
        <v>1723</v>
      </c>
      <c r="C9" s="19" t="s">
        <v>5</v>
      </c>
      <c r="D9" s="19" t="s">
        <v>1259</v>
      </c>
      <c r="E9" s="4">
        <v>0.35</v>
      </c>
      <c r="F9" s="42">
        <v>1.75</v>
      </c>
      <c r="G9" s="45">
        <v>377</v>
      </c>
      <c r="H9" s="22">
        <v>2.2000000000000002</v>
      </c>
      <c r="I9" s="30">
        <f t="shared" si="2"/>
        <v>508.00749999999999</v>
      </c>
      <c r="J9" s="6" t="s">
        <v>1641</v>
      </c>
      <c r="K9" s="17"/>
    </row>
    <row r="10" spans="1:13" ht="13.95" customHeight="1" x14ac:dyDescent="0.3">
      <c r="A10" s="3">
        <v>45666</v>
      </c>
      <c r="B10" s="3" t="s">
        <v>1723</v>
      </c>
      <c r="C10" s="19" t="s">
        <v>8</v>
      </c>
      <c r="D10" s="19" t="s">
        <v>1259</v>
      </c>
      <c r="E10" s="4">
        <v>0.4</v>
      </c>
      <c r="F10" s="42">
        <v>1.75</v>
      </c>
      <c r="G10" s="45">
        <v>377</v>
      </c>
      <c r="H10" s="22">
        <v>2.2000000000000002</v>
      </c>
      <c r="I10" s="30">
        <f t="shared" si="2"/>
        <v>580.58000000000015</v>
      </c>
      <c r="J10" s="6" t="s">
        <v>1410</v>
      </c>
      <c r="K10" s="17"/>
    </row>
    <row r="11" spans="1:13" ht="13.95" customHeight="1" x14ac:dyDescent="0.3">
      <c r="A11" s="3">
        <v>45667</v>
      </c>
      <c r="B11" s="3" t="s">
        <v>1723</v>
      </c>
      <c r="C11" s="19" t="s">
        <v>11</v>
      </c>
      <c r="D11" s="19" t="s">
        <v>14</v>
      </c>
      <c r="E11" s="4">
        <v>0.55000000000000004</v>
      </c>
      <c r="F11" s="42">
        <v>1.9</v>
      </c>
      <c r="G11" s="45">
        <v>377</v>
      </c>
      <c r="H11" s="22">
        <v>2.2000000000000002</v>
      </c>
      <c r="I11" s="30">
        <f t="shared" si="2"/>
        <v>866.72300000000018</v>
      </c>
      <c r="J11" s="6" t="s">
        <v>97</v>
      </c>
      <c r="K11" s="17"/>
    </row>
    <row r="12" spans="1:13" ht="13.95" customHeight="1" x14ac:dyDescent="0.3">
      <c r="A12" s="3">
        <v>45668</v>
      </c>
      <c r="B12" s="3" t="s">
        <v>1723</v>
      </c>
      <c r="C12" s="19" t="s">
        <v>13</v>
      </c>
      <c r="D12" s="19" t="s">
        <v>14</v>
      </c>
      <c r="E12" s="4">
        <v>0.75</v>
      </c>
      <c r="F12" s="42">
        <v>2.15</v>
      </c>
      <c r="G12" s="45">
        <v>377</v>
      </c>
      <c r="H12" s="22">
        <v>2.2000000000000002</v>
      </c>
      <c r="I12" s="30">
        <f t="shared" si="2"/>
        <v>1337.4075000000003</v>
      </c>
      <c r="J12" s="6" t="s">
        <v>1642</v>
      </c>
      <c r="K12" s="17"/>
    </row>
    <row r="13" spans="1:13" ht="13.95" customHeight="1" x14ac:dyDescent="0.3">
      <c r="A13" s="3">
        <v>45669</v>
      </c>
      <c r="B13" s="3" t="s">
        <v>1723</v>
      </c>
      <c r="C13" s="19" t="s">
        <v>16</v>
      </c>
      <c r="D13" s="19" t="s">
        <v>14</v>
      </c>
      <c r="E13" s="4">
        <v>0.6</v>
      </c>
      <c r="F13" s="42">
        <v>1.9</v>
      </c>
      <c r="G13" s="45">
        <v>377</v>
      </c>
      <c r="H13" s="22">
        <v>2.2000000000000002</v>
      </c>
      <c r="I13" s="30">
        <f t="shared" si="2"/>
        <v>945.51599999999996</v>
      </c>
      <c r="J13" s="6" t="s">
        <v>149</v>
      </c>
      <c r="K13" s="17"/>
    </row>
    <row r="14" spans="1:13" ht="13.95" customHeight="1" x14ac:dyDescent="0.3">
      <c r="A14" s="3">
        <v>45670</v>
      </c>
      <c r="B14" s="3" t="s">
        <v>1723</v>
      </c>
      <c r="C14" s="19" t="s">
        <v>18</v>
      </c>
      <c r="D14" s="19" t="s">
        <v>1259</v>
      </c>
      <c r="E14" s="4">
        <v>0.35</v>
      </c>
      <c r="F14" s="42">
        <v>1.7</v>
      </c>
      <c r="G14" s="45">
        <v>377</v>
      </c>
      <c r="H14" s="22">
        <v>2.2000000000000002</v>
      </c>
      <c r="I14" s="30">
        <f t="shared" si="2"/>
        <v>493.49299999999999</v>
      </c>
      <c r="J14" s="6" t="s">
        <v>150</v>
      </c>
      <c r="K14" s="17"/>
    </row>
    <row r="15" spans="1:13" ht="13.95" customHeight="1" x14ac:dyDescent="0.3">
      <c r="A15" s="3">
        <v>45671</v>
      </c>
      <c r="B15" s="3" t="s">
        <v>1723</v>
      </c>
      <c r="C15" s="19" t="s">
        <v>20</v>
      </c>
      <c r="D15" s="19" t="s">
        <v>1269</v>
      </c>
      <c r="E15" s="4">
        <v>0.6</v>
      </c>
      <c r="F15" s="42">
        <v>2</v>
      </c>
      <c r="G15" s="45">
        <v>377</v>
      </c>
      <c r="H15" s="22">
        <v>2.2000000000000002</v>
      </c>
      <c r="I15" s="30">
        <f t="shared" si="2"/>
        <v>995.28000000000009</v>
      </c>
      <c r="J15" s="6" t="s">
        <v>1575</v>
      </c>
      <c r="K15" s="17"/>
    </row>
    <row r="16" spans="1:13" ht="13.95" customHeight="1" x14ac:dyDescent="0.3">
      <c r="A16" s="3">
        <v>45672</v>
      </c>
      <c r="B16" s="3" t="s">
        <v>1723</v>
      </c>
      <c r="C16" s="19" t="s">
        <v>5</v>
      </c>
      <c r="D16" s="19" t="s">
        <v>1259</v>
      </c>
      <c r="E16" s="4">
        <v>0.35</v>
      </c>
      <c r="F16" s="42">
        <v>1.7</v>
      </c>
      <c r="G16" s="45">
        <v>377</v>
      </c>
      <c r="H16" s="22">
        <v>2.2000000000000002</v>
      </c>
      <c r="I16" s="30">
        <f t="shared" si="2"/>
        <v>493.49299999999999</v>
      </c>
      <c r="J16" s="6" t="s">
        <v>150</v>
      </c>
      <c r="K16" s="17"/>
    </row>
    <row r="17" spans="1:11" ht="13.95" customHeight="1" x14ac:dyDescent="0.3">
      <c r="A17" s="3">
        <v>45673</v>
      </c>
      <c r="B17" s="3" t="s">
        <v>1723</v>
      </c>
      <c r="C17" s="19" t="s">
        <v>8</v>
      </c>
      <c r="D17" s="19" t="s">
        <v>1259</v>
      </c>
      <c r="E17" s="4">
        <v>0.38</v>
      </c>
      <c r="F17" s="42">
        <v>1.75</v>
      </c>
      <c r="G17" s="45">
        <v>377</v>
      </c>
      <c r="H17" s="22">
        <v>2.2000000000000002</v>
      </c>
      <c r="I17" s="30">
        <f t="shared" si="2"/>
        <v>551.55100000000004</v>
      </c>
      <c r="J17" s="6" t="s">
        <v>71</v>
      </c>
      <c r="K17" s="17"/>
    </row>
    <row r="18" spans="1:11" ht="13.95" customHeight="1" x14ac:dyDescent="0.3">
      <c r="A18" s="3">
        <v>45674</v>
      </c>
      <c r="B18" s="3" t="s">
        <v>1723</v>
      </c>
      <c r="C18" s="19" t="s">
        <v>11</v>
      </c>
      <c r="D18" s="19" t="s">
        <v>14</v>
      </c>
      <c r="E18" s="4">
        <v>0.5</v>
      </c>
      <c r="F18" s="42">
        <v>1.9</v>
      </c>
      <c r="G18" s="45">
        <v>377</v>
      </c>
      <c r="H18" s="22">
        <v>2.2000000000000002</v>
      </c>
      <c r="I18" s="30">
        <f t="shared" si="2"/>
        <v>787.93000000000006</v>
      </c>
      <c r="J18" s="6" t="s">
        <v>97</v>
      </c>
      <c r="K18" s="17"/>
    </row>
    <row r="19" spans="1:11" ht="13.95" customHeight="1" x14ac:dyDescent="0.3">
      <c r="A19" s="3">
        <v>45675</v>
      </c>
      <c r="B19" s="3" t="s">
        <v>1723</v>
      </c>
      <c r="C19" s="19" t="s">
        <v>13</v>
      </c>
      <c r="D19" s="19" t="s">
        <v>14</v>
      </c>
      <c r="E19" s="4">
        <v>0.7</v>
      </c>
      <c r="F19" s="42">
        <v>2.1</v>
      </c>
      <c r="G19" s="45">
        <v>377</v>
      </c>
      <c r="H19" s="22">
        <v>2.2000000000000002</v>
      </c>
      <c r="I19" s="30">
        <f t="shared" si="2"/>
        <v>1219.2180000000001</v>
      </c>
      <c r="J19" s="6" t="s">
        <v>1577</v>
      </c>
      <c r="K19" s="17"/>
    </row>
    <row r="20" spans="1:11" ht="13.95" customHeight="1" x14ac:dyDescent="0.3">
      <c r="A20" s="3">
        <v>45676</v>
      </c>
      <c r="B20" s="3" t="s">
        <v>1723</v>
      </c>
      <c r="C20" s="19" t="s">
        <v>16</v>
      </c>
      <c r="D20" s="19" t="s">
        <v>14</v>
      </c>
      <c r="E20" s="4">
        <v>0.6</v>
      </c>
      <c r="F20" s="42">
        <v>1.9</v>
      </c>
      <c r="G20" s="45">
        <v>377</v>
      </c>
      <c r="H20" s="22">
        <v>2.2000000000000002</v>
      </c>
      <c r="I20" s="30">
        <f t="shared" si="2"/>
        <v>945.51599999999996</v>
      </c>
      <c r="J20" s="6" t="s">
        <v>149</v>
      </c>
      <c r="K20" s="17"/>
    </row>
    <row r="21" spans="1:11" ht="13.95" customHeight="1" x14ac:dyDescent="0.3">
      <c r="A21" s="3">
        <v>45677</v>
      </c>
      <c r="B21" s="3" t="s">
        <v>1723</v>
      </c>
      <c r="C21" s="19" t="s">
        <v>18</v>
      </c>
      <c r="D21" s="19" t="s">
        <v>1259</v>
      </c>
      <c r="E21" s="4">
        <v>0.3</v>
      </c>
      <c r="F21" s="42">
        <v>1.7</v>
      </c>
      <c r="G21" s="45">
        <v>377</v>
      </c>
      <c r="H21" s="22">
        <v>2.2000000000000002</v>
      </c>
      <c r="I21" s="30">
        <f t="shared" si="2"/>
        <v>422.99399999999997</v>
      </c>
      <c r="J21" s="6" t="s">
        <v>150</v>
      </c>
      <c r="K21" s="17"/>
    </row>
    <row r="22" spans="1:11" ht="13.95" customHeight="1" x14ac:dyDescent="0.3">
      <c r="A22" s="3">
        <v>45678</v>
      </c>
      <c r="B22" s="3" t="s">
        <v>1723</v>
      </c>
      <c r="C22" s="19" t="s">
        <v>20</v>
      </c>
      <c r="D22" s="19" t="s">
        <v>1259</v>
      </c>
      <c r="E22" s="4">
        <v>0.3</v>
      </c>
      <c r="F22" s="42">
        <v>1.7</v>
      </c>
      <c r="G22" s="45">
        <v>377</v>
      </c>
      <c r="H22" s="22">
        <v>2.2000000000000002</v>
      </c>
      <c r="I22" s="30">
        <f t="shared" si="2"/>
        <v>422.99399999999997</v>
      </c>
      <c r="J22" s="6" t="s">
        <v>150</v>
      </c>
      <c r="K22" s="17"/>
    </row>
    <row r="23" spans="1:11" ht="13.95" customHeight="1" x14ac:dyDescent="0.3">
      <c r="A23" s="3">
        <v>45679</v>
      </c>
      <c r="B23" s="3" t="s">
        <v>1723</v>
      </c>
      <c r="C23" s="19" t="s">
        <v>5</v>
      </c>
      <c r="D23" s="19" t="s">
        <v>1259</v>
      </c>
      <c r="E23" s="4">
        <v>0.3</v>
      </c>
      <c r="F23" s="42">
        <v>1.7</v>
      </c>
      <c r="G23" s="45">
        <v>377</v>
      </c>
      <c r="H23" s="22">
        <v>2.2000000000000002</v>
      </c>
      <c r="I23" s="30">
        <f t="shared" si="2"/>
        <v>422.99399999999997</v>
      </c>
      <c r="J23" s="6" t="s">
        <v>150</v>
      </c>
      <c r="K23" s="17"/>
    </row>
    <row r="24" spans="1:11" ht="13.95" customHeight="1" x14ac:dyDescent="0.3">
      <c r="A24" s="3">
        <v>45680</v>
      </c>
      <c r="B24" s="3" t="s">
        <v>1723</v>
      </c>
      <c r="C24" s="19" t="s">
        <v>8</v>
      </c>
      <c r="D24" s="19" t="s">
        <v>44</v>
      </c>
      <c r="E24" s="4">
        <v>0.45</v>
      </c>
      <c r="F24" s="42">
        <v>1.8</v>
      </c>
      <c r="G24" s="45">
        <v>377</v>
      </c>
      <c r="H24" s="22">
        <v>2.2000000000000002</v>
      </c>
      <c r="I24" s="30">
        <f t="shared" si="2"/>
        <v>671.81400000000008</v>
      </c>
      <c r="J24" s="6" t="s">
        <v>1578</v>
      </c>
      <c r="K24" s="17"/>
    </row>
    <row r="25" spans="1:11" ht="13.95" customHeight="1" x14ac:dyDescent="0.3">
      <c r="A25" s="3">
        <v>45681</v>
      </c>
      <c r="B25" s="3" t="s">
        <v>1723</v>
      </c>
      <c r="C25" s="19" t="s">
        <v>11</v>
      </c>
      <c r="D25" s="19" t="s">
        <v>658</v>
      </c>
      <c r="E25" s="4">
        <v>0.65</v>
      </c>
      <c r="F25" s="42">
        <v>1.95</v>
      </c>
      <c r="G25" s="45">
        <v>377</v>
      </c>
      <c r="H25" s="22">
        <v>2.2000000000000002</v>
      </c>
      <c r="I25" s="30">
        <f t="shared" si="2"/>
        <v>1051.2645000000002</v>
      </c>
      <c r="J25" s="6" t="s">
        <v>1489</v>
      </c>
      <c r="K25" s="17"/>
    </row>
    <row r="26" spans="1:11" ht="13.95" customHeight="1" x14ac:dyDescent="0.3">
      <c r="A26" s="3">
        <v>45682</v>
      </c>
      <c r="B26" s="3" t="s">
        <v>1723</v>
      </c>
      <c r="C26" s="19" t="s">
        <v>13</v>
      </c>
      <c r="D26" s="19" t="s">
        <v>658</v>
      </c>
      <c r="E26" s="4">
        <v>0.85</v>
      </c>
      <c r="F26" s="42">
        <v>2.2000000000000002</v>
      </c>
      <c r="G26" s="45">
        <v>377</v>
      </c>
      <c r="H26" s="22">
        <v>2.2000000000000002</v>
      </c>
      <c r="I26" s="30">
        <f t="shared" si="2"/>
        <v>1550.9780000000001</v>
      </c>
      <c r="J26" s="6" t="s">
        <v>1643</v>
      </c>
      <c r="K26" s="17"/>
    </row>
    <row r="27" spans="1:11" ht="13.95" customHeight="1" x14ac:dyDescent="0.3">
      <c r="A27" s="3">
        <v>45683</v>
      </c>
      <c r="B27" s="3" t="s">
        <v>1723</v>
      </c>
      <c r="C27" s="19" t="s">
        <v>16</v>
      </c>
      <c r="D27" s="19" t="s">
        <v>658</v>
      </c>
      <c r="E27" s="4">
        <v>0.8</v>
      </c>
      <c r="F27" s="42">
        <v>2.1</v>
      </c>
      <c r="G27" s="45">
        <v>377</v>
      </c>
      <c r="H27" s="22">
        <v>2.2000000000000002</v>
      </c>
      <c r="I27" s="30">
        <f t="shared" si="2"/>
        <v>1393.3920000000003</v>
      </c>
      <c r="J27" s="6" t="s">
        <v>1644</v>
      </c>
      <c r="K27" s="17"/>
    </row>
    <row r="28" spans="1:11" ht="13.95" customHeight="1" x14ac:dyDescent="0.3">
      <c r="A28" s="3">
        <v>45684</v>
      </c>
      <c r="B28" s="3" t="s">
        <v>1723</v>
      </c>
      <c r="C28" s="19" t="s">
        <v>18</v>
      </c>
      <c r="D28" s="19" t="s">
        <v>658</v>
      </c>
      <c r="E28" s="4">
        <v>0.7</v>
      </c>
      <c r="F28" s="42">
        <v>2</v>
      </c>
      <c r="G28" s="45">
        <v>377</v>
      </c>
      <c r="H28" s="22">
        <v>2.2000000000000002</v>
      </c>
      <c r="I28" s="30">
        <f t="shared" si="2"/>
        <v>1161.1600000000001</v>
      </c>
      <c r="J28" s="6" t="s">
        <v>1645</v>
      </c>
      <c r="K28" s="17"/>
    </row>
    <row r="29" spans="1:11" ht="13.95" customHeight="1" x14ac:dyDescent="0.3">
      <c r="A29" s="3">
        <v>45685</v>
      </c>
      <c r="B29" s="3" t="s">
        <v>1723</v>
      </c>
      <c r="C29" s="19" t="s">
        <v>20</v>
      </c>
      <c r="D29" s="19" t="s">
        <v>658</v>
      </c>
      <c r="E29" s="4">
        <v>0.7</v>
      </c>
      <c r="F29" s="42">
        <v>2</v>
      </c>
      <c r="G29" s="45">
        <v>377</v>
      </c>
      <c r="H29" s="22">
        <v>2.2000000000000002</v>
      </c>
      <c r="I29" s="30">
        <f t="shared" si="2"/>
        <v>1161.1600000000001</v>
      </c>
      <c r="J29" s="6" t="s">
        <v>1645</v>
      </c>
      <c r="K29" s="17"/>
    </row>
    <row r="30" spans="1:11" ht="13.95" customHeight="1" x14ac:dyDescent="0.3">
      <c r="A30" s="3">
        <v>45686</v>
      </c>
      <c r="B30" s="3" t="s">
        <v>1723</v>
      </c>
      <c r="C30" s="19" t="s">
        <v>5</v>
      </c>
      <c r="D30" s="19" t="s">
        <v>658</v>
      </c>
      <c r="E30" s="4">
        <v>0.7</v>
      </c>
      <c r="F30" s="42">
        <v>2</v>
      </c>
      <c r="G30" s="45">
        <v>377</v>
      </c>
      <c r="H30" s="22">
        <v>2.2000000000000002</v>
      </c>
      <c r="I30" s="30">
        <f t="shared" si="2"/>
        <v>1161.1600000000001</v>
      </c>
      <c r="J30" s="6" t="s">
        <v>1645</v>
      </c>
      <c r="K30" s="17"/>
    </row>
    <row r="31" spans="1:11" ht="13.95" customHeight="1" x14ac:dyDescent="0.3">
      <c r="A31" s="3">
        <v>45687</v>
      </c>
      <c r="B31" s="3" t="s">
        <v>1723</v>
      </c>
      <c r="C31" s="19" t="s">
        <v>8</v>
      </c>
      <c r="D31" s="19" t="s">
        <v>658</v>
      </c>
      <c r="E31" s="4">
        <v>0.75</v>
      </c>
      <c r="F31" s="42">
        <v>2.0499999999999998</v>
      </c>
      <c r="G31" s="45">
        <v>377</v>
      </c>
      <c r="H31" s="22">
        <v>2.2000000000000002</v>
      </c>
      <c r="I31" s="30">
        <f t="shared" si="2"/>
        <v>1275.2024999999999</v>
      </c>
      <c r="J31" s="6" t="s">
        <v>1581</v>
      </c>
      <c r="K31" s="17"/>
    </row>
    <row r="32" spans="1:11" ht="13.95" customHeight="1" x14ac:dyDescent="0.3">
      <c r="A32" s="3">
        <v>45688</v>
      </c>
      <c r="B32" s="3" t="s">
        <v>1723</v>
      </c>
      <c r="C32" s="19" t="s">
        <v>11</v>
      </c>
      <c r="D32" s="19" t="s">
        <v>658</v>
      </c>
      <c r="E32" s="4">
        <v>0.85</v>
      </c>
      <c r="F32" s="42">
        <v>2.15</v>
      </c>
      <c r="G32" s="45">
        <v>377</v>
      </c>
      <c r="H32" s="22">
        <v>2.2000000000000002</v>
      </c>
      <c r="I32" s="30">
        <f t="shared" si="2"/>
        <v>1515.7285000000002</v>
      </c>
      <c r="J32" s="6" t="s">
        <v>543</v>
      </c>
      <c r="K32" s="17"/>
    </row>
    <row r="33" spans="1:11" ht="13.95" customHeight="1" x14ac:dyDescent="0.3">
      <c r="A33" s="3">
        <v>45689</v>
      </c>
      <c r="B33" s="3" t="s">
        <v>1723</v>
      </c>
      <c r="C33" s="19" t="s">
        <v>13</v>
      </c>
      <c r="D33" s="19" t="s">
        <v>1491</v>
      </c>
      <c r="E33" s="4">
        <v>0.9</v>
      </c>
      <c r="F33" s="42">
        <v>2.25</v>
      </c>
      <c r="G33" s="45">
        <v>377</v>
      </c>
      <c r="H33" s="22">
        <v>2.2000000000000002</v>
      </c>
      <c r="I33" s="30">
        <f t="shared" si="2"/>
        <v>1679.5350000000003</v>
      </c>
      <c r="J33" s="6" t="s">
        <v>1646</v>
      </c>
      <c r="K33" s="17"/>
    </row>
    <row r="34" spans="1:11" ht="13.95" customHeight="1" x14ac:dyDescent="0.3">
      <c r="A34" s="3">
        <v>45690</v>
      </c>
      <c r="B34" s="3" t="s">
        <v>1723</v>
      </c>
      <c r="C34" s="19" t="s">
        <v>16</v>
      </c>
      <c r="D34" s="19" t="s">
        <v>1491</v>
      </c>
      <c r="E34" s="4">
        <v>0.85</v>
      </c>
      <c r="F34" s="42">
        <v>2.15</v>
      </c>
      <c r="G34" s="45">
        <v>377</v>
      </c>
      <c r="H34" s="22">
        <v>2.2000000000000002</v>
      </c>
      <c r="I34" s="30">
        <f t="shared" si="2"/>
        <v>1515.7285000000002</v>
      </c>
      <c r="J34" s="6" t="s">
        <v>1647</v>
      </c>
      <c r="K34" s="17"/>
    </row>
    <row r="35" spans="1:11" ht="13.95" customHeight="1" x14ac:dyDescent="0.3">
      <c r="A35" s="3">
        <v>45691</v>
      </c>
      <c r="B35" s="3" t="s">
        <v>1723</v>
      </c>
      <c r="C35" s="19" t="s">
        <v>18</v>
      </c>
      <c r="D35" s="19" t="s">
        <v>1259</v>
      </c>
      <c r="E35" s="4">
        <v>0.4</v>
      </c>
      <c r="F35" s="42">
        <v>1.75</v>
      </c>
      <c r="G35" s="45">
        <v>377</v>
      </c>
      <c r="H35" s="22">
        <v>2.2000000000000002</v>
      </c>
      <c r="I35" s="30">
        <f t="shared" si="2"/>
        <v>580.58000000000015</v>
      </c>
      <c r="J35" s="6" t="s">
        <v>1648</v>
      </c>
      <c r="K35" s="17"/>
    </row>
    <row r="36" spans="1:11" ht="13.95" customHeight="1" x14ac:dyDescent="0.3">
      <c r="A36" s="3">
        <v>45692</v>
      </c>
      <c r="B36" s="3" t="s">
        <v>1723</v>
      </c>
      <c r="C36" s="19" t="s">
        <v>20</v>
      </c>
      <c r="D36" s="19" t="s">
        <v>1259</v>
      </c>
      <c r="E36" s="4">
        <v>0.35</v>
      </c>
      <c r="F36" s="42">
        <v>1.7</v>
      </c>
      <c r="G36" s="45">
        <v>377</v>
      </c>
      <c r="H36" s="22">
        <v>2.2000000000000002</v>
      </c>
      <c r="I36" s="30">
        <f t="shared" si="2"/>
        <v>493.49299999999999</v>
      </c>
      <c r="J36" s="6" t="s">
        <v>1649</v>
      </c>
      <c r="K36" s="17"/>
    </row>
    <row r="37" spans="1:11" ht="13.95" customHeight="1" x14ac:dyDescent="0.3">
      <c r="A37" s="3">
        <v>45693</v>
      </c>
      <c r="B37" s="3" t="s">
        <v>1723</v>
      </c>
      <c r="C37" s="19" t="s">
        <v>5</v>
      </c>
      <c r="D37" s="19" t="s">
        <v>1259</v>
      </c>
      <c r="E37" s="4">
        <v>0.35</v>
      </c>
      <c r="F37" s="42">
        <v>1.7</v>
      </c>
      <c r="G37" s="45">
        <v>377</v>
      </c>
      <c r="H37" s="22">
        <v>2.2000000000000002</v>
      </c>
      <c r="I37" s="30">
        <f t="shared" si="2"/>
        <v>493.49299999999999</v>
      </c>
      <c r="J37" s="6" t="s">
        <v>1649</v>
      </c>
      <c r="K37" s="17"/>
    </row>
    <row r="38" spans="1:11" ht="13.95" customHeight="1" x14ac:dyDescent="0.3">
      <c r="A38" s="3">
        <v>45694</v>
      </c>
      <c r="B38" s="3" t="s">
        <v>1723</v>
      </c>
      <c r="C38" s="19" t="s">
        <v>8</v>
      </c>
      <c r="D38" s="19" t="s">
        <v>1263</v>
      </c>
      <c r="E38" s="4">
        <v>0.55000000000000004</v>
      </c>
      <c r="F38" s="42">
        <v>1.85</v>
      </c>
      <c r="G38" s="45">
        <v>377</v>
      </c>
      <c r="H38" s="22">
        <v>2.2000000000000002</v>
      </c>
      <c r="I38" s="30">
        <f t="shared" si="2"/>
        <v>843.9145000000002</v>
      </c>
      <c r="J38" s="6" t="s">
        <v>1650</v>
      </c>
      <c r="K38" s="17"/>
    </row>
    <row r="39" spans="1:11" ht="13.95" customHeight="1" x14ac:dyDescent="0.3">
      <c r="A39" s="3">
        <v>45695</v>
      </c>
      <c r="B39" s="3" t="s">
        <v>1723</v>
      </c>
      <c r="C39" s="19" t="s">
        <v>11</v>
      </c>
      <c r="D39" s="19" t="s">
        <v>14</v>
      </c>
      <c r="E39" s="4">
        <v>0.6</v>
      </c>
      <c r="F39" s="42">
        <v>1.95</v>
      </c>
      <c r="G39" s="45">
        <v>377</v>
      </c>
      <c r="H39" s="22">
        <v>2.2000000000000002</v>
      </c>
      <c r="I39" s="30">
        <f t="shared" si="2"/>
        <v>970.39800000000002</v>
      </c>
      <c r="J39" s="6" t="s">
        <v>1651</v>
      </c>
      <c r="K39" s="17"/>
    </row>
    <row r="40" spans="1:11" ht="13.95" customHeight="1" x14ac:dyDescent="0.3">
      <c r="A40" s="3">
        <v>45696</v>
      </c>
      <c r="B40" s="3" t="s">
        <v>1723</v>
      </c>
      <c r="C40" s="19" t="s">
        <v>13</v>
      </c>
      <c r="D40" s="19" t="s">
        <v>14</v>
      </c>
      <c r="E40" s="4">
        <v>0.75</v>
      </c>
      <c r="F40" s="42">
        <v>2.15</v>
      </c>
      <c r="G40" s="45">
        <v>377</v>
      </c>
      <c r="H40" s="22">
        <v>2.2000000000000002</v>
      </c>
      <c r="I40" s="30">
        <f t="shared" si="2"/>
        <v>1337.4075000000003</v>
      </c>
      <c r="J40" s="6" t="s">
        <v>1652</v>
      </c>
      <c r="K40" s="17"/>
    </row>
    <row r="41" spans="1:11" ht="13.95" customHeight="1" x14ac:dyDescent="0.3">
      <c r="A41" s="3">
        <v>45697</v>
      </c>
      <c r="B41" s="3" t="s">
        <v>1723</v>
      </c>
      <c r="C41" s="19" t="s">
        <v>16</v>
      </c>
      <c r="D41" s="19" t="s">
        <v>14</v>
      </c>
      <c r="E41" s="4">
        <v>0.65</v>
      </c>
      <c r="F41" s="42">
        <v>1.95</v>
      </c>
      <c r="G41" s="45">
        <v>377</v>
      </c>
      <c r="H41" s="22">
        <v>2.2000000000000002</v>
      </c>
      <c r="I41" s="30">
        <f t="shared" si="2"/>
        <v>1051.2645000000002</v>
      </c>
      <c r="J41" s="6" t="s">
        <v>139</v>
      </c>
      <c r="K41" s="17"/>
    </row>
    <row r="42" spans="1:11" ht="13.95" customHeight="1" x14ac:dyDescent="0.3">
      <c r="A42" s="3">
        <v>45698</v>
      </c>
      <c r="B42" s="3" t="s">
        <v>1723</v>
      </c>
      <c r="C42" s="19" t="s">
        <v>18</v>
      </c>
      <c r="D42" s="19" t="s">
        <v>1259</v>
      </c>
      <c r="E42" s="4">
        <v>0.35</v>
      </c>
      <c r="F42" s="42">
        <v>1.7</v>
      </c>
      <c r="G42" s="45">
        <v>377</v>
      </c>
      <c r="H42" s="22">
        <v>2.2000000000000002</v>
      </c>
      <c r="I42" s="30">
        <f t="shared" si="2"/>
        <v>493.49299999999999</v>
      </c>
      <c r="J42" s="6" t="s">
        <v>150</v>
      </c>
      <c r="K42" s="17"/>
    </row>
    <row r="43" spans="1:11" ht="13.95" customHeight="1" x14ac:dyDescent="0.3">
      <c r="A43" s="3">
        <v>45699</v>
      </c>
      <c r="B43" s="3" t="s">
        <v>1723</v>
      </c>
      <c r="C43" s="19" t="s">
        <v>20</v>
      </c>
      <c r="D43" s="19" t="s">
        <v>1259</v>
      </c>
      <c r="E43" s="4">
        <v>0.32</v>
      </c>
      <c r="F43" s="42">
        <v>1.7</v>
      </c>
      <c r="G43" s="45">
        <v>377</v>
      </c>
      <c r="H43" s="22">
        <v>2.2000000000000002</v>
      </c>
      <c r="I43" s="30">
        <f t="shared" si="2"/>
        <v>451.1936</v>
      </c>
      <c r="J43" s="6" t="s">
        <v>150</v>
      </c>
      <c r="K43" s="17"/>
    </row>
    <row r="44" spans="1:11" ht="13.95" customHeight="1" x14ac:dyDescent="0.3">
      <c r="A44" s="3">
        <v>45700</v>
      </c>
      <c r="B44" s="3" t="s">
        <v>1723</v>
      </c>
      <c r="C44" s="19" t="s">
        <v>5</v>
      </c>
      <c r="D44" s="19" t="s">
        <v>1259</v>
      </c>
      <c r="E44" s="4">
        <v>0.32</v>
      </c>
      <c r="F44" s="42">
        <v>1.7</v>
      </c>
      <c r="G44" s="45">
        <v>377</v>
      </c>
      <c r="H44" s="22">
        <v>2.2000000000000002</v>
      </c>
      <c r="I44" s="30">
        <f t="shared" si="2"/>
        <v>451.1936</v>
      </c>
      <c r="J44" s="6" t="s">
        <v>150</v>
      </c>
      <c r="K44" s="17"/>
    </row>
    <row r="45" spans="1:11" ht="13.95" customHeight="1" x14ac:dyDescent="0.3">
      <c r="A45" s="3">
        <v>45701</v>
      </c>
      <c r="B45" s="3" t="s">
        <v>1723</v>
      </c>
      <c r="C45" s="19" t="s">
        <v>8</v>
      </c>
      <c r="D45" s="19" t="s">
        <v>1497</v>
      </c>
      <c r="E45" s="4">
        <v>0.45</v>
      </c>
      <c r="F45" s="42">
        <v>1.85</v>
      </c>
      <c r="G45" s="45">
        <v>377</v>
      </c>
      <c r="H45" s="22">
        <v>2.2000000000000002</v>
      </c>
      <c r="I45" s="30">
        <f t="shared" si="2"/>
        <v>690.47550000000012</v>
      </c>
      <c r="J45" s="6" t="s">
        <v>1653</v>
      </c>
      <c r="K45" s="17"/>
    </row>
    <row r="46" spans="1:11" ht="13.95" customHeight="1" x14ac:dyDescent="0.3">
      <c r="A46" s="3">
        <v>45702</v>
      </c>
      <c r="B46" s="3" t="s">
        <v>1723</v>
      </c>
      <c r="C46" s="19" t="s">
        <v>11</v>
      </c>
      <c r="D46" s="19" t="s">
        <v>1286</v>
      </c>
      <c r="E46" s="4">
        <v>0.75</v>
      </c>
      <c r="F46" s="42">
        <v>2.2999999999999998</v>
      </c>
      <c r="G46" s="45">
        <v>377</v>
      </c>
      <c r="H46" s="22">
        <v>2.2000000000000002</v>
      </c>
      <c r="I46" s="30">
        <f t="shared" si="2"/>
        <v>1430.7149999999999</v>
      </c>
      <c r="J46" s="6" t="s">
        <v>1654</v>
      </c>
      <c r="K46" s="17"/>
    </row>
    <row r="47" spans="1:11" ht="13.95" customHeight="1" x14ac:dyDescent="0.3">
      <c r="A47" s="3">
        <v>45703</v>
      </c>
      <c r="B47" s="3" t="s">
        <v>1723</v>
      </c>
      <c r="C47" s="19" t="s">
        <v>13</v>
      </c>
      <c r="D47" s="19" t="s">
        <v>14</v>
      </c>
      <c r="E47" s="4">
        <v>0.8</v>
      </c>
      <c r="F47" s="42">
        <v>2.15</v>
      </c>
      <c r="G47" s="45">
        <v>377</v>
      </c>
      <c r="H47" s="22">
        <v>2.2000000000000002</v>
      </c>
      <c r="I47" s="30">
        <f t="shared" si="2"/>
        <v>1426.5680000000002</v>
      </c>
      <c r="J47" s="6" t="s">
        <v>197</v>
      </c>
      <c r="K47" s="17"/>
    </row>
    <row r="48" spans="1:11" ht="13.95" customHeight="1" x14ac:dyDescent="0.3">
      <c r="A48" s="3">
        <v>45704</v>
      </c>
      <c r="B48" s="3" t="s">
        <v>1723</v>
      </c>
      <c r="C48" s="19" t="s">
        <v>16</v>
      </c>
      <c r="D48" s="19" t="s">
        <v>14</v>
      </c>
      <c r="E48" s="4">
        <v>0.7</v>
      </c>
      <c r="F48" s="42">
        <v>2</v>
      </c>
      <c r="G48" s="45">
        <v>377</v>
      </c>
      <c r="H48" s="22">
        <v>2.2000000000000002</v>
      </c>
      <c r="I48" s="30">
        <f t="shared" si="2"/>
        <v>1161.1600000000001</v>
      </c>
      <c r="J48" s="6" t="s">
        <v>1655</v>
      </c>
      <c r="K48" s="17"/>
    </row>
    <row r="49" spans="1:11" ht="13.95" customHeight="1" x14ac:dyDescent="0.3">
      <c r="A49" s="3">
        <v>45705</v>
      </c>
      <c r="B49" s="3" t="s">
        <v>1723</v>
      </c>
      <c r="C49" s="19" t="s">
        <v>18</v>
      </c>
      <c r="D49" s="19" t="s">
        <v>1259</v>
      </c>
      <c r="E49" s="4">
        <v>0.35</v>
      </c>
      <c r="F49" s="42">
        <v>1.7</v>
      </c>
      <c r="G49" s="45">
        <v>377</v>
      </c>
      <c r="H49" s="22">
        <v>2.2000000000000002</v>
      </c>
      <c r="I49" s="30">
        <f t="shared" si="2"/>
        <v>493.49299999999999</v>
      </c>
      <c r="J49" s="6" t="s">
        <v>774</v>
      </c>
      <c r="K49" s="17"/>
    </row>
    <row r="50" spans="1:11" ht="13.95" customHeight="1" x14ac:dyDescent="0.3">
      <c r="A50" s="3">
        <v>45706</v>
      </c>
      <c r="B50" s="3" t="s">
        <v>1723</v>
      </c>
      <c r="C50" s="19" t="s">
        <v>20</v>
      </c>
      <c r="D50" s="19" t="s">
        <v>1259</v>
      </c>
      <c r="E50" s="4">
        <v>0.32</v>
      </c>
      <c r="F50" s="42">
        <v>1.7</v>
      </c>
      <c r="G50" s="45">
        <v>377</v>
      </c>
      <c r="H50" s="22">
        <v>2.2000000000000002</v>
      </c>
      <c r="I50" s="30">
        <f t="shared" si="2"/>
        <v>451.1936</v>
      </c>
      <c r="J50" s="6" t="s">
        <v>150</v>
      </c>
      <c r="K50" s="17"/>
    </row>
    <row r="51" spans="1:11" ht="13.95" customHeight="1" x14ac:dyDescent="0.3">
      <c r="A51" s="3">
        <v>45707</v>
      </c>
      <c r="B51" s="3" t="s">
        <v>1723</v>
      </c>
      <c r="C51" s="19" t="s">
        <v>5</v>
      </c>
      <c r="D51" s="19" t="s">
        <v>1259</v>
      </c>
      <c r="E51" s="4">
        <v>0.32</v>
      </c>
      <c r="F51" s="42">
        <v>1.7</v>
      </c>
      <c r="G51" s="45">
        <v>377</v>
      </c>
      <c r="H51" s="22">
        <v>2.2000000000000002</v>
      </c>
      <c r="I51" s="30">
        <f t="shared" si="2"/>
        <v>451.1936</v>
      </c>
      <c r="J51" s="6" t="s">
        <v>150</v>
      </c>
      <c r="K51" s="17"/>
    </row>
    <row r="52" spans="1:11" ht="13.95" customHeight="1" x14ac:dyDescent="0.3">
      <c r="A52" s="3">
        <v>45708</v>
      </c>
      <c r="B52" s="3" t="s">
        <v>1723</v>
      </c>
      <c r="C52" s="19" t="s">
        <v>8</v>
      </c>
      <c r="D52" s="19" t="s">
        <v>1263</v>
      </c>
      <c r="E52" s="4">
        <v>0.5</v>
      </c>
      <c r="F52" s="42">
        <v>1.8</v>
      </c>
      <c r="G52" s="45">
        <v>377</v>
      </c>
      <c r="H52" s="22">
        <v>2.2000000000000002</v>
      </c>
      <c r="I52" s="30">
        <f t="shared" si="2"/>
        <v>746.46</v>
      </c>
      <c r="J52" s="6" t="s">
        <v>1656</v>
      </c>
      <c r="K52" s="17"/>
    </row>
    <row r="53" spans="1:11" ht="13.95" customHeight="1" x14ac:dyDescent="0.3">
      <c r="A53" s="3">
        <v>45709</v>
      </c>
      <c r="B53" s="3" t="s">
        <v>1723</v>
      </c>
      <c r="C53" s="19" t="s">
        <v>11</v>
      </c>
      <c r="D53" s="19" t="s">
        <v>14</v>
      </c>
      <c r="E53" s="4">
        <v>0.55000000000000004</v>
      </c>
      <c r="F53" s="42">
        <v>1.9</v>
      </c>
      <c r="G53" s="45">
        <v>377</v>
      </c>
      <c r="H53" s="22">
        <v>2.2000000000000002</v>
      </c>
      <c r="I53" s="30">
        <f t="shared" si="2"/>
        <v>866.72300000000018</v>
      </c>
      <c r="J53" s="6" t="s">
        <v>97</v>
      </c>
      <c r="K53" s="17"/>
    </row>
    <row r="54" spans="1:11" ht="13.95" customHeight="1" x14ac:dyDescent="0.3">
      <c r="A54" s="3">
        <v>45710</v>
      </c>
      <c r="B54" s="3" t="s">
        <v>1723</v>
      </c>
      <c r="C54" s="19" t="s">
        <v>13</v>
      </c>
      <c r="D54" s="19" t="s">
        <v>14</v>
      </c>
      <c r="E54" s="4">
        <v>0.65</v>
      </c>
      <c r="F54" s="42">
        <v>2.1</v>
      </c>
      <c r="G54" s="45">
        <v>377</v>
      </c>
      <c r="H54" s="22">
        <v>2.2000000000000002</v>
      </c>
      <c r="I54" s="30">
        <f t="shared" si="2"/>
        <v>1132.1310000000001</v>
      </c>
      <c r="J54" s="6" t="s">
        <v>1577</v>
      </c>
      <c r="K54" s="17"/>
    </row>
    <row r="55" spans="1:11" ht="13.95" customHeight="1" x14ac:dyDescent="0.3">
      <c r="A55" s="3">
        <v>45711</v>
      </c>
      <c r="B55" s="3" t="s">
        <v>1723</v>
      </c>
      <c r="C55" s="19" t="s">
        <v>16</v>
      </c>
      <c r="D55" s="19" t="s">
        <v>14</v>
      </c>
      <c r="E55" s="4">
        <v>0.55000000000000004</v>
      </c>
      <c r="F55" s="42">
        <v>1.9</v>
      </c>
      <c r="G55" s="45">
        <v>377</v>
      </c>
      <c r="H55" s="22">
        <v>2.2000000000000002</v>
      </c>
      <c r="I55" s="30">
        <f t="shared" si="2"/>
        <v>866.72300000000018</v>
      </c>
      <c r="J55" s="6" t="s">
        <v>149</v>
      </c>
      <c r="K55" s="17"/>
    </row>
    <row r="56" spans="1:11" ht="13.95" customHeight="1" x14ac:dyDescent="0.3">
      <c r="A56" s="3">
        <v>45712</v>
      </c>
      <c r="B56" s="3" t="s">
        <v>1723</v>
      </c>
      <c r="C56" s="19" t="s">
        <v>18</v>
      </c>
      <c r="D56" s="19" t="s">
        <v>1259</v>
      </c>
      <c r="E56" s="4">
        <v>0.32</v>
      </c>
      <c r="F56" s="42">
        <v>1.7</v>
      </c>
      <c r="G56" s="45">
        <v>377</v>
      </c>
      <c r="H56" s="22">
        <v>2.2000000000000002</v>
      </c>
      <c r="I56" s="30">
        <f t="shared" si="2"/>
        <v>451.1936</v>
      </c>
      <c r="J56" s="6" t="s">
        <v>150</v>
      </c>
      <c r="K56" s="17"/>
    </row>
    <row r="57" spans="1:11" ht="13.95" customHeight="1" x14ac:dyDescent="0.3">
      <c r="A57" s="3">
        <v>45713</v>
      </c>
      <c r="B57" s="3" t="s">
        <v>1723</v>
      </c>
      <c r="C57" s="19" t="s">
        <v>20</v>
      </c>
      <c r="D57" s="19" t="s">
        <v>1259</v>
      </c>
      <c r="E57" s="4">
        <v>0.3</v>
      </c>
      <c r="F57" s="42">
        <v>1.7</v>
      </c>
      <c r="G57" s="45">
        <v>377</v>
      </c>
      <c r="H57" s="22">
        <v>2.2000000000000002</v>
      </c>
      <c r="I57" s="30">
        <f t="shared" si="2"/>
        <v>422.99399999999997</v>
      </c>
      <c r="J57" s="6" t="s">
        <v>1472</v>
      </c>
      <c r="K57" s="17"/>
    </row>
    <row r="58" spans="1:11" ht="13.95" customHeight="1" x14ac:dyDescent="0.3">
      <c r="A58" s="3">
        <v>45714</v>
      </c>
      <c r="B58" s="3" t="s">
        <v>1723</v>
      </c>
      <c r="C58" s="19" t="s">
        <v>5</v>
      </c>
      <c r="D58" s="19" t="s">
        <v>44</v>
      </c>
      <c r="E58" s="4">
        <v>0.35</v>
      </c>
      <c r="F58" s="42">
        <v>1.75</v>
      </c>
      <c r="G58" s="45">
        <v>377</v>
      </c>
      <c r="H58" s="22">
        <v>2.2000000000000002</v>
      </c>
      <c r="I58" s="30">
        <f t="shared" si="2"/>
        <v>508.00749999999999</v>
      </c>
      <c r="J58" s="6" t="s">
        <v>1500</v>
      </c>
      <c r="K58" s="17"/>
    </row>
    <row r="59" spans="1:11" ht="13.95" customHeight="1" x14ac:dyDescent="0.3">
      <c r="A59" s="3">
        <v>45715</v>
      </c>
      <c r="B59" s="3" t="s">
        <v>1723</v>
      </c>
      <c r="C59" s="19" t="s">
        <v>8</v>
      </c>
      <c r="D59" s="19" t="s">
        <v>44</v>
      </c>
      <c r="E59" s="4">
        <v>0.4</v>
      </c>
      <c r="F59" s="42">
        <v>1.8</v>
      </c>
      <c r="G59" s="45">
        <v>377</v>
      </c>
      <c r="H59" s="22">
        <v>2.2000000000000002</v>
      </c>
      <c r="I59" s="30">
        <f t="shared" si="2"/>
        <v>597.16800000000012</v>
      </c>
      <c r="J59" s="6" t="s">
        <v>1657</v>
      </c>
      <c r="K59" s="17"/>
    </row>
    <row r="60" spans="1:11" ht="13.95" customHeight="1" x14ac:dyDescent="0.3">
      <c r="A60" s="3">
        <v>45716</v>
      </c>
      <c r="B60" s="3" t="s">
        <v>1723</v>
      </c>
      <c r="C60" s="19" t="s">
        <v>11</v>
      </c>
      <c r="D60" s="19" t="s">
        <v>1417</v>
      </c>
      <c r="E60" s="4">
        <v>0.6</v>
      </c>
      <c r="F60" s="42">
        <v>2.1</v>
      </c>
      <c r="G60" s="45">
        <v>377</v>
      </c>
      <c r="H60" s="22">
        <v>2.2000000000000002</v>
      </c>
      <c r="I60" s="30">
        <f t="shared" si="2"/>
        <v>1045.0440000000001</v>
      </c>
      <c r="J60" s="6" t="s">
        <v>1658</v>
      </c>
      <c r="K60" s="17"/>
    </row>
    <row r="61" spans="1:11" ht="13.95" customHeight="1" x14ac:dyDescent="0.3">
      <c r="A61" s="3">
        <v>45717</v>
      </c>
      <c r="B61" s="3" t="s">
        <v>1723</v>
      </c>
      <c r="C61" s="19" t="s">
        <v>13</v>
      </c>
      <c r="D61" s="19" t="s">
        <v>708</v>
      </c>
      <c r="E61" s="4">
        <v>0.65</v>
      </c>
      <c r="F61" s="42">
        <v>2.5</v>
      </c>
      <c r="G61" s="45">
        <v>377</v>
      </c>
      <c r="H61" s="22">
        <v>2.2000000000000002</v>
      </c>
      <c r="I61" s="30">
        <f t="shared" si="2"/>
        <v>1347.7750000000001</v>
      </c>
      <c r="J61" s="6" t="s">
        <v>1659</v>
      </c>
      <c r="K61" s="17"/>
    </row>
    <row r="62" spans="1:11" ht="13.95" customHeight="1" x14ac:dyDescent="0.3">
      <c r="A62" s="3">
        <v>45718</v>
      </c>
      <c r="B62" s="3" t="s">
        <v>1723</v>
      </c>
      <c r="C62" s="19" t="s">
        <v>16</v>
      </c>
      <c r="D62" s="19" t="s">
        <v>76</v>
      </c>
      <c r="E62" s="4">
        <v>0.55000000000000004</v>
      </c>
      <c r="F62" s="42">
        <v>2.15</v>
      </c>
      <c r="G62" s="45">
        <v>377</v>
      </c>
      <c r="H62" s="22">
        <v>2.2000000000000002</v>
      </c>
      <c r="I62" s="30">
        <f t="shared" si="2"/>
        <v>980.76550000000009</v>
      </c>
      <c r="J62" s="6" t="s">
        <v>1304</v>
      </c>
      <c r="K62" s="17"/>
    </row>
    <row r="63" spans="1:11" ht="13.95" customHeight="1" x14ac:dyDescent="0.3">
      <c r="A63" s="3">
        <v>45719</v>
      </c>
      <c r="B63" s="3" t="s">
        <v>1723</v>
      </c>
      <c r="C63" s="19" t="s">
        <v>18</v>
      </c>
      <c r="D63" s="19" t="s">
        <v>76</v>
      </c>
      <c r="E63" s="4">
        <v>0.3</v>
      </c>
      <c r="F63" s="42">
        <v>1.75</v>
      </c>
      <c r="G63" s="45">
        <v>377</v>
      </c>
      <c r="H63" s="22">
        <v>2.2000000000000002</v>
      </c>
      <c r="I63" s="30">
        <f t="shared" si="2"/>
        <v>435.435</v>
      </c>
      <c r="J63" s="6" t="s">
        <v>1297</v>
      </c>
      <c r="K63" s="17"/>
    </row>
    <row r="64" spans="1:11" ht="13.95" customHeight="1" x14ac:dyDescent="0.3">
      <c r="A64" s="3">
        <v>45720</v>
      </c>
      <c r="B64" s="3" t="s">
        <v>1723</v>
      </c>
      <c r="C64" s="19" t="s">
        <v>20</v>
      </c>
      <c r="D64" s="19" t="s">
        <v>76</v>
      </c>
      <c r="E64" s="4">
        <v>0.28000000000000003</v>
      </c>
      <c r="F64" s="42">
        <v>1.75</v>
      </c>
      <c r="G64" s="45">
        <v>377</v>
      </c>
      <c r="H64" s="22">
        <v>2.2000000000000002</v>
      </c>
      <c r="I64" s="30">
        <f t="shared" si="2"/>
        <v>406.40600000000006</v>
      </c>
      <c r="J64" s="6" t="s">
        <v>1297</v>
      </c>
      <c r="K64" s="17"/>
    </row>
    <row r="65" spans="1:11" ht="13.95" customHeight="1" x14ac:dyDescent="0.3">
      <c r="A65" s="3">
        <v>45721</v>
      </c>
      <c r="B65" s="3" t="s">
        <v>1723</v>
      </c>
      <c r="C65" s="19" t="s">
        <v>5</v>
      </c>
      <c r="D65" s="19" t="s">
        <v>76</v>
      </c>
      <c r="E65" s="4">
        <v>0.3</v>
      </c>
      <c r="F65" s="42">
        <v>1.75</v>
      </c>
      <c r="G65" s="45">
        <v>377</v>
      </c>
      <c r="H65" s="22">
        <v>2.2000000000000002</v>
      </c>
      <c r="I65" s="30">
        <f t="shared" si="2"/>
        <v>435.435</v>
      </c>
      <c r="J65" s="6" t="s">
        <v>1297</v>
      </c>
      <c r="K65" s="17"/>
    </row>
    <row r="66" spans="1:11" ht="13.95" customHeight="1" x14ac:dyDescent="0.3">
      <c r="A66" s="3">
        <v>45722</v>
      </c>
      <c r="B66" s="3" t="s">
        <v>1723</v>
      </c>
      <c r="C66" s="19" t="s">
        <v>8</v>
      </c>
      <c r="D66" s="19" t="s">
        <v>76</v>
      </c>
      <c r="E66" s="4">
        <v>0.35</v>
      </c>
      <c r="F66" s="42">
        <v>1.8</v>
      </c>
      <c r="G66" s="45">
        <v>377</v>
      </c>
      <c r="H66" s="22">
        <v>2.2000000000000002</v>
      </c>
      <c r="I66" s="30">
        <f t="shared" si="2"/>
        <v>522.52200000000005</v>
      </c>
      <c r="J66" s="6" t="s">
        <v>1660</v>
      </c>
      <c r="K66" s="17"/>
    </row>
    <row r="67" spans="1:11" ht="13.95" customHeight="1" x14ac:dyDescent="0.3">
      <c r="A67" s="3">
        <v>45723</v>
      </c>
      <c r="B67" s="3" t="s">
        <v>1723</v>
      </c>
      <c r="C67" s="19" t="s">
        <v>11</v>
      </c>
      <c r="D67" s="19" t="s">
        <v>14</v>
      </c>
      <c r="E67" s="4">
        <v>0.45</v>
      </c>
      <c r="F67" s="42">
        <v>2.1</v>
      </c>
      <c r="G67" s="45">
        <v>377</v>
      </c>
      <c r="H67" s="22">
        <v>2.2000000000000002</v>
      </c>
      <c r="I67" s="30">
        <f t="shared" si="2"/>
        <v>783.78300000000013</v>
      </c>
      <c r="J67" s="6" t="s">
        <v>1661</v>
      </c>
      <c r="K67" s="17"/>
    </row>
    <row r="68" spans="1:11" ht="13.95" customHeight="1" x14ac:dyDescent="0.3">
      <c r="A68" s="3">
        <v>45724</v>
      </c>
      <c r="B68" s="3" t="s">
        <v>1723</v>
      </c>
      <c r="C68" s="19" t="s">
        <v>13</v>
      </c>
      <c r="D68" s="19" t="s">
        <v>850</v>
      </c>
      <c r="E68" s="4">
        <v>0.75</v>
      </c>
      <c r="F68" s="42">
        <v>2.6</v>
      </c>
      <c r="G68" s="45">
        <v>377</v>
      </c>
      <c r="H68" s="22">
        <v>2.2000000000000002</v>
      </c>
      <c r="I68" s="30">
        <f t="shared" si="2"/>
        <v>1617.3300000000002</v>
      </c>
      <c r="J68" s="6" t="s">
        <v>1662</v>
      </c>
      <c r="K68" s="17"/>
    </row>
    <row r="69" spans="1:11" ht="13.95" customHeight="1" x14ac:dyDescent="0.3">
      <c r="A69" s="3">
        <v>45725</v>
      </c>
      <c r="B69" s="3" t="s">
        <v>1723</v>
      </c>
      <c r="C69" s="19" t="s">
        <v>16</v>
      </c>
      <c r="D69" s="19" t="s">
        <v>76</v>
      </c>
      <c r="E69" s="4">
        <v>0.6</v>
      </c>
      <c r="F69" s="42">
        <v>2.2000000000000002</v>
      </c>
      <c r="G69" s="45">
        <v>377</v>
      </c>
      <c r="H69" s="22">
        <v>2.2000000000000002</v>
      </c>
      <c r="I69" s="30">
        <f t="shared" ref="I69:I132" si="3">(G69*E69)*F69*H69</f>
        <v>1094.8080000000002</v>
      </c>
      <c r="J69" s="6" t="s">
        <v>1663</v>
      </c>
      <c r="K69" s="17"/>
    </row>
    <row r="70" spans="1:11" ht="13.95" customHeight="1" x14ac:dyDescent="0.3">
      <c r="A70" s="3">
        <v>45726</v>
      </c>
      <c r="B70" s="3" t="s">
        <v>1723</v>
      </c>
      <c r="C70" s="19" t="s">
        <v>18</v>
      </c>
      <c r="D70" s="19" t="s">
        <v>76</v>
      </c>
      <c r="E70" s="4">
        <v>0.3</v>
      </c>
      <c r="F70" s="42">
        <v>1.75</v>
      </c>
      <c r="G70" s="45">
        <v>377</v>
      </c>
      <c r="H70" s="22">
        <v>2.2000000000000002</v>
      </c>
      <c r="I70" s="30">
        <f t="shared" si="3"/>
        <v>435.435</v>
      </c>
      <c r="J70" s="6" t="s">
        <v>150</v>
      </c>
      <c r="K70" s="17"/>
    </row>
    <row r="71" spans="1:11" ht="13.95" customHeight="1" x14ac:dyDescent="0.3">
      <c r="A71" s="3">
        <v>45727</v>
      </c>
      <c r="B71" s="3" t="s">
        <v>1723</v>
      </c>
      <c r="C71" s="19" t="s">
        <v>20</v>
      </c>
      <c r="D71" s="19" t="s">
        <v>76</v>
      </c>
      <c r="E71" s="4">
        <v>0.3</v>
      </c>
      <c r="F71" s="42">
        <v>1.75</v>
      </c>
      <c r="G71" s="45">
        <v>377</v>
      </c>
      <c r="H71" s="22">
        <v>2.2000000000000002</v>
      </c>
      <c r="I71" s="30">
        <f t="shared" si="3"/>
        <v>435.435</v>
      </c>
      <c r="J71" s="6" t="s">
        <v>150</v>
      </c>
      <c r="K71" s="17"/>
    </row>
    <row r="72" spans="1:11" ht="13.95" customHeight="1" x14ac:dyDescent="0.3">
      <c r="A72" s="3">
        <v>45728</v>
      </c>
      <c r="B72" s="3" t="s">
        <v>1723</v>
      </c>
      <c r="C72" s="19" t="s">
        <v>5</v>
      </c>
      <c r="D72" s="19" t="s">
        <v>76</v>
      </c>
      <c r="E72" s="4">
        <v>0.3</v>
      </c>
      <c r="F72" s="42">
        <v>1.75</v>
      </c>
      <c r="G72" s="45">
        <v>377</v>
      </c>
      <c r="H72" s="22">
        <v>2.2000000000000002</v>
      </c>
      <c r="I72" s="30">
        <f t="shared" si="3"/>
        <v>435.435</v>
      </c>
      <c r="J72" s="6" t="s">
        <v>150</v>
      </c>
      <c r="K72" s="17"/>
    </row>
    <row r="73" spans="1:11" ht="13.95" customHeight="1" x14ac:dyDescent="0.3">
      <c r="A73" s="3">
        <v>45729</v>
      </c>
      <c r="B73" s="3" t="s">
        <v>1723</v>
      </c>
      <c r="C73" s="19" t="s">
        <v>8</v>
      </c>
      <c r="D73" s="19" t="s">
        <v>76</v>
      </c>
      <c r="E73" s="4">
        <v>0.35</v>
      </c>
      <c r="F73" s="42">
        <v>1.8</v>
      </c>
      <c r="G73" s="45">
        <v>377</v>
      </c>
      <c r="H73" s="22">
        <v>2.2000000000000002</v>
      </c>
      <c r="I73" s="30">
        <f t="shared" si="3"/>
        <v>522.52200000000005</v>
      </c>
      <c r="J73" s="6" t="s">
        <v>71</v>
      </c>
      <c r="K73" s="17"/>
    </row>
    <row r="74" spans="1:11" ht="13.95" customHeight="1" x14ac:dyDescent="0.3">
      <c r="A74" s="3">
        <v>45730</v>
      </c>
      <c r="B74" s="3" t="s">
        <v>1723</v>
      </c>
      <c r="C74" s="19" t="s">
        <v>11</v>
      </c>
      <c r="D74" s="19" t="s">
        <v>14</v>
      </c>
      <c r="E74" s="4">
        <v>0.55000000000000004</v>
      </c>
      <c r="F74" s="42">
        <v>2.15</v>
      </c>
      <c r="G74" s="45">
        <v>377</v>
      </c>
      <c r="H74" s="22">
        <v>2.2000000000000002</v>
      </c>
      <c r="I74" s="30">
        <f t="shared" si="3"/>
        <v>980.76550000000009</v>
      </c>
      <c r="J74" s="6" t="s">
        <v>1651</v>
      </c>
      <c r="K74" s="17"/>
    </row>
    <row r="75" spans="1:11" ht="13.95" customHeight="1" x14ac:dyDescent="0.3">
      <c r="A75" s="3">
        <v>45731</v>
      </c>
      <c r="B75" s="3" t="s">
        <v>1723</v>
      </c>
      <c r="C75" s="19" t="s">
        <v>13</v>
      </c>
      <c r="D75" s="19" t="s">
        <v>76</v>
      </c>
      <c r="E75" s="4">
        <v>0.65</v>
      </c>
      <c r="F75" s="42">
        <v>2.4</v>
      </c>
      <c r="G75" s="45">
        <v>377</v>
      </c>
      <c r="H75" s="22">
        <v>2.2000000000000002</v>
      </c>
      <c r="I75" s="30">
        <f t="shared" si="3"/>
        <v>1293.864</v>
      </c>
      <c r="J75" s="6" t="s">
        <v>1593</v>
      </c>
      <c r="K75" s="17"/>
    </row>
    <row r="76" spans="1:11" ht="13.95" customHeight="1" x14ac:dyDescent="0.3">
      <c r="A76" s="3">
        <v>45732</v>
      </c>
      <c r="B76" s="3" t="s">
        <v>1723</v>
      </c>
      <c r="C76" s="19" t="s">
        <v>16</v>
      </c>
      <c r="D76" s="19" t="s">
        <v>76</v>
      </c>
      <c r="E76" s="4">
        <v>0.6</v>
      </c>
      <c r="F76" s="42">
        <v>2.15</v>
      </c>
      <c r="G76" s="45">
        <v>377</v>
      </c>
      <c r="H76" s="22">
        <v>2.2000000000000002</v>
      </c>
      <c r="I76" s="30">
        <f t="shared" si="3"/>
        <v>1069.9259999999999</v>
      </c>
      <c r="J76" s="6" t="s">
        <v>149</v>
      </c>
      <c r="K76" s="17"/>
    </row>
    <row r="77" spans="1:11" ht="13.95" customHeight="1" x14ac:dyDescent="0.3">
      <c r="A77" s="3">
        <v>45733</v>
      </c>
      <c r="B77" s="3" t="s">
        <v>1723</v>
      </c>
      <c r="C77" s="19" t="s">
        <v>18</v>
      </c>
      <c r="D77" s="19" t="s">
        <v>76</v>
      </c>
      <c r="E77" s="4">
        <v>0.3</v>
      </c>
      <c r="F77" s="42">
        <v>1.75</v>
      </c>
      <c r="G77" s="45">
        <v>377</v>
      </c>
      <c r="H77" s="22">
        <v>2.2000000000000002</v>
      </c>
      <c r="I77" s="30">
        <f t="shared" si="3"/>
        <v>435.435</v>
      </c>
      <c r="J77" s="6" t="s">
        <v>150</v>
      </c>
      <c r="K77" s="17"/>
    </row>
    <row r="78" spans="1:11" ht="13.95" customHeight="1" x14ac:dyDescent="0.3">
      <c r="A78" s="3">
        <v>45734</v>
      </c>
      <c r="B78" s="3" t="s">
        <v>1723</v>
      </c>
      <c r="C78" s="19" t="s">
        <v>20</v>
      </c>
      <c r="D78" s="19" t="s">
        <v>76</v>
      </c>
      <c r="E78" s="4">
        <v>0.3</v>
      </c>
      <c r="F78" s="42">
        <v>1.75</v>
      </c>
      <c r="G78" s="45">
        <v>377</v>
      </c>
      <c r="H78" s="22">
        <v>2.2000000000000002</v>
      </c>
      <c r="I78" s="30">
        <f t="shared" si="3"/>
        <v>435.435</v>
      </c>
      <c r="J78" s="6" t="s">
        <v>150</v>
      </c>
      <c r="K78" s="17"/>
    </row>
    <row r="79" spans="1:11" ht="13.95" customHeight="1" x14ac:dyDescent="0.3">
      <c r="A79" s="3">
        <v>45735</v>
      </c>
      <c r="B79" s="3" t="s">
        <v>1723</v>
      </c>
      <c r="C79" s="19" t="s">
        <v>5</v>
      </c>
      <c r="D79" s="19" t="s">
        <v>994</v>
      </c>
      <c r="E79" s="4">
        <v>0.5</v>
      </c>
      <c r="F79" s="42">
        <v>2.0499999999999998</v>
      </c>
      <c r="G79" s="45">
        <v>377</v>
      </c>
      <c r="H79" s="22">
        <v>2.2000000000000002</v>
      </c>
      <c r="I79" s="30">
        <f t="shared" si="3"/>
        <v>850.13499999999999</v>
      </c>
      <c r="J79" s="6" t="s">
        <v>1305</v>
      </c>
      <c r="K79" s="17"/>
    </row>
    <row r="80" spans="1:11" ht="13.95" customHeight="1" x14ac:dyDescent="0.3">
      <c r="A80" s="3">
        <v>45736</v>
      </c>
      <c r="B80" s="3" t="s">
        <v>1723</v>
      </c>
      <c r="C80" s="19" t="s">
        <v>8</v>
      </c>
      <c r="D80" s="19" t="s">
        <v>383</v>
      </c>
      <c r="E80" s="4">
        <v>0.7</v>
      </c>
      <c r="F80" s="42">
        <v>2.35</v>
      </c>
      <c r="G80" s="45">
        <v>377</v>
      </c>
      <c r="H80" s="22">
        <v>2.2000000000000002</v>
      </c>
      <c r="I80" s="30">
        <f t="shared" si="3"/>
        <v>1364.3630000000001</v>
      </c>
      <c r="J80" s="6" t="s">
        <v>1664</v>
      </c>
      <c r="K80" s="17"/>
    </row>
    <row r="81" spans="1:11" ht="13.95" customHeight="1" x14ac:dyDescent="0.3">
      <c r="A81" s="3">
        <v>45737</v>
      </c>
      <c r="B81" s="3" t="s">
        <v>1723</v>
      </c>
      <c r="C81" s="19" t="s">
        <v>11</v>
      </c>
      <c r="D81" s="19" t="s">
        <v>14</v>
      </c>
      <c r="E81" s="4">
        <v>0.6</v>
      </c>
      <c r="F81" s="42">
        <v>2.15</v>
      </c>
      <c r="G81" s="45">
        <v>377</v>
      </c>
      <c r="H81" s="22">
        <v>2.2000000000000002</v>
      </c>
      <c r="I81" s="30">
        <f t="shared" si="3"/>
        <v>1069.9259999999999</v>
      </c>
      <c r="J81" s="6" t="s">
        <v>97</v>
      </c>
      <c r="K81" s="17"/>
    </row>
    <row r="82" spans="1:11" ht="13.95" customHeight="1" x14ac:dyDescent="0.3">
      <c r="A82" s="3">
        <v>45738</v>
      </c>
      <c r="B82" s="3" t="s">
        <v>1723</v>
      </c>
      <c r="C82" s="19" t="s">
        <v>13</v>
      </c>
      <c r="D82" s="19" t="s">
        <v>76</v>
      </c>
      <c r="E82" s="4">
        <v>0.75</v>
      </c>
      <c r="F82" s="42">
        <v>2.4500000000000002</v>
      </c>
      <c r="G82" s="45">
        <v>377</v>
      </c>
      <c r="H82" s="22">
        <v>2.2000000000000002</v>
      </c>
      <c r="I82" s="30">
        <f t="shared" si="3"/>
        <v>1524.0225000000003</v>
      </c>
      <c r="J82" s="6" t="s">
        <v>709</v>
      </c>
      <c r="K82" s="17"/>
    </row>
    <row r="83" spans="1:11" ht="13.95" customHeight="1" x14ac:dyDescent="0.3">
      <c r="A83" s="3">
        <v>45739</v>
      </c>
      <c r="B83" s="3" t="s">
        <v>1723</v>
      </c>
      <c r="C83" s="19" t="s">
        <v>16</v>
      </c>
      <c r="D83" s="19" t="s">
        <v>76</v>
      </c>
      <c r="E83" s="4">
        <v>0.65</v>
      </c>
      <c r="F83" s="42">
        <v>2.15</v>
      </c>
      <c r="G83" s="45">
        <v>377</v>
      </c>
      <c r="H83" s="22">
        <v>2.2000000000000002</v>
      </c>
      <c r="I83" s="30">
        <f t="shared" si="3"/>
        <v>1159.0865000000001</v>
      </c>
      <c r="J83" s="6" t="s">
        <v>149</v>
      </c>
      <c r="K83" s="17"/>
    </row>
    <row r="84" spans="1:11" ht="13.95" customHeight="1" x14ac:dyDescent="0.3">
      <c r="A84" s="3">
        <v>45740</v>
      </c>
      <c r="B84" s="3" t="s">
        <v>1723</v>
      </c>
      <c r="C84" s="19" t="s">
        <v>18</v>
      </c>
      <c r="D84" s="19" t="s">
        <v>76</v>
      </c>
      <c r="E84" s="4">
        <v>0.35</v>
      </c>
      <c r="F84" s="42">
        <v>1.8</v>
      </c>
      <c r="G84" s="45">
        <v>377</v>
      </c>
      <c r="H84" s="22">
        <v>2.2000000000000002</v>
      </c>
      <c r="I84" s="30">
        <f t="shared" si="3"/>
        <v>522.52200000000005</v>
      </c>
      <c r="J84" s="6" t="s">
        <v>150</v>
      </c>
      <c r="K84" s="17"/>
    </row>
    <row r="85" spans="1:11" ht="13.95" customHeight="1" x14ac:dyDescent="0.3">
      <c r="A85" s="3">
        <v>45741</v>
      </c>
      <c r="B85" s="3" t="s">
        <v>1723</v>
      </c>
      <c r="C85" s="19" t="s">
        <v>20</v>
      </c>
      <c r="D85" s="19" t="s">
        <v>76</v>
      </c>
      <c r="E85" s="4">
        <v>0.35</v>
      </c>
      <c r="F85" s="42">
        <v>1.8</v>
      </c>
      <c r="G85" s="45">
        <v>377</v>
      </c>
      <c r="H85" s="22">
        <v>2.2000000000000002</v>
      </c>
      <c r="I85" s="30">
        <f t="shared" si="3"/>
        <v>522.52200000000005</v>
      </c>
      <c r="J85" s="6" t="s">
        <v>150</v>
      </c>
      <c r="K85" s="17"/>
    </row>
    <row r="86" spans="1:11" ht="13.95" customHeight="1" x14ac:dyDescent="0.3">
      <c r="A86" s="3">
        <v>45742</v>
      </c>
      <c r="B86" s="3" t="s">
        <v>1723</v>
      </c>
      <c r="C86" s="19" t="s">
        <v>5</v>
      </c>
      <c r="D86" s="19" t="s">
        <v>76</v>
      </c>
      <c r="E86" s="4">
        <v>0.4</v>
      </c>
      <c r="F86" s="42">
        <v>1.85</v>
      </c>
      <c r="G86" s="45">
        <v>377</v>
      </c>
      <c r="H86" s="22">
        <v>2.2000000000000002</v>
      </c>
      <c r="I86" s="30">
        <f t="shared" si="3"/>
        <v>613.75600000000009</v>
      </c>
      <c r="J86" s="6" t="s">
        <v>1506</v>
      </c>
      <c r="K86" s="17"/>
    </row>
    <row r="87" spans="1:11" ht="13.95" customHeight="1" x14ac:dyDescent="0.3">
      <c r="A87" s="3">
        <v>45743</v>
      </c>
      <c r="B87" s="3" t="s">
        <v>1723</v>
      </c>
      <c r="C87" s="19" t="s">
        <v>8</v>
      </c>
      <c r="D87" s="19" t="s">
        <v>76</v>
      </c>
      <c r="E87" s="4">
        <v>0.5</v>
      </c>
      <c r="F87" s="42">
        <v>2.1</v>
      </c>
      <c r="G87" s="45">
        <v>377</v>
      </c>
      <c r="H87" s="22">
        <v>2.2000000000000002</v>
      </c>
      <c r="I87" s="30">
        <f t="shared" si="3"/>
        <v>870.87000000000012</v>
      </c>
      <c r="J87" s="6" t="s">
        <v>1665</v>
      </c>
      <c r="K87" s="17"/>
    </row>
    <row r="88" spans="1:11" ht="13.95" customHeight="1" x14ac:dyDescent="0.3">
      <c r="A88" s="3">
        <v>45744</v>
      </c>
      <c r="B88" s="3" t="s">
        <v>1723</v>
      </c>
      <c r="C88" s="19" t="s">
        <v>11</v>
      </c>
      <c r="D88" s="19" t="s">
        <v>1310</v>
      </c>
      <c r="E88" s="4">
        <v>0.7</v>
      </c>
      <c r="F88" s="42">
        <v>2.5499999999999998</v>
      </c>
      <c r="G88" s="45">
        <v>377</v>
      </c>
      <c r="H88" s="22">
        <v>2.2000000000000002</v>
      </c>
      <c r="I88" s="30">
        <f t="shared" si="3"/>
        <v>1480.479</v>
      </c>
      <c r="J88" s="6" t="s">
        <v>1666</v>
      </c>
      <c r="K88" s="17"/>
    </row>
    <row r="89" spans="1:11" ht="13.95" customHeight="1" x14ac:dyDescent="0.3">
      <c r="A89" s="3">
        <v>45745</v>
      </c>
      <c r="B89" s="3" t="s">
        <v>1723</v>
      </c>
      <c r="C89" s="19" t="s">
        <v>13</v>
      </c>
      <c r="D89" s="19" t="s">
        <v>904</v>
      </c>
      <c r="E89" s="4">
        <v>0.85</v>
      </c>
      <c r="F89" s="42">
        <v>2.65</v>
      </c>
      <c r="G89" s="45">
        <v>377</v>
      </c>
      <c r="H89" s="22">
        <v>2.2000000000000002</v>
      </c>
      <c r="I89" s="30">
        <f t="shared" si="3"/>
        <v>1868.2235000000001</v>
      </c>
      <c r="J89" s="6" t="s">
        <v>1667</v>
      </c>
      <c r="K89" s="17"/>
    </row>
    <row r="90" spans="1:11" ht="13.95" customHeight="1" x14ac:dyDescent="0.3">
      <c r="A90" s="3">
        <v>45746</v>
      </c>
      <c r="B90" s="3" t="s">
        <v>1723</v>
      </c>
      <c r="C90" s="19" t="s">
        <v>16</v>
      </c>
      <c r="D90" s="19" t="s">
        <v>574</v>
      </c>
      <c r="E90" s="4">
        <v>0.98</v>
      </c>
      <c r="F90" s="42">
        <v>2.9</v>
      </c>
      <c r="G90" s="45">
        <v>377</v>
      </c>
      <c r="H90" s="22">
        <v>2.2000000000000002</v>
      </c>
      <c r="I90" s="30">
        <f t="shared" si="3"/>
        <v>2357.1548000000003</v>
      </c>
      <c r="J90" s="6" t="s">
        <v>1568</v>
      </c>
      <c r="K90" s="17"/>
    </row>
    <row r="91" spans="1:11" ht="13.95" customHeight="1" x14ac:dyDescent="0.3">
      <c r="A91" s="3">
        <v>45747</v>
      </c>
      <c r="B91" s="3" t="s">
        <v>1723</v>
      </c>
      <c r="C91" s="19" t="s">
        <v>18</v>
      </c>
      <c r="D91" s="19" t="s">
        <v>574</v>
      </c>
      <c r="E91" s="4">
        <v>0.9</v>
      </c>
      <c r="F91" s="42">
        <v>2.6</v>
      </c>
      <c r="G91" s="45">
        <v>377</v>
      </c>
      <c r="H91" s="22">
        <v>2.2000000000000002</v>
      </c>
      <c r="I91" s="30">
        <f t="shared" si="3"/>
        <v>1940.7960000000003</v>
      </c>
      <c r="J91" s="6" t="s">
        <v>530</v>
      </c>
      <c r="K91" s="17"/>
    </row>
    <row r="92" spans="1:11" ht="13.95" customHeight="1" x14ac:dyDescent="0.3">
      <c r="A92" s="3">
        <v>45748</v>
      </c>
      <c r="B92" s="3" t="s">
        <v>1723</v>
      </c>
      <c r="C92" s="19" t="s">
        <v>20</v>
      </c>
      <c r="D92" s="19" t="s">
        <v>1314</v>
      </c>
      <c r="E92" s="4">
        <v>0.6</v>
      </c>
      <c r="F92" s="42">
        <v>1.9</v>
      </c>
      <c r="G92" s="45">
        <v>377</v>
      </c>
      <c r="H92" s="22">
        <v>2.2000000000000002</v>
      </c>
      <c r="I92" s="30">
        <f t="shared" si="3"/>
        <v>945.51599999999996</v>
      </c>
      <c r="J92" s="6" t="s">
        <v>1509</v>
      </c>
      <c r="K92" s="17"/>
    </row>
    <row r="93" spans="1:11" ht="13.95" customHeight="1" x14ac:dyDescent="0.3">
      <c r="A93" s="3">
        <v>45749</v>
      </c>
      <c r="B93" s="3" t="s">
        <v>1723</v>
      </c>
      <c r="C93" s="19" t="s">
        <v>5</v>
      </c>
      <c r="D93" s="19" t="s">
        <v>1259</v>
      </c>
      <c r="E93" s="4">
        <v>0.45</v>
      </c>
      <c r="F93" s="42">
        <v>1.75</v>
      </c>
      <c r="G93" s="45">
        <v>377</v>
      </c>
      <c r="H93" s="22">
        <v>2.2000000000000002</v>
      </c>
      <c r="I93" s="30">
        <f t="shared" si="3"/>
        <v>653.15250000000003</v>
      </c>
      <c r="J93" s="6" t="s">
        <v>1414</v>
      </c>
      <c r="K93" s="17"/>
    </row>
    <row r="94" spans="1:11" ht="13.95" customHeight="1" x14ac:dyDescent="0.3">
      <c r="A94" s="3">
        <v>45750</v>
      </c>
      <c r="B94" s="3" t="s">
        <v>1723</v>
      </c>
      <c r="C94" s="19" t="s">
        <v>8</v>
      </c>
      <c r="D94" s="19" t="s">
        <v>1259</v>
      </c>
      <c r="E94" s="4">
        <v>0.4</v>
      </c>
      <c r="F94" s="42">
        <v>1.75</v>
      </c>
      <c r="G94" s="45">
        <v>377</v>
      </c>
      <c r="H94" s="22">
        <v>2.2000000000000002</v>
      </c>
      <c r="I94" s="30">
        <f t="shared" si="3"/>
        <v>580.58000000000015</v>
      </c>
      <c r="J94" s="6" t="s">
        <v>150</v>
      </c>
      <c r="K94" s="17"/>
    </row>
    <row r="95" spans="1:11" ht="13.95" customHeight="1" x14ac:dyDescent="0.3">
      <c r="A95" s="3">
        <v>45751</v>
      </c>
      <c r="B95" s="3" t="s">
        <v>1723</v>
      </c>
      <c r="C95" s="19" t="s">
        <v>11</v>
      </c>
      <c r="D95" s="19" t="s">
        <v>14</v>
      </c>
      <c r="E95" s="4">
        <v>0.55000000000000004</v>
      </c>
      <c r="F95" s="42">
        <v>1.95</v>
      </c>
      <c r="G95" s="45">
        <v>377</v>
      </c>
      <c r="H95" s="22">
        <v>2.2000000000000002</v>
      </c>
      <c r="I95" s="30">
        <f t="shared" si="3"/>
        <v>889.53150000000016</v>
      </c>
      <c r="J95" s="6" t="s">
        <v>1124</v>
      </c>
      <c r="K95" s="17"/>
    </row>
    <row r="96" spans="1:11" ht="13.95" customHeight="1" x14ac:dyDescent="0.3">
      <c r="A96" s="3">
        <v>45752</v>
      </c>
      <c r="B96" s="3" t="s">
        <v>1723</v>
      </c>
      <c r="C96" s="19" t="s">
        <v>13</v>
      </c>
      <c r="D96" s="19" t="s">
        <v>14</v>
      </c>
      <c r="E96" s="4">
        <v>0.75</v>
      </c>
      <c r="F96" s="42">
        <v>2.2000000000000002</v>
      </c>
      <c r="G96" s="45">
        <v>377</v>
      </c>
      <c r="H96" s="22">
        <v>2.2000000000000002</v>
      </c>
      <c r="I96" s="30">
        <f t="shared" si="3"/>
        <v>1368.5100000000002</v>
      </c>
      <c r="J96" s="6" t="s">
        <v>1668</v>
      </c>
      <c r="K96" s="17"/>
    </row>
    <row r="97" spans="1:11" ht="13.95" customHeight="1" x14ac:dyDescent="0.3">
      <c r="A97" s="3">
        <v>45753</v>
      </c>
      <c r="B97" s="3" t="s">
        <v>1723</v>
      </c>
      <c r="C97" s="19" t="s">
        <v>16</v>
      </c>
      <c r="D97" s="19" t="s">
        <v>14</v>
      </c>
      <c r="E97" s="4">
        <v>0.65</v>
      </c>
      <c r="F97" s="42">
        <v>2</v>
      </c>
      <c r="G97" s="45">
        <v>377</v>
      </c>
      <c r="H97" s="22">
        <v>2.2000000000000002</v>
      </c>
      <c r="I97" s="30">
        <f t="shared" si="3"/>
        <v>1078.22</v>
      </c>
      <c r="J97" s="6" t="s">
        <v>139</v>
      </c>
      <c r="K97" s="17"/>
    </row>
    <row r="98" spans="1:11" ht="13.95" customHeight="1" x14ac:dyDescent="0.3">
      <c r="A98" s="3">
        <v>45754</v>
      </c>
      <c r="B98" s="3" t="s">
        <v>1723</v>
      </c>
      <c r="C98" s="19" t="s">
        <v>18</v>
      </c>
      <c r="D98" s="19" t="s">
        <v>1259</v>
      </c>
      <c r="E98" s="4">
        <v>0.45</v>
      </c>
      <c r="F98" s="42">
        <v>1.75</v>
      </c>
      <c r="G98" s="45">
        <v>377</v>
      </c>
      <c r="H98" s="22">
        <v>2.2000000000000002</v>
      </c>
      <c r="I98" s="30">
        <f t="shared" si="3"/>
        <v>653.15250000000003</v>
      </c>
      <c r="J98" s="6" t="s">
        <v>150</v>
      </c>
      <c r="K98" s="17"/>
    </row>
    <row r="99" spans="1:11" ht="13.95" customHeight="1" x14ac:dyDescent="0.3">
      <c r="A99" s="3">
        <v>45755</v>
      </c>
      <c r="B99" s="3" t="s">
        <v>1723</v>
      </c>
      <c r="C99" s="19" t="s">
        <v>20</v>
      </c>
      <c r="D99" s="19" t="s">
        <v>994</v>
      </c>
      <c r="E99" s="4">
        <v>0.55000000000000004</v>
      </c>
      <c r="F99" s="42">
        <v>1.85</v>
      </c>
      <c r="G99" s="45">
        <v>377</v>
      </c>
      <c r="H99" s="22">
        <v>2.2000000000000002</v>
      </c>
      <c r="I99" s="30">
        <f t="shared" si="3"/>
        <v>843.9145000000002</v>
      </c>
      <c r="J99" s="6" t="s">
        <v>1510</v>
      </c>
      <c r="K99" s="17"/>
    </row>
    <row r="100" spans="1:11" ht="13.95" customHeight="1" x14ac:dyDescent="0.3">
      <c r="A100" s="3">
        <v>45756</v>
      </c>
      <c r="B100" s="3" t="s">
        <v>1723</v>
      </c>
      <c r="C100" s="19" t="s">
        <v>5</v>
      </c>
      <c r="D100" s="19" t="s">
        <v>1112</v>
      </c>
      <c r="E100" s="4">
        <v>0.75</v>
      </c>
      <c r="F100" s="42">
        <v>2.15</v>
      </c>
      <c r="G100" s="45">
        <v>377</v>
      </c>
      <c r="H100" s="22">
        <v>2.2000000000000002</v>
      </c>
      <c r="I100" s="30">
        <f t="shared" si="3"/>
        <v>1337.4075000000003</v>
      </c>
      <c r="J100" s="6" t="s">
        <v>1511</v>
      </c>
      <c r="K100" s="17"/>
    </row>
    <row r="101" spans="1:11" ht="13.95" customHeight="1" x14ac:dyDescent="0.3">
      <c r="A101" s="3">
        <v>45757</v>
      </c>
      <c r="B101" s="3" t="s">
        <v>1723</v>
      </c>
      <c r="C101" s="19" t="s">
        <v>8</v>
      </c>
      <c r="D101" s="19" t="s">
        <v>1259</v>
      </c>
      <c r="E101" s="4">
        <v>0.45</v>
      </c>
      <c r="F101" s="42">
        <v>1.75</v>
      </c>
      <c r="G101" s="45">
        <v>377</v>
      </c>
      <c r="H101" s="22">
        <v>2.2000000000000002</v>
      </c>
      <c r="I101" s="30">
        <f t="shared" si="3"/>
        <v>653.15250000000003</v>
      </c>
      <c r="J101" s="6" t="s">
        <v>483</v>
      </c>
      <c r="K101" s="17"/>
    </row>
    <row r="102" spans="1:11" ht="13.95" customHeight="1" x14ac:dyDescent="0.3">
      <c r="A102" s="3">
        <v>45758</v>
      </c>
      <c r="B102" s="3" t="s">
        <v>1723</v>
      </c>
      <c r="C102" s="19" t="s">
        <v>11</v>
      </c>
      <c r="D102" s="19" t="s">
        <v>14</v>
      </c>
      <c r="E102" s="4">
        <v>0.55000000000000004</v>
      </c>
      <c r="F102" s="42">
        <v>1.9</v>
      </c>
      <c r="G102" s="45">
        <v>377</v>
      </c>
      <c r="H102" s="22">
        <v>2.2000000000000002</v>
      </c>
      <c r="I102" s="30">
        <f t="shared" si="3"/>
        <v>866.72300000000018</v>
      </c>
      <c r="J102" s="6" t="s">
        <v>97</v>
      </c>
      <c r="K102" s="17"/>
    </row>
    <row r="103" spans="1:11" ht="13.95" customHeight="1" x14ac:dyDescent="0.3">
      <c r="A103" s="3">
        <v>45759</v>
      </c>
      <c r="B103" s="3" t="s">
        <v>1723</v>
      </c>
      <c r="C103" s="19" t="s">
        <v>13</v>
      </c>
      <c r="D103" s="19" t="s">
        <v>14</v>
      </c>
      <c r="E103" s="4">
        <v>0.75</v>
      </c>
      <c r="F103" s="42">
        <v>2.25</v>
      </c>
      <c r="G103" s="45">
        <v>377</v>
      </c>
      <c r="H103" s="22">
        <v>2.2000000000000002</v>
      </c>
      <c r="I103" s="30">
        <f t="shared" si="3"/>
        <v>1399.6125000000002</v>
      </c>
      <c r="J103" s="6" t="s">
        <v>1669</v>
      </c>
      <c r="K103" s="17"/>
    </row>
    <row r="104" spans="1:11" ht="13.95" customHeight="1" x14ac:dyDescent="0.3">
      <c r="A104" s="3">
        <v>45760</v>
      </c>
      <c r="B104" s="3" t="s">
        <v>1723</v>
      </c>
      <c r="C104" s="19" t="s">
        <v>16</v>
      </c>
      <c r="D104" s="19" t="s">
        <v>14</v>
      </c>
      <c r="E104" s="4">
        <v>0.65</v>
      </c>
      <c r="F104" s="42">
        <v>2</v>
      </c>
      <c r="G104" s="45">
        <v>377</v>
      </c>
      <c r="H104" s="22">
        <v>2.2000000000000002</v>
      </c>
      <c r="I104" s="30">
        <f t="shared" si="3"/>
        <v>1078.22</v>
      </c>
      <c r="J104" s="6" t="s">
        <v>149</v>
      </c>
      <c r="K104" s="17"/>
    </row>
    <row r="105" spans="1:11" ht="13.95" customHeight="1" x14ac:dyDescent="0.3">
      <c r="A105" s="3">
        <v>45761</v>
      </c>
      <c r="B105" s="3" t="s">
        <v>1723</v>
      </c>
      <c r="C105" s="19" t="s">
        <v>18</v>
      </c>
      <c r="D105" s="19" t="s">
        <v>1434</v>
      </c>
      <c r="E105" s="4">
        <v>0.6</v>
      </c>
      <c r="F105" s="42">
        <v>1.9</v>
      </c>
      <c r="G105" s="45">
        <v>377</v>
      </c>
      <c r="H105" s="22">
        <v>2.2000000000000002</v>
      </c>
      <c r="I105" s="30">
        <f t="shared" si="3"/>
        <v>945.51599999999996</v>
      </c>
      <c r="J105" s="6" t="s">
        <v>1331</v>
      </c>
      <c r="K105" s="17"/>
    </row>
    <row r="106" spans="1:11" ht="13.95" customHeight="1" x14ac:dyDescent="0.3">
      <c r="A106" s="3">
        <v>45762</v>
      </c>
      <c r="B106" s="3" t="s">
        <v>1723</v>
      </c>
      <c r="C106" s="19" t="s">
        <v>20</v>
      </c>
      <c r="D106" s="19" t="s">
        <v>1434</v>
      </c>
      <c r="E106" s="4">
        <v>0.65</v>
      </c>
      <c r="F106" s="42">
        <v>1.95</v>
      </c>
      <c r="G106" s="45">
        <v>377</v>
      </c>
      <c r="H106" s="22">
        <v>2.2000000000000002</v>
      </c>
      <c r="I106" s="30">
        <f t="shared" si="3"/>
        <v>1051.2645000000002</v>
      </c>
      <c r="J106" s="6" t="s">
        <v>1670</v>
      </c>
      <c r="K106" s="17"/>
    </row>
    <row r="107" spans="1:11" ht="13.95" customHeight="1" x14ac:dyDescent="0.3">
      <c r="A107" s="3">
        <v>45763</v>
      </c>
      <c r="B107" s="3" t="s">
        <v>1723</v>
      </c>
      <c r="C107" s="19" t="s">
        <v>5</v>
      </c>
      <c r="D107" s="19" t="s">
        <v>1434</v>
      </c>
      <c r="E107" s="4">
        <v>0.65</v>
      </c>
      <c r="F107" s="42">
        <v>1.95</v>
      </c>
      <c r="G107" s="45">
        <v>377</v>
      </c>
      <c r="H107" s="22">
        <v>2.2000000000000002</v>
      </c>
      <c r="I107" s="30">
        <f t="shared" si="3"/>
        <v>1051.2645000000002</v>
      </c>
      <c r="J107" s="6" t="s">
        <v>1670</v>
      </c>
      <c r="K107" s="17"/>
    </row>
    <row r="108" spans="1:11" ht="13.95" customHeight="1" x14ac:dyDescent="0.3">
      <c r="A108" s="3">
        <v>45764</v>
      </c>
      <c r="B108" s="3" t="s">
        <v>1723</v>
      </c>
      <c r="C108" s="19" t="s">
        <v>8</v>
      </c>
      <c r="D108" s="19" t="s">
        <v>1434</v>
      </c>
      <c r="E108" s="4">
        <v>0.7</v>
      </c>
      <c r="F108" s="42">
        <v>2</v>
      </c>
      <c r="G108" s="45">
        <v>377</v>
      </c>
      <c r="H108" s="22">
        <v>2.2000000000000002</v>
      </c>
      <c r="I108" s="30">
        <f t="shared" si="3"/>
        <v>1161.1600000000001</v>
      </c>
      <c r="J108" s="6" t="s">
        <v>767</v>
      </c>
      <c r="K108" s="17"/>
    </row>
    <row r="109" spans="1:11" ht="13.95" customHeight="1" x14ac:dyDescent="0.3">
      <c r="A109" s="3">
        <v>45765</v>
      </c>
      <c r="B109" s="3" t="s">
        <v>1723</v>
      </c>
      <c r="C109" s="19" t="s">
        <v>11</v>
      </c>
      <c r="D109" s="19" t="s">
        <v>1118</v>
      </c>
      <c r="E109" s="4">
        <v>0.8</v>
      </c>
      <c r="F109" s="42">
        <v>2.15</v>
      </c>
      <c r="G109" s="45">
        <v>377</v>
      </c>
      <c r="H109" s="22">
        <v>2.2000000000000002</v>
      </c>
      <c r="I109" s="30">
        <f t="shared" si="3"/>
        <v>1426.5680000000002</v>
      </c>
      <c r="J109" s="6" t="s">
        <v>1671</v>
      </c>
      <c r="K109" s="17"/>
    </row>
    <row r="110" spans="1:11" ht="13.95" customHeight="1" x14ac:dyDescent="0.3">
      <c r="A110" s="3">
        <v>45766</v>
      </c>
      <c r="B110" s="3" t="s">
        <v>1723</v>
      </c>
      <c r="C110" s="19" t="s">
        <v>13</v>
      </c>
      <c r="D110" s="19" t="s">
        <v>1322</v>
      </c>
      <c r="E110" s="4">
        <v>0.9</v>
      </c>
      <c r="F110" s="42">
        <v>2.4500000000000002</v>
      </c>
      <c r="G110" s="45">
        <v>377</v>
      </c>
      <c r="H110" s="22">
        <v>2.2000000000000002</v>
      </c>
      <c r="I110" s="30">
        <f t="shared" si="3"/>
        <v>1828.8270000000002</v>
      </c>
      <c r="J110" s="6" t="s">
        <v>1672</v>
      </c>
      <c r="K110" s="17"/>
    </row>
    <row r="111" spans="1:11" ht="13.95" customHeight="1" x14ac:dyDescent="0.3">
      <c r="A111" s="3">
        <v>45767</v>
      </c>
      <c r="B111" s="3" t="s">
        <v>1723</v>
      </c>
      <c r="C111" s="19" t="s">
        <v>16</v>
      </c>
      <c r="D111" s="19" t="s">
        <v>905</v>
      </c>
      <c r="E111" s="4">
        <v>0.95</v>
      </c>
      <c r="F111" s="42">
        <v>2.65</v>
      </c>
      <c r="G111" s="45">
        <v>377</v>
      </c>
      <c r="H111" s="22">
        <v>2.2000000000000002</v>
      </c>
      <c r="I111" s="30">
        <f t="shared" si="3"/>
        <v>2088.0144999999998</v>
      </c>
      <c r="J111" s="6" t="s">
        <v>1435</v>
      </c>
      <c r="K111" s="17"/>
    </row>
    <row r="112" spans="1:11" ht="13.95" customHeight="1" x14ac:dyDescent="0.3">
      <c r="A112" s="3">
        <v>45768</v>
      </c>
      <c r="B112" s="3" t="s">
        <v>1723</v>
      </c>
      <c r="C112" s="19" t="s">
        <v>18</v>
      </c>
      <c r="D112" s="19" t="s">
        <v>1325</v>
      </c>
      <c r="E112" s="4">
        <v>0.85</v>
      </c>
      <c r="F112" s="42">
        <v>2.2000000000000002</v>
      </c>
      <c r="G112" s="45">
        <v>377</v>
      </c>
      <c r="H112" s="22">
        <v>2.2000000000000002</v>
      </c>
      <c r="I112" s="30">
        <f t="shared" si="3"/>
        <v>1550.9780000000001</v>
      </c>
      <c r="J112" s="6" t="s">
        <v>1673</v>
      </c>
      <c r="K112" s="17"/>
    </row>
    <row r="113" spans="1:11" ht="13.95" customHeight="1" x14ac:dyDescent="0.3">
      <c r="A113" s="3">
        <v>45769</v>
      </c>
      <c r="B113" s="3" t="s">
        <v>1723</v>
      </c>
      <c r="C113" s="19" t="s">
        <v>20</v>
      </c>
      <c r="D113" s="19" t="s">
        <v>1259</v>
      </c>
      <c r="E113" s="4">
        <v>0.5</v>
      </c>
      <c r="F113" s="42">
        <v>1.8</v>
      </c>
      <c r="G113" s="45">
        <v>377</v>
      </c>
      <c r="H113" s="22">
        <v>2.2000000000000002</v>
      </c>
      <c r="I113" s="30">
        <f t="shared" si="3"/>
        <v>746.46</v>
      </c>
      <c r="J113" s="6" t="s">
        <v>150</v>
      </c>
      <c r="K113" s="17"/>
    </row>
    <row r="114" spans="1:11" ht="13.95" customHeight="1" x14ac:dyDescent="0.3">
      <c r="A114" s="3">
        <v>45770</v>
      </c>
      <c r="B114" s="3" t="s">
        <v>1723</v>
      </c>
      <c r="C114" s="19" t="s">
        <v>5</v>
      </c>
      <c r="D114" s="19" t="s">
        <v>1259</v>
      </c>
      <c r="E114" s="4">
        <v>0.45</v>
      </c>
      <c r="F114" s="42">
        <v>1.75</v>
      </c>
      <c r="G114" s="45">
        <v>377</v>
      </c>
      <c r="H114" s="22">
        <v>2.2000000000000002</v>
      </c>
      <c r="I114" s="30">
        <f t="shared" si="3"/>
        <v>653.15250000000003</v>
      </c>
      <c r="J114" s="6" t="s">
        <v>150</v>
      </c>
      <c r="K114" s="17"/>
    </row>
    <row r="115" spans="1:11" ht="13.95" customHeight="1" x14ac:dyDescent="0.3">
      <c r="A115" s="3">
        <v>45771</v>
      </c>
      <c r="B115" s="3" t="s">
        <v>1723</v>
      </c>
      <c r="C115" s="19" t="s">
        <v>8</v>
      </c>
      <c r="D115" s="19" t="s">
        <v>1259</v>
      </c>
      <c r="E115" s="4">
        <v>0.45</v>
      </c>
      <c r="F115" s="42">
        <v>1.75</v>
      </c>
      <c r="G115" s="45">
        <v>377</v>
      </c>
      <c r="H115" s="22">
        <v>2.2000000000000002</v>
      </c>
      <c r="I115" s="30">
        <f t="shared" si="3"/>
        <v>653.15250000000003</v>
      </c>
      <c r="J115" s="6" t="s">
        <v>71</v>
      </c>
      <c r="K115" s="17"/>
    </row>
    <row r="116" spans="1:11" ht="13.95" customHeight="1" x14ac:dyDescent="0.3">
      <c r="A116" s="3">
        <v>45772</v>
      </c>
      <c r="B116" s="3" t="s">
        <v>1723</v>
      </c>
      <c r="C116" s="19" t="s">
        <v>11</v>
      </c>
      <c r="D116" s="19" t="s">
        <v>14</v>
      </c>
      <c r="E116" s="4">
        <v>0.6</v>
      </c>
      <c r="F116" s="42">
        <v>2</v>
      </c>
      <c r="G116" s="45">
        <v>377</v>
      </c>
      <c r="H116" s="22">
        <v>2.2000000000000002</v>
      </c>
      <c r="I116" s="30">
        <f t="shared" si="3"/>
        <v>995.28000000000009</v>
      </c>
      <c r="J116" s="6" t="s">
        <v>124</v>
      </c>
      <c r="K116" s="17"/>
    </row>
    <row r="117" spans="1:11" ht="13.95" customHeight="1" x14ac:dyDescent="0.3">
      <c r="A117" s="3">
        <v>45773</v>
      </c>
      <c r="B117" s="3" t="s">
        <v>1723</v>
      </c>
      <c r="C117" s="19" t="s">
        <v>13</v>
      </c>
      <c r="D117" s="19" t="s">
        <v>14</v>
      </c>
      <c r="E117" s="4">
        <v>0.75</v>
      </c>
      <c r="F117" s="42">
        <v>2.2999999999999998</v>
      </c>
      <c r="G117" s="45">
        <v>377</v>
      </c>
      <c r="H117" s="22">
        <v>2.2000000000000002</v>
      </c>
      <c r="I117" s="30">
        <f t="shared" si="3"/>
        <v>1430.7149999999999</v>
      </c>
      <c r="J117" s="6" t="s">
        <v>1370</v>
      </c>
      <c r="K117" s="17"/>
    </row>
    <row r="118" spans="1:11" ht="13.95" customHeight="1" x14ac:dyDescent="0.3">
      <c r="A118" s="3">
        <v>45774</v>
      </c>
      <c r="B118" s="3" t="s">
        <v>1723</v>
      </c>
      <c r="C118" s="19" t="s">
        <v>16</v>
      </c>
      <c r="D118" s="19" t="s">
        <v>14</v>
      </c>
      <c r="E118" s="4">
        <v>0.65</v>
      </c>
      <c r="F118" s="42">
        <v>2.1</v>
      </c>
      <c r="G118" s="45">
        <v>377</v>
      </c>
      <c r="H118" s="22">
        <v>2.2000000000000002</v>
      </c>
      <c r="I118" s="30">
        <f t="shared" si="3"/>
        <v>1132.1310000000001</v>
      </c>
      <c r="J118" s="6" t="s">
        <v>139</v>
      </c>
      <c r="K118" s="17"/>
    </row>
    <row r="119" spans="1:11" ht="13.95" customHeight="1" x14ac:dyDescent="0.3">
      <c r="A119" s="3">
        <v>45775</v>
      </c>
      <c r="B119" s="3" t="s">
        <v>1723</v>
      </c>
      <c r="C119" s="19" t="s">
        <v>18</v>
      </c>
      <c r="D119" s="19" t="s">
        <v>1259</v>
      </c>
      <c r="E119" s="4">
        <v>0.45</v>
      </c>
      <c r="F119" s="42">
        <v>1.75</v>
      </c>
      <c r="G119" s="45">
        <v>377</v>
      </c>
      <c r="H119" s="22">
        <v>2.2000000000000002</v>
      </c>
      <c r="I119" s="30">
        <f t="shared" si="3"/>
        <v>653.15250000000003</v>
      </c>
      <c r="J119" s="6" t="s">
        <v>150</v>
      </c>
      <c r="K119" s="17"/>
    </row>
    <row r="120" spans="1:11" ht="13.95" customHeight="1" x14ac:dyDescent="0.3">
      <c r="A120" s="3">
        <v>45776</v>
      </c>
      <c r="B120" s="3" t="s">
        <v>1723</v>
      </c>
      <c r="C120" s="19" t="s">
        <v>20</v>
      </c>
      <c r="D120" s="19" t="s">
        <v>1259</v>
      </c>
      <c r="E120" s="4">
        <v>0.45</v>
      </c>
      <c r="F120" s="42">
        <v>1.75</v>
      </c>
      <c r="G120" s="45">
        <v>377</v>
      </c>
      <c r="H120" s="22">
        <v>2.2000000000000002</v>
      </c>
      <c r="I120" s="30">
        <f t="shared" si="3"/>
        <v>653.15250000000003</v>
      </c>
      <c r="J120" s="6" t="s">
        <v>150</v>
      </c>
      <c r="K120" s="17"/>
    </row>
    <row r="121" spans="1:11" ht="13.95" customHeight="1" x14ac:dyDescent="0.3">
      <c r="A121" s="3">
        <v>45777</v>
      </c>
      <c r="B121" s="3" t="s">
        <v>1723</v>
      </c>
      <c r="C121" s="19" t="s">
        <v>5</v>
      </c>
      <c r="D121" s="19" t="s">
        <v>994</v>
      </c>
      <c r="E121" s="4">
        <v>0.65</v>
      </c>
      <c r="F121" s="42">
        <v>2.0499999999999998</v>
      </c>
      <c r="G121" s="45">
        <v>377</v>
      </c>
      <c r="H121" s="22">
        <v>2.2000000000000002</v>
      </c>
      <c r="I121" s="30">
        <f t="shared" si="3"/>
        <v>1105.1755000000001</v>
      </c>
      <c r="J121" s="6" t="s">
        <v>1438</v>
      </c>
      <c r="K121" s="17"/>
    </row>
    <row r="122" spans="1:11" ht="13.95" customHeight="1" x14ac:dyDescent="0.3">
      <c r="A122" s="3">
        <v>45778</v>
      </c>
      <c r="B122" s="3" t="s">
        <v>1723</v>
      </c>
      <c r="C122" s="19" t="s">
        <v>8</v>
      </c>
      <c r="D122" s="19" t="s">
        <v>742</v>
      </c>
      <c r="E122" s="4">
        <v>0.8</v>
      </c>
      <c r="F122" s="42">
        <v>2.2000000000000002</v>
      </c>
      <c r="G122" s="45">
        <v>377</v>
      </c>
      <c r="H122" s="22">
        <v>2.2000000000000002</v>
      </c>
      <c r="I122" s="30">
        <f t="shared" si="3"/>
        <v>1459.7440000000004</v>
      </c>
      <c r="J122" s="6" t="s">
        <v>1674</v>
      </c>
      <c r="K122" s="17"/>
    </row>
    <row r="123" spans="1:11" ht="13.95" customHeight="1" x14ac:dyDescent="0.3">
      <c r="A123" s="3">
        <v>45779</v>
      </c>
      <c r="B123" s="3" t="s">
        <v>1723</v>
      </c>
      <c r="C123" s="19" t="s">
        <v>11</v>
      </c>
      <c r="D123" s="19" t="s">
        <v>1518</v>
      </c>
      <c r="E123" s="4">
        <v>0.7</v>
      </c>
      <c r="F123" s="42">
        <v>2.0499999999999998</v>
      </c>
      <c r="G123" s="45">
        <v>377</v>
      </c>
      <c r="H123" s="22">
        <v>2.2000000000000002</v>
      </c>
      <c r="I123" s="30">
        <f t="shared" si="3"/>
        <v>1190.1889999999999</v>
      </c>
      <c r="J123" s="6" t="s">
        <v>197</v>
      </c>
      <c r="K123" s="17"/>
    </row>
    <row r="124" spans="1:11" ht="13.95" customHeight="1" x14ac:dyDescent="0.3">
      <c r="A124" s="3">
        <v>45780</v>
      </c>
      <c r="B124" s="3" t="s">
        <v>1723</v>
      </c>
      <c r="C124" s="19" t="s">
        <v>13</v>
      </c>
      <c r="D124" s="19" t="s">
        <v>14</v>
      </c>
      <c r="E124" s="4">
        <v>0.85</v>
      </c>
      <c r="F124" s="42">
        <v>2.4500000000000002</v>
      </c>
      <c r="G124" s="45">
        <v>377</v>
      </c>
      <c r="H124" s="22">
        <v>2.2000000000000002</v>
      </c>
      <c r="I124" s="30">
        <f t="shared" si="3"/>
        <v>1727.2255000000002</v>
      </c>
      <c r="J124" s="6" t="s">
        <v>1675</v>
      </c>
      <c r="K124" s="17"/>
    </row>
    <row r="125" spans="1:11" ht="13.95" customHeight="1" x14ac:dyDescent="0.3">
      <c r="A125" s="3">
        <v>45781</v>
      </c>
      <c r="B125" s="3" t="s">
        <v>1723</v>
      </c>
      <c r="C125" s="19" t="s">
        <v>16</v>
      </c>
      <c r="D125" s="19" t="s">
        <v>14</v>
      </c>
      <c r="E125" s="4">
        <v>0.7</v>
      </c>
      <c r="F125" s="42">
        <v>2</v>
      </c>
      <c r="G125" s="45">
        <v>377</v>
      </c>
      <c r="H125" s="22">
        <v>2.2000000000000002</v>
      </c>
      <c r="I125" s="30">
        <f t="shared" si="3"/>
        <v>1161.1600000000001</v>
      </c>
      <c r="J125" s="6" t="s">
        <v>139</v>
      </c>
      <c r="K125" s="17"/>
    </row>
    <row r="126" spans="1:11" ht="13.95" customHeight="1" x14ac:dyDescent="0.3">
      <c r="A126" s="3">
        <v>45782</v>
      </c>
      <c r="B126" s="3" t="s">
        <v>1723</v>
      </c>
      <c r="C126" s="19" t="s">
        <v>18</v>
      </c>
      <c r="D126" s="19" t="s">
        <v>1330</v>
      </c>
      <c r="E126" s="4">
        <v>0.55000000000000004</v>
      </c>
      <c r="F126" s="42">
        <v>1.85</v>
      </c>
      <c r="G126" s="45">
        <v>377</v>
      </c>
      <c r="H126" s="22">
        <v>2.2000000000000002</v>
      </c>
      <c r="I126" s="30">
        <f t="shared" si="3"/>
        <v>843.9145000000002</v>
      </c>
      <c r="J126" s="6" t="s">
        <v>1676</v>
      </c>
      <c r="K126" s="17"/>
    </row>
    <row r="127" spans="1:11" ht="13.95" customHeight="1" x14ac:dyDescent="0.3">
      <c r="A127" s="3">
        <v>45783</v>
      </c>
      <c r="B127" s="3" t="s">
        <v>1723</v>
      </c>
      <c r="C127" s="19" t="s">
        <v>20</v>
      </c>
      <c r="D127" s="19" t="s">
        <v>1330</v>
      </c>
      <c r="E127" s="4">
        <v>0.6</v>
      </c>
      <c r="F127" s="42">
        <v>1.9</v>
      </c>
      <c r="G127" s="45">
        <v>377</v>
      </c>
      <c r="H127" s="22">
        <v>2.2000000000000002</v>
      </c>
      <c r="I127" s="30">
        <f t="shared" si="3"/>
        <v>945.51599999999996</v>
      </c>
      <c r="J127" s="6" t="s">
        <v>1650</v>
      </c>
      <c r="K127" s="17"/>
    </row>
    <row r="128" spans="1:11" ht="13.95" customHeight="1" x14ac:dyDescent="0.3">
      <c r="A128" s="3">
        <v>45784</v>
      </c>
      <c r="B128" s="3" t="s">
        <v>1723</v>
      </c>
      <c r="C128" s="19" t="s">
        <v>5</v>
      </c>
      <c r="D128" s="19" t="s">
        <v>1330</v>
      </c>
      <c r="E128" s="4">
        <v>0.6</v>
      </c>
      <c r="F128" s="42">
        <v>1.9</v>
      </c>
      <c r="G128" s="45">
        <v>377</v>
      </c>
      <c r="H128" s="22">
        <v>2.2000000000000002</v>
      </c>
      <c r="I128" s="30">
        <f t="shared" si="3"/>
        <v>945.51599999999996</v>
      </c>
      <c r="J128" s="6" t="s">
        <v>1650</v>
      </c>
      <c r="K128" s="17"/>
    </row>
    <row r="129" spans="1:11" ht="13.95" customHeight="1" x14ac:dyDescent="0.3">
      <c r="A129" s="3">
        <v>45785</v>
      </c>
      <c r="B129" s="3" t="s">
        <v>1723</v>
      </c>
      <c r="C129" s="19" t="s">
        <v>8</v>
      </c>
      <c r="D129" s="19" t="s">
        <v>1330</v>
      </c>
      <c r="E129" s="4">
        <v>0.65</v>
      </c>
      <c r="F129" s="42">
        <v>1.95</v>
      </c>
      <c r="G129" s="45">
        <v>377</v>
      </c>
      <c r="H129" s="22">
        <v>2.2000000000000002</v>
      </c>
      <c r="I129" s="30">
        <f t="shared" si="3"/>
        <v>1051.2645000000002</v>
      </c>
      <c r="J129" s="6" t="s">
        <v>1677</v>
      </c>
      <c r="K129" s="17"/>
    </row>
    <row r="130" spans="1:11" ht="13.95" customHeight="1" x14ac:dyDescent="0.3">
      <c r="A130" s="3">
        <v>45786</v>
      </c>
      <c r="B130" s="3" t="s">
        <v>1723</v>
      </c>
      <c r="C130" s="19" t="s">
        <v>11</v>
      </c>
      <c r="D130" s="19" t="s">
        <v>14</v>
      </c>
      <c r="E130" s="4">
        <v>0.7</v>
      </c>
      <c r="F130" s="42">
        <v>2.0499999999999998</v>
      </c>
      <c r="G130" s="45">
        <v>377</v>
      </c>
      <c r="H130" s="22">
        <v>2.2000000000000002</v>
      </c>
      <c r="I130" s="30">
        <f t="shared" si="3"/>
        <v>1190.1889999999999</v>
      </c>
      <c r="J130" s="6" t="s">
        <v>1651</v>
      </c>
      <c r="K130" s="17"/>
    </row>
    <row r="131" spans="1:11" ht="13.95" customHeight="1" x14ac:dyDescent="0.3">
      <c r="A131" s="3">
        <v>45787</v>
      </c>
      <c r="B131" s="3" t="s">
        <v>1723</v>
      </c>
      <c r="C131" s="19" t="s">
        <v>13</v>
      </c>
      <c r="D131" s="19" t="s">
        <v>14</v>
      </c>
      <c r="E131" s="4">
        <v>0.85</v>
      </c>
      <c r="F131" s="42">
        <v>2.4500000000000002</v>
      </c>
      <c r="G131" s="45">
        <v>377</v>
      </c>
      <c r="H131" s="22">
        <v>2.2000000000000002</v>
      </c>
      <c r="I131" s="30">
        <f t="shared" si="3"/>
        <v>1727.2255000000002</v>
      </c>
      <c r="J131" s="6" t="s">
        <v>1370</v>
      </c>
      <c r="K131" s="17"/>
    </row>
    <row r="132" spans="1:11" ht="13.95" customHeight="1" x14ac:dyDescent="0.3">
      <c r="A132" s="3">
        <v>45788</v>
      </c>
      <c r="B132" s="3" t="s">
        <v>1723</v>
      </c>
      <c r="C132" s="19" t="s">
        <v>16</v>
      </c>
      <c r="D132" s="19" t="s">
        <v>14</v>
      </c>
      <c r="E132" s="4">
        <v>0.75</v>
      </c>
      <c r="F132" s="42">
        <v>2.1</v>
      </c>
      <c r="G132" s="45">
        <v>377</v>
      </c>
      <c r="H132" s="22">
        <v>2.2000000000000002</v>
      </c>
      <c r="I132" s="30">
        <f t="shared" si="3"/>
        <v>1306.3050000000001</v>
      </c>
      <c r="J132" s="6" t="s">
        <v>149</v>
      </c>
      <c r="K132" s="17"/>
    </row>
    <row r="133" spans="1:11" ht="13.95" customHeight="1" x14ac:dyDescent="0.3">
      <c r="A133" s="3">
        <v>45789</v>
      </c>
      <c r="B133" s="3" t="s">
        <v>1723</v>
      </c>
      <c r="C133" s="19" t="s">
        <v>18</v>
      </c>
      <c r="D133" s="19" t="s">
        <v>1330</v>
      </c>
      <c r="E133" s="4">
        <v>0.55000000000000004</v>
      </c>
      <c r="F133" s="42">
        <v>1.85</v>
      </c>
      <c r="G133" s="45">
        <v>377</v>
      </c>
      <c r="H133" s="22">
        <v>2.2000000000000002</v>
      </c>
      <c r="I133" s="30">
        <f t="shared" ref="I133:I196" si="4">(G133*E133)*F133*H133</f>
        <v>843.9145000000002</v>
      </c>
      <c r="J133" s="6" t="s">
        <v>1678</v>
      </c>
      <c r="K133" s="17"/>
    </row>
    <row r="134" spans="1:11" ht="13.95" customHeight="1" x14ac:dyDescent="0.3">
      <c r="A134" s="3">
        <v>45790</v>
      </c>
      <c r="B134" s="3" t="s">
        <v>1723</v>
      </c>
      <c r="C134" s="19" t="s">
        <v>20</v>
      </c>
      <c r="D134" s="19" t="s">
        <v>1330</v>
      </c>
      <c r="E134" s="4">
        <v>0.52</v>
      </c>
      <c r="F134" s="42">
        <v>1.85</v>
      </c>
      <c r="G134" s="45">
        <v>377</v>
      </c>
      <c r="H134" s="22">
        <v>2.2000000000000002</v>
      </c>
      <c r="I134" s="30">
        <f t="shared" si="4"/>
        <v>797.88280000000009</v>
      </c>
      <c r="J134" s="6" t="s">
        <v>150</v>
      </c>
      <c r="K134" s="17"/>
    </row>
    <row r="135" spans="1:11" ht="13.95" customHeight="1" x14ac:dyDescent="0.3">
      <c r="A135" s="3">
        <v>45791</v>
      </c>
      <c r="B135" s="3" t="s">
        <v>1723</v>
      </c>
      <c r="C135" s="19" t="s">
        <v>5</v>
      </c>
      <c r="D135" s="19" t="s">
        <v>1330</v>
      </c>
      <c r="E135" s="4">
        <v>0.55000000000000004</v>
      </c>
      <c r="F135" s="42">
        <v>1.85</v>
      </c>
      <c r="G135" s="45">
        <v>377</v>
      </c>
      <c r="H135" s="22">
        <v>2.2000000000000002</v>
      </c>
      <c r="I135" s="30">
        <f t="shared" si="4"/>
        <v>843.9145000000002</v>
      </c>
      <c r="J135" s="6" t="s">
        <v>71</v>
      </c>
      <c r="K135" s="17"/>
    </row>
    <row r="136" spans="1:11" ht="13.95" customHeight="1" x14ac:dyDescent="0.3">
      <c r="A136" s="3">
        <v>45792</v>
      </c>
      <c r="B136" s="3" t="s">
        <v>1723</v>
      </c>
      <c r="C136" s="19" t="s">
        <v>8</v>
      </c>
      <c r="D136" s="19" t="s">
        <v>1330</v>
      </c>
      <c r="E136" s="4">
        <v>0.65</v>
      </c>
      <c r="F136" s="42">
        <v>1.95</v>
      </c>
      <c r="G136" s="45">
        <v>377</v>
      </c>
      <c r="H136" s="22">
        <v>2.2000000000000002</v>
      </c>
      <c r="I136" s="30">
        <f t="shared" si="4"/>
        <v>1051.2645000000002</v>
      </c>
      <c r="J136" s="6" t="s">
        <v>1410</v>
      </c>
      <c r="K136" s="17"/>
    </row>
    <row r="137" spans="1:11" ht="13.95" customHeight="1" x14ac:dyDescent="0.3">
      <c r="A137" s="3">
        <v>45793</v>
      </c>
      <c r="B137" s="3" t="s">
        <v>1723</v>
      </c>
      <c r="C137" s="19" t="s">
        <v>11</v>
      </c>
      <c r="D137" s="19" t="s">
        <v>14</v>
      </c>
      <c r="E137" s="4">
        <v>0.75</v>
      </c>
      <c r="F137" s="42">
        <v>2.1</v>
      </c>
      <c r="G137" s="45">
        <v>377</v>
      </c>
      <c r="H137" s="22">
        <v>2.2000000000000002</v>
      </c>
      <c r="I137" s="30">
        <f t="shared" si="4"/>
        <v>1306.3050000000001</v>
      </c>
      <c r="J137" s="6" t="s">
        <v>67</v>
      </c>
      <c r="K137" s="17"/>
    </row>
    <row r="138" spans="1:11" ht="13.95" customHeight="1" x14ac:dyDescent="0.3">
      <c r="A138" s="3">
        <v>45794</v>
      </c>
      <c r="B138" s="3" t="s">
        <v>1723</v>
      </c>
      <c r="C138" s="19" t="s">
        <v>13</v>
      </c>
      <c r="D138" s="19" t="s">
        <v>14</v>
      </c>
      <c r="E138" s="4">
        <v>0.9</v>
      </c>
      <c r="F138" s="42">
        <v>2.5</v>
      </c>
      <c r="G138" s="45">
        <v>377</v>
      </c>
      <c r="H138" s="22">
        <v>2.2000000000000002</v>
      </c>
      <c r="I138" s="30">
        <f t="shared" si="4"/>
        <v>1866.15</v>
      </c>
      <c r="J138" s="6" t="s">
        <v>1679</v>
      </c>
      <c r="K138" s="17"/>
    </row>
    <row r="139" spans="1:11" ht="13.95" customHeight="1" x14ac:dyDescent="0.3">
      <c r="A139" s="3">
        <v>45795</v>
      </c>
      <c r="B139" s="3" t="s">
        <v>1723</v>
      </c>
      <c r="C139" s="19" t="s">
        <v>16</v>
      </c>
      <c r="D139" s="19" t="s">
        <v>14</v>
      </c>
      <c r="E139" s="4">
        <v>0.8</v>
      </c>
      <c r="F139" s="42">
        <v>2.2000000000000002</v>
      </c>
      <c r="G139" s="45">
        <v>377</v>
      </c>
      <c r="H139" s="22">
        <v>2.2000000000000002</v>
      </c>
      <c r="I139" s="30">
        <f t="shared" si="4"/>
        <v>1459.7440000000004</v>
      </c>
      <c r="J139" s="6" t="s">
        <v>1336</v>
      </c>
      <c r="K139" s="17"/>
    </row>
    <row r="140" spans="1:11" ht="13.95" customHeight="1" x14ac:dyDescent="0.3">
      <c r="A140" s="3">
        <v>45796</v>
      </c>
      <c r="B140" s="3" t="s">
        <v>1723</v>
      </c>
      <c r="C140" s="19" t="s">
        <v>18</v>
      </c>
      <c r="D140" s="19" t="s">
        <v>1330</v>
      </c>
      <c r="E140" s="4">
        <v>0.57999999999999996</v>
      </c>
      <c r="F140" s="42">
        <v>1.9</v>
      </c>
      <c r="G140" s="45">
        <v>377</v>
      </c>
      <c r="H140" s="22">
        <v>2.2000000000000002</v>
      </c>
      <c r="I140" s="30">
        <f t="shared" si="4"/>
        <v>913.99879999999996</v>
      </c>
      <c r="J140" s="6" t="s">
        <v>603</v>
      </c>
      <c r="K140" s="17"/>
    </row>
    <row r="141" spans="1:11" ht="13.95" customHeight="1" x14ac:dyDescent="0.3">
      <c r="A141" s="3">
        <v>45797</v>
      </c>
      <c r="B141" s="3" t="s">
        <v>1723</v>
      </c>
      <c r="C141" s="19" t="s">
        <v>20</v>
      </c>
      <c r="D141" s="19" t="s">
        <v>1330</v>
      </c>
      <c r="E141" s="4">
        <v>0.6</v>
      </c>
      <c r="F141" s="42">
        <v>1.9</v>
      </c>
      <c r="G141" s="45">
        <v>377</v>
      </c>
      <c r="H141" s="22">
        <v>2.2000000000000002</v>
      </c>
      <c r="I141" s="30">
        <f t="shared" si="4"/>
        <v>945.51599999999996</v>
      </c>
      <c r="J141" s="6" t="s">
        <v>603</v>
      </c>
      <c r="K141" s="17"/>
    </row>
    <row r="142" spans="1:11" ht="13.95" customHeight="1" x14ac:dyDescent="0.3">
      <c r="A142" s="3">
        <v>45798</v>
      </c>
      <c r="B142" s="3" t="s">
        <v>1723</v>
      </c>
      <c r="C142" s="19" t="s">
        <v>5</v>
      </c>
      <c r="D142" s="19" t="s">
        <v>1330</v>
      </c>
      <c r="E142" s="4">
        <v>0.62</v>
      </c>
      <c r="F142" s="42">
        <v>1.95</v>
      </c>
      <c r="G142" s="45">
        <v>377</v>
      </c>
      <c r="H142" s="22">
        <v>2.2000000000000002</v>
      </c>
      <c r="I142" s="30">
        <f t="shared" si="4"/>
        <v>1002.7446000000001</v>
      </c>
      <c r="J142" s="6" t="s">
        <v>71</v>
      </c>
      <c r="K142" s="17"/>
    </row>
    <row r="143" spans="1:11" ht="13.95" customHeight="1" x14ac:dyDescent="0.3">
      <c r="A143" s="3">
        <v>45799</v>
      </c>
      <c r="B143" s="3" t="s">
        <v>1723</v>
      </c>
      <c r="C143" s="19" t="s">
        <v>8</v>
      </c>
      <c r="D143" s="19" t="s">
        <v>1330</v>
      </c>
      <c r="E143" s="4">
        <v>0.65</v>
      </c>
      <c r="F143" s="42">
        <v>1.95</v>
      </c>
      <c r="G143" s="45">
        <v>377</v>
      </c>
      <c r="H143" s="22">
        <v>2.2000000000000002</v>
      </c>
      <c r="I143" s="30">
        <f t="shared" si="4"/>
        <v>1051.2645000000002</v>
      </c>
      <c r="J143" s="6" t="s">
        <v>71</v>
      </c>
      <c r="K143" s="17"/>
    </row>
    <row r="144" spans="1:11" ht="13.95" customHeight="1" x14ac:dyDescent="0.3">
      <c r="A144" s="3">
        <v>45800</v>
      </c>
      <c r="B144" s="3" t="s">
        <v>1723</v>
      </c>
      <c r="C144" s="19" t="s">
        <v>11</v>
      </c>
      <c r="D144" s="19" t="s">
        <v>14</v>
      </c>
      <c r="E144" s="4">
        <v>0.75</v>
      </c>
      <c r="F144" s="42">
        <v>2.2000000000000002</v>
      </c>
      <c r="G144" s="45">
        <v>377</v>
      </c>
      <c r="H144" s="22">
        <v>2.2000000000000002</v>
      </c>
      <c r="I144" s="30">
        <f t="shared" si="4"/>
        <v>1368.5100000000002</v>
      </c>
      <c r="J144" s="6" t="s">
        <v>97</v>
      </c>
      <c r="K144" s="17"/>
    </row>
    <row r="145" spans="1:11" ht="13.95" customHeight="1" x14ac:dyDescent="0.3">
      <c r="A145" s="3">
        <v>45801</v>
      </c>
      <c r="B145" s="3" t="s">
        <v>1723</v>
      </c>
      <c r="C145" s="19" t="s">
        <v>13</v>
      </c>
      <c r="D145" s="19" t="s">
        <v>14</v>
      </c>
      <c r="E145" s="4">
        <v>0.95</v>
      </c>
      <c r="F145" s="42">
        <v>2.65</v>
      </c>
      <c r="G145" s="45">
        <v>377</v>
      </c>
      <c r="H145" s="22">
        <v>2.2000000000000002</v>
      </c>
      <c r="I145" s="30">
        <f t="shared" si="4"/>
        <v>2088.0144999999998</v>
      </c>
      <c r="J145" s="6" t="s">
        <v>1680</v>
      </c>
      <c r="K145" s="17"/>
    </row>
    <row r="146" spans="1:11" ht="13.95" customHeight="1" x14ac:dyDescent="0.3">
      <c r="A146" s="3">
        <v>45802</v>
      </c>
      <c r="B146" s="3" t="s">
        <v>1723</v>
      </c>
      <c r="C146" s="19" t="s">
        <v>16</v>
      </c>
      <c r="D146" s="19" t="s">
        <v>14</v>
      </c>
      <c r="E146" s="4">
        <v>0.85</v>
      </c>
      <c r="F146" s="42">
        <v>2.2999999999999998</v>
      </c>
      <c r="G146" s="45">
        <v>377</v>
      </c>
      <c r="H146" s="22">
        <v>2.2000000000000002</v>
      </c>
      <c r="I146" s="30">
        <f t="shared" si="4"/>
        <v>1621.4770000000001</v>
      </c>
      <c r="J146" s="6" t="s">
        <v>139</v>
      </c>
      <c r="K146" s="17"/>
    </row>
    <row r="147" spans="1:11" ht="13.95" customHeight="1" x14ac:dyDescent="0.3">
      <c r="A147" s="3">
        <v>45803</v>
      </c>
      <c r="B147" s="3" t="s">
        <v>1723</v>
      </c>
      <c r="C147" s="19" t="s">
        <v>18</v>
      </c>
      <c r="D147" s="19" t="s">
        <v>1330</v>
      </c>
      <c r="E147" s="4">
        <v>0.65</v>
      </c>
      <c r="F147" s="42">
        <v>1.95</v>
      </c>
      <c r="G147" s="45">
        <v>377</v>
      </c>
      <c r="H147" s="22">
        <v>2.2000000000000002</v>
      </c>
      <c r="I147" s="30">
        <f t="shared" si="4"/>
        <v>1051.2645000000002</v>
      </c>
      <c r="J147" s="6" t="s">
        <v>446</v>
      </c>
      <c r="K147" s="17"/>
    </row>
    <row r="148" spans="1:11" ht="13.95" customHeight="1" x14ac:dyDescent="0.3">
      <c r="A148" s="3">
        <v>45804</v>
      </c>
      <c r="B148" s="3" t="s">
        <v>1723</v>
      </c>
      <c r="C148" s="19" t="s">
        <v>20</v>
      </c>
      <c r="D148" s="19" t="s">
        <v>1330</v>
      </c>
      <c r="E148" s="4">
        <v>0.65</v>
      </c>
      <c r="F148" s="42">
        <v>1.95</v>
      </c>
      <c r="G148" s="45">
        <v>377</v>
      </c>
      <c r="H148" s="22">
        <v>2.2000000000000002</v>
      </c>
      <c r="I148" s="30">
        <f t="shared" si="4"/>
        <v>1051.2645000000002</v>
      </c>
      <c r="J148" s="6" t="s">
        <v>446</v>
      </c>
      <c r="K148" s="17"/>
    </row>
    <row r="149" spans="1:11" ht="13.95" customHeight="1" x14ac:dyDescent="0.3">
      <c r="A149" s="3">
        <v>45805</v>
      </c>
      <c r="B149" s="3" t="s">
        <v>1723</v>
      </c>
      <c r="C149" s="19" t="s">
        <v>5</v>
      </c>
      <c r="D149" s="19" t="s">
        <v>1330</v>
      </c>
      <c r="E149" s="4">
        <v>0.68</v>
      </c>
      <c r="F149" s="42">
        <v>2</v>
      </c>
      <c r="G149" s="45">
        <v>377</v>
      </c>
      <c r="H149" s="22">
        <v>2.2000000000000002</v>
      </c>
      <c r="I149" s="30">
        <f t="shared" si="4"/>
        <v>1127.9840000000002</v>
      </c>
      <c r="J149" s="6" t="s">
        <v>71</v>
      </c>
      <c r="K149" s="17"/>
    </row>
    <row r="150" spans="1:11" ht="13.95" customHeight="1" x14ac:dyDescent="0.3">
      <c r="A150" s="3">
        <v>45806</v>
      </c>
      <c r="B150" s="3" t="s">
        <v>1723</v>
      </c>
      <c r="C150" s="19" t="s">
        <v>8</v>
      </c>
      <c r="D150" s="19" t="s">
        <v>1330</v>
      </c>
      <c r="E150" s="4">
        <v>0.72</v>
      </c>
      <c r="F150" s="42">
        <v>2</v>
      </c>
      <c r="G150" s="45">
        <v>377</v>
      </c>
      <c r="H150" s="22">
        <v>2.2000000000000002</v>
      </c>
      <c r="I150" s="30">
        <f t="shared" si="4"/>
        <v>1194.336</v>
      </c>
      <c r="J150" s="6" t="s">
        <v>71</v>
      </c>
      <c r="K150" s="17"/>
    </row>
    <row r="151" spans="1:11" ht="13.95" customHeight="1" x14ac:dyDescent="0.3">
      <c r="A151" s="3">
        <v>45807</v>
      </c>
      <c r="B151" s="3" t="s">
        <v>1723</v>
      </c>
      <c r="C151" s="19" t="s">
        <v>11</v>
      </c>
      <c r="D151" s="19" t="s">
        <v>44</v>
      </c>
      <c r="E151" s="4">
        <v>0.8</v>
      </c>
      <c r="F151" s="42">
        <v>2.25</v>
      </c>
      <c r="G151" s="45">
        <v>377</v>
      </c>
      <c r="H151" s="22">
        <v>2.2000000000000002</v>
      </c>
      <c r="I151" s="30">
        <f t="shared" si="4"/>
        <v>1492.92</v>
      </c>
      <c r="J151" s="6" t="s">
        <v>1603</v>
      </c>
      <c r="K151" s="17"/>
    </row>
    <row r="152" spans="1:11" ht="13.95" customHeight="1" x14ac:dyDescent="0.3">
      <c r="A152" s="3">
        <v>45808</v>
      </c>
      <c r="B152" s="3" t="s">
        <v>1723</v>
      </c>
      <c r="C152" s="19" t="s">
        <v>13</v>
      </c>
      <c r="D152" s="19" t="s">
        <v>14</v>
      </c>
      <c r="E152" s="4">
        <v>0.98</v>
      </c>
      <c r="F152" s="42">
        <v>2.7</v>
      </c>
      <c r="G152" s="45">
        <v>377</v>
      </c>
      <c r="H152" s="22">
        <v>2.2000000000000002</v>
      </c>
      <c r="I152" s="30">
        <f t="shared" si="4"/>
        <v>2194.5924000000005</v>
      </c>
      <c r="J152" s="6" t="s">
        <v>1602</v>
      </c>
      <c r="K152" s="17"/>
    </row>
    <row r="153" spans="1:11" ht="13.95" customHeight="1" x14ac:dyDescent="0.3">
      <c r="A153" s="3">
        <v>45809</v>
      </c>
      <c r="B153" s="3" t="s">
        <v>1723</v>
      </c>
      <c r="C153" s="19" t="s">
        <v>16</v>
      </c>
      <c r="D153" s="19" t="s">
        <v>14</v>
      </c>
      <c r="E153" s="4">
        <v>0.9</v>
      </c>
      <c r="F153" s="42">
        <v>2.4</v>
      </c>
      <c r="G153" s="45">
        <v>377</v>
      </c>
      <c r="H153" s="22">
        <v>2.2000000000000002</v>
      </c>
      <c r="I153" s="30">
        <f t="shared" si="4"/>
        <v>1791.5040000000004</v>
      </c>
      <c r="J153" s="6" t="s">
        <v>139</v>
      </c>
      <c r="K153" s="17"/>
    </row>
    <row r="154" spans="1:11" ht="13.95" customHeight="1" x14ac:dyDescent="0.3">
      <c r="A154" s="3">
        <v>45810</v>
      </c>
      <c r="B154" s="3" t="s">
        <v>1723</v>
      </c>
      <c r="C154" s="19" t="s">
        <v>18</v>
      </c>
      <c r="D154" s="19" t="s">
        <v>1340</v>
      </c>
      <c r="E154" s="4">
        <v>0.8</v>
      </c>
      <c r="F154" s="42">
        <v>2.1</v>
      </c>
      <c r="G154" s="45">
        <v>377</v>
      </c>
      <c r="H154" s="22">
        <v>2.2000000000000002</v>
      </c>
      <c r="I154" s="30">
        <f t="shared" si="4"/>
        <v>1393.3920000000003</v>
      </c>
      <c r="J154" s="6" t="s">
        <v>1331</v>
      </c>
      <c r="K154" s="17"/>
    </row>
    <row r="155" spans="1:11" ht="13.95" customHeight="1" x14ac:dyDescent="0.3">
      <c r="A155" s="3">
        <v>45811</v>
      </c>
      <c r="B155" s="3" t="s">
        <v>1723</v>
      </c>
      <c r="C155" s="19" t="s">
        <v>20</v>
      </c>
      <c r="D155" s="19" t="s">
        <v>1340</v>
      </c>
      <c r="E155" s="4">
        <v>0.75</v>
      </c>
      <c r="F155" s="42">
        <v>2.0499999999999998</v>
      </c>
      <c r="G155" s="45">
        <v>377</v>
      </c>
      <c r="H155" s="22">
        <v>2.2000000000000002</v>
      </c>
      <c r="I155" s="30">
        <f t="shared" si="4"/>
        <v>1275.2024999999999</v>
      </c>
      <c r="J155" s="6" t="s">
        <v>1670</v>
      </c>
      <c r="K155" s="17"/>
    </row>
    <row r="156" spans="1:11" ht="13.95" customHeight="1" x14ac:dyDescent="0.3">
      <c r="A156" s="3">
        <v>45812</v>
      </c>
      <c r="B156" s="3" t="s">
        <v>1723</v>
      </c>
      <c r="C156" s="19" t="s">
        <v>5</v>
      </c>
      <c r="D156" s="19" t="s">
        <v>1340</v>
      </c>
      <c r="E156" s="4">
        <v>0.8</v>
      </c>
      <c r="F156" s="42">
        <v>2.1</v>
      </c>
      <c r="G156" s="45">
        <v>377</v>
      </c>
      <c r="H156" s="22">
        <v>2.2000000000000002</v>
      </c>
      <c r="I156" s="30">
        <f t="shared" si="4"/>
        <v>1393.3920000000003</v>
      </c>
      <c r="J156" s="6" t="s">
        <v>71</v>
      </c>
      <c r="K156" s="17"/>
    </row>
    <row r="157" spans="1:11" ht="13.95" customHeight="1" x14ac:dyDescent="0.3">
      <c r="A157" s="3">
        <v>45813</v>
      </c>
      <c r="B157" s="3" t="s">
        <v>1723</v>
      </c>
      <c r="C157" s="19" t="s">
        <v>8</v>
      </c>
      <c r="D157" s="19" t="s">
        <v>1072</v>
      </c>
      <c r="E157" s="4">
        <v>0.85</v>
      </c>
      <c r="F157" s="42">
        <v>2.2999999999999998</v>
      </c>
      <c r="G157" s="45">
        <v>377</v>
      </c>
      <c r="H157" s="22">
        <v>2.2000000000000002</v>
      </c>
      <c r="I157" s="30">
        <f t="shared" si="4"/>
        <v>1621.4770000000001</v>
      </c>
      <c r="J157" s="6" t="s">
        <v>1440</v>
      </c>
      <c r="K157" s="17"/>
    </row>
    <row r="158" spans="1:11" ht="13.95" customHeight="1" x14ac:dyDescent="0.3">
      <c r="A158" s="3">
        <v>45814</v>
      </c>
      <c r="B158" s="3" t="s">
        <v>1723</v>
      </c>
      <c r="C158" s="19" t="s">
        <v>11</v>
      </c>
      <c r="D158" s="19" t="s">
        <v>1142</v>
      </c>
      <c r="E158" s="4">
        <v>0.95</v>
      </c>
      <c r="F158" s="42">
        <v>2.8</v>
      </c>
      <c r="G158" s="45">
        <v>377</v>
      </c>
      <c r="H158" s="22">
        <v>2.2000000000000002</v>
      </c>
      <c r="I158" s="30">
        <f t="shared" si="4"/>
        <v>2206.2039999999997</v>
      </c>
      <c r="J158" s="6" t="s">
        <v>1681</v>
      </c>
      <c r="K158" s="17"/>
    </row>
    <row r="159" spans="1:11" ht="13.95" customHeight="1" x14ac:dyDescent="0.3">
      <c r="A159" s="3">
        <v>45815</v>
      </c>
      <c r="B159" s="3" t="s">
        <v>1723</v>
      </c>
      <c r="C159" s="19" t="s">
        <v>13</v>
      </c>
      <c r="D159" s="19" t="s">
        <v>1142</v>
      </c>
      <c r="E159" s="4">
        <v>1</v>
      </c>
      <c r="F159" s="42">
        <v>2.95</v>
      </c>
      <c r="G159" s="45">
        <v>377</v>
      </c>
      <c r="H159" s="22">
        <v>2.2000000000000002</v>
      </c>
      <c r="I159" s="30">
        <f t="shared" si="4"/>
        <v>2446.7300000000005</v>
      </c>
      <c r="J159" s="6" t="s">
        <v>1682</v>
      </c>
      <c r="K159" s="17"/>
    </row>
    <row r="160" spans="1:11" ht="13.95" customHeight="1" x14ac:dyDescent="0.3">
      <c r="A160" s="3">
        <v>45816</v>
      </c>
      <c r="B160" s="3" t="s">
        <v>1723</v>
      </c>
      <c r="C160" s="19" t="s">
        <v>16</v>
      </c>
      <c r="D160" s="19" t="s">
        <v>1344</v>
      </c>
      <c r="E160" s="4">
        <v>1</v>
      </c>
      <c r="F160" s="42">
        <v>2.6</v>
      </c>
      <c r="G160" s="45">
        <v>377</v>
      </c>
      <c r="H160" s="22">
        <v>2.2000000000000002</v>
      </c>
      <c r="I160" s="30">
        <f t="shared" si="4"/>
        <v>2156.44</v>
      </c>
      <c r="J160" s="6" t="s">
        <v>1336</v>
      </c>
      <c r="K160" s="17"/>
    </row>
    <row r="161" spans="1:11" ht="13.95" customHeight="1" x14ac:dyDescent="0.3">
      <c r="A161" s="3">
        <v>45817</v>
      </c>
      <c r="B161" s="3" t="s">
        <v>1723</v>
      </c>
      <c r="C161" s="19" t="s">
        <v>18</v>
      </c>
      <c r="D161" s="19" t="s">
        <v>1340</v>
      </c>
      <c r="E161" s="4">
        <v>0.8</v>
      </c>
      <c r="F161" s="42">
        <v>2.15</v>
      </c>
      <c r="G161" s="45">
        <v>377</v>
      </c>
      <c r="H161" s="22">
        <v>2.2000000000000002</v>
      </c>
      <c r="I161" s="30">
        <f t="shared" si="4"/>
        <v>1426.5680000000002</v>
      </c>
      <c r="J161" s="6" t="s">
        <v>1524</v>
      </c>
      <c r="K161" s="17"/>
    </row>
    <row r="162" spans="1:11" ht="13.95" customHeight="1" x14ac:dyDescent="0.3">
      <c r="A162" s="3">
        <v>45818</v>
      </c>
      <c r="B162" s="3" t="s">
        <v>1723</v>
      </c>
      <c r="C162" s="19" t="s">
        <v>20</v>
      </c>
      <c r="D162" s="19" t="s">
        <v>1340</v>
      </c>
      <c r="E162" s="4">
        <v>0.82</v>
      </c>
      <c r="F162" s="42">
        <v>2.15</v>
      </c>
      <c r="G162" s="45">
        <v>377</v>
      </c>
      <c r="H162" s="22">
        <v>2.2000000000000002</v>
      </c>
      <c r="I162" s="30">
        <f t="shared" si="4"/>
        <v>1462.2321999999999</v>
      </c>
      <c r="J162" s="6" t="s">
        <v>1670</v>
      </c>
      <c r="K162" s="17"/>
    </row>
    <row r="163" spans="1:11" ht="13.95" customHeight="1" x14ac:dyDescent="0.3">
      <c r="A163" s="3">
        <v>45819</v>
      </c>
      <c r="B163" s="3" t="s">
        <v>1723</v>
      </c>
      <c r="C163" s="19" t="s">
        <v>5</v>
      </c>
      <c r="D163" s="19" t="s">
        <v>1340</v>
      </c>
      <c r="E163" s="4">
        <v>0.8</v>
      </c>
      <c r="F163" s="42">
        <v>2.1</v>
      </c>
      <c r="G163" s="45">
        <v>377</v>
      </c>
      <c r="H163" s="22">
        <v>2.2000000000000002</v>
      </c>
      <c r="I163" s="30">
        <f t="shared" si="4"/>
        <v>1393.3920000000003</v>
      </c>
      <c r="J163" s="6" t="s">
        <v>527</v>
      </c>
      <c r="K163" s="17"/>
    </row>
    <row r="164" spans="1:11" ht="13.95" customHeight="1" x14ac:dyDescent="0.3">
      <c r="A164" s="3">
        <v>45820</v>
      </c>
      <c r="B164" s="3" t="s">
        <v>1723</v>
      </c>
      <c r="C164" s="19" t="s">
        <v>8</v>
      </c>
      <c r="D164" s="19" t="s">
        <v>1340</v>
      </c>
      <c r="E164" s="4">
        <v>0.85</v>
      </c>
      <c r="F164" s="42">
        <v>2.2000000000000002</v>
      </c>
      <c r="G164" s="45">
        <v>377</v>
      </c>
      <c r="H164" s="22">
        <v>2.2000000000000002</v>
      </c>
      <c r="I164" s="30">
        <f t="shared" si="4"/>
        <v>1550.9780000000001</v>
      </c>
      <c r="J164" s="6" t="s">
        <v>1683</v>
      </c>
      <c r="K164" s="17"/>
    </row>
    <row r="165" spans="1:11" ht="13.95" customHeight="1" x14ac:dyDescent="0.3">
      <c r="A165" s="3">
        <v>45821</v>
      </c>
      <c r="B165" s="3" t="s">
        <v>1723</v>
      </c>
      <c r="C165" s="19" t="s">
        <v>11</v>
      </c>
      <c r="D165" s="19" t="s">
        <v>14</v>
      </c>
      <c r="E165" s="4">
        <v>0.9</v>
      </c>
      <c r="F165" s="42">
        <v>2.4</v>
      </c>
      <c r="G165" s="45">
        <v>377</v>
      </c>
      <c r="H165" s="22">
        <v>2.2000000000000002</v>
      </c>
      <c r="I165" s="30">
        <f t="shared" si="4"/>
        <v>1791.5040000000004</v>
      </c>
      <c r="J165" s="6" t="s">
        <v>752</v>
      </c>
      <c r="K165" s="17"/>
    </row>
    <row r="166" spans="1:11" ht="13.95" customHeight="1" x14ac:dyDescent="0.3">
      <c r="A166" s="3">
        <v>45822</v>
      </c>
      <c r="B166" s="3" t="s">
        <v>1723</v>
      </c>
      <c r="C166" s="19" t="s">
        <v>13</v>
      </c>
      <c r="D166" s="19" t="s">
        <v>14</v>
      </c>
      <c r="E166" s="4">
        <v>1</v>
      </c>
      <c r="F166" s="42">
        <v>2.85</v>
      </c>
      <c r="G166" s="45">
        <v>377</v>
      </c>
      <c r="H166" s="22">
        <v>2.2000000000000002</v>
      </c>
      <c r="I166" s="30">
        <f t="shared" si="4"/>
        <v>2363.7900000000004</v>
      </c>
      <c r="J166" s="6" t="s">
        <v>1602</v>
      </c>
      <c r="K166" s="17"/>
    </row>
    <row r="167" spans="1:11" ht="13.95" customHeight="1" x14ac:dyDescent="0.3">
      <c r="A167" s="3">
        <v>45823</v>
      </c>
      <c r="B167" s="3" t="s">
        <v>1723</v>
      </c>
      <c r="C167" s="19" t="s">
        <v>16</v>
      </c>
      <c r="D167" s="19" t="s">
        <v>14</v>
      </c>
      <c r="E167" s="4">
        <v>1</v>
      </c>
      <c r="F167" s="42">
        <v>2.5499999999999998</v>
      </c>
      <c r="G167" s="45">
        <v>377</v>
      </c>
      <c r="H167" s="22">
        <v>2.2000000000000002</v>
      </c>
      <c r="I167" s="30">
        <f t="shared" si="4"/>
        <v>2114.9699999999998</v>
      </c>
      <c r="J167" s="6" t="s">
        <v>139</v>
      </c>
      <c r="K167" s="17"/>
    </row>
    <row r="168" spans="1:11" ht="13.95" customHeight="1" x14ac:dyDescent="0.3">
      <c r="A168" s="3">
        <v>45824</v>
      </c>
      <c r="B168" s="3" t="s">
        <v>1723</v>
      </c>
      <c r="C168" s="19" t="s">
        <v>18</v>
      </c>
      <c r="D168" s="19" t="s">
        <v>1347</v>
      </c>
      <c r="E168" s="4">
        <v>0.9</v>
      </c>
      <c r="F168" s="42">
        <v>2.2000000000000002</v>
      </c>
      <c r="G168" s="45">
        <v>377</v>
      </c>
      <c r="H168" s="22">
        <v>2.2000000000000002</v>
      </c>
      <c r="I168" s="30">
        <f t="shared" si="4"/>
        <v>1642.2120000000002</v>
      </c>
      <c r="J168" s="6" t="s">
        <v>449</v>
      </c>
      <c r="K168" s="17"/>
    </row>
    <row r="169" spans="1:11" ht="13.95" customHeight="1" x14ac:dyDescent="0.3">
      <c r="A169" s="3">
        <v>45825</v>
      </c>
      <c r="B169" s="3" t="s">
        <v>1723</v>
      </c>
      <c r="C169" s="19" t="s">
        <v>20</v>
      </c>
      <c r="D169" s="19" t="s">
        <v>1347</v>
      </c>
      <c r="E169" s="4">
        <v>0.92</v>
      </c>
      <c r="F169" s="42">
        <v>2.2000000000000002</v>
      </c>
      <c r="G169" s="45">
        <v>377</v>
      </c>
      <c r="H169" s="22">
        <v>2.2000000000000002</v>
      </c>
      <c r="I169" s="30">
        <f t="shared" si="4"/>
        <v>1678.7056000000005</v>
      </c>
      <c r="J169" s="6" t="s">
        <v>449</v>
      </c>
      <c r="K169" s="17"/>
    </row>
    <row r="170" spans="1:11" ht="13.95" customHeight="1" x14ac:dyDescent="0.3">
      <c r="A170" s="3">
        <v>45826</v>
      </c>
      <c r="B170" s="3" t="s">
        <v>1723</v>
      </c>
      <c r="C170" s="19" t="s">
        <v>5</v>
      </c>
      <c r="D170" s="19" t="s">
        <v>1347</v>
      </c>
      <c r="E170" s="4">
        <v>0.9</v>
      </c>
      <c r="F170" s="42">
        <v>2.15</v>
      </c>
      <c r="G170" s="45">
        <v>377</v>
      </c>
      <c r="H170" s="22">
        <v>2.2000000000000002</v>
      </c>
      <c r="I170" s="30">
        <f t="shared" si="4"/>
        <v>1604.8890000000001</v>
      </c>
      <c r="J170" s="6" t="s">
        <v>1449</v>
      </c>
      <c r="K170" s="17"/>
    </row>
    <row r="171" spans="1:11" ht="13.95" customHeight="1" x14ac:dyDescent="0.3">
      <c r="A171" s="3">
        <v>45827</v>
      </c>
      <c r="B171" s="3" t="s">
        <v>1723</v>
      </c>
      <c r="C171" s="19" t="s">
        <v>8</v>
      </c>
      <c r="D171" s="19" t="s">
        <v>1347</v>
      </c>
      <c r="E171" s="4">
        <v>0.95</v>
      </c>
      <c r="F171" s="42">
        <v>2.2000000000000002</v>
      </c>
      <c r="G171" s="45">
        <v>377</v>
      </c>
      <c r="H171" s="22">
        <v>2.2000000000000002</v>
      </c>
      <c r="I171" s="30">
        <f t="shared" si="4"/>
        <v>1733.4460000000004</v>
      </c>
      <c r="J171" s="6" t="s">
        <v>1449</v>
      </c>
      <c r="K171" s="17"/>
    </row>
    <row r="172" spans="1:11" ht="13.95" customHeight="1" x14ac:dyDescent="0.3">
      <c r="A172" s="3">
        <v>45828</v>
      </c>
      <c r="B172" s="3" t="s">
        <v>1723</v>
      </c>
      <c r="C172" s="19" t="s">
        <v>11</v>
      </c>
      <c r="D172" s="19" t="s">
        <v>14</v>
      </c>
      <c r="E172" s="4">
        <v>1</v>
      </c>
      <c r="F172" s="42">
        <v>2.4500000000000002</v>
      </c>
      <c r="G172" s="45">
        <v>377</v>
      </c>
      <c r="H172" s="22">
        <v>2.2000000000000002</v>
      </c>
      <c r="I172" s="30">
        <f t="shared" si="4"/>
        <v>2032.0300000000004</v>
      </c>
      <c r="J172" s="6" t="s">
        <v>1684</v>
      </c>
      <c r="K172" s="17"/>
    </row>
    <row r="173" spans="1:11" ht="13.95" customHeight="1" x14ac:dyDescent="0.3">
      <c r="A173" s="3">
        <v>45829</v>
      </c>
      <c r="B173" s="3" t="s">
        <v>1723</v>
      </c>
      <c r="C173" s="19" t="s">
        <v>13</v>
      </c>
      <c r="D173" s="19" t="s">
        <v>14</v>
      </c>
      <c r="E173" s="4">
        <v>1</v>
      </c>
      <c r="F173" s="42">
        <v>2.9</v>
      </c>
      <c r="G173" s="45">
        <v>377</v>
      </c>
      <c r="H173" s="22">
        <v>2.2000000000000002</v>
      </c>
      <c r="I173" s="30">
        <f t="shared" si="4"/>
        <v>2405.2600000000002</v>
      </c>
      <c r="J173" s="6" t="s">
        <v>1337</v>
      </c>
      <c r="K173" s="17"/>
    </row>
    <row r="174" spans="1:11" ht="13.95" customHeight="1" x14ac:dyDescent="0.3">
      <c r="A174" s="3">
        <v>45830</v>
      </c>
      <c r="B174" s="3" t="s">
        <v>1723</v>
      </c>
      <c r="C174" s="19" t="s">
        <v>16</v>
      </c>
      <c r="D174" s="19" t="s">
        <v>14</v>
      </c>
      <c r="E174" s="4">
        <v>1</v>
      </c>
      <c r="F174" s="42">
        <v>2.6</v>
      </c>
      <c r="G174" s="45">
        <v>377</v>
      </c>
      <c r="H174" s="22">
        <v>2.2000000000000002</v>
      </c>
      <c r="I174" s="30">
        <f t="shared" si="4"/>
        <v>2156.44</v>
      </c>
      <c r="J174" s="6" t="s">
        <v>1336</v>
      </c>
      <c r="K174" s="17"/>
    </row>
    <row r="175" spans="1:11" ht="13.95" customHeight="1" x14ac:dyDescent="0.3">
      <c r="A175" s="3">
        <v>45831</v>
      </c>
      <c r="B175" s="3" t="s">
        <v>1723</v>
      </c>
      <c r="C175" s="19" t="s">
        <v>18</v>
      </c>
      <c r="D175" s="19" t="s">
        <v>1347</v>
      </c>
      <c r="E175" s="4">
        <v>0.95</v>
      </c>
      <c r="F175" s="42">
        <v>2.25</v>
      </c>
      <c r="G175" s="45">
        <v>377</v>
      </c>
      <c r="H175" s="22">
        <v>2.2000000000000002</v>
      </c>
      <c r="I175" s="30">
        <f t="shared" si="4"/>
        <v>1772.8425000000002</v>
      </c>
      <c r="J175" s="6" t="s">
        <v>1685</v>
      </c>
      <c r="K175" s="17"/>
    </row>
    <row r="176" spans="1:11" ht="13.95" customHeight="1" x14ac:dyDescent="0.3">
      <c r="A176" s="3">
        <v>45832</v>
      </c>
      <c r="B176" s="3" t="s">
        <v>1723</v>
      </c>
      <c r="C176" s="19" t="s">
        <v>20</v>
      </c>
      <c r="D176" s="19" t="s">
        <v>1347</v>
      </c>
      <c r="E176" s="4">
        <v>0.98</v>
      </c>
      <c r="F176" s="42">
        <v>2.25</v>
      </c>
      <c r="G176" s="45">
        <v>377</v>
      </c>
      <c r="H176" s="22">
        <v>2.2000000000000002</v>
      </c>
      <c r="I176" s="30">
        <f t="shared" si="4"/>
        <v>1828.827</v>
      </c>
      <c r="J176" s="6" t="s">
        <v>1685</v>
      </c>
      <c r="K176" s="17"/>
    </row>
    <row r="177" spans="1:11" ht="13.95" customHeight="1" x14ac:dyDescent="0.3">
      <c r="A177" s="3">
        <v>45833</v>
      </c>
      <c r="B177" s="3" t="s">
        <v>1723</v>
      </c>
      <c r="C177" s="19" t="s">
        <v>5</v>
      </c>
      <c r="D177" s="19" t="s">
        <v>1347</v>
      </c>
      <c r="E177" s="4">
        <v>0.95</v>
      </c>
      <c r="F177" s="42">
        <v>2.2000000000000002</v>
      </c>
      <c r="G177" s="45">
        <v>377</v>
      </c>
      <c r="H177" s="22">
        <v>2.2000000000000002</v>
      </c>
      <c r="I177" s="30">
        <f t="shared" si="4"/>
        <v>1733.4460000000004</v>
      </c>
      <c r="J177" s="6" t="s">
        <v>589</v>
      </c>
      <c r="K177" s="17"/>
    </row>
    <row r="178" spans="1:11" ht="13.95" customHeight="1" x14ac:dyDescent="0.3">
      <c r="A178" s="3">
        <v>45834</v>
      </c>
      <c r="B178" s="3" t="s">
        <v>1723</v>
      </c>
      <c r="C178" s="19" t="s">
        <v>8</v>
      </c>
      <c r="D178" s="19" t="s">
        <v>1347</v>
      </c>
      <c r="E178" s="4">
        <v>1</v>
      </c>
      <c r="F178" s="42">
        <v>2.2999999999999998</v>
      </c>
      <c r="G178" s="45">
        <v>377</v>
      </c>
      <c r="H178" s="22">
        <v>2.2000000000000002</v>
      </c>
      <c r="I178" s="30">
        <f t="shared" si="4"/>
        <v>1907.62</v>
      </c>
      <c r="J178" s="6" t="s">
        <v>589</v>
      </c>
      <c r="K178" s="17"/>
    </row>
    <row r="179" spans="1:11" ht="13.95" customHeight="1" x14ac:dyDescent="0.3">
      <c r="A179" s="3">
        <v>45835</v>
      </c>
      <c r="B179" s="3" t="s">
        <v>1723</v>
      </c>
      <c r="C179" s="19" t="s">
        <v>11</v>
      </c>
      <c r="D179" s="19" t="s">
        <v>14</v>
      </c>
      <c r="E179" s="4">
        <v>1</v>
      </c>
      <c r="F179" s="42">
        <v>2.5499999999999998</v>
      </c>
      <c r="G179" s="45">
        <v>377</v>
      </c>
      <c r="H179" s="22">
        <v>2.2000000000000002</v>
      </c>
      <c r="I179" s="30">
        <f t="shared" si="4"/>
        <v>2114.9699999999998</v>
      </c>
      <c r="J179" s="6" t="s">
        <v>97</v>
      </c>
      <c r="K179" s="17"/>
    </row>
    <row r="180" spans="1:11" ht="13.95" customHeight="1" x14ac:dyDescent="0.3">
      <c r="A180" s="3">
        <v>45836</v>
      </c>
      <c r="B180" s="3" t="s">
        <v>1723</v>
      </c>
      <c r="C180" s="19" t="s">
        <v>13</v>
      </c>
      <c r="D180" s="19" t="s">
        <v>995</v>
      </c>
      <c r="E180" s="4">
        <v>1</v>
      </c>
      <c r="F180" s="42">
        <v>3</v>
      </c>
      <c r="G180" s="45">
        <v>377</v>
      </c>
      <c r="H180" s="22">
        <v>2.2000000000000002</v>
      </c>
      <c r="I180" s="30">
        <f t="shared" si="4"/>
        <v>2488.2000000000003</v>
      </c>
      <c r="J180" s="6" t="s">
        <v>1435</v>
      </c>
      <c r="K180" s="17"/>
    </row>
    <row r="181" spans="1:11" ht="13.95" customHeight="1" x14ac:dyDescent="0.3">
      <c r="A181" s="3">
        <v>45837</v>
      </c>
      <c r="B181" s="3" t="s">
        <v>1723</v>
      </c>
      <c r="C181" s="19" t="s">
        <v>16</v>
      </c>
      <c r="D181" s="19" t="s">
        <v>14</v>
      </c>
      <c r="E181" s="4">
        <v>1</v>
      </c>
      <c r="F181" s="42">
        <v>2.75</v>
      </c>
      <c r="G181" s="45">
        <v>377</v>
      </c>
      <c r="H181" s="22">
        <v>2.2000000000000002</v>
      </c>
      <c r="I181" s="30">
        <f t="shared" si="4"/>
        <v>2280.8500000000004</v>
      </c>
      <c r="J181" s="6" t="s">
        <v>149</v>
      </c>
      <c r="K181" s="17"/>
    </row>
    <row r="182" spans="1:11" ht="13.95" customHeight="1" x14ac:dyDescent="0.3">
      <c r="A182" s="3">
        <v>45838</v>
      </c>
      <c r="B182" s="3" t="s">
        <v>1723</v>
      </c>
      <c r="C182" s="19" t="s">
        <v>18</v>
      </c>
      <c r="D182" s="19" t="s">
        <v>1347</v>
      </c>
      <c r="E182" s="4">
        <v>1</v>
      </c>
      <c r="F182" s="42">
        <v>2.4</v>
      </c>
      <c r="G182" s="45">
        <v>377</v>
      </c>
      <c r="H182" s="22">
        <v>2.2000000000000002</v>
      </c>
      <c r="I182" s="30">
        <f t="shared" si="4"/>
        <v>1990.5600000000002</v>
      </c>
      <c r="J182" s="6" t="s">
        <v>1686</v>
      </c>
      <c r="K182" s="17"/>
    </row>
    <row r="183" spans="1:11" ht="13.95" customHeight="1" x14ac:dyDescent="0.3">
      <c r="A183" s="3">
        <v>45839</v>
      </c>
      <c r="B183" s="3" t="s">
        <v>1723</v>
      </c>
      <c r="C183" s="19" t="s">
        <v>20</v>
      </c>
      <c r="D183" s="19" t="s">
        <v>1347</v>
      </c>
      <c r="E183" s="4">
        <v>0.95</v>
      </c>
      <c r="F183" s="42">
        <v>2.2999999999999998</v>
      </c>
      <c r="G183" s="45">
        <v>377</v>
      </c>
      <c r="H183" s="22">
        <v>2.4</v>
      </c>
      <c r="I183" s="30">
        <f t="shared" si="4"/>
        <v>1976.9879999999996</v>
      </c>
      <c r="J183" s="6" t="s">
        <v>1687</v>
      </c>
      <c r="K183" s="17"/>
    </row>
    <row r="184" spans="1:11" ht="13.95" customHeight="1" x14ac:dyDescent="0.3">
      <c r="A184" s="3">
        <v>45840</v>
      </c>
      <c r="B184" s="3" t="s">
        <v>1723</v>
      </c>
      <c r="C184" s="19" t="s">
        <v>5</v>
      </c>
      <c r="D184" s="19" t="s">
        <v>1347</v>
      </c>
      <c r="E184" s="4">
        <v>0.95</v>
      </c>
      <c r="F184" s="42">
        <v>2.25</v>
      </c>
      <c r="G184" s="45">
        <v>377</v>
      </c>
      <c r="H184" s="22">
        <v>2.4</v>
      </c>
      <c r="I184" s="30">
        <f t="shared" si="4"/>
        <v>1934.0099999999998</v>
      </c>
      <c r="J184" s="6" t="s">
        <v>1449</v>
      </c>
      <c r="K184" s="17"/>
    </row>
    <row r="185" spans="1:11" ht="13.95" customHeight="1" x14ac:dyDescent="0.3">
      <c r="A185" s="3">
        <v>45841</v>
      </c>
      <c r="B185" s="3" t="s">
        <v>1723</v>
      </c>
      <c r="C185" s="19" t="s">
        <v>8</v>
      </c>
      <c r="D185" s="19" t="s">
        <v>1347</v>
      </c>
      <c r="E185" s="4">
        <v>1</v>
      </c>
      <c r="F185" s="42">
        <v>2.35</v>
      </c>
      <c r="G185" s="45">
        <v>377</v>
      </c>
      <c r="H185" s="22">
        <v>2.4</v>
      </c>
      <c r="I185" s="30">
        <f t="shared" si="4"/>
        <v>2126.2800000000002</v>
      </c>
      <c r="J185" s="6" t="s">
        <v>1688</v>
      </c>
      <c r="K185" s="17"/>
    </row>
    <row r="186" spans="1:11" ht="13.95" customHeight="1" x14ac:dyDescent="0.3">
      <c r="A186" s="3">
        <v>45842</v>
      </c>
      <c r="B186" s="3" t="s">
        <v>1723</v>
      </c>
      <c r="C186" s="19" t="s">
        <v>11</v>
      </c>
      <c r="D186" s="19" t="s">
        <v>829</v>
      </c>
      <c r="E186" s="4">
        <v>1</v>
      </c>
      <c r="F186" s="42">
        <v>2.6</v>
      </c>
      <c r="G186" s="45">
        <v>377</v>
      </c>
      <c r="H186" s="22">
        <v>2.4</v>
      </c>
      <c r="I186" s="30">
        <f t="shared" si="4"/>
        <v>2352.48</v>
      </c>
      <c r="J186" s="6" t="s">
        <v>1689</v>
      </c>
      <c r="K186" s="17"/>
    </row>
    <row r="187" spans="1:11" ht="13.95" customHeight="1" x14ac:dyDescent="0.3">
      <c r="A187" s="3">
        <v>45843</v>
      </c>
      <c r="B187" s="3" t="s">
        <v>1723</v>
      </c>
      <c r="C187" s="19" t="s">
        <v>13</v>
      </c>
      <c r="D187" s="19" t="s">
        <v>829</v>
      </c>
      <c r="E187" s="4">
        <v>1</v>
      </c>
      <c r="F187" s="42">
        <v>2.95</v>
      </c>
      <c r="G187" s="45">
        <v>377</v>
      </c>
      <c r="H187" s="22">
        <v>2.4</v>
      </c>
      <c r="I187" s="30">
        <f t="shared" si="4"/>
        <v>2669.1600000000003</v>
      </c>
      <c r="J187" s="6" t="s">
        <v>1690</v>
      </c>
      <c r="K187" s="17"/>
    </row>
    <row r="188" spans="1:11" ht="13.95" customHeight="1" x14ac:dyDescent="0.3">
      <c r="A188" s="3">
        <v>45844</v>
      </c>
      <c r="B188" s="3" t="s">
        <v>1723</v>
      </c>
      <c r="C188" s="19" t="s">
        <v>16</v>
      </c>
      <c r="D188" s="19" t="s">
        <v>829</v>
      </c>
      <c r="E188" s="4">
        <v>1</v>
      </c>
      <c r="F188" s="42">
        <v>2.75</v>
      </c>
      <c r="G188" s="45">
        <v>377</v>
      </c>
      <c r="H188" s="22">
        <v>2.4</v>
      </c>
      <c r="I188" s="30">
        <f t="shared" si="4"/>
        <v>2488.1999999999998</v>
      </c>
      <c r="J188" s="6" t="s">
        <v>139</v>
      </c>
      <c r="K188" s="17"/>
    </row>
    <row r="189" spans="1:11" ht="13.95" customHeight="1" x14ac:dyDescent="0.3">
      <c r="A189" s="3">
        <v>45845</v>
      </c>
      <c r="B189" s="3" t="s">
        <v>1723</v>
      </c>
      <c r="C189" s="19" t="s">
        <v>18</v>
      </c>
      <c r="D189" s="19" t="s">
        <v>1347</v>
      </c>
      <c r="E189" s="4">
        <v>1</v>
      </c>
      <c r="F189" s="42">
        <v>2.35</v>
      </c>
      <c r="G189" s="45">
        <v>377</v>
      </c>
      <c r="H189" s="22">
        <v>2.4</v>
      </c>
      <c r="I189" s="30">
        <f t="shared" si="4"/>
        <v>2126.2800000000002</v>
      </c>
      <c r="J189" s="6" t="s">
        <v>446</v>
      </c>
      <c r="K189" s="17"/>
    </row>
    <row r="190" spans="1:11" ht="13.95" customHeight="1" x14ac:dyDescent="0.3">
      <c r="A190" s="3">
        <v>45846</v>
      </c>
      <c r="B190" s="3" t="s">
        <v>1723</v>
      </c>
      <c r="C190" s="19" t="s">
        <v>20</v>
      </c>
      <c r="D190" s="19" t="s">
        <v>1347</v>
      </c>
      <c r="E190" s="4">
        <v>1</v>
      </c>
      <c r="F190" s="42">
        <v>2.35</v>
      </c>
      <c r="G190" s="45">
        <v>377</v>
      </c>
      <c r="H190" s="22">
        <v>2.4</v>
      </c>
      <c r="I190" s="30">
        <f t="shared" si="4"/>
        <v>2126.2800000000002</v>
      </c>
      <c r="J190" s="6" t="s">
        <v>446</v>
      </c>
      <c r="K190" s="17"/>
    </row>
    <row r="191" spans="1:11" ht="13.95" customHeight="1" x14ac:dyDescent="0.3">
      <c r="A191" s="3">
        <v>45847</v>
      </c>
      <c r="B191" s="3" t="s">
        <v>1723</v>
      </c>
      <c r="C191" s="19" t="s">
        <v>5</v>
      </c>
      <c r="D191" s="19" t="s">
        <v>1347</v>
      </c>
      <c r="E191" s="4">
        <v>1</v>
      </c>
      <c r="F191" s="42">
        <v>2.2999999999999998</v>
      </c>
      <c r="G191" s="45">
        <v>377</v>
      </c>
      <c r="H191" s="22">
        <v>2.4</v>
      </c>
      <c r="I191" s="30">
        <f t="shared" si="4"/>
        <v>2081.0399999999995</v>
      </c>
      <c r="J191" s="6" t="s">
        <v>828</v>
      </c>
      <c r="K191" s="17"/>
    </row>
    <row r="192" spans="1:11" ht="13.95" customHeight="1" x14ac:dyDescent="0.3">
      <c r="A192" s="3">
        <v>45848</v>
      </c>
      <c r="B192" s="3" t="s">
        <v>1723</v>
      </c>
      <c r="C192" s="19" t="s">
        <v>8</v>
      </c>
      <c r="D192" s="19" t="s">
        <v>1347</v>
      </c>
      <c r="E192" s="4">
        <v>1</v>
      </c>
      <c r="F192" s="42">
        <v>2.4</v>
      </c>
      <c r="G192" s="45">
        <v>377</v>
      </c>
      <c r="H192" s="22">
        <v>2.4</v>
      </c>
      <c r="I192" s="30">
        <f t="shared" si="4"/>
        <v>2171.52</v>
      </c>
      <c r="J192" s="6" t="s">
        <v>339</v>
      </c>
      <c r="K192" s="17"/>
    </row>
    <row r="193" spans="1:11" ht="13.95" customHeight="1" x14ac:dyDescent="0.3">
      <c r="A193" s="3">
        <v>45849</v>
      </c>
      <c r="B193" s="3" t="s">
        <v>1723</v>
      </c>
      <c r="C193" s="19" t="s">
        <v>11</v>
      </c>
      <c r="D193" s="19" t="s">
        <v>829</v>
      </c>
      <c r="E193" s="4">
        <v>1</v>
      </c>
      <c r="F193" s="42">
        <v>2.7</v>
      </c>
      <c r="G193" s="45">
        <v>377</v>
      </c>
      <c r="H193" s="22">
        <v>2.4</v>
      </c>
      <c r="I193" s="30">
        <f t="shared" si="4"/>
        <v>2442.96</v>
      </c>
      <c r="J193" s="6" t="s">
        <v>1463</v>
      </c>
      <c r="K193" s="17"/>
    </row>
    <row r="194" spans="1:11" ht="13.95" customHeight="1" x14ac:dyDescent="0.3">
      <c r="A194" s="3">
        <v>45850</v>
      </c>
      <c r="B194" s="3" t="s">
        <v>1723</v>
      </c>
      <c r="C194" s="19" t="s">
        <v>13</v>
      </c>
      <c r="D194" s="19" t="s">
        <v>829</v>
      </c>
      <c r="E194" s="4">
        <v>1</v>
      </c>
      <c r="F194" s="42">
        <v>3.05</v>
      </c>
      <c r="G194" s="45">
        <v>377</v>
      </c>
      <c r="H194" s="22">
        <v>2.4</v>
      </c>
      <c r="I194" s="30">
        <f t="shared" si="4"/>
        <v>2759.64</v>
      </c>
      <c r="J194" s="6" t="s">
        <v>1691</v>
      </c>
      <c r="K194" s="17"/>
    </row>
    <row r="195" spans="1:11" ht="13.95" customHeight="1" x14ac:dyDescent="0.3">
      <c r="A195" s="3">
        <v>45851</v>
      </c>
      <c r="B195" s="3" t="s">
        <v>1723</v>
      </c>
      <c r="C195" s="19" t="s">
        <v>16</v>
      </c>
      <c r="D195" s="19" t="s">
        <v>829</v>
      </c>
      <c r="E195" s="4">
        <v>1</v>
      </c>
      <c r="F195" s="42">
        <v>2.75</v>
      </c>
      <c r="G195" s="45">
        <v>377</v>
      </c>
      <c r="H195" s="22">
        <v>2.4</v>
      </c>
      <c r="I195" s="30">
        <f t="shared" si="4"/>
        <v>2488.1999999999998</v>
      </c>
      <c r="J195" s="6" t="s">
        <v>1275</v>
      </c>
      <c r="K195" s="17"/>
    </row>
    <row r="196" spans="1:11" ht="13.95" customHeight="1" x14ac:dyDescent="0.3">
      <c r="A196" s="3">
        <v>45852</v>
      </c>
      <c r="B196" s="3" t="s">
        <v>1723</v>
      </c>
      <c r="C196" s="19" t="s">
        <v>18</v>
      </c>
      <c r="D196" s="19" t="s">
        <v>1347</v>
      </c>
      <c r="E196" s="4">
        <v>1</v>
      </c>
      <c r="F196" s="42">
        <v>2.4</v>
      </c>
      <c r="G196" s="45">
        <v>377</v>
      </c>
      <c r="H196" s="22">
        <v>2.4</v>
      </c>
      <c r="I196" s="30">
        <f t="shared" si="4"/>
        <v>2171.52</v>
      </c>
      <c r="J196" s="6" t="s">
        <v>1449</v>
      </c>
      <c r="K196" s="17"/>
    </row>
    <row r="197" spans="1:11" ht="13.95" customHeight="1" x14ac:dyDescent="0.3">
      <c r="A197" s="3">
        <v>45853</v>
      </c>
      <c r="B197" s="3" t="s">
        <v>1723</v>
      </c>
      <c r="C197" s="19" t="s">
        <v>20</v>
      </c>
      <c r="D197" s="19" t="s">
        <v>1347</v>
      </c>
      <c r="E197" s="4">
        <v>1</v>
      </c>
      <c r="F197" s="42">
        <v>2.35</v>
      </c>
      <c r="G197" s="45">
        <v>377</v>
      </c>
      <c r="H197" s="22">
        <v>2.4</v>
      </c>
      <c r="I197" s="30">
        <f t="shared" ref="I197:I260" si="5">(G197*E197)*F197*H197</f>
        <v>2126.2800000000002</v>
      </c>
      <c r="J197" s="6" t="s">
        <v>1670</v>
      </c>
      <c r="K197" s="17"/>
    </row>
    <row r="198" spans="1:11" ht="13.95" customHeight="1" x14ac:dyDescent="0.3">
      <c r="A198" s="3">
        <v>45854</v>
      </c>
      <c r="B198" s="3" t="s">
        <v>1723</v>
      </c>
      <c r="C198" s="19" t="s">
        <v>5</v>
      </c>
      <c r="D198" s="19" t="s">
        <v>1347</v>
      </c>
      <c r="E198" s="4">
        <v>1</v>
      </c>
      <c r="F198" s="42">
        <v>2.35</v>
      </c>
      <c r="G198" s="45">
        <v>377</v>
      </c>
      <c r="H198" s="22">
        <v>2.4</v>
      </c>
      <c r="I198" s="30">
        <f t="shared" si="5"/>
        <v>2126.2800000000002</v>
      </c>
      <c r="J198" s="6" t="s">
        <v>1670</v>
      </c>
      <c r="K198" s="17"/>
    </row>
    <row r="199" spans="1:11" ht="13.95" customHeight="1" x14ac:dyDescent="0.3">
      <c r="A199" s="3">
        <v>45855</v>
      </c>
      <c r="B199" s="3" t="s">
        <v>1723</v>
      </c>
      <c r="C199" s="19" t="s">
        <v>8</v>
      </c>
      <c r="D199" s="19" t="s">
        <v>1347</v>
      </c>
      <c r="E199" s="4">
        <v>1</v>
      </c>
      <c r="F199" s="42">
        <v>2.4</v>
      </c>
      <c r="G199" s="45">
        <v>377</v>
      </c>
      <c r="H199" s="22">
        <v>2.4</v>
      </c>
      <c r="I199" s="30">
        <f t="shared" si="5"/>
        <v>2171.52</v>
      </c>
      <c r="J199" s="6" t="s">
        <v>1670</v>
      </c>
      <c r="K199" s="17"/>
    </row>
    <row r="200" spans="1:11" ht="13.95" customHeight="1" x14ac:dyDescent="0.3">
      <c r="A200" s="3">
        <v>45856</v>
      </c>
      <c r="B200" s="3" t="s">
        <v>1723</v>
      </c>
      <c r="C200" s="19" t="s">
        <v>11</v>
      </c>
      <c r="D200" s="19" t="s">
        <v>829</v>
      </c>
      <c r="E200" s="4">
        <v>1</v>
      </c>
      <c r="F200" s="42">
        <v>2.75</v>
      </c>
      <c r="G200" s="45">
        <v>377</v>
      </c>
      <c r="H200" s="22">
        <v>2.4</v>
      </c>
      <c r="I200" s="30">
        <f t="shared" si="5"/>
        <v>2488.1999999999998</v>
      </c>
      <c r="J200" s="6" t="s">
        <v>97</v>
      </c>
      <c r="K200" s="17"/>
    </row>
    <row r="201" spans="1:11" ht="13.95" customHeight="1" x14ac:dyDescent="0.3">
      <c r="A201" s="3">
        <v>45857</v>
      </c>
      <c r="B201" s="3" t="s">
        <v>1723</v>
      </c>
      <c r="C201" s="19" t="s">
        <v>13</v>
      </c>
      <c r="D201" s="19" t="s">
        <v>829</v>
      </c>
      <c r="E201" s="4">
        <v>1</v>
      </c>
      <c r="F201" s="42">
        <v>3</v>
      </c>
      <c r="G201" s="45">
        <v>377</v>
      </c>
      <c r="H201" s="22">
        <v>2.4</v>
      </c>
      <c r="I201" s="30">
        <f t="shared" si="5"/>
        <v>2714.4</v>
      </c>
      <c r="J201" s="6" t="s">
        <v>1464</v>
      </c>
      <c r="K201" s="17"/>
    </row>
    <row r="202" spans="1:11" ht="13.95" customHeight="1" x14ac:dyDescent="0.3">
      <c r="A202" s="3">
        <v>45858</v>
      </c>
      <c r="B202" s="3" t="s">
        <v>1723</v>
      </c>
      <c r="C202" s="19" t="s">
        <v>16</v>
      </c>
      <c r="D202" s="19" t="s">
        <v>829</v>
      </c>
      <c r="E202" s="4">
        <v>1</v>
      </c>
      <c r="F202" s="42">
        <v>2.8</v>
      </c>
      <c r="G202" s="45">
        <v>377</v>
      </c>
      <c r="H202" s="22">
        <v>2.4</v>
      </c>
      <c r="I202" s="30">
        <f t="shared" si="5"/>
        <v>2533.4399999999996</v>
      </c>
      <c r="J202" s="6" t="s">
        <v>149</v>
      </c>
      <c r="K202" s="17"/>
    </row>
    <row r="203" spans="1:11" ht="13.95" customHeight="1" x14ac:dyDescent="0.3">
      <c r="A203" s="3">
        <v>45859</v>
      </c>
      <c r="B203" s="3" t="s">
        <v>1723</v>
      </c>
      <c r="C203" s="19" t="s">
        <v>18</v>
      </c>
      <c r="D203" s="19" t="s">
        <v>1347</v>
      </c>
      <c r="E203" s="4">
        <v>1</v>
      </c>
      <c r="F203" s="42">
        <v>2.4</v>
      </c>
      <c r="G203" s="45">
        <v>377</v>
      </c>
      <c r="H203" s="22">
        <v>2.4</v>
      </c>
      <c r="I203" s="30">
        <f t="shared" si="5"/>
        <v>2171.52</v>
      </c>
      <c r="J203" s="6" t="s">
        <v>461</v>
      </c>
      <c r="K203" s="17"/>
    </row>
    <row r="204" spans="1:11" ht="13.95" customHeight="1" x14ac:dyDescent="0.3">
      <c r="A204" s="3">
        <v>45860</v>
      </c>
      <c r="B204" s="3" t="s">
        <v>1723</v>
      </c>
      <c r="C204" s="19" t="s">
        <v>20</v>
      </c>
      <c r="D204" s="19" t="s">
        <v>1347</v>
      </c>
      <c r="E204" s="4">
        <v>1</v>
      </c>
      <c r="F204" s="42">
        <v>2.35</v>
      </c>
      <c r="G204" s="45">
        <v>377</v>
      </c>
      <c r="H204" s="22">
        <v>2.4</v>
      </c>
      <c r="I204" s="30">
        <f t="shared" si="5"/>
        <v>2126.2800000000002</v>
      </c>
      <c r="J204" s="6" t="s">
        <v>461</v>
      </c>
      <c r="K204" s="17"/>
    </row>
    <row r="205" spans="1:11" ht="13.95" customHeight="1" x14ac:dyDescent="0.3">
      <c r="A205" s="3">
        <v>45861</v>
      </c>
      <c r="B205" s="3" t="s">
        <v>1723</v>
      </c>
      <c r="C205" s="19" t="s">
        <v>5</v>
      </c>
      <c r="D205" s="19" t="s">
        <v>1347</v>
      </c>
      <c r="E205" s="4">
        <v>1</v>
      </c>
      <c r="F205" s="42">
        <v>2.35</v>
      </c>
      <c r="G205" s="45">
        <v>377</v>
      </c>
      <c r="H205" s="22">
        <v>2.4</v>
      </c>
      <c r="I205" s="30">
        <f t="shared" si="5"/>
        <v>2126.2800000000002</v>
      </c>
      <c r="J205" s="6" t="s">
        <v>461</v>
      </c>
      <c r="K205" s="17"/>
    </row>
    <row r="206" spans="1:11" ht="13.95" customHeight="1" x14ac:dyDescent="0.3">
      <c r="A206" s="3">
        <v>45862</v>
      </c>
      <c r="B206" s="3" t="s">
        <v>1723</v>
      </c>
      <c r="C206" s="19" t="s">
        <v>8</v>
      </c>
      <c r="D206" s="19" t="s">
        <v>994</v>
      </c>
      <c r="E206" s="4">
        <v>1</v>
      </c>
      <c r="F206" s="42">
        <v>2.5</v>
      </c>
      <c r="G206" s="45">
        <v>377</v>
      </c>
      <c r="H206" s="22">
        <v>2.4</v>
      </c>
      <c r="I206" s="30">
        <f t="shared" si="5"/>
        <v>2262</v>
      </c>
      <c r="J206" s="6" t="s">
        <v>1451</v>
      </c>
      <c r="K206" s="17"/>
    </row>
    <row r="207" spans="1:11" ht="13.95" customHeight="1" x14ac:dyDescent="0.3">
      <c r="A207" s="3">
        <v>45863</v>
      </c>
      <c r="B207" s="3" t="s">
        <v>1723</v>
      </c>
      <c r="C207" s="19" t="s">
        <v>11</v>
      </c>
      <c r="D207" s="19" t="s">
        <v>1010</v>
      </c>
      <c r="E207" s="4">
        <v>1</v>
      </c>
      <c r="F207" s="42">
        <v>2.9</v>
      </c>
      <c r="G207" s="45">
        <v>377</v>
      </c>
      <c r="H207" s="22">
        <v>2.4</v>
      </c>
      <c r="I207" s="30">
        <f t="shared" si="5"/>
        <v>2623.9199999999996</v>
      </c>
      <c r="J207" s="6" t="s">
        <v>1692</v>
      </c>
      <c r="K207" s="17"/>
    </row>
    <row r="208" spans="1:11" ht="13.95" customHeight="1" x14ac:dyDescent="0.3">
      <c r="A208" s="3">
        <v>45864</v>
      </c>
      <c r="B208" s="3" t="s">
        <v>1723</v>
      </c>
      <c r="C208" s="19" t="s">
        <v>13</v>
      </c>
      <c r="D208" s="19" t="s">
        <v>829</v>
      </c>
      <c r="E208" s="4">
        <v>1</v>
      </c>
      <c r="F208" s="42">
        <v>3.1</v>
      </c>
      <c r="G208" s="45">
        <v>377</v>
      </c>
      <c r="H208" s="22">
        <v>2.4</v>
      </c>
      <c r="I208" s="30">
        <f t="shared" si="5"/>
        <v>2804.88</v>
      </c>
      <c r="J208" s="6" t="s">
        <v>1435</v>
      </c>
      <c r="K208" s="17"/>
    </row>
    <row r="209" spans="1:11" ht="13.95" customHeight="1" x14ac:dyDescent="0.3">
      <c r="A209" s="3">
        <v>45865</v>
      </c>
      <c r="B209" s="3" t="s">
        <v>1723</v>
      </c>
      <c r="C209" s="19" t="s">
        <v>16</v>
      </c>
      <c r="D209" s="19" t="s">
        <v>829</v>
      </c>
      <c r="E209" s="4">
        <v>1</v>
      </c>
      <c r="F209" s="42">
        <v>2.85</v>
      </c>
      <c r="G209" s="45">
        <v>377</v>
      </c>
      <c r="H209" s="22">
        <v>2.4</v>
      </c>
      <c r="I209" s="30">
        <f t="shared" si="5"/>
        <v>2578.6799999999998</v>
      </c>
      <c r="J209" s="6" t="s">
        <v>139</v>
      </c>
      <c r="K209" s="17"/>
    </row>
    <row r="210" spans="1:11" ht="13.95" customHeight="1" x14ac:dyDescent="0.3">
      <c r="A210" s="3">
        <v>45866</v>
      </c>
      <c r="B210" s="3" t="s">
        <v>1723</v>
      </c>
      <c r="C210" s="19" t="s">
        <v>18</v>
      </c>
      <c r="D210" s="19" t="s">
        <v>1347</v>
      </c>
      <c r="E210" s="4">
        <v>1</v>
      </c>
      <c r="F210" s="42">
        <v>2.4500000000000002</v>
      </c>
      <c r="G210" s="45">
        <v>377</v>
      </c>
      <c r="H210" s="22">
        <v>2.4</v>
      </c>
      <c r="I210" s="30">
        <f t="shared" si="5"/>
        <v>2216.7600000000002</v>
      </c>
      <c r="J210" s="6" t="s">
        <v>589</v>
      </c>
      <c r="K210" s="17"/>
    </row>
    <row r="211" spans="1:11" ht="13.95" customHeight="1" x14ac:dyDescent="0.3">
      <c r="A211" s="3">
        <v>45867</v>
      </c>
      <c r="B211" s="3" t="s">
        <v>1723</v>
      </c>
      <c r="C211" s="19" t="s">
        <v>20</v>
      </c>
      <c r="D211" s="19" t="s">
        <v>1347</v>
      </c>
      <c r="E211" s="4">
        <v>1</v>
      </c>
      <c r="F211" s="42">
        <v>2.4</v>
      </c>
      <c r="G211" s="45">
        <v>377</v>
      </c>
      <c r="H211" s="22">
        <v>2.4</v>
      </c>
      <c r="I211" s="30">
        <f t="shared" si="5"/>
        <v>2171.52</v>
      </c>
      <c r="J211" s="6" t="s">
        <v>589</v>
      </c>
      <c r="K211" s="17"/>
    </row>
    <row r="212" spans="1:11" ht="13.95" customHeight="1" x14ac:dyDescent="0.3">
      <c r="A212" s="3">
        <v>45868</v>
      </c>
      <c r="B212" s="3" t="s">
        <v>1723</v>
      </c>
      <c r="C212" s="19" t="s">
        <v>5</v>
      </c>
      <c r="D212" s="19" t="s">
        <v>1347</v>
      </c>
      <c r="E212" s="4">
        <v>1</v>
      </c>
      <c r="F212" s="42">
        <v>2.4</v>
      </c>
      <c r="G212" s="45">
        <v>377</v>
      </c>
      <c r="H212" s="22">
        <v>2.4</v>
      </c>
      <c r="I212" s="30">
        <f t="shared" si="5"/>
        <v>2171.52</v>
      </c>
      <c r="J212" s="6" t="s">
        <v>589</v>
      </c>
      <c r="K212" s="17"/>
    </row>
    <row r="213" spans="1:11" ht="13.95" customHeight="1" x14ac:dyDescent="0.3">
      <c r="A213" s="3">
        <v>45869</v>
      </c>
      <c r="B213" s="3" t="s">
        <v>1723</v>
      </c>
      <c r="C213" s="19" t="s">
        <v>8</v>
      </c>
      <c r="D213" s="19" t="s">
        <v>1538</v>
      </c>
      <c r="E213" s="4">
        <v>1</v>
      </c>
      <c r="F213" s="42">
        <v>2.5</v>
      </c>
      <c r="G213" s="45">
        <v>377</v>
      </c>
      <c r="H213" s="22">
        <v>2.4</v>
      </c>
      <c r="I213" s="30">
        <f t="shared" si="5"/>
        <v>2262</v>
      </c>
      <c r="J213" s="6" t="s">
        <v>1693</v>
      </c>
      <c r="K213" s="17"/>
    </row>
    <row r="214" spans="1:11" ht="13.95" customHeight="1" x14ac:dyDescent="0.3">
      <c r="A214" s="3">
        <v>45870</v>
      </c>
      <c r="B214" s="3" t="s">
        <v>1723</v>
      </c>
      <c r="C214" s="19" t="s">
        <v>11</v>
      </c>
      <c r="D214" s="19" t="s">
        <v>1347</v>
      </c>
      <c r="E214" s="4">
        <v>1</v>
      </c>
      <c r="F214" s="42">
        <v>2.65</v>
      </c>
      <c r="G214" s="45">
        <v>377</v>
      </c>
      <c r="H214" s="22">
        <v>2.4</v>
      </c>
      <c r="I214" s="30">
        <f t="shared" si="5"/>
        <v>2397.7199999999998</v>
      </c>
      <c r="J214" s="6" t="s">
        <v>1385</v>
      </c>
      <c r="K214" s="17"/>
    </row>
    <row r="215" spans="1:11" ht="13.95" customHeight="1" x14ac:dyDescent="0.3">
      <c r="A215" s="3">
        <v>45871</v>
      </c>
      <c r="B215" s="3" t="s">
        <v>1723</v>
      </c>
      <c r="C215" s="19" t="s">
        <v>13</v>
      </c>
      <c r="D215" s="19" t="s">
        <v>829</v>
      </c>
      <c r="E215" s="4">
        <v>1</v>
      </c>
      <c r="F215" s="42">
        <v>3.15</v>
      </c>
      <c r="G215" s="45">
        <v>377</v>
      </c>
      <c r="H215" s="22">
        <v>2.4</v>
      </c>
      <c r="I215" s="30">
        <f t="shared" si="5"/>
        <v>2850.12</v>
      </c>
      <c r="J215" s="6" t="s">
        <v>1391</v>
      </c>
      <c r="K215" s="17"/>
    </row>
    <row r="216" spans="1:11" ht="13.95" customHeight="1" x14ac:dyDescent="0.3">
      <c r="A216" s="3">
        <v>45872</v>
      </c>
      <c r="B216" s="3" t="s">
        <v>1723</v>
      </c>
      <c r="C216" s="19" t="s">
        <v>16</v>
      </c>
      <c r="D216" s="19" t="s">
        <v>829</v>
      </c>
      <c r="E216" s="4">
        <v>1</v>
      </c>
      <c r="F216" s="42">
        <v>2.8</v>
      </c>
      <c r="G216" s="45">
        <v>377</v>
      </c>
      <c r="H216" s="22">
        <v>2.4</v>
      </c>
      <c r="I216" s="30">
        <f t="shared" si="5"/>
        <v>2533.4399999999996</v>
      </c>
      <c r="J216" s="6" t="s">
        <v>139</v>
      </c>
      <c r="K216" s="17"/>
    </row>
    <row r="217" spans="1:11" ht="13.95" customHeight="1" x14ac:dyDescent="0.3">
      <c r="A217" s="3">
        <v>45873</v>
      </c>
      <c r="B217" s="3" t="s">
        <v>1723</v>
      </c>
      <c r="C217" s="19" t="s">
        <v>18</v>
      </c>
      <c r="D217" s="19" t="s">
        <v>1347</v>
      </c>
      <c r="E217" s="4">
        <v>0.98</v>
      </c>
      <c r="F217" s="42">
        <v>2.4500000000000002</v>
      </c>
      <c r="G217" s="45">
        <v>377</v>
      </c>
      <c r="H217" s="22">
        <v>2.4</v>
      </c>
      <c r="I217" s="30">
        <f t="shared" si="5"/>
        <v>2172.4247999999998</v>
      </c>
      <c r="J217" s="6" t="s">
        <v>1694</v>
      </c>
      <c r="K217" s="17"/>
    </row>
    <row r="218" spans="1:11" ht="13.95" customHeight="1" x14ac:dyDescent="0.3">
      <c r="A218" s="3">
        <v>45874</v>
      </c>
      <c r="B218" s="3" t="s">
        <v>1723</v>
      </c>
      <c r="C218" s="19" t="s">
        <v>20</v>
      </c>
      <c r="D218" s="19" t="s">
        <v>1347</v>
      </c>
      <c r="E218" s="4" t="s">
        <v>1701</v>
      </c>
      <c r="F218" s="42">
        <v>2.4500000000000002</v>
      </c>
      <c r="G218" s="45">
        <v>377</v>
      </c>
      <c r="H218" s="22">
        <v>2.4</v>
      </c>
      <c r="I218" s="30" t="e">
        <f t="shared" si="5"/>
        <v>#VALUE!</v>
      </c>
      <c r="J218" s="6" t="s">
        <v>1694</v>
      </c>
      <c r="K218" s="17"/>
    </row>
    <row r="219" spans="1:11" ht="13.95" customHeight="1" x14ac:dyDescent="0.3">
      <c r="A219" s="3">
        <v>45875</v>
      </c>
      <c r="B219" s="3" t="s">
        <v>1723</v>
      </c>
      <c r="C219" s="19" t="s">
        <v>5</v>
      </c>
      <c r="D219" s="19" t="s">
        <v>1347</v>
      </c>
      <c r="E219" s="4">
        <v>0.98</v>
      </c>
      <c r="F219" s="42">
        <v>2.4500000000000002</v>
      </c>
      <c r="G219" s="45">
        <v>377</v>
      </c>
      <c r="H219" s="22">
        <v>2.4</v>
      </c>
      <c r="I219" s="30">
        <f t="shared" si="5"/>
        <v>2172.4247999999998</v>
      </c>
      <c r="J219" s="6" t="s">
        <v>1694</v>
      </c>
      <c r="K219" s="17"/>
    </row>
    <row r="220" spans="1:11" ht="13.95" customHeight="1" x14ac:dyDescent="0.3">
      <c r="A220" s="3">
        <v>45876</v>
      </c>
      <c r="B220" s="3" t="s">
        <v>1723</v>
      </c>
      <c r="C220" s="19" t="s">
        <v>8</v>
      </c>
      <c r="D220" s="19" t="s">
        <v>1347</v>
      </c>
      <c r="E220" s="4">
        <v>1</v>
      </c>
      <c r="F220" s="42">
        <v>2.5</v>
      </c>
      <c r="G220" s="45">
        <v>377</v>
      </c>
      <c r="H220" s="22">
        <v>2.4</v>
      </c>
      <c r="I220" s="30">
        <f t="shared" si="5"/>
        <v>2262</v>
      </c>
      <c r="J220" s="6" t="s">
        <v>82</v>
      </c>
      <c r="K220" s="17"/>
    </row>
    <row r="221" spans="1:11" ht="13.95" customHeight="1" x14ac:dyDescent="0.3">
      <c r="A221" s="3">
        <v>45877</v>
      </c>
      <c r="B221" s="3" t="s">
        <v>1723</v>
      </c>
      <c r="C221" s="19" t="s">
        <v>11</v>
      </c>
      <c r="D221" s="19" t="s">
        <v>829</v>
      </c>
      <c r="E221" s="4">
        <v>1</v>
      </c>
      <c r="F221" s="42">
        <v>2.75</v>
      </c>
      <c r="G221" s="45">
        <v>377</v>
      </c>
      <c r="H221" s="22">
        <v>2.4</v>
      </c>
      <c r="I221" s="30">
        <f t="shared" si="5"/>
        <v>2488.1999999999998</v>
      </c>
      <c r="J221" s="6" t="s">
        <v>531</v>
      </c>
      <c r="K221" s="17"/>
    </row>
    <row r="222" spans="1:11" ht="13.95" customHeight="1" x14ac:dyDescent="0.3">
      <c r="A222" s="3">
        <v>45878</v>
      </c>
      <c r="B222" s="3" t="s">
        <v>1723</v>
      </c>
      <c r="C222" s="19" t="s">
        <v>13</v>
      </c>
      <c r="D222" s="19" t="s">
        <v>829</v>
      </c>
      <c r="E222" s="4">
        <v>1</v>
      </c>
      <c r="F222" s="42">
        <v>3.2</v>
      </c>
      <c r="G222" s="45">
        <v>377</v>
      </c>
      <c r="H222" s="22">
        <v>2.4</v>
      </c>
      <c r="I222" s="30">
        <f t="shared" si="5"/>
        <v>2895.36</v>
      </c>
      <c r="J222" s="6" t="s">
        <v>1698</v>
      </c>
      <c r="K222" s="17"/>
    </row>
    <row r="223" spans="1:11" ht="13.95" customHeight="1" x14ac:dyDescent="0.3">
      <c r="A223" s="3">
        <v>45879</v>
      </c>
      <c r="B223" s="3" t="s">
        <v>1723</v>
      </c>
      <c r="C223" s="19" t="s">
        <v>16</v>
      </c>
      <c r="D223" s="19" t="s">
        <v>829</v>
      </c>
      <c r="E223" s="4">
        <v>1</v>
      </c>
      <c r="F223" s="42">
        <v>2.85</v>
      </c>
      <c r="G223" s="45">
        <v>377</v>
      </c>
      <c r="H223" s="22">
        <v>2.4</v>
      </c>
      <c r="I223" s="30">
        <f t="shared" si="5"/>
        <v>2578.6799999999998</v>
      </c>
      <c r="J223" s="6" t="s">
        <v>1275</v>
      </c>
      <c r="K223" s="17"/>
    </row>
    <row r="224" spans="1:11" ht="13.95" customHeight="1" x14ac:dyDescent="0.3">
      <c r="A224" s="3">
        <v>45880</v>
      </c>
      <c r="B224" s="3" t="s">
        <v>1723</v>
      </c>
      <c r="C224" s="19" t="s">
        <v>18</v>
      </c>
      <c r="D224" s="19" t="s">
        <v>1347</v>
      </c>
      <c r="E224" s="4">
        <v>0.98</v>
      </c>
      <c r="F224" s="42">
        <v>2.4500000000000002</v>
      </c>
      <c r="G224" s="45">
        <v>377</v>
      </c>
      <c r="H224" s="22">
        <v>2.4</v>
      </c>
      <c r="I224" s="30">
        <f t="shared" si="5"/>
        <v>2172.4247999999998</v>
      </c>
      <c r="J224" s="6" t="s">
        <v>1695</v>
      </c>
      <c r="K224" s="17"/>
    </row>
    <row r="225" spans="1:11" ht="13.95" customHeight="1" x14ac:dyDescent="0.3">
      <c r="A225" s="3">
        <v>45881</v>
      </c>
      <c r="B225" s="3" t="s">
        <v>1723</v>
      </c>
      <c r="C225" s="19" t="s">
        <v>20</v>
      </c>
      <c r="D225" s="19" t="s">
        <v>994</v>
      </c>
      <c r="E225" s="4">
        <v>1</v>
      </c>
      <c r="F225" s="42">
        <v>2.7</v>
      </c>
      <c r="G225" s="45">
        <v>377</v>
      </c>
      <c r="H225" s="22">
        <v>2.4</v>
      </c>
      <c r="I225" s="30">
        <f t="shared" si="5"/>
        <v>2442.96</v>
      </c>
      <c r="J225" s="6" t="s">
        <v>1453</v>
      </c>
      <c r="K225" s="17"/>
    </row>
    <row r="226" spans="1:11" ht="13.95" customHeight="1" x14ac:dyDescent="0.3">
      <c r="A226" s="3">
        <v>45882</v>
      </c>
      <c r="B226" s="3" t="s">
        <v>1723</v>
      </c>
      <c r="C226" s="19" t="s">
        <v>5</v>
      </c>
      <c r="D226" s="19" t="s">
        <v>850</v>
      </c>
      <c r="E226" s="4">
        <v>1</v>
      </c>
      <c r="F226" s="42">
        <v>3.1</v>
      </c>
      <c r="G226" s="45">
        <v>377</v>
      </c>
      <c r="H226" s="22">
        <v>2.4</v>
      </c>
      <c r="I226" s="30">
        <f t="shared" si="5"/>
        <v>2804.88</v>
      </c>
      <c r="J226" s="6" t="s">
        <v>1699</v>
      </c>
      <c r="K226" s="17"/>
    </row>
    <row r="227" spans="1:11" ht="13.95" customHeight="1" x14ac:dyDescent="0.3">
      <c r="A227" s="3">
        <v>45883</v>
      </c>
      <c r="B227" s="3" t="s">
        <v>1723</v>
      </c>
      <c r="C227" s="19" t="s">
        <v>8</v>
      </c>
      <c r="D227" s="19" t="s">
        <v>1347</v>
      </c>
      <c r="E227" s="4">
        <v>1</v>
      </c>
      <c r="F227" s="42">
        <v>2.5</v>
      </c>
      <c r="G227" s="45">
        <v>377</v>
      </c>
      <c r="H227" s="22">
        <v>2.4</v>
      </c>
      <c r="I227" s="30">
        <f t="shared" si="5"/>
        <v>2262</v>
      </c>
      <c r="J227" s="6" t="s">
        <v>589</v>
      </c>
      <c r="K227" s="17"/>
    </row>
    <row r="228" spans="1:11" ht="13.95" customHeight="1" x14ac:dyDescent="0.3">
      <c r="A228" s="3">
        <v>45884</v>
      </c>
      <c r="B228" s="3" t="s">
        <v>1723</v>
      </c>
      <c r="C228" s="19" t="s">
        <v>11</v>
      </c>
      <c r="D228" s="19" t="s">
        <v>829</v>
      </c>
      <c r="E228" s="4">
        <v>1</v>
      </c>
      <c r="F228" s="42">
        <v>2.75</v>
      </c>
      <c r="G228" s="45">
        <v>377</v>
      </c>
      <c r="H228" s="22">
        <v>2.4</v>
      </c>
      <c r="I228" s="30">
        <f t="shared" si="5"/>
        <v>2488.1999999999998</v>
      </c>
      <c r="J228" s="6" t="s">
        <v>97</v>
      </c>
      <c r="K228" s="17"/>
    </row>
    <row r="229" spans="1:11" ht="13.95" customHeight="1" x14ac:dyDescent="0.3">
      <c r="A229" s="3">
        <v>45885</v>
      </c>
      <c r="B229" s="3" t="s">
        <v>1723</v>
      </c>
      <c r="C229" s="19" t="s">
        <v>13</v>
      </c>
      <c r="D229" s="19" t="s">
        <v>829</v>
      </c>
      <c r="E229" s="4">
        <v>1</v>
      </c>
      <c r="F229" s="42">
        <v>3.15</v>
      </c>
      <c r="G229" s="45">
        <v>377</v>
      </c>
      <c r="H229" s="22">
        <v>2.4</v>
      </c>
      <c r="I229" s="30">
        <f t="shared" si="5"/>
        <v>2850.12</v>
      </c>
      <c r="J229" s="6" t="s">
        <v>1364</v>
      </c>
      <c r="K229" s="17"/>
    </row>
    <row r="230" spans="1:11" ht="13.95" customHeight="1" x14ac:dyDescent="0.3">
      <c r="A230" s="3">
        <v>45886</v>
      </c>
      <c r="B230" s="3" t="s">
        <v>1723</v>
      </c>
      <c r="C230" s="19" t="s">
        <v>16</v>
      </c>
      <c r="D230" s="19" t="s">
        <v>829</v>
      </c>
      <c r="E230" s="4">
        <v>1</v>
      </c>
      <c r="F230" s="42">
        <v>2.85</v>
      </c>
      <c r="G230" s="45">
        <v>377</v>
      </c>
      <c r="H230" s="22">
        <v>2.4</v>
      </c>
      <c r="I230" s="30">
        <f t="shared" si="5"/>
        <v>2578.6799999999998</v>
      </c>
      <c r="J230" s="6" t="s">
        <v>139</v>
      </c>
      <c r="K230" s="17"/>
    </row>
    <row r="231" spans="1:11" ht="13.95" customHeight="1" x14ac:dyDescent="0.3">
      <c r="A231" s="3">
        <v>45887</v>
      </c>
      <c r="B231" s="3" t="s">
        <v>1723</v>
      </c>
      <c r="C231" s="19" t="s">
        <v>18</v>
      </c>
      <c r="D231" s="19" t="s">
        <v>1347</v>
      </c>
      <c r="E231" s="4">
        <v>0.98</v>
      </c>
      <c r="F231" s="42">
        <v>2.4500000000000002</v>
      </c>
      <c r="G231" s="45">
        <v>377</v>
      </c>
      <c r="H231" s="22">
        <v>2.4</v>
      </c>
      <c r="I231" s="30">
        <f t="shared" si="5"/>
        <v>2172.4247999999998</v>
      </c>
      <c r="J231" s="6" t="s">
        <v>589</v>
      </c>
      <c r="K231" s="17"/>
    </row>
    <row r="232" spans="1:11" ht="13.95" customHeight="1" x14ac:dyDescent="0.3">
      <c r="A232" s="3">
        <v>45888</v>
      </c>
      <c r="B232" s="3" t="s">
        <v>1723</v>
      </c>
      <c r="C232" s="19" t="s">
        <v>20</v>
      </c>
      <c r="D232" s="19" t="s">
        <v>1347</v>
      </c>
      <c r="E232" s="4">
        <v>0.95</v>
      </c>
      <c r="F232" s="42">
        <v>2.4500000000000002</v>
      </c>
      <c r="G232" s="45">
        <v>377</v>
      </c>
      <c r="H232" s="22">
        <v>2.4</v>
      </c>
      <c r="I232" s="30">
        <f t="shared" si="5"/>
        <v>2105.922</v>
      </c>
      <c r="J232" s="6" t="s">
        <v>589</v>
      </c>
      <c r="K232" s="17"/>
    </row>
    <row r="233" spans="1:11" ht="13.95" customHeight="1" x14ac:dyDescent="0.3">
      <c r="A233" s="3">
        <v>45889</v>
      </c>
      <c r="B233" s="3" t="s">
        <v>1723</v>
      </c>
      <c r="C233" s="19" t="s">
        <v>5</v>
      </c>
      <c r="D233" s="19" t="s">
        <v>1347</v>
      </c>
      <c r="E233" s="4">
        <v>0.95</v>
      </c>
      <c r="F233" s="42">
        <v>2.4500000000000002</v>
      </c>
      <c r="G233" s="45">
        <v>377</v>
      </c>
      <c r="H233" s="22">
        <v>2.4</v>
      </c>
      <c r="I233" s="30">
        <f t="shared" si="5"/>
        <v>2105.922</v>
      </c>
      <c r="J233" s="6" t="s">
        <v>589</v>
      </c>
      <c r="K233" s="17"/>
    </row>
    <row r="234" spans="1:11" ht="13.95" customHeight="1" x14ac:dyDescent="0.3">
      <c r="A234" s="3">
        <v>45890</v>
      </c>
      <c r="B234" s="3" t="s">
        <v>1723</v>
      </c>
      <c r="C234" s="19" t="s">
        <v>8</v>
      </c>
      <c r="D234" s="19" t="s">
        <v>1347</v>
      </c>
      <c r="E234" s="4">
        <v>0.98</v>
      </c>
      <c r="F234" s="42">
        <v>2.5</v>
      </c>
      <c r="G234" s="45">
        <v>377</v>
      </c>
      <c r="H234" s="22">
        <v>2.4</v>
      </c>
      <c r="I234" s="30">
        <f t="shared" si="5"/>
        <v>2216.7599999999998</v>
      </c>
      <c r="J234" s="6" t="s">
        <v>589</v>
      </c>
      <c r="K234" s="17"/>
    </row>
    <row r="235" spans="1:11" ht="13.95" customHeight="1" x14ac:dyDescent="0.3">
      <c r="A235" s="3">
        <v>45891</v>
      </c>
      <c r="B235" s="3" t="s">
        <v>1723</v>
      </c>
      <c r="C235" s="19" t="s">
        <v>11</v>
      </c>
      <c r="D235" s="19" t="s">
        <v>829</v>
      </c>
      <c r="E235" s="4">
        <v>1</v>
      </c>
      <c r="F235" s="42">
        <v>2.75</v>
      </c>
      <c r="G235" s="45">
        <v>377</v>
      </c>
      <c r="H235" s="22">
        <v>2.4</v>
      </c>
      <c r="I235" s="30">
        <f t="shared" si="5"/>
        <v>2488.1999999999998</v>
      </c>
      <c r="J235" s="6" t="s">
        <v>97</v>
      </c>
      <c r="K235" s="17"/>
    </row>
    <row r="236" spans="1:11" ht="13.95" customHeight="1" x14ac:dyDescent="0.3">
      <c r="A236" s="3">
        <v>45892</v>
      </c>
      <c r="B236" s="3" t="s">
        <v>1723</v>
      </c>
      <c r="C236" s="19" t="s">
        <v>13</v>
      </c>
      <c r="D236" s="19" t="s">
        <v>829</v>
      </c>
      <c r="E236" s="4">
        <v>1</v>
      </c>
      <c r="F236" s="42">
        <v>3.15</v>
      </c>
      <c r="G236" s="45">
        <v>377</v>
      </c>
      <c r="H236" s="22">
        <v>2.4</v>
      </c>
      <c r="I236" s="30">
        <f t="shared" si="5"/>
        <v>2850.12</v>
      </c>
      <c r="J236" s="6" t="s">
        <v>1700</v>
      </c>
      <c r="K236" s="17"/>
    </row>
    <row r="237" spans="1:11" ht="13.95" customHeight="1" x14ac:dyDescent="0.3">
      <c r="A237" s="3">
        <v>45893</v>
      </c>
      <c r="B237" s="3" t="s">
        <v>1723</v>
      </c>
      <c r="C237" s="19" t="s">
        <v>16</v>
      </c>
      <c r="D237" s="19" t="s">
        <v>829</v>
      </c>
      <c r="E237" s="4">
        <v>1</v>
      </c>
      <c r="F237" s="42">
        <v>2.85</v>
      </c>
      <c r="G237" s="45">
        <v>377</v>
      </c>
      <c r="H237" s="22">
        <v>2.4</v>
      </c>
      <c r="I237" s="30">
        <f t="shared" si="5"/>
        <v>2578.6799999999998</v>
      </c>
      <c r="J237" s="6" t="s">
        <v>149</v>
      </c>
      <c r="K237" s="17"/>
    </row>
    <row r="238" spans="1:11" ht="13.95" customHeight="1" x14ac:dyDescent="0.3">
      <c r="A238" s="3">
        <v>45894</v>
      </c>
      <c r="B238" s="3" t="s">
        <v>1723</v>
      </c>
      <c r="C238" s="19" t="s">
        <v>18</v>
      </c>
      <c r="D238" s="19" t="s">
        <v>1347</v>
      </c>
      <c r="E238" s="4">
        <v>0.95</v>
      </c>
      <c r="F238" s="42">
        <v>2.5</v>
      </c>
      <c r="G238" s="45">
        <v>377</v>
      </c>
      <c r="H238" s="22">
        <v>2.4</v>
      </c>
      <c r="I238" s="30">
        <f t="shared" si="5"/>
        <v>2148.9</v>
      </c>
      <c r="J238" s="6" t="s">
        <v>1696</v>
      </c>
      <c r="K238" s="17"/>
    </row>
    <row r="239" spans="1:11" ht="13.95" customHeight="1" x14ac:dyDescent="0.3">
      <c r="A239" s="3">
        <v>45895</v>
      </c>
      <c r="B239" s="3" t="s">
        <v>1723</v>
      </c>
      <c r="C239" s="19" t="s">
        <v>20</v>
      </c>
      <c r="D239" s="19" t="s">
        <v>1347</v>
      </c>
      <c r="E239" s="4">
        <v>0.92</v>
      </c>
      <c r="F239" s="42">
        <v>2.4500000000000002</v>
      </c>
      <c r="G239" s="45">
        <v>377</v>
      </c>
      <c r="H239" s="22">
        <v>2.4</v>
      </c>
      <c r="I239" s="30">
        <f t="shared" si="5"/>
        <v>2039.4192000000003</v>
      </c>
      <c r="J239" s="6" t="s">
        <v>589</v>
      </c>
      <c r="K239" s="17"/>
    </row>
    <row r="240" spans="1:11" ht="13.95" customHeight="1" x14ac:dyDescent="0.3">
      <c r="A240" s="3">
        <v>45896</v>
      </c>
      <c r="B240" s="3" t="s">
        <v>1723</v>
      </c>
      <c r="C240" s="19" t="s">
        <v>5</v>
      </c>
      <c r="D240" s="19" t="s">
        <v>1347</v>
      </c>
      <c r="E240" s="4">
        <v>0.9</v>
      </c>
      <c r="F240" s="42">
        <v>2.4</v>
      </c>
      <c r="G240" s="45">
        <v>377</v>
      </c>
      <c r="H240" s="22">
        <v>2.4</v>
      </c>
      <c r="I240" s="30">
        <f t="shared" si="5"/>
        <v>1954.3679999999999</v>
      </c>
      <c r="J240" s="6" t="s">
        <v>589</v>
      </c>
      <c r="K240" s="17"/>
    </row>
    <row r="241" spans="1:11" ht="13.95" customHeight="1" x14ac:dyDescent="0.3">
      <c r="A241" s="3">
        <v>45897</v>
      </c>
      <c r="B241" s="3" t="s">
        <v>1723</v>
      </c>
      <c r="C241" s="19" t="s">
        <v>8</v>
      </c>
      <c r="D241" s="19" t="s">
        <v>1347</v>
      </c>
      <c r="E241" s="4">
        <v>0.92</v>
      </c>
      <c r="F241" s="42">
        <v>2.4500000000000002</v>
      </c>
      <c r="G241" s="45">
        <v>377</v>
      </c>
      <c r="H241" s="22">
        <v>2.4</v>
      </c>
      <c r="I241" s="30">
        <f t="shared" si="5"/>
        <v>2039.4192000000003</v>
      </c>
      <c r="J241" s="6" t="s">
        <v>589</v>
      </c>
      <c r="K241" s="17"/>
    </row>
    <row r="242" spans="1:11" ht="13.95" customHeight="1" x14ac:dyDescent="0.3">
      <c r="A242" s="3">
        <v>45898</v>
      </c>
      <c r="B242" s="3" t="s">
        <v>1723</v>
      </c>
      <c r="C242" s="19" t="s">
        <v>11</v>
      </c>
      <c r="D242" s="19" t="s">
        <v>14</v>
      </c>
      <c r="E242" s="4">
        <v>0.98</v>
      </c>
      <c r="F242" s="42">
        <v>2.75</v>
      </c>
      <c r="G242" s="45">
        <v>377</v>
      </c>
      <c r="H242" s="22">
        <v>2.4</v>
      </c>
      <c r="I242" s="30">
        <f t="shared" si="5"/>
        <v>2438.4359999999997</v>
      </c>
      <c r="J242" s="6" t="s">
        <v>480</v>
      </c>
      <c r="K242" s="17"/>
    </row>
    <row r="243" spans="1:11" ht="13.95" customHeight="1" x14ac:dyDescent="0.3">
      <c r="A243" s="3">
        <v>45899</v>
      </c>
      <c r="B243" s="3" t="s">
        <v>1723</v>
      </c>
      <c r="C243" s="19" t="s">
        <v>13</v>
      </c>
      <c r="D243" s="19" t="s">
        <v>14</v>
      </c>
      <c r="E243" s="4">
        <v>1</v>
      </c>
      <c r="F243" s="42">
        <v>3.25</v>
      </c>
      <c r="G243" s="45">
        <v>377</v>
      </c>
      <c r="H243" s="22">
        <v>2.4</v>
      </c>
      <c r="I243" s="30">
        <f t="shared" si="5"/>
        <v>2940.6</v>
      </c>
      <c r="J243" s="6" t="s">
        <v>1435</v>
      </c>
      <c r="K243" s="17"/>
    </row>
    <row r="244" spans="1:11" ht="13.95" customHeight="1" x14ac:dyDescent="0.3">
      <c r="A244" s="3">
        <v>45900</v>
      </c>
      <c r="B244" s="3" t="s">
        <v>1723</v>
      </c>
      <c r="C244" s="19" t="s">
        <v>16</v>
      </c>
      <c r="D244" s="19" t="s">
        <v>14</v>
      </c>
      <c r="E244" s="4">
        <v>1</v>
      </c>
      <c r="F244" s="42">
        <v>2.85</v>
      </c>
      <c r="G244" s="45">
        <v>377</v>
      </c>
      <c r="H244" s="22">
        <v>2.4</v>
      </c>
      <c r="I244" s="30">
        <f t="shared" si="5"/>
        <v>2578.6799999999998</v>
      </c>
      <c r="J244" s="6" t="s">
        <v>1697</v>
      </c>
      <c r="K244" s="17"/>
    </row>
    <row r="245" spans="1:11" ht="13.95" customHeight="1" x14ac:dyDescent="0.3">
      <c r="A245" s="3">
        <v>45870</v>
      </c>
      <c r="B245" s="3" t="s">
        <v>1723</v>
      </c>
      <c r="C245" s="19" t="s">
        <v>11</v>
      </c>
      <c r="D245" s="19" t="s">
        <v>1347</v>
      </c>
      <c r="E245" s="4">
        <v>1</v>
      </c>
      <c r="F245" s="42">
        <v>2.65</v>
      </c>
      <c r="G245" s="45">
        <v>377</v>
      </c>
      <c r="H245" s="22">
        <v>2.2000000000000002</v>
      </c>
      <c r="I245" s="30">
        <f t="shared" si="5"/>
        <v>2197.91</v>
      </c>
      <c r="J245" s="6" t="s">
        <v>1385</v>
      </c>
      <c r="K245" s="17"/>
    </row>
    <row r="246" spans="1:11" ht="13.95" customHeight="1" x14ac:dyDescent="0.3">
      <c r="A246" s="3">
        <v>45871</v>
      </c>
      <c r="B246" s="3" t="s">
        <v>1723</v>
      </c>
      <c r="C246" s="19" t="s">
        <v>13</v>
      </c>
      <c r="D246" s="19" t="s">
        <v>829</v>
      </c>
      <c r="E246" s="4">
        <v>1</v>
      </c>
      <c r="F246" s="42">
        <v>3.15</v>
      </c>
      <c r="G246" s="45">
        <v>377</v>
      </c>
      <c r="H246" s="22">
        <v>2.2000000000000002</v>
      </c>
      <c r="I246" s="30">
        <f t="shared" si="5"/>
        <v>2612.61</v>
      </c>
      <c r="J246" s="6" t="s">
        <v>1391</v>
      </c>
      <c r="K246" s="17"/>
    </row>
    <row r="247" spans="1:11" ht="13.95" customHeight="1" x14ac:dyDescent="0.3">
      <c r="A247" s="3">
        <v>45872</v>
      </c>
      <c r="B247" s="3" t="s">
        <v>1723</v>
      </c>
      <c r="C247" s="19" t="s">
        <v>16</v>
      </c>
      <c r="D247" s="19" t="s">
        <v>829</v>
      </c>
      <c r="E247" s="4">
        <v>1</v>
      </c>
      <c r="F247" s="42">
        <v>2.8</v>
      </c>
      <c r="G247" s="45">
        <v>377</v>
      </c>
      <c r="H247" s="22">
        <v>2.2000000000000002</v>
      </c>
      <c r="I247" s="30">
        <f t="shared" si="5"/>
        <v>2322.3200000000002</v>
      </c>
      <c r="J247" s="6" t="s">
        <v>139</v>
      </c>
      <c r="K247" s="17"/>
    </row>
    <row r="248" spans="1:11" ht="13.95" customHeight="1" x14ac:dyDescent="0.3">
      <c r="A248" s="3">
        <v>45873</v>
      </c>
      <c r="B248" s="3" t="s">
        <v>1723</v>
      </c>
      <c r="C248" s="19" t="s">
        <v>18</v>
      </c>
      <c r="D248" s="19" t="s">
        <v>1347</v>
      </c>
      <c r="E248" s="4">
        <v>0.98</v>
      </c>
      <c r="F248" s="42">
        <v>2.4500000000000002</v>
      </c>
      <c r="G248" s="45">
        <v>377</v>
      </c>
      <c r="H248" s="22">
        <v>2.2000000000000002</v>
      </c>
      <c r="I248" s="30">
        <f t="shared" si="5"/>
        <v>1991.3894000000003</v>
      </c>
      <c r="J248" s="6" t="s">
        <v>1694</v>
      </c>
      <c r="K248" s="17"/>
    </row>
    <row r="249" spans="1:11" ht="13.95" customHeight="1" x14ac:dyDescent="0.3">
      <c r="A249" s="3">
        <v>45874</v>
      </c>
      <c r="B249" s="3" t="s">
        <v>1723</v>
      </c>
      <c r="C249" s="19" t="s">
        <v>20</v>
      </c>
      <c r="D249" s="19" t="s">
        <v>1347</v>
      </c>
      <c r="E249" s="4" t="s">
        <v>1701</v>
      </c>
      <c r="F249" s="42">
        <v>2.4500000000000002</v>
      </c>
      <c r="G249" s="45">
        <v>377</v>
      </c>
      <c r="H249" s="22">
        <v>2.2000000000000002</v>
      </c>
      <c r="I249" s="30" t="e">
        <f t="shared" si="5"/>
        <v>#VALUE!</v>
      </c>
      <c r="J249" s="6" t="s">
        <v>1694</v>
      </c>
      <c r="K249" s="17"/>
    </row>
    <row r="250" spans="1:11" ht="13.95" customHeight="1" x14ac:dyDescent="0.3">
      <c r="A250" s="3">
        <v>45875</v>
      </c>
      <c r="B250" s="3" t="s">
        <v>1723</v>
      </c>
      <c r="C250" s="19" t="s">
        <v>5</v>
      </c>
      <c r="D250" s="19" t="s">
        <v>1347</v>
      </c>
      <c r="E250" s="4">
        <v>0.98</v>
      </c>
      <c r="F250" s="42">
        <v>2.4500000000000002</v>
      </c>
      <c r="G250" s="45">
        <v>377</v>
      </c>
      <c r="H250" s="22">
        <v>2.2000000000000002</v>
      </c>
      <c r="I250" s="30">
        <f t="shared" si="5"/>
        <v>1991.3894000000003</v>
      </c>
      <c r="J250" s="6" t="s">
        <v>1694</v>
      </c>
      <c r="K250" s="17"/>
    </row>
    <row r="251" spans="1:11" ht="13.95" customHeight="1" x14ac:dyDescent="0.3">
      <c r="A251" s="3">
        <v>45876</v>
      </c>
      <c r="B251" s="3" t="s">
        <v>1723</v>
      </c>
      <c r="C251" s="19" t="s">
        <v>8</v>
      </c>
      <c r="D251" s="19" t="s">
        <v>1347</v>
      </c>
      <c r="E251" s="4">
        <v>1</v>
      </c>
      <c r="F251" s="42">
        <v>2.5</v>
      </c>
      <c r="G251" s="45">
        <v>377</v>
      </c>
      <c r="H251" s="22">
        <v>2.2000000000000002</v>
      </c>
      <c r="I251" s="30">
        <f t="shared" si="5"/>
        <v>2073.5</v>
      </c>
      <c r="J251" s="6" t="s">
        <v>82</v>
      </c>
      <c r="K251" s="17"/>
    </row>
    <row r="252" spans="1:11" ht="13.95" customHeight="1" x14ac:dyDescent="0.3">
      <c r="A252" s="3">
        <v>45877</v>
      </c>
      <c r="B252" s="3" t="s">
        <v>1723</v>
      </c>
      <c r="C252" s="19" t="s">
        <v>11</v>
      </c>
      <c r="D252" s="19" t="s">
        <v>829</v>
      </c>
      <c r="E252" s="4">
        <v>1</v>
      </c>
      <c r="F252" s="42">
        <v>2.75</v>
      </c>
      <c r="G252" s="45">
        <v>377</v>
      </c>
      <c r="H252" s="22">
        <v>2.2000000000000002</v>
      </c>
      <c r="I252" s="30">
        <f t="shared" si="5"/>
        <v>2280.8500000000004</v>
      </c>
      <c r="J252" s="6" t="s">
        <v>531</v>
      </c>
      <c r="K252" s="17"/>
    </row>
    <row r="253" spans="1:11" ht="13.95" customHeight="1" x14ac:dyDescent="0.3">
      <c r="A253" s="3">
        <v>45878</v>
      </c>
      <c r="B253" s="3" t="s">
        <v>1723</v>
      </c>
      <c r="C253" s="19" t="s">
        <v>13</v>
      </c>
      <c r="D253" s="19" t="s">
        <v>829</v>
      </c>
      <c r="E253" s="4">
        <v>1</v>
      </c>
      <c r="F253" s="42">
        <v>3.2</v>
      </c>
      <c r="G253" s="45">
        <v>377</v>
      </c>
      <c r="H253" s="22">
        <v>2.2000000000000002</v>
      </c>
      <c r="I253" s="30">
        <f t="shared" si="5"/>
        <v>2654.0800000000004</v>
      </c>
      <c r="J253" s="6" t="s">
        <v>1698</v>
      </c>
      <c r="K253" s="17"/>
    </row>
    <row r="254" spans="1:11" ht="13.95" customHeight="1" x14ac:dyDescent="0.3">
      <c r="A254" s="3">
        <v>45879</v>
      </c>
      <c r="B254" s="3" t="s">
        <v>1723</v>
      </c>
      <c r="C254" s="19" t="s">
        <v>16</v>
      </c>
      <c r="D254" s="19" t="s">
        <v>829</v>
      </c>
      <c r="E254" s="4">
        <v>1</v>
      </c>
      <c r="F254" s="42">
        <v>2.85</v>
      </c>
      <c r="G254" s="45">
        <v>377</v>
      </c>
      <c r="H254" s="22">
        <v>2.2000000000000002</v>
      </c>
      <c r="I254" s="30">
        <f t="shared" si="5"/>
        <v>2363.7900000000004</v>
      </c>
      <c r="J254" s="6" t="s">
        <v>1275</v>
      </c>
      <c r="K254" s="17"/>
    </row>
    <row r="255" spans="1:11" ht="13.95" customHeight="1" x14ac:dyDescent="0.3">
      <c r="A255" s="3">
        <v>45880</v>
      </c>
      <c r="B255" s="3" t="s">
        <v>1723</v>
      </c>
      <c r="C255" s="19" t="s">
        <v>18</v>
      </c>
      <c r="D255" s="19" t="s">
        <v>1347</v>
      </c>
      <c r="E255" s="4">
        <v>0.98</v>
      </c>
      <c r="F255" s="42">
        <v>2.4500000000000002</v>
      </c>
      <c r="G255" s="45">
        <v>377</v>
      </c>
      <c r="H255" s="22">
        <v>2.2000000000000002</v>
      </c>
      <c r="I255" s="30">
        <f t="shared" si="5"/>
        <v>1991.3894000000003</v>
      </c>
      <c r="J255" s="6" t="s">
        <v>1695</v>
      </c>
      <c r="K255" s="17"/>
    </row>
    <row r="256" spans="1:11" ht="13.95" customHeight="1" x14ac:dyDescent="0.3">
      <c r="A256" s="3">
        <v>45881</v>
      </c>
      <c r="B256" s="3" t="s">
        <v>1723</v>
      </c>
      <c r="C256" s="19" t="s">
        <v>20</v>
      </c>
      <c r="D256" s="19" t="s">
        <v>994</v>
      </c>
      <c r="E256" s="4">
        <v>1</v>
      </c>
      <c r="F256" s="42">
        <v>2.7</v>
      </c>
      <c r="G256" s="45">
        <v>377</v>
      </c>
      <c r="H256" s="22">
        <v>2.2000000000000002</v>
      </c>
      <c r="I256" s="30">
        <f t="shared" si="5"/>
        <v>2239.3800000000006</v>
      </c>
      <c r="J256" s="6" t="s">
        <v>1453</v>
      </c>
      <c r="K256" s="17"/>
    </row>
    <row r="257" spans="1:11" ht="13.95" customHeight="1" x14ac:dyDescent="0.3">
      <c r="A257" s="3">
        <v>45882</v>
      </c>
      <c r="B257" s="3" t="s">
        <v>1723</v>
      </c>
      <c r="C257" s="19" t="s">
        <v>5</v>
      </c>
      <c r="D257" s="19" t="s">
        <v>850</v>
      </c>
      <c r="E257" s="4">
        <v>1</v>
      </c>
      <c r="F257" s="42">
        <v>3.1</v>
      </c>
      <c r="G257" s="45">
        <v>377</v>
      </c>
      <c r="H257" s="22">
        <v>2.2000000000000002</v>
      </c>
      <c r="I257" s="30">
        <f t="shared" si="5"/>
        <v>2571.1400000000003</v>
      </c>
      <c r="J257" s="6" t="s">
        <v>1699</v>
      </c>
      <c r="K257" s="17"/>
    </row>
    <row r="258" spans="1:11" ht="13.95" customHeight="1" x14ac:dyDescent="0.3">
      <c r="A258" s="3">
        <v>45883</v>
      </c>
      <c r="B258" s="3" t="s">
        <v>1723</v>
      </c>
      <c r="C258" s="19" t="s">
        <v>8</v>
      </c>
      <c r="D258" s="19" t="s">
        <v>1347</v>
      </c>
      <c r="E258" s="4">
        <v>1</v>
      </c>
      <c r="F258" s="42">
        <v>2.5</v>
      </c>
      <c r="G258" s="45">
        <v>377</v>
      </c>
      <c r="H258" s="22">
        <v>2.2000000000000002</v>
      </c>
      <c r="I258" s="30">
        <f t="shared" si="5"/>
        <v>2073.5</v>
      </c>
      <c r="J258" s="6" t="s">
        <v>589</v>
      </c>
      <c r="K258" s="17"/>
    </row>
    <row r="259" spans="1:11" ht="13.95" customHeight="1" x14ac:dyDescent="0.3">
      <c r="A259" s="3">
        <v>45884</v>
      </c>
      <c r="B259" s="3" t="s">
        <v>1723</v>
      </c>
      <c r="C259" s="19" t="s">
        <v>11</v>
      </c>
      <c r="D259" s="19" t="s">
        <v>829</v>
      </c>
      <c r="E259" s="4">
        <v>1</v>
      </c>
      <c r="F259" s="42">
        <v>2.75</v>
      </c>
      <c r="G259" s="45">
        <v>377</v>
      </c>
      <c r="H259" s="22">
        <v>2.2000000000000002</v>
      </c>
      <c r="I259" s="30">
        <f t="shared" si="5"/>
        <v>2280.8500000000004</v>
      </c>
      <c r="J259" s="6" t="s">
        <v>97</v>
      </c>
      <c r="K259" s="17"/>
    </row>
    <row r="260" spans="1:11" ht="13.95" customHeight="1" x14ac:dyDescent="0.3">
      <c r="A260" s="3">
        <v>45885</v>
      </c>
      <c r="B260" s="3" t="s">
        <v>1723</v>
      </c>
      <c r="C260" s="19" t="s">
        <v>13</v>
      </c>
      <c r="D260" s="19" t="s">
        <v>829</v>
      </c>
      <c r="E260" s="4">
        <v>1</v>
      </c>
      <c r="F260" s="42">
        <v>3.15</v>
      </c>
      <c r="G260" s="45">
        <v>377</v>
      </c>
      <c r="H260" s="22">
        <v>2.2000000000000002</v>
      </c>
      <c r="I260" s="30">
        <f t="shared" si="5"/>
        <v>2612.61</v>
      </c>
      <c r="J260" s="6" t="s">
        <v>1364</v>
      </c>
      <c r="K260" s="17"/>
    </row>
    <row r="261" spans="1:11" ht="13.95" customHeight="1" x14ac:dyDescent="0.3">
      <c r="A261" s="3">
        <v>45886</v>
      </c>
      <c r="B261" s="3" t="s">
        <v>1723</v>
      </c>
      <c r="C261" s="19" t="s">
        <v>16</v>
      </c>
      <c r="D261" s="19" t="s">
        <v>829</v>
      </c>
      <c r="E261" s="4">
        <v>1</v>
      </c>
      <c r="F261" s="42">
        <v>2.85</v>
      </c>
      <c r="G261" s="45">
        <v>377</v>
      </c>
      <c r="H261" s="22">
        <v>2.2000000000000002</v>
      </c>
      <c r="I261" s="30">
        <f t="shared" ref="I261:I324" si="6">(G261*E261)*F261*H261</f>
        <v>2363.7900000000004</v>
      </c>
      <c r="J261" s="6" t="s">
        <v>139</v>
      </c>
      <c r="K261" s="17"/>
    </row>
    <row r="262" spans="1:11" ht="13.95" customHeight="1" x14ac:dyDescent="0.3">
      <c r="A262" s="3">
        <v>45887</v>
      </c>
      <c r="B262" s="3" t="s">
        <v>1723</v>
      </c>
      <c r="C262" s="19" t="s">
        <v>18</v>
      </c>
      <c r="D262" s="19" t="s">
        <v>1347</v>
      </c>
      <c r="E262" s="4">
        <v>0.98</v>
      </c>
      <c r="F262" s="42">
        <v>2.4500000000000002</v>
      </c>
      <c r="G262" s="45">
        <v>377</v>
      </c>
      <c r="H262" s="22">
        <v>2.2000000000000002</v>
      </c>
      <c r="I262" s="30">
        <f t="shared" si="6"/>
        <v>1991.3894000000003</v>
      </c>
      <c r="J262" s="6" t="s">
        <v>589</v>
      </c>
      <c r="K262" s="17"/>
    </row>
    <row r="263" spans="1:11" ht="13.95" customHeight="1" x14ac:dyDescent="0.3">
      <c r="A263" s="3">
        <v>45888</v>
      </c>
      <c r="B263" s="3" t="s">
        <v>1723</v>
      </c>
      <c r="C263" s="19" t="s">
        <v>20</v>
      </c>
      <c r="D263" s="19" t="s">
        <v>1347</v>
      </c>
      <c r="E263" s="4">
        <v>0.95</v>
      </c>
      <c r="F263" s="42">
        <v>2.4500000000000002</v>
      </c>
      <c r="G263" s="45">
        <v>377</v>
      </c>
      <c r="H263" s="22">
        <v>2.2000000000000002</v>
      </c>
      <c r="I263" s="30">
        <f t="shared" si="6"/>
        <v>1930.4285</v>
      </c>
      <c r="J263" s="6" t="s">
        <v>589</v>
      </c>
      <c r="K263" s="17"/>
    </row>
    <row r="264" spans="1:11" ht="13.95" customHeight="1" x14ac:dyDescent="0.3">
      <c r="A264" s="3">
        <v>45889</v>
      </c>
      <c r="B264" s="3" t="s">
        <v>1723</v>
      </c>
      <c r="C264" s="19" t="s">
        <v>5</v>
      </c>
      <c r="D264" s="19" t="s">
        <v>1347</v>
      </c>
      <c r="E264" s="4">
        <v>0.95</v>
      </c>
      <c r="F264" s="42">
        <v>2.4500000000000002</v>
      </c>
      <c r="G264" s="45">
        <v>377</v>
      </c>
      <c r="H264" s="22">
        <v>2.2000000000000002</v>
      </c>
      <c r="I264" s="30">
        <f t="shared" si="6"/>
        <v>1930.4285</v>
      </c>
      <c r="J264" s="6" t="s">
        <v>589</v>
      </c>
      <c r="K264" s="17"/>
    </row>
    <row r="265" spans="1:11" ht="13.95" customHeight="1" x14ac:dyDescent="0.3">
      <c r="A265" s="3">
        <v>45890</v>
      </c>
      <c r="B265" s="3" t="s">
        <v>1723</v>
      </c>
      <c r="C265" s="19" t="s">
        <v>8</v>
      </c>
      <c r="D265" s="19" t="s">
        <v>1347</v>
      </c>
      <c r="E265" s="4">
        <v>0.98</v>
      </c>
      <c r="F265" s="42">
        <v>2.5</v>
      </c>
      <c r="G265" s="45">
        <v>377</v>
      </c>
      <c r="H265" s="22">
        <v>2.2000000000000002</v>
      </c>
      <c r="I265" s="30">
        <f t="shared" si="6"/>
        <v>2032.0300000000002</v>
      </c>
      <c r="J265" s="6" t="s">
        <v>589</v>
      </c>
      <c r="K265" s="17"/>
    </row>
    <row r="266" spans="1:11" ht="13.95" customHeight="1" x14ac:dyDescent="0.3">
      <c r="A266" s="3">
        <v>45891</v>
      </c>
      <c r="B266" s="3" t="s">
        <v>1723</v>
      </c>
      <c r="C266" s="19" t="s">
        <v>11</v>
      </c>
      <c r="D266" s="19" t="s">
        <v>829</v>
      </c>
      <c r="E266" s="4">
        <v>1</v>
      </c>
      <c r="F266" s="42">
        <v>2.75</v>
      </c>
      <c r="G266" s="45">
        <v>377</v>
      </c>
      <c r="H266" s="22">
        <v>2.2000000000000002</v>
      </c>
      <c r="I266" s="30">
        <f t="shared" si="6"/>
        <v>2280.8500000000004</v>
      </c>
      <c r="J266" s="6" t="s">
        <v>97</v>
      </c>
      <c r="K266" s="17"/>
    </row>
    <row r="267" spans="1:11" ht="13.95" customHeight="1" x14ac:dyDescent="0.3">
      <c r="A267" s="3">
        <v>45892</v>
      </c>
      <c r="B267" s="3" t="s">
        <v>1723</v>
      </c>
      <c r="C267" s="19" t="s">
        <v>13</v>
      </c>
      <c r="D267" s="19" t="s">
        <v>829</v>
      </c>
      <c r="E267" s="4">
        <v>1</v>
      </c>
      <c r="F267" s="42">
        <v>3.15</v>
      </c>
      <c r="G267" s="45">
        <v>377</v>
      </c>
      <c r="H267" s="22">
        <v>2.2000000000000002</v>
      </c>
      <c r="I267" s="30">
        <f t="shared" si="6"/>
        <v>2612.61</v>
      </c>
      <c r="J267" s="6" t="s">
        <v>1700</v>
      </c>
      <c r="K267" s="17"/>
    </row>
    <row r="268" spans="1:11" ht="13.95" customHeight="1" x14ac:dyDescent="0.3">
      <c r="A268" s="3">
        <v>45893</v>
      </c>
      <c r="B268" s="3" t="s">
        <v>1723</v>
      </c>
      <c r="C268" s="19" t="s">
        <v>16</v>
      </c>
      <c r="D268" s="19" t="s">
        <v>829</v>
      </c>
      <c r="E268" s="4">
        <v>1</v>
      </c>
      <c r="F268" s="42">
        <v>2.85</v>
      </c>
      <c r="G268" s="45">
        <v>377</v>
      </c>
      <c r="H268" s="22">
        <v>2.2000000000000002</v>
      </c>
      <c r="I268" s="30">
        <f t="shared" si="6"/>
        <v>2363.7900000000004</v>
      </c>
      <c r="J268" s="6" t="s">
        <v>149</v>
      </c>
      <c r="K268" s="17"/>
    </row>
    <row r="269" spans="1:11" ht="13.95" customHeight="1" x14ac:dyDescent="0.3">
      <c r="A269" s="3">
        <v>45894</v>
      </c>
      <c r="B269" s="3" t="s">
        <v>1723</v>
      </c>
      <c r="C269" s="19" t="s">
        <v>18</v>
      </c>
      <c r="D269" s="19" t="s">
        <v>1347</v>
      </c>
      <c r="E269" s="4">
        <v>0.95</v>
      </c>
      <c r="F269" s="42">
        <v>2.5</v>
      </c>
      <c r="G269" s="45">
        <v>377</v>
      </c>
      <c r="H269" s="22">
        <v>2.2000000000000002</v>
      </c>
      <c r="I269" s="30">
        <f t="shared" si="6"/>
        <v>1969.825</v>
      </c>
      <c r="J269" s="6" t="s">
        <v>1696</v>
      </c>
      <c r="K269" s="17"/>
    </row>
    <row r="270" spans="1:11" ht="13.95" customHeight="1" x14ac:dyDescent="0.3">
      <c r="A270" s="3">
        <v>45895</v>
      </c>
      <c r="B270" s="3" t="s">
        <v>1723</v>
      </c>
      <c r="C270" s="19" t="s">
        <v>20</v>
      </c>
      <c r="D270" s="19" t="s">
        <v>1347</v>
      </c>
      <c r="E270" s="4">
        <v>0.92</v>
      </c>
      <c r="F270" s="42">
        <v>2.4500000000000002</v>
      </c>
      <c r="G270" s="45">
        <v>377</v>
      </c>
      <c r="H270" s="22">
        <v>2.2000000000000002</v>
      </c>
      <c r="I270" s="30">
        <f t="shared" si="6"/>
        <v>1869.4676000000004</v>
      </c>
      <c r="J270" s="6" t="s">
        <v>589</v>
      </c>
      <c r="K270" s="17"/>
    </row>
    <row r="271" spans="1:11" ht="13.95" customHeight="1" x14ac:dyDescent="0.3">
      <c r="A271" s="3">
        <v>45896</v>
      </c>
      <c r="B271" s="3" t="s">
        <v>1723</v>
      </c>
      <c r="C271" s="19" t="s">
        <v>5</v>
      </c>
      <c r="D271" s="19" t="s">
        <v>1347</v>
      </c>
      <c r="E271" s="4">
        <v>0.9</v>
      </c>
      <c r="F271" s="42">
        <v>2.4</v>
      </c>
      <c r="G271" s="45">
        <v>377</v>
      </c>
      <c r="H271" s="22">
        <v>2.2000000000000002</v>
      </c>
      <c r="I271" s="30">
        <f t="shared" si="6"/>
        <v>1791.5040000000004</v>
      </c>
      <c r="J271" s="6" t="s">
        <v>589</v>
      </c>
      <c r="K271" s="17"/>
    </row>
    <row r="272" spans="1:11" ht="13.95" customHeight="1" x14ac:dyDescent="0.3">
      <c r="A272" s="3">
        <v>45897</v>
      </c>
      <c r="B272" s="3" t="s">
        <v>1723</v>
      </c>
      <c r="C272" s="19" t="s">
        <v>8</v>
      </c>
      <c r="D272" s="19" t="s">
        <v>1347</v>
      </c>
      <c r="E272" s="4">
        <v>0.92</v>
      </c>
      <c r="F272" s="42">
        <v>2.4500000000000002</v>
      </c>
      <c r="G272" s="45">
        <v>377</v>
      </c>
      <c r="H272" s="22">
        <v>2.2000000000000002</v>
      </c>
      <c r="I272" s="30">
        <f t="shared" si="6"/>
        <v>1869.4676000000004</v>
      </c>
      <c r="J272" s="6" t="s">
        <v>589</v>
      </c>
      <c r="K272" s="17"/>
    </row>
    <row r="273" spans="1:11" ht="13.95" customHeight="1" x14ac:dyDescent="0.3">
      <c r="A273" s="3">
        <v>45898</v>
      </c>
      <c r="B273" s="3" t="s">
        <v>1723</v>
      </c>
      <c r="C273" s="19" t="s">
        <v>11</v>
      </c>
      <c r="D273" s="19" t="s">
        <v>14</v>
      </c>
      <c r="E273" s="4">
        <v>0.98</v>
      </c>
      <c r="F273" s="42">
        <v>2.75</v>
      </c>
      <c r="G273" s="45">
        <v>377</v>
      </c>
      <c r="H273" s="22">
        <v>2.2000000000000002</v>
      </c>
      <c r="I273" s="30">
        <f t="shared" si="6"/>
        <v>2235.2330000000002</v>
      </c>
      <c r="J273" s="6" t="s">
        <v>480</v>
      </c>
      <c r="K273" s="17"/>
    </row>
    <row r="274" spans="1:11" ht="13.95" customHeight="1" x14ac:dyDescent="0.3">
      <c r="A274" s="3">
        <v>45899</v>
      </c>
      <c r="B274" s="3" t="s">
        <v>1723</v>
      </c>
      <c r="C274" s="19" t="s">
        <v>13</v>
      </c>
      <c r="D274" s="19" t="s">
        <v>14</v>
      </c>
      <c r="E274" s="4">
        <v>1</v>
      </c>
      <c r="F274" s="42">
        <v>3.25</v>
      </c>
      <c r="G274" s="45">
        <v>377</v>
      </c>
      <c r="H274" s="22">
        <v>2.2000000000000002</v>
      </c>
      <c r="I274" s="30">
        <f t="shared" si="6"/>
        <v>2695.55</v>
      </c>
      <c r="J274" s="6" t="s">
        <v>1435</v>
      </c>
      <c r="K274" s="17"/>
    </row>
    <row r="275" spans="1:11" ht="13.95" customHeight="1" x14ac:dyDescent="0.3">
      <c r="A275" s="3">
        <v>45900</v>
      </c>
      <c r="B275" s="3" t="s">
        <v>1723</v>
      </c>
      <c r="C275" s="19" t="s">
        <v>16</v>
      </c>
      <c r="D275" s="19" t="s">
        <v>14</v>
      </c>
      <c r="E275" s="4">
        <v>1</v>
      </c>
      <c r="F275" s="42">
        <v>2.85</v>
      </c>
      <c r="G275" s="45">
        <v>377</v>
      </c>
      <c r="H275" s="22">
        <v>2.2000000000000002</v>
      </c>
      <c r="I275" s="30">
        <f t="shared" si="6"/>
        <v>2363.7900000000004</v>
      </c>
      <c r="J275" s="6" t="s">
        <v>1697</v>
      </c>
      <c r="K275" s="17"/>
    </row>
    <row r="276" spans="1:11" ht="13.95" customHeight="1" x14ac:dyDescent="0.3">
      <c r="A276" s="3">
        <v>45931</v>
      </c>
      <c r="B276" s="3" t="s">
        <v>1723</v>
      </c>
      <c r="C276" s="19" t="s">
        <v>5</v>
      </c>
      <c r="D276" s="19" t="s">
        <v>1259</v>
      </c>
      <c r="E276" s="4">
        <v>0.55000000000000004</v>
      </c>
      <c r="F276" s="42">
        <v>1.85</v>
      </c>
      <c r="G276" s="45">
        <v>377</v>
      </c>
      <c r="H276" s="22">
        <v>2.2000000000000002</v>
      </c>
      <c r="I276" s="30">
        <f t="shared" si="6"/>
        <v>843.9145000000002</v>
      </c>
      <c r="J276" s="6" t="s">
        <v>1702</v>
      </c>
      <c r="K276" s="17"/>
    </row>
    <row r="277" spans="1:11" ht="13.95" customHeight="1" x14ac:dyDescent="0.3">
      <c r="A277" s="3">
        <v>45932</v>
      </c>
      <c r="B277" s="3" t="s">
        <v>1723</v>
      </c>
      <c r="C277" s="19" t="s">
        <v>8</v>
      </c>
      <c r="D277" s="19" t="s">
        <v>1263</v>
      </c>
      <c r="E277" s="4">
        <v>0.62</v>
      </c>
      <c r="F277" s="42">
        <v>2.0499999999999998</v>
      </c>
      <c r="G277" s="45">
        <v>377</v>
      </c>
      <c r="H277" s="22">
        <v>2.2000000000000002</v>
      </c>
      <c r="I277" s="30">
        <f t="shared" si="6"/>
        <v>1054.1674</v>
      </c>
      <c r="J277" s="6" t="s">
        <v>1703</v>
      </c>
      <c r="K277" s="17"/>
    </row>
    <row r="278" spans="1:11" ht="13.95" customHeight="1" x14ac:dyDescent="0.3">
      <c r="A278" s="3">
        <v>45933</v>
      </c>
      <c r="B278" s="3" t="s">
        <v>1723</v>
      </c>
      <c r="C278" s="19" t="s">
        <v>11</v>
      </c>
      <c r="D278" s="19" t="s">
        <v>14</v>
      </c>
      <c r="E278" s="4">
        <v>0.7</v>
      </c>
      <c r="F278" s="42">
        <v>2.15</v>
      </c>
      <c r="G278" s="45">
        <v>377</v>
      </c>
      <c r="H278" s="22">
        <v>2.2000000000000002</v>
      </c>
      <c r="I278" s="30">
        <f t="shared" si="6"/>
        <v>1248.2469999999998</v>
      </c>
      <c r="J278" s="6" t="s">
        <v>282</v>
      </c>
      <c r="K278" s="17"/>
    </row>
    <row r="279" spans="1:11" ht="13.95" customHeight="1" x14ac:dyDescent="0.3">
      <c r="A279" s="3">
        <v>45934</v>
      </c>
      <c r="B279" s="3" t="s">
        <v>1723</v>
      </c>
      <c r="C279" s="19" t="s">
        <v>13</v>
      </c>
      <c r="D279" s="19" t="s">
        <v>14</v>
      </c>
      <c r="E279" s="4">
        <v>0.85</v>
      </c>
      <c r="F279" s="42">
        <v>2.5499999999999998</v>
      </c>
      <c r="G279" s="45">
        <v>377</v>
      </c>
      <c r="H279" s="22">
        <v>2.2000000000000002</v>
      </c>
      <c r="I279" s="30">
        <f t="shared" si="6"/>
        <v>1797.7245</v>
      </c>
      <c r="J279" s="6" t="s">
        <v>1346</v>
      </c>
      <c r="K279" s="17"/>
    </row>
    <row r="280" spans="1:11" ht="13.95" customHeight="1" x14ac:dyDescent="0.3">
      <c r="A280" s="3">
        <v>45935</v>
      </c>
      <c r="B280" s="3" t="s">
        <v>1723</v>
      </c>
      <c r="C280" s="19" t="s">
        <v>16</v>
      </c>
      <c r="D280" s="19" t="s">
        <v>14</v>
      </c>
      <c r="E280" s="4">
        <v>0.75</v>
      </c>
      <c r="F280" s="42">
        <v>2.25</v>
      </c>
      <c r="G280" s="45">
        <v>377</v>
      </c>
      <c r="H280" s="22">
        <v>2.2000000000000002</v>
      </c>
      <c r="I280" s="30">
        <f t="shared" si="6"/>
        <v>1399.6125000000002</v>
      </c>
      <c r="J280" s="6" t="s">
        <v>139</v>
      </c>
      <c r="K280" s="17"/>
    </row>
    <row r="281" spans="1:11" ht="13.95" customHeight="1" x14ac:dyDescent="0.3">
      <c r="A281" s="3">
        <v>45936</v>
      </c>
      <c r="B281" s="3" t="s">
        <v>1723</v>
      </c>
      <c r="C281" s="19" t="s">
        <v>18</v>
      </c>
      <c r="D281" s="19" t="s">
        <v>1259</v>
      </c>
      <c r="E281" s="4">
        <v>0.45</v>
      </c>
      <c r="F281" s="42">
        <v>1.8</v>
      </c>
      <c r="G281" s="45">
        <v>377</v>
      </c>
      <c r="H281" s="22">
        <v>2.2000000000000002</v>
      </c>
      <c r="I281" s="30">
        <f t="shared" si="6"/>
        <v>671.81400000000008</v>
      </c>
      <c r="J281" s="6" t="s">
        <v>150</v>
      </c>
      <c r="K281" s="17"/>
    </row>
    <row r="282" spans="1:11" ht="13.95" customHeight="1" x14ac:dyDescent="0.3">
      <c r="A282" s="3">
        <v>45937</v>
      </c>
      <c r="B282" s="3" t="s">
        <v>1723</v>
      </c>
      <c r="C282" s="19" t="s">
        <v>20</v>
      </c>
      <c r="D282" s="19" t="s">
        <v>1259</v>
      </c>
      <c r="E282" s="4">
        <v>0.42</v>
      </c>
      <c r="F282" s="42">
        <v>1.8</v>
      </c>
      <c r="G282" s="45">
        <v>377</v>
      </c>
      <c r="H282" s="22">
        <v>2.2000000000000002</v>
      </c>
      <c r="I282" s="30">
        <f t="shared" si="6"/>
        <v>627.02640000000008</v>
      </c>
      <c r="J282" s="6" t="s">
        <v>150</v>
      </c>
      <c r="K282" s="17"/>
    </row>
    <row r="283" spans="1:11" ht="13.95" customHeight="1" x14ac:dyDescent="0.3">
      <c r="A283" s="3">
        <v>45938</v>
      </c>
      <c r="B283" s="3" t="s">
        <v>1723</v>
      </c>
      <c r="C283" s="19" t="s">
        <v>5</v>
      </c>
      <c r="D283" s="19" t="s">
        <v>1259</v>
      </c>
      <c r="E283" s="4">
        <v>0.45</v>
      </c>
      <c r="F283" s="42">
        <v>1.85</v>
      </c>
      <c r="G283" s="45">
        <v>377</v>
      </c>
      <c r="H283" s="22">
        <v>2.2000000000000002</v>
      </c>
      <c r="I283" s="30">
        <f t="shared" si="6"/>
        <v>690.47550000000012</v>
      </c>
      <c r="J283" s="6" t="s">
        <v>71</v>
      </c>
      <c r="K283" s="17"/>
    </row>
    <row r="284" spans="1:11" ht="13.95" customHeight="1" x14ac:dyDescent="0.3">
      <c r="A284" s="3">
        <v>45939</v>
      </c>
      <c r="B284" s="3" t="s">
        <v>1723</v>
      </c>
      <c r="C284" s="19" t="s">
        <v>8</v>
      </c>
      <c r="D284" s="19" t="s">
        <v>1263</v>
      </c>
      <c r="E284" s="4">
        <v>0.65</v>
      </c>
      <c r="F284" s="42">
        <v>2.0499999999999998</v>
      </c>
      <c r="G284" s="45">
        <v>377</v>
      </c>
      <c r="H284" s="22">
        <v>2.2000000000000002</v>
      </c>
      <c r="I284" s="30">
        <f t="shared" si="6"/>
        <v>1105.1755000000001</v>
      </c>
      <c r="J284" s="6" t="s">
        <v>1704</v>
      </c>
      <c r="K284" s="17"/>
    </row>
    <row r="285" spans="1:11" ht="13.95" customHeight="1" x14ac:dyDescent="0.3">
      <c r="A285" s="3">
        <v>45940</v>
      </c>
      <c r="B285" s="3" t="s">
        <v>1723</v>
      </c>
      <c r="C285" s="19" t="s">
        <v>11</v>
      </c>
      <c r="D285" s="19" t="s">
        <v>14</v>
      </c>
      <c r="E285" s="4">
        <v>0.72</v>
      </c>
      <c r="F285" s="42">
        <v>2.15</v>
      </c>
      <c r="G285" s="45">
        <v>377</v>
      </c>
      <c r="H285" s="22">
        <v>2.2000000000000002</v>
      </c>
      <c r="I285" s="30">
        <f t="shared" si="6"/>
        <v>1283.9112</v>
      </c>
      <c r="J285" s="6" t="s">
        <v>67</v>
      </c>
      <c r="K285" s="17"/>
    </row>
    <row r="286" spans="1:11" ht="13.95" customHeight="1" x14ac:dyDescent="0.3">
      <c r="A286" s="3">
        <v>45941</v>
      </c>
      <c r="B286" s="3" t="s">
        <v>1723</v>
      </c>
      <c r="C286" s="19" t="s">
        <v>13</v>
      </c>
      <c r="D286" s="19" t="s">
        <v>14</v>
      </c>
      <c r="E286" s="4">
        <v>0.88</v>
      </c>
      <c r="F286" s="42">
        <v>2.6</v>
      </c>
      <c r="G286" s="45">
        <v>377</v>
      </c>
      <c r="H286" s="22">
        <v>2.2000000000000002</v>
      </c>
      <c r="I286" s="30">
        <f t="shared" si="6"/>
        <v>1897.6672000000001</v>
      </c>
      <c r="J286" s="6" t="s">
        <v>1705</v>
      </c>
      <c r="K286" s="17"/>
    </row>
    <row r="287" spans="1:11" ht="13.95" customHeight="1" x14ac:dyDescent="0.3">
      <c r="A287" s="3">
        <v>45942</v>
      </c>
      <c r="B287" s="3" t="s">
        <v>1723</v>
      </c>
      <c r="C287" s="19" t="s">
        <v>16</v>
      </c>
      <c r="D287" s="19" t="s">
        <v>14</v>
      </c>
      <c r="E287" s="4">
        <v>0.78</v>
      </c>
      <c r="F287" s="42">
        <v>2.25</v>
      </c>
      <c r="G287" s="45">
        <v>377</v>
      </c>
      <c r="H287" s="22">
        <v>2.2000000000000002</v>
      </c>
      <c r="I287" s="30">
        <f t="shared" si="6"/>
        <v>1455.5970000000002</v>
      </c>
      <c r="J287" s="6" t="s">
        <v>149</v>
      </c>
      <c r="K287" s="17"/>
    </row>
    <row r="288" spans="1:11" ht="13.95" customHeight="1" x14ac:dyDescent="0.3">
      <c r="A288" s="3">
        <v>45943</v>
      </c>
      <c r="B288" s="3" t="s">
        <v>1723</v>
      </c>
      <c r="C288" s="19" t="s">
        <v>18</v>
      </c>
      <c r="D288" s="19" t="s">
        <v>1259</v>
      </c>
      <c r="E288" s="4">
        <v>0.5</v>
      </c>
      <c r="F288" s="42">
        <v>1.85</v>
      </c>
      <c r="G288" s="45">
        <v>377</v>
      </c>
      <c r="H288" s="22">
        <v>2.2000000000000002</v>
      </c>
      <c r="I288" s="30">
        <f t="shared" si="6"/>
        <v>767.19500000000016</v>
      </c>
      <c r="J288" s="6" t="s">
        <v>70</v>
      </c>
      <c r="K288" s="17"/>
    </row>
    <row r="289" spans="1:11" ht="13.95" customHeight="1" x14ac:dyDescent="0.3">
      <c r="A289" s="3">
        <v>45944</v>
      </c>
      <c r="B289" s="3" t="s">
        <v>1723</v>
      </c>
      <c r="C289" s="19" t="s">
        <v>20</v>
      </c>
      <c r="D289" s="19" t="s">
        <v>994</v>
      </c>
      <c r="E289" s="4">
        <v>0.65</v>
      </c>
      <c r="F289" s="42">
        <v>2</v>
      </c>
      <c r="G289" s="45">
        <v>377</v>
      </c>
      <c r="H289" s="22">
        <v>2.2000000000000002</v>
      </c>
      <c r="I289" s="30">
        <f t="shared" si="6"/>
        <v>1078.22</v>
      </c>
      <c r="J289" s="6" t="s">
        <v>1706</v>
      </c>
      <c r="K289" s="17"/>
    </row>
    <row r="290" spans="1:11" ht="13.95" customHeight="1" x14ac:dyDescent="0.3">
      <c r="A290" s="3">
        <v>45945</v>
      </c>
      <c r="B290" s="3" t="s">
        <v>1723</v>
      </c>
      <c r="C290" s="19" t="s">
        <v>5</v>
      </c>
      <c r="D290" s="19" t="s">
        <v>865</v>
      </c>
      <c r="E290" s="4">
        <v>0.85</v>
      </c>
      <c r="F290" s="42">
        <v>2.4</v>
      </c>
      <c r="G290" s="45">
        <v>377</v>
      </c>
      <c r="H290" s="22">
        <v>2.2000000000000002</v>
      </c>
      <c r="I290" s="30">
        <f t="shared" si="6"/>
        <v>1691.9759999999999</v>
      </c>
      <c r="J290" s="6" t="s">
        <v>1707</v>
      </c>
      <c r="K290" s="17"/>
    </row>
    <row r="291" spans="1:11" ht="13.95" customHeight="1" x14ac:dyDescent="0.3">
      <c r="A291" s="3">
        <v>45946</v>
      </c>
      <c r="B291" s="3" t="s">
        <v>1723</v>
      </c>
      <c r="C291" s="19" t="s">
        <v>8</v>
      </c>
      <c r="D291" s="19" t="s">
        <v>44</v>
      </c>
      <c r="E291" s="4">
        <v>0.6</v>
      </c>
      <c r="F291" s="42">
        <v>1.95</v>
      </c>
      <c r="G291" s="45">
        <v>377</v>
      </c>
      <c r="H291" s="22">
        <v>2.2000000000000002</v>
      </c>
      <c r="I291" s="30">
        <f t="shared" si="6"/>
        <v>970.39800000000002</v>
      </c>
      <c r="J291" s="6" t="s">
        <v>774</v>
      </c>
      <c r="K291" s="17"/>
    </row>
    <row r="292" spans="1:11" ht="13.95" customHeight="1" x14ac:dyDescent="0.3">
      <c r="A292" s="3">
        <v>45947</v>
      </c>
      <c r="B292" s="3" t="s">
        <v>1723</v>
      </c>
      <c r="C292" s="19" t="s">
        <v>11</v>
      </c>
      <c r="D292" s="19" t="s">
        <v>1434</v>
      </c>
      <c r="E292" s="4">
        <v>0.75</v>
      </c>
      <c r="F292" s="42">
        <v>2.2000000000000002</v>
      </c>
      <c r="G292" s="45">
        <v>377</v>
      </c>
      <c r="H292" s="22">
        <v>2.2000000000000002</v>
      </c>
      <c r="I292" s="30">
        <f t="shared" si="6"/>
        <v>1368.5100000000002</v>
      </c>
      <c r="J292" s="6" t="s">
        <v>1461</v>
      </c>
      <c r="K292" s="17"/>
    </row>
    <row r="293" spans="1:11" ht="13.95" customHeight="1" x14ac:dyDescent="0.3">
      <c r="A293" s="3">
        <v>45948</v>
      </c>
      <c r="B293" s="3" t="s">
        <v>1723</v>
      </c>
      <c r="C293" s="19" t="s">
        <v>13</v>
      </c>
      <c r="D293" s="19" t="s">
        <v>1434</v>
      </c>
      <c r="E293" s="4">
        <v>0.9</v>
      </c>
      <c r="F293" s="42">
        <v>2.65</v>
      </c>
      <c r="G293" s="45">
        <v>377</v>
      </c>
      <c r="H293" s="22">
        <v>2.2000000000000002</v>
      </c>
      <c r="I293" s="30">
        <f t="shared" si="6"/>
        <v>1978.1190000000001</v>
      </c>
      <c r="J293" s="6" t="s">
        <v>1323</v>
      </c>
      <c r="K293" s="17"/>
    </row>
    <row r="294" spans="1:11" ht="13.95" customHeight="1" x14ac:dyDescent="0.3">
      <c r="A294" s="3">
        <v>45949</v>
      </c>
      <c r="B294" s="3" t="s">
        <v>1723</v>
      </c>
      <c r="C294" s="19" t="s">
        <v>16</v>
      </c>
      <c r="D294" s="19" t="s">
        <v>1434</v>
      </c>
      <c r="E294" s="4">
        <v>0.85</v>
      </c>
      <c r="F294" s="42">
        <v>2.35</v>
      </c>
      <c r="G294" s="45">
        <v>377</v>
      </c>
      <c r="H294" s="22">
        <v>2.2000000000000002</v>
      </c>
      <c r="I294" s="30">
        <f t="shared" si="6"/>
        <v>1656.7265000000002</v>
      </c>
      <c r="J294" s="6" t="s">
        <v>1275</v>
      </c>
      <c r="K294" s="17"/>
    </row>
    <row r="295" spans="1:11" ht="13.95" customHeight="1" x14ac:dyDescent="0.3">
      <c r="A295" s="3">
        <v>45950</v>
      </c>
      <c r="B295" s="3" t="s">
        <v>1723</v>
      </c>
      <c r="C295" s="19" t="s">
        <v>18</v>
      </c>
      <c r="D295" s="19" t="s">
        <v>1434</v>
      </c>
      <c r="E295" s="4">
        <v>0.8</v>
      </c>
      <c r="F295" s="42">
        <v>2.15</v>
      </c>
      <c r="G295" s="45">
        <v>377</v>
      </c>
      <c r="H295" s="22">
        <v>2.2000000000000002</v>
      </c>
      <c r="I295" s="30">
        <f t="shared" si="6"/>
        <v>1426.5680000000002</v>
      </c>
      <c r="J295" s="6" t="s">
        <v>1708</v>
      </c>
      <c r="K295" s="17"/>
    </row>
    <row r="296" spans="1:11" ht="13.95" customHeight="1" x14ac:dyDescent="0.3">
      <c r="A296" s="3">
        <v>45951</v>
      </c>
      <c r="B296" s="3" t="s">
        <v>1723</v>
      </c>
      <c r="C296" s="19" t="s">
        <v>20</v>
      </c>
      <c r="D296" s="19" t="s">
        <v>1434</v>
      </c>
      <c r="E296" s="4">
        <v>0.78</v>
      </c>
      <c r="F296" s="42">
        <v>2.15</v>
      </c>
      <c r="G296" s="45">
        <v>377</v>
      </c>
      <c r="H296" s="22">
        <v>2.2000000000000002</v>
      </c>
      <c r="I296" s="30">
        <f t="shared" si="6"/>
        <v>1390.9038</v>
      </c>
      <c r="J296" s="6" t="s">
        <v>1708</v>
      </c>
      <c r="K296" s="17"/>
    </row>
    <row r="297" spans="1:11" ht="13.95" customHeight="1" x14ac:dyDescent="0.3">
      <c r="A297" s="3">
        <v>45952</v>
      </c>
      <c r="B297" s="3" t="s">
        <v>1723</v>
      </c>
      <c r="C297" s="19" t="s">
        <v>5</v>
      </c>
      <c r="D297" s="19" t="s">
        <v>1434</v>
      </c>
      <c r="E297" s="4">
        <v>0.8</v>
      </c>
      <c r="F297" s="42">
        <v>2.15</v>
      </c>
      <c r="G297" s="45">
        <v>377</v>
      </c>
      <c r="H297" s="22">
        <v>2.2000000000000002</v>
      </c>
      <c r="I297" s="30">
        <f t="shared" si="6"/>
        <v>1426.5680000000002</v>
      </c>
      <c r="J297" s="6" t="s">
        <v>1708</v>
      </c>
      <c r="K297" s="17"/>
    </row>
    <row r="298" spans="1:11" ht="13.95" customHeight="1" x14ac:dyDescent="0.3">
      <c r="A298" s="3">
        <v>45953</v>
      </c>
      <c r="B298" s="3" t="s">
        <v>1723</v>
      </c>
      <c r="C298" s="19" t="s">
        <v>8</v>
      </c>
      <c r="D298" s="19" t="s">
        <v>1434</v>
      </c>
      <c r="E298" s="4">
        <v>0.82</v>
      </c>
      <c r="F298" s="42">
        <v>2.2000000000000002</v>
      </c>
      <c r="G298" s="45">
        <v>377</v>
      </c>
      <c r="H298" s="22">
        <v>2.2000000000000002</v>
      </c>
      <c r="I298" s="30">
        <f t="shared" si="6"/>
        <v>1496.2376000000002</v>
      </c>
      <c r="J298" s="6" t="s">
        <v>1709</v>
      </c>
      <c r="K298" s="17"/>
    </row>
    <row r="299" spans="1:11" ht="13.95" customHeight="1" x14ac:dyDescent="0.3">
      <c r="A299" s="3">
        <v>45954</v>
      </c>
      <c r="B299" s="3" t="s">
        <v>1723</v>
      </c>
      <c r="C299" s="19" t="s">
        <v>11</v>
      </c>
      <c r="D299" s="19" t="s">
        <v>14</v>
      </c>
      <c r="E299" s="4">
        <v>0.88</v>
      </c>
      <c r="F299" s="42">
        <v>2.35</v>
      </c>
      <c r="G299" s="45">
        <v>377</v>
      </c>
      <c r="H299" s="22">
        <v>2.2000000000000002</v>
      </c>
      <c r="I299" s="30">
        <f t="shared" si="6"/>
        <v>1715.1992</v>
      </c>
      <c r="J299" s="6" t="s">
        <v>1369</v>
      </c>
      <c r="K299" s="17"/>
    </row>
    <row r="300" spans="1:11" ht="13.95" customHeight="1" x14ac:dyDescent="0.3">
      <c r="A300" s="3">
        <v>45955</v>
      </c>
      <c r="B300" s="3" t="s">
        <v>1723</v>
      </c>
      <c r="C300" s="19" t="s">
        <v>13</v>
      </c>
      <c r="D300" s="19" t="s">
        <v>14</v>
      </c>
      <c r="E300" s="4">
        <v>0.95</v>
      </c>
      <c r="F300" s="42">
        <v>2.75</v>
      </c>
      <c r="G300" s="45">
        <v>377</v>
      </c>
      <c r="H300" s="22">
        <v>2.2000000000000002</v>
      </c>
      <c r="I300" s="30">
        <f t="shared" si="6"/>
        <v>2166.8074999999999</v>
      </c>
      <c r="J300" s="6" t="s">
        <v>1553</v>
      </c>
      <c r="K300" s="17"/>
    </row>
    <row r="301" spans="1:11" ht="13.95" customHeight="1" x14ac:dyDescent="0.3">
      <c r="A301" s="3">
        <v>45956</v>
      </c>
      <c r="B301" s="3" t="s">
        <v>1723</v>
      </c>
      <c r="C301" s="19" t="s">
        <v>16</v>
      </c>
      <c r="D301" s="19" t="s">
        <v>14</v>
      </c>
      <c r="E301" s="4">
        <v>0.9</v>
      </c>
      <c r="F301" s="42">
        <v>2.4500000000000002</v>
      </c>
      <c r="G301" s="45">
        <v>377</v>
      </c>
      <c r="H301" s="22">
        <v>2.2000000000000002</v>
      </c>
      <c r="I301" s="30">
        <f t="shared" si="6"/>
        <v>1828.8270000000002</v>
      </c>
      <c r="J301" s="6" t="s">
        <v>139</v>
      </c>
      <c r="K301" s="17"/>
    </row>
    <row r="302" spans="1:11" ht="13.95" customHeight="1" x14ac:dyDescent="0.3">
      <c r="A302" s="3">
        <v>45957</v>
      </c>
      <c r="B302" s="3" t="s">
        <v>1723</v>
      </c>
      <c r="C302" s="19" t="s">
        <v>18</v>
      </c>
      <c r="D302" s="19" t="s">
        <v>1259</v>
      </c>
      <c r="E302" s="4">
        <v>0.6</v>
      </c>
      <c r="F302" s="42">
        <v>1.9</v>
      </c>
      <c r="G302" s="45">
        <v>377</v>
      </c>
      <c r="H302" s="22">
        <v>2.2000000000000002</v>
      </c>
      <c r="I302" s="30">
        <f t="shared" si="6"/>
        <v>945.51599999999996</v>
      </c>
      <c r="J302" s="6" t="s">
        <v>1371</v>
      </c>
      <c r="K302" s="17"/>
    </row>
    <row r="303" spans="1:11" ht="13.95" customHeight="1" x14ac:dyDescent="0.3">
      <c r="A303" s="3">
        <v>45958</v>
      </c>
      <c r="B303" s="3" t="s">
        <v>1723</v>
      </c>
      <c r="C303" s="19" t="s">
        <v>20</v>
      </c>
      <c r="D303" s="19" t="s">
        <v>1259</v>
      </c>
      <c r="E303" s="4">
        <v>0.55000000000000004</v>
      </c>
      <c r="F303" s="42">
        <v>1.85</v>
      </c>
      <c r="G303" s="45">
        <v>377</v>
      </c>
      <c r="H303" s="22">
        <v>2.2000000000000002</v>
      </c>
      <c r="I303" s="30">
        <f t="shared" si="6"/>
        <v>843.9145000000002</v>
      </c>
      <c r="J303" s="6" t="s">
        <v>150</v>
      </c>
      <c r="K303" s="17"/>
    </row>
    <row r="304" spans="1:11" ht="13.95" customHeight="1" x14ac:dyDescent="0.3">
      <c r="A304" s="3">
        <v>45959</v>
      </c>
      <c r="B304" s="3" t="s">
        <v>1723</v>
      </c>
      <c r="C304" s="19" t="s">
        <v>5</v>
      </c>
      <c r="D304" s="19" t="s">
        <v>1259</v>
      </c>
      <c r="E304" s="4">
        <v>0.55000000000000004</v>
      </c>
      <c r="F304" s="42">
        <v>1.85</v>
      </c>
      <c r="G304" s="45">
        <v>377</v>
      </c>
      <c r="H304" s="22">
        <v>2.2000000000000002</v>
      </c>
      <c r="I304" s="30">
        <f t="shared" si="6"/>
        <v>843.9145000000002</v>
      </c>
      <c r="J304" s="6" t="s">
        <v>150</v>
      </c>
      <c r="K304" s="17"/>
    </row>
    <row r="305" spans="1:11" ht="13.95" customHeight="1" x14ac:dyDescent="0.3">
      <c r="A305" s="3">
        <v>45960</v>
      </c>
      <c r="B305" s="3" t="s">
        <v>1723</v>
      </c>
      <c r="C305" s="19" t="s">
        <v>8</v>
      </c>
      <c r="D305" s="19" t="s">
        <v>1465</v>
      </c>
      <c r="E305" s="4">
        <v>0.65</v>
      </c>
      <c r="F305" s="42">
        <v>2.0499999999999998</v>
      </c>
      <c r="G305" s="45">
        <v>377</v>
      </c>
      <c r="H305" s="22">
        <v>2.2000000000000002</v>
      </c>
      <c r="I305" s="30">
        <f t="shared" si="6"/>
        <v>1105.1755000000001</v>
      </c>
      <c r="J305" s="6" t="s">
        <v>1710</v>
      </c>
      <c r="K305" s="17"/>
    </row>
    <row r="306" spans="1:11" ht="13.95" customHeight="1" x14ac:dyDescent="0.3">
      <c r="A306" s="3">
        <v>45961</v>
      </c>
      <c r="B306" s="3" t="s">
        <v>1723</v>
      </c>
      <c r="C306" s="19" t="s">
        <v>11</v>
      </c>
      <c r="D306" s="19" t="s">
        <v>867</v>
      </c>
      <c r="E306" s="4">
        <v>0.82</v>
      </c>
      <c r="F306" s="42">
        <v>2.5</v>
      </c>
      <c r="G306" s="45">
        <v>377</v>
      </c>
      <c r="H306" s="22">
        <v>2.2000000000000002</v>
      </c>
      <c r="I306" s="30">
        <f t="shared" si="6"/>
        <v>1700.27</v>
      </c>
      <c r="J306" s="6" t="s">
        <v>1711</v>
      </c>
      <c r="K306" s="17"/>
    </row>
    <row r="307" spans="1:11" ht="13.95" customHeight="1" x14ac:dyDescent="0.3">
      <c r="A307" s="3">
        <v>45962</v>
      </c>
      <c r="B307" s="3" t="s">
        <v>1723</v>
      </c>
      <c r="C307" s="19" t="s">
        <v>13</v>
      </c>
      <c r="D307" s="19" t="s">
        <v>1467</v>
      </c>
      <c r="E307" s="4">
        <v>0.7</v>
      </c>
      <c r="F307" s="42">
        <v>2.25</v>
      </c>
      <c r="G307" s="45">
        <v>377</v>
      </c>
      <c r="H307" s="22">
        <v>2.2000000000000002</v>
      </c>
      <c r="I307" s="30">
        <f t="shared" si="6"/>
        <v>1306.3050000000001</v>
      </c>
      <c r="J307" s="6" t="s">
        <v>1620</v>
      </c>
      <c r="K307" s="17"/>
    </row>
    <row r="308" spans="1:11" ht="13.95" customHeight="1" x14ac:dyDescent="0.3">
      <c r="A308" s="3">
        <v>45963</v>
      </c>
      <c r="B308" s="3" t="s">
        <v>1723</v>
      </c>
      <c r="C308" s="19" t="s">
        <v>16</v>
      </c>
      <c r="D308" s="19" t="s">
        <v>14</v>
      </c>
      <c r="E308" s="4">
        <v>0.55000000000000004</v>
      </c>
      <c r="F308" s="42">
        <v>1.95</v>
      </c>
      <c r="G308" s="45">
        <v>377</v>
      </c>
      <c r="H308" s="22">
        <v>2.2000000000000002</v>
      </c>
      <c r="I308" s="30">
        <f t="shared" si="6"/>
        <v>889.53150000000016</v>
      </c>
      <c r="J308" s="6" t="s">
        <v>139</v>
      </c>
      <c r="K308" s="17"/>
    </row>
    <row r="309" spans="1:11" ht="13.95" customHeight="1" x14ac:dyDescent="0.3">
      <c r="A309" s="3">
        <v>45964</v>
      </c>
      <c r="B309" s="3" t="s">
        <v>1723</v>
      </c>
      <c r="C309" s="19" t="s">
        <v>18</v>
      </c>
      <c r="D309" s="19" t="s">
        <v>1259</v>
      </c>
      <c r="E309" s="4">
        <v>0.35</v>
      </c>
      <c r="F309" s="42">
        <v>1.75</v>
      </c>
      <c r="G309" s="45">
        <v>377</v>
      </c>
      <c r="H309" s="22">
        <v>2.2000000000000002</v>
      </c>
      <c r="I309" s="30">
        <f t="shared" si="6"/>
        <v>508.00749999999999</v>
      </c>
      <c r="J309" s="6" t="s">
        <v>150</v>
      </c>
      <c r="K309" s="17"/>
    </row>
    <row r="310" spans="1:11" ht="13.95" customHeight="1" x14ac:dyDescent="0.3">
      <c r="A310" s="3">
        <v>45965</v>
      </c>
      <c r="B310" s="3" t="s">
        <v>1723</v>
      </c>
      <c r="C310" s="19" t="s">
        <v>20</v>
      </c>
      <c r="D310" s="19" t="s">
        <v>1259</v>
      </c>
      <c r="E310" s="4">
        <v>0.3</v>
      </c>
      <c r="F310" s="42">
        <v>1.7</v>
      </c>
      <c r="G310" s="45">
        <v>377</v>
      </c>
      <c r="H310" s="22">
        <v>2.2000000000000002</v>
      </c>
      <c r="I310" s="30">
        <f t="shared" si="6"/>
        <v>422.99399999999997</v>
      </c>
      <c r="J310" s="6" t="s">
        <v>150</v>
      </c>
      <c r="K310" s="17"/>
    </row>
    <row r="311" spans="1:11" ht="13.95" customHeight="1" x14ac:dyDescent="0.3">
      <c r="A311" s="3">
        <v>45966</v>
      </c>
      <c r="B311" s="3" t="s">
        <v>1723</v>
      </c>
      <c r="C311" s="19" t="s">
        <v>5</v>
      </c>
      <c r="D311" s="19" t="s">
        <v>1259</v>
      </c>
      <c r="E311" s="4">
        <v>0.3</v>
      </c>
      <c r="F311" s="42">
        <v>1.7</v>
      </c>
      <c r="G311" s="45">
        <v>377</v>
      </c>
      <c r="H311" s="22">
        <v>2.2000000000000002</v>
      </c>
      <c r="I311" s="30">
        <f t="shared" si="6"/>
        <v>422.99399999999997</v>
      </c>
      <c r="J311" s="6" t="s">
        <v>71</v>
      </c>
      <c r="K311" s="17"/>
    </row>
    <row r="312" spans="1:11" ht="13.95" customHeight="1" x14ac:dyDescent="0.3">
      <c r="A312" s="3">
        <v>45967</v>
      </c>
      <c r="B312" s="3" t="s">
        <v>1723</v>
      </c>
      <c r="C312" s="19" t="s">
        <v>8</v>
      </c>
      <c r="D312" s="19" t="s">
        <v>1263</v>
      </c>
      <c r="E312" s="4">
        <v>0.55000000000000004</v>
      </c>
      <c r="F312" s="42">
        <v>1.9</v>
      </c>
      <c r="G312" s="45">
        <v>377</v>
      </c>
      <c r="H312" s="22">
        <v>2.2000000000000002</v>
      </c>
      <c r="I312" s="30">
        <f t="shared" si="6"/>
        <v>866.72300000000018</v>
      </c>
      <c r="J312" s="6" t="s">
        <v>1712</v>
      </c>
      <c r="K312" s="17"/>
    </row>
    <row r="313" spans="1:11" ht="13.95" customHeight="1" x14ac:dyDescent="0.3">
      <c r="A313" s="3">
        <v>45968</v>
      </c>
      <c r="B313" s="3" t="s">
        <v>1723</v>
      </c>
      <c r="C313" s="19" t="s">
        <v>11</v>
      </c>
      <c r="D313" s="19" t="s">
        <v>14</v>
      </c>
      <c r="E313" s="4">
        <v>0.6</v>
      </c>
      <c r="F313" s="42">
        <v>2.0499999999999998</v>
      </c>
      <c r="G313" s="45">
        <v>377</v>
      </c>
      <c r="H313" s="22">
        <v>2.2000000000000002</v>
      </c>
      <c r="I313" s="30">
        <f t="shared" si="6"/>
        <v>1020.1619999999999</v>
      </c>
      <c r="J313" s="6" t="s">
        <v>282</v>
      </c>
      <c r="K313" s="17"/>
    </row>
    <row r="314" spans="1:11" ht="13.95" customHeight="1" x14ac:dyDescent="0.3">
      <c r="A314" s="3">
        <v>45969</v>
      </c>
      <c r="B314" s="3" t="s">
        <v>1723</v>
      </c>
      <c r="C314" s="19" t="s">
        <v>13</v>
      </c>
      <c r="D314" s="19" t="s">
        <v>14</v>
      </c>
      <c r="E314" s="4">
        <v>0.75</v>
      </c>
      <c r="F314" s="42">
        <v>2.4500000000000002</v>
      </c>
      <c r="G314" s="45">
        <v>377</v>
      </c>
      <c r="H314" s="22">
        <v>2.2000000000000002</v>
      </c>
      <c r="I314" s="30">
        <f t="shared" si="6"/>
        <v>1524.0225000000003</v>
      </c>
      <c r="J314" s="6" t="s">
        <v>1443</v>
      </c>
      <c r="K314" s="17"/>
    </row>
    <row r="315" spans="1:11" ht="13.95" customHeight="1" x14ac:dyDescent="0.3">
      <c r="A315" s="3">
        <v>45970</v>
      </c>
      <c r="B315" s="3" t="s">
        <v>1723</v>
      </c>
      <c r="C315" s="19" t="s">
        <v>16</v>
      </c>
      <c r="D315" s="19" t="s">
        <v>14</v>
      </c>
      <c r="E315" s="4">
        <v>0.6</v>
      </c>
      <c r="F315" s="42">
        <v>2.1</v>
      </c>
      <c r="G315" s="45">
        <v>377</v>
      </c>
      <c r="H315" s="22">
        <v>2.2000000000000002</v>
      </c>
      <c r="I315" s="30">
        <f t="shared" si="6"/>
        <v>1045.0440000000001</v>
      </c>
      <c r="J315" s="6" t="s">
        <v>149</v>
      </c>
      <c r="K315" s="17"/>
    </row>
    <row r="316" spans="1:11" ht="13.95" customHeight="1" x14ac:dyDescent="0.3">
      <c r="A316" s="3">
        <v>45971</v>
      </c>
      <c r="B316" s="3" t="s">
        <v>1723</v>
      </c>
      <c r="C316" s="19" t="s">
        <v>18</v>
      </c>
      <c r="D316" s="19" t="s">
        <v>1259</v>
      </c>
      <c r="E316" s="4">
        <v>0.28000000000000003</v>
      </c>
      <c r="F316" s="42">
        <v>1.7</v>
      </c>
      <c r="G316" s="45">
        <v>377</v>
      </c>
      <c r="H316" s="22">
        <v>2.2000000000000002</v>
      </c>
      <c r="I316" s="30">
        <f t="shared" si="6"/>
        <v>394.79440000000011</v>
      </c>
      <c r="J316" s="6" t="s">
        <v>1272</v>
      </c>
      <c r="K316" s="17"/>
    </row>
    <row r="317" spans="1:11" ht="13.95" customHeight="1" x14ac:dyDescent="0.3">
      <c r="A317" s="3">
        <v>45972</v>
      </c>
      <c r="B317" s="3" t="s">
        <v>1723</v>
      </c>
      <c r="C317" s="19" t="s">
        <v>20</v>
      </c>
      <c r="D317" s="19" t="s">
        <v>1259</v>
      </c>
      <c r="E317" s="4">
        <v>0.25</v>
      </c>
      <c r="F317" s="42">
        <v>1.7</v>
      </c>
      <c r="G317" s="45">
        <v>377</v>
      </c>
      <c r="H317" s="22">
        <v>2.2000000000000002</v>
      </c>
      <c r="I317" s="30">
        <f t="shared" si="6"/>
        <v>352.495</v>
      </c>
      <c r="J317" s="6" t="s">
        <v>1472</v>
      </c>
      <c r="K317" s="17"/>
    </row>
    <row r="318" spans="1:11" ht="13.95" customHeight="1" x14ac:dyDescent="0.3">
      <c r="A318" s="3">
        <v>45973</v>
      </c>
      <c r="B318" s="3" t="s">
        <v>1723</v>
      </c>
      <c r="C318" s="19" t="s">
        <v>5</v>
      </c>
      <c r="D318" s="19" t="s">
        <v>1259</v>
      </c>
      <c r="E318" s="4">
        <v>0.3</v>
      </c>
      <c r="F318" s="42">
        <v>1.7</v>
      </c>
      <c r="G318" s="45">
        <v>377</v>
      </c>
      <c r="H318" s="22">
        <v>2.2000000000000002</v>
      </c>
      <c r="I318" s="30">
        <f t="shared" si="6"/>
        <v>422.99399999999997</v>
      </c>
      <c r="J318" s="6" t="s">
        <v>71</v>
      </c>
      <c r="K318" s="17"/>
    </row>
    <row r="319" spans="1:11" ht="13.95" customHeight="1" x14ac:dyDescent="0.3">
      <c r="A319" s="3">
        <v>45974</v>
      </c>
      <c r="B319" s="3" t="s">
        <v>1723</v>
      </c>
      <c r="C319" s="19" t="s">
        <v>8</v>
      </c>
      <c r="D319" s="19" t="s">
        <v>1263</v>
      </c>
      <c r="E319" s="4">
        <v>0.6</v>
      </c>
      <c r="F319" s="42">
        <v>1.95</v>
      </c>
      <c r="G319" s="45">
        <v>377</v>
      </c>
      <c r="H319" s="22">
        <v>2.2000000000000002</v>
      </c>
      <c r="I319" s="30">
        <f t="shared" si="6"/>
        <v>970.39800000000002</v>
      </c>
      <c r="J319" s="6" t="s">
        <v>1641</v>
      </c>
      <c r="K319" s="17"/>
    </row>
    <row r="320" spans="1:11" ht="13.95" customHeight="1" x14ac:dyDescent="0.3">
      <c r="A320" s="3">
        <v>45975</v>
      </c>
      <c r="B320" s="3" t="s">
        <v>1723</v>
      </c>
      <c r="C320" s="19" t="s">
        <v>11</v>
      </c>
      <c r="D320" s="19" t="s">
        <v>14</v>
      </c>
      <c r="E320" s="4">
        <v>0.65</v>
      </c>
      <c r="F320" s="42">
        <v>2.0499999999999998</v>
      </c>
      <c r="G320" s="45">
        <v>377</v>
      </c>
      <c r="H320" s="22">
        <v>2.2000000000000002</v>
      </c>
      <c r="I320" s="30">
        <f t="shared" si="6"/>
        <v>1105.1755000000001</v>
      </c>
      <c r="J320" s="6" t="s">
        <v>97</v>
      </c>
      <c r="K320" s="17"/>
    </row>
    <row r="321" spans="1:11" ht="13.95" customHeight="1" x14ac:dyDescent="0.3">
      <c r="A321" s="3">
        <v>45976</v>
      </c>
      <c r="B321" s="3" t="s">
        <v>1723</v>
      </c>
      <c r="C321" s="19" t="s">
        <v>13</v>
      </c>
      <c r="D321" s="19" t="s">
        <v>14</v>
      </c>
      <c r="E321" s="4">
        <v>0.7</v>
      </c>
      <c r="F321" s="42">
        <v>2.4</v>
      </c>
      <c r="G321" s="45">
        <v>377</v>
      </c>
      <c r="H321" s="22">
        <v>2.2000000000000002</v>
      </c>
      <c r="I321" s="30">
        <f t="shared" si="6"/>
        <v>1393.3919999999998</v>
      </c>
      <c r="J321" s="6" t="s">
        <v>1713</v>
      </c>
      <c r="K321" s="17"/>
    </row>
    <row r="322" spans="1:11" ht="13.95" customHeight="1" x14ac:dyDescent="0.3">
      <c r="A322" s="3">
        <v>45977</v>
      </c>
      <c r="B322" s="3" t="s">
        <v>1723</v>
      </c>
      <c r="C322" s="19" t="s">
        <v>16</v>
      </c>
      <c r="D322" s="19" t="s">
        <v>14</v>
      </c>
      <c r="E322" s="4">
        <v>0.55000000000000004</v>
      </c>
      <c r="F322" s="42">
        <v>2.1</v>
      </c>
      <c r="G322" s="45">
        <v>377</v>
      </c>
      <c r="H322" s="22">
        <v>2.2000000000000002</v>
      </c>
      <c r="I322" s="30">
        <f t="shared" si="6"/>
        <v>957.95700000000022</v>
      </c>
      <c r="J322" s="6" t="s">
        <v>149</v>
      </c>
      <c r="K322" s="17"/>
    </row>
    <row r="323" spans="1:11" ht="13.95" customHeight="1" x14ac:dyDescent="0.3">
      <c r="A323" s="3">
        <v>45978</v>
      </c>
      <c r="B323" s="3" t="s">
        <v>1723</v>
      </c>
      <c r="C323" s="19" t="s">
        <v>18</v>
      </c>
      <c r="D323" s="19" t="s">
        <v>1259</v>
      </c>
      <c r="E323" s="4">
        <v>0.28000000000000003</v>
      </c>
      <c r="F323" s="42">
        <v>1.7</v>
      </c>
      <c r="G323" s="45">
        <v>377</v>
      </c>
      <c r="H323" s="22">
        <v>2.2000000000000002</v>
      </c>
      <c r="I323" s="30">
        <f t="shared" si="6"/>
        <v>394.79440000000011</v>
      </c>
      <c r="J323" s="6" t="s">
        <v>150</v>
      </c>
      <c r="K323" s="17"/>
    </row>
    <row r="324" spans="1:11" ht="13.95" customHeight="1" x14ac:dyDescent="0.3">
      <c r="A324" s="3">
        <v>45979</v>
      </c>
      <c r="B324" s="3" t="s">
        <v>1723</v>
      </c>
      <c r="C324" s="19" t="s">
        <v>20</v>
      </c>
      <c r="D324" s="19" t="s">
        <v>1259</v>
      </c>
      <c r="E324" s="4">
        <v>0.28000000000000003</v>
      </c>
      <c r="F324" s="42">
        <v>1.7</v>
      </c>
      <c r="G324" s="45">
        <v>377</v>
      </c>
      <c r="H324" s="22">
        <v>2.2000000000000002</v>
      </c>
      <c r="I324" s="30">
        <f t="shared" si="6"/>
        <v>394.79440000000011</v>
      </c>
      <c r="J324" s="6" t="s">
        <v>150</v>
      </c>
      <c r="K324" s="17"/>
    </row>
    <row r="325" spans="1:11" ht="13.95" customHeight="1" x14ac:dyDescent="0.3">
      <c r="A325" s="3">
        <v>45980</v>
      </c>
      <c r="B325" s="3" t="s">
        <v>1723</v>
      </c>
      <c r="C325" s="19" t="s">
        <v>5</v>
      </c>
      <c r="D325" s="19" t="s">
        <v>1259</v>
      </c>
      <c r="E325" s="4">
        <v>0.3</v>
      </c>
      <c r="F325" s="42">
        <v>1.75</v>
      </c>
      <c r="G325" s="45">
        <v>377</v>
      </c>
      <c r="H325" s="22">
        <v>2.2000000000000002</v>
      </c>
      <c r="I325" s="30">
        <f t="shared" ref="I325:I351" si="7">(G325*E325)*F325*H325</f>
        <v>435.435</v>
      </c>
      <c r="J325" s="6" t="s">
        <v>71</v>
      </c>
      <c r="K325" s="17"/>
    </row>
    <row r="326" spans="1:11" ht="13.95" customHeight="1" x14ac:dyDescent="0.3">
      <c r="A326" s="3">
        <v>45981</v>
      </c>
      <c r="B326" s="3" t="s">
        <v>1723</v>
      </c>
      <c r="C326" s="19" t="s">
        <v>8</v>
      </c>
      <c r="D326" s="19" t="s">
        <v>1263</v>
      </c>
      <c r="E326" s="4">
        <v>0.65</v>
      </c>
      <c r="F326" s="42">
        <v>1.95</v>
      </c>
      <c r="G326" s="45">
        <v>377</v>
      </c>
      <c r="H326" s="22">
        <v>2.2000000000000002</v>
      </c>
      <c r="I326" s="30">
        <f t="shared" si="7"/>
        <v>1051.2645000000002</v>
      </c>
      <c r="J326" s="6" t="s">
        <v>1714</v>
      </c>
      <c r="K326" s="17"/>
    </row>
    <row r="327" spans="1:11" ht="13.95" customHeight="1" x14ac:dyDescent="0.3">
      <c r="A327" s="3">
        <v>45982</v>
      </c>
      <c r="B327" s="3" t="s">
        <v>1723</v>
      </c>
      <c r="C327" s="19" t="s">
        <v>11</v>
      </c>
      <c r="D327" s="19" t="s">
        <v>14</v>
      </c>
      <c r="E327" s="4">
        <v>0.68</v>
      </c>
      <c r="F327" s="42">
        <v>2.1</v>
      </c>
      <c r="G327" s="45">
        <v>377</v>
      </c>
      <c r="H327" s="22">
        <v>2.2000000000000002</v>
      </c>
      <c r="I327" s="30">
        <f t="shared" si="7"/>
        <v>1184.3832000000004</v>
      </c>
      <c r="J327" s="6" t="s">
        <v>97</v>
      </c>
      <c r="K327" s="17"/>
    </row>
    <row r="328" spans="1:11" ht="13.95" customHeight="1" x14ac:dyDescent="0.3">
      <c r="A328" s="3">
        <v>45983</v>
      </c>
      <c r="B328" s="3" t="s">
        <v>1723</v>
      </c>
      <c r="C328" s="19" t="s">
        <v>13</v>
      </c>
      <c r="D328" s="19" t="s">
        <v>14</v>
      </c>
      <c r="E328" s="4">
        <v>0.78</v>
      </c>
      <c r="F328" s="42">
        <v>2.4500000000000002</v>
      </c>
      <c r="G328" s="45">
        <v>377</v>
      </c>
      <c r="H328" s="22">
        <v>2.2000000000000002</v>
      </c>
      <c r="I328" s="30">
        <f t="shared" si="7"/>
        <v>1584.9834000000001</v>
      </c>
      <c r="J328" s="6" t="s">
        <v>1715</v>
      </c>
      <c r="K328" s="17"/>
    </row>
    <row r="329" spans="1:11" ht="13.95" customHeight="1" x14ac:dyDescent="0.3">
      <c r="A329" s="3">
        <v>45984</v>
      </c>
      <c r="B329" s="3" t="s">
        <v>1723</v>
      </c>
      <c r="C329" s="19" t="s">
        <v>16</v>
      </c>
      <c r="D329" s="19" t="s">
        <v>14</v>
      </c>
      <c r="E329" s="4">
        <v>0.62</v>
      </c>
      <c r="F329" s="42">
        <v>2.15</v>
      </c>
      <c r="G329" s="45">
        <v>377</v>
      </c>
      <c r="H329" s="22">
        <v>2.2000000000000002</v>
      </c>
      <c r="I329" s="30">
        <f t="shared" si="7"/>
        <v>1105.5902000000001</v>
      </c>
      <c r="J329" s="6" t="s">
        <v>149</v>
      </c>
      <c r="K329" s="17"/>
    </row>
    <row r="330" spans="1:11" ht="13.95" customHeight="1" x14ac:dyDescent="0.3">
      <c r="A330" s="3">
        <v>45985</v>
      </c>
      <c r="B330" s="3" t="s">
        <v>1723</v>
      </c>
      <c r="C330" s="19" t="s">
        <v>18</v>
      </c>
      <c r="D330" s="19" t="s">
        <v>1259</v>
      </c>
      <c r="E330" s="4">
        <v>0.3</v>
      </c>
      <c r="F330" s="42">
        <v>1.7</v>
      </c>
      <c r="G330" s="45">
        <v>377</v>
      </c>
      <c r="H330" s="22">
        <v>2.2000000000000002</v>
      </c>
      <c r="I330" s="30">
        <f t="shared" si="7"/>
        <v>422.99399999999997</v>
      </c>
      <c r="J330" s="6" t="s">
        <v>150</v>
      </c>
      <c r="K330" s="17"/>
    </row>
    <row r="331" spans="1:11" ht="13.95" customHeight="1" x14ac:dyDescent="0.3">
      <c r="A331" s="3">
        <v>45986</v>
      </c>
      <c r="B331" s="3" t="s">
        <v>1723</v>
      </c>
      <c r="C331" s="19" t="s">
        <v>20</v>
      </c>
      <c r="D331" s="19" t="s">
        <v>1259</v>
      </c>
      <c r="E331" s="4">
        <v>0.25</v>
      </c>
      <c r="F331" s="42">
        <v>1.7</v>
      </c>
      <c r="G331" s="45">
        <v>377</v>
      </c>
      <c r="H331" s="22">
        <v>2.2000000000000002</v>
      </c>
      <c r="I331" s="30">
        <f t="shared" si="7"/>
        <v>352.495</v>
      </c>
      <c r="J331" s="6" t="s">
        <v>1487</v>
      </c>
      <c r="K331" s="17"/>
    </row>
    <row r="332" spans="1:11" ht="13.95" customHeight="1" x14ac:dyDescent="0.3">
      <c r="A332" s="3">
        <v>45987</v>
      </c>
      <c r="B332" s="3" t="s">
        <v>1723</v>
      </c>
      <c r="C332" s="19" t="s">
        <v>5</v>
      </c>
      <c r="D332" s="19" t="s">
        <v>1259</v>
      </c>
      <c r="E332" s="4">
        <v>0.3</v>
      </c>
      <c r="F332" s="42">
        <v>1.75</v>
      </c>
      <c r="G332" s="45">
        <v>377</v>
      </c>
      <c r="H332" s="22">
        <v>2.2000000000000002</v>
      </c>
      <c r="I332" s="30">
        <f t="shared" si="7"/>
        <v>435.435</v>
      </c>
      <c r="J332" s="6" t="s">
        <v>71</v>
      </c>
      <c r="K332" s="17"/>
    </row>
    <row r="333" spans="1:11" ht="13.95" customHeight="1" x14ac:dyDescent="0.3">
      <c r="A333" s="3">
        <v>45988</v>
      </c>
      <c r="B333" s="3" t="s">
        <v>1723</v>
      </c>
      <c r="C333" s="19" t="s">
        <v>8</v>
      </c>
      <c r="D333" s="19" t="s">
        <v>1263</v>
      </c>
      <c r="E333" s="4">
        <v>0.6</v>
      </c>
      <c r="F333" s="42">
        <v>2</v>
      </c>
      <c r="G333" s="45">
        <v>377</v>
      </c>
      <c r="H333" s="22">
        <v>2.2000000000000002</v>
      </c>
      <c r="I333" s="30">
        <f t="shared" si="7"/>
        <v>995.28000000000009</v>
      </c>
      <c r="J333" s="6" t="s">
        <v>1410</v>
      </c>
      <c r="K333" s="17"/>
    </row>
    <row r="334" spans="1:11" ht="13.95" customHeight="1" x14ac:dyDescent="0.3">
      <c r="A334" s="3">
        <v>45989</v>
      </c>
      <c r="B334" s="3" t="s">
        <v>1723</v>
      </c>
      <c r="C334" s="19" t="s">
        <v>11</v>
      </c>
      <c r="D334" s="19" t="s">
        <v>14</v>
      </c>
      <c r="E334" s="4">
        <v>0.65</v>
      </c>
      <c r="F334" s="42">
        <v>2.15</v>
      </c>
      <c r="G334" s="45">
        <v>377</v>
      </c>
      <c r="H334" s="22">
        <v>2.2000000000000002</v>
      </c>
      <c r="I334" s="30">
        <f t="shared" si="7"/>
        <v>1159.0865000000001</v>
      </c>
      <c r="J334" s="6" t="s">
        <v>543</v>
      </c>
      <c r="K334" s="17"/>
    </row>
    <row r="335" spans="1:11" ht="13.95" customHeight="1" x14ac:dyDescent="0.3">
      <c r="A335" s="3">
        <v>45990</v>
      </c>
      <c r="B335" s="3" t="s">
        <v>1723</v>
      </c>
      <c r="C335" s="19" t="s">
        <v>13</v>
      </c>
      <c r="D335" s="19" t="s">
        <v>14</v>
      </c>
      <c r="E335" s="4">
        <v>0.85</v>
      </c>
      <c r="F335" s="42">
        <v>2.5</v>
      </c>
      <c r="G335" s="45">
        <v>377</v>
      </c>
      <c r="H335" s="22">
        <v>2.2000000000000002</v>
      </c>
      <c r="I335" s="30">
        <f t="shared" si="7"/>
        <v>1762.4750000000001</v>
      </c>
      <c r="J335" s="6" t="s">
        <v>1716</v>
      </c>
      <c r="K335" s="17"/>
    </row>
    <row r="336" spans="1:11" ht="13.95" customHeight="1" x14ac:dyDescent="0.3">
      <c r="A336" s="3">
        <v>45991</v>
      </c>
      <c r="B336" s="3" t="s">
        <v>1723</v>
      </c>
      <c r="C336" s="19" t="s">
        <v>16</v>
      </c>
      <c r="D336" s="19" t="s">
        <v>14</v>
      </c>
      <c r="E336" s="4">
        <v>0.7</v>
      </c>
      <c r="F336" s="42">
        <v>2.2000000000000002</v>
      </c>
      <c r="G336" s="45">
        <v>377</v>
      </c>
      <c r="H336" s="22">
        <v>2.2000000000000002</v>
      </c>
      <c r="I336" s="30">
        <f t="shared" si="7"/>
        <v>1277.2760000000003</v>
      </c>
      <c r="J336" s="6" t="s">
        <v>1717</v>
      </c>
      <c r="K336" s="17"/>
    </row>
    <row r="337" spans="1:11" ht="13.95" customHeight="1" x14ac:dyDescent="0.3">
      <c r="A337" s="3">
        <v>45992</v>
      </c>
      <c r="B337" s="3" t="s">
        <v>1723</v>
      </c>
      <c r="C337" s="19" t="s">
        <v>18</v>
      </c>
      <c r="D337" s="19" t="s">
        <v>1259</v>
      </c>
      <c r="E337" s="4">
        <v>0.35</v>
      </c>
      <c r="F337" s="42">
        <v>1.75</v>
      </c>
      <c r="G337" s="45">
        <v>377</v>
      </c>
      <c r="H337" s="22">
        <v>2.2000000000000002</v>
      </c>
      <c r="I337" s="30">
        <f t="shared" si="7"/>
        <v>508.00749999999999</v>
      </c>
      <c r="J337" s="6" t="s">
        <v>150</v>
      </c>
      <c r="K337" s="17"/>
    </row>
    <row r="338" spans="1:11" ht="13.95" customHeight="1" x14ac:dyDescent="0.3">
      <c r="A338" s="3">
        <v>45997</v>
      </c>
      <c r="B338" s="3" t="s">
        <v>1723</v>
      </c>
      <c r="C338" s="19" t="s">
        <v>13</v>
      </c>
      <c r="D338" s="19" t="s">
        <v>14</v>
      </c>
      <c r="E338" s="4">
        <v>0.65</v>
      </c>
      <c r="F338" s="42">
        <v>2.25</v>
      </c>
      <c r="G338" s="45">
        <v>377</v>
      </c>
      <c r="H338" s="22">
        <v>2.2000000000000002</v>
      </c>
      <c r="I338" s="30">
        <f t="shared" si="7"/>
        <v>1212.9975000000002</v>
      </c>
      <c r="J338" s="6" t="s">
        <v>1718</v>
      </c>
      <c r="K338" s="17"/>
    </row>
    <row r="339" spans="1:11" ht="13.95" customHeight="1" x14ac:dyDescent="0.3">
      <c r="A339" s="3">
        <v>46004</v>
      </c>
      <c r="B339" s="3" t="s">
        <v>1723</v>
      </c>
      <c r="C339" s="19" t="s">
        <v>13</v>
      </c>
      <c r="D339" s="19" t="s">
        <v>14</v>
      </c>
      <c r="E339" s="4">
        <v>0.75</v>
      </c>
      <c r="F339" s="42">
        <v>2.4500000000000002</v>
      </c>
      <c r="G339" s="45">
        <v>377</v>
      </c>
      <c r="H339" s="22">
        <v>2.2000000000000002</v>
      </c>
      <c r="I339" s="30">
        <f t="shared" si="7"/>
        <v>1524.0225000000003</v>
      </c>
      <c r="J339" s="6" t="s">
        <v>1719</v>
      </c>
      <c r="K339" s="17"/>
    </row>
    <row r="340" spans="1:11" ht="13.95" customHeight="1" x14ac:dyDescent="0.3">
      <c r="A340" s="3">
        <v>46011</v>
      </c>
      <c r="B340" s="3" t="s">
        <v>1723</v>
      </c>
      <c r="C340" s="19" t="s">
        <v>13</v>
      </c>
      <c r="D340" s="19" t="s">
        <v>658</v>
      </c>
      <c r="E340" s="4">
        <v>0.78</v>
      </c>
      <c r="F340" s="42">
        <v>2.2999999999999998</v>
      </c>
      <c r="G340" s="45">
        <v>377</v>
      </c>
      <c r="H340" s="22">
        <v>2.2000000000000002</v>
      </c>
      <c r="I340" s="30">
        <f t="shared" si="7"/>
        <v>1487.9436000000001</v>
      </c>
      <c r="J340" s="6" t="s">
        <v>1720</v>
      </c>
      <c r="K340" s="17"/>
    </row>
    <row r="341" spans="1:11" ht="13.95" customHeight="1" x14ac:dyDescent="0.3">
      <c r="A341" s="3">
        <v>46012</v>
      </c>
      <c r="B341" s="3" t="s">
        <v>1723</v>
      </c>
      <c r="C341" s="19" t="s">
        <v>16</v>
      </c>
      <c r="D341" s="19" t="s">
        <v>658</v>
      </c>
      <c r="E341" s="4">
        <v>0.7</v>
      </c>
      <c r="F341" s="42">
        <v>2.15</v>
      </c>
      <c r="G341" s="45">
        <v>377</v>
      </c>
      <c r="H341" s="22">
        <v>2.2000000000000002</v>
      </c>
      <c r="I341" s="30">
        <f t="shared" si="7"/>
        <v>1248.2469999999998</v>
      </c>
      <c r="J341" s="6" t="s">
        <v>139</v>
      </c>
      <c r="K341" s="17"/>
    </row>
    <row r="342" spans="1:11" ht="13.95" customHeight="1" x14ac:dyDescent="0.3">
      <c r="A342" s="3">
        <v>46013</v>
      </c>
      <c r="B342" s="3" t="s">
        <v>1723</v>
      </c>
      <c r="C342" s="19" t="s">
        <v>18</v>
      </c>
      <c r="D342" s="19" t="s">
        <v>658</v>
      </c>
      <c r="E342" s="4">
        <v>0.65</v>
      </c>
      <c r="F342" s="42">
        <v>2.0499999999999998</v>
      </c>
      <c r="G342" s="45">
        <v>377</v>
      </c>
      <c r="H342" s="22">
        <v>2.2000000000000002</v>
      </c>
      <c r="I342" s="30">
        <f t="shared" si="7"/>
        <v>1105.1755000000001</v>
      </c>
      <c r="J342" s="6" t="s">
        <v>1721</v>
      </c>
      <c r="K342" s="17"/>
    </row>
    <row r="343" spans="1:11" ht="13.95" customHeight="1" x14ac:dyDescent="0.3">
      <c r="A343" s="3">
        <v>46014</v>
      </c>
      <c r="B343" s="3" t="s">
        <v>1723</v>
      </c>
      <c r="C343" s="19" t="s">
        <v>20</v>
      </c>
      <c r="D343" s="19" t="s">
        <v>658</v>
      </c>
      <c r="E343" s="4">
        <v>0.7</v>
      </c>
      <c r="F343" s="42">
        <v>2.1</v>
      </c>
      <c r="G343" s="45">
        <v>377</v>
      </c>
      <c r="H343" s="22">
        <v>2.2000000000000002</v>
      </c>
      <c r="I343" s="30">
        <f t="shared" si="7"/>
        <v>1219.2180000000001</v>
      </c>
      <c r="J343" s="6" t="s">
        <v>514</v>
      </c>
      <c r="K343" s="17"/>
    </row>
    <row r="344" spans="1:11" ht="13.95" customHeight="1" x14ac:dyDescent="0.3">
      <c r="A344" s="3">
        <v>46015</v>
      </c>
      <c r="B344" s="3" t="s">
        <v>1723</v>
      </c>
      <c r="C344" s="19" t="s">
        <v>5</v>
      </c>
      <c r="D344" s="19" t="s">
        <v>662</v>
      </c>
      <c r="E344" s="4">
        <v>0.85</v>
      </c>
      <c r="F344" s="42">
        <v>2.7</v>
      </c>
      <c r="G344" s="45">
        <v>377</v>
      </c>
      <c r="H344" s="22">
        <v>2.2000000000000002</v>
      </c>
      <c r="I344" s="30">
        <f t="shared" si="7"/>
        <v>1903.4730000000002</v>
      </c>
      <c r="J344" s="6" t="s">
        <v>1243</v>
      </c>
      <c r="K344" s="17"/>
    </row>
    <row r="345" spans="1:11" ht="13.95" customHeight="1" x14ac:dyDescent="0.3">
      <c r="A345" s="3">
        <v>46016</v>
      </c>
      <c r="B345" s="3" t="s">
        <v>1723</v>
      </c>
      <c r="C345" s="19" t="s">
        <v>8</v>
      </c>
      <c r="D345" s="19" t="s">
        <v>299</v>
      </c>
      <c r="E345" s="4">
        <v>0.8</v>
      </c>
      <c r="F345" s="42">
        <v>2.4</v>
      </c>
      <c r="G345" s="45">
        <v>377</v>
      </c>
      <c r="H345" s="22">
        <v>2.2000000000000002</v>
      </c>
      <c r="I345" s="30">
        <f t="shared" si="7"/>
        <v>1592.4480000000001</v>
      </c>
      <c r="J345" s="6" t="s">
        <v>517</v>
      </c>
      <c r="K345" s="17"/>
    </row>
    <row r="346" spans="1:11" ht="13.95" customHeight="1" x14ac:dyDescent="0.3">
      <c r="A346" s="3">
        <v>46017</v>
      </c>
      <c r="B346" s="3" t="s">
        <v>1723</v>
      </c>
      <c r="C346" s="19" t="s">
        <v>11</v>
      </c>
      <c r="D346" s="19" t="s">
        <v>1564</v>
      </c>
      <c r="E346" s="4">
        <v>0.82</v>
      </c>
      <c r="F346" s="42">
        <v>2.2999999999999998</v>
      </c>
      <c r="G346" s="45">
        <v>377</v>
      </c>
      <c r="H346" s="22">
        <v>2.2000000000000002</v>
      </c>
      <c r="I346" s="30">
        <f t="shared" si="7"/>
        <v>1564.2483999999999</v>
      </c>
      <c r="J346" s="6" t="s">
        <v>1463</v>
      </c>
      <c r="K346" s="17"/>
    </row>
    <row r="347" spans="1:11" ht="13.95" customHeight="1" x14ac:dyDescent="0.3">
      <c r="A347" s="3">
        <v>46018</v>
      </c>
      <c r="B347" s="3" t="s">
        <v>1723</v>
      </c>
      <c r="C347" s="19" t="s">
        <v>13</v>
      </c>
      <c r="D347" s="19" t="s">
        <v>1564</v>
      </c>
      <c r="E347" s="4">
        <v>0.92</v>
      </c>
      <c r="F347" s="42">
        <v>2.6</v>
      </c>
      <c r="G347" s="45">
        <v>377</v>
      </c>
      <c r="H347" s="22">
        <v>2.2000000000000002</v>
      </c>
      <c r="I347" s="30">
        <f t="shared" si="7"/>
        <v>1983.9248000000005</v>
      </c>
      <c r="J347" s="6" t="s">
        <v>1323</v>
      </c>
      <c r="K347" s="17"/>
    </row>
    <row r="348" spans="1:11" ht="13.95" customHeight="1" x14ac:dyDescent="0.3">
      <c r="A348" s="3">
        <v>46019</v>
      </c>
      <c r="B348" s="3" t="s">
        <v>1723</v>
      </c>
      <c r="C348" s="19" t="s">
        <v>16</v>
      </c>
      <c r="D348" s="19" t="s">
        <v>1564</v>
      </c>
      <c r="E348" s="4">
        <v>0.88</v>
      </c>
      <c r="F348" s="42">
        <v>2.4</v>
      </c>
      <c r="G348" s="45">
        <v>377</v>
      </c>
      <c r="H348" s="22">
        <v>2.2000000000000002</v>
      </c>
      <c r="I348" s="30">
        <f t="shared" si="7"/>
        <v>1751.6928</v>
      </c>
      <c r="J348" s="6" t="s">
        <v>1275</v>
      </c>
      <c r="K348" s="17"/>
    </row>
    <row r="349" spans="1:11" ht="13.95" customHeight="1" x14ac:dyDescent="0.3">
      <c r="A349" s="3">
        <v>46020</v>
      </c>
      <c r="B349" s="3" t="s">
        <v>1723</v>
      </c>
      <c r="C349" s="19" t="s">
        <v>18</v>
      </c>
      <c r="D349" s="19" t="s">
        <v>1565</v>
      </c>
      <c r="E349" s="4">
        <v>0.95</v>
      </c>
      <c r="F349" s="42">
        <v>2.35</v>
      </c>
      <c r="G349" s="45">
        <v>377</v>
      </c>
      <c r="H349" s="22">
        <v>2.2000000000000002</v>
      </c>
      <c r="I349" s="30">
        <f t="shared" si="7"/>
        <v>1851.6355000000003</v>
      </c>
      <c r="J349" s="6" t="s">
        <v>531</v>
      </c>
      <c r="K349" s="17"/>
    </row>
    <row r="350" spans="1:11" ht="13.95" customHeight="1" x14ac:dyDescent="0.3">
      <c r="A350" s="3">
        <v>46021</v>
      </c>
      <c r="B350" s="3" t="s">
        <v>1723</v>
      </c>
      <c r="C350" s="19" t="s">
        <v>20</v>
      </c>
      <c r="D350" s="19" t="s">
        <v>1565</v>
      </c>
      <c r="E350" s="4">
        <v>1</v>
      </c>
      <c r="F350" s="42">
        <v>2.65</v>
      </c>
      <c r="G350" s="45">
        <v>377</v>
      </c>
      <c r="H350" s="22">
        <v>2.2000000000000002</v>
      </c>
      <c r="I350" s="30">
        <f t="shared" si="7"/>
        <v>2197.91</v>
      </c>
      <c r="J350" s="6" t="s">
        <v>1722</v>
      </c>
      <c r="K350" s="17"/>
    </row>
    <row r="351" spans="1:11" ht="13.95" customHeight="1" x14ac:dyDescent="0.3">
      <c r="A351" s="3">
        <v>46022</v>
      </c>
      <c r="B351" s="3" t="s">
        <v>1723</v>
      </c>
      <c r="C351" s="19" t="s">
        <v>5</v>
      </c>
      <c r="D351" s="19" t="s">
        <v>1567</v>
      </c>
      <c r="E351" s="4">
        <v>1</v>
      </c>
      <c r="F351" s="42">
        <v>3.35</v>
      </c>
      <c r="G351" s="45">
        <v>377</v>
      </c>
      <c r="H351" s="22">
        <v>2.2000000000000002</v>
      </c>
      <c r="I351" s="30">
        <f t="shared" si="7"/>
        <v>2778.4900000000002</v>
      </c>
      <c r="J351" s="6" t="s">
        <v>1568</v>
      </c>
      <c r="K351" s="1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FEE06-B224-4EF2-90E5-D8147919BED1}">
  <sheetPr>
    <tabColor theme="8" tint="-0.249977111117893"/>
  </sheetPr>
  <dimension ref="A1:K349"/>
  <sheetViews>
    <sheetView workbookViewId="0">
      <selection activeCell="A2" sqref="A2:XFD2"/>
    </sheetView>
  </sheetViews>
  <sheetFormatPr baseColWidth="10" defaultRowHeight="14.4" x14ac:dyDescent="0.3"/>
  <cols>
    <col min="1" max="1" width="15" customWidth="1"/>
    <col min="2" max="2" width="33.109375" customWidth="1"/>
    <col min="4" max="4" width="18.5546875" customWidth="1"/>
    <col min="9" max="9" width="11.5546875" style="46"/>
    <col min="10" max="10" width="30.44140625" customWidth="1"/>
  </cols>
  <sheetData>
    <row r="1" spans="1:11" ht="28.2" thickBot="1" x14ac:dyDescent="0.35">
      <c r="A1" s="1" t="s">
        <v>333</v>
      </c>
      <c r="B1" s="34" t="s">
        <v>670</v>
      </c>
      <c r="C1" s="34" t="s">
        <v>0</v>
      </c>
      <c r="D1" s="34" t="s">
        <v>1</v>
      </c>
      <c r="E1" s="37" t="s">
        <v>2</v>
      </c>
      <c r="F1" s="41" t="s">
        <v>3</v>
      </c>
      <c r="G1" s="47" t="s">
        <v>359</v>
      </c>
      <c r="H1" s="35" t="s">
        <v>360</v>
      </c>
      <c r="I1" s="47" t="s">
        <v>361</v>
      </c>
      <c r="J1" s="27" t="s">
        <v>4</v>
      </c>
    </row>
    <row r="2" spans="1:11" ht="13.95" customHeight="1" x14ac:dyDescent="0.3">
      <c r="A2" s="3">
        <v>45658</v>
      </c>
      <c r="B2" s="19" t="s">
        <v>1837</v>
      </c>
      <c r="C2" s="19" t="s">
        <v>5</v>
      </c>
      <c r="D2" s="19" t="s">
        <v>735</v>
      </c>
      <c r="E2" s="4">
        <v>0.95</v>
      </c>
      <c r="F2" s="42">
        <v>2.8</v>
      </c>
      <c r="G2" s="45">
        <v>371</v>
      </c>
      <c r="H2" s="22">
        <v>1.9</v>
      </c>
      <c r="I2" s="6">
        <f t="shared" ref="I2" si="0">(G2*E2)*F2*H2</f>
        <v>1875.0339999999997</v>
      </c>
      <c r="J2" s="6" t="s">
        <v>1724</v>
      </c>
      <c r="K2" s="17"/>
    </row>
    <row r="3" spans="1:11" ht="13.95" customHeight="1" x14ac:dyDescent="0.3">
      <c r="A3" s="3">
        <v>45659</v>
      </c>
      <c r="B3" s="19" t="s">
        <v>1837</v>
      </c>
      <c r="C3" s="19" t="s">
        <v>8</v>
      </c>
      <c r="D3" s="19" t="s">
        <v>1259</v>
      </c>
      <c r="E3" s="4">
        <v>0.5</v>
      </c>
      <c r="F3" s="42">
        <v>1.9</v>
      </c>
      <c r="G3" s="45">
        <v>371</v>
      </c>
      <c r="H3" s="22">
        <v>1.9</v>
      </c>
      <c r="I3" s="6">
        <f t="shared" ref="I3:I66" si="1">(G3*E3)*F3*H3</f>
        <v>669.65499999999997</v>
      </c>
      <c r="J3" s="6" t="s">
        <v>1725</v>
      </c>
      <c r="K3" s="17"/>
    </row>
    <row r="4" spans="1:11" ht="13.95" customHeight="1" x14ac:dyDescent="0.3">
      <c r="A4" s="3">
        <v>45660</v>
      </c>
      <c r="B4" s="19" t="s">
        <v>1837</v>
      </c>
      <c r="C4" s="19" t="s">
        <v>11</v>
      </c>
      <c r="D4" s="19" t="s">
        <v>14</v>
      </c>
      <c r="E4" s="4">
        <v>0.55000000000000004</v>
      </c>
      <c r="F4" s="42">
        <v>2</v>
      </c>
      <c r="G4" s="45">
        <v>371</v>
      </c>
      <c r="H4" s="22">
        <v>1.9</v>
      </c>
      <c r="I4" s="6">
        <f t="shared" si="1"/>
        <v>775.39</v>
      </c>
      <c r="J4" s="6" t="s">
        <v>1726</v>
      </c>
      <c r="K4" s="17"/>
    </row>
    <row r="5" spans="1:11" ht="13.95" customHeight="1" x14ac:dyDescent="0.3">
      <c r="A5" s="3">
        <v>45661</v>
      </c>
      <c r="B5" s="19" t="s">
        <v>1837</v>
      </c>
      <c r="C5" s="19" t="s">
        <v>13</v>
      </c>
      <c r="D5" s="19" t="s">
        <v>14</v>
      </c>
      <c r="E5" s="4">
        <v>0.65</v>
      </c>
      <c r="F5" s="42">
        <v>2.2999999999999998</v>
      </c>
      <c r="G5" s="45">
        <v>371</v>
      </c>
      <c r="H5" s="22">
        <v>1.9</v>
      </c>
      <c r="I5" s="6">
        <f t="shared" si="1"/>
        <v>1053.8254999999999</v>
      </c>
      <c r="J5" s="6" t="s">
        <v>1727</v>
      </c>
      <c r="K5" s="17"/>
    </row>
    <row r="6" spans="1:11" ht="13.95" customHeight="1" x14ac:dyDescent="0.3">
      <c r="A6" s="3">
        <v>45662</v>
      </c>
      <c r="B6" s="19" t="s">
        <v>1837</v>
      </c>
      <c r="C6" s="19" t="s">
        <v>16</v>
      </c>
      <c r="D6" s="19" t="s">
        <v>14</v>
      </c>
      <c r="E6" s="4">
        <v>0.6</v>
      </c>
      <c r="F6" s="42">
        <v>2.1</v>
      </c>
      <c r="G6" s="45">
        <v>371</v>
      </c>
      <c r="H6" s="22">
        <v>1.9</v>
      </c>
      <c r="I6" s="6">
        <f t="shared" si="1"/>
        <v>888.17399999999986</v>
      </c>
      <c r="J6" s="6" t="s">
        <v>238</v>
      </c>
      <c r="K6" s="17"/>
    </row>
    <row r="7" spans="1:11" ht="13.95" customHeight="1" x14ac:dyDescent="0.3">
      <c r="A7" s="3">
        <v>45663</v>
      </c>
      <c r="B7" s="19" t="s">
        <v>1837</v>
      </c>
      <c r="C7" s="19" t="s">
        <v>18</v>
      </c>
      <c r="D7" s="19" t="s">
        <v>1259</v>
      </c>
      <c r="E7" s="4">
        <v>0.4</v>
      </c>
      <c r="F7" s="42">
        <v>1.85</v>
      </c>
      <c r="G7" s="45">
        <v>371</v>
      </c>
      <c r="H7" s="22">
        <v>1.9</v>
      </c>
      <c r="I7" s="6">
        <f t="shared" si="1"/>
        <v>521.62599999999998</v>
      </c>
      <c r="J7" s="6" t="s">
        <v>1628</v>
      </c>
      <c r="K7" s="17"/>
    </row>
    <row r="8" spans="1:11" ht="13.95" customHeight="1" x14ac:dyDescent="0.3">
      <c r="A8" s="3">
        <v>45664</v>
      </c>
      <c r="B8" s="19" t="s">
        <v>1837</v>
      </c>
      <c r="C8" s="19" t="s">
        <v>20</v>
      </c>
      <c r="D8" s="19" t="s">
        <v>1259</v>
      </c>
      <c r="E8" s="4">
        <v>0.38</v>
      </c>
      <c r="F8" s="42">
        <v>1.85</v>
      </c>
      <c r="G8" s="45">
        <v>371</v>
      </c>
      <c r="H8" s="22">
        <v>1.9</v>
      </c>
      <c r="I8" s="6">
        <f t="shared" si="1"/>
        <v>495.54469999999998</v>
      </c>
      <c r="J8" s="6" t="s">
        <v>1628</v>
      </c>
      <c r="K8" s="17"/>
    </row>
    <row r="9" spans="1:11" ht="13.95" customHeight="1" x14ac:dyDescent="0.3">
      <c r="A9" s="3">
        <v>45665</v>
      </c>
      <c r="B9" s="19" t="s">
        <v>1837</v>
      </c>
      <c r="C9" s="19" t="s">
        <v>5</v>
      </c>
      <c r="D9" s="19" t="s">
        <v>1259</v>
      </c>
      <c r="E9" s="4">
        <v>0.4</v>
      </c>
      <c r="F9" s="42">
        <v>1.85</v>
      </c>
      <c r="G9" s="45">
        <v>371</v>
      </c>
      <c r="H9" s="22">
        <v>1.9</v>
      </c>
      <c r="I9" s="6">
        <f t="shared" si="1"/>
        <v>521.62599999999998</v>
      </c>
      <c r="J9" s="6" t="s">
        <v>1728</v>
      </c>
      <c r="K9" s="17"/>
    </row>
    <row r="10" spans="1:11" ht="13.95" customHeight="1" x14ac:dyDescent="0.3">
      <c r="A10" s="3">
        <v>45666</v>
      </c>
      <c r="B10" s="19" t="s">
        <v>1837</v>
      </c>
      <c r="C10" s="19" t="s">
        <v>8</v>
      </c>
      <c r="D10" s="19" t="s">
        <v>1729</v>
      </c>
      <c r="E10" s="4">
        <v>0.5</v>
      </c>
      <c r="F10" s="42">
        <v>2</v>
      </c>
      <c r="G10" s="45">
        <v>371</v>
      </c>
      <c r="H10" s="22">
        <v>1.9</v>
      </c>
      <c r="I10" s="6">
        <f t="shared" si="1"/>
        <v>704.9</v>
      </c>
      <c r="J10" s="6" t="s">
        <v>1730</v>
      </c>
      <c r="K10" s="17"/>
    </row>
    <row r="11" spans="1:11" ht="13.95" customHeight="1" x14ac:dyDescent="0.3">
      <c r="A11" s="3">
        <v>45667</v>
      </c>
      <c r="B11" s="19" t="s">
        <v>1837</v>
      </c>
      <c r="C11" s="19" t="s">
        <v>11</v>
      </c>
      <c r="D11" s="19" t="s">
        <v>14</v>
      </c>
      <c r="E11" s="4">
        <v>0.55000000000000004</v>
      </c>
      <c r="F11" s="42">
        <v>2.1</v>
      </c>
      <c r="G11" s="45">
        <v>371</v>
      </c>
      <c r="H11" s="22">
        <v>1.9</v>
      </c>
      <c r="I11" s="6">
        <f t="shared" si="1"/>
        <v>814.15950000000009</v>
      </c>
      <c r="J11" s="6" t="s">
        <v>390</v>
      </c>
      <c r="K11" s="17"/>
    </row>
    <row r="12" spans="1:11" ht="13.95" customHeight="1" x14ac:dyDescent="0.3">
      <c r="A12" s="3">
        <v>45668</v>
      </c>
      <c r="B12" s="19" t="s">
        <v>1837</v>
      </c>
      <c r="C12" s="19" t="s">
        <v>13</v>
      </c>
      <c r="D12" s="19" t="s">
        <v>14</v>
      </c>
      <c r="E12" s="4">
        <v>0.7</v>
      </c>
      <c r="F12" s="42">
        <v>2.4</v>
      </c>
      <c r="G12" s="45">
        <v>371</v>
      </c>
      <c r="H12" s="22">
        <v>1.9</v>
      </c>
      <c r="I12" s="6">
        <f t="shared" si="1"/>
        <v>1184.232</v>
      </c>
      <c r="J12" s="6" t="s">
        <v>1626</v>
      </c>
      <c r="K12" s="17"/>
    </row>
    <row r="13" spans="1:11" ht="13.95" customHeight="1" x14ac:dyDescent="0.3">
      <c r="A13" s="3">
        <v>45669</v>
      </c>
      <c r="B13" s="19" t="s">
        <v>1837</v>
      </c>
      <c r="C13" s="19" t="s">
        <v>16</v>
      </c>
      <c r="D13" s="19" t="s">
        <v>14</v>
      </c>
      <c r="E13" s="4">
        <v>0.6</v>
      </c>
      <c r="F13" s="42">
        <v>2.15</v>
      </c>
      <c r="G13" s="45">
        <v>371</v>
      </c>
      <c r="H13" s="22">
        <v>1.9</v>
      </c>
      <c r="I13" s="6">
        <f t="shared" si="1"/>
        <v>909.32099999999991</v>
      </c>
      <c r="J13" s="6" t="s">
        <v>149</v>
      </c>
      <c r="K13" s="17"/>
    </row>
    <row r="14" spans="1:11" ht="13.95" customHeight="1" x14ac:dyDescent="0.3">
      <c r="A14" s="3">
        <v>45670</v>
      </c>
      <c r="B14" s="19" t="s">
        <v>1837</v>
      </c>
      <c r="C14" s="19" t="s">
        <v>18</v>
      </c>
      <c r="D14" s="19" t="s">
        <v>1259</v>
      </c>
      <c r="E14" s="4">
        <v>0.35</v>
      </c>
      <c r="F14" s="42">
        <v>1.8</v>
      </c>
      <c r="G14" s="45">
        <v>371</v>
      </c>
      <c r="H14" s="22">
        <v>1.9</v>
      </c>
      <c r="I14" s="6">
        <f t="shared" si="1"/>
        <v>444.08699999999993</v>
      </c>
      <c r="J14" s="6" t="s">
        <v>150</v>
      </c>
      <c r="K14" s="17"/>
    </row>
    <row r="15" spans="1:11" ht="13.95" customHeight="1" x14ac:dyDescent="0.3">
      <c r="A15" s="3">
        <v>45671</v>
      </c>
      <c r="B15" s="19" t="s">
        <v>1837</v>
      </c>
      <c r="C15" s="19" t="s">
        <v>20</v>
      </c>
      <c r="D15" s="19" t="s">
        <v>1269</v>
      </c>
      <c r="E15" s="4">
        <v>0.5</v>
      </c>
      <c r="F15" s="42">
        <v>2.1</v>
      </c>
      <c r="G15" s="45">
        <v>371</v>
      </c>
      <c r="H15" s="22">
        <v>1.9</v>
      </c>
      <c r="I15" s="6">
        <f t="shared" si="1"/>
        <v>740.14499999999998</v>
      </c>
      <c r="J15" s="6" t="s">
        <v>1731</v>
      </c>
      <c r="K15" s="17"/>
    </row>
    <row r="16" spans="1:11" ht="13.95" customHeight="1" x14ac:dyDescent="0.3">
      <c r="A16" s="3">
        <v>45672</v>
      </c>
      <c r="B16" s="19" t="s">
        <v>1837</v>
      </c>
      <c r="C16" s="19" t="s">
        <v>5</v>
      </c>
      <c r="D16" s="19" t="s">
        <v>1259</v>
      </c>
      <c r="E16" s="4">
        <v>0.38</v>
      </c>
      <c r="F16" s="42">
        <v>1.85</v>
      </c>
      <c r="G16" s="45">
        <v>371</v>
      </c>
      <c r="H16" s="22">
        <v>1.9</v>
      </c>
      <c r="I16" s="6">
        <f t="shared" si="1"/>
        <v>495.54469999999998</v>
      </c>
      <c r="J16" s="6" t="s">
        <v>150</v>
      </c>
      <c r="K16" s="17"/>
    </row>
    <row r="17" spans="1:11" ht="13.95" customHeight="1" x14ac:dyDescent="0.3">
      <c r="A17" s="3">
        <v>45673</v>
      </c>
      <c r="B17" s="19" t="s">
        <v>1837</v>
      </c>
      <c r="C17" s="19" t="s">
        <v>8</v>
      </c>
      <c r="D17" s="19" t="s">
        <v>1259</v>
      </c>
      <c r="E17" s="4">
        <v>0.4</v>
      </c>
      <c r="F17" s="42">
        <v>1.85</v>
      </c>
      <c r="G17" s="45">
        <v>371</v>
      </c>
      <c r="H17" s="22">
        <v>1.9</v>
      </c>
      <c r="I17" s="6">
        <f t="shared" si="1"/>
        <v>521.62599999999998</v>
      </c>
      <c r="J17" s="6" t="s">
        <v>150</v>
      </c>
      <c r="K17" s="17"/>
    </row>
    <row r="18" spans="1:11" ht="13.95" customHeight="1" x14ac:dyDescent="0.3">
      <c r="A18" s="3">
        <v>45674</v>
      </c>
      <c r="B18" s="19" t="s">
        <v>1837</v>
      </c>
      <c r="C18" s="19" t="s">
        <v>11</v>
      </c>
      <c r="D18" s="19" t="s">
        <v>14</v>
      </c>
      <c r="E18" s="4">
        <v>0.55000000000000004</v>
      </c>
      <c r="F18" s="42">
        <v>2.1</v>
      </c>
      <c r="G18" s="45">
        <v>371</v>
      </c>
      <c r="H18" s="22">
        <v>1.9</v>
      </c>
      <c r="I18" s="6">
        <f t="shared" si="1"/>
        <v>814.15950000000009</v>
      </c>
      <c r="J18" s="6" t="s">
        <v>97</v>
      </c>
      <c r="K18" s="17"/>
    </row>
    <row r="19" spans="1:11" ht="13.95" customHeight="1" x14ac:dyDescent="0.3">
      <c r="A19" s="3">
        <v>45675</v>
      </c>
      <c r="B19" s="19" t="s">
        <v>1837</v>
      </c>
      <c r="C19" s="19" t="s">
        <v>13</v>
      </c>
      <c r="D19" s="19" t="s">
        <v>14</v>
      </c>
      <c r="E19" s="4">
        <v>0.75</v>
      </c>
      <c r="F19" s="42">
        <v>2.5</v>
      </c>
      <c r="G19" s="45">
        <v>371</v>
      </c>
      <c r="H19" s="22">
        <v>1.9</v>
      </c>
      <c r="I19" s="6">
        <f t="shared" si="1"/>
        <v>1321.6875</v>
      </c>
      <c r="J19" s="6" t="s">
        <v>1732</v>
      </c>
      <c r="K19" s="17"/>
    </row>
    <row r="20" spans="1:11" ht="13.95" customHeight="1" x14ac:dyDescent="0.3">
      <c r="A20" s="3">
        <v>45676</v>
      </c>
      <c r="B20" s="19" t="s">
        <v>1837</v>
      </c>
      <c r="C20" s="19" t="s">
        <v>16</v>
      </c>
      <c r="D20" s="19" t="s">
        <v>14</v>
      </c>
      <c r="E20" s="4">
        <v>0.65</v>
      </c>
      <c r="F20" s="42">
        <v>2.2000000000000002</v>
      </c>
      <c r="G20" s="45">
        <v>371</v>
      </c>
      <c r="H20" s="22">
        <v>1.9</v>
      </c>
      <c r="I20" s="6">
        <f t="shared" si="1"/>
        <v>1008.0070000000001</v>
      </c>
      <c r="J20" s="6" t="s">
        <v>139</v>
      </c>
      <c r="K20" s="17"/>
    </row>
    <row r="21" spans="1:11" ht="13.95" customHeight="1" x14ac:dyDescent="0.3">
      <c r="A21" s="3">
        <v>45677</v>
      </c>
      <c r="B21" s="19" t="s">
        <v>1837</v>
      </c>
      <c r="C21" s="19" t="s">
        <v>18</v>
      </c>
      <c r="D21" s="19" t="s">
        <v>1259</v>
      </c>
      <c r="E21" s="4">
        <v>0.35</v>
      </c>
      <c r="F21" s="42">
        <v>1.8</v>
      </c>
      <c r="G21" s="45">
        <v>371</v>
      </c>
      <c r="H21" s="22">
        <v>1.9</v>
      </c>
      <c r="I21" s="6">
        <f t="shared" si="1"/>
        <v>444.08699999999993</v>
      </c>
      <c r="J21" s="6" t="s">
        <v>150</v>
      </c>
      <c r="K21" s="17"/>
    </row>
    <row r="22" spans="1:11" ht="13.95" customHeight="1" x14ac:dyDescent="0.3">
      <c r="A22" s="3">
        <v>45678</v>
      </c>
      <c r="B22" s="19" t="s">
        <v>1837</v>
      </c>
      <c r="C22" s="19" t="s">
        <v>20</v>
      </c>
      <c r="D22" s="19" t="s">
        <v>1259</v>
      </c>
      <c r="E22" s="4">
        <v>0.32</v>
      </c>
      <c r="F22" s="42">
        <v>1.8</v>
      </c>
      <c r="G22" s="45">
        <v>371</v>
      </c>
      <c r="H22" s="22">
        <v>1.9</v>
      </c>
      <c r="I22" s="6">
        <f t="shared" si="1"/>
        <v>406.0224</v>
      </c>
      <c r="J22" s="6" t="s">
        <v>1472</v>
      </c>
      <c r="K22" s="17"/>
    </row>
    <row r="23" spans="1:11" ht="13.95" customHeight="1" x14ac:dyDescent="0.3">
      <c r="A23" s="3">
        <v>45679</v>
      </c>
      <c r="B23" s="19" t="s">
        <v>1837</v>
      </c>
      <c r="C23" s="19" t="s">
        <v>5</v>
      </c>
      <c r="D23" s="19" t="s">
        <v>1259</v>
      </c>
      <c r="E23" s="4">
        <v>0.35</v>
      </c>
      <c r="F23" s="42">
        <v>1.85</v>
      </c>
      <c r="G23" s="45">
        <v>371</v>
      </c>
      <c r="H23" s="22">
        <v>1.9</v>
      </c>
      <c r="I23" s="6">
        <f t="shared" si="1"/>
        <v>456.42274999999995</v>
      </c>
      <c r="J23" s="6" t="s">
        <v>150</v>
      </c>
      <c r="K23" s="17"/>
    </row>
    <row r="24" spans="1:11" ht="13.95" customHeight="1" x14ac:dyDescent="0.3">
      <c r="A24" s="3">
        <v>45680</v>
      </c>
      <c r="B24" s="19" t="s">
        <v>1837</v>
      </c>
      <c r="C24" s="19" t="s">
        <v>8</v>
      </c>
      <c r="D24" s="19" t="s">
        <v>44</v>
      </c>
      <c r="E24" s="4">
        <v>0.45</v>
      </c>
      <c r="F24" s="42">
        <v>1.9</v>
      </c>
      <c r="G24" s="45">
        <v>371</v>
      </c>
      <c r="H24" s="22">
        <v>1.9</v>
      </c>
      <c r="I24" s="6">
        <f t="shared" si="1"/>
        <v>602.68950000000007</v>
      </c>
      <c r="J24" s="6" t="s">
        <v>1559</v>
      </c>
      <c r="K24" s="17"/>
    </row>
    <row r="25" spans="1:11" ht="13.95" customHeight="1" x14ac:dyDescent="0.3">
      <c r="A25" s="3">
        <v>45681</v>
      </c>
      <c r="B25" s="19" t="s">
        <v>1837</v>
      </c>
      <c r="C25" s="19" t="s">
        <v>11</v>
      </c>
      <c r="D25" s="19" t="s">
        <v>658</v>
      </c>
      <c r="E25" s="4">
        <v>0.6</v>
      </c>
      <c r="F25" s="42">
        <v>2.1</v>
      </c>
      <c r="G25" s="45">
        <v>371</v>
      </c>
      <c r="H25" s="22">
        <v>1.9</v>
      </c>
      <c r="I25" s="6">
        <f t="shared" si="1"/>
        <v>888.17399999999986</v>
      </c>
      <c r="J25" s="6" t="s">
        <v>1733</v>
      </c>
      <c r="K25" s="17"/>
    </row>
    <row r="26" spans="1:11" ht="13.95" customHeight="1" x14ac:dyDescent="0.3">
      <c r="A26" s="3">
        <v>45682</v>
      </c>
      <c r="B26" s="19" t="s">
        <v>1837</v>
      </c>
      <c r="C26" s="19" t="s">
        <v>13</v>
      </c>
      <c r="D26" s="19" t="s">
        <v>658</v>
      </c>
      <c r="E26" s="4">
        <v>0.85</v>
      </c>
      <c r="F26" s="42">
        <v>2.6</v>
      </c>
      <c r="G26" s="45">
        <v>371</v>
      </c>
      <c r="H26" s="22">
        <v>1.9</v>
      </c>
      <c r="I26" s="6">
        <f t="shared" si="1"/>
        <v>1557.829</v>
      </c>
      <c r="J26" s="6" t="s">
        <v>1323</v>
      </c>
      <c r="K26" s="17"/>
    </row>
    <row r="27" spans="1:11" ht="13.95" customHeight="1" x14ac:dyDescent="0.3">
      <c r="A27" s="3">
        <v>45683</v>
      </c>
      <c r="B27" s="19" t="s">
        <v>1837</v>
      </c>
      <c r="C27" s="19" t="s">
        <v>16</v>
      </c>
      <c r="D27" s="19" t="s">
        <v>658</v>
      </c>
      <c r="E27" s="4">
        <v>0.8</v>
      </c>
      <c r="F27" s="42">
        <v>2.2999999999999998</v>
      </c>
      <c r="G27" s="45">
        <v>371</v>
      </c>
      <c r="H27" s="22">
        <v>1.9</v>
      </c>
      <c r="I27" s="6">
        <f t="shared" si="1"/>
        <v>1297.0159999999998</v>
      </c>
      <c r="J27" s="6" t="s">
        <v>1734</v>
      </c>
      <c r="K27" s="17"/>
    </row>
    <row r="28" spans="1:11" ht="13.95" customHeight="1" x14ac:dyDescent="0.3">
      <c r="A28" s="3">
        <v>45684</v>
      </c>
      <c r="B28" s="19" t="s">
        <v>1837</v>
      </c>
      <c r="C28" s="19" t="s">
        <v>18</v>
      </c>
      <c r="D28" s="19" t="s">
        <v>658</v>
      </c>
      <c r="E28" s="4">
        <v>0.7</v>
      </c>
      <c r="F28" s="42">
        <v>2.15</v>
      </c>
      <c r="G28" s="45">
        <v>371</v>
      </c>
      <c r="H28" s="22">
        <v>1.9</v>
      </c>
      <c r="I28" s="6">
        <f t="shared" si="1"/>
        <v>1060.8744999999997</v>
      </c>
      <c r="J28" s="6" t="s">
        <v>1735</v>
      </c>
      <c r="K28" s="17"/>
    </row>
    <row r="29" spans="1:11" ht="13.95" customHeight="1" x14ac:dyDescent="0.3">
      <c r="A29" s="3">
        <v>45685</v>
      </c>
      <c r="B29" s="19" t="s">
        <v>1837</v>
      </c>
      <c r="C29" s="19" t="s">
        <v>20</v>
      </c>
      <c r="D29" s="19" t="s">
        <v>658</v>
      </c>
      <c r="E29" s="4">
        <v>0.7</v>
      </c>
      <c r="F29" s="42">
        <v>2.15</v>
      </c>
      <c r="G29" s="45">
        <v>371</v>
      </c>
      <c r="H29" s="22">
        <v>1.9</v>
      </c>
      <c r="I29" s="6">
        <f t="shared" si="1"/>
        <v>1060.8744999999997</v>
      </c>
      <c r="J29" s="6" t="s">
        <v>717</v>
      </c>
      <c r="K29" s="17"/>
    </row>
    <row r="30" spans="1:11" ht="13.95" customHeight="1" x14ac:dyDescent="0.3">
      <c r="A30" s="3">
        <v>45686</v>
      </c>
      <c r="B30" s="19" t="s">
        <v>1837</v>
      </c>
      <c r="C30" s="19" t="s">
        <v>5</v>
      </c>
      <c r="D30" s="19" t="s">
        <v>658</v>
      </c>
      <c r="E30" s="4">
        <v>0.7</v>
      </c>
      <c r="F30" s="42">
        <v>2.15</v>
      </c>
      <c r="G30" s="45">
        <v>371</v>
      </c>
      <c r="H30" s="22">
        <v>1.9</v>
      </c>
      <c r="I30" s="6">
        <f t="shared" si="1"/>
        <v>1060.8744999999997</v>
      </c>
      <c r="J30" s="6" t="s">
        <v>717</v>
      </c>
      <c r="K30" s="17"/>
    </row>
    <row r="31" spans="1:11" ht="13.95" customHeight="1" x14ac:dyDescent="0.3">
      <c r="A31" s="3">
        <v>45687</v>
      </c>
      <c r="B31" s="19" t="s">
        <v>1837</v>
      </c>
      <c r="C31" s="19" t="s">
        <v>8</v>
      </c>
      <c r="D31" s="19" t="s">
        <v>658</v>
      </c>
      <c r="E31" s="4">
        <v>0.75</v>
      </c>
      <c r="F31" s="42">
        <v>2.2000000000000002</v>
      </c>
      <c r="G31" s="45">
        <v>371</v>
      </c>
      <c r="H31" s="22">
        <v>1.9</v>
      </c>
      <c r="I31" s="6">
        <f t="shared" si="1"/>
        <v>1163.085</v>
      </c>
      <c r="J31" s="6" t="s">
        <v>82</v>
      </c>
      <c r="K31" s="17"/>
    </row>
    <row r="32" spans="1:11" ht="13.95" customHeight="1" x14ac:dyDescent="0.3">
      <c r="A32" s="3">
        <v>45688</v>
      </c>
      <c r="B32" s="19" t="s">
        <v>1837</v>
      </c>
      <c r="C32" s="19" t="s">
        <v>11</v>
      </c>
      <c r="D32" s="19" t="s">
        <v>658</v>
      </c>
      <c r="E32" s="4">
        <v>0.85</v>
      </c>
      <c r="F32" s="42">
        <v>2.2999999999999998</v>
      </c>
      <c r="G32" s="45">
        <v>371</v>
      </c>
      <c r="H32" s="22">
        <v>1.9</v>
      </c>
      <c r="I32" s="6">
        <f t="shared" si="1"/>
        <v>1378.0794999999996</v>
      </c>
      <c r="J32" s="6" t="s">
        <v>543</v>
      </c>
      <c r="K32" s="17"/>
    </row>
    <row r="33" spans="1:11" ht="13.95" customHeight="1" x14ac:dyDescent="0.3">
      <c r="A33" s="3">
        <v>45689</v>
      </c>
      <c r="B33" s="19" t="s">
        <v>1837</v>
      </c>
      <c r="C33" s="19" t="s">
        <v>13</v>
      </c>
      <c r="D33" s="19" t="s">
        <v>1491</v>
      </c>
      <c r="E33" s="4">
        <v>0.85</v>
      </c>
      <c r="F33" s="42">
        <v>2.5499999999999998</v>
      </c>
      <c r="G33" s="45">
        <v>371</v>
      </c>
      <c r="H33" s="22">
        <v>1.9</v>
      </c>
      <c r="I33" s="6">
        <f t="shared" si="1"/>
        <v>1527.8707499999996</v>
      </c>
      <c r="J33" s="6" t="s">
        <v>1736</v>
      </c>
      <c r="K33" s="17"/>
    </row>
    <row r="34" spans="1:11" ht="13.95" customHeight="1" x14ac:dyDescent="0.3">
      <c r="A34" s="3">
        <v>45690</v>
      </c>
      <c r="B34" s="19" t="s">
        <v>1837</v>
      </c>
      <c r="C34" s="19" t="s">
        <v>16</v>
      </c>
      <c r="D34" s="19" t="s">
        <v>1491</v>
      </c>
      <c r="E34" s="4">
        <v>0.75</v>
      </c>
      <c r="F34" s="42">
        <v>2.25</v>
      </c>
      <c r="G34" s="45">
        <v>371</v>
      </c>
      <c r="H34" s="22">
        <v>1.9</v>
      </c>
      <c r="I34" s="6">
        <f t="shared" si="1"/>
        <v>1189.51875</v>
      </c>
      <c r="J34" s="6" t="s">
        <v>1647</v>
      </c>
      <c r="K34" s="17"/>
    </row>
    <row r="35" spans="1:11" ht="13.95" customHeight="1" x14ac:dyDescent="0.3">
      <c r="A35" s="3">
        <v>45691</v>
      </c>
      <c r="B35" s="19" t="s">
        <v>1837</v>
      </c>
      <c r="C35" s="19" t="s">
        <v>18</v>
      </c>
      <c r="D35" s="19" t="s">
        <v>1259</v>
      </c>
      <c r="E35" s="4">
        <v>0.4</v>
      </c>
      <c r="F35" s="42">
        <v>1.85</v>
      </c>
      <c r="G35" s="45">
        <v>371</v>
      </c>
      <c r="H35" s="22">
        <v>1.9</v>
      </c>
      <c r="I35" s="6">
        <f t="shared" si="1"/>
        <v>521.62599999999998</v>
      </c>
      <c r="J35" s="6" t="s">
        <v>1737</v>
      </c>
      <c r="K35" s="17"/>
    </row>
    <row r="36" spans="1:11" ht="13.95" customHeight="1" x14ac:dyDescent="0.3">
      <c r="A36" s="3">
        <v>45692</v>
      </c>
      <c r="B36" s="19" t="s">
        <v>1837</v>
      </c>
      <c r="C36" s="19" t="s">
        <v>20</v>
      </c>
      <c r="D36" s="19" t="s">
        <v>1259</v>
      </c>
      <c r="E36" s="4">
        <v>0.35</v>
      </c>
      <c r="F36" s="42">
        <v>1.8</v>
      </c>
      <c r="G36" s="45">
        <v>371</v>
      </c>
      <c r="H36" s="22">
        <v>1.9</v>
      </c>
      <c r="I36" s="6">
        <f t="shared" si="1"/>
        <v>444.08699999999993</v>
      </c>
      <c r="J36" s="6" t="s">
        <v>1628</v>
      </c>
      <c r="K36" s="17"/>
    </row>
    <row r="37" spans="1:11" ht="13.95" customHeight="1" x14ac:dyDescent="0.3">
      <c r="A37" s="3">
        <v>45693</v>
      </c>
      <c r="B37" s="19" t="s">
        <v>1837</v>
      </c>
      <c r="C37" s="19" t="s">
        <v>5</v>
      </c>
      <c r="D37" s="19" t="s">
        <v>1259</v>
      </c>
      <c r="E37" s="4">
        <v>0.35</v>
      </c>
      <c r="F37" s="42">
        <v>1.8</v>
      </c>
      <c r="G37" s="45">
        <v>371</v>
      </c>
      <c r="H37" s="22">
        <v>1.9</v>
      </c>
      <c r="I37" s="6">
        <f t="shared" si="1"/>
        <v>444.08699999999993</v>
      </c>
      <c r="J37" s="6" t="s">
        <v>1628</v>
      </c>
      <c r="K37" s="17"/>
    </row>
    <row r="38" spans="1:11" ht="13.95" customHeight="1" x14ac:dyDescent="0.3">
      <c r="A38" s="3">
        <v>45694</v>
      </c>
      <c r="B38" s="19" t="s">
        <v>1837</v>
      </c>
      <c r="C38" s="19" t="s">
        <v>8</v>
      </c>
      <c r="D38" s="19" t="s">
        <v>1738</v>
      </c>
      <c r="E38" s="4">
        <v>0.5</v>
      </c>
      <c r="F38" s="42">
        <v>2</v>
      </c>
      <c r="G38" s="45">
        <v>371</v>
      </c>
      <c r="H38" s="22">
        <v>1.9</v>
      </c>
      <c r="I38" s="6">
        <f t="shared" si="1"/>
        <v>704.9</v>
      </c>
      <c r="J38" s="6" t="s">
        <v>1739</v>
      </c>
      <c r="K38" s="17"/>
    </row>
    <row r="39" spans="1:11" ht="13.95" customHeight="1" x14ac:dyDescent="0.3">
      <c r="A39" s="3">
        <v>45695</v>
      </c>
      <c r="B39" s="19" t="s">
        <v>1837</v>
      </c>
      <c r="C39" s="19" t="s">
        <v>11</v>
      </c>
      <c r="D39" s="19" t="s">
        <v>14</v>
      </c>
      <c r="E39" s="4">
        <v>0.55000000000000004</v>
      </c>
      <c r="F39" s="42">
        <v>2.1</v>
      </c>
      <c r="G39" s="45">
        <v>371</v>
      </c>
      <c r="H39" s="22">
        <v>1.9</v>
      </c>
      <c r="I39" s="6">
        <f t="shared" si="1"/>
        <v>814.15950000000009</v>
      </c>
      <c r="J39" s="6" t="s">
        <v>1124</v>
      </c>
      <c r="K39" s="17"/>
    </row>
    <row r="40" spans="1:11" ht="13.95" customHeight="1" x14ac:dyDescent="0.3">
      <c r="A40" s="3">
        <v>45696</v>
      </c>
      <c r="B40" s="19" t="s">
        <v>1837</v>
      </c>
      <c r="C40" s="19" t="s">
        <v>13</v>
      </c>
      <c r="D40" s="19" t="s">
        <v>14</v>
      </c>
      <c r="E40" s="4">
        <v>0.65</v>
      </c>
      <c r="F40" s="42">
        <v>2.35</v>
      </c>
      <c r="G40" s="45">
        <v>371</v>
      </c>
      <c r="H40" s="22">
        <v>1.9</v>
      </c>
      <c r="I40" s="6">
        <f t="shared" si="1"/>
        <v>1076.7347499999998</v>
      </c>
      <c r="J40" s="6" t="s">
        <v>1740</v>
      </c>
      <c r="K40" s="17"/>
    </row>
    <row r="41" spans="1:11" ht="13.95" customHeight="1" x14ac:dyDescent="0.3">
      <c r="A41" s="3">
        <v>45697</v>
      </c>
      <c r="B41" s="19" t="s">
        <v>1837</v>
      </c>
      <c r="C41" s="19" t="s">
        <v>16</v>
      </c>
      <c r="D41" s="19" t="s">
        <v>14</v>
      </c>
      <c r="E41" s="4">
        <v>0.6</v>
      </c>
      <c r="F41" s="42">
        <v>2.2000000000000002</v>
      </c>
      <c r="G41" s="45">
        <v>371</v>
      </c>
      <c r="H41" s="22">
        <v>1.9</v>
      </c>
      <c r="I41" s="6">
        <f t="shared" si="1"/>
        <v>930.46799999999996</v>
      </c>
      <c r="J41" s="6" t="s">
        <v>139</v>
      </c>
      <c r="K41" s="17"/>
    </row>
    <row r="42" spans="1:11" ht="13.95" customHeight="1" x14ac:dyDescent="0.3">
      <c r="A42" s="3">
        <v>45698</v>
      </c>
      <c r="B42" s="19" t="s">
        <v>1837</v>
      </c>
      <c r="C42" s="19" t="s">
        <v>18</v>
      </c>
      <c r="D42" s="19" t="s">
        <v>1259</v>
      </c>
      <c r="E42" s="4">
        <v>0.35</v>
      </c>
      <c r="F42" s="42">
        <v>1.8</v>
      </c>
      <c r="G42" s="45">
        <v>371</v>
      </c>
      <c r="H42" s="22">
        <v>1.9</v>
      </c>
      <c r="I42" s="6">
        <f t="shared" si="1"/>
        <v>444.08699999999993</v>
      </c>
      <c r="J42" s="6" t="s">
        <v>150</v>
      </c>
      <c r="K42" s="17"/>
    </row>
    <row r="43" spans="1:11" ht="13.95" customHeight="1" x14ac:dyDescent="0.3">
      <c r="A43" s="3">
        <v>45699</v>
      </c>
      <c r="B43" s="19" t="s">
        <v>1837</v>
      </c>
      <c r="C43" s="19" t="s">
        <v>20</v>
      </c>
      <c r="D43" s="19" t="s">
        <v>1259</v>
      </c>
      <c r="E43" s="4">
        <v>0.35</v>
      </c>
      <c r="F43" s="42">
        <v>1.8</v>
      </c>
      <c r="G43" s="45">
        <v>371</v>
      </c>
      <c r="H43" s="22">
        <v>1.9</v>
      </c>
      <c r="I43" s="6">
        <f t="shared" si="1"/>
        <v>444.08699999999993</v>
      </c>
      <c r="J43" s="6" t="s">
        <v>150</v>
      </c>
      <c r="K43" s="17"/>
    </row>
    <row r="44" spans="1:11" ht="13.95" customHeight="1" x14ac:dyDescent="0.3">
      <c r="A44" s="3">
        <v>45700</v>
      </c>
      <c r="B44" s="19" t="s">
        <v>1837</v>
      </c>
      <c r="C44" s="19" t="s">
        <v>5</v>
      </c>
      <c r="D44" s="19" t="s">
        <v>1741</v>
      </c>
      <c r="E44" s="4">
        <v>0.45</v>
      </c>
      <c r="F44" s="42">
        <v>1.9</v>
      </c>
      <c r="G44" s="45">
        <v>371</v>
      </c>
      <c r="H44" s="22">
        <v>1.9</v>
      </c>
      <c r="I44" s="6">
        <f t="shared" si="1"/>
        <v>602.68950000000007</v>
      </c>
      <c r="J44" s="6" t="s">
        <v>1742</v>
      </c>
      <c r="K44" s="17"/>
    </row>
    <row r="45" spans="1:11" ht="13.95" customHeight="1" x14ac:dyDescent="0.3">
      <c r="A45" s="3">
        <v>45701</v>
      </c>
      <c r="B45" s="19" t="s">
        <v>1837</v>
      </c>
      <c r="C45" s="19" t="s">
        <v>8</v>
      </c>
      <c r="D45" s="19" t="s">
        <v>1741</v>
      </c>
      <c r="E45" s="4">
        <v>0.6</v>
      </c>
      <c r="F45" s="42">
        <v>2.1</v>
      </c>
      <c r="G45" s="45">
        <v>371</v>
      </c>
      <c r="H45" s="22">
        <v>1.9</v>
      </c>
      <c r="I45" s="6">
        <f t="shared" si="1"/>
        <v>888.17399999999986</v>
      </c>
      <c r="J45" s="6" t="s">
        <v>1743</v>
      </c>
      <c r="K45" s="17"/>
    </row>
    <row r="46" spans="1:11" ht="13.95" customHeight="1" x14ac:dyDescent="0.3">
      <c r="A46" s="3">
        <v>45702</v>
      </c>
      <c r="B46" s="19" t="s">
        <v>1837</v>
      </c>
      <c r="C46" s="19" t="s">
        <v>11</v>
      </c>
      <c r="D46" s="19" t="s">
        <v>557</v>
      </c>
      <c r="E46" s="4">
        <v>0.95</v>
      </c>
      <c r="F46" s="42">
        <v>3.1</v>
      </c>
      <c r="G46" s="45">
        <v>371</v>
      </c>
      <c r="H46" s="22">
        <v>1.9</v>
      </c>
      <c r="I46" s="6">
        <f t="shared" si="1"/>
        <v>2075.9304999999999</v>
      </c>
      <c r="J46" s="6" t="s">
        <v>1744</v>
      </c>
      <c r="K46" s="17"/>
    </row>
    <row r="47" spans="1:11" ht="13.95" customHeight="1" x14ac:dyDescent="0.3">
      <c r="A47" s="3">
        <v>45703</v>
      </c>
      <c r="B47" s="19" t="s">
        <v>1837</v>
      </c>
      <c r="C47" s="19" t="s">
        <v>13</v>
      </c>
      <c r="D47" s="19" t="s">
        <v>1745</v>
      </c>
      <c r="E47" s="4">
        <v>0.9</v>
      </c>
      <c r="F47" s="42">
        <v>2.7</v>
      </c>
      <c r="G47" s="45">
        <v>371</v>
      </c>
      <c r="H47" s="22">
        <v>1.9</v>
      </c>
      <c r="I47" s="6">
        <f t="shared" si="1"/>
        <v>1712.9070000000004</v>
      </c>
      <c r="J47" s="6" t="s">
        <v>197</v>
      </c>
      <c r="K47" s="17"/>
    </row>
    <row r="48" spans="1:11" ht="13.95" customHeight="1" x14ac:dyDescent="0.3">
      <c r="A48" s="3">
        <v>45704</v>
      </c>
      <c r="B48" s="19" t="s">
        <v>1837</v>
      </c>
      <c r="C48" s="19" t="s">
        <v>16</v>
      </c>
      <c r="D48" s="19" t="s">
        <v>1745</v>
      </c>
      <c r="E48" s="4">
        <v>0.8</v>
      </c>
      <c r="F48" s="42">
        <v>2.4</v>
      </c>
      <c r="G48" s="45">
        <v>371</v>
      </c>
      <c r="H48" s="22">
        <v>1.9</v>
      </c>
      <c r="I48" s="6">
        <f t="shared" si="1"/>
        <v>1353.4080000000001</v>
      </c>
      <c r="J48" s="6" t="s">
        <v>559</v>
      </c>
      <c r="K48" s="17"/>
    </row>
    <row r="49" spans="1:11" ht="13.95" customHeight="1" x14ac:dyDescent="0.3">
      <c r="A49" s="3">
        <v>45705</v>
      </c>
      <c r="B49" s="19" t="s">
        <v>1837</v>
      </c>
      <c r="C49" s="19" t="s">
        <v>18</v>
      </c>
      <c r="D49" s="19" t="s">
        <v>1259</v>
      </c>
      <c r="E49" s="4">
        <v>0.4</v>
      </c>
      <c r="F49" s="42">
        <v>1.85</v>
      </c>
      <c r="G49" s="45">
        <v>371</v>
      </c>
      <c r="H49" s="22">
        <v>1.9</v>
      </c>
      <c r="I49" s="6">
        <f t="shared" si="1"/>
        <v>521.62599999999998</v>
      </c>
      <c r="J49" s="6" t="s">
        <v>1746</v>
      </c>
      <c r="K49" s="17"/>
    </row>
    <row r="50" spans="1:11" ht="13.95" customHeight="1" x14ac:dyDescent="0.3">
      <c r="A50" s="3">
        <v>45706</v>
      </c>
      <c r="B50" s="19" t="s">
        <v>1837</v>
      </c>
      <c r="C50" s="19" t="s">
        <v>20</v>
      </c>
      <c r="D50" s="19" t="s">
        <v>1259</v>
      </c>
      <c r="E50" s="4">
        <v>0.38</v>
      </c>
      <c r="F50" s="42">
        <v>1.8</v>
      </c>
      <c r="G50" s="45">
        <v>371</v>
      </c>
      <c r="H50" s="22">
        <v>1.9</v>
      </c>
      <c r="I50" s="6">
        <f t="shared" si="1"/>
        <v>482.15159999999992</v>
      </c>
      <c r="J50" s="6" t="s">
        <v>1747</v>
      </c>
      <c r="K50" s="17"/>
    </row>
    <row r="51" spans="1:11" ht="13.95" customHeight="1" x14ac:dyDescent="0.3">
      <c r="A51" s="3">
        <v>45707</v>
      </c>
      <c r="B51" s="19" t="s">
        <v>1837</v>
      </c>
      <c r="C51" s="19" t="s">
        <v>5</v>
      </c>
      <c r="D51" s="19" t="s">
        <v>1259</v>
      </c>
      <c r="E51" s="4">
        <v>0.4</v>
      </c>
      <c r="F51" s="42">
        <v>1.8</v>
      </c>
      <c r="G51" s="45">
        <v>371</v>
      </c>
      <c r="H51" s="22">
        <v>1.9</v>
      </c>
      <c r="I51" s="6">
        <f t="shared" si="1"/>
        <v>507.52799999999996</v>
      </c>
      <c r="J51" s="6" t="s">
        <v>1747</v>
      </c>
      <c r="K51" s="17"/>
    </row>
    <row r="52" spans="1:11" ht="13.95" customHeight="1" x14ac:dyDescent="0.3">
      <c r="A52" s="3">
        <v>45708</v>
      </c>
      <c r="B52" s="19" t="s">
        <v>1837</v>
      </c>
      <c r="C52" s="19" t="s">
        <v>8</v>
      </c>
      <c r="D52" s="19" t="s">
        <v>1738</v>
      </c>
      <c r="E52" s="4">
        <v>0.55000000000000004</v>
      </c>
      <c r="F52" s="42">
        <v>2.0499999999999998</v>
      </c>
      <c r="G52" s="45">
        <v>371</v>
      </c>
      <c r="H52" s="22">
        <v>1.9</v>
      </c>
      <c r="I52" s="6">
        <f t="shared" si="1"/>
        <v>794.77474999999993</v>
      </c>
      <c r="J52" s="6" t="s">
        <v>1748</v>
      </c>
      <c r="K52" s="17"/>
    </row>
    <row r="53" spans="1:11" ht="13.95" customHeight="1" x14ac:dyDescent="0.3">
      <c r="A53" s="3">
        <v>45709</v>
      </c>
      <c r="B53" s="19" t="s">
        <v>1837</v>
      </c>
      <c r="C53" s="19" t="s">
        <v>11</v>
      </c>
      <c r="D53" s="19" t="s">
        <v>14</v>
      </c>
      <c r="E53" s="4">
        <v>0.6</v>
      </c>
      <c r="F53" s="42">
        <v>2.15</v>
      </c>
      <c r="G53" s="45">
        <v>371</v>
      </c>
      <c r="H53" s="22">
        <v>1.9</v>
      </c>
      <c r="I53" s="6">
        <f t="shared" si="1"/>
        <v>909.32099999999991</v>
      </c>
      <c r="J53" s="6" t="s">
        <v>97</v>
      </c>
      <c r="K53" s="17"/>
    </row>
    <row r="54" spans="1:11" ht="13.95" customHeight="1" x14ac:dyDescent="0.3">
      <c r="A54" s="3">
        <v>45710</v>
      </c>
      <c r="B54" s="19" t="s">
        <v>1837</v>
      </c>
      <c r="C54" s="19" t="s">
        <v>13</v>
      </c>
      <c r="D54" s="19" t="s">
        <v>14</v>
      </c>
      <c r="E54" s="4">
        <v>0.7</v>
      </c>
      <c r="F54" s="42">
        <v>2.4</v>
      </c>
      <c r="G54" s="45">
        <v>371</v>
      </c>
      <c r="H54" s="22">
        <v>1.9</v>
      </c>
      <c r="I54" s="6">
        <f t="shared" si="1"/>
        <v>1184.232</v>
      </c>
      <c r="J54" s="6" t="s">
        <v>1749</v>
      </c>
      <c r="K54" s="17"/>
    </row>
    <row r="55" spans="1:11" ht="13.95" customHeight="1" x14ac:dyDescent="0.3">
      <c r="A55" s="3">
        <v>45711</v>
      </c>
      <c r="B55" s="19" t="s">
        <v>1837</v>
      </c>
      <c r="C55" s="19" t="s">
        <v>16</v>
      </c>
      <c r="D55" s="19" t="s">
        <v>14</v>
      </c>
      <c r="E55" s="4">
        <v>0.6</v>
      </c>
      <c r="F55" s="42">
        <v>2.2000000000000002</v>
      </c>
      <c r="G55" s="45">
        <v>371</v>
      </c>
      <c r="H55" s="22">
        <v>1.9</v>
      </c>
      <c r="I55" s="6">
        <f t="shared" si="1"/>
        <v>930.46799999999996</v>
      </c>
      <c r="J55" s="6" t="s">
        <v>149</v>
      </c>
      <c r="K55" s="17"/>
    </row>
    <row r="56" spans="1:11" ht="13.95" customHeight="1" x14ac:dyDescent="0.3">
      <c r="A56" s="3">
        <v>45712</v>
      </c>
      <c r="B56" s="19" t="s">
        <v>1837</v>
      </c>
      <c r="C56" s="19" t="s">
        <v>18</v>
      </c>
      <c r="D56" s="19" t="s">
        <v>1259</v>
      </c>
      <c r="E56" s="4">
        <v>0.35</v>
      </c>
      <c r="F56" s="42">
        <v>1.8</v>
      </c>
      <c r="G56" s="45">
        <v>371</v>
      </c>
      <c r="H56" s="22">
        <v>1.9</v>
      </c>
      <c r="I56" s="6">
        <f t="shared" si="1"/>
        <v>444.08699999999993</v>
      </c>
      <c r="J56" s="6" t="s">
        <v>150</v>
      </c>
      <c r="K56" s="17"/>
    </row>
    <row r="57" spans="1:11" ht="13.95" customHeight="1" x14ac:dyDescent="0.3">
      <c r="A57" s="3">
        <v>45713</v>
      </c>
      <c r="B57" s="19" t="s">
        <v>1837</v>
      </c>
      <c r="C57" s="19" t="s">
        <v>20</v>
      </c>
      <c r="D57" s="19" t="s">
        <v>1259</v>
      </c>
      <c r="E57" s="4">
        <v>0.32</v>
      </c>
      <c r="F57" s="42">
        <v>1.8</v>
      </c>
      <c r="G57" s="45">
        <v>371</v>
      </c>
      <c r="H57" s="22">
        <v>1.9</v>
      </c>
      <c r="I57" s="6">
        <f t="shared" si="1"/>
        <v>406.0224</v>
      </c>
      <c r="J57" s="6" t="s">
        <v>1472</v>
      </c>
      <c r="K57" s="17"/>
    </row>
    <row r="58" spans="1:11" ht="13.95" customHeight="1" x14ac:dyDescent="0.3">
      <c r="A58" s="3">
        <v>45714</v>
      </c>
      <c r="B58" s="19" t="s">
        <v>1837</v>
      </c>
      <c r="C58" s="19" t="s">
        <v>5</v>
      </c>
      <c r="D58" s="19" t="s">
        <v>1259</v>
      </c>
      <c r="E58" s="4">
        <v>0.35</v>
      </c>
      <c r="F58" s="42">
        <v>1.85</v>
      </c>
      <c r="G58" s="45">
        <v>371</v>
      </c>
      <c r="H58" s="22">
        <v>1.9</v>
      </c>
      <c r="I58" s="6">
        <f t="shared" si="1"/>
        <v>456.42274999999995</v>
      </c>
      <c r="J58" s="6" t="s">
        <v>150</v>
      </c>
      <c r="K58" s="17"/>
    </row>
    <row r="59" spans="1:11" ht="13.95" customHeight="1" x14ac:dyDescent="0.3">
      <c r="A59" s="3">
        <v>45715</v>
      </c>
      <c r="B59" s="19" t="s">
        <v>1837</v>
      </c>
      <c r="C59" s="19" t="s">
        <v>8</v>
      </c>
      <c r="D59" s="19" t="s">
        <v>44</v>
      </c>
      <c r="E59" s="4">
        <v>0.42</v>
      </c>
      <c r="F59" s="42">
        <v>1.9</v>
      </c>
      <c r="G59" s="45">
        <v>371</v>
      </c>
      <c r="H59" s="22">
        <v>1.9</v>
      </c>
      <c r="I59" s="6">
        <f t="shared" si="1"/>
        <v>562.51019999999994</v>
      </c>
      <c r="J59" s="6" t="s">
        <v>1500</v>
      </c>
      <c r="K59" s="17"/>
    </row>
    <row r="60" spans="1:11" ht="13.95" customHeight="1" x14ac:dyDescent="0.3">
      <c r="A60" s="3">
        <v>45716</v>
      </c>
      <c r="B60" s="19" t="s">
        <v>1837</v>
      </c>
      <c r="C60" s="19" t="s">
        <v>11</v>
      </c>
      <c r="D60" s="19" t="s">
        <v>1417</v>
      </c>
      <c r="E60" s="4">
        <v>0.6</v>
      </c>
      <c r="F60" s="42">
        <v>2.2000000000000002</v>
      </c>
      <c r="G60" s="45">
        <v>371</v>
      </c>
      <c r="H60" s="22">
        <v>1.9</v>
      </c>
      <c r="I60" s="6">
        <f t="shared" si="1"/>
        <v>930.46799999999996</v>
      </c>
      <c r="J60" s="6" t="s">
        <v>1750</v>
      </c>
      <c r="K60" s="17"/>
    </row>
    <row r="61" spans="1:11" ht="13.95" customHeight="1" x14ac:dyDescent="0.3">
      <c r="A61" s="3">
        <v>45717</v>
      </c>
      <c r="B61" s="19" t="s">
        <v>1837</v>
      </c>
      <c r="C61" s="19" t="s">
        <v>13</v>
      </c>
      <c r="D61" s="19" t="s">
        <v>708</v>
      </c>
      <c r="E61" s="4">
        <v>0.6</v>
      </c>
      <c r="F61" s="42">
        <v>2.5499999999999998</v>
      </c>
      <c r="G61" s="45">
        <v>371</v>
      </c>
      <c r="H61" s="22">
        <v>1.9</v>
      </c>
      <c r="I61" s="6">
        <f t="shared" si="1"/>
        <v>1078.4969999999998</v>
      </c>
      <c r="J61" s="6" t="s">
        <v>1751</v>
      </c>
      <c r="K61" s="17"/>
    </row>
    <row r="62" spans="1:11" ht="13.95" customHeight="1" x14ac:dyDescent="0.3">
      <c r="A62" s="3">
        <v>45718</v>
      </c>
      <c r="B62" s="19" t="s">
        <v>1837</v>
      </c>
      <c r="C62" s="19" t="s">
        <v>16</v>
      </c>
      <c r="D62" s="19" t="s">
        <v>76</v>
      </c>
      <c r="E62" s="4">
        <v>0.5</v>
      </c>
      <c r="F62" s="42">
        <v>2.2000000000000002</v>
      </c>
      <c r="G62" s="45">
        <v>371</v>
      </c>
      <c r="H62" s="22">
        <v>1.9</v>
      </c>
      <c r="I62" s="6">
        <f t="shared" si="1"/>
        <v>775.39</v>
      </c>
      <c r="J62" s="6" t="s">
        <v>1752</v>
      </c>
      <c r="K62" s="17"/>
    </row>
    <row r="63" spans="1:11" ht="13.95" customHeight="1" x14ac:dyDescent="0.3">
      <c r="A63" s="3">
        <v>45719</v>
      </c>
      <c r="B63" s="19" t="s">
        <v>1837</v>
      </c>
      <c r="C63" s="19" t="s">
        <v>18</v>
      </c>
      <c r="D63" s="19" t="s">
        <v>76</v>
      </c>
      <c r="E63" s="4">
        <v>0.3</v>
      </c>
      <c r="F63" s="42">
        <v>1.85</v>
      </c>
      <c r="G63" s="45">
        <v>371</v>
      </c>
      <c r="H63" s="22">
        <v>1.9</v>
      </c>
      <c r="I63" s="6">
        <f t="shared" si="1"/>
        <v>391.21949999999998</v>
      </c>
      <c r="J63" s="6" t="s">
        <v>1297</v>
      </c>
      <c r="K63" s="17"/>
    </row>
    <row r="64" spans="1:11" ht="13.95" customHeight="1" x14ac:dyDescent="0.3">
      <c r="A64" s="3">
        <v>45720</v>
      </c>
      <c r="B64" s="19" t="s">
        <v>1837</v>
      </c>
      <c r="C64" s="19" t="s">
        <v>20</v>
      </c>
      <c r="D64" s="19" t="s">
        <v>76</v>
      </c>
      <c r="E64" s="4">
        <v>0.28000000000000003</v>
      </c>
      <c r="F64" s="42">
        <v>1.85</v>
      </c>
      <c r="G64" s="45">
        <v>371</v>
      </c>
      <c r="H64" s="22">
        <v>1.9</v>
      </c>
      <c r="I64" s="6">
        <f t="shared" si="1"/>
        <v>365.13820000000004</v>
      </c>
      <c r="J64" s="6" t="s">
        <v>1297</v>
      </c>
      <c r="K64" s="17"/>
    </row>
    <row r="65" spans="1:11" ht="13.95" customHeight="1" x14ac:dyDescent="0.3">
      <c r="A65" s="3">
        <v>45721</v>
      </c>
      <c r="B65" s="19" t="s">
        <v>1837</v>
      </c>
      <c r="C65" s="19" t="s">
        <v>5</v>
      </c>
      <c r="D65" s="19" t="s">
        <v>76</v>
      </c>
      <c r="E65" s="4">
        <v>0.3</v>
      </c>
      <c r="F65" s="42">
        <v>1.85</v>
      </c>
      <c r="G65" s="45">
        <v>371</v>
      </c>
      <c r="H65" s="22">
        <v>1.9</v>
      </c>
      <c r="I65" s="6">
        <f t="shared" si="1"/>
        <v>391.21949999999998</v>
      </c>
      <c r="J65" s="6" t="s">
        <v>1297</v>
      </c>
      <c r="K65" s="17"/>
    </row>
    <row r="66" spans="1:11" ht="13.95" customHeight="1" x14ac:dyDescent="0.3">
      <c r="A66" s="3">
        <v>45722</v>
      </c>
      <c r="B66" s="19" t="s">
        <v>1837</v>
      </c>
      <c r="C66" s="19" t="s">
        <v>8</v>
      </c>
      <c r="D66" s="19" t="s">
        <v>1729</v>
      </c>
      <c r="E66" s="4">
        <v>0.45</v>
      </c>
      <c r="F66" s="42">
        <v>2.0499999999999998</v>
      </c>
      <c r="G66" s="45">
        <v>371</v>
      </c>
      <c r="H66" s="22">
        <v>1.9</v>
      </c>
      <c r="I66" s="6">
        <f t="shared" si="1"/>
        <v>650.27024999999992</v>
      </c>
      <c r="J66" s="6" t="s">
        <v>1753</v>
      </c>
      <c r="K66" s="17"/>
    </row>
    <row r="67" spans="1:11" ht="13.95" customHeight="1" x14ac:dyDescent="0.3">
      <c r="A67" s="3">
        <v>45723</v>
      </c>
      <c r="B67" s="19" t="s">
        <v>1837</v>
      </c>
      <c r="C67" s="19" t="s">
        <v>11</v>
      </c>
      <c r="D67" s="19" t="s">
        <v>14</v>
      </c>
      <c r="E67" s="4">
        <v>0.55000000000000004</v>
      </c>
      <c r="F67" s="42">
        <v>2.2999999999999998</v>
      </c>
      <c r="G67" s="45">
        <v>371</v>
      </c>
      <c r="H67" s="22">
        <v>1.9</v>
      </c>
      <c r="I67" s="6">
        <f t="shared" ref="I67:I130" si="2">(G67*E67)*F67*H67</f>
        <v>891.69849999999997</v>
      </c>
      <c r="J67" s="6" t="s">
        <v>1754</v>
      </c>
      <c r="K67" s="17"/>
    </row>
    <row r="68" spans="1:11" ht="13.95" customHeight="1" x14ac:dyDescent="0.3">
      <c r="A68" s="3">
        <v>45724</v>
      </c>
      <c r="B68" s="19" t="s">
        <v>1837</v>
      </c>
      <c r="C68" s="19" t="s">
        <v>13</v>
      </c>
      <c r="D68" s="19" t="s">
        <v>850</v>
      </c>
      <c r="E68" s="4">
        <v>0.8</v>
      </c>
      <c r="F68" s="42">
        <v>2.8</v>
      </c>
      <c r="G68" s="45">
        <v>371</v>
      </c>
      <c r="H68" s="22">
        <v>1.9</v>
      </c>
      <c r="I68" s="6">
        <f t="shared" si="2"/>
        <v>1578.9759999999999</v>
      </c>
      <c r="J68" s="6" t="s">
        <v>1755</v>
      </c>
      <c r="K68" s="17"/>
    </row>
    <row r="69" spans="1:11" ht="13.95" customHeight="1" x14ac:dyDescent="0.3">
      <c r="A69" s="3">
        <v>45725</v>
      </c>
      <c r="B69" s="19" t="s">
        <v>1837</v>
      </c>
      <c r="C69" s="19" t="s">
        <v>16</v>
      </c>
      <c r="D69" s="19" t="s">
        <v>76</v>
      </c>
      <c r="E69" s="4">
        <v>0.65</v>
      </c>
      <c r="F69" s="42">
        <v>2.35</v>
      </c>
      <c r="G69" s="45">
        <v>371</v>
      </c>
      <c r="H69" s="22">
        <v>1.9</v>
      </c>
      <c r="I69" s="6">
        <f t="shared" si="2"/>
        <v>1076.7347499999998</v>
      </c>
      <c r="J69" s="6" t="s">
        <v>1756</v>
      </c>
      <c r="K69" s="17"/>
    </row>
    <row r="70" spans="1:11" ht="13.95" customHeight="1" x14ac:dyDescent="0.3">
      <c r="A70" s="3">
        <v>45726</v>
      </c>
      <c r="B70" s="19" t="s">
        <v>1837</v>
      </c>
      <c r="C70" s="19" t="s">
        <v>18</v>
      </c>
      <c r="D70" s="19" t="s">
        <v>76</v>
      </c>
      <c r="E70" s="4">
        <v>0.3</v>
      </c>
      <c r="F70" s="42">
        <v>1.85</v>
      </c>
      <c r="G70" s="45">
        <v>371</v>
      </c>
      <c r="H70" s="22">
        <v>1.9</v>
      </c>
      <c r="I70" s="6">
        <f t="shared" si="2"/>
        <v>391.21949999999998</v>
      </c>
      <c r="J70" s="6" t="s">
        <v>150</v>
      </c>
      <c r="K70" s="17"/>
    </row>
    <row r="71" spans="1:11" ht="13.95" customHeight="1" x14ac:dyDescent="0.3">
      <c r="A71" s="3">
        <v>45727</v>
      </c>
      <c r="B71" s="19" t="s">
        <v>1837</v>
      </c>
      <c r="C71" s="19" t="s">
        <v>20</v>
      </c>
      <c r="D71" s="19" t="s">
        <v>76</v>
      </c>
      <c r="E71" s="4">
        <v>0.28000000000000003</v>
      </c>
      <c r="F71" s="42">
        <v>1.85</v>
      </c>
      <c r="G71" s="45">
        <v>371</v>
      </c>
      <c r="H71" s="22">
        <v>1.9</v>
      </c>
      <c r="I71" s="6">
        <f t="shared" si="2"/>
        <v>365.13820000000004</v>
      </c>
      <c r="J71" s="6" t="s">
        <v>150</v>
      </c>
      <c r="K71" s="17"/>
    </row>
    <row r="72" spans="1:11" ht="13.95" customHeight="1" x14ac:dyDescent="0.3">
      <c r="A72" s="3">
        <v>45728</v>
      </c>
      <c r="B72" s="19" t="s">
        <v>1837</v>
      </c>
      <c r="C72" s="19" t="s">
        <v>5</v>
      </c>
      <c r="D72" s="19" t="s">
        <v>76</v>
      </c>
      <c r="E72" s="4">
        <v>0.3</v>
      </c>
      <c r="F72" s="42">
        <v>1.85</v>
      </c>
      <c r="G72" s="45">
        <v>371</v>
      </c>
      <c r="H72" s="22">
        <v>1.9</v>
      </c>
      <c r="I72" s="6">
        <f t="shared" si="2"/>
        <v>391.21949999999998</v>
      </c>
      <c r="J72" s="6" t="s">
        <v>150</v>
      </c>
      <c r="K72" s="17"/>
    </row>
    <row r="73" spans="1:11" ht="13.95" customHeight="1" x14ac:dyDescent="0.3">
      <c r="A73" s="3">
        <v>45729</v>
      </c>
      <c r="B73" s="19" t="s">
        <v>1837</v>
      </c>
      <c r="C73" s="19" t="s">
        <v>8</v>
      </c>
      <c r="D73" s="19" t="s">
        <v>76</v>
      </c>
      <c r="E73" s="4">
        <v>0.35</v>
      </c>
      <c r="F73" s="42">
        <v>1.9</v>
      </c>
      <c r="G73" s="45">
        <v>371</v>
      </c>
      <c r="H73" s="22">
        <v>1.9</v>
      </c>
      <c r="I73" s="6">
        <f t="shared" si="2"/>
        <v>468.75849999999991</v>
      </c>
      <c r="J73" s="6" t="s">
        <v>71</v>
      </c>
      <c r="K73" s="17"/>
    </row>
    <row r="74" spans="1:11" ht="13.95" customHeight="1" x14ac:dyDescent="0.3">
      <c r="A74" s="3">
        <v>45730</v>
      </c>
      <c r="B74" s="19" t="s">
        <v>1837</v>
      </c>
      <c r="C74" s="19" t="s">
        <v>11</v>
      </c>
      <c r="D74" s="19" t="s">
        <v>14</v>
      </c>
      <c r="E74" s="4">
        <v>0.5</v>
      </c>
      <c r="F74" s="42">
        <v>2.2999999999999998</v>
      </c>
      <c r="G74" s="45">
        <v>371</v>
      </c>
      <c r="H74" s="22">
        <v>1.9</v>
      </c>
      <c r="I74" s="6">
        <f t="shared" si="2"/>
        <v>810.63499999999988</v>
      </c>
      <c r="J74" s="6" t="s">
        <v>1302</v>
      </c>
      <c r="K74" s="17"/>
    </row>
    <row r="75" spans="1:11" ht="13.95" customHeight="1" x14ac:dyDescent="0.3">
      <c r="A75" s="3">
        <v>45731</v>
      </c>
      <c r="B75" s="19" t="s">
        <v>1837</v>
      </c>
      <c r="C75" s="19" t="s">
        <v>13</v>
      </c>
      <c r="D75" s="19" t="s">
        <v>76</v>
      </c>
      <c r="E75" s="4">
        <v>0.65</v>
      </c>
      <c r="F75" s="42">
        <v>2.5499999999999998</v>
      </c>
      <c r="G75" s="45">
        <v>371</v>
      </c>
      <c r="H75" s="22">
        <v>1.9</v>
      </c>
      <c r="I75" s="6">
        <f t="shared" si="2"/>
        <v>1168.37175</v>
      </c>
      <c r="J75" s="6" t="s">
        <v>1303</v>
      </c>
      <c r="K75" s="17"/>
    </row>
    <row r="76" spans="1:11" ht="13.95" customHeight="1" x14ac:dyDescent="0.3">
      <c r="A76" s="3">
        <v>45732</v>
      </c>
      <c r="B76" s="19" t="s">
        <v>1837</v>
      </c>
      <c r="C76" s="19" t="s">
        <v>16</v>
      </c>
      <c r="D76" s="19" t="s">
        <v>76</v>
      </c>
      <c r="E76" s="4">
        <v>0.55000000000000004</v>
      </c>
      <c r="F76" s="42">
        <v>2.2999999999999998</v>
      </c>
      <c r="G76" s="45">
        <v>371</v>
      </c>
      <c r="H76" s="22">
        <v>1.9</v>
      </c>
      <c r="I76" s="6">
        <f t="shared" si="2"/>
        <v>891.69849999999997</v>
      </c>
      <c r="J76" s="6" t="s">
        <v>1757</v>
      </c>
      <c r="K76" s="17"/>
    </row>
    <row r="77" spans="1:11" ht="13.95" customHeight="1" x14ac:dyDescent="0.3">
      <c r="A77" s="3">
        <v>45733</v>
      </c>
      <c r="B77" s="19" t="s">
        <v>1837</v>
      </c>
      <c r="C77" s="19" t="s">
        <v>18</v>
      </c>
      <c r="D77" s="19" t="s">
        <v>76</v>
      </c>
      <c r="E77" s="4">
        <v>0.3</v>
      </c>
      <c r="F77" s="42">
        <v>1.85</v>
      </c>
      <c r="G77" s="45">
        <v>371</v>
      </c>
      <c r="H77" s="22">
        <v>1.9</v>
      </c>
      <c r="I77" s="6">
        <f t="shared" si="2"/>
        <v>391.21949999999998</v>
      </c>
      <c r="J77" s="6" t="s">
        <v>150</v>
      </c>
      <c r="K77" s="17"/>
    </row>
    <row r="78" spans="1:11" ht="13.95" customHeight="1" x14ac:dyDescent="0.3">
      <c r="A78" s="3">
        <v>45734</v>
      </c>
      <c r="B78" s="19" t="s">
        <v>1837</v>
      </c>
      <c r="C78" s="19" t="s">
        <v>20</v>
      </c>
      <c r="D78" s="19" t="s">
        <v>76</v>
      </c>
      <c r="E78" s="4">
        <v>0.3</v>
      </c>
      <c r="F78" s="42">
        <v>1.85</v>
      </c>
      <c r="G78" s="45">
        <v>371</v>
      </c>
      <c r="H78" s="22">
        <v>1.9</v>
      </c>
      <c r="I78" s="6">
        <f t="shared" si="2"/>
        <v>391.21949999999998</v>
      </c>
      <c r="J78" s="6" t="s">
        <v>150</v>
      </c>
      <c r="K78" s="17"/>
    </row>
    <row r="79" spans="1:11" ht="13.95" customHeight="1" x14ac:dyDescent="0.3">
      <c r="A79" s="3">
        <v>45735</v>
      </c>
      <c r="B79" s="19" t="s">
        <v>1837</v>
      </c>
      <c r="C79" s="19" t="s">
        <v>5</v>
      </c>
      <c r="D79" s="19" t="s">
        <v>994</v>
      </c>
      <c r="E79" s="4">
        <v>0.45</v>
      </c>
      <c r="F79" s="42">
        <v>2.1</v>
      </c>
      <c r="G79" s="45">
        <v>371</v>
      </c>
      <c r="H79" s="22">
        <v>1.9</v>
      </c>
      <c r="I79" s="6">
        <f t="shared" si="2"/>
        <v>666.13049999999998</v>
      </c>
      <c r="J79" s="6" t="s">
        <v>1305</v>
      </c>
      <c r="K79" s="17"/>
    </row>
    <row r="80" spans="1:11" ht="13.95" customHeight="1" x14ac:dyDescent="0.3">
      <c r="A80" s="3">
        <v>45736</v>
      </c>
      <c r="B80" s="19" t="s">
        <v>1837</v>
      </c>
      <c r="C80" s="19" t="s">
        <v>8</v>
      </c>
      <c r="D80" s="19" t="s">
        <v>383</v>
      </c>
      <c r="E80" s="4">
        <v>0.65</v>
      </c>
      <c r="F80" s="42">
        <v>2.4500000000000002</v>
      </c>
      <c r="G80" s="45">
        <v>371</v>
      </c>
      <c r="H80" s="22">
        <v>1.9</v>
      </c>
      <c r="I80" s="6">
        <f t="shared" si="2"/>
        <v>1122.5532500000002</v>
      </c>
      <c r="J80" s="6" t="s">
        <v>1664</v>
      </c>
      <c r="K80" s="17"/>
    </row>
    <row r="81" spans="1:11" ht="13.95" customHeight="1" x14ac:dyDescent="0.3">
      <c r="A81" s="3">
        <v>45737</v>
      </c>
      <c r="B81" s="19" t="s">
        <v>1837</v>
      </c>
      <c r="C81" s="19" t="s">
        <v>11</v>
      </c>
      <c r="D81" s="19" t="s">
        <v>14</v>
      </c>
      <c r="E81" s="4">
        <v>0.55000000000000004</v>
      </c>
      <c r="F81" s="42">
        <v>2.2999999999999998</v>
      </c>
      <c r="G81" s="45">
        <v>371</v>
      </c>
      <c r="H81" s="22">
        <v>1.9</v>
      </c>
      <c r="I81" s="6">
        <f t="shared" si="2"/>
        <v>891.69849999999997</v>
      </c>
      <c r="J81" s="6" t="s">
        <v>97</v>
      </c>
      <c r="K81" s="17"/>
    </row>
    <row r="82" spans="1:11" ht="13.95" customHeight="1" x14ac:dyDescent="0.3">
      <c r="A82" s="3">
        <v>45738</v>
      </c>
      <c r="B82" s="19" t="s">
        <v>1837</v>
      </c>
      <c r="C82" s="19" t="s">
        <v>13</v>
      </c>
      <c r="D82" s="19" t="s">
        <v>76</v>
      </c>
      <c r="E82" s="4">
        <v>0.7</v>
      </c>
      <c r="F82" s="42">
        <v>2.6</v>
      </c>
      <c r="G82" s="45">
        <v>371</v>
      </c>
      <c r="H82" s="22">
        <v>1.9</v>
      </c>
      <c r="I82" s="6">
        <f t="shared" si="2"/>
        <v>1282.9179999999999</v>
      </c>
      <c r="J82" s="6" t="s">
        <v>1758</v>
      </c>
      <c r="K82" s="17"/>
    </row>
    <row r="83" spans="1:11" ht="13.95" customHeight="1" x14ac:dyDescent="0.3">
      <c r="A83" s="3">
        <v>45739</v>
      </c>
      <c r="B83" s="19" t="s">
        <v>1837</v>
      </c>
      <c r="C83" s="19" t="s">
        <v>16</v>
      </c>
      <c r="D83" s="19" t="s">
        <v>76</v>
      </c>
      <c r="E83" s="4">
        <v>0.6</v>
      </c>
      <c r="F83" s="42">
        <v>2.2999999999999998</v>
      </c>
      <c r="G83" s="45">
        <v>371</v>
      </c>
      <c r="H83" s="22">
        <v>1.9</v>
      </c>
      <c r="I83" s="6">
        <f t="shared" si="2"/>
        <v>972.76199999999983</v>
      </c>
      <c r="J83" s="6" t="s">
        <v>1759</v>
      </c>
      <c r="K83" s="17"/>
    </row>
    <row r="84" spans="1:11" ht="13.95" customHeight="1" x14ac:dyDescent="0.3">
      <c r="A84" s="3">
        <v>45740</v>
      </c>
      <c r="B84" s="19" t="s">
        <v>1837</v>
      </c>
      <c r="C84" s="19" t="s">
        <v>18</v>
      </c>
      <c r="D84" s="19" t="s">
        <v>76</v>
      </c>
      <c r="E84" s="4">
        <v>0.32</v>
      </c>
      <c r="F84" s="42">
        <v>1.9</v>
      </c>
      <c r="G84" s="45">
        <v>371</v>
      </c>
      <c r="H84" s="22">
        <v>1.9</v>
      </c>
      <c r="I84" s="6">
        <f t="shared" si="2"/>
        <v>428.57919999999996</v>
      </c>
      <c r="J84" s="6" t="s">
        <v>150</v>
      </c>
      <c r="K84" s="17"/>
    </row>
    <row r="85" spans="1:11" ht="13.95" customHeight="1" x14ac:dyDescent="0.3">
      <c r="A85" s="3">
        <v>45741</v>
      </c>
      <c r="B85" s="19" t="s">
        <v>1837</v>
      </c>
      <c r="C85" s="19" t="s">
        <v>20</v>
      </c>
      <c r="D85" s="19" t="s">
        <v>76</v>
      </c>
      <c r="E85" s="4">
        <v>0.35</v>
      </c>
      <c r="F85" s="42">
        <v>1.9</v>
      </c>
      <c r="G85" s="45">
        <v>371</v>
      </c>
      <c r="H85" s="22">
        <v>1.9</v>
      </c>
      <c r="I85" s="6">
        <f t="shared" si="2"/>
        <v>468.75849999999991</v>
      </c>
      <c r="J85" s="6" t="s">
        <v>150</v>
      </c>
      <c r="K85" s="17"/>
    </row>
    <row r="86" spans="1:11" ht="13.95" customHeight="1" x14ac:dyDescent="0.3">
      <c r="A86" s="3">
        <v>45742</v>
      </c>
      <c r="B86" s="19" t="s">
        <v>1837</v>
      </c>
      <c r="C86" s="19" t="s">
        <v>5</v>
      </c>
      <c r="D86" s="19" t="s">
        <v>76</v>
      </c>
      <c r="E86" s="4">
        <v>0.4</v>
      </c>
      <c r="F86" s="42">
        <v>1.95</v>
      </c>
      <c r="G86" s="45">
        <v>371</v>
      </c>
      <c r="H86" s="22">
        <v>1.9</v>
      </c>
      <c r="I86" s="6">
        <f t="shared" si="2"/>
        <v>549.822</v>
      </c>
      <c r="J86" s="6" t="s">
        <v>1506</v>
      </c>
      <c r="K86" s="17"/>
    </row>
    <row r="87" spans="1:11" ht="13.95" customHeight="1" x14ac:dyDescent="0.3">
      <c r="A87" s="3">
        <v>45743</v>
      </c>
      <c r="B87" s="19" t="s">
        <v>1837</v>
      </c>
      <c r="C87" s="19" t="s">
        <v>8</v>
      </c>
      <c r="D87" s="19" t="s">
        <v>1760</v>
      </c>
      <c r="E87" s="4">
        <v>0.55000000000000004</v>
      </c>
      <c r="F87" s="42">
        <v>2.2000000000000002</v>
      </c>
      <c r="G87" s="45">
        <v>371</v>
      </c>
      <c r="H87" s="22">
        <v>1.9</v>
      </c>
      <c r="I87" s="6">
        <f t="shared" si="2"/>
        <v>852.92900000000009</v>
      </c>
      <c r="J87" s="6" t="s">
        <v>1761</v>
      </c>
      <c r="K87" s="17"/>
    </row>
    <row r="88" spans="1:11" ht="13.95" customHeight="1" x14ac:dyDescent="0.3">
      <c r="A88" s="3">
        <v>45744</v>
      </c>
      <c r="B88" s="19" t="s">
        <v>1837</v>
      </c>
      <c r="C88" s="19" t="s">
        <v>11</v>
      </c>
      <c r="D88" s="19" t="s">
        <v>1310</v>
      </c>
      <c r="E88" s="4">
        <v>0.75</v>
      </c>
      <c r="F88" s="42">
        <v>2.75</v>
      </c>
      <c r="G88" s="45">
        <v>371</v>
      </c>
      <c r="H88" s="22">
        <v>1.9</v>
      </c>
      <c r="I88" s="6">
        <f t="shared" si="2"/>
        <v>1453.85625</v>
      </c>
      <c r="J88" s="6" t="s">
        <v>1762</v>
      </c>
      <c r="K88" s="17"/>
    </row>
    <row r="89" spans="1:11" ht="13.95" customHeight="1" x14ac:dyDescent="0.3">
      <c r="A89" s="3">
        <v>45745</v>
      </c>
      <c r="B89" s="19" t="s">
        <v>1837</v>
      </c>
      <c r="C89" s="19" t="s">
        <v>13</v>
      </c>
      <c r="D89" s="19" t="s">
        <v>904</v>
      </c>
      <c r="E89" s="4">
        <v>0.85</v>
      </c>
      <c r="F89" s="42">
        <v>2.85</v>
      </c>
      <c r="G89" s="45">
        <v>371</v>
      </c>
      <c r="H89" s="22">
        <v>1.9</v>
      </c>
      <c r="I89" s="6">
        <f t="shared" si="2"/>
        <v>1707.6202499999997</v>
      </c>
      <c r="J89" s="6" t="s">
        <v>1763</v>
      </c>
      <c r="K89" s="17"/>
    </row>
    <row r="90" spans="1:11" ht="13.95" customHeight="1" x14ac:dyDescent="0.3">
      <c r="A90" s="3">
        <v>45746</v>
      </c>
      <c r="B90" s="19" t="s">
        <v>1837</v>
      </c>
      <c r="C90" s="19" t="s">
        <v>16</v>
      </c>
      <c r="D90" s="19" t="s">
        <v>574</v>
      </c>
      <c r="E90" s="4">
        <v>0.95</v>
      </c>
      <c r="F90" s="42">
        <v>3.1</v>
      </c>
      <c r="G90" s="45">
        <v>371</v>
      </c>
      <c r="H90" s="22">
        <v>1.9</v>
      </c>
      <c r="I90" s="6">
        <f t="shared" si="2"/>
        <v>2075.9304999999999</v>
      </c>
      <c r="J90" s="6" t="s">
        <v>1568</v>
      </c>
      <c r="K90" s="17"/>
    </row>
    <row r="91" spans="1:11" ht="13.95" customHeight="1" x14ac:dyDescent="0.3">
      <c r="A91" s="3">
        <v>45747</v>
      </c>
      <c r="B91" s="19" t="s">
        <v>1837</v>
      </c>
      <c r="C91" s="19" t="s">
        <v>18</v>
      </c>
      <c r="D91" s="19" t="s">
        <v>574</v>
      </c>
      <c r="E91" s="4">
        <v>0.9</v>
      </c>
      <c r="F91" s="42">
        <v>2.75</v>
      </c>
      <c r="G91" s="45">
        <v>371</v>
      </c>
      <c r="H91" s="22">
        <v>1.9</v>
      </c>
      <c r="I91" s="6">
        <f t="shared" si="2"/>
        <v>1744.6275000000003</v>
      </c>
      <c r="J91" s="6" t="s">
        <v>750</v>
      </c>
      <c r="K91" s="17"/>
    </row>
    <row r="92" spans="1:11" ht="13.95" customHeight="1" x14ac:dyDescent="0.3">
      <c r="A92" s="3">
        <v>45748</v>
      </c>
      <c r="B92" s="19" t="s">
        <v>1837</v>
      </c>
      <c r="C92" s="19" t="s">
        <v>20</v>
      </c>
      <c r="D92" s="19" t="s">
        <v>1314</v>
      </c>
      <c r="E92" s="4">
        <v>0.6</v>
      </c>
      <c r="F92" s="42">
        <v>2.1</v>
      </c>
      <c r="G92" s="45">
        <v>371</v>
      </c>
      <c r="H92" s="22">
        <v>1.9</v>
      </c>
      <c r="I92" s="6">
        <f t="shared" si="2"/>
        <v>888.17399999999986</v>
      </c>
      <c r="J92" s="6" t="s">
        <v>1509</v>
      </c>
      <c r="K92" s="17"/>
    </row>
    <row r="93" spans="1:11" ht="13.95" customHeight="1" x14ac:dyDescent="0.3">
      <c r="A93" s="3">
        <v>45749</v>
      </c>
      <c r="B93" s="19" t="s">
        <v>1837</v>
      </c>
      <c r="C93" s="19" t="s">
        <v>5</v>
      </c>
      <c r="D93" s="19" t="s">
        <v>1764</v>
      </c>
      <c r="E93" s="4">
        <v>0.55000000000000004</v>
      </c>
      <c r="F93" s="42">
        <v>1.95</v>
      </c>
      <c r="G93" s="45">
        <v>371</v>
      </c>
      <c r="H93" s="22">
        <v>1.9</v>
      </c>
      <c r="I93" s="6">
        <f t="shared" si="2"/>
        <v>756.00525000000005</v>
      </c>
      <c r="J93" s="6" t="s">
        <v>1765</v>
      </c>
      <c r="K93" s="17"/>
    </row>
    <row r="94" spans="1:11" ht="13.95" customHeight="1" x14ac:dyDescent="0.3">
      <c r="A94" s="3">
        <v>45750</v>
      </c>
      <c r="B94" s="19" t="s">
        <v>1837</v>
      </c>
      <c r="C94" s="19" t="s">
        <v>8</v>
      </c>
      <c r="D94" s="19" t="s">
        <v>1764</v>
      </c>
      <c r="E94" s="4">
        <v>0.5</v>
      </c>
      <c r="F94" s="42">
        <v>1.9</v>
      </c>
      <c r="G94" s="45">
        <v>371</v>
      </c>
      <c r="H94" s="22">
        <v>1.9</v>
      </c>
      <c r="I94" s="6">
        <f t="shared" si="2"/>
        <v>669.65499999999997</v>
      </c>
      <c r="J94" s="6" t="s">
        <v>1628</v>
      </c>
      <c r="K94" s="17"/>
    </row>
    <row r="95" spans="1:11" ht="13.95" customHeight="1" x14ac:dyDescent="0.3">
      <c r="A95" s="3">
        <v>45751</v>
      </c>
      <c r="B95" s="19" t="s">
        <v>1837</v>
      </c>
      <c r="C95" s="19" t="s">
        <v>11</v>
      </c>
      <c r="D95" s="19" t="s">
        <v>14</v>
      </c>
      <c r="E95" s="4">
        <v>0.6</v>
      </c>
      <c r="F95" s="42">
        <v>2.15</v>
      </c>
      <c r="G95" s="45">
        <v>371</v>
      </c>
      <c r="H95" s="22">
        <v>1.9</v>
      </c>
      <c r="I95" s="6">
        <f t="shared" si="2"/>
        <v>909.32099999999991</v>
      </c>
      <c r="J95" s="6" t="s">
        <v>1124</v>
      </c>
      <c r="K95" s="17"/>
    </row>
    <row r="96" spans="1:11" ht="13.95" customHeight="1" x14ac:dyDescent="0.3">
      <c r="A96" s="3">
        <v>45752</v>
      </c>
      <c r="B96" s="19" t="s">
        <v>1837</v>
      </c>
      <c r="C96" s="19" t="s">
        <v>13</v>
      </c>
      <c r="D96" s="19" t="s">
        <v>14</v>
      </c>
      <c r="E96" s="4">
        <v>0.75</v>
      </c>
      <c r="F96" s="42">
        <v>2.4500000000000002</v>
      </c>
      <c r="G96" s="45">
        <v>371</v>
      </c>
      <c r="H96" s="22">
        <v>1.9</v>
      </c>
      <c r="I96" s="6">
        <f t="shared" si="2"/>
        <v>1295.2537500000001</v>
      </c>
      <c r="J96" s="6" t="s">
        <v>1766</v>
      </c>
      <c r="K96" s="17"/>
    </row>
    <row r="97" spans="1:11" ht="13.95" customHeight="1" x14ac:dyDescent="0.3">
      <c r="A97" s="3">
        <v>45753</v>
      </c>
      <c r="B97" s="19" t="s">
        <v>1837</v>
      </c>
      <c r="C97" s="19" t="s">
        <v>16</v>
      </c>
      <c r="D97" s="19" t="s">
        <v>14</v>
      </c>
      <c r="E97" s="4">
        <v>0.65</v>
      </c>
      <c r="F97" s="42">
        <v>2.25</v>
      </c>
      <c r="G97" s="45">
        <v>371</v>
      </c>
      <c r="H97" s="22">
        <v>1.9</v>
      </c>
      <c r="I97" s="6">
        <f t="shared" si="2"/>
        <v>1030.91625</v>
      </c>
      <c r="J97" s="6" t="s">
        <v>238</v>
      </c>
      <c r="K97" s="17"/>
    </row>
    <row r="98" spans="1:11" ht="13.95" customHeight="1" x14ac:dyDescent="0.3">
      <c r="A98" s="3">
        <v>45754</v>
      </c>
      <c r="B98" s="19" t="s">
        <v>1837</v>
      </c>
      <c r="C98" s="19" t="s">
        <v>18</v>
      </c>
      <c r="D98" s="19" t="s">
        <v>1764</v>
      </c>
      <c r="E98" s="4">
        <v>0.55000000000000004</v>
      </c>
      <c r="F98" s="42">
        <v>1.95</v>
      </c>
      <c r="G98" s="45">
        <v>371</v>
      </c>
      <c r="H98" s="22">
        <v>1.9</v>
      </c>
      <c r="I98" s="6">
        <f t="shared" si="2"/>
        <v>756.00525000000005</v>
      </c>
      <c r="J98" s="6" t="s">
        <v>1767</v>
      </c>
      <c r="K98" s="17"/>
    </row>
    <row r="99" spans="1:11" ht="13.95" customHeight="1" x14ac:dyDescent="0.3">
      <c r="A99" s="3">
        <v>45755</v>
      </c>
      <c r="B99" s="19" t="s">
        <v>1837</v>
      </c>
      <c r="C99" s="19" t="s">
        <v>20</v>
      </c>
      <c r="D99" s="19" t="s">
        <v>994</v>
      </c>
      <c r="E99" s="4">
        <v>0.6</v>
      </c>
      <c r="F99" s="42">
        <v>2.0499999999999998</v>
      </c>
      <c r="G99" s="45">
        <v>371</v>
      </c>
      <c r="H99" s="22">
        <v>1.9</v>
      </c>
      <c r="I99" s="6">
        <f t="shared" si="2"/>
        <v>867.02699999999982</v>
      </c>
      <c r="J99" s="6" t="s">
        <v>1510</v>
      </c>
      <c r="K99" s="17"/>
    </row>
    <row r="100" spans="1:11" ht="13.95" customHeight="1" x14ac:dyDescent="0.3">
      <c r="A100" s="3">
        <v>45756</v>
      </c>
      <c r="B100" s="19" t="s">
        <v>1837</v>
      </c>
      <c r="C100" s="19" t="s">
        <v>5</v>
      </c>
      <c r="D100" s="19" t="s">
        <v>1112</v>
      </c>
      <c r="E100" s="4">
        <v>0.7</v>
      </c>
      <c r="F100" s="42">
        <v>2.2999999999999998</v>
      </c>
      <c r="G100" s="45">
        <v>371</v>
      </c>
      <c r="H100" s="22">
        <v>1.9</v>
      </c>
      <c r="I100" s="6">
        <f t="shared" si="2"/>
        <v>1134.8889999999999</v>
      </c>
      <c r="J100" s="6" t="s">
        <v>1731</v>
      </c>
      <c r="K100" s="17"/>
    </row>
    <row r="101" spans="1:11" ht="13.95" customHeight="1" x14ac:dyDescent="0.3">
      <c r="A101" s="3">
        <v>45757</v>
      </c>
      <c r="B101" s="19" t="s">
        <v>1837</v>
      </c>
      <c r="C101" s="19" t="s">
        <v>8</v>
      </c>
      <c r="D101" s="19" t="s">
        <v>1764</v>
      </c>
      <c r="E101" s="4">
        <v>0.55000000000000004</v>
      </c>
      <c r="F101" s="42">
        <v>1.95</v>
      </c>
      <c r="G101" s="45">
        <v>371</v>
      </c>
      <c r="H101" s="22">
        <v>1.9</v>
      </c>
      <c r="I101" s="6">
        <f t="shared" si="2"/>
        <v>756.00525000000005</v>
      </c>
      <c r="J101" s="6" t="s">
        <v>1628</v>
      </c>
      <c r="K101" s="17"/>
    </row>
    <row r="102" spans="1:11" ht="13.95" customHeight="1" x14ac:dyDescent="0.3">
      <c r="A102" s="3">
        <v>45758</v>
      </c>
      <c r="B102" s="19" t="s">
        <v>1837</v>
      </c>
      <c r="C102" s="19" t="s">
        <v>11</v>
      </c>
      <c r="D102" s="19" t="s">
        <v>14</v>
      </c>
      <c r="E102" s="4">
        <v>0.65</v>
      </c>
      <c r="F102" s="42">
        <v>2.15</v>
      </c>
      <c r="G102" s="45">
        <v>371</v>
      </c>
      <c r="H102" s="22">
        <v>1.9</v>
      </c>
      <c r="I102" s="6">
        <f t="shared" si="2"/>
        <v>985.09774999999991</v>
      </c>
      <c r="J102" s="6" t="s">
        <v>97</v>
      </c>
      <c r="K102" s="17"/>
    </row>
    <row r="103" spans="1:11" ht="13.95" customHeight="1" x14ac:dyDescent="0.3">
      <c r="A103" s="3">
        <v>45759</v>
      </c>
      <c r="B103" s="19" t="s">
        <v>1837</v>
      </c>
      <c r="C103" s="19" t="s">
        <v>13</v>
      </c>
      <c r="D103" s="19" t="s">
        <v>14</v>
      </c>
      <c r="E103" s="4">
        <v>0.8</v>
      </c>
      <c r="F103" s="42">
        <v>2.5</v>
      </c>
      <c r="G103" s="45">
        <v>371</v>
      </c>
      <c r="H103" s="22">
        <v>1.9</v>
      </c>
      <c r="I103" s="6">
        <f t="shared" si="2"/>
        <v>1409.8</v>
      </c>
      <c r="J103" s="6" t="s">
        <v>1535</v>
      </c>
      <c r="K103" s="17"/>
    </row>
    <row r="104" spans="1:11" ht="13.95" customHeight="1" x14ac:dyDescent="0.3">
      <c r="A104" s="3">
        <v>45760</v>
      </c>
      <c r="B104" s="19" t="s">
        <v>1837</v>
      </c>
      <c r="C104" s="19" t="s">
        <v>16</v>
      </c>
      <c r="D104" s="19" t="s">
        <v>14</v>
      </c>
      <c r="E104" s="4">
        <v>0.7</v>
      </c>
      <c r="F104" s="42">
        <v>2.25</v>
      </c>
      <c r="G104" s="45">
        <v>371</v>
      </c>
      <c r="H104" s="22">
        <v>1.9</v>
      </c>
      <c r="I104" s="6">
        <f t="shared" si="2"/>
        <v>1110.2174999999997</v>
      </c>
      <c r="J104" s="6" t="s">
        <v>149</v>
      </c>
      <c r="K104" s="17"/>
    </row>
    <row r="105" spans="1:11" ht="13.95" customHeight="1" x14ac:dyDescent="0.3">
      <c r="A105" s="3">
        <v>45761</v>
      </c>
      <c r="B105" s="19" t="s">
        <v>1837</v>
      </c>
      <c r="C105" s="19" t="s">
        <v>18</v>
      </c>
      <c r="D105" s="19" t="s">
        <v>1768</v>
      </c>
      <c r="E105" s="4">
        <v>0.65</v>
      </c>
      <c r="F105" s="42">
        <v>2.1</v>
      </c>
      <c r="G105" s="45">
        <v>371</v>
      </c>
      <c r="H105" s="22">
        <v>1.9</v>
      </c>
      <c r="I105" s="6">
        <f t="shared" si="2"/>
        <v>962.18849999999998</v>
      </c>
      <c r="J105" s="6" t="s">
        <v>1769</v>
      </c>
      <c r="K105" s="17"/>
    </row>
    <row r="106" spans="1:11" ht="13.95" customHeight="1" x14ac:dyDescent="0.3">
      <c r="A106" s="3">
        <v>45762</v>
      </c>
      <c r="B106" s="19" t="s">
        <v>1837</v>
      </c>
      <c r="C106" s="19" t="s">
        <v>20</v>
      </c>
      <c r="D106" s="19" t="s">
        <v>1768</v>
      </c>
      <c r="E106" s="4">
        <v>0.7</v>
      </c>
      <c r="F106" s="42">
        <v>2.1</v>
      </c>
      <c r="G106" s="45">
        <v>371</v>
      </c>
      <c r="H106" s="22">
        <v>1.9</v>
      </c>
      <c r="I106" s="6">
        <f t="shared" si="2"/>
        <v>1036.203</v>
      </c>
      <c r="J106" s="6" t="s">
        <v>1770</v>
      </c>
      <c r="K106" s="17"/>
    </row>
    <row r="107" spans="1:11" ht="13.95" customHeight="1" x14ac:dyDescent="0.3">
      <c r="A107" s="3">
        <v>45763</v>
      </c>
      <c r="B107" s="19" t="s">
        <v>1837</v>
      </c>
      <c r="C107" s="19" t="s">
        <v>5</v>
      </c>
      <c r="D107" s="19" t="s">
        <v>1768</v>
      </c>
      <c r="E107" s="4">
        <v>0.75</v>
      </c>
      <c r="F107" s="42">
        <v>2.15</v>
      </c>
      <c r="G107" s="45">
        <v>371</v>
      </c>
      <c r="H107" s="22">
        <v>1.9</v>
      </c>
      <c r="I107" s="6">
        <f t="shared" si="2"/>
        <v>1136.6512499999999</v>
      </c>
      <c r="J107" s="6" t="s">
        <v>734</v>
      </c>
      <c r="K107" s="17"/>
    </row>
    <row r="108" spans="1:11" ht="13.95" customHeight="1" x14ac:dyDescent="0.3">
      <c r="A108" s="3">
        <v>45764</v>
      </c>
      <c r="B108" s="19" t="s">
        <v>1837</v>
      </c>
      <c r="C108" s="19" t="s">
        <v>8</v>
      </c>
      <c r="D108" s="19" t="s">
        <v>1768</v>
      </c>
      <c r="E108" s="4">
        <v>0.8</v>
      </c>
      <c r="F108" s="42">
        <v>2.25</v>
      </c>
      <c r="G108" s="45">
        <v>371</v>
      </c>
      <c r="H108" s="22">
        <v>1.9</v>
      </c>
      <c r="I108" s="6">
        <f t="shared" si="2"/>
        <v>1268.8200000000002</v>
      </c>
      <c r="J108" s="6" t="s">
        <v>1771</v>
      </c>
      <c r="K108" s="17"/>
    </row>
    <row r="109" spans="1:11" ht="13.95" customHeight="1" x14ac:dyDescent="0.3">
      <c r="A109" s="3">
        <v>45765</v>
      </c>
      <c r="B109" s="19" t="s">
        <v>1837</v>
      </c>
      <c r="C109" s="19" t="s">
        <v>11</v>
      </c>
      <c r="D109" s="19" t="s">
        <v>1118</v>
      </c>
      <c r="E109" s="4">
        <v>0.85</v>
      </c>
      <c r="F109" s="42">
        <v>2.4</v>
      </c>
      <c r="G109" s="45">
        <v>371</v>
      </c>
      <c r="H109" s="22">
        <v>1.9</v>
      </c>
      <c r="I109" s="6">
        <f t="shared" si="2"/>
        <v>1437.9959999999999</v>
      </c>
      <c r="J109" s="6" t="s">
        <v>1772</v>
      </c>
      <c r="K109" s="17"/>
    </row>
    <row r="110" spans="1:11" ht="13.95" customHeight="1" x14ac:dyDescent="0.3">
      <c r="A110" s="3">
        <v>45766</v>
      </c>
      <c r="B110" s="19" t="s">
        <v>1837</v>
      </c>
      <c r="C110" s="19" t="s">
        <v>13</v>
      </c>
      <c r="D110" s="19" t="s">
        <v>1322</v>
      </c>
      <c r="E110" s="4">
        <v>0.9</v>
      </c>
      <c r="F110" s="42">
        <v>2.75</v>
      </c>
      <c r="G110" s="45">
        <v>371</v>
      </c>
      <c r="H110" s="22">
        <v>1.9</v>
      </c>
      <c r="I110" s="6">
        <f t="shared" si="2"/>
        <v>1744.6275000000003</v>
      </c>
      <c r="J110" s="6" t="s">
        <v>1773</v>
      </c>
      <c r="K110" s="17"/>
    </row>
    <row r="111" spans="1:11" ht="13.95" customHeight="1" x14ac:dyDescent="0.3">
      <c r="A111" s="3">
        <v>45767</v>
      </c>
      <c r="B111" s="19" t="s">
        <v>1837</v>
      </c>
      <c r="C111" s="19" t="s">
        <v>16</v>
      </c>
      <c r="D111" s="19" t="s">
        <v>1774</v>
      </c>
      <c r="E111" s="4">
        <v>0.98</v>
      </c>
      <c r="F111" s="42">
        <v>3.25</v>
      </c>
      <c r="G111" s="45">
        <v>371</v>
      </c>
      <c r="H111" s="22">
        <v>1.9</v>
      </c>
      <c r="I111" s="6">
        <f t="shared" si="2"/>
        <v>2245.1064999999999</v>
      </c>
      <c r="J111" s="6" t="s">
        <v>1775</v>
      </c>
      <c r="K111" s="17"/>
    </row>
    <row r="112" spans="1:11" ht="13.95" customHeight="1" x14ac:dyDescent="0.3">
      <c r="A112" s="3">
        <v>45768</v>
      </c>
      <c r="B112" s="19" t="s">
        <v>1837</v>
      </c>
      <c r="C112" s="19" t="s">
        <v>18</v>
      </c>
      <c r="D112" s="19" t="s">
        <v>1776</v>
      </c>
      <c r="E112" s="4">
        <v>0.85</v>
      </c>
      <c r="F112" s="42">
        <v>2.6</v>
      </c>
      <c r="G112" s="45">
        <v>371</v>
      </c>
      <c r="H112" s="22">
        <v>1.9</v>
      </c>
      <c r="I112" s="6">
        <f t="shared" si="2"/>
        <v>1557.829</v>
      </c>
      <c r="J112" s="6" t="s">
        <v>530</v>
      </c>
      <c r="K112" s="17"/>
    </row>
    <row r="113" spans="1:11" ht="13.95" customHeight="1" x14ac:dyDescent="0.3">
      <c r="A113" s="3">
        <v>45769</v>
      </c>
      <c r="B113" s="19" t="s">
        <v>1837</v>
      </c>
      <c r="C113" s="19" t="s">
        <v>20</v>
      </c>
      <c r="D113" s="19" t="s">
        <v>1764</v>
      </c>
      <c r="E113" s="4">
        <v>0.6</v>
      </c>
      <c r="F113" s="42">
        <v>2</v>
      </c>
      <c r="G113" s="45">
        <v>371</v>
      </c>
      <c r="H113" s="22">
        <v>1.9</v>
      </c>
      <c r="I113" s="6">
        <f t="shared" si="2"/>
        <v>845.88</v>
      </c>
      <c r="J113" s="6" t="s">
        <v>1777</v>
      </c>
      <c r="K113" s="17"/>
    </row>
    <row r="114" spans="1:11" ht="13.95" customHeight="1" x14ac:dyDescent="0.3">
      <c r="A114" s="3">
        <v>45770</v>
      </c>
      <c r="B114" s="19" t="s">
        <v>1837</v>
      </c>
      <c r="C114" s="19" t="s">
        <v>5</v>
      </c>
      <c r="D114" s="19" t="s">
        <v>1764</v>
      </c>
      <c r="E114" s="4">
        <v>0.55000000000000004</v>
      </c>
      <c r="F114" s="42">
        <v>1.95</v>
      </c>
      <c r="G114" s="45">
        <v>371</v>
      </c>
      <c r="H114" s="22">
        <v>1.9</v>
      </c>
      <c r="I114" s="6">
        <f t="shared" si="2"/>
        <v>756.00525000000005</v>
      </c>
      <c r="J114" s="6" t="s">
        <v>1628</v>
      </c>
      <c r="K114" s="17"/>
    </row>
    <row r="115" spans="1:11" ht="13.95" customHeight="1" x14ac:dyDescent="0.3">
      <c r="A115" s="3">
        <v>45771</v>
      </c>
      <c r="B115" s="19" t="s">
        <v>1837</v>
      </c>
      <c r="C115" s="19" t="s">
        <v>8</v>
      </c>
      <c r="D115" s="19" t="s">
        <v>1764</v>
      </c>
      <c r="E115" s="4">
        <v>0.5</v>
      </c>
      <c r="F115" s="42">
        <v>1.95</v>
      </c>
      <c r="G115" s="45">
        <v>371</v>
      </c>
      <c r="H115" s="22">
        <v>1.9</v>
      </c>
      <c r="I115" s="6">
        <f t="shared" si="2"/>
        <v>687.27749999999992</v>
      </c>
      <c r="J115" s="6" t="s">
        <v>1628</v>
      </c>
      <c r="K115" s="17"/>
    </row>
    <row r="116" spans="1:11" ht="13.95" customHeight="1" x14ac:dyDescent="0.3">
      <c r="A116" s="3">
        <v>45772</v>
      </c>
      <c r="B116" s="19" t="s">
        <v>1837</v>
      </c>
      <c r="C116" s="19" t="s">
        <v>11</v>
      </c>
      <c r="D116" s="19" t="s">
        <v>14</v>
      </c>
      <c r="E116" s="4">
        <v>0.65</v>
      </c>
      <c r="F116" s="42">
        <v>2.2000000000000002</v>
      </c>
      <c r="G116" s="45">
        <v>371</v>
      </c>
      <c r="H116" s="22">
        <v>1.9</v>
      </c>
      <c r="I116" s="6">
        <f t="shared" si="2"/>
        <v>1008.0070000000001</v>
      </c>
      <c r="J116" s="6" t="s">
        <v>97</v>
      </c>
      <c r="K116" s="17"/>
    </row>
    <row r="117" spans="1:11" ht="13.95" customHeight="1" x14ac:dyDescent="0.3">
      <c r="A117" s="3">
        <v>45773</v>
      </c>
      <c r="B117" s="19" t="s">
        <v>1837</v>
      </c>
      <c r="C117" s="19" t="s">
        <v>13</v>
      </c>
      <c r="D117" s="19" t="s">
        <v>14</v>
      </c>
      <c r="E117" s="4">
        <v>0.8</v>
      </c>
      <c r="F117" s="42">
        <v>2.5499999999999998</v>
      </c>
      <c r="G117" s="45">
        <v>371</v>
      </c>
      <c r="H117" s="22">
        <v>1.9</v>
      </c>
      <c r="I117" s="6">
        <f t="shared" si="2"/>
        <v>1437.9960000000001</v>
      </c>
      <c r="J117" s="6" t="s">
        <v>1778</v>
      </c>
      <c r="K117" s="17"/>
    </row>
    <row r="118" spans="1:11" ht="13.95" customHeight="1" x14ac:dyDescent="0.3">
      <c r="A118" s="3">
        <v>45774</v>
      </c>
      <c r="B118" s="19" t="s">
        <v>1837</v>
      </c>
      <c r="C118" s="19" t="s">
        <v>16</v>
      </c>
      <c r="D118" s="19" t="s">
        <v>14</v>
      </c>
      <c r="E118" s="4">
        <v>0.7</v>
      </c>
      <c r="F118" s="42">
        <v>2.2999999999999998</v>
      </c>
      <c r="G118" s="45">
        <v>371</v>
      </c>
      <c r="H118" s="22">
        <v>1.9</v>
      </c>
      <c r="I118" s="6">
        <f t="shared" si="2"/>
        <v>1134.8889999999999</v>
      </c>
      <c r="J118" s="6" t="s">
        <v>139</v>
      </c>
      <c r="K118" s="17"/>
    </row>
    <row r="119" spans="1:11" ht="13.95" customHeight="1" x14ac:dyDescent="0.3">
      <c r="A119" s="3">
        <v>45775</v>
      </c>
      <c r="B119" s="19" t="s">
        <v>1837</v>
      </c>
      <c r="C119" s="19" t="s">
        <v>18</v>
      </c>
      <c r="D119" s="19" t="s">
        <v>1764</v>
      </c>
      <c r="E119" s="4">
        <v>0.55000000000000004</v>
      </c>
      <c r="F119" s="42">
        <v>1.95</v>
      </c>
      <c r="G119" s="45">
        <v>371</v>
      </c>
      <c r="H119" s="22">
        <v>1.9</v>
      </c>
      <c r="I119" s="6">
        <f t="shared" si="2"/>
        <v>756.00525000000005</v>
      </c>
      <c r="J119" s="6" t="s">
        <v>603</v>
      </c>
      <c r="K119" s="17"/>
    </row>
    <row r="120" spans="1:11" ht="13.95" customHeight="1" x14ac:dyDescent="0.3">
      <c r="A120" s="3">
        <v>45776</v>
      </c>
      <c r="B120" s="19" t="s">
        <v>1837</v>
      </c>
      <c r="C120" s="19" t="s">
        <v>20</v>
      </c>
      <c r="D120" s="19" t="s">
        <v>1764</v>
      </c>
      <c r="E120" s="4">
        <v>0.55000000000000004</v>
      </c>
      <c r="F120" s="42">
        <v>1.95</v>
      </c>
      <c r="G120" s="45">
        <v>371</v>
      </c>
      <c r="H120" s="22">
        <v>1.9</v>
      </c>
      <c r="I120" s="6">
        <f t="shared" si="2"/>
        <v>756.00525000000005</v>
      </c>
      <c r="J120" s="6" t="s">
        <v>603</v>
      </c>
      <c r="K120" s="17"/>
    </row>
    <row r="121" spans="1:11" ht="13.95" customHeight="1" x14ac:dyDescent="0.3">
      <c r="A121" s="3">
        <v>45777</v>
      </c>
      <c r="B121" s="19" t="s">
        <v>1837</v>
      </c>
      <c r="C121" s="19" t="s">
        <v>5</v>
      </c>
      <c r="D121" s="19" t="s">
        <v>994</v>
      </c>
      <c r="E121" s="4">
        <v>0.65</v>
      </c>
      <c r="F121" s="42">
        <v>2.1</v>
      </c>
      <c r="G121" s="45">
        <v>371</v>
      </c>
      <c r="H121" s="22">
        <v>1.9</v>
      </c>
      <c r="I121" s="6">
        <f t="shared" si="2"/>
        <v>962.18849999999998</v>
      </c>
      <c r="J121" s="6" t="s">
        <v>1438</v>
      </c>
      <c r="K121" s="17"/>
    </row>
    <row r="122" spans="1:11" ht="13.95" customHeight="1" x14ac:dyDescent="0.3">
      <c r="A122" s="3">
        <v>45778</v>
      </c>
      <c r="B122" s="19" t="s">
        <v>1837</v>
      </c>
      <c r="C122" s="19" t="s">
        <v>8</v>
      </c>
      <c r="D122" s="19" t="s">
        <v>742</v>
      </c>
      <c r="E122" s="4">
        <v>0.75</v>
      </c>
      <c r="F122" s="42">
        <v>2.4</v>
      </c>
      <c r="G122" s="45">
        <v>371</v>
      </c>
      <c r="H122" s="22">
        <v>1.9</v>
      </c>
      <c r="I122" s="6">
        <f t="shared" si="2"/>
        <v>1268.82</v>
      </c>
      <c r="J122" s="6" t="s">
        <v>1779</v>
      </c>
      <c r="K122" s="17"/>
    </row>
    <row r="123" spans="1:11" ht="13.95" customHeight="1" x14ac:dyDescent="0.3">
      <c r="A123" s="3">
        <v>45779</v>
      </c>
      <c r="B123" s="19" t="s">
        <v>1837</v>
      </c>
      <c r="C123" s="19" t="s">
        <v>11</v>
      </c>
      <c r="D123" s="19" t="s">
        <v>1518</v>
      </c>
      <c r="E123" s="4">
        <v>0.65</v>
      </c>
      <c r="F123" s="42">
        <v>2.15</v>
      </c>
      <c r="G123" s="45">
        <v>371</v>
      </c>
      <c r="H123" s="22">
        <v>1.9</v>
      </c>
      <c r="I123" s="6">
        <f t="shared" si="2"/>
        <v>985.09774999999991</v>
      </c>
      <c r="J123" s="6" t="s">
        <v>1124</v>
      </c>
      <c r="K123" s="17"/>
    </row>
    <row r="124" spans="1:11" ht="13.95" customHeight="1" x14ac:dyDescent="0.3">
      <c r="A124" s="3">
        <v>45780</v>
      </c>
      <c r="B124" s="19" t="s">
        <v>1837</v>
      </c>
      <c r="C124" s="19" t="s">
        <v>13</v>
      </c>
      <c r="D124" s="19" t="s">
        <v>14</v>
      </c>
      <c r="E124" s="4">
        <v>0.85</v>
      </c>
      <c r="F124" s="42">
        <v>2.65</v>
      </c>
      <c r="G124" s="45">
        <v>371</v>
      </c>
      <c r="H124" s="22">
        <v>1.9</v>
      </c>
      <c r="I124" s="6">
        <f t="shared" si="2"/>
        <v>1587.7872499999996</v>
      </c>
      <c r="J124" s="6" t="s">
        <v>1780</v>
      </c>
      <c r="K124" s="17"/>
    </row>
    <row r="125" spans="1:11" ht="13.95" customHeight="1" x14ac:dyDescent="0.3">
      <c r="A125" s="3">
        <v>45781</v>
      </c>
      <c r="B125" s="19" t="s">
        <v>1837</v>
      </c>
      <c r="C125" s="19" t="s">
        <v>16</v>
      </c>
      <c r="D125" s="19" t="s">
        <v>14</v>
      </c>
      <c r="E125" s="4">
        <v>0.75</v>
      </c>
      <c r="F125" s="42">
        <v>2.2999999999999998</v>
      </c>
      <c r="G125" s="45">
        <v>371</v>
      </c>
      <c r="H125" s="22">
        <v>1.9</v>
      </c>
      <c r="I125" s="6">
        <f t="shared" si="2"/>
        <v>1215.9524999999999</v>
      </c>
      <c r="J125" s="6" t="s">
        <v>139</v>
      </c>
      <c r="K125" s="17"/>
    </row>
    <row r="126" spans="1:11" ht="13.95" customHeight="1" x14ac:dyDescent="0.3">
      <c r="A126" s="3">
        <v>45782</v>
      </c>
      <c r="B126" s="19" t="s">
        <v>1837</v>
      </c>
      <c r="C126" s="19" t="s">
        <v>18</v>
      </c>
      <c r="D126" s="19" t="s">
        <v>1340</v>
      </c>
      <c r="E126" s="4">
        <v>0.6</v>
      </c>
      <c r="F126" s="42">
        <v>2</v>
      </c>
      <c r="G126" s="45">
        <v>371</v>
      </c>
      <c r="H126" s="22">
        <v>1.9</v>
      </c>
      <c r="I126" s="6">
        <f t="shared" si="2"/>
        <v>845.88</v>
      </c>
      <c r="J126" s="6" t="s">
        <v>1781</v>
      </c>
      <c r="K126" s="17"/>
    </row>
    <row r="127" spans="1:11" ht="13.95" customHeight="1" x14ac:dyDescent="0.3">
      <c r="A127" s="3">
        <v>45783</v>
      </c>
      <c r="B127" s="19" t="s">
        <v>1837</v>
      </c>
      <c r="C127" s="19" t="s">
        <v>20</v>
      </c>
      <c r="D127" s="19" t="s">
        <v>1340</v>
      </c>
      <c r="E127" s="4">
        <v>0.65</v>
      </c>
      <c r="F127" s="42">
        <v>2.0499999999999998</v>
      </c>
      <c r="G127" s="45">
        <v>371</v>
      </c>
      <c r="H127" s="22">
        <v>1.9</v>
      </c>
      <c r="I127" s="6">
        <f t="shared" si="2"/>
        <v>939.27924999999993</v>
      </c>
      <c r="J127" s="6" t="s">
        <v>1782</v>
      </c>
      <c r="K127" s="17"/>
    </row>
    <row r="128" spans="1:11" ht="13.95" customHeight="1" x14ac:dyDescent="0.3">
      <c r="A128" s="3">
        <v>45784</v>
      </c>
      <c r="B128" s="19" t="s">
        <v>1837</v>
      </c>
      <c r="C128" s="19" t="s">
        <v>5</v>
      </c>
      <c r="D128" s="19" t="s">
        <v>1340</v>
      </c>
      <c r="E128" s="4">
        <v>0.65</v>
      </c>
      <c r="F128" s="42">
        <v>2.0499999999999998</v>
      </c>
      <c r="G128" s="45">
        <v>371</v>
      </c>
      <c r="H128" s="22">
        <v>1.9</v>
      </c>
      <c r="I128" s="6">
        <f t="shared" si="2"/>
        <v>939.27924999999993</v>
      </c>
      <c r="J128" s="6" t="s">
        <v>1782</v>
      </c>
      <c r="K128" s="17"/>
    </row>
    <row r="129" spans="1:11" ht="13.95" customHeight="1" x14ac:dyDescent="0.3">
      <c r="A129" s="3">
        <v>45785</v>
      </c>
      <c r="B129" s="19" t="s">
        <v>1837</v>
      </c>
      <c r="C129" s="19" t="s">
        <v>8</v>
      </c>
      <c r="D129" s="19" t="s">
        <v>1340</v>
      </c>
      <c r="E129" s="4">
        <v>0.6</v>
      </c>
      <c r="F129" s="42">
        <v>2</v>
      </c>
      <c r="G129" s="45">
        <v>371</v>
      </c>
      <c r="H129" s="22">
        <v>1.9</v>
      </c>
      <c r="I129" s="6">
        <f t="shared" si="2"/>
        <v>845.88</v>
      </c>
      <c r="J129" s="6" t="s">
        <v>1677</v>
      </c>
      <c r="K129" s="17"/>
    </row>
    <row r="130" spans="1:11" ht="13.95" customHeight="1" x14ac:dyDescent="0.3">
      <c r="A130" s="3">
        <v>45786</v>
      </c>
      <c r="B130" s="19" t="s">
        <v>1837</v>
      </c>
      <c r="C130" s="19" t="s">
        <v>11</v>
      </c>
      <c r="D130" s="19" t="s">
        <v>14</v>
      </c>
      <c r="E130" s="4">
        <v>0.7</v>
      </c>
      <c r="F130" s="42">
        <v>2.2000000000000002</v>
      </c>
      <c r="G130" s="45">
        <v>371</v>
      </c>
      <c r="H130" s="22">
        <v>1.9</v>
      </c>
      <c r="I130" s="6">
        <f t="shared" si="2"/>
        <v>1085.546</v>
      </c>
      <c r="J130" s="6" t="s">
        <v>1783</v>
      </c>
      <c r="K130" s="17"/>
    </row>
    <row r="131" spans="1:11" ht="13.95" customHeight="1" x14ac:dyDescent="0.3">
      <c r="A131" s="3">
        <v>45787</v>
      </c>
      <c r="B131" s="19" t="s">
        <v>1837</v>
      </c>
      <c r="C131" s="19" t="s">
        <v>13</v>
      </c>
      <c r="D131" s="19" t="s">
        <v>14</v>
      </c>
      <c r="E131" s="4">
        <v>0.9</v>
      </c>
      <c r="F131" s="42">
        <v>2.75</v>
      </c>
      <c r="G131" s="45">
        <v>371</v>
      </c>
      <c r="H131" s="22">
        <v>1.9</v>
      </c>
      <c r="I131" s="6">
        <f t="shared" ref="I131:I194" si="3">(G131*E131)*F131*H131</f>
        <v>1744.6275000000003</v>
      </c>
      <c r="J131" s="6" t="s">
        <v>1784</v>
      </c>
      <c r="K131" s="17"/>
    </row>
    <row r="132" spans="1:11" ht="13.95" customHeight="1" x14ac:dyDescent="0.3">
      <c r="A132" s="3">
        <v>45788</v>
      </c>
      <c r="B132" s="19" t="s">
        <v>1837</v>
      </c>
      <c r="C132" s="19" t="s">
        <v>16</v>
      </c>
      <c r="D132" s="19" t="s">
        <v>14</v>
      </c>
      <c r="E132" s="4">
        <v>0.8</v>
      </c>
      <c r="F132" s="42">
        <v>2.35</v>
      </c>
      <c r="G132" s="45">
        <v>371</v>
      </c>
      <c r="H132" s="22">
        <v>1.9</v>
      </c>
      <c r="I132" s="6">
        <f t="shared" si="3"/>
        <v>1325.212</v>
      </c>
      <c r="J132" s="6" t="s">
        <v>1785</v>
      </c>
      <c r="K132" s="17"/>
    </row>
    <row r="133" spans="1:11" ht="13.95" customHeight="1" x14ac:dyDescent="0.3">
      <c r="A133" s="3">
        <v>45789</v>
      </c>
      <c r="B133" s="19" t="s">
        <v>1837</v>
      </c>
      <c r="C133" s="19" t="s">
        <v>18</v>
      </c>
      <c r="D133" s="19" t="s">
        <v>1340</v>
      </c>
      <c r="E133" s="4">
        <v>0.6</v>
      </c>
      <c r="F133" s="42">
        <v>2</v>
      </c>
      <c r="G133" s="45">
        <v>371</v>
      </c>
      <c r="H133" s="22">
        <v>1.9</v>
      </c>
      <c r="I133" s="6">
        <f t="shared" si="3"/>
        <v>845.88</v>
      </c>
      <c r="J133" s="6" t="s">
        <v>1786</v>
      </c>
      <c r="K133" s="17"/>
    </row>
    <row r="134" spans="1:11" ht="13.95" customHeight="1" x14ac:dyDescent="0.3">
      <c r="A134" s="3">
        <v>45790</v>
      </c>
      <c r="B134" s="19" t="s">
        <v>1837</v>
      </c>
      <c r="C134" s="19" t="s">
        <v>20</v>
      </c>
      <c r="D134" s="19" t="s">
        <v>1340</v>
      </c>
      <c r="E134" s="4">
        <v>0.55000000000000004</v>
      </c>
      <c r="F134" s="42">
        <v>1.95</v>
      </c>
      <c r="G134" s="45">
        <v>371</v>
      </c>
      <c r="H134" s="22">
        <v>1.9</v>
      </c>
      <c r="I134" s="6">
        <f t="shared" si="3"/>
        <v>756.00525000000005</v>
      </c>
      <c r="J134" s="6" t="s">
        <v>1628</v>
      </c>
      <c r="K134" s="17"/>
    </row>
    <row r="135" spans="1:11" ht="13.95" customHeight="1" x14ac:dyDescent="0.3">
      <c r="A135" s="3">
        <v>45791</v>
      </c>
      <c r="B135" s="19" t="s">
        <v>1837</v>
      </c>
      <c r="C135" s="19" t="s">
        <v>5</v>
      </c>
      <c r="D135" s="19" t="s">
        <v>1340</v>
      </c>
      <c r="E135" s="4">
        <v>0.57999999999999996</v>
      </c>
      <c r="F135" s="42">
        <v>2</v>
      </c>
      <c r="G135" s="45">
        <v>371</v>
      </c>
      <c r="H135" s="22">
        <v>1.9</v>
      </c>
      <c r="I135" s="6">
        <f t="shared" si="3"/>
        <v>817.68399999999986</v>
      </c>
      <c r="J135" s="6" t="s">
        <v>71</v>
      </c>
      <c r="K135" s="17"/>
    </row>
    <row r="136" spans="1:11" ht="13.95" customHeight="1" x14ac:dyDescent="0.3">
      <c r="A136" s="3">
        <v>45792</v>
      </c>
      <c r="B136" s="19" t="s">
        <v>1837</v>
      </c>
      <c r="C136" s="19" t="s">
        <v>8</v>
      </c>
      <c r="D136" s="19" t="s">
        <v>1738</v>
      </c>
      <c r="E136" s="4">
        <v>0.68</v>
      </c>
      <c r="F136" s="42">
        <v>2.1</v>
      </c>
      <c r="G136" s="45">
        <v>371</v>
      </c>
      <c r="H136" s="22">
        <v>1.9</v>
      </c>
      <c r="I136" s="6">
        <f t="shared" si="3"/>
        <v>1006.5972000000002</v>
      </c>
      <c r="J136" s="6" t="s">
        <v>1376</v>
      </c>
      <c r="K136" s="17"/>
    </row>
    <row r="137" spans="1:11" ht="13.95" customHeight="1" x14ac:dyDescent="0.3">
      <c r="A137" s="3">
        <v>45793</v>
      </c>
      <c r="B137" s="19" t="s">
        <v>1837</v>
      </c>
      <c r="C137" s="19" t="s">
        <v>11</v>
      </c>
      <c r="D137" s="19" t="s">
        <v>14</v>
      </c>
      <c r="E137" s="4">
        <v>0.75</v>
      </c>
      <c r="F137" s="42">
        <v>2.25</v>
      </c>
      <c r="G137" s="45">
        <v>371</v>
      </c>
      <c r="H137" s="22">
        <v>1.9</v>
      </c>
      <c r="I137" s="6">
        <f t="shared" si="3"/>
        <v>1189.51875</v>
      </c>
      <c r="J137" s="6" t="s">
        <v>97</v>
      </c>
      <c r="K137" s="17"/>
    </row>
    <row r="138" spans="1:11" ht="13.95" customHeight="1" x14ac:dyDescent="0.3">
      <c r="A138" s="3">
        <v>45794</v>
      </c>
      <c r="B138" s="19" t="s">
        <v>1837</v>
      </c>
      <c r="C138" s="19" t="s">
        <v>13</v>
      </c>
      <c r="D138" s="19" t="s">
        <v>14</v>
      </c>
      <c r="E138" s="4">
        <v>0.95</v>
      </c>
      <c r="F138" s="42">
        <v>2.85</v>
      </c>
      <c r="G138" s="45">
        <v>371</v>
      </c>
      <c r="H138" s="22">
        <v>1.9</v>
      </c>
      <c r="I138" s="6">
        <f t="shared" si="3"/>
        <v>1908.5167499999998</v>
      </c>
      <c r="J138" s="6" t="s">
        <v>1787</v>
      </c>
      <c r="K138" s="17"/>
    </row>
    <row r="139" spans="1:11" ht="13.95" customHeight="1" x14ac:dyDescent="0.3">
      <c r="A139" s="3">
        <v>45795</v>
      </c>
      <c r="B139" s="19" t="s">
        <v>1837</v>
      </c>
      <c r="C139" s="19" t="s">
        <v>16</v>
      </c>
      <c r="D139" s="19" t="s">
        <v>14</v>
      </c>
      <c r="E139" s="4">
        <v>0.85</v>
      </c>
      <c r="F139" s="42">
        <v>2.4500000000000002</v>
      </c>
      <c r="G139" s="45">
        <v>371</v>
      </c>
      <c r="H139" s="22">
        <v>1.9</v>
      </c>
      <c r="I139" s="6">
        <f t="shared" si="3"/>
        <v>1467.9542499999998</v>
      </c>
      <c r="J139" s="6" t="s">
        <v>238</v>
      </c>
      <c r="K139" s="17"/>
    </row>
    <row r="140" spans="1:11" ht="13.95" customHeight="1" x14ac:dyDescent="0.3">
      <c r="A140" s="3">
        <v>45796</v>
      </c>
      <c r="B140" s="19" t="s">
        <v>1837</v>
      </c>
      <c r="C140" s="19" t="s">
        <v>18</v>
      </c>
      <c r="D140" s="19" t="s">
        <v>1340</v>
      </c>
      <c r="E140" s="4">
        <v>0.62</v>
      </c>
      <c r="F140" s="42">
        <v>2</v>
      </c>
      <c r="G140" s="45">
        <v>371</v>
      </c>
      <c r="H140" s="22">
        <v>1.9</v>
      </c>
      <c r="I140" s="6">
        <f t="shared" si="3"/>
        <v>874.07600000000002</v>
      </c>
      <c r="J140" s="6" t="s">
        <v>603</v>
      </c>
      <c r="K140" s="17"/>
    </row>
    <row r="141" spans="1:11" ht="13.95" customHeight="1" x14ac:dyDescent="0.3">
      <c r="A141" s="3">
        <v>45797</v>
      </c>
      <c r="B141" s="19" t="s">
        <v>1837</v>
      </c>
      <c r="C141" s="19" t="s">
        <v>20</v>
      </c>
      <c r="D141" s="19" t="s">
        <v>1340</v>
      </c>
      <c r="E141" s="4">
        <v>0.6</v>
      </c>
      <c r="F141" s="42">
        <v>2</v>
      </c>
      <c r="G141" s="45">
        <v>371</v>
      </c>
      <c r="H141" s="22">
        <v>1.9</v>
      </c>
      <c r="I141" s="6">
        <f t="shared" si="3"/>
        <v>845.88</v>
      </c>
      <c r="J141" s="6" t="s">
        <v>603</v>
      </c>
      <c r="K141" s="17"/>
    </row>
    <row r="142" spans="1:11" ht="13.95" customHeight="1" x14ac:dyDescent="0.3">
      <c r="A142" s="3">
        <v>45798</v>
      </c>
      <c r="B142" s="19" t="s">
        <v>1837</v>
      </c>
      <c r="C142" s="19" t="s">
        <v>5</v>
      </c>
      <c r="D142" s="19" t="s">
        <v>1340</v>
      </c>
      <c r="E142" s="4">
        <v>0.65</v>
      </c>
      <c r="F142" s="42">
        <v>2.0499999999999998</v>
      </c>
      <c r="G142" s="45">
        <v>371</v>
      </c>
      <c r="H142" s="22">
        <v>1.9</v>
      </c>
      <c r="I142" s="6">
        <f t="shared" si="3"/>
        <v>939.27924999999993</v>
      </c>
      <c r="J142" s="6" t="s">
        <v>71</v>
      </c>
      <c r="K142" s="17"/>
    </row>
    <row r="143" spans="1:11" ht="13.95" customHeight="1" x14ac:dyDescent="0.3">
      <c r="A143" s="3">
        <v>45799</v>
      </c>
      <c r="B143" s="19" t="s">
        <v>1837</v>
      </c>
      <c r="C143" s="19" t="s">
        <v>8</v>
      </c>
      <c r="D143" s="19" t="s">
        <v>1738</v>
      </c>
      <c r="E143" s="4">
        <v>0.7</v>
      </c>
      <c r="F143" s="42">
        <v>2.15</v>
      </c>
      <c r="G143" s="45">
        <v>371</v>
      </c>
      <c r="H143" s="22">
        <v>1.9</v>
      </c>
      <c r="I143" s="6">
        <f t="shared" si="3"/>
        <v>1060.8744999999997</v>
      </c>
      <c r="J143" s="6" t="s">
        <v>1788</v>
      </c>
      <c r="K143" s="17"/>
    </row>
    <row r="144" spans="1:11" ht="13.95" customHeight="1" x14ac:dyDescent="0.3">
      <c r="A144" s="3">
        <v>45800</v>
      </c>
      <c r="B144" s="19" t="s">
        <v>1837</v>
      </c>
      <c r="C144" s="19" t="s">
        <v>11</v>
      </c>
      <c r="D144" s="19" t="s">
        <v>14</v>
      </c>
      <c r="E144" s="4">
        <v>0.78</v>
      </c>
      <c r="F144" s="42">
        <v>2.2999999999999998</v>
      </c>
      <c r="G144" s="45">
        <v>371</v>
      </c>
      <c r="H144" s="22">
        <v>1.9</v>
      </c>
      <c r="I144" s="6">
        <f t="shared" si="3"/>
        <v>1264.5905999999998</v>
      </c>
      <c r="J144" s="6" t="s">
        <v>97</v>
      </c>
      <c r="K144" s="17"/>
    </row>
    <row r="145" spans="1:11" ht="13.95" customHeight="1" x14ac:dyDescent="0.3">
      <c r="A145" s="3">
        <v>45801</v>
      </c>
      <c r="B145" s="19" t="s">
        <v>1837</v>
      </c>
      <c r="C145" s="19" t="s">
        <v>13</v>
      </c>
      <c r="D145" s="19" t="s">
        <v>14</v>
      </c>
      <c r="E145" s="4">
        <v>0.98</v>
      </c>
      <c r="F145" s="42">
        <v>2.95</v>
      </c>
      <c r="G145" s="45">
        <v>371</v>
      </c>
      <c r="H145" s="22">
        <v>1.9</v>
      </c>
      <c r="I145" s="6">
        <f t="shared" si="3"/>
        <v>2037.8658999999998</v>
      </c>
      <c r="J145" s="6" t="s">
        <v>1680</v>
      </c>
      <c r="K145" s="17"/>
    </row>
    <row r="146" spans="1:11" ht="13.95" customHeight="1" x14ac:dyDescent="0.3">
      <c r="A146" s="3">
        <v>45802</v>
      </c>
      <c r="B146" s="19" t="s">
        <v>1837</v>
      </c>
      <c r="C146" s="19" t="s">
        <v>16</v>
      </c>
      <c r="D146" s="19" t="s">
        <v>14</v>
      </c>
      <c r="E146" s="4">
        <v>0.88</v>
      </c>
      <c r="F146" s="42">
        <v>2.5</v>
      </c>
      <c r="G146" s="45">
        <v>371</v>
      </c>
      <c r="H146" s="22">
        <v>1.9</v>
      </c>
      <c r="I146" s="6">
        <f t="shared" si="3"/>
        <v>1550.78</v>
      </c>
      <c r="J146" s="6" t="s">
        <v>1734</v>
      </c>
      <c r="K146" s="17"/>
    </row>
    <row r="147" spans="1:11" ht="13.95" customHeight="1" x14ac:dyDescent="0.3">
      <c r="A147" s="3">
        <v>45803</v>
      </c>
      <c r="B147" s="19" t="s">
        <v>1837</v>
      </c>
      <c r="C147" s="19" t="s">
        <v>18</v>
      </c>
      <c r="D147" s="19" t="s">
        <v>1340</v>
      </c>
      <c r="E147" s="4">
        <v>0.65</v>
      </c>
      <c r="F147" s="42">
        <v>2.0499999999999998</v>
      </c>
      <c r="G147" s="45">
        <v>371</v>
      </c>
      <c r="H147" s="22">
        <v>1.9</v>
      </c>
      <c r="I147" s="6">
        <f t="shared" si="3"/>
        <v>939.27924999999993</v>
      </c>
      <c r="J147" s="6" t="s">
        <v>1789</v>
      </c>
      <c r="K147" s="17"/>
    </row>
    <row r="148" spans="1:11" ht="13.95" customHeight="1" x14ac:dyDescent="0.3">
      <c r="A148" s="3">
        <v>45804</v>
      </c>
      <c r="B148" s="19" t="s">
        <v>1837</v>
      </c>
      <c r="C148" s="19" t="s">
        <v>20</v>
      </c>
      <c r="D148" s="19" t="s">
        <v>1340</v>
      </c>
      <c r="E148" s="4">
        <v>0.62</v>
      </c>
      <c r="F148" s="42">
        <v>2</v>
      </c>
      <c r="G148" s="45">
        <v>371</v>
      </c>
      <c r="H148" s="22">
        <v>1.9</v>
      </c>
      <c r="I148" s="6">
        <f t="shared" si="3"/>
        <v>874.07600000000002</v>
      </c>
      <c r="J148" s="6" t="s">
        <v>1789</v>
      </c>
      <c r="K148" s="17"/>
    </row>
    <row r="149" spans="1:11" ht="13.95" customHeight="1" x14ac:dyDescent="0.3">
      <c r="A149" s="3">
        <v>45805</v>
      </c>
      <c r="B149" s="19" t="s">
        <v>1837</v>
      </c>
      <c r="C149" s="19" t="s">
        <v>5</v>
      </c>
      <c r="D149" s="19" t="s">
        <v>1340</v>
      </c>
      <c r="E149" s="4">
        <v>0.65</v>
      </c>
      <c r="F149" s="42">
        <v>2.0499999999999998</v>
      </c>
      <c r="G149" s="45">
        <v>371</v>
      </c>
      <c r="H149" s="22">
        <v>1.9</v>
      </c>
      <c r="I149" s="6">
        <f t="shared" si="3"/>
        <v>939.27924999999993</v>
      </c>
      <c r="J149" s="6" t="s">
        <v>71</v>
      </c>
      <c r="K149" s="17"/>
    </row>
    <row r="150" spans="1:11" ht="13.95" customHeight="1" x14ac:dyDescent="0.3">
      <c r="A150" s="3">
        <v>45806</v>
      </c>
      <c r="B150" s="19" t="s">
        <v>1837</v>
      </c>
      <c r="C150" s="19" t="s">
        <v>8</v>
      </c>
      <c r="D150" s="19" t="s">
        <v>1340</v>
      </c>
      <c r="E150" s="4">
        <v>0.7</v>
      </c>
      <c r="F150" s="42">
        <v>2.1</v>
      </c>
      <c r="G150" s="45">
        <v>371</v>
      </c>
      <c r="H150" s="22">
        <v>1.9</v>
      </c>
      <c r="I150" s="6">
        <f t="shared" si="3"/>
        <v>1036.203</v>
      </c>
      <c r="J150" s="6" t="s">
        <v>71</v>
      </c>
      <c r="K150" s="17"/>
    </row>
    <row r="151" spans="1:11" ht="13.95" customHeight="1" x14ac:dyDescent="0.3">
      <c r="A151" s="3">
        <v>45807</v>
      </c>
      <c r="B151" s="19" t="s">
        <v>1837</v>
      </c>
      <c r="C151" s="19" t="s">
        <v>11</v>
      </c>
      <c r="D151" s="19" t="s">
        <v>44</v>
      </c>
      <c r="E151" s="4">
        <v>0.82</v>
      </c>
      <c r="F151" s="42">
        <v>2.35</v>
      </c>
      <c r="G151" s="45">
        <v>371</v>
      </c>
      <c r="H151" s="22">
        <v>1.9</v>
      </c>
      <c r="I151" s="6">
        <f t="shared" si="3"/>
        <v>1358.3422999999998</v>
      </c>
      <c r="J151" s="6" t="s">
        <v>1790</v>
      </c>
      <c r="K151" s="17"/>
    </row>
    <row r="152" spans="1:11" ht="13.95" customHeight="1" x14ac:dyDescent="0.3">
      <c r="A152" s="3">
        <v>45808</v>
      </c>
      <c r="B152" s="19" t="s">
        <v>1837</v>
      </c>
      <c r="C152" s="19" t="s">
        <v>13</v>
      </c>
      <c r="D152" s="19" t="s">
        <v>14</v>
      </c>
      <c r="E152" s="4">
        <v>1</v>
      </c>
      <c r="F152" s="42">
        <v>3.05</v>
      </c>
      <c r="G152" s="45">
        <v>371</v>
      </c>
      <c r="H152" s="22">
        <v>1.9</v>
      </c>
      <c r="I152" s="6">
        <f t="shared" si="3"/>
        <v>2149.9449999999997</v>
      </c>
      <c r="J152" s="6" t="s">
        <v>1531</v>
      </c>
      <c r="K152" s="17"/>
    </row>
    <row r="153" spans="1:11" ht="13.95" customHeight="1" x14ac:dyDescent="0.3">
      <c r="A153" s="3">
        <v>45809</v>
      </c>
      <c r="B153" s="19" t="s">
        <v>1837</v>
      </c>
      <c r="C153" s="19" t="s">
        <v>16</v>
      </c>
      <c r="D153" s="19" t="s">
        <v>14</v>
      </c>
      <c r="E153" s="4">
        <v>0.9</v>
      </c>
      <c r="F153" s="42">
        <v>2.5</v>
      </c>
      <c r="G153" s="45">
        <v>371</v>
      </c>
      <c r="H153" s="22">
        <v>1.9</v>
      </c>
      <c r="I153" s="6">
        <f t="shared" si="3"/>
        <v>1586.0250000000001</v>
      </c>
      <c r="J153" s="6" t="s">
        <v>1791</v>
      </c>
      <c r="K153" s="17"/>
    </row>
    <row r="154" spans="1:11" ht="13.95" customHeight="1" x14ac:dyDescent="0.3">
      <c r="A154" s="3">
        <v>45810</v>
      </c>
      <c r="B154" s="19" t="s">
        <v>1837</v>
      </c>
      <c r="C154" s="19" t="s">
        <v>18</v>
      </c>
      <c r="D154" s="19" t="s">
        <v>1340</v>
      </c>
      <c r="E154" s="4">
        <v>0.75</v>
      </c>
      <c r="F154" s="42">
        <v>2.1</v>
      </c>
      <c r="G154" s="45">
        <v>371</v>
      </c>
      <c r="H154" s="22">
        <v>1.9</v>
      </c>
      <c r="I154" s="6">
        <f t="shared" si="3"/>
        <v>1110.2175</v>
      </c>
      <c r="J154" s="6" t="s">
        <v>1332</v>
      </c>
      <c r="K154" s="17"/>
    </row>
    <row r="155" spans="1:11" ht="13.95" customHeight="1" x14ac:dyDescent="0.3">
      <c r="A155" s="3">
        <v>45811</v>
      </c>
      <c r="B155" s="19" t="s">
        <v>1837</v>
      </c>
      <c r="C155" s="19" t="s">
        <v>20</v>
      </c>
      <c r="D155" s="19" t="s">
        <v>1340</v>
      </c>
      <c r="E155" s="4">
        <v>0.7</v>
      </c>
      <c r="F155" s="42">
        <v>2.0499999999999998</v>
      </c>
      <c r="G155" s="45">
        <v>371</v>
      </c>
      <c r="H155" s="22">
        <v>1.9</v>
      </c>
      <c r="I155" s="6">
        <f t="shared" si="3"/>
        <v>1011.5314999999997</v>
      </c>
      <c r="J155" s="6" t="s">
        <v>1628</v>
      </c>
      <c r="K155" s="17"/>
    </row>
    <row r="156" spans="1:11" ht="13.95" customHeight="1" x14ac:dyDescent="0.3">
      <c r="A156" s="3">
        <v>45812</v>
      </c>
      <c r="B156" s="19" t="s">
        <v>1837</v>
      </c>
      <c r="C156" s="19" t="s">
        <v>5</v>
      </c>
      <c r="D156" s="19" t="s">
        <v>1340</v>
      </c>
      <c r="E156" s="4">
        <v>0.75</v>
      </c>
      <c r="F156" s="42">
        <v>2.1</v>
      </c>
      <c r="G156" s="45">
        <v>371</v>
      </c>
      <c r="H156" s="22">
        <v>1.9</v>
      </c>
      <c r="I156" s="6">
        <f t="shared" si="3"/>
        <v>1110.2175</v>
      </c>
      <c r="J156" s="6" t="s">
        <v>71</v>
      </c>
      <c r="K156" s="17"/>
    </row>
    <row r="157" spans="1:11" ht="13.95" customHeight="1" x14ac:dyDescent="0.3">
      <c r="A157" s="3">
        <v>45813</v>
      </c>
      <c r="B157" s="19" t="s">
        <v>1837</v>
      </c>
      <c r="C157" s="19" t="s">
        <v>8</v>
      </c>
      <c r="D157" s="19" t="s">
        <v>1072</v>
      </c>
      <c r="E157" s="4">
        <v>0.85</v>
      </c>
      <c r="F157" s="42">
        <v>2.4</v>
      </c>
      <c r="G157" s="45">
        <v>371</v>
      </c>
      <c r="H157" s="22">
        <v>1.9</v>
      </c>
      <c r="I157" s="6">
        <f t="shared" si="3"/>
        <v>1437.9959999999999</v>
      </c>
      <c r="J157" s="6" t="s">
        <v>1440</v>
      </c>
      <c r="K157" s="17"/>
    </row>
    <row r="158" spans="1:11" ht="13.95" customHeight="1" x14ac:dyDescent="0.3">
      <c r="A158" s="3">
        <v>45814</v>
      </c>
      <c r="B158" s="19" t="s">
        <v>1837</v>
      </c>
      <c r="C158" s="19" t="s">
        <v>11</v>
      </c>
      <c r="D158" s="19" t="s">
        <v>1142</v>
      </c>
      <c r="E158" s="4">
        <v>0.95</v>
      </c>
      <c r="F158" s="42">
        <v>3.1</v>
      </c>
      <c r="G158" s="45">
        <v>371</v>
      </c>
      <c r="H158" s="22">
        <v>1.9</v>
      </c>
      <c r="I158" s="6">
        <f t="shared" si="3"/>
        <v>2075.9304999999999</v>
      </c>
      <c r="J158" s="6" t="s">
        <v>1792</v>
      </c>
      <c r="K158" s="17"/>
    </row>
    <row r="159" spans="1:11" ht="13.95" customHeight="1" x14ac:dyDescent="0.3">
      <c r="A159" s="3">
        <v>45815</v>
      </c>
      <c r="B159" s="19" t="s">
        <v>1837</v>
      </c>
      <c r="C159" s="19" t="s">
        <v>13</v>
      </c>
      <c r="D159" s="19" t="s">
        <v>1142</v>
      </c>
      <c r="E159" s="4">
        <v>1</v>
      </c>
      <c r="F159" s="42">
        <v>3.25</v>
      </c>
      <c r="G159" s="45">
        <v>371</v>
      </c>
      <c r="H159" s="22">
        <v>1.9</v>
      </c>
      <c r="I159" s="6">
        <f t="shared" si="3"/>
        <v>2290.9249999999997</v>
      </c>
      <c r="J159" s="6" t="s">
        <v>1793</v>
      </c>
      <c r="K159" s="17"/>
    </row>
    <row r="160" spans="1:11" ht="13.95" customHeight="1" x14ac:dyDescent="0.3">
      <c r="A160" s="3">
        <v>45816</v>
      </c>
      <c r="B160" s="19" t="s">
        <v>1837</v>
      </c>
      <c r="C160" s="19" t="s">
        <v>16</v>
      </c>
      <c r="D160" s="19" t="s">
        <v>1344</v>
      </c>
      <c r="E160" s="4">
        <v>1</v>
      </c>
      <c r="F160" s="42">
        <v>2.8</v>
      </c>
      <c r="G160" s="45">
        <v>371</v>
      </c>
      <c r="H160" s="22">
        <v>1.9</v>
      </c>
      <c r="I160" s="6">
        <f t="shared" si="3"/>
        <v>1973.7199999999998</v>
      </c>
      <c r="J160" s="6" t="s">
        <v>530</v>
      </c>
      <c r="K160" s="17"/>
    </row>
    <row r="161" spans="1:11" ht="13.95" customHeight="1" x14ac:dyDescent="0.3">
      <c r="A161" s="3">
        <v>45817</v>
      </c>
      <c r="B161" s="19" t="s">
        <v>1837</v>
      </c>
      <c r="C161" s="19" t="s">
        <v>18</v>
      </c>
      <c r="D161" s="19" t="s">
        <v>1340</v>
      </c>
      <c r="E161" s="4">
        <v>0.8</v>
      </c>
      <c r="F161" s="42">
        <v>2.2000000000000002</v>
      </c>
      <c r="G161" s="45">
        <v>371</v>
      </c>
      <c r="H161" s="22">
        <v>1.9</v>
      </c>
      <c r="I161" s="6">
        <f t="shared" si="3"/>
        <v>1240.624</v>
      </c>
      <c r="J161" s="6" t="s">
        <v>1794</v>
      </c>
      <c r="K161" s="17"/>
    </row>
    <row r="162" spans="1:11" ht="13.95" customHeight="1" x14ac:dyDescent="0.3">
      <c r="A162" s="3">
        <v>45818</v>
      </c>
      <c r="B162" s="19" t="s">
        <v>1837</v>
      </c>
      <c r="C162" s="19" t="s">
        <v>20</v>
      </c>
      <c r="D162" s="19" t="s">
        <v>1340</v>
      </c>
      <c r="E162" s="4">
        <v>0.75</v>
      </c>
      <c r="F162" s="42">
        <v>2.1</v>
      </c>
      <c r="G162" s="45">
        <v>371</v>
      </c>
      <c r="H162" s="22">
        <v>1.9</v>
      </c>
      <c r="I162" s="6">
        <f t="shared" si="3"/>
        <v>1110.2175</v>
      </c>
      <c r="J162" s="6" t="s">
        <v>603</v>
      </c>
      <c r="K162" s="17"/>
    </row>
    <row r="163" spans="1:11" ht="13.95" customHeight="1" x14ac:dyDescent="0.3">
      <c r="A163" s="3">
        <v>45819</v>
      </c>
      <c r="B163" s="19" t="s">
        <v>1837</v>
      </c>
      <c r="C163" s="19" t="s">
        <v>5</v>
      </c>
      <c r="D163" s="19" t="s">
        <v>1340</v>
      </c>
      <c r="E163" s="4">
        <v>0.75</v>
      </c>
      <c r="F163" s="42">
        <v>2.1</v>
      </c>
      <c r="G163" s="45">
        <v>371</v>
      </c>
      <c r="H163" s="22">
        <v>1.9</v>
      </c>
      <c r="I163" s="6">
        <f t="shared" si="3"/>
        <v>1110.2175</v>
      </c>
      <c r="J163" s="6" t="s">
        <v>603</v>
      </c>
      <c r="K163" s="17"/>
    </row>
    <row r="164" spans="1:11" ht="13.95" customHeight="1" x14ac:dyDescent="0.3">
      <c r="A164" s="3">
        <v>45820</v>
      </c>
      <c r="B164" s="19" t="s">
        <v>1837</v>
      </c>
      <c r="C164" s="19" t="s">
        <v>8</v>
      </c>
      <c r="D164" s="19" t="s">
        <v>1340</v>
      </c>
      <c r="E164" s="4">
        <v>0.8</v>
      </c>
      <c r="F164" s="42">
        <v>2.25</v>
      </c>
      <c r="G164" s="45">
        <v>371</v>
      </c>
      <c r="H164" s="22">
        <v>1.9</v>
      </c>
      <c r="I164" s="6">
        <f t="shared" si="3"/>
        <v>1268.8200000000002</v>
      </c>
      <c r="J164" s="6" t="s">
        <v>1795</v>
      </c>
      <c r="K164" s="17"/>
    </row>
    <row r="165" spans="1:11" ht="13.95" customHeight="1" x14ac:dyDescent="0.3">
      <c r="A165" s="3">
        <v>45821</v>
      </c>
      <c r="B165" s="19" t="s">
        <v>1837</v>
      </c>
      <c r="C165" s="19" t="s">
        <v>11</v>
      </c>
      <c r="D165" s="19" t="s">
        <v>14</v>
      </c>
      <c r="E165" s="4">
        <v>0.85</v>
      </c>
      <c r="F165" s="42">
        <v>2.4500000000000002</v>
      </c>
      <c r="G165" s="45">
        <v>371</v>
      </c>
      <c r="H165" s="22">
        <v>1.9</v>
      </c>
      <c r="I165" s="6">
        <f t="shared" si="3"/>
        <v>1467.9542499999998</v>
      </c>
      <c r="J165" s="6" t="s">
        <v>1124</v>
      </c>
      <c r="K165" s="17"/>
    </row>
    <row r="166" spans="1:11" ht="13.95" customHeight="1" x14ac:dyDescent="0.3">
      <c r="A166" s="3">
        <v>45822</v>
      </c>
      <c r="B166" s="19" t="s">
        <v>1837</v>
      </c>
      <c r="C166" s="19" t="s">
        <v>13</v>
      </c>
      <c r="D166" s="19" t="s">
        <v>14</v>
      </c>
      <c r="E166" s="4">
        <v>1</v>
      </c>
      <c r="F166" s="42">
        <v>3.15</v>
      </c>
      <c r="G166" s="45">
        <v>371</v>
      </c>
      <c r="H166" s="22">
        <v>1.9</v>
      </c>
      <c r="I166" s="6">
        <f t="shared" si="3"/>
        <v>2220.4349999999995</v>
      </c>
      <c r="J166" s="6" t="s">
        <v>1531</v>
      </c>
      <c r="K166" s="17"/>
    </row>
    <row r="167" spans="1:11" ht="13.95" customHeight="1" x14ac:dyDescent="0.3">
      <c r="A167" s="3">
        <v>45823</v>
      </c>
      <c r="B167" s="19" t="s">
        <v>1837</v>
      </c>
      <c r="C167" s="19" t="s">
        <v>16</v>
      </c>
      <c r="D167" s="19" t="s">
        <v>14</v>
      </c>
      <c r="E167" s="4">
        <v>1</v>
      </c>
      <c r="F167" s="42">
        <v>2.7</v>
      </c>
      <c r="G167" s="45">
        <v>371</v>
      </c>
      <c r="H167" s="22">
        <v>1.9</v>
      </c>
      <c r="I167" s="6">
        <f t="shared" si="3"/>
        <v>1903.23</v>
      </c>
      <c r="J167" s="6" t="s">
        <v>139</v>
      </c>
      <c r="K167" s="17"/>
    </row>
    <row r="168" spans="1:11" ht="13.95" customHeight="1" x14ac:dyDescent="0.3">
      <c r="A168" s="3">
        <v>45824</v>
      </c>
      <c r="B168" s="19" t="s">
        <v>1837</v>
      </c>
      <c r="C168" s="19" t="s">
        <v>18</v>
      </c>
      <c r="D168" s="19" t="s">
        <v>1347</v>
      </c>
      <c r="E168" s="4">
        <v>0.9</v>
      </c>
      <c r="F168" s="42">
        <v>2.2999999999999998</v>
      </c>
      <c r="G168" s="45">
        <v>371</v>
      </c>
      <c r="H168" s="22">
        <v>1.9</v>
      </c>
      <c r="I168" s="6">
        <f t="shared" si="3"/>
        <v>1459.143</v>
      </c>
      <c r="J168" s="6" t="s">
        <v>449</v>
      </c>
      <c r="K168" s="17"/>
    </row>
    <row r="169" spans="1:11" ht="13.95" customHeight="1" x14ac:dyDescent="0.3">
      <c r="A169" s="3">
        <v>45825</v>
      </c>
      <c r="B169" s="19" t="s">
        <v>1837</v>
      </c>
      <c r="C169" s="19" t="s">
        <v>20</v>
      </c>
      <c r="D169" s="19" t="s">
        <v>1347</v>
      </c>
      <c r="E169" s="4">
        <v>0.85</v>
      </c>
      <c r="F169" s="42">
        <v>2.25</v>
      </c>
      <c r="G169" s="45">
        <v>371</v>
      </c>
      <c r="H169" s="22">
        <v>1.9</v>
      </c>
      <c r="I169" s="6">
        <f t="shared" si="3"/>
        <v>1348.1212499999997</v>
      </c>
      <c r="J169" s="6" t="s">
        <v>1796</v>
      </c>
      <c r="K169" s="17"/>
    </row>
    <row r="170" spans="1:11" ht="13.95" customHeight="1" x14ac:dyDescent="0.3">
      <c r="A170" s="3">
        <v>45826</v>
      </c>
      <c r="B170" s="19" t="s">
        <v>1837</v>
      </c>
      <c r="C170" s="19" t="s">
        <v>5</v>
      </c>
      <c r="D170" s="19" t="s">
        <v>1347</v>
      </c>
      <c r="E170" s="4">
        <v>0.85</v>
      </c>
      <c r="F170" s="42">
        <v>2.25</v>
      </c>
      <c r="G170" s="45">
        <v>371</v>
      </c>
      <c r="H170" s="22">
        <v>1.9</v>
      </c>
      <c r="I170" s="6">
        <f t="shared" si="3"/>
        <v>1348.1212499999997</v>
      </c>
      <c r="J170" s="6" t="s">
        <v>1796</v>
      </c>
      <c r="K170" s="17"/>
    </row>
    <row r="171" spans="1:11" ht="13.95" customHeight="1" x14ac:dyDescent="0.3">
      <c r="A171" s="3">
        <v>45827</v>
      </c>
      <c r="B171" s="19" t="s">
        <v>1837</v>
      </c>
      <c r="C171" s="19" t="s">
        <v>8</v>
      </c>
      <c r="D171" s="19" t="s">
        <v>1347</v>
      </c>
      <c r="E171" s="4">
        <v>0.9</v>
      </c>
      <c r="F171" s="42">
        <v>2.2999999999999998</v>
      </c>
      <c r="G171" s="45">
        <v>371</v>
      </c>
      <c r="H171" s="22">
        <v>1.9</v>
      </c>
      <c r="I171" s="6">
        <f t="shared" si="3"/>
        <v>1459.143</v>
      </c>
      <c r="J171" s="6" t="s">
        <v>1449</v>
      </c>
      <c r="K171" s="17"/>
    </row>
    <row r="172" spans="1:11" ht="13.95" customHeight="1" x14ac:dyDescent="0.3">
      <c r="A172" s="3">
        <v>45828</v>
      </c>
      <c r="B172" s="19" t="s">
        <v>1837</v>
      </c>
      <c r="C172" s="19" t="s">
        <v>11</v>
      </c>
      <c r="D172" s="19" t="s">
        <v>14</v>
      </c>
      <c r="E172" s="4">
        <v>0.95</v>
      </c>
      <c r="F172" s="42">
        <v>2.6</v>
      </c>
      <c r="G172" s="45">
        <v>371</v>
      </c>
      <c r="H172" s="22">
        <v>1.9</v>
      </c>
      <c r="I172" s="6">
        <f t="shared" si="3"/>
        <v>1741.1029999999998</v>
      </c>
      <c r="J172" s="6" t="s">
        <v>1797</v>
      </c>
      <c r="K172" s="17"/>
    </row>
    <row r="173" spans="1:11" ht="13.95" customHeight="1" x14ac:dyDescent="0.3">
      <c r="A173" s="3">
        <v>45829</v>
      </c>
      <c r="B173" s="19" t="s">
        <v>1837</v>
      </c>
      <c r="C173" s="19" t="s">
        <v>13</v>
      </c>
      <c r="D173" s="19" t="s">
        <v>14</v>
      </c>
      <c r="E173" s="4">
        <v>1</v>
      </c>
      <c r="F173" s="42">
        <v>3.2</v>
      </c>
      <c r="G173" s="45">
        <v>371</v>
      </c>
      <c r="H173" s="22">
        <v>1.9</v>
      </c>
      <c r="I173" s="6">
        <f t="shared" si="3"/>
        <v>2255.6799999999998</v>
      </c>
      <c r="J173" s="6" t="s">
        <v>1798</v>
      </c>
      <c r="K173" s="17"/>
    </row>
    <row r="174" spans="1:11" ht="13.95" customHeight="1" x14ac:dyDescent="0.3">
      <c r="A174" s="3">
        <v>45830</v>
      </c>
      <c r="B174" s="19" t="s">
        <v>1837</v>
      </c>
      <c r="C174" s="19" t="s">
        <v>16</v>
      </c>
      <c r="D174" s="19" t="s">
        <v>14</v>
      </c>
      <c r="E174" s="4">
        <v>1</v>
      </c>
      <c r="F174" s="42">
        <v>2.75</v>
      </c>
      <c r="G174" s="45">
        <v>371</v>
      </c>
      <c r="H174" s="22">
        <v>1.9</v>
      </c>
      <c r="I174" s="6">
        <f t="shared" si="3"/>
        <v>1938.4749999999999</v>
      </c>
      <c r="J174" s="6" t="s">
        <v>149</v>
      </c>
      <c r="K174" s="17"/>
    </row>
    <row r="175" spans="1:11" ht="13.95" customHeight="1" x14ac:dyDescent="0.3">
      <c r="A175" s="3">
        <v>45831</v>
      </c>
      <c r="B175" s="19" t="s">
        <v>1837</v>
      </c>
      <c r="C175" s="19" t="s">
        <v>18</v>
      </c>
      <c r="D175" s="19" t="s">
        <v>1347</v>
      </c>
      <c r="E175" s="4">
        <v>0.9</v>
      </c>
      <c r="F175" s="42">
        <v>2.35</v>
      </c>
      <c r="G175" s="45">
        <v>371</v>
      </c>
      <c r="H175" s="22">
        <v>1.9</v>
      </c>
      <c r="I175" s="6">
        <f t="shared" si="3"/>
        <v>1490.8635000000002</v>
      </c>
      <c r="J175" s="6" t="s">
        <v>446</v>
      </c>
      <c r="K175" s="17"/>
    </row>
    <row r="176" spans="1:11" ht="13.95" customHeight="1" x14ac:dyDescent="0.3">
      <c r="A176" s="3">
        <v>45832</v>
      </c>
      <c r="B176" s="19" t="s">
        <v>1837</v>
      </c>
      <c r="C176" s="19" t="s">
        <v>20</v>
      </c>
      <c r="D176" s="19" t="s">
        <v>1347</v>
      </c>
      <c r="E176" s="4">
        <v>0.9</v>
      </c>
      <c r="F176" s="42">
        <v>2.2999999999999998</v>
      </c>
      <c r="G176" s="45">
        <v>371</v>
      </c>
      <c r="H176" s="22">
        <v>1.9</v>
      </c>
      <c r="I176" s="6">
        <f t="shared" si="3"/>
        <v>1459.143</v>
      </c>
      <c r="J176" s="6" t="s">
        <v>446</v>
      </c>
      <c r="K176" s="17"/>
    </row>
    <row r="177" spans="1:11" ht="13.95" customHeight="1" x14ac:dyDescent="0.3">
      <c r="A177" s="3">
        <v>45833</v>
      </c>
      <c r="B177" s="19" t="s">
        <v>1837</v>
      </c>
      <c r="C177" s="19" t="s">
        <v>5</v>
      </c>
      <c r="D177" s="19" t="s">
        <v>1347</v>
      </c>
      <c r="E177" s="4">
        <v>0.95</v>
      </c>
      <c r="F177" s="42">
        <v>2.35</v>
      </c>
      <c r="G177" s="45">
        <v>371</v>
      </c>
      <c r="H177" s="22">
        <v>1.9</v>
      </c>
      <c r="I177" s="6">
        <f t="shared" si="3"/>
        <v>1573.6892500000001</v>
      </c>
      <c r="J177" s="6" t="s">
        <v>589</v>
      </c>
      <c r="K177" s="17"/>
    </row>
    <row r="178" spans="1:11" ht="13.95" customHeight="1" x14ac:dyDescent="0.3">
      <c r="A178" s="3">
        <v>45834</v>
      </c>
      <c r="B178" s="19" t="s">
        <v>1837</v>
      </c>
      <c r="C178" s="19" t="s">
        <v>8</v>
      </c>
      <c r="D178" s="19" t="s">
        <v>1347</v>
      </c>
      <c r="E178" s="4">
        <v>0.95</v>
      </c>
      <c r="F178" s="42">
        <v>2.4</v>
      </c>
      <c r="G178" s="45">
        <v>371</v>
      </c>
      <c r="H178" s="22">
        <v>1.9</v>
      </c>
      <c r="I178" s="6">
        <f t="shared" si="3"/>
        <v>1607.172</v>
      </c>
      <c r="J178" s="6" t="s">
        <v>589</v>
      </c>
      <c r="K178" s="17"/>
    </row>
    <row r="179" spans="1:11" ht="13.95" customHeight="1" x14ac:dyDescent="0.3">
      <c r="A179" s="3">
        <v>45835</v>
      </c>
      <c r="B179" s="19" t="s">
        <v>1837</v>
      </c>
      <c r="C179" s="19" t="s">
        <v>11</v>
      </c>
      <c r="D179" s="19" t="s">
        <v>14</v>
      </c>
      <c r="E179" s="4">
        <v>1</v>
      </c>
      <c r="F179" s="42">
        <v>2.7</v>
      </c>
      <c r="G179" s="45">
        <v>371</v>
      </c>
      <c r="H179" s="22">
        <v>1.9</v>
      </c>
      <c r="I179" s="6">
        <f t="shared" si="3"/>
        <v>1903.23</v>
      </c>
      <c r="J179" s="6" t="s">
        <v>97</v>
      </c>
      <c r="K179" s="17"/>
    </row>
    <row r="180" spans="1:11" ht="13.95" customHeight="1" x14ac:dyDescent="0.3">
      <c r="A180" s="3">
        <v>45836</v>
      </c>
      <c r="B180" s="19" t="s">
        <v>1837</v>
      </c>
      <c r="C180" s="19" t="s">
        <v>13</v>
      </c>
      <c r="D180" s="19" t="s">
        <v>995</v>
      </c>
      <c r="E180" s="4">
        <v>1</v>
      </c>
      <c r="F180" s="42">
        <v>3.3</v>
      </c>
      <c r="G180" s="45">
        <v>371</v>
      </c>
      <c r="H180" s="22">
        <v>1.9</v>
      </c>
      <c r="I180" s="6">
        <f t="shared" si="3"/>
        <v>2326.1699999999996</v>
      </c>
      <c r="J180" s="6" t="s">
        <v>1799</v>
      </c>
      <c r="K180" s="17"/>
    </row>
    <row r="181" spans="1:11" ht="13.95" customHeight="1" x14ac:dyDescent="0.3">
      <c r="A181" s="3">
        <v>45837</v>
      </c>
      <c r="B181" s="19" t="s">
        <v>1837</v>
      </c>
      <c r="C181" s="19" t="s">
        <v>16</v>
      </c>
      <c r="D181" s="19" t="s">
        <v>14</v>
      </c>
      <c r="E181" s="4">
        <v>1</v>
      </c>
      <c r="F181" s="42">
        <v>2.85</v>
      </c>
      <c r="G181" s="45">
        <v>371</v>
      </c>
      <c r="H181" s="22">
        <v>1.9</v>
      </c>
      <c r="I181" s="6">
        <f t="shared" si="3"/>
        <v>2008.9650000000001</v>
      </c>
      <c r="J181" s="6" t="s">
        <v>149</v>
      </c>
      <c r="K181" s="17"/>
    </row>
    <row r="182" spans="1:11" ht="13.95" customHeight="1" x14ac:dyDescent="0.3">
      <c r="A182" s="3">
        <v>45838</v>
      </c>
      <c r="B182" s="19" t="s">
        <v>1837</v>
      </c>
      <c r="C182" s="19" t="s">
        <v>18</v>
      </c>
      <c r="D182" s="19" t="s">
        <v>1347</v>
      </c>
      <c r="E182" s="4">
        <v>1</v>
      </c>
      <c r="F182" s="42">
        <v>2.5</v>
      </c>
      <c r="G182" s="45">
        <v>371</v>
      </c>
      <c r="H182" s="22">
        <v>1.9</v>
      </c>
      <c r="I182" s="6">
        <f t="shared" si="3"/>
        <v>1762.25</v>
      </c>
      <c r="J182" s="6" t="s">
        <v>1686</v>
      </c>
      <c r="K182" s="17"/>
    </row>
    <row r="183" spans="1:11" ht="13.95" customHeight="1" x14ac:dyDescent="0.3">
      <c r="A183" s="52">
        <v>45839</v>
      </c>
      <c r="B183" s="19" t="s">
        <v>1837</v>
      </c>
      <c r="C183" s="19" t="s">
        <v>20</v>
      </c>
      <c r="D183" s="19" t="s">
        <v>14</v>
      </c>
      <c r="E183" s="4">
        <v>0.9</v>
      </c>
      <c r="F183" s="42">
        <v>2.4500000000000002</v>
      </c>
      <c r="G183" s="45">
        <v>371</v>
      </c>
      <c r="H183" s="22">
        <v>2.2000000000000002</v>
      </c>
      <c r="I183" s="6">
        <f t="shared" si="3"/>
        <v>1799.7210000000005</v>
      </c>
      <c r="J183" s="6" t="s">
        <v>1791</v>
      </c>
      <c r="K183" s="17"/>
    </row>
    <row r="184" spans="1:11" ht="13.95" customHeight="1" x14ac:dyDescent="0.3">
      <c r="A184" s="52">
        <v>45840</v>
      </c>
      <c r="B184" s="19" t="s">
        <v>1837</v>
      </c>
      <c r="C184" s="19" t="s">
        <v>5</v>
      </c>
      <c r="D184" s="19" t="s">
        <v>1340</v>
      </c>
      <c r="E184" s="4">
        <v>0.75</v>
      </c>
      <c r="F184" s="42">
        <v>2.4</v>
      </c>
      <c r="G184" s="45">
        <v>371</v>
      </c>
      <c r="H184" s="22">
        <v>2.2000000000000002</v>
      </c>
      <c r="I184" s="6">
        <f t="shared" si="3"/>
        <v>1469.16</v>
      </c>
      <c r="J184" s="6" t="s">
        <v>1332</v>
      </c>
      <c r="K184" s="17"/>
    </row>
    <row r="185" spans="1:11" ht="13.95" customHeight="1" x14ac:dyDescent="0.3">
      <c r="A185" s="52">
        <v>45841</v>
      </c>
      <c r="B185" s="19" t="s">
        <v>1837</v>
      </c>
      <c r="C185" s="19" t="s">
        <v>8</v>
      </c>
      <c r="D185" s="19" t="s">
        <v>1340</v>
      </c>
      <c r="E185" s="4">
        <v>0.7</v>
      </c>
      <c r="F185" s="42">
        <v>2.4500000000000002</v>
      </c>
      <c r="G185" s="45">
        <v>371</v>
      </c>
      <c r="H185" s="22">
        <v>2.2000000000000002</v>
      </c>
      <c r="I185" s="6">
        <f t="shared" si="3"/>
        <v>1399.7830000000001</v>
      </c>
      <c r="J185" s="6" t="s">
        <v>1628</v>
      </c>
      <c r="K185" s="17"/>
    </row>
    <row r="186" spans="1:11" ht="13.95" customHeight="1" x14ac:dyDescent="0.3">
      <c r="A186" s="52">
        <v>45842</v>
      </c>
      <c r="B186" s="19" t="s">
        <v>1837</v>
      </c>
      <c r="C186" s="19" t="s">
        <v>11</v>
      </c>
      <c r="D186" s="19" t="s">
        <v>1340</v>
      </c>
      <c r="E186" s="4">
        <v>0.75</v>
      </c>
      <c r="F186" s="42">
        <v>2.75</v>
      </c>
      <c r="G186" s="45">
        <v>371</v>
      </c>
      <c r="H186" s="22">
        <v>2.2000000000000002</v>
      </c>
      <c r="I186" s="6">
        <f t="shared" si="3"/>
        <v>1683.4125000000001</v>
      </c>
      <c r="J186" s="6" t="s">
        <v>71</v>
      </c>
      <c r="K186" s="17"/>
    </row>
    <row r="187" spans="1:11" ht="13.95" customHeight="1" x14ac:dyDescent="0.3">
      <c r="A187" s="52">
        <v>45843</v>
      </c>
      <c r="B187" s="19" t="s">
        <v>1837</v>
      </c>
      <c r="C187" s="19" t="s">
        <v>13</v>
      </c>
      <c r="D187" s="19" t="s">
        <v>1072</v>
      </c>
      <c r="E187" s="4">
        <v>0.85</v>
      </c>
      <c r="F187" s="42">
        <v>3.3</v>
      </c>
      <c r="G187" s="45">
        <v>371</v>
      </c>
      <c r="H187" s="22">
        <v>2.2000000000000002</v>
      </c>
      <c r="I187" s="6">
        <f t="shared" si="3"/>
        <v>2289.4409999999998</v>
      </c>
      <c r="J187" s="6" t="s">
        <v>1440</v>
      </c>
      <c r="K187" s="17"/>
    </row>
    <row r="188" spans="1:11" ht="13.95" customHeight="1" x14ac:dyDescent="0.3">
      <c r="A188" s="52">
        <v>45844</v>
      </c>
      <c r="B188" s="19" t="s">
        <v>1837</v>
      </c>
      <c r="C188" s="19" t="s">
        <v>16</v>
      </c>
      <c r="D188" s="19" t="s">
        <v>1142</v>
      </c>
      <c r="E188" s="4">
        <v>0.95</v>
      </c>
      <c r="F188" s="42">
        <v>2.9</v>
      </c>
      <c r="G188" s="45">
        <v>371</v>
      </c>
      <c r="H188" s="22">
        <v>2.2000000000000002</v>
      </c>
      <c r="I188" s="6">
        <f t="shared" si="3"/>
        <v>2248.6309999999999</v>
      </c>
      <c r="J188" s="6" t="s">
        <v>1792</v>
      </c>
      <c r="K188" s="17"/>
    </row>
    <row r="189" spans="1:11" ht="13.95" customHeight="1" x14ac:dyDescent="0.3">
      <c r="A189" s="52">
        <v>45845</v>
      </c>
      <c r="B189" s="19" t="s">
        <v>1837</v>
      </c>
      <c r="C189" s="19" t="s">
        <v>18</v>
      </c>
      <c r="D189" s="19" t="s">
        <v>1142</v>
      </c>
      <c r="E189" s="4">
        <v>1</v>
      </c>
      <c r="F189" s="42">
        <v>2.4</v>
      </c>
      <c r="G189" s="45">
        <v>371</v>
      </c>
      <c r="H189" s="22">
        <v>2.2000000000000002</v>
      </c>
      <c r="I189" s="6">
        <f t="shared" si="3"/>
        <v>1958.88</v>
      </c>
      <c r="J189" s="6" t="s">
        <v>1793</v>
      </c>
      <c r="K189" s="17"/>
    </row>
    <row r="190" spans="1:11" ht="13.95" customHeight="1" x14ac:dyDescent="0.3">
      <c r="A190" s="52">
        <v>45846</v>
      </c>
      <c r="B190" s="19" t="s">
        <v>1837</v>
      </c>
      <c r="C190" s="19" t="s">
        <v>20</v>
      </c>
      <c r="D190" s="19" t="s">
        <v>1344</v>
      </c>
      <c r="E190" s="4">
        <v>1</v>
      </c>
      <c r="F190" s="42">
        <v>2.4</v>
      </c>
      <c r="G190" s="45">
        <v>371</v>
      </c>
      <c r="H190" s="22">
        <v>2.2000000000000002</v>
      </c>
      <c r="I190" s="6">
        <f t="shared" si="3"/>
        <v>1958.88</v>
      </c>
      <c r="J190" s="6" t="s">
        <v>530</v>
      </c>
      <c r="K190" s="17"/>
    </row>
    <row r="191" spans="1:11" ht="13.95" customHeight="1" x14ac:dyDescent="0.3">
      <c r="A191" s="52">
        <v>45847</v>
      </c>
      <c r="B191" s="19" t="s">
        <v>1837</v>
      </c>
      <c r="C191" s="19" t="s">
        <v>5</v>
      </c>
      <c r="D191" s="19" t="s">
        <v>1340</v>
      </c>
      <c r="E191" s="4">
        <v>0.8</v>
      </c>
      <c r="F191" s="42">
        <v>2.4500000000000002</v>
      </c>
      <c r="G191" s="45">
        <v>371</v>
      </c>
      <c r="H191" s="22">
        <v>2.2000000000000002</v>
      </c>
      <c r="I191" s="6">
        <f t="shared" si="3"/>
        <v>1599.7520000000004</v>
      </c>
      <c r="J191" s="6" t="s">
        <v>1794</v>
      </c>
      <c r="K191" s="17"/>
    </row>
    <row r="192" spans="1:11" ht="13.95" customHeight="1" x14ac:dyDescent="0.3">
      <c r="A192" s="52">
        <v>45848</v>
      </c>
      <c r="B192" s="19" t="s">
        <v>1837</v>
      </c>
      <c r="C192" s="19" t="s">
        <v>8</v>
      </c>
      <c r="D192" s="19" t="s">
        <v>1340</v>
      </c>
      <c r="E192" s="4">
        <v>0.75</v>
      </c>
      <c r="F192" s="42">
        <v>2.5</v>
      </c>
      <c r="G192" s="45">
        <v>371</v>
      </c>
      <c r="H192" s="22">
        <v>2.2000000000000002</v>
      </c>
      <c r="I192" s="6">
        <f t="shared" si="3"/>
        <v>1530.3750000000002</v>
      </c>
      <c r="J192" s="6" t="s">
        <v>603</v>
      </c>
      <c r="K192" s="17"/>
    </row>
    <row r="193" spans="1:11" ht="13.95" customHeight="1" x14ac:dyDescent="0.3">
      <c r="A193" s="52">
        <v>45849</v>
      </c>
      <c r="B193" s="19" t="s">
        <v>1837</v>
      </c>
      <c r="C193" s="19" t="s">
        <v>11</v>
      </c>
      <c r="D193" s="19" t="s">
        <v>1340</v>
      </c>
      <c r="E193" s="4">
        <v>0.75</v>
      </c>
      <c r="F193" s="42">
        <v>2.8</v>
      </c>
      <c r="G193" s="45">
        <v>371</v>
      </c>
      <c r="H193" s="22">
        <v>2.2000000000000002</v>
      </c>
      <c r="I193" s="6">
        <f t="shared" si="3"/>
        <v>1714.02</v>
      </c>
      <c r="J193" s="6" t="s">
        <v>603</v>
      </c>
      <c r="K193" s="17"/>
    </row>
    <row r="194" spans="1:11" ht="13.95" customHeight="1" x14ac:dyDescent="0.3">
      <c r="A194" s="52">
        <v>45850</v>
      </c>
      <c r="B194" s="19" t="s">
        <v>1837</v>
      </c>
      <c r="C194" s="19" t="s">
        <v>13</v>
      </c>
      <c r="D194" s="19" t="s">
        <v>1340</v>
      </c>
      <c r="E194" s="4">
        <v>0.8</v>
      </c>
      <c r="F194" s="42">
        <v>3.4</v>
      </c>
      <c r="G194" s="45">
        <v>371</v>
      </c>
      <c r="H194" s="22">
        <v>2.2000000000000002</v>
      </c>
      <c r="I194" s="6">
        <f t="shared" si="3"/>
        <v>2220.0640000000003</v>
      </c>
      <c r="J194" s="6" t="s">
        <v>1795</v>
      </c>
      <c r="K194" s="17"/>
    </row>
    <row r="195" spans="1:11" ht="13.95" customHeight="1" x14ac:dyDescent="0.3">
      <c r="A195" s="52">
        <v>45851</v>
      </c>
      <c r="B195" s="19" t="s">
        <v>1837</v>
      </c>
      <c r="C195" s="19" t="s">
        <v>16</v>
      </c>
      <c r="D195" s="19" t="s">
        <v>14</v>
      </c>
      <c r="E195" s="4">
        <v>0.85</v>
      </c>
      <c r="F195" s="42">
        <v>2.95</v>
      </c>
      <c r="G195" s="45">
        <v>371</v>
      </c>
      <c r="H195" s="22">
        <v>2.2000000000000002</v>
      </c>
      <c r="I195" s="6">
        <f t="shared" ref="I195:I258" si="4">(G195*E195)*F195*H195</f>
        <v>2046.6215</v>
      </c>
      <c r="J195" s="6" t="s">
        <v>1124</v>
      </c>
      <c r="K195" s="17"/>
    </row>
    <row r="196" spans="1:11" ht="13.95" customHeight="1" x14ac:dyDescent="0.3">
      <c r="A196" s="52">
        <v>45852</v>
      </c>
      <c r="B196" s="19" t="s">
        <v>1837</v>
      </c>
      <c r="C196" s="19" t="s">
        <v>18</v>
      </c>
      <c r="D196" s="19" t="s">
        <v>14</v>
      </c>
      <c r="E196" s="4">
        <v>1</v>
      </c>
      <c r="F196" s="42">
        <v>2.4500000000000002</v>
      </c>
      <c r="G196" s="45">
        <v>371</v>
      </c>
      <c r="H196" s="22">
        <v>2.2000000000000002</v>
      </c>
      <c r="I196" s="6">
        <f t="shared" si="4"/>
        <v>1999.6900000000003</v>
      </c>
      <c r="J196" s="6" t="s">
        <v>1531</v>
      </c>
      <c r="K196" s="17"/>
    </row>
    <row r="197" spans="1:11" ht="13.95" customHeight="1" x14ac:dyDescent="0.3">
      <c r="A197" s="52">
        <v>45853</v>
      </c>
      <c r="B197" s="19" t="s">
        <v>1837</v>
      </c>
      <c r="C197" s="19" t="s">
        <v>20</v>
      </c>
      <c r="D197" s="19" t="s">
        <v>14</v>
      </c>
      <c r="E197" s="4">
        <v>1</v>
      </c>
      <c r="F197" s="42">
        <v>2.4</v>
      </c>
      <c r="G197" s="45">
        <v>371</v>
      </c>
      <c r="H197" s="22">
        <v>2.2000000000000002</v>
      </c>
      <c r="I197" s="6">
        <f t="shared" si="4"/>
        <v>1958.88</v>
      </c>
      <c r="J197" s="6" t="s">
        <v>139</v>
      </c>
      <c r="K197" s="17"/>
    </row>
    <row r="198" spans="1:11" ht="13.95" customHeight="1" x14ac:dyDescent="0.3">
      <c r="A198" s="52">
        <v>45854</v>
      </c>
      <c r="B198" s="19" t="s">
        <v>1837</v>
      </c>
      <c r="C198" s="19" t="s">
        <v>5</v>
      </c>
      <c r="D198" s="19" t="s">
        <v>1347</v>
      </c>
      <c r="E198" s="4">
        <v>0.9</v>
      </c>
      <c r="F198" s="42">
        <v>2.4</v>
      </c>
      <c r="G198" s="45">
        <v>371</v>
      </c>
      <c r="H198" s="22">
        <v>2.2000000000000002</v>
      </c>
      <c r="I198" s="6">
        <f t="shared" si="4"/>
        <v>1762.9920000000002</v>
      </c>
      <c r="J198" s="6" t="s">
        <v>449</v>
      </c>
      <c r="K198" s="17"/>
    </row>
    <row r="199" spans="1:11" ht="13.95" customHeight="1" x14ac:dyDescent="0.3">
      <c r="A199" s="52">
        <v>45855</v>
      </c>
      <c r="B199" s="19" t="s">
        <v>1837</v>
      </c>
      <c r="C199" s="19" t="s">
        <v>8</v>
      </c>
      <c r="D199" s="19" t="s">
        <v>1347</v>
      </c>
      <c r="E199" s="4">
        <v>0.85</v>
      </c>
      <c r="F199" s="42">
        <v>2.5</v>
      </c>
      <c r="G199" s="45">
        <v>371</v>
      </c>
      <c r="H199" s="22">
        <v>2.2000000000000002</v>
      </c>
      <c r="I199" s="6">
        <f t="shared" si="4"/>
        <v>1734.425</v>
      </c>
      <c r="J199" s="6" t="s">
        <v>1796</v>
      </c>
      <c r="K199" s="17"/>
    </row>
    <row r="200" spans="1:11" ht="13.95" customHeight="1" x14ac:dyDescent="0.3">
      <c r="A200" s="52">
        <v>45856</v>
      </c>
      <c r="B200" s="19" t="s">
        <v>1837</v>
      </c>
      <c r="C200" s="19" t="s">
        <v>11</v>
      </c>
      <c r="D200" s="19" t="s">
        <v>1347</v>
      </c>
      <c r="E200" s="4">
        <v>0.85</v>
      </c>
      <c r="F200" s="42">
        <v>2.85</v>
      </c>
      <c r="G200" s="45">
        <v>371</v>
      </c>
      <c r="H200" s="22">
        <v>2.2000000000000002</v>
      </c>
      <c r="I200" s="6">
        <f t="shared" si="4"/>
        <v>1977.2445</v>
      </c>
      <c r="J200" s="6" t="s">
        <v>1796</v>
      </c>
      <c r="K200" s="17"/>
    </row>
    <row r="201" spans="1:11" ht="13.95" customHeight="1" x14ac:dyDescent="0.3">
      <c r="A201" s="52">
        <v>45857</v>
      </c>
      <c r="B201" s="19" t="s">
        <v>1837</v>
      </c>
      <c r="C201" s="19" t="s">
        <v>13</v>
      </c>
      <c r="D201" s="19" t="s">
        <v>1347</v>
      </c>
      <c r="E201" s="4">
        <v>0.9</v>
      </c>
      <c r="F201" s="42">
        <v>3.35</v>
      </c>
      <c r="G201" s="45">
        <v>371</v>
      </c>
      <c r="H201" s="22">
        <v>2.2000000000000002</v>
      </c>
      <c r="I201" s="6">
        <f t="shared" si="4"/>
        <v>2460.8430000000003</v>
      </c>
      <c r="J201" s="6" t="s">
        <v>1449</v>
      </c>
      <c r="K201" s="17"/>
    </row>
    <row r="202" spans="1:11" ht="13.95" customHeight="1" x14ac:dyDescent="0.3">
      <c r="A202" s="52">
        <v>45858</v>
      </c>
      <c r="B202" s="19" t="s">
        <v>1837</v>
      </c>
      <c r="C202" s="19" t="s">
        <v>16</v>
      </c>
      <c r="D202" s="19" t="s">
        <v>14</v>
      </c>
      <c r="E202" s="4">
        <v>0.95</v>
      </c>
      <c r="F202" s="42">
        <v>2.95</v>
      </c>
      <c r="G202" s="45">
        <v>371</v>
      </c>
      <c r="H202" s="22">
        <v>2.2000000000000002</v>
      </c>
      <c r="I202" s="6">
        <f t="shared" si="4"/>
        <v>2287.4005000000002</v>
      </c>
      <c r="J202" s="6" t="s">
        <v>1797</v>
      </c>
      <c r="K202" s="17"/>
    </row>
    <row r="203" spans="1:11" ht="13.95" customHeight="1" x14ac:dyDescent="0.3">
      <c r="A203" s="52">
        <v>45859</v>
      </c>
      <c r="B203" s="19" t="s">
        <v>1837</v>
      </c>
      <c r="C203" s="19" t="s">
        <v>18</v>
      </c>
      <c r="D203" s="19" t="s">
        <v>14</v>
      </c>
      <c r="E203" s="4">
        <v>1</v>
      </c>
      <c r="F203" s="42">
        <v>2.5</v>
      </c>
      <c r="G203" s="45">
        <v>371</v>
      </c>
      <c r="H203" s="22">
        <v>2.2000000000000002</v>
      </c>
      <c r="I203" s="6">
        <f t="shared" si="4"/>
        <v>2040.5000000000002</v>
      </c>
      <c r="J203" s="6" t="s">
        <v>1798</v>
      </c>
      <c r="K203" s="17"/>
    </row>
    <row r="204" spans="1:11" ht="13.95" customHeight="1" x14ac:dyDescent="0.3">
      <c r="A204" s="52">
        <v>45860</v>
      </c>
      <c r="B204" s="19" t="s">
        <v>1837</v>
      </c>
      <c r="C204" s="19" t="s">
        <v>20</v>
      </c>
      <c r="D204" s="19" t="s">
        <v>14</v>
      </c>
      <c r="E204" s="4">
        <v>1</v>
      </c>
      <c r="F204" s="42">
        <v>2.4500000000000002</v>
      </c>
      <c r="G204" s="45">
        <v>371</v>
      </c>
      <c r="H204" s="22">
        <v>2.2000000000000002</v>
      </c>
      <c r="I204" s="6">
        <f t="shared" si="4"/>
        <v>1999.6900000000003</v>
      </c>
      <c r="J204" s="6" t="s">
        <v>149</v>
      </c>
      <c r="K204" s="17"/>
    </row>
    <row r="205" spans="1:11" ht="13.95" customHeight="1" x14ac:dyDescent="0.3">
      <c r="A205" s="52">
        <v>45861</v>
      </c>
      <c r="B205" s="19" t="s">
        <v>1837</v>
      </c>
      <c r="C205" s="19" t="s">
        <v>5</v>
      </c>
      <c r="D205" s="19" t="s">
        <v>1347</v>
      </c>
      <c r="E205" s="4">
        <v>0.9</v>
      </c>
      <c r="F205" s="42">
        <v>2.4500000000000002</v>
      </c>
      <c r="G205" s="45">
        <v>371</v>
      </c>
      <c r="H205" s="22">
        <v>2.2000000000000002</v>
      </c>
      <c r="I205" s="6">
        <f t="shared" si="4"/>
        <v>1799.7210000000005</v>
      </c>
      <c r="J205" s="6" t="s">
        <v>446</v>
      </c>
      <c r="K205" s="17"/>
    </row>
    <row r="206" spans="1:11" ht="13.95" customHeight="1" x14ac:dyDescent="0.3">
      <c r="A206" s="52">
        <v>45862</v>
      </c>
      <c r="B206" s="19" t="s">
        <v>1837</v>
      </c>
      <c r="C206" s="19" t="s">
        <v>8</v>
      </c>
      <c r="D206" s="19" t="s">
        <v>1347</v>
      </c>
      <c r="E206" s="4">
        <v>0.9</v>
      </c>
      <c r="F206" s="42">
        <v>2.65</v>
      </c>
      <c r="G206" s="45">
        <v>371</v>
      </c>
      <c r="H206" s="22">
        <v>2.2000000000000002</v>
      </c>
      <c r="I206" s="6">
        <f t="shared" si="4"/>
        <v>1946.6370000000002</v>
      </c>
      <c r="J206" s="6" t="s">
        <v>446</v>
      </c>
      <c r="K206" s="17"/>
    </row>
    <row r="207" spans="1:11" ht="13.95" customHeight="1" x14ac:dyDescent="0.3">
      <c r="A207" s="52">
        <v>45863</v>
      </c>
      <c r="B207" s="19" t="s">
        <v>1837</v>
      </c>
      <c r="C207" s="19" t="s">
        <v>11</v>
      </c>
      <c r="D207" s="19" t="s">
        <v>1347</v>
      </c>
      <c r="E207" s="4">
        <v>0.95</v>
      </c>
      <c r="F207" s="42">
        <v>3.2</v>
      </c>
      <c r="G207" s="45">
        <v>371</v>
      </c>
      <c r="H207" s="22">
        <v>2.2000000000000002</v>
      </c>
      <c r="I207" s="6">
        <f t="shared" si="4"/>
        <v>2481.248</v>
      </c>
      <c r="J207" s="6" t="s">
        <v>589</v>
      </c>
      <c r="K207" s="17"/>
    </row>
    <row r="208" spans="1:11" ht="13.95" customHeight="1" x14ac:dyDescent="0.3">
      <c r="A208" s="52">
        <v>45864</v>
      </c>
      <c r="B208" s="19" t="s">
        <v>1837</v>
      </c>
      <c r="C208" s="19" t="s">
        <v>13</v>
      </c>
      <c r="D208" s="19" t="s">
        <v>1347</v>
      </c>
      <c r="E208" s="4">
        <v>0.95</v>
      </c>
      <c r="F208" s="42">
        <v>3.5</v>
      </c>
      <c r="G208" s="45">
        <v>371</v>
      </c>
      <c r="H208" s="22">
        <v>2.2000000000000002</v>
      </c>
      <c r="I208" s="6">
        <f t="shared" si="4"/>
        <v>2713.8650000000002</v>
      </c>
      <c r="J208" s="6" t="s">
        <v>589</v>
      </c>
      <c r="K208" s="17"/>
    </row>
    <row r="209" spans="1:11" ht="13.95" customHeight="1" x14ac:dyDescent="0.3">
      <c r="A209" s="52">
        <v>45865</v>
      </c>
      <c r="B209" s="19" t="s">
        <v>1837</v>
      </c>
      <c r="C209" s="19" t="s">
        <v>16</v>
      </c>
      <c r="D209" s="19" t="s">
        <v>14</v>
      </c>
      <c r="E209" s="4">
        <v>1</v>
      </c>
      <c r="F209" s="42">
        <v>3</v>
      </c>
      <c r="G209" s="45">
        <v>371</v>
      </c>
      <c r="H209" s="22">
        <v>2.2000000000000002</v>
      </c>
      <c r="I209" s="6">
        <f t="shared" si="4"/>
        <v>2448.6000000000004</v>
      </c>
      <c r="J209" s="6" t="s">
        <v>97</v>
      </c>
      <c r="K209" s="17"/>
    </row>
    <row r="210" spans="1:11" ht="13.95" customHeight="1" x14ac:dyDescent="0.3">
      <c r="A210" s="52">
        <v>45866</v>
      </c>
      <c r="B210" s="19" t="s">
        <v>1837</v>
      </c>
      <c r="C210" s="19" t="s">
        <v>18</v>
      </c>
      <c r="D210" s="19" t="s">
        <v>995</v>
      </c>
      <c r="E210" s="4">
        <v>1</v>
      </c>
      <c r="F210" s="42">
        <v>2.5499999999999998</v>
      </c>
      <c r="G210" s="45">
        <v>371</v>
      </c>
      <c r="H210" s="22">
        <v>2.2000000000000002</v>
      </c>
      <c r="I210" s="6">
        <f t="shared" si="4"/>
        <v>2081.31</v>
      </c>
      <c r="J210" s="6" t="s">
        <v>1799</v>
      </c>
      <c r="K210" s="17"/>
    </row>
    <row r="211" spans="1:11" ht="13.95" customHeight="1" x14ac:dyDescent="0.3">
      <c r="A211" s="52">
        <v>45867</v>
      </c>
      <c r="B211" s="19" t="s">
        <v>1837</v>
      </c>
      <c r="C211" s="19" t="s">
        <v>11</v>
      </c>
      <c r="D211" s="19" t="s">
        <v>14</v>
      </c>
      <c r="E211" s="4">
        <v>1</v>
      </c>
      <c r="F211" s="42">
        <v>2.5</v>
      </c>
      <c r="G211" s="45">
        <v>371</v>
      </c>
      <c r="H211" s="22">
        <v>2.2000000000000002</v>
      </c>
      <c r="I211" s="6">
        <f t="shared" si="4"/>
        <v>2040.5000000000002</v>
      </c>
      <c r="J211" s="6" t="s">
        <v>149</v>
      </c>
      <c r="K211" s="17"/>
    </row>
    <row r="212" spans="1:11" ht="13.95" customHeight="1" x14ac:dyDescent="0.3">
      <c r="A212" s="52">
        <v>45868</v>
      </c>
      <c r="B212" s="19" t="s">
        <v>1837</v>
      </c>
      <c r="C212" s="19" t="s">
        <v>13</v>
      </c>
      <c r="D212" s="19" t="s">
        <v>1347</v>
      </c>
      <c r="E212" s="4">
        <v>1</v>
      </c>
      <c r="F212" s="42">
        <v>2.5</v>
      </c>
      <c r="G212" s="45">
        <v>371</v>
      </c>
      <c r="H212" s="22">
        <v>2.2000000000000002</v>
      </c>
      <c r="I212" s="6">
        <f t="shared" si="4"/>
        <v>2040.5000000000002</v>
      </c>
      <c r="J212" s="6" t="s">
        <v>1686</v>
      </c>
      <c r="K212" s="17"/>
    </row>
    <row r="213" spans="1:11" ht="13.95" customHeight="1" x14ac:dyDescent="0.3">
      <c r="A213" s="3">
        <v>45870</v>
      </c>
      <c r="B213" s="19" t="s">
        <v>1837</v>
      </c>
      <c r="C213" s="19" t="s">
        <v>16</v>
      </c>
      <c r="D213" s="19" t="s">
        <v>1347</v>
      </c>
      <c r="E213" s="4">
        <v>1</v>
      </c>
      <c r="F213" s="42">
        <v>2.6</v>
      </c>
      <c r="G213" s="45">
        <v>371</v>
      </c>
      <c r="H213" s="22">
        <v>2.2999999999999998</v>
      </c>
      <c r="I213" s="6">
        <f t="shared" si="4"/>
        <v>2218.58</v>
      </c>
      <c r="J213" s="6" t="s">
        <v>1385</v>
      </c>
      <c r="K213" s="17"/>
    </row>
    <row r="214" spans="1:11" ht="13.95" customHeight="1" x14ac:dyDescent="0.3">
      <c r="A214" s="3">
        <v>45871</v>
      </c>
      <c r="B214" s="19" t="s">
        <v>1837</v>
      </c>
      <c r="C214" s="19" t="s">
        <v>18</v>
      </c>
      <c r="D214" s="19" t="s">
        <v>829</v>
      </c>
      <c r="E214" s="4">
        <v>1</v>
      </c>
      <c r="F214" s="42">
        <v>3.45</v>
      </c>
      <c r="G214" s="45">
        <v>371</v>
      </c>
      <c r="H214" s="22">
        <v>2.2999999999999998</v>
      </c>
      <c r="I214" s="6">
        <f t="shared" si="4"/>
        <v>2943.8849999999998</v>
      </c>
      <c r="J214" s="6" t="s">
        <v>1525</v>
      </c>
      <c r="K214" s="17"/>
    </row>
    <row r="215" spans="1:11" ht="13.95" customHeight="1" x14ac:dyDescent="0.3">
      <c r="A215" s="3">
        <v>45872</v>
      </c>
      <c r="B215" s="19" t="s">
        <v>1837</v>
      </c>
      <c r="C215" s="19" t="s">
        <v>20</v>
      </c>
      <c r="D215" s="19" t="s">
        <v>829</v>
      </c>
      <c r="E215" s="4">
        <v>1</v>
      </c>
      <c r="F215" s="42">
        <v>3</v>
      </c>
      <c r="G215" s="45">
        <v>371</v>
      </c>
      <c r="H215" s="22">
        <v>2.2999999999999998</v>
      </c>
      <c r="I215" s="6">
        <f t="shared" si="4"/>
        <v>2559.8999999999996</v>
      </c>
      <c r="J215" s="6" t="s">
        <v>238</v>
      </c>
      <c r="K215" s="17"/>
    </row>
    <row r="216" spans="1:11" ht="13.95" customHeight="1" x14ac:dyDescent="0.3">
      <c r="A216" s="3">
        <v>45873</v>
      </c>
      <c r="B216" s="19" t="s">
        <v>1837</v>
      </c>
      <c r="C216" s="19" t="s">
        <v>5</v>
      </c>
      <c r="D216" s="19" t="s">
        <v>1347</v>
      </c>
      <c r="E216" s="4">
        <v>1</v>
      </c>
      <c r="F216" s="42">
        <v>2.5499999999999998</v>
      </c>
      <c r="G216" s="45">
        <v>371</v>
      </c>
      <c r="H216" s="22">
        <v>2.2999999999999998</v>
      </c>
      <c r="I216" s="6">
        <f t="shared" si="4"/>
        <v>2175.9149999999995</v>
      </c>
      <c r="J216" s="6" t="s">
        <v>1605</v>
      </c>
      <c r="K216" s="17"/>
    </row>
    <row r="217" spans="1:11" ht="13.95" customHeight="1" x14ac:dyDescent="0.3">
      <c r="A217" s="3">
        <v>45874</v>
      </c>
      <c r="B217" s="19" t="s">
        <v>1837</v>
      </c>
      <c r="C217" s="19" t="s">
        <v>8</v>
      </c>
      <c r="D217" s="19" t="s">
        <v>1347</v>
      </c>
      <c r="E217" s="4">
        <v>1</v>
      </c>
      <c r="F217" s="42">
        <v>2.5</v>
      </c>
      <c r="G217" s="45">
        <v>371</v>
      </c>
      <c r="H217" s="22">
        <v>2.2999999999999998</v>
      </c>
      <c r="I217" s="6">
        <f t="shared" si="4"/>
        <v>2133.25</v>
      </c>
      <c r="J217" s="6" t="s">
        <v>1605</v>
      </c>
      <c r="K217" s="17"/>
    </row>
    <row r="218" spans="1:11" ht="13.95" customHeight="1" x14ac:dyDescent="0.3">
      <c r="A218" s="3">
        <v>45875</v>
      </c>
      <c r="B218" s="19" t="s">
        <v>1837</v>
      </c>
      <c r="C218" s="19" t="s">
        <v>11</v>
      </c>
      <c r="D218" s="19" t="s">
        <v>1347</v>
      </c>
      <c r="E218" s="4">
        <v>1</v>
      </c>
      <c r="F218" s="42">
        <v>2.5</v>
      </c>
      <c r="G218" s="45">
        <v>371</v>
      </c>
      <c r="H218" s="22">
        <v>2.2999999999999998</v>
      </c>
      <c r="I218" s="6">
        <f t="shared" si="4"/>
        <v>2133.25</v>
      </c>
      <c r="J218" s="6" t="s">
        <v>1605</v>
      </c>
      <c r="K218" s="17"/>
    </row>
    <row r="219" spans="1:11" ht="13.95" customHeight="1" x14ac:dyDescent="0.3">
      <c r="A219" s="3">
        <v>45876</v>
      </c>
      <c r="B219" s="19" t="s">
        <v>1837</v>
      </c>
      <c r="C219" s="19" t="s">
        <v>13</v>
      </c>
      <c r="D219" s="19" t="s">
        <v>1347</v>
      </c>
      <c r="E219" s="4">
        <v>1</v>
      </c>
      <c r="F219" s="42">
        <v>2.6</v>
      </c>
      <c r="G219" s="45">
        <v>371</v>
      </c>
      <c r="H219" s="22">
        <v>2.2999999999999998</v>
      </c>
      <c r="I219" s="6">
        <f t="shared" si="4"/>
        <v>2218.58</v>
      </c>
      <c r="J219" s="6" t="s">
        <v>82</v>
      </c>
      <c r="K219" s="17"/>
    </row>
    <row r="220" spans="1:11" ht="13.95" customHeight="1" x14ac:dyDescent="0.3">
      <c r="A220" s="3">
        <v>45877</v>
      </c>
      <c r="B220" s="19" t="s">
        <v>1837</v>
      </c>
      <c r="C220" s="19" t="s">
        <v>16</v>
      </c>
      <c r="D220" s="19" t="s">
        <v>829</v>
      </c>
      <c r="E220" s="4">
        <v>1</v>
      </c>
      <c r="F220" s="42">
        <v>2.85</v>
      </c>
      <c r="G220" s="45">
        <v>371</v>
      </c>
      <c r="H220" s="22">
        <v>2.2999999999999998</v>
      </c>
      <c r="I220" s="6">
        <f t="shared" si="4"/>
        <v>2431.9050000000002</v>
      </c>
      <c r="J220" s="6" t="s">
        <v>531</v>
      </c>
      <c r="K220" s="17"/>
    </row>
    <row r="221" spans="1:11" ht="13.95" customHeight="1" x14ac:dyDescent="0.3">
      <c r="A221" s="3">
        <v>45878</v>
      </c>
      <c r="B221" s="19" t="s">
        <v>1837</v>
      </c>
      <c r="C221" s="19" t="s">
        <v>18</v>
      </c>
      <c r="D221" s="19" t="s">
        <v>829</v>
      </c>
      <c r="E221" s="4">
        <v>1</v>
      </c>
      <c r="F221" s="42">
        <v>3.55</v>
      </c>
      <c r="G221" s="45">
        <v>371</v>
      </c>
      <c r="H221" s="22">
        <v>2.2999999999999998</v>
      </c>
      <c r="I221" s="6">
        <f t="shared" si="4"/>
        <v>3029.2149999999997</v>
      </c>
      <c r="J221" s="6" t="s">
        <v>1800</v>
      </c>
      <c r="K221" s="17"/>
    </row>
    <row r="222" spans="1:11" ht="13.95" customHeight="1" x14ac:dyDescent="0.3">
      <c r="A222" s="3">
        <v>45879</v>
      </c>
      <c r="B222" s="19" t="s">
        <v>1837</v>
      </c>
      <c r="C222" s="19" t="s">
        <v>20</v>
      </c>
      <c r="D222" s="19" t="s">
        <v>829</v>
      </c>
      <c r="E222" s="4">
        <v>1</v>
      </c>
      <c r="F222" s="42">
        <v>3.1</v>
      </c>
      <c r="G222" s="45">
        <v>371</v>
      </c>
      <c r="H222" s="22">
        <v>2.2999999999999998</v>
      </c>
      <c r="I222" s="6">
        <f t="shared" si="4"/>
        <v>2645.23</v>
      </c>
      <c r="J222" s="6" t="s">
        <v>1801</v>
      </c>
      <c r="K222" s="17"/>
    </row>
    <row r="223" spans="1:11" ht="13.95" customHeight="1" x14ac:dyDescent="0.3">
      <c r="A223" s="3">
        <v>45880</v>
      </c>
      <c r="B223" s="19" t="s">
        <v>1837</v>
      </c>
      <c r="C223" s="19" t="s">
        <v>5</v>
      </c>
      <c r="D223" s="19" t="s">
        <v>1347</v>
      </c>
      <c r="E223" s="4">
        <v>1</v>
      </c>
      <c r="F223" s="42">
        <v>2.5499999999999998</v>
      </c>
      <c r="G223" s="45">
        <v>371</v>
      </c>
      <c r="H223" s="22">
        <v>2.2999999999999998</v>
      </c>
      <c r="I223" s="6">
        <f t="shared" si="4"/>
        <v>2175.9149999999995</v>
      </c>
      <c r="J223" s="6" t="s">
        <v>717</v>
      </c>
      <c r="K223" s="17"/>
    </row>
    <row r="224" spans="1:11" ht="13.95" customHeight="1" x14ac:dyDescent="0.3">
      <c r="A224" s="3">
        <v>45881</v>
      </c>
      <c r="B224" s="19" t="s">
        <v>1837</v>
      </c>
      <c r="C224" s="19" t="s">
        <v>8</v>
      </c>
      <c r="D224" s="19" t="s">
        <v>994</v>
      </c>
      <c r="E224" s="4">
        <v>1</v>
      </c>
      <c r="F224" s="42">
        <v>2.8</v>
      </c>
      <c r="G224" s="45">
        <v>371</v>
      </c>
      <c r="H224" s="22">
        <v>2.2999999999999998</v>
      </c>
      <c r="I224" s="6">
        <f t="shared" si="4"/>
        <v>2389.2399999999998</v>
      </c>
      <c r="J224" s="6" t="s">
        <v>1453</v>
      </c>
      <c r="K224" s="17"/>
    </row>
    <row r="225" spans="1:11" ht="13.95" customHeight="1" x14ac:dyDescent="0.3">
      <c r="A225" s="3">
        <v>45882</v>
      </c>
      <c r="B225" s="19" t="s">
        <v>1837</v>
      </c>
      <c r="C225" s="19" t="s">
        <v>11</v>
      </c>
      <c r="D225" s="19" t="s">
        <v>850</v>
      </c>
      <c r="E225" s="4">
        <v>1</v>
      </c>
      <c r="F225" s="42">
        <v>3.4</v>
      </c>
      <c r="G225" s="45">
        <v>371</v>
      </c>
      <c r="H225" s="22">
        <v>2.2999999999999998</v>
      </c>
      <c r="I225" s="6">
        <f t="shared" si="4"/>
        <v>2901.2199999999993</v>
      </c>
      <c r="J225" s="6" t="s">
        <v>1802</v>
      </c>
      <c r="K225" s="17"/>
    </row>
    <row r="226" spans="1:11" ht="13.95" customHeight="1" x14ac:dyDescent="0.3">
      <c r="A226" s="3">
        <v>45883</v>
      </c>
      <c r="B226" s="19" t="s">
        <v>1837</v>
      </c>
      <c r="C226" s="19" t="s">
        <v>13</v>
      </c>
      <c r="D226" s="19" t="s">
        <v>1347</v>
      </c>
      <c r="E226" s="4">
        <v>1</v>
      </c>
      <c r="F226" s="42">
        <v>2.65</v>
      </c>
      <c r="G226" s="45">
        <v>371</v>
      </c>
      <c r="H226" s="22">
        <v>2.2999999999999998</v>
      </c>
      <c r="I226" s="6">
        <f t="shared" si="4"/>
        <v>2261.2449999999999</v>
      </c>
      <c r="J226" s="6" t="s">
        <v>589</v>
      </c>
      <c r="K226" s="17"/>
    </row>
    <row r="227" spans="1:11" ht="13.95" customHeight="1" x14ac:dyDescent="0.3">
      <c r="A227" s="3">
        <v>45884</v>
      </c>
      <c r="B227" s="19" t="s">
        <v>1837</v>
      </c>
      <c r="C227" s="19" t="s">
        <v>16</v>
      </c>
      <c r="D227" s="19" t="s">
        <v>829</v>
      </c>
      <c r="E227" s="4">
        <v>1</v>
      </c>
      <c r="F227" s="42">
        <v>2.9</v>
      </c>
      <c r="G227" s="45">
        <v>371</v>
      </c>
      <c r="H227" s="22">
        <v>2.2999999999999998</v>
      </c>
      <c r="I227" s="6">
        <f t="shared" si="4"/>
        <v>2474.5699999999997</v>
      </c>
      <c r="J227" s="6" t="s">
        <v>1463</v>
      </c>
      <c r="K227" s="17"/>
    </row>
    <row r="228" spans="1:11" ht="13.95" customHeight="1" x14ac:dyDescent="0.3">
      <c r="A228" s="3">
        <v>45885</v>
      </c>
      <c r="B228" s="19" t="s">
        <v>1837</v>
      </c>
      <c r="C228" s="19" t="s">
        <v>18</v>
      </c>
      <c r="D228" s="19" t="s">
        <v>829</v>
      </c>
      <c r="E228" s="4">
        <v>1</v>
      </c>
      <c r="F228" s="42">
        <v>3.5</v>
      </c>
      <c r="G228" s="45">
        <v>371</v>
      </c>
      <c r="H228" s="22">
        <v>2.2999999999999998</v>
      </c>
      <c r="I228" s="6">
        <f t="shared" si="4"/>
        <v>2986.5499999999997</v>
      </c>
      <c r="J228" s="6" t="s">
        <v>1803</v>
      </c>
      <c r="K228" s="17"/>
    </row>
    <row r="229" spans="1:11" ht="13.95" customHeight="1" x14ac:dyDescent="0.3">
      <c r="A229" s="3">
        <v>45886</v>
      </c>
      <c r="B229" s="19" t="s">
        <v>1837</v>
      </c>
      <c r="C229" s="19" t="s">
        <v>20</v>
      </c>
      <c r="D229" s="19" t="s">
        <v>829</v>
      </c>
      <c r="E229" s="4">
        <v>1</v>
      </c>
      <c r="F229" s="42">
        <v>3.15</v>
      </c>
      <c r="G229" s="45">
        <v>371</v>
      </c>
      <c r="H229" s="22">
        <v>2.2999999999999998</v>
      </c>
      <c r="I229" s="6">
        <f t="shared" si="4"/>
        <v>2687.8949999999995</v>
      </c>
      <c r="J229" s="6" t="s">
        <v>238</v>
      </c>
      <c r="K229" s="17"/>
    </row>
    <row r="230" spans="1:11" ht="13.95" customHeight="1" x14ac:dyDescent="0.3">
      <c r="A230" s="3">
        <v>45887</v>
      </c>
      <c r="B230" s="19" t="s">
        <v>1837</v>
      </c>
      <c r="C230" s="19" t="s">
        <v>5</v>
      </c>
      <c r="D230" s="19" t="s">
        <v>1347</v>
      </c>
      <c r="E230" s="4">
        <v>1</v>
      </c>
      <c r="F230" s="42">
        <v>2.6</v>
      </c>
      <c r="G230" s="45">
        <v>371</v>
      </c>
      <c r="H230" s="22">
        <v>2.2999999999999998</v>
      </c>
      <c r="I230" s="6">
        <f t="shared" si="4"/>
        <v>2218.58</v>
      </c>
      <c r="J230" s="6" t="s">
        <v>1605</v>
      </c>
      <c r="K230" s="17"/>
    </row>
    <row r="231" spans="1:11" ht="13.95" customHeight="1" x14ac:dyDescent="0.3">
      <c r="A231" s="3">
        <v>45888</v>
      </c>
      <c r="B231" s="19" t="s">
        <v>1837</v>
      </c>
      <c r="C231" s="19" t="s">
        <v>8</v>
      </c>
      <c r="D231" s="19" t="s">
        <v>1347</v>
      </c>
      <c r="E231" s="4">
        <v>1</v>
      </c>
      <c r="F231" s="42">
        <v>2.5499999999999998</v>
      </c>
      <c r="G231" s="45">
        <v>371</v>
      </c>
      <c r="H231" s="22">
        <v>2.2999999999999998</v>
      </c>
      <c r="I231" s="6">
        <f t="shared" si="4"/>
        <v>2175.9149999999995</v>
      </c>
      <c r="J231" s="6" t="s">
        <v>1605</v>
      </c>
      <c r="K231" s="17"/>
    </row>
    <row r="232" spans="1:11" ht="13.95" customHeight="1" x14ac:dyDescent="0.3">
      <c r="A232" s="3">
        <v>45889</v>
      </c>
      <c r="B232" s="19" t="s">
        <v>1837</v>
      </c>
      <c r="C232" s="19" t="s">
        <v>11</v>
      </c>
      <c r="D232" s="19" t="s">
        <v>1347</v>
      </c>
      <c r="E232" s="4">
        <v>1</v>
      </c>
      <c r="F232" s="42">
        <v>2.5499999999999998</v>
      </c>
      <c r="G232" s="45">
        <v>371</v>
      </c>
      <c r="H232" s="22">
        <v>2.2999999999999998</v>
      </c>
      <c r="I232" s="6">
        <f t="shared" si="4"/>
        <v>2175.9149999999995</v>
      </c>
      <c r="J232" s="6" t="s">
        <v>1605</v>
      </c>
      <c r="K232" s="17"/>
    </row>
    <row r="233" spans="1:11" ht="13.95" customHeight="1" x14ac:dyDescent="0.3">
      <c r="A233" s="3">
        <v>45890</v>
      </c>
      <c r="B233" s="19" t="s">
        <v>1837</v>
      </c>
      <c r="C233" s="19" t="s">
        <v>13</v>
      </c>
      <c r="D233" s="19" t="s">
        <v>1347</v>
      </c>
      <c r="E233" s="4">
        <v>1</v>
      </c>
      <c r="F233" s="42">
        <v>2.65</v>
      </c>
      <c r="G233" s="45">
        <v>371</v>
      </c>
      <c r="H233" s="22">
        <v>2.2999999999999998</v>
      </c>
      <c r="I233" s="6">
        <f t="shared" si="4"/>
        <v>2261.2449999999999</v>
      </c>
      <c r="J233" s="6" t="s">
        <v>589</v>
      </c>
      <c r="K233" s="17"/>
    </row>
    <row r="234" spans="1:11" ht="13.95" customHeight="1" x14ac:dyDescent="0.3">
      <c r="A234" s="3">
        <v>45891</v>
      </c>
      <c r="B234" s="19" t="s">
        <v>1837</v>
      </c>
      <c r="C234" s="19" t="s">
        <v>16</v>
      </c>
      <c r="D234" s="19" t="s">
        <v>829</v>
      </c>
      <c r="E234" s="4">
        <v>1</v>
      </c>
      <c r="F234" s="42">
        <v>2.95</v>
      </c>
      <c r="G234" s="45">
        <v>371</v>
      </c>
      <c r="H234" s="22">
        <v>2.2999999999999998</v>
      </c>
      <c r="I234" s="6">
        <f t="shared" si="4"/>
        <v>2517.2350000000001</v>
      </c>
      <c r="J234" s="6" t="s">
        <v>97</v>
      </c>
      <c r="K234" s="17"/>
    </row>
    <row r="235" spans="1:11" ht="13.95" customHeight="1" x14ac:dyDescent="0.3">
      <c r="A235" s="3">
        <v>45892</v>
      </c>
      <c r="B235" s="19" t="s">
        <v>1837</v>
      </c>
      <c r="C235" s="19" t="s">
        <v>18</v>
      </c>
      <c r="D235" s="19" t="s">
        <v>829</v>
      </c>
      <c r="E235" s="4">
        <v>1</v>
      </c>
      <c r="F235" s="42">
        <v>3.5</v>
      </c>
      <c r="G235" s="45">
        <v>371</v>
      </c>
      <c r="H235" s="22">
        <v>2.2999999999999998</v>
      </c>
      <c r="I235" s="6">
        <f t="shared" si="4"/>
        <v>2986.5499999999997</v>
      </c>
      <c r="J235" s="6" t="s">
        <v>1700</v>
      </c>
      <c r="K235" s="17"/>
    </row>
    <row r="236" spans="1:11" ht="13.95" customHeight="1" x14ac:dyDescent="0.3">
      <c r="A236" s="3">
        <v>45893</v>
      </c>
      <c r="B236" s="19" t="s">
        <v>1837</v>
      </c>
      <c r="C236" s="19" t="s">
        <v>20</v>
      </c>
      <c r="D236" s="19" t="s">
        <v>829</v>
      </c>
      <c r="E236" s="4">
        <v>1</v>
      </c>
      <c r="F236" s="42">
        <v>3.15</v>
      </c>
      <c r="G236" s="45">
        <v>371</v>
      </c>
      <c r="H236" s="22">
        <v>2.2999999999999998</v>
      </c>
      <c r="I236" s="6">
        <f t="shared" si="4"/>
        <v>2687.8949999999995</v>
      </c>
      <c r="J236" s="6" t="s">
        <v>69</v>
      </c>
      <c r="K236" s="17"/>
    </row>
    <row r="237" spans="1:11" ht="13.95" customHeight="1" x14ac:dyDescent="0.3">
      <c r="A237" s="3">
        <v>45894</v>
      </c>
      <c r="B237" s="19" t="s">
        <v>1837</v>
      </c>
      <c r="C237" s="19" t="s">
        <v>5</v>
      </c>
      <c r="D237" s="19" t="s">
        <v>1347</v>
      </c>
      <c r="E237" s="4">
        <v>1</v>
      </c>
      <c r="F237" s="42">
        <v>2.65</v>
      </c>
      <c r="G237" s="45">
        <v>371</v>
      </c>
      <c r="H237" s="22">
        <v>2.2999999999999998</v>
      </c>
      <c r="I237" s="6">
        <f t="shared" si="4"/>
        <v>2261.2449999999999</v>
      </c>
      <c r="J237" s="6" t="s">
        <v>1696</v>
      </c>
      <c r="K237" s="17"/>
    </row>
    <row r="238" spans="1:11" ht="13.95" customHeight="1" x14ac:dyDescent="0.3">
      <c r="A238" s="3">
        <v>45895</v>
      </c>
      <c r="B238" s="19" t="s">
        <v>1837</v>
      </c>
      <c r="C238" s="19" t="s">
        <v>8</v>
      </c>
      <c r="D238" s="19" t="s">
        <v>1347</v>
      </c>
      <c r="E238" s="4">
        <v>0.95</v>
      </c>
      <c r="F238" s="42">
        <v>2.5499999999999998</v>
      </c>
      <c r="G238" s="45">
        <v>371</v>
      </c>
      <c r="H238" s="22">
        <v>2.2999999999999998</v>
      </c>
      <c r="I238" s="6">
        <f t="shared" si="4"/>
        <v>2067.1192499999997</v>
      </c>
      <c r="J238" s="6" t="s">
        <v>589</v>
      </c>
      <c r="K238" s="17"/>
    </row>
    <row r="239" spans="1:11" ht="13.95" customHeight="1" x14ac:dyDescent="0.3">
      <c r="A239" s="3">
        <v>45896</v>
      </c>
      <c r="B239" s="19" t="s">
        <v>1837</v>
      </c>
      <c r="C239" s="19" t="s">
        <v>11</v>
      </c>
      <c r="D239" s="19" t="s">
        <v>1347</v>
      </c>
      <c r="E239" s="4">
        <v>0.95</v>
      </c>
      <c r="F239" s="42">
        <v>2.5</v>
      </c>
      <c r="G239" s="45">
        <v>371</v>
      </c>
      <c r="H239" s="22">
        <v>2.2999999999999998</v>
      </c>
      <c r="I239" s="6">
        <f t="shared" si="4"/>
        <v>2026.5874999999999</v>
      </c>
      <c r="J239" s="6" t="s">
        <v>589</v>
      </c>
      <c r="K239" s="17"/>
    </row>
    <row r="240" spans="1:11" ht="13.95" customHeight="1" x14ac:dyDescent="0.3">
      <c r="A240" s="3">
        <v>45897</v>
      </c>
      <c r="B240" s="19" t="s">
        <v>1837</v>
      </c>
      <c r="C240" s="19" t="s">
        <v>13</v>
      </c>
      <c r="D240" s="19" t="s">
        <v>1347</v>
      </c>
      <c r="E240" s="4">
        <v>0.98</v>
      </c>
      <c r="F240" s="42">
        <v>2.6</v>
      </c>
      <c r="G240" s="45">
        <v>371</v>
      </c>
      <c r="H240" s="22">
        <v>2.2999999999999998</v>
      </c>
      <c r="I240" s="6">
        <f t="shared" si="4"/>
        <v>2174.2084</v>
      </c>
      <c r="J240" s="6" t="s">
        <v>589</v>
      </c>
      <c r="K240" s="17"/>
    </row>
    <row r="241" spans="1:11" ht="13.95" customHeight="1" x14ac:dyDescent="0.3">
      <c r="A241" s="3">
        <v>45898</v>
      </c>
      <c r="B241" s="19" t="s">
        <v>1837</v>
      </c>
      <c r="C241" s="19" t="s">
        <v>16</v>
      </c>
      <c r="D241" s="19" t="s">
        <v>14</v>
      </c>
      <c r="E241" s="4">
        <v>1</v>
      </c>
      <c r="F241" s="42">
        <v>3</v>
      </c>
      <c r="G241" s="45">
        <v>371</v>
      </c>
      <c r="H241" s="22">
        <v>2.2999999999999998</v>
      </c>
      <c r="I241" s="6">
        <f t="shared" si="4"/>
        <v>2559.8999999999996</v>
      </c>
      <c r="J241" s="6" t="s">
        <v>480</v>
      </c>
      <c r="K241" s="17"/>
    </row>
    <row r="242" spans="1:11" ht="13.95" customHeight="1" x14ac:dyDescent="0.3">
      <c r="A242" s="3">
        <v>45899</v>
      </c>
      <c r="B242" s="19" t="s">
        <v>1837</v>
      </c>
      <c r="C242" s="19" t="s">
        <v>18</v>
      </c>
      <c r="D242" s="19" t="s">
        <v>14</v>
      </c>
      <c r="E242" s="4">
        <v>1</v>
      </c>
      <c r="F242" s="42">
        <v>3.6</v>
      </c>
      <c r="G242" s="45">
        <v>371</v>
      </c>
      <c r="H242" s="22">
        <v>2.2999999999999998</v>
      </c>
      <c r="I242" s="6">
        <f t="shared" si="4"/>
        <v>3071.88</v>
      </c>
      <c r="J242" s="6" t="s">
        <v>1435</v>
      </c>
      <c r="K242" s="17"/>
    </row>
    <row r="243" spans="1:11" ht="13.95" customHeight="1" x14ac:dyDescent="0.3">
      <c r="A243" s="3">
        <v>45900</v>
      </c>
      <c r="B243" s="19" t="s">
        <v>1837</v>
      </c>
      <c r="C243" s="19" t="s">
        <v>20</v>
      </c>
      <c r="D243" s="19" t="s">
        <v>14</v>
      </c>
      <c r="E243" s="4">
        <v>1</v>
      </c>
      <c r="F243" s="42">
        <v>3.2</v>
      </c>
      <c r="G243" s="45">
        <v>371</v>
      </c>
      <c r="H243" s="22">
        <v>2.2999999999999998</v>
      </c>
      <c r="I243" s="6">
        <f t="shared" si="4"/>
        <v>2730.56</v>
      </c>
      <c r="J243" s="6" t="s">
        <v>1697</v>
      </c>
      <c r="K243" s="17"/>
    </row>
    <row r="244" spans="1:11" ht="13.95" customHeight="1" x14ac:dyDescent="0.3">
      <c r="A244" s="3">
        <v>45901</v>
      </c>
      <c r="B244" s="19" t="s">
        <v>1837</v>
      </c>
      <c r="C244" s="19" t="s">
        <v>5</v>
      </c>
      <c r="D244" s="19" t="s">
        <v>1545</v>
      </c>
      <c r="E244" s="4">
        <v>0.85</v>
      </c>
      <c r="F244" s="42">
        <v>2.2999999999999998</v>
      </c>
      <c r="G244" s="45">
        <v>371</v>
      </c>
      <c r="H244" s="22">
        <v>2</v>
      </c>
      <c r="I244" s="6">
        <f t="shared" si="4"/>
        <v>1450.6099999999997</v>
      </c>
      <c r="J244" s="6" t="s">
        <v>1804</v>
      </c>
      <c r="K244" s="17"/>
    </row>
    <row r="245" spans="1:11" ht="13.95" customHeight="1" x14ac:dyDescent="0.3">
      <c r="A245" s="3">
        <v>45902</v>
      </c>
      <c r="B245" s="19" t="s">
        <v>1837</v>
      </c>
      <c r="C245" s="19" t="s">
        <v>8</v>
      </c>
      <c r="D245" s="19" t="s">
        <v>1340</v>
      </c>
      <c r="E245" s="4">
        <v>0.75</v>
      </c>
      <c r="F245" s="42">
        <v>2.15</v>
      </c>
      <c r="G245" s="45">
        <v>371</v>
      </c>
      <c r="H245" s="22">
        <v>2</v>
      </c>
      <c r="I245" s="6">
        <f t="shared" si="4"/>
        <v>1196.4749999999999</v>
      </c>
      <c r="J245" s="6" t="s">
        <v>1805</v>
      </c>
      <c r="K245" s="17"/>
    </row>
    <row r="246" spans="1:11" ht="13.95" customHeight="1" x14ac:dyDescent="0.3">
      <c r="A246" s="3">
        <v>45903</v>
      </c>
      <c r="B246" s="19" t="s">
        <v>1837</v>
      </c>
      <c r="C246" s="19" t="s">
        <v>11</v>
      </c>
      <c r="D246" s="19" t="s">
        <v>1340</v>
      </c>
      <c r="E246" s="4">
        <v>0.7</v>
      </c>
      <c r="F246" s="42">
        <v>2.1</v>
      </c>
      <c r="G246" s="45">
        <v>371</v>
      </c>
      <c r="H246" s="22">
        <v>2</v>
      </c>
      <c r="I246" s="6">
        <f t="shared" si="4"/>
        <v>1090.74</v>
      </c>
      <c r="J246" s="6" t="s">
        <v>603</v>
      </c>
      <c r="K246" s="17"/>
    </row>
    <row r="247" spans="1:11" ht="13.95" customHeight="1" x14ac:dyDescent="0.3">
      <c r="A247" s="3">
        <v>45904</v>
      </c>
      <c r="B247" s="19" t="s">
        <v>1837</v>
      </c>
      <c r="C247" s="19" t="s">
        <v>13</v>
      </c>
      <c r="D247" s="19" t="s">
        <v>1738</v>
      </c>
      <c r="E247" s="4">
        <v>0.78</v>
      </c>
      <c r="F247" s="42">
        <v>2.25</v>
      </c>
      <c r="G247" s="45">
        <v>371</v>
      </c>
      <c r="H247" s="22">
        <v>2</v>
      </c>
      <c r="I247" s="6">
        <f t="shared" si="4"/>
        <v>1302.21</v>
      </c>
      <c r="J247" s="6" t="s">
        <v>1806</v>
      </c>
      <c r="K247" s="17"/>
    </row>
    <row r="248" spans="1:11" ht="13.95" customHeight="1" x14ac:dyDescent="0.3">
      <c r="A248" s="3">
        <v>45905</v>
      </c>
      <c r="B248" s="19" t="s">
        <v>1837</v>
      </c>
      <c r="C248" s="19" t="s">
        <v>16</v>
      </c>
      <c r="D248" s="19" t="s">
        <v>14</v>
      </c>
      <c r="E248" s="4">
        <v>0.85</v>
      </c>
      <c r="F248" s="42">
        <v>2.4</v>
      </c>
      <c r="G248" s="45">
        <v>371</v>
      </c>
      <c r="H248" s="22">
        <v>2</v>
      </c>
      <c r="I248" s="6">
        <f t="shared" si="4"/>
        <v>1513.6799999999998</v>
      </c>
      <c r="J248" s="6" t="s">
        <v>1124</v>
      </c>
      <c r="K248" s="17"/>
    </row>
    <row r="249" spans="1:11" ht="13.95" customHeight="1" x14ac:dyDescent="0.3">
      <c r="A249" s="3">
        <v>45906</v>
      </c>
      <c r="B249" s="19" t="s">
        <v>1837</v>
      </c>
      <c r="C249" s="19" t="s">
        <v>18</v>
      </c>
      <c r="D249" s="19" t="s">
        <v>14</v>
      </c>
      <c r="E249" s="4">
        <v>0.95</v>
      </c>
      <c r="F249" s="42">
        <v>3</v>
      </c>
      <c r="G249" s="45">
        <v>371</v>
      </c>
      <c r="H249" s="22">
        <v>2</v>
      </c>
      <c r="I249" s="6">
        <f t="shared" si="4"/>
        <v>2114.6999999999998</v>
      </c>
      <c r="J249" s="6" t="s">
        <v>1531</v>
      </c>
      <c r="K249" s="17"/>
    </row>
    <row r="250" spans="1:11" ht="13.95" customHeight="1" x14ac:dyDescent="0.3">
      <c r="A250" s="3">
        <v>45907</v>
      </c>
      <c r="B250" s="19" t="s">
        <v>1837</v>
      </c>
      <c r="C250" s="19" t="s">
        <v>20</v>
      </c>
      <c r="D250" s="19" t="s">
        <v>14</v>
      </c>
      <c r="E250" s="4">
        <v>0.88</v>
      </c>
      <c r="F250" s="42">
        <v>2.5499999999999998</v>
      </c>
      <c r="G250" s="45">
        <v>371</v>
      </c>
      <c r="H250" s="22">
        <v>2</v>
      </c>
      <c r="I250" s="6">
        <f t="shared" si="4"/>
        <v>1665.048</v>
      </c>
      <c r="J250" s="6" t="s">
        <v>238</v>
      </c>
      <c r="K250" s="17"/>
    </row>
    <row r="251" spans="1:11" ht="13.95" customHeight="1" x14ac:dyDescent="0.3">
      <c r="A251" s="3">
        <v>45908</v>
      </c>
      <c r="B251" s="19" t="s">
        <v>1837</v>
      </c>
      <c r="C251" s="19" t="s">
        <v>5</v>
      </c>
      <c r="D251" s="19" t="s">
        <v>1340</v>
      </c>
      <c r="E251" s="4">
        <v>0.65</v>
      </c>
      <c r="F251" s="42">
        <v>2.0499999999999998</v>
      </c>
      <c r="G251" s="45">
        <v>371</v>
      </c>
      <c r="H251" s="22">
        <v>2</v>
      </c>
      <c r="I251" s="6">
        <f t="shared" si="4"/>
        <v>988.71499999999992</v>
      </c>
      <c r="J251" s="6" t="s">
        <v>150</v>
      </c>
      <c r="K251" s="17"/>
    </row>
    <row r="252" spans="1:11" ht="13.95" customHeight="1" x14ac:dyDescent="0.3">
      <c r="A252" s="3">
        <v>45909</v>
      </c>
      <c r="B252" s="19" t="s">
        <v>1837</v>
      </c>
      <c r="C252" s="19" t="s">
        <v>8</v>
      </c>
      <c r="D252" s="19" t="s">
        <v>1340</v>
      </c>
      <c r="E252" s="4">
        <v>0.6</v>
      </c>
      <c r="F252" s="42">
        <v>2</v>
      </c>
      <c r="G252" s="45">
        <v>371</v>
      </c>
      <c r="H252" s="22">
        <v>2</v>
      </c>
      <c r="I252" s="6">
        <f t="shared" si="4"/>
        <v>890.4</v>
      </c>
      <c r="J252" s="6" t="s">
        <v>1628</v>
      </c>
      <c r="K252" s="17"/>
    </row>
    <row r="253" spans="1:11" ht="13.95" customHeight="1" x14ac:dyDescent="0.3">
      <c r="A253" s="3">
        <v>45910</v>
      </c>
      <c r="B253" s="19" t="s">
        <v>1837</v>
      </c>
      <c r="C253" s="19" t="s">
        <v>11</v>
      </c>
      <c r="D253" s="19" t="s">
        <v>1340</v>
      </c>
      <c r="E253" s="4">
        <v>0.62</v>
      </c>
      <c r="F253" s="42">
        <v>2.0499999999999998</v>
      </c>
      <c r="G253" s="45">
        <v>371</v>
      </c>
      <c r="H253" s="22">
        <v>2</v>
      </c>
      <c r="I253" s="6">
        <f t="shared" si="4"/>
        <v>943.08199999999999</v>
      </c>
      <c r="J253" s="6" t="s">
        <v>603</v>
      </c>
      <c r="K253" s="17"/>
    </row>
    <row r="254" spans="1:11" ht="13.95" customHeight="1" x14ac:dyDescent="0.3">
      <c r="A254" s="3">
        <v>45911</v>
      </c>
      <c r="B254" s="19" t="s">
        <v>1837</v>
      </c>
      <c r="C254" s="19" t="s">
        <v>13</v>
      </c>
      <c r="D254" s="19" t="s">
        <v>1738</v>
      </c>
      <c r="E254" s="4">
        <v>0.75</v>
      </c>
      <c r="F254" s="42">
        <v>2.2999999999999998</v>
      </c>
      <c r="G254" s="45">
        <v>371</v>
      </c>
      <c r="H254" s="22">
        <v>2</v>
      </c>
      <c r="I254" s="6">
        <f t="shared" si="4"/>
        <v>1279.9499999999998</v>
      </c>
      <c r="J254" s="6" t="s">
        <v>1807</v>
      </c>
      <c r="K254" s="17"/>
    </row>
    <row r="255" spans="1:11" ht="13.95" customHeight="1" x14ac:dyDescent="0.3">
      <c r="A255" s="3">
        <v>45912</v>
      </c>
      <c r="B255" s="19" t="s">
        <v>1837</v>
      </c>
      <c r="C255" s="19" t="s">
        <v>16</v>
      </c>
      <c r="D255" s="19" t="s">
        <v>14</v>
      </c>
      <c r="E255" s="4">
        <v>0.8</v>
      </c>
      <c r="F255" s="42">
        <v>2.4</v>
      </c>
      <c r="G255" s="45">
        <v>371</v>
      </c>
      <c r="H255" s="22">
        <v>2</v>
      </c>
      <c r="I255" s="6">
        <f t="shared" si="4"/>
        <v>1424.64</v>
      </c>
      <c r="J255" s="6" t="s">
        <v>97</v>
      </c>
      <c r="K255" s="17"/>
    </row>
    <row r="256" spans="1:11" ht="13.95" customHeight="1" x14ac:dyDescent="0.3">
      <c r="A256" s="3">
        <v>45913</v>
      </c>
      <c r="B256" s="19" t="s">
        <v>1837</v>
      </c>
      <c r="C256" s="19" t="s">
        <v>18</v>
      </c>
      <c r="D256" s="19" t="s">
        <v>14</v>
      </c>
      <c r="E256" s="4">
        <v>0.92</v>
      </c>
      <c r="F256" s="42">
        <v>3.1</v>
      </c>
      <c r="G256" s="45">
        <v>371</v>
      </c>
      <c r="H256" s="22">
        <v>2</v>
      </c>
      <c r="I256" s="6">
        <f t="shared" si="4"/>
        <v>2116.1840000000002</v>
      </c>
      <c r="J256" s="6" t="s">
        <v>1808</v>
      </c>
      <c r="K256" s="17"/>
    </row>
    <row r="257" spans="1:11" ht="13.95" customHeight="1" x14ac:dyDescent="0.3">
      <c r="A257" s="3">
        <v>45914</v>
      </c>
      <c r="B257" s="19" t="s">
        <v>1837</v>
      </c>
      <c r="C257" s="19" t="s">
        <v>20</v>
      </c>
      <c r="D257" s="19" t="s">
        <v>14</v>
      </c>
      <c r="E257" s="4">
        <v>0.85</v>
      </c>
      <c r="F257" s="42">
        <v>2.6</v>
      </c>
      <c r="G257" s="45">
        <v>371</v>
      </c>
      <c r="H257" s="22">
        <v>2</v>
      </c>
      <c r="I257" s="6">
        <f t="shared" si="4"/>
        <v>1639.82</v>
      </c>
      <c r="J257" s="6" t="s">
        <v>238</v>
      </c>
      <c r="K257" s="17"/>
    </row>
    <row r="258" spans="1:11" ht="13.95" customHeight="1" x14ac:dyDescent="0.3">
      <c r="A258" s="3">
        <v>45915</v>
      </c>
      <c r="B258" s="19" t="s">
        <v>1837</v>
      </c>
      <c r="C258" s="19" t="s">
        <v>5</v>
      </c>
      <c r="D258" s="19" t="s">
        <v>1340</v>
      </c>
      <c r="E258" s="4">
        <v>0.6</v>
      </c>
      <c r="F258" s="42">
        <v>2</v>
      </c>
      <c r="G258" s="45">
        <v>371</v>
      </c>
      <c r="H258" s="22">
        <v>2</v>
      </c>
      <c r="I258" s="6">
        <f t="shared" si="4"/>
        <v>890.4</v>
      </c>
      <c r="J258" s="6" t="s">
        <v>70</v>
      </c>
      <c r="K258" s="17"/>
    </row>
    <row r="259" spans="1:11" ht="13.95" customHeight="1" x14ac:dyDescent="0.3">
      <c r="A259" s="3">
        <v>45916</v>
      </c>
      <c r="B259" s="19" t="s">
        <v>1837</v>
      </c>
      <c r="C259" s="19" t="s">
        <v>8</v>
      </c>
      <c r="D259" s="19" t="s">
        <v>1340</v>
      </c>
      <c r="E259" s="4">
        <v>0.57999999999999996</v>
      </c>
      <c r="F259" s="42">
        <v>2</v>
      </c>
      <c r="G259" s="45">
        <v>371</v>
      </c>
      <c r="H259" s="22">
        <v>2</v>
      </c>
      <c r="I259" s="6">
        <f t="shared" ref="I259:I322" si="5">(G259*E259)*F259*H259</f>
        <v>860.71999999999991</v>
      </c>
      <c r="J259" s="6" t="s">
        <v>150</v>
      </c>
      <c r="K259" s="17"/>
    </row>
    <row r="260" spans="1:11" ht="13.95" customHeight="1" x14ac:dyDescent="0.3">
      <c r="A260" s="3">
        <v>45917</v>
      </c>
      <c r="B260" s="19" t="s">
        <v>1837</v>
      </c>
      <c r="C260" s="19" t="s">
        <v>11</v>
      </c>
      <c r="D260" s="19" t="s">
        <v>1340</v>
      </c>
      <c r="E260" s="4">
        <v>0.6</v>
      </c>
      <c r="F260" s="42">
        <v>2</v>
      </c>
      <c r="G260" s="45">
        <v>371</v>
      </c>
      <c r="H260" s="22">
        <v>2</v>
      </c>
      <c r="I260" s="6">
        <f t="shared" si="5"/>
        <v>890.4</v>
      </c>
      <c r="J260" s="6" t="s">
        <v>150</v>
      </c>
      <c r="K260" s="17"/>
    </row>
    <row r="261" spans="1:11" ht="13.95" customHeight="1" x14ac:dyDescent="0.3">
      <c r="A261" s="3">
        <v>45918</v>
      </c>
      <c r="B261" s="19" t="s">
        <v>1837</v>
      </c>
      <c r="C261" s="19" t="s">
        <v>13</v>
      </c>
      <c r="D261" s="19" t="s">
        <v>1738</v>
      </c>
      <c r="E261" s="4">
        <v>0.7</v>
      </c>
      <c r="F261" s="42">
        <v>2.25</v>
      </c>
      <c r="G261" s="45">
        <v>371</v>
      </c>
      <c r="H261" s="22">
        <v>2</v>
      </c>
      <c r="I261" s="6">
        <f t="shared" si="5"/>
        <v>1168.6499999999999</v>
      </c>
      <c r="J261" s="6" t="s">
        <v>1410</v>
      </c>
      <c r="K261" s="17"/>
    </row>
    <row r="262" spans="1:11" ht="13.95" customHeight="1" x14ac:dyDescent="0.3">
      <c r="A262" s="3">
        <v>45676</v>
      </c>
      <c r="B262" s="19" t="s">
        <v>1837</v>
      </c>
      <c r="C262" s="19" t="s">
        <v>16</v>
      </c>
      <c r="D262" s="19" t="s">
        <v>14</v>
      </c>
      <c r="E262" s="4">
        <v>0.78</v>
      </c>
      <c r="F262" s="42">
        <v>2.35</v>
      </c>
      <c r="G262" s="45">
        <v>371</v>
      </c>
      <c r="H262" s="22">
        <v>2</v>
      </c>
      <c r="I262" s="6">
        <f t="shared" si="5"/>
        <v>1360.086</v>
      </c>
      <c r="J262" s="6" t="s">
        <v>97</v>
      </c>
      <c r="K262" s="17"/>
    </row>
    <row r="263" spans="1:11" ht="13.95" customHeight="1" x14ac:dyDescent="0.3">
      <c r="A263" s="3">
        <v>45920</v>
      </c>
      <c r="B263" s="19" t="s">
        <v>1837</v>
      </c>
      <c r="C263" s="19" t="s">
        <v>18</v>
      </c>
      <c r="D263" s="19" t="s">
        <v>14</v>
      </c>
      <c r="E263" s="4">
        <v>0.9</v>
      </c>
      <c r="F263" s="42">
        <v>3.05</v>
      </c>
      <c r="G263" s="45">
        <v>371</v>
      </c>
      <c r="H263" s="22">
        <v>2</v>
      </c>
      <c r="I263" s="6">
        <f t="shared" si="5"/>
        <v>2036.7900000000002</v>
      </c>
      <c r="J263" s="6" t="s">
        <v>1809</v>
      </c>
      <c r="K263" s="17"/>
    </row>
    <row r="264" spans="1:11" ht="13.95" customHeight="1" x14ac:dyDescent="0.3">
      <c r="A264" s="3">
        <v>45921</v>
      </c>
      <c r="B264" s="19" t="s">
        <v>1837</v>
      </c>
      <c r="C264" s="19" t="s">
        <v>20</v>
      </c>
      <c r="D264" s="19" t="s">
        <v>14</v>
      </c>
      <c r="E264" s="4">
        <v>0.82</v>
      </c>
      <c r="F264" s="42">
        <v>2.5</v>
      </c>
      <c r="G264" s="45">
        <v>371</v>
      </c>
      <c r="H264" s="22">
        <v>2</v>
      </c>
      <c r="I264" s="6">
        <f t="shared" si="5"/>
        <v>1521.1</v>
      </c>
      <c r="J264" s="6" t="s">
        <v>69</v>
      </c>
      <c r="K264" s="17"/>
    </row>
    <row r="265" spans="1:11" ht="13.95" customHeight="1" x14ac:dyDescent="0.3">
      <c r="A265" s="3">
        <v>45922</v>
      </c>
      <c r="B265" s="19" t="s">
        <v>1837</v>
      </c>
      <c r="C265" s="19" t="s">
        <v>5</v>
      </c>
      <c r="D265" s="19" t="s">
        <v>1259</v>
      </c>
      <c r="E265" s="4">
        <v>0.55000000000000004</v>
      </c>
      <c r="F265" s="42">
        <v>1.95</v>
      </c>
      <c r="G265" s="45">
        <v>371</v>
      </c>
      <c r="H265" s="22">
        <v>2</v>
      </c>
      <c r="I265" s="6">
        <f t="shared" si="5"/>
        <v>795.79500000000007</v>
      </c>
      <c r="J265" s="6" t="s">
        <v>1592</v>
      </c>
      <c r="K265" s="17"/>
    </row>
    <row r="266" spans="1:11" ht="13.95" customHeight="1" x14ac:dyDescent="0.3">
      <c r="A266" s="3">
        <v>45923</v>
      </c>
      <c r="B266" s="19" t="s">
        <v>1837</v>
      </c>
      <c r="C266" s="19" t="s">
        <v>8</v>
      </c>
      <c r="D266" s="19" t="s">
        <v>1259</v>
      </c>
      <c r="E266" s="4">
        <v>0.5</v>
      </c>
      <c r="F266" s="42">
        <v>1.9</v>
      </c>
      <c r="G266" s="45">
        <v>371</v>
      </c>
      <c r="H266" s="22">
        <v>2</v>
      </c>
      <c r="I266" s="6">
        <f t="shared" si="5"/>
        <v>704.9</v>
      </c>
      <c r="J266" s="6" t="s">
        <v>150</v>
      </c>
      <c r="K266" s="17"/>
    </row>
    <row r="267" spans="1:11" ht="13.95" customHeight="1" x14ac:dyDescent="0.3">
      <c r="A267" s="3">
        <v>45924</v>
      </c>
      <c r="B267" s="19" t="s">
        <v>1837</v>
      </c>
      <c r="C267" s="19" t="s">
        <v>11</v>
      </c>
      <c r="D267" s="19" t="s">
        <v>1259</v>
      </c>
      <c r="E267" s="4">
        <v>0.52</v>
      </c>
      <c r="F267" s="42">
        <v>1.95</v>
      </c>
      <c r="G267" s="45">
        <v>371</v>
      </c>
      <c r="H267" s="22">
        <v>2</v>
      </c>
      <c r="I267" s="6">
        <f t="shared" si="5"/>
        <v>752.38800000000003</v>
      </c>
      <c r="J267" s="6" t="s">
        <v>150</v>
      </c>
      <c r="K267" s="17"/>
    </row>
    <row r="268" spans="1:11" ht="13.95" customHeight="1" x14ac:dyDescent="0.3">
      <c r="A268" s="3">
        <v>45925</v>
      </c>
      <c r="B268" s="19" t="s">
        <v>1837</v>
      </c>
      <c r="C268" s="19" t="s">
        <v>13</v>
      </c>
      <c r="D268" s="19" t="s">
        <v>1738</v>
      </c>
      <c r="E268" s="4">
        <v>0.65</v>
      </c>
      <c r="F268" s="42">
        <v>2.2000000000000002</v>
      </c>
      <c r="G268" s="45">
        <v>371</v>
      </c>
      <c r="H268" s="22">
        <v>2</v>
      </c>
      <c r="I268" s="6">
        <f t="shared" si="5"/>
        <v>1061.0600000000002</v>
      </c>
      <c r="J268" s="6" t="s">
        <v>1810</v>
      </c>
      <c r="K268" s="17"/>
    </row>
    <row r="269" spans="1:11" ht="13.95" customHeight="1" x14ac:dyDescent="0.3">
      <c r="A269" s="3">
        <v>45926</v>
      </c>
      <c r="B269" s="19" t="s">
        <v>1837</v>
      </c>
      <c r="C269" s="19" t="s">
        <v>16</v>
      </c>
      <c r="D269" s="19" t="s">
        <v>14</v>
      </c>
      <c r="E269" s="4">
        <v>0.75</v>
      </c>
      <c r="F269" s="42">
        <v>2.35</v>
      </c>
      <c r="G269" s="45">
        <v>371</v>
      </c>
      <c r="H269" s="22">
        <v>2</v>
      </c>
      <c r="I269" s="6">
        <f t="shared" si="5"/>
        <v>1307.7750000000001</v>
      </c>
      <c r="J269" s="6" t="s">
        <v>543</v>
      </c>
      <c r="K269" s="17"/>
    </row>
    <row r="270" spans="1:11" ht="13.95" customHeight="1" x14ac:dyDescent="0.3">
      <c r="A270" s="3">
        <v>45927</v>
      </c>
      <c r="B270" s="19" t="s">
        <v>1837</v>
      </c>
      <c r="C270" s="19" t="s">
        <v>18</v>
      </c>
      <c r="D270" s="19" t="s">
        <v>14</v>
      </c>
      <c r="E270" s="4">
        <v>0.88</v>
      </c>
      <c r="F270" s="42">
        <v>2.95</v>
      </c>
      <c r="G270" s="45">
        <v>371</v>
      </c>
      <c r="H270" s="22">
        <v>2</v>
      </c>
      <c r="I270" s="6">
        <f t="shared" si="5"/>
        <v>1926.2320000000002</v>
      </c>
      <c r="J270" s="6" t="s">
        <v>1811</v>
      </c>
      <c r="K270" s="17"/>
    </row>
    <row r="271" spans="1:11" ht="13.95" customHeight="1" x14ac:dyDescent="0.3">
      <c r="A271" s="3">
        <v>45928</v>
      </c>
      <c r="B271" s="19" t="s">
        <v>1837</v>
      </c>
      <c r="C271" s="19" t="s">
        <v>20</v>
      </c>
      <c r="D271" s="19" t="s">
        <v>14</v>
      </c>
      <c r="E271" s="4">
        <v>0.8</v>
      </c>
      <c r="F271" s="42">
        <v>2.6</v>
      </c>
      <c r="G271" s="45">
        <v>371</v>
      </c>
      <c r="H271" s="22">
        <v>2</v>
      </c>
      <c r="I271" s="6">
        <f t="shared" si="5"/>
        <v>1543.3600000000001</v>
      </c>
      <c r="J271" s="6" t="s">
        <v>69</v>
      </c>
      <c r="K271" s="17"/>
    </row>
    <row r="272" spans="1:11" ht="13.95" customHeight="1" x14ac:dyDescent="0.3">
      <c r="A272" s="3">
        <v>45929</v>
      </c>
      <c r="B272" s="19" t="s">
        <v>1837</v>
      </c>
      <c r="C272" s="19" t="s">
        <v>5</v>
      </c>
      <c r="D272" s="19" t="s">
        <v>1259</v>
      </c>
      <c r="E272" s="4">
        <v>0.55000000000000004</v>
      </c>
      <c r="F272" s="42">
        <v>1.95</v>
      </c>
      <c r="G272" s="45">
        <v>371</v>
      </c>
      <c r="H272" s="22">
        <v>2</v>
      </c>
      <c r="I272" s="6">
        <f t="shared" si="5"/>
        <v>795.79500000000007</v>
      </c>
      <c r="J272" s="6" t="s">
        <v>99</v>
      </c>
      <c r="K272" s="17"/>
    </row>
    <row r="273" spans="1:11" ht="13.95" customHeight="1" x14ac:dyDescent="0.3">
      <c r="A273" s="3">
        <v>45930</v>
      </c>
      <c r="B273" s="19" t="s">
        <v>1837</v>
      </c>
      <c r="C273" s="19" t="s">
        <v>8</v>
      </c>
      <c r="D273" s="19" t="s">
        <v>1259</v>
      </c>
      <c r="E273" s="4">
        <v>0.57999999999999996</v>
      </c>
      <c r="F273" s="42">
        <v>2</v>
      </c>
      <c r="G273" s="45">
        <v>371</v>
      </c>
      <c r="H273" s="22">
        <v>2</v>
      </c>
      <c r="I273" s="6">
        <f t="shared" si="5"/>
        <v>860.71999999999991</v>
      </c>
      <c r="J273" s="6" t="s">
        <v>1812</v>
      </c>
      <c r="K273" s="17"/>
    </row>
    <row r="274" spans="1:11" ht="13.95" customHeight="1" x14ac:dyDescent="0.3">
      <c r="A274" s="3">
        <v>45931</v>
      </c>
      <c r="B274" s="19" t="s">
        <v>1837</v>
      </c>
      <c r="C274" s="19" t="s">
        <v>11</v>
      </c>
      <c r="D274" s="19" t="s">
        <v>1259</v>
      </c>
      <c r="E274" s="4">
        <v>0.55000000000000004</v>
      </c>
      <c r="F274" s="42">
        <v>2</v>
      </c>
      <c r="G274" s="45">
        <v>371</v>
      </c>
      <c r="H274" s="22">
        <v>1.9</v>
      </c>
      <c r="I274" s="6">
        <f t="shared" si="5"/>
        <v>775.39</v>
      </c>
      <c r="J274" s="6" t="s">
        <v>1813</v>
      </c>
      <c r="K274" s="17"/>
    </row>
    <row r="275" spans="1:11" ht="13.95" customHeight="1" x14ac:dyDescent="0.3">
      <c r="A275" s="3">
        <v>45932</v>
      </c>
      <c r="B275" s="19" t="s">
        <v>1837</v>
      </c>
      <c r="C275" s="19" t="s">
        <v>13</v>
      </c>
      <c r="D275" s="19" t="s">
        <v>1738</v>
      </c>
      <c r="E275" s="4">
        <v>0.65</v>
      </c>
      <c r="F275" s="42">
        <v>2.25</v>
      </c>
      <c r="G275" s="45">
        <v>371</v>
      </c>
      <c r="H275" s="22">
        <v>1.9</v>
      </c>
      <c r="I275" s="6">
        <f t="shared" si="5"/>
        <v>1030.91625</v>
      </c>
      <c r="J275" s="6" t="s">
        <v>1814</v>
      </c>
      <c r="K275" s="17"/>
    </row>
    <row r="276" spans="1:11" ht="13.95" customHeight="1" x14ac:dyDescent="0.3">
      <c r="A276" s="3">
        <v>45933</v>
      </c>
      <c r="B276" s="19" t="s">
        <v>1837</v>
      </c>
      <c r="C276" s="19" t="s">
        <v>16</v>
      </c>
      <c r="D276" s="19" t="s">
        <v>14</v>
      </c>
      <c r="E276" s="4">
        <v>0.72</v>
      </c>
      <c r="F276" s="42">
        <v>2.35</v>
      </c>
      <c r="G276" s="45">
        <v>371</v>
      </c>
      <c r="H276" s="22">
        <v>1.9</v>
      </c>
      <c r="I276" s="6">
        <f t="shared" si="5"/>
        <v>1192.6908000000001</v>
      </c>
      <c r="J276" s="6" t="s">
        <v>1783</v>
      </c>
      <c r="K276" s="17"/>
    </row>
    <row r="277" spans="1:11" ht="13.95" customHeight="1" x14ac:dyDescent="0.3">
      <c r="A277" s="3">
        <v>45934</v>
      </c>
      <c r="B277" s="19" t="s">
        <v>1837</v>
      </c>
      <c r="C277" s="19" t="s">
        <v>18</v>
      </c>
      <c r="D277" s="19" t="s">
        <v>14</v>
      </c>
      <c r="E277" s="4">
        <v>0.88</v>
      </c>
      <c r="F277" s="42">
        <v>2.9</v>
      </c>
      <c r="G277" s="45">
        <v>371</v>
      </c>
      <c r="H277" s="22">
        <v>1.9</v>
      </c>
      <c r="I277" s="6">
        <f t="shared" si="5"/>
        <v>1798.9048</v>
      </c>
      <c r="J277" s="6" t="s">
        <v>1809</v>
      </c>
      <c r="K277" s="17"/>
    </row>
    <row r="278" spans="1:11" ht="13.95" customHeight="1" x14ac:dyDescent="0.3">
      <c r="A278" s="3">
        <v>45935</v>
      </c>
      <c r="B278" s="19" t="s">
        <v>1837</v>
      </c>
      <c r="C278" s="19" t="s">
        <v>20</v>
      </c>
      <c r="D278" s="19" t="s">
        <v>14</v>
      </c>
      <c r="E278" s="4">
        <v>0.78</v>
      </c>
      <c r="F278" s="42">
        <v>2.5499999999999998</v>
      </c>
      <c r="G278" s="45">
        <v>371</v>
      </c>
      <c r="H278" s="22">
        <v>1.9</v>
      </c>
      <c r="I278" s="6">
        <f t="shared" si="5"/>
        <v>1402.0460999999998</v>
      </c>
      <c r="J278" s="6" t="s">
        <v>238</v>
      </c>
      <c r="K278" s="17"/>
    </row>
    <row r="279" spans="1:11" ht="13.95" customHeight="1" x14ac:dyDescent="0.3">
      <c r="A279" s="3">
        <v>45936</v>
      </c>
      <c r="B279" s="19" t="s">
        <v>1837</v>
      </c>
      <c r="C279" s="19" t="s">
        <v>5</v>
      </c>
      <c r="D279" s="19" t="s">
        <v>1259</v>
      </c>
      <c r="E279" s="4">
        <v>0.5</v>
      </c>
      <c r="F279" s="42">
        <v>1.9</v>
      </c>
      <c r="G279" s="45">
        <v>371</v>
      </c>
      <c r="H279" s="22">
        <v>1.9</v>
      </c>
      <c r="I279" s="6">
        <f t="shared" si="5"/>
        <v>669.65499999999997</v>
      </c>
      <c r="J279" s="6" t="s">
        <v>1628</v>
      </c>
      <c r="K279" s="17"/>
    </row>
    <row r="280" spans="1:11" ht="13.95" customHeight="1" x14ac:dyDescent="0.3">
      <c r="A280" s="3">
        <v>45937</v>
      </c>
      <c r="B280" s="19" t="s">
        <v>1837</v>
      </c>
      <c r="C280" s="19" t="s">
        <v>8</v>
      </c>
      <c r="D280" s="19" t="s">
        <v>1259</v>
      </c>
      <c r="E280" s="4">
        <v>0.48</v>
      </c>
      <c r="F280" s="42">
        <v>1.9</v>
      </c>
      <c r="G280" s="45">
        <v>371</v>
      </c>
      <c r="H280" s="22">
        <v>1.9</v>
      </c>
      <c r="I280" s="6">
        <f t="shared" si="5"/>
        <v>642.86879999999996</v>
      </c>
      <c r="J280" s="6" t="s">
        <v>1628</v>
      </c>
      <c r="K280" s="17"/>
    </row>
    <row r="281" spans="1:11" ht="13.95" customHeight="1" x14ac:dyDescent="0.3">
      <c r="A281" s="3">
        <v>45938</v>
      </c>
      <c r="B281" s="19" t="s">
        <v>1837</v>
      </c>
      <c r="C281" s="19" t="s">
        <v>11</v>
      </c>
      <c r="D281" s="19" t="s">
        <v>1259</v>
      </c>
      <c r="E281" s="4">
        <v>0.5</v>
      </c>
      <c r="F281" s="42">
        <v>1.95</v>
      </c>
      <c r="G281" s="45">
        <v>371</v>
      </c>
      <c r="H281" s="22">
        <v>1.9</v>
      </c>
      <c r="I281" s="6">
        <f t="shared" si="5"/>
        <v>687.27749999999992</v>
      </c>
      <c r="J281" s="6" t="s">
        <v>71</v>
      </c>
      <c r="K281" s="17"/>
    </row>
    <row r="282" spans="1:11" ht="13.95" customHeight="1" x14ac:dyDescent="0.3">
      <c r="A282" s="3">
        <v>45939</v>
      </c>
      <c r="B282" s="19" t="s">
        <v>1837</v>
      </c>
      <c r="C282" s="19" t="s">
        <v>13</v>
      </c>
      <c r="D282" s="19" t="s">
        <v>1738</v>
      </c>
      <c r="E282" s="4">
        <v>0.68</v>
      </c>
      <c r="F282" s="42">
        <v>2.25</v>
      </c>
      <c r="G282" s="45">
        <v>371</v>
      </c>
      <c r="H282" s="22">
        <v>1.9</v>
      </c>
      <c r="I282" s="6">
        <f t="shared" si="5"/>
        <v>1078.4970000000001</v>
      </c>
      <c r="J282" s="6" t="s">
        <v>1815</v>
      </c>
      <c r="K282" s="17"/>
    </row>
    <row r="283" spans="1:11" ht="13.95" customHeight="1" x14ac:dyDescent="0.3">
      <c r="A283" s="3">
        <v>45940</v>
      </c>
      <c r="B283" s="19" t="s">
        <v>1837</v>
      </c>
      <c r="C283" s="19" t="s">
        <v>16</v>
      </c>
      <c r="D283" s="19" t="s">
        <v>14</v>
      </c>
      <c r="E283" s="4">
        <v>0.75</v>
      </c>
      <c r="F283" s="42">
        <v>2.4</v>
      </c>
      <c r="G283" s="45">
        <v>371</v>
      </c>
      <c r="H283" s="22">
        <v>1.9</v>
      </c>
      <c r="I283" s="6">
        <f t="shared" si="5"/>
        <v>1268.82</v>
      </c>
      <c r="J283" s="6" t="s">
        <v>67</v>
      </c>
      <c r="K283" s="17"/>
    </row>
    <row r="284" spans="1:11" ht="13.95" customHeight="1" x14ac:dyDescent="0.3">
      <c r="A284" s="3">
        <v>45941</v>
      </c>
      <c r="B284" s="19" t="s">
        <v>1837</v>
      </c>
      <c r="C284" s="19" t="s">
        <v>18</v>
      </c>
      <c r="D284" s="19" t="s">
        <v>14</v>
      </c>
      <c r="E284" s="4">
        <v>0.92</v>
      </c>
      <c r="F284" s="42">
        <v>3.05</v>
      </c>
      <c r="G284" s="45">
        <v>371</v>
      </c>
      <c r="H284" s="22">
        <v>1.9</v>
      </c>
      <c r="I284" s="6">
        <f t="shared" si="5"/>
        <v>1977.9493999999995</v>
      </c>
      <c r="J284" s="6" t="s">
        <v>1808</v>
      </c>
      <c r="K284" s="17"/>
    </row>
    <row r="285" spans="1:11" ht="13.95" customHeight="1" x14ac:dyDescent="0.3">
      <c r="A285" s="3">
        <v>45942</v>
      </c>
      <c r="B285" s="19" t="s">
        <v>1837</v>
      </c>
      <c r="C285" s="19" t="s">
        <v>20</v>
      </c>
      <c r="D285" s="19" t="s">
        <v>14</v>
      </c>
      <c r="E285" s="4">
        <v>0.8</v>
      </c>
      <c r="F285" s="42">
        <v>2.5499999999999998</v>
      </c>
      <c r="G285" s="45">
        <v>371</v>
      </c>
      <c r="H285" s="22">
        <v>1.9</v>
      </c>
      <c r="I285" s="6">
        <f t="shared" si="5"/>
        <v>1437.9960000000001</v>
      </c>
      <c r="J285" s="6" t="s">
        <v>69</v>
      </c>
      <c r="K285" s="17"/>
    </row>
    <row r="286" spans="1:11" ht="13.95" customHeight="1" x14ac:dyDescent="0.3">
      <c r="A286" s="3">
        <v>45943</v>
      </c>
      <c r="B286" s="19" t="s">
        <v>1837</v>
      </c>
      <c r="C286" s="19" t="s">
        <v>5</v>
      </c>
      <c r="D286" s="19" t="s">
        <v>1259</v>
      </c>
      <c r="E286" s="4">
        <v>0.55000000000000004</v>
      </c>
      <c r="F286" s="42">
        <v>2</v>
      </c>
      <c r="G286" s="45">
        <v>371</v>
      </c>
      <c r="H286" s="22">
        <v>1.9</v>
      </c>
      <c r="I286" s="6">
        <f t="shared" si="5"/>
        <v>775.39</v>
      </c>
      <c r="J286" s="6" t="s">
        <v>70</v>
      </c>
      <c r="K286" s="17"/>
    </row>
    <row r="287" spans="1:11" ht="13.95" customHeight="1" x14ac:dyDescent="0.3">
      <c r="A287" s="3">
        <v>45944</v>
      </c>
      <c r="B287" s="19" t="s">
        <v>1837</v>
      </c>
      <c r="C287" s="19" t="s">
        <v>8</v>
      </c>
      <c r="D287" s="19" t="s">
        <v>994</v>
      </c>
      <c r="E287" s="4">
        <v>0.7</v>
      </c>
      <c r="F287" s="42">
        <v>2.2000000000000002</v>
      </c>
      <c r="G287" s="45">
        <v>371</v>
      </c>
      <c r="H287" s="22">
        <v>1.9</v>
      </c>
      <c r="I287" s="6">
        <f t="shared" si="5"/>
        <v>1085.546</v>
      </c>
      <c r="J287" s="6" t="s">
        <v>1706</v>
      </c>
      <c r="K287" s="17"/>
    </row>
    <row r="288" spans="1:11" ht="13.95" customHeight="1" x14ac:dyDescent="0.3">
      <c r="A288" s="3">
        <v>45945</v>
      </c>
      <c r="B288" s="19" t="s">
        <v>1837</v>
      </c>
      <c r="C288" s="19" t="s">
        <v>11</v>
      </c>
      <c r="D288" s="19" t="s">
        <v>865</v>
      </c>
      <c r="E288" s="4">
        <v>0.85</v>
      </c>
      <c r="F288" s="42">
        <v>2.6</v>
      </c>
      <c r="G288" s="45">
        <v>371</v>
      </c>
      <c r="H288" s="22">
        <v>1.9</v>
      </c>
      <c r="I288" s="6">
        <f t="shared" si="5"/>
        <v>1557.829</v>
      </c>
      <c r="J288" s="6" t="s">
        <v>1816</v>
      </c>
      <c r="K288" s="17"/>
    </row>
    <row r="289" spans="1:11" ht="13.95" customHeight="1" x14ac:dyDescent="0.3">
      <c r="A289" s="3">
        <v>45946</v>
      </c>
      <c r="B289" s="19" t="s">
        <v>1837</v>
      </c>
      <c r="C289" s="19" t="s">
        <v>13</v>
      </c>
      <c r="D289" s="19" t="s">
        <v>1817</v>
      </c>
      <c r="E289" s="4">
        <v>0.65</v>
      </c>
      <c r="F289" s="42">
        <v>2.1</v>
      </c>
      <c r="G289" s="45">
        <v>371</v>
      </c>
      <c r="H289" s="22">
        <v>1.9</v>
      </c>
      <c r="I289" s="6">
        <f t="shared" si="5"/>
        <v>962.18849999999998</v>
      </c>
      <c r="J289" s="6" t="s">
        <v>774</v>
      </c>
      <c r="K289" s="17"/>
    </row>
    <row r="290" spans="1:11" ht="13.95" customHeight="1" x14ac:dyDescent="0.3">
      <c r="A290" s="3">
        <v>45947</v>
      </c>
      <c r="B290" s="19" t="s">
        <v>1837</v>
      </c>
      <c r="C290" s="19" t="s">
        <v>16</v>
      </c>
      <c r="D290" s="19" t="s">
        <v>1434</v>
      </c>
      <c r="E290" s="4">
        <v>0.8</v>
      </c>
      <c r="F290" s="42">
        <v>2.4</v>
      </c>
      <c r="G290" s="45">
        <v>371</v>
      </c>
      <c r="H290" s="22">
        <v>1.9</v>
      </c>
      <c r="I290" s="6">
        <f t="shared" si="5"/>
        <v>1353.4080000000001</v>
      </c>
      <c r="J290" s="6" t="s">
        <v>1818</v>
      </c>
      <c r="K290" s="17"/>
    </row>
    <row r="291" spans="1:11" ht="13.95" customHeight="1" x14ac:dyDescent="0.3">
      <c r="A291" s="3">
        <v>45948</v>
      </c>
      <c r="B291" s="19" t="s">
        <v>1837</v>
      </c>
      <c r="C291" s="19" t="s">
        <v>18</v>
      </c>
      <c r="D291" s="19" t="s">
        <v>1434</v>
      </c>
      <c r="E291" s="4">
        <v>0.95</v>
      </c>
      <c r="F291" s="42">
        <v>3.1</v>
      </c>
      <c r="G291" s="45">
        <v>371</v>
      </c>
      <c r="H291" s="22">
        <v>1.9</v>
      </c>
      <c r="I291" s="6">
        <f t="shared" si="5"/>
        <v>2075.9304999999999</v>
      </c>
      <c r="J291" s="6" t="s">
        <v>1533</v>
      </c>
      <c r="K291" s="17"/>
    </row>
    <row r="292" spans="1:11" ht="13.95" customHeight="1" x14ac:dyDescent="0.3">
      <c r="A292" s="3">
        <v>45949</v>
      </c>
      <c r="B292" s="19" t="s">
        <v>1837</v>
      </c>
      <c r="C292" s="19" t="s">
        <v>20</v>
      </c>
      <c r="D292" s="19" t="s">
        <v>1434</v>
      </c>
      <c r="E292" s="4">
        <v>0.9</v>
      </c>
      <c r="F292" s="42">
        <v>2.65</v>
      </c>
      <c r="G292" s="45">
        <v>371</v>
      </c>
      <c r="H292" s="22">
        <v>1.9</v>
      </c>
      <c r="I292" s="6">
        <f t="shared" si="5"/>
        <v>1681.1865</v>
      </c>
      <c r="J292" s="6" t="s">
        <v>1819</v>
      </c>
      <c r="K292" s="17"/>
    </row>
    <row r="293" spans="1:11" ht="13.95" customHeight="1" x14ac:dyDescent="0.3">
      <c r="A293" s="3">
        <v>45950</v>
      </c>
      <c r="B293" s="19" t="s">
        <v>1837</v>
      </c>
      <c r="C293" s="19" t="s">
        <v>5</v>
      </c>
      <c r="D293" s="19" t="s">
        <v>1434</v>
      </c>
      <c r="E293" s="4">
        <v>0.85</v>
      </c>
      <c r="F293" s="42">
        <v>2.35</v>
      </c>
      <c r="G293" s="45">
        <v>371</v>
      </c>
      <c r="H293" s="22">
        <v>1.9</v>
      </c>
      <c r="I293" s="6">
        <f t="shared" si="5"/>
        <v>1408.03775</v>
      </c>
      <c r="J293" s="6" t="s">
        <v>1796</v>
      </c>
      <c r="K293" s="17"/>
    </row>
    <row r="294" spans="1:11" ht="13.95" customHeight="1" x14ac:dyDescent="0.3">
      <c r="A294" s="3">
        <v>45951</v>
      </c>
      <c r="B294" s="19" t="s">
        <v>1837</v>
      </c>
      <c r="C294" s="19" t="s">
        <v>8</v>
      </c>
      <c r="D294" s="19" t="s">
        <v>1434</v>
      </c>
      <c r="E294" s="4">
        <v>0.82</v>
      </c>
      <c r="F294" s="42">
        <v>2.2999999999999998</v>
      </c>
      <c r="G294" s="45">
        <v>371</v>
      </c>
      <c r="H294" s="22">
        <v>1.9</v>
      </c>
      <c r="I294" s="6">
        <f t="shared" si="5"/>
        <v>1329.4413999999997</v>
      </c>
      <c r="J294" s="6" t="s">
        <v>1796</v>
      </c>
      <c r="K294" s="17"/>
    </row>
    <row r="295" spans="1:11" ht="13.95" customHeight="1" x14ac:dyDescent="0.3">
      <c r="A295" s="3">
        <v>45952</v>
      </c>
      <c r="B295" s="19" t="s">
        <v>1837</v>
      </c>
      <c r="C295" s="19" t="s">
        <v>11</v>
      </c>
      <c r="D295" s="19" t="s">
        <v>1434</v>
      </c>
      <c r="E295" s="4">
        <v>0.85</v>
      </c>
      <c r="F295" s="42">
        <v>2.2999999999999998</v>
      </c>
      <c r="G295" s="45">
        <v>371</v>
      </c>
      <c r="H295" s="22">
        <v>1.9</v>
      </c>
      <c r="I295" s="6">
        <f t="shared" si="5"/>
        <v>1378.0794999999996</v>
      </c>
      <c r="J295" s="6" t="s">
        <v>1796</v>
      </c>
      <c r="K295" s="17"/>
    </row>
    <row r="296" spans="1:11" ht="13.95" customHeight="1" x14ac:dyDescent="0.3">
      <c r="A296" s="3">
        <v>45953</v>
      </c>
      <c r="B296" s="19" t="s">
        <v>1837</v>
      </c>
      <c r="C296" s="19" t="s">
        <v>13</v>
      </c>
      <c r="D296" s="19" t="s">
        <v>1434</v>
      </c>
      <c r="E296" s="4">
        <v>0.88</v>
      </c>
      <c r="F296" s="42">
        <v>2.35</v>
      </c>
      <c r="G296" s="45">
        <v>371</v>
      </c>
      <c r="H296" s="22">
        <v>1.9</v>
      </c>
      <c r="I296" s="6">
        <f t="shared" si="5"/>
        <v>1457.7332000000001</v>
      </c>
      <c r="J296" s="6" t="s">
        <v>1709</v>
      </c>
      <c r="K296" s="17"/>
    </row>
    <row r="297" spans="1:11" ht="13.95" customHeight="1" x14ac:dyDescent="0.3">
      <c r="A297" s="3">
        <v>45954</v>
      </c>
      <c r="B297" s="19" t="s">
        <v>1837</v>
      </c>
      <c r="C297" s="19" t="s">
        <v>16</v>
      </c>
      <c r="D297" s="19" t="s">
        <v>14</v>
      </c>
      <c r="E297" s="4">
        <v>0.92</v>
      </c>
      <c r="F297" s="42">
        <v>2.6</v>
      </c>
      <c r="G297" s="45">
        <v>371</v>
      </c>
      <c r="H297" s="22">
        <v>1.9</v>
      </c>
      <c r="I297" s="6">
        <f t="shared" si="5"/>
        <v>1686.1207999999999</v>
      </c>
      <c r="J297" s="6" t="s">
        <v>1369</v>
      </c>
      <c r="K297" s="17"/>
    </row>
    <row r="298" spans="1:11" ht="13.95" customHeight="1" x14ac:dyDescent="0.3">
      <c r="A298" s="3">
        <v>45955</v>
      </c>
      <c r="B298" s="19" t="s">
        <v>1837</v>
      </c>
      <c r="C298" s="19" t="s">
        <v>18</v>
      </c>
      <c r="D298" s="19" t="s">
        <v>14</v>
      </c>
      <c r="E298" s="4">
        <v>1</v>
      </c>
      <c r="F298" s="42">
        <v>3.25</v>
      </c>
      <c r="G298" s="45">
        <v>371</v>
      </c>
      <c r="H298" s="22">
        <v>1.9</v>
      </c>
      <c r="I298" s="6">
        <f t="shared" si="5"/>
        <v>2290.9249999999997</v>
      </c>
      <c r="J298" s="6" t="s">
        <v>1715</v>
      </c>
      <c r="K298" s="17"/>
    </row>
    <row r="299" spans="1:11" ht="13.95" customHeight="1" x14ac:dyDescent="0.3">
      <c r="A299" s="3">
        <v>45956</v>
      </c>
      <c r="B299" s="19" t="s">
        <v>1837</v>
      </c>
      <c r="C299" s="19" t="s">
        <v>20</v>
      </c>
      <c r="D299" s="19" t="s">
        <v>14</v>
      </c>
      <c r="E299" s="4">
        <v>0.95</v>
      </c>
      <c r="F299" s="42">
        <v>2.8</v>
      </c>
      <c r="G299" s="45">
        <v>371</v>
      </c>
      <c r="H299" s="22">
        <v>1.9</v>
      </c>
      <c r="I299" s="6">
        <f t="shared" si="5"/>
        <v>1875.0339999999997</v>
      </c>
      <c r="J299" s="6" t="s">
        <v>238</v>
      </c>
      <c r="K299" s="17"/>
    </row>
    <row r="300" spans="1:11" ht="13.95" customHeight="1" x14ac:dyDescent="0.3">
      <c r="A300" s="3">
        <v>45957</v>
      </c>
      <c r="B300" s="19" t="s">
        <v>1837</v>
      </c>
      <c r="C300" s="19" t="s">
        <v>5</v>
      </c>
      <c r="D300" s="19" t="s">
        <v>1259</v>
      </c>
      <c r="E300" s="4">
        <v>0.65</v>
      </c>
      <c r="F300" s="42">
        <v>2.0499999999999998</v>
      </c>
      <c r="G300" s="45">
        <v>371</v>
      </c>
      <c r="H300" s="22">
        <v>1.9</v>
      </c>
      <c r="I300" s="6">
        <f t="shared" si="5"/>
        <v>939.27924999999993</v>
      </c>
      <c r="J300" s="6" t="s">
        <v>1371</v>
      </c>
      <c r="K300" s="17"/>
    </row>
    <row r="301" spans="1:11" ht="13.95" customHeight="1" x14ac:dyDescent="0.3">
      <c r="A301" s="3">
        <v>45958</v>
      </c>
      <c r="B301" s="19" t="s">
        <v>1837</v>
      </c>
      <c r="C301" s="19" t="s">
        <v>8</v>
      </c>
      <c r="D301" s="19" t="s">
        <v>1259</v>
      </c>
      <c r="E301" s="4">
        <v>0.57999999999999996</v>
      </c>
      <c r="F301" s="42">
        <v>2</v>
      </c>
      <c r="G301" s="45">
        <v>371</v>
      </c>
      <c r="H301" s="22">
        <v>1.9</v>
      </c>
      <c r="I301" s="6">
        <f t="shared" si="5"/>
        <v>817.68399999999986</v>
      </c>
      <c r="J301" s="6" t="s">
        <v>150</v>
      </c>
      <c r="K301" s="17"/>
    </row>
    <row r="302" spans="1:11" ht="13.95" customHeight="1" x14ac:dyDescent="0.3">
      <c r="A302" s="3">
        <v>45959</v>
      </c>
      <c r="B302" s="19" t="s">
        <v>1837</v>
      </c>
      <c r="C302" s="19" t="s">
        <v>11</v>
      </c>
      <c r="D302" s="19" t="s">
        <v>1259</v>
      </c>
      <c r="E302" s="4">
        <v>0.55000000000000004</v>
      </c>
      <c r="F302" s="42">
        <v>1.95</v>
      </c>
      <c r="G302" s="45">
        <v>371</v>
      </c>
      <c r="H302" s="22">
        <v>1.9</v>
      </c>
      <c r="I302" s="6">
        <f t="shared" si="5"/>
        <v>756.00525000000005</v>
      </c>
      <c r="J302" s="6" t="s">
        <v>150</v>
      </c>
      <c r="K302" s="17"/>
    </row>
    <row r="303" spans="1:11" ht="13.95" customHeight="1" x14ac:dyDescent="0.3">
      <c r="A303" s="3">
        <v>45960</v>
      </c>
      <c r="B303" s="19" t="s">
        <v>1837</v>
      </c>
      <c r="C303" s="19" t="s">
        <v>13</v>
      </c>
      <c r="D303" s="19" t="s">
        <v>1820</v>
      </c>
      <c r="E303" s="4">
        <v>0.65</v>
      </c>
      <c r="F303" s="42">
        <v>2.2000000000000002</v>
      </c>
      <c r="G303" s="45">
        <v>371</v>
      </c>
      <c r="H303" s="22">
        <v>1.9</v>
      </c>
      <c r="I303" s="6">
        <f t="shared" si="5"/>
        <v>1008.0070000000001</v>
      </c>
      <c r="J303" s="6" t="s">
        <v>1821</v>
      </c>
      <c r="K303" s="17"/>
    </row>
    <row r="304" spans="1:11" ht="13.95" customHeight="1" x14ac:dyDescent="0.3">
      <c r="A304" s="3">
        <v>45961</v>
      </c>
      <c r="B304" s="19" t="s">
        <v>1837</v>
      </c>
      <c r="C304" s="19" t="s">
        <v>16</v>
      </c>
      <c r="D304" s="19" t="s">
        <v>867</v>
      </c>
      <c r="E304" s="4">
        <v>0.85</v>
      </c>
      <c r="F304" s="42">
        <v>2.95</v>
      </c>
      <c r="G304" s="45">
        <v>371</v>
      </c>
      <c r="H304" s="22">
        <v>1.9</v>
      </c>
      <c r="I304" s="6">
        <f t="shared" si="5"/>
        <v>1767.5367499999998</v>
      </c>
      <c r="J304" s="6" t="s">
        <v>1822</v>
      </c>
      <c r="K304" s="17"/>
    </row>
    <row r="305" spans="1:11" ht="13.95" customHeight="1" x14ac:dyDescent="0.3">
      <c r="A305" s="3">
        <v>45962</v>
      </c>
      <c r="B305" s="19" t="s">
        <v>1837</v>
      </c>
      <c r="C305" s="19" t="s">
        <v>18</v>
      </c>
      <c r="D305" s="19" t="s">
        <v>1619</v>
      </c>
      <c r="E305" s="4">
        <v>0.75</v>
      </c>
      <c r="F305" s="42">
        <v>2.4500000000000002</v>
      </c>
      <c r="G305" s="45">
        <v>371</v>
      </c>
      <c r="H305" s="22">
        <v>1.9</v>
      </c>
      <c r="I305" s="6">
        <f t="shared" si="5"/>
        <v>1295.2537500000001</v>
      </c>
      <c r="J305" s="6" t="s">
        <v>1620</v>
      </c>
      <c r="K305" s="17"/>
    </row>
    <row r="306" spans="1:11" ht="13.95" customHeight="1" x14ac:dyDescent="0.3">
      <c r="A306" s="3">
        <v>45963</v>
      </c>
      <c r="B306" s="19" t="s">
        <v>1837</v>
      </c>
      <c r="C306" s="19" t="s">
        <v>20</v>
      </c>
      <c r="D306" s="19" t="s">
        <v>14</v>
      </c>
      <c r="E306" s="4">
        <v>0.6</v>
      </c>
      <c r="F306" s="42">
        <v>2.15</v>
      </c>
      <c r="G306" s="45">
        <v>371</v>
      </c>
      <c r="H306" s="22">
        <v>1.9</v>
      </c>
      <c r="I306" s="6">
        <f t="shared" si="5"/>
        <v>909.32099999999991</v>
      </c>
      <c r="J306" s="6" t="s">
        <v>139</v>
      </c>
      <c r="K306" s="17"/>
    </row>
    <row r="307" spans="1:11" ht="13.95" customHeight="1" x14ac:dyDescent="0.3">
      <c r="A307" s="3">
        <v>45964</v>
      </c>
      <c r="B307" s="19" t="s">
        <v>1837</v>
      </c>
      <c r="C307" s="19" t="s">
        <v>5</v>
      </c>
      <c r="D307" s="19" t="s">
        <v>1259</v>
      </c>
      <c r="E307" s="4">
        <v>0.45</v>
      </c>
      <c r="F307" s="42">
        <v>1.85</v>
      </c>
      <c r="G307" s="45">
        <v>371</v>
      </c>
      <c r="H307" s="22">
        <v>1.9</v>
      </c>
      <c r="I307" s="6">
        <f t="shared" si="5"/>
        <v>586.82925000000012</v>
      </c>
      <c r="J307" s="6" t="s">
        <v>1823</v>
      </c>
      <c r="K307" s="17"/>
    </row>
    <row r="308" spans="1:11" ht="13.95" customHeight="1" x14ac:dyDescent="0.3">
      <c r="A308" s="3">
        <v>45965</v>
      </c>
      <c r="B308" s="19" t="s">
        <v>1837</v>
      </c>
      <c r="C308" s="19" t="s">
        <v>8</v>
      </c>
      <c r="D308" s="19" t="s">
        <v>1259</v>
      </c>
      <c r="E308" s="4">
        <v>0.4</v>
      </c>
      <c r="F308" s="42">
        <v>1.85</v>
      </c>
      <c r="G308" s="45">
        <v>371</v>
      </c>
      <c r="H308" s="22">
        <v>1.9</v>
      </c>
      <c r="I308" s="6">
        <f t="shared" si="5"/>
        <v>521.62599999999998</v>
      </c>
      <c r="J308" s="6" t="s">
        <v>1747</v>
      </c>
      <c r="K308" s="17"/>
    </row>
    <row r="309" spans="1:11" ht="13.95" customHeight="1" x14ac:dyDescent="0.3">
      <c r="A309" s="3">
        <v>45966</v>
      </c>
      <c r="B309" s="19" t="s">
        <v>1837</v>
      </c>
      <c r="C309" s="19" t="s">
        <v>11</v>
      </c>
      <c r="D309" s="19" t="s">
        <v>1259</v>
      </c>
      <c r="E309" s="4">
        <v>0.42</v>
      </c>
      <c r="F309" s="42">
        <v>1.85</v>
      </c>
      <c r="G309" s="45">
        <v>371</v>
      </c>
      <c r="H309" s="22">
        <v>1.9</v>
      </c>
      <c r="I309" s="6">
        <f t="shared" si="5"/>
        <v>547.70729999999992</v>
      </c>
      <c r="J309" s="6" t="s">
        <v>1747</v>
      </c>
      <c r="K309" s="17"/>
    </row>
    <row r="310" spans="1:11" ht="13.95" customHeight="1" x14ac:dyDescent="0.3">
      <c r="A310" s="3">
        <v>45967</v>
      </c>
      <c r="B310" s="19" t="s">
        <v>1837</v>
      </c>
      <c r="C310" s="19" t="s">
        <v>13</v>
      </c>
      <c r="D310" s="19" t="s">
        <v>1738</v>
      </c>
      <c r="E310" s="4">
        <v>0.6</v>
      </c>
      <c r="F310" s="42">
        <v>2.1</v>
      </c>
      <c r="G310" s="45">
        <v>371</v>
      </c>
      <c r="H310" s="22">
        <v>1.9</v>
      </c>
      <c r="I310" s="6">
        <f t="shared" si="5"/>
        <v>888.17399999999986</v>
      </c>
      <c r="J310" s="6" t="s">
        <v>1824</v>
      </c>
      <c r="K310" s="17"/>
    </row>
    <row r="311" spans="1:11" ht="13.95" customHeight="1" x14ac:dyDescent="0.3">
      <c r="A311" s="3">
        <v>45968</v>
      </c>
      <c r="B311" s="19" t="s">
        <v>1837</v>
      </c>
      <c r="C311" s="19" t="s">
        <v>16</v>
      </c>
      <c r="D311" s="19" t="s">
        <v>14</v>
      </c>
      <c r="E311" s="4">
        <v>0.65</v>
      </c>
      <c r="F311" s="42">
        <v>2.25</v>
      </c>
      <c r="G311" s="45">
        <v>371</v>
      </c>
      <c r="H311" s="22">
        <v>1.9</v>
      </c>
      <c r="I311" s="6">
        <f t="shared" si="5"/>
        <v>1030.91625</v>
      </c>
      <c r="J311" s="6" t="s">
        <v>390</v>
      </c>
      <c r="K311" s="17"/>
    </row>
    <row r="312" spans="1:11" ht="13.95" customHeight="1" x14ac:dyDescent="0.3">
      <c r="A312" s="3">
        <v>45969</v>
      </c>
      <c r="B312" s="19" t="s">
        <v>1837</v>
      </c>
      <c r="C312" s="19" t="s">
        <v>18</v>
      </c>
      <c r="D312" s="19" t="s">
        <v>14</v>
      </c>
      <c r="E312" s="4">
        <v>0.8</v>
      </c>
      <c r="F312" s="42">
        <v>2.75</v>
      </c>
      <c r="G312" s="45">
        <v>371</v>
      </c>
      <c r="H312" s="22">
        <v>1.9</v>
      </c>
      <c r="I312" s="6">
        <f t="shared" si="5"/>
        <v>1550.78</v>
      </c>
      <c r="J312" s="6" t="s">
        <v>1719</v>
      </c>
      <c r="K312" s="17"/>
    </row>
    <row r="313" spans="1:11" ht="13.95" customHeight="1" x14ac:dyDescent="0.3">
      <c r="A313" s="3">
        <v>45970</v>
      </c>
      <c r="B313" s="19" t="s">
        <v>1837</v>
      </c>
      <c r="C313" s="19" t="s">
        <v>20</v>
      </c>
      <c r="D313" s="19" t="s">
        <v>14</v>
      </c>
      <c r="E313" s="4">
        <v>0.65</v>
      </c>
      <c r="F313" s="42">
        <v>2.2000000000000002</v>
      </c>
      <c r="G313" s="45">
        <v>371</v>
      </c>
      <c r="H313" s="22">
        <v>1.9</v>
      </c>
      <c r="I313" s="6">
        <f t="shared" si="5"/>
        <v>1008.0070000000001</v>
      </c>
      <c r="J313" s="6" t="s">
        <v>238</v>
      </c>
      <c r="K313" s="17"/>
    </row>
    <row r="314" spans="1:11" ht="13.95" customHeight="1" x14ac:dyDescent="0.3">
      <c r="A314" s="3">
        <v>45971</v>
      </c>
      <c r="B314" s="19" t="s">
        <v>1837</v>
      </c>
      <c r="C314" s="19" t="s">
        <v>5</v>
      </c>
      <c r="D314" s="19" t="s">
        <v>1259</v>
      </c>
      <c r="E314" s="4">
        <v>0.38</v>
      </c>
      <c r="F314" s="42">
        <v>1.8</v>
      </c>
      <c r="G314" s="45">
        <v>371</v>
      </c>
      <c r="H314" s="22">
        <v>1.9</v>
      </c>
      <c r="I314" s="6">
        <f t="shared" si="5"/>
        <v>482.15159999999992</v>
      </c>
      <c r="J314" s="6" t="s">
        <v>150</v>
      </c>
      <c r="K314" s="17"/>
    </row>
    <row r="315" spans="1:11" ht="13.95" customHeight="1" x14ac:dyDescent="0.3">
      <c r="A315" s="3">
        <v>45972</v>
      </c>
      <c r="B315" s="19" t="s">
        <v>1837</v>
      </c>
      <c r="C315" s="19" t="s">
        <v>8</v>
      </c>
      <c r="D315" s="19" t="s">
        <v>1259</v>
      </c>
      <c r="E315" s="4">
        <v>0.35</v>
      </c>
      <c r="F315" s="42">
        <v>1.8</v>
      </c>
      <c r="G315" s="45">
        <v>371</v>
      </c>
      <c r="H315" s="22">
        <v>1.9</v>
      </c>
      <c r="I315" s="6">
        <f t="shared" si="5"/>
        <v>444.08699999999993</v>
      </c>
      <c r="J315" s="6" t="s">
        <v>1472</v>
      </c>
      <c r="K315" s="17"/>
    </row>
    <row r="316" spans="1:11" ht="13.95" customHeight="1" x14ac:dyDescent="0.3">
      <c r="A316" s="3">
        <v>45973</v>
      </c>
      <c r="B316" s="19" t="s">
        <v>1837</v>
      </c>
      <c r="C316" s="19" t="s">
        <v>11</v>
      </c>
      <c r="D316" s="19" t="s">
        <v>1259</v>
      </c>
      <c r="E316" s="4">
        <v>0.38</v>
      </c>
      <c r="F316" s="42">
        <v>1.8</v>
      </c>
      <c r="G316" s="45">
        <v>371</v>
      </c>
      <c r="H316" s="22">
        <v>1.9</v>
      </c>
      <c r="I316" s="6">
        <f t="shared" si="5"/>
        <v>482.15159999999992</v>
      </c>
      <c r="J316" s="6" t="s">
        <v>150</v>
      </c>
      <c r="K316" s="17"/>
    </row>
    <row r="317" spans="1:11" ht="13.95" customHeight="1" x14ac:dyDescent="0.3">
      <c r="A317" s="3">
        <v>45974</v>
      </c>
      <c r="B317" s="19" t="s">
        <v>1837</v>
      </c>
      <c r="C317" s="19" t="s">
        <v>13</v>
      </c>
      <c r="D317" s="19" t="s">
        <v>1738</v>
      </c>
      <c r="E317" s="4">
        <v>0.65</v>
      </c>
      <c r="F317" s="42">
        <v>2.15</v>
      </c>
      <c r="G317" s="45">
        <v>371</v>
      </c>
      <c r="H317" s="22">
        <v>1.9</v>
      </c>
      <c r="I317" s="6">
        <f t="shared" si="5"/>
        <v>985.09774999999991</v>
      </c>
      <c r="J317" s="6" t="s">
        <v>1825</v>
      </c>
      <c r="K317" s="17"/>
    </row>
    <row r="318" spans="1:11" ht="13.95" customHeight="1" x14ac:dyDescent="0.3">
      <c r="A318" s="3">
        <v>45975</v>
      </c>
      <c r="B318" s="19" t="s">
        <v>1837</v>
      </c>
      <c r="C318" s="19" t="s">
        <v>16</v>
      </c>
      <c r="D318" s="19" t="s">
        <v>14</v>
      </c>
      <c r="E318" s="4">
        <v>0.7</v>
      </c>
      <c r="F318" s="42">
        <v>2.2999999999999998</v>
      </c>
      <c r="G318" s="45">
        <v>371</v>
      </c>
      <c r="H318" s="22">
        <v>1.9</v>
      </c>
      <c r="I318" s="6">
        <f t="shared" si="5"/>
        <v>1134.8889999999999</v>
      </c>
      <c r="J318" s="6" t="s">
        <v>1124</v>
      </c>
      <c r="K318" s="17"/>
    </row>
    <row r="319" spans="1:11" ht="13.95" customHeight="1" x14ac:dyDescent="0.3">
      <c r="A319" s="3">
        <v>45976</v>
      </c>
      <c r="B319" s="19" t="s">
        <v>1837</v>
      </c>
      <c r="C319" s="19" t="s">
        <v>18</v>
      </c>
      <c r="D319" s="19" t="s">
        <v>14</v>
      </c>
      <c r="E319" s="4">
        <v>0.85</v>
      </c>
      <c r="F319" s="42">
        <v>2.8</v>
      </c>
      <c r="G319" s="45">
        <v>371</v>
      </c>
      <c r="H319" s="22">
        <v>1.9</v>
      </c>
      <c r="I319" s="6">
        <f t="shared" si="5"/>
        <v>1677.6619999999998</v>
      </c>
      <c r="J319" s="6" t="s">
        <v>1826</v>
      </c>
      <c r="K319" s="17"/>
    </row>
    <row r="320" spans="1:11" ht="13.95" customHeight="1" x14ac:dyDescent="0.3">
      <c r="A320" s="3">
        <v>45977</v>
      </c>
      <c r="B320" s="19" t="s">
        <v>1837</v>
      </c>
      <c r="C320" s="19" t="s">
        <v>20</v>
      </c>
      <c r="D320" s="19" t="s">
        <v>14</v>
      </c>
      <c r="E320" s="4">
        <v>0.65</v>
      </c>
      <c r="F320" s="42">
        <v>2.25</v>
      </c>
      <c r="G320" s="45">
        <v>371</v>
      </c>
      <c r="H320" s="22">
        <v>1.9</v>
      </c>
      <c r="I320" s="6">
        <f t="shared" si="5"/>
        <v>1030.91625</v>
      </c>
      <c r="J320" s="6" t="s">
        <v>149</v>
      </c>
      <c r="K320" s="17"/>
    </row>
    <row r="321" spans="1:11" ht="13.95" customHeight="1" x14ac:dyDescent="0.3">
      <c r="A321" s="3">
        <v>45978</v>
      </c>
      <c r="B321" s="19" t="s">
        <v>1837</v>
      </c>
      <c r="C321" s="19" t="s">
        <v>5</v>
      </c>
      <c r="D321" s="19" t="s">
        <v>1259</v>
      </c>
      <c r="E321" s="4">
        <v>0.35</v>
      </c>
      <c r="F321" s="42">
        <v>1.8</v>
      </c>
      <c r="G321" s="45">
        <v>371</v>
      </c>
      <c r="H321" s="22">
        <v>1.9</v>
      </c>
      <c r="I321" s="6">
        <f t="shared" si="5"/>
        <v>444.08699999999993</v>
      </c>
      <c r="J321" s="6" t="s">
        <v>1628</v>
      </c>
      <c r="K321" s="17"/>
    </row>
    <row r="322" spans="1:11" ht="13.95" customHeight="1" x14ac:dyDescent="0.3">
      <c r="A322" s="3">
        <v>45979</v>
      </c>
      <c r="B322" s="19" t="s">
        <v>1837</v>
      </c>
      <c r="C322" s="19" t="s">
        <v>8</v>
      </c>
      <c r="D322" s="19" t="s">
        <v>1259</v>
      </c>
      <c r="E322" s="4">
        <v>0.32</v>
      </c>
      <c r="F322" s="42">
        <v>1.8</v>
      </c>
      <c r="G322" s="45">
        <v>371</v>
      </c>
      <c r="H322" s="22">
        <v>1.9</v>
      </c>
      <c r="I322" s="6">
        <f t="shared" si="5"/>
        <v>406.0224</v>
      </c>
      <c r="J322" s="6" t="s">
        <v>1628</v>
      </c>
      <c r="K322" s="17"/>
    </row>
    <row r="323" spans="1:11" ht="13.95" customHeight="1" x14ac:dyDescent="0.3">
      <c r="A323" s="3">
        <v>45980</v>
      </c>
      <c r="B323" s="19" t="s">
        <v>1837</v>
      </c>
      <c r="C323" s="19" t="s">
        <v>11</v>
      </c>
      <c r="D323" s="19" t="s">
        <v>1259</v>
      </c>
      <c r="E323" s="4">
        <v>0.35</v>
      </c>
      <c r="F323" s="42">
        <v>1.8</v>
      </c>
      <c r="G323" s="45">
        <v>371</v>
      </c>
      <c r="H323" s="22">
        <v>1.9</v>
      </c>
      <c r="I323" s="6">
        <f t="shared" ref="I323:I349" si="6">(G323*E323)*F323*H323</f>
        <v>444.08699999999993</v>
      </c>
      <c r="J323" s="6" t="s">
        <v>1628</v>
      </c>
      <c r="K323" s="17"/>
    </row>
    <row r="324" spans="1:11" ht="13.95" customHeight="1" x14ac:dyDescent="0.3">
      <c r="A324" s="3">
        <v>45981</v>
      </c>
      <c r="B324" s="19" t="s">
        <v>1837</v>
      </c>
      <c r="C324" s="19" t="s">
        <v>13</v>
      </c>
      <c r="D324" s="19" t="s">
        <v>1738</v>
      </c>
      <c r="E324" s="4">
        <v>0.6</v>
      </c>
      <c r="F324" s="42">
        <v>2.15</v>
      </c>
      <c r="G324" s="45">
        <v>371</v>
      </c>
      <c r="H324" s="22">
        <v>1.9</v>
      </c>
      <c r="I324" s="6">
        <f t="shared" si="6"/>
        <v>909.32099999999991</v>
      </c>
      <c r="J324" s="6" t="s">
        <v>1827</v>
      </c>
      <c r="K324" s="17"/>
    </row>
    <row r="325" spans="1:11" ht="13.95" customHeight="1" x14ac:dyDescent="0.3">
      <c r="A325" s="3">
        <v>45982</v>
      </c>
      <c r="B325" s="19" t="s">
        <v>1837</v>
      </c>
      <c r="C325" s="19" t="s">
        <v>16</v>
      </c>
      <c r="D325" s="19" t="s">
        <v>14</v>
      </c>
      <c r="E325" s="4">
        <v>0.68</v>
      </c>
      <c r="F325" s="42">
        <v>2.2999999999999998</v>
      </c>
      <c r="G325" s="45">
        <v>371</v>
      </c>
      <c r="H325" s="22">
        <v>1.9</v>
      </c>
      <c r="I325" s="6">
        <f t="shared" si="6"/>
        <v>1102.4636</v>
      </c>
      <c r="J325" s="6" t="s">
        <v>97</v>
      </c>
      <c r="K325" s="17"/>
    </row>
    <row r="326" spans="1:11" ht="13.95" customHeight="1" x14ac:dyDescent="0.3">
      <c r="A326" s="3">
        <v>45983</v>
      </c>
      <c r="B326" s="19" t="s">
        <v>1837</v>
      </c>
      <c r="C326" s="19" t="s">
        <v>18</v>
      </c>
      <c r="D326" s="19" t="s">
        <v>14</v>
      </c>
      <c r="E326" s="4">
        <v>0.82</v>
      </c>
      <c r="F326" s="42">
        <v>2.75</v>
      </c>
      <c r="G326" s="45">
        <v>371</v>
      </c>
      <c r="H326" s="22">
        <v>1.9</v>
      </c>
      <c r="I326" s="6">
        <f t="shared" si="6"/>
        <v>1589.5494999999999</v>
      </c>
      <c r="J326" s="6" t="s">
        <v>1535</v>
      </c>
      <c r="K326" s="17"/>
    </row>
    <row r="327" spans="1:11" ht="13.95" customHeight="1" x14ac:dyDescent="0.3">
      <c r="A327" s="3">
        <v>45984</v>
      </c>
      <c r="B327" s="19" t="s">
        <v>1837</v>
      </c>
      <c r="C327" s="19" t="s">
        <v>20</v>
      </c>
      <c r="D327" s="19" t="s">
        <v>14</v>
      </c>
      <c r="E327" s="4">
        <v>0.6</v>
      </c>
      <c r="F327" s="42">
        <v>2.2000000000000002</v>
      </c>
      <c r="G327" s="45">
        <v>371</v>
      </c>
      <c r="H327" s="22">
        <v>1.9</v>
      </c>
      <c r="I327" s="6">
        <f t="shared" si="6"/>
        <v>930.46799999999996</v>
      </c>
      <c r="J327" s="6" t="s">
        <v>149</v>
      </c>
      <c r="K327" s="17"/>
    </row>
    <row r="328" spans="1:11" ht="13.95" customHeight="1" x14ac:dyDescent="0.3">
      <c r="A328" s="3">
        <v>45985</v>
      </c>
      <c r="B328" s="19" t="s">
        <v>1837</v>
      </c>
      <c r="C328" s="19" t="s">
        <v>5</v>
      </c>
      <c r="D328" s="19" t="s">
        <v>1259</v>
      </c>
      <c r="E328" s="4">
        <v>0.35</v>
      </c>
      <c r="F328" s="42">
        <v>1.8</v>
      </c>
      <c r="G328" s="45">
        <v>371</v>
      </c>
      <c r="H328" s="22">
        <v>1.9</v>
      </c>
      <c r="I328" s="6">
        <f t="shared" si="6"/>
        <v>444.08699999999993</v>
      </c>
      <c r="J328" s="6" t="s">
        <v>150</v>
      </c>
      <c r="K328" s="17"/>
    </row>
    <row r="329" spans="1:11" ht="13.95" customHeight="1" x14ac:dyDescent="0.3">
      <c r="A329" s="3">
        <v>45986</v>
      </c>
      <c r="B329" s="19" t="s">
        <v>1837</v>
      </c>
      <c r="C329" s="19" t="s">
        <v>8</v>
      </c>
      <c r="D329" s="19" t="s">
        <v>1259</v>
      </c>
      <c r="E329" s="4">
        <v>0.32</v>
      </c>
      <c r="F329" s="42">
        <v>1.8</v>
      </c>
      <c r="G329" s="45">
        <v>371</v>
      </c>
      <c r="H329" s="22">
        <v>1.9</v>
      </c>
      <c r="I329" s="6">
        <f t="shared" si="6"/>
        <v>406.0224</v>
      </c>
      <c r="J329" s="6" t="s">
        <v>150</v>
      </c>
      <c r="K329" s="17"/>
    </row>
    <row r="330" spans="1:11" ht="13.95" customHeight="1" x14ac:dyDescent="0.3">
      <c r="A330" s="3">
        <v>45987</v>
      </c>
      <c r="B330" s="19" t="s">
        <v>1837</v>
      </c>
      <c r="C330" s="19" t="s">
        <v>11</v>
      </c>
      <c r="D330" s="19" t="s">
        <v>1259</v>
      </c>
      <c r="E330" s="4">
        <v>0.35</v>
      </c>
      <c r="F330" s="42">
        <v>1.85</v>
      </c>
      <c r="G330" s="45">
        <v>371</v>
      </c>
      <c r="H330" s="22">
        <v>1.9</v>
      </c>
      <c r="I330" s="6">
        <f t="shared" si="6"/>
        <v>456.42274999999995</v>
      </c>
      <c r="J330" s="6" t="s">
        <v>150</v>
      </c>
      <c r="K330" s="17"/>
    </row>
    <row r="331" spans="1:11" ht="13.95" customHeight="1" x14ac:dyDescent="0.3">
      <c r="A331" s="3">
        <v>45988</v>
      </c>
      <c r="B331" s="19" t="s">
        <v>1837</v>
      </c>
      <c r="C331" s="19" t="s">
        <v>13</v>
      </c>
      <c r="D331" s="19" t="s">
        <v>1738</v>
      </c>
      <c r="E331" s="4">
        <v>0.65</v>
      </c>
      <c r="F331" s="42">
        <v>2.15</v>
      </c>
      <c r="G331" s="45">
        <v>371</v>
      </c>
      <c r="H331" s="22">
        <v>1.9</v>
      </c>
      <c r="I331" s="6">
        <f t="shared" si="6"/>
        <v>985.09774999999991</v>
      </c>
      <c r="J331" s="6" t="s">
        <v>1410</v>
      </c>
      <c r="K331" s="17"/>
    </row>
    <row r="332" spans="1:11" ht="13.95" customHeight="1" x14ac:dyDescent="0.3">
      <c r="A332" s="3">
        <v>45989</v>
      </c>
      <c r="B332" s="19" t="s">
        <v>1837</v>
      </c>
      <c r="C332" s="19" t="s">
        <v>16</v>
      </c>
      <c r="D332" s="19" t="s">
        <v>14</v>
      </c>
      <c r="E332" s="4">
        <v>0.72</v>
      </c>
      <c r="F332" s="42">
        <v>2.35</v>
      </c>
      <c r="G332" s="45">
        <v>371</v>
      </c>
      <c r="H332" s="22">
        <v>1.9</v>
      </c>
      <c r="I332" s="6">
        <f t="shared" si="6"/>
        <v>1192.6908000000001</v>
      </c>
      <c r="J332" s="6" t="s">
        <v>97</v>
      </c>
      <c r="K332" s="17"/>
    </row>
    <row r="333" spans="1:11" ht="13.95" customHeight="1" x14ac:dyDescent="0.3">
      <c r="A333" s="3">
        <v>45990</v>
      </c>
      <c r="B333" s="19" t="s">
        <v>1837</v>
      </c>
      <c r="C333" s="19" t="s">
        <v>18</v>
      </c>
      <c r="D333" s="19" t="s">
        <v>14</v>
      </c>
      <c r="E333" s="4">
        <v>0.88</v>
      </c>
      <c r="F333" s="42">
        <v>2.85</v>
      </c>
      <c r="G333" s="45">
        <v>371</v>
      </c>
      <c r="H333" s="22">
        <v>1.9</v>
      </c>
      <c r="I333" s="6">
        <f t="shared" si="6"/>
        <v>1767.8892000000001</v>
      </c>
      <c r="J333" s="6" t="s">
        <v>1828</v>
      </c>
      <c r="K333" s="17"/>
    </row>
    <row r="334" spans="1:11" ht="13.95" customHeight="1" x14ac:dyDescent="0.3">
      <c r="A334" s="3">
        <v>45991</v>
      </c>
      <c r="B334" s="19" t="s">
        <v>1837</v>
      </c>
      <c r="C334" s="19" t="s">
        <v>13</v>
      </c>
      <c r="D334" s="19" t="s">
        <v>14</v>
      </c>
      <c r="E334" s="4">
        <v>0.7</v>
      </c>
      <c r="F334" s="42">
        <v>2.2999999999999998</v>
      </c>
      <c r="G334" s="45">
        <v>371</v>
      </c>
      <c r="H334" s="22">
        <v>1.9</v>
      </c>
      <c r="I334" s="6">
        <f t="shared" si="6"/>
        <v>1134.8889999999999</v>
      </c>
      <c r="J334" s="6" t="s">
        <v>1717</v>
      </c>
      <c r="K334" s="17"/>
    </row>
    <row r="335" spans="1:11" ht="13.95" customHeight="1" x14ac:dyDescent="0.3">
      <c r="A335" s="3">
        <v>45992</v>
      </c>
      <c r="B335" s="19" t="s">
        <v>1837</v>
      </c>
      <c r="C335" s="19" t="s">
        <v>13</v>
      </c>
      <c r="D335" s="19" t="s">
        <v>1259</v>
      </c>
      <c r="E335" s="4">
        <v>0.35</v>
      </c>
      <c r="F335" s="42">
        <v>1.8</v>
      </c>
      <c r="G335" s="45">
        <v>371</v>
      </c>
      <c r="H335" s="22">
        <v>1.9</v>
      </c>
      <c r="I335" s="6">
        <f t="shared" si="6"/>
        <v>444.08699999999993</v>
      </c>
      <c r="J335" s="6" t="s">
        <v>1628</v>
      </c>
      <c r="K335" s="17"/>
    </row>
    <row r="336" spans="1:11" ht="13.95" customHeight="1" x14ac:dyDescent="0.3">
      <c r="A336" s="3">
        <v>45997</v>
      </c>
      <c r="B336" s="19" t="s">
        <v>1837</v>
      </c>
      <c r="C336" s="19" t="s">
        <v>13</v>
      </c>
      <c r="D336" s="19" t="s">
        <v>14</v>
      </c>
      <c r="E336" s="4">
        <v>0.65</v>
      </c>
      <c r="F336" s="42">
        <v>2.4</v>
      </c>
      <c r="G336" s="45">
        <v>371</v>
      </c>
      <c r="H336" s="22">
        <v>1.9</v>
      </c>
      <c r="I336" s="6">
        <f t="shared" si="6"/>
        <v>1099.644</v>
      </c>
      <c r="J336" s="6" t="s">
        <v>1829</v>
      </c>
      <c r="K336" s="17"/>
    </row>
    <row r="337" spans="1:11" ht="13.95" customHeight="1" x14ac:dyDescent="0.3">
      <c r="A337" s="3">
        <v>46004</v>
      </c>
      <c r="B337" s="19" t="s">
        <v>1837</v>
      </c>
      <c r="C337" s="19" t="s">
        <v>16</v>
      </c>
      <c r="D337" s="19" t="s">
        <v>14</v>
      </c>
      <c r="E337" s="4">
        <v>0.7</v>
      </c>
      <c r="F337" s="42">
        <v>2.65</v>
      </c>
      <c r="G337" s="45">
        <v>371</v>
      </c>
      <c r="H337" s="22">
        <v>1.9</v>
      </c>
      <c r="I337" s="6">
        <f t="shared" si="6"/>
        <v>1307.5894999999998</v>
      </c>
      <c r="J337" s="6" t="s">
        <v>1830</v>
      </c>
      <c r="K337" s="17"/>
    </row>
    <row r="338" spans="1:11" ht="13.95" customHeight="1" x14ac:dyDescent="0.3">
      <c r="A338" s="3">
        <v>46011</v>
      </c>
      <c r="B338" s="19" t="s">
        <v>1837</v>
      </c>
      <c r="C338" s="19" t="s">
        <v>18</v>
      </c>
      <c r="D338" s="19" t="s">
        <v>658</v>
      </c>
      <c r="E338" s="4">
        <v>0.75</v>
      </c>
      <c r="F338" s="42">
        <v>2.4500000000000002</v>
      </c>
      <c r="G338" s="45">
        <v>371</v>
      </c>
      <c r="H338" s="22">
        <v>1.9</v>
      </c>
      <c r="I338" s="6">
        <f t="shared" si="6"/>
        <v>1295.2537500000001</v>
      </c>
      <c r="J338" s="6" t="s">
        <v>1831</v>
      </c>
      <c r="K338" s="17"/>
    </row>
    <row r="339" spans="1:11" ht="13.95" customHeight="1" x14ac:dyDescent="0.3">
      <c r="A339" s="3">
        <v>46012</v>
      </c>
      <c r="B339" s="19" t="s">
        <v>1837</v>
      </c>
      <c r="C339" s="19" t="s">
        <v>20</v>
      </c>
      <c r="D339" s="19" t="s">
        <v>658</v>
      </c>
      <c r="E339" s="4">
        <v>0.65</v>
      </c>
      <c r="F339" s="42">
        <v>2.2999999999999998</v>
      </c>
      <c r="G339" s="45">
        <v>371</v>
      </c>
      <c r="H339" s="22">
        <v>1.9</v>
      </c>
      <c r="I339" s="6">
        <f t="shared" si="6"/>
        <v>1053.8254999999999</v>
      </c>
      <c r="J339" s="6" t="s">
        <v>238</v>
      </c>
      <c r="K339" s="17"/>
    </row>
    <row r="340" spans="1:11" ht="13.95" customHeight="1" x14ac:dyDescent="0.3">
      <c r="A340" s="3">
        <v>46013</v>
      </c>
      <c r="B340" s="19" t="s">
        <v>1837</v>
      </c>
      <c r="C340" s="19" t="s">
        <v>5</v>
      </c>
      <c r="D340" s="19" t="s">
        <v>658</v>
      </c>
      <c r="E340" s="4">
        <v>0.6</v>
      </c>
      <c r="F340" s="42">
        <v>2.15</v>
      </c>
      <c r="G340" s="45">
        <v>371</v>
      </c>
      <c r="H340" s="22">
        <v>1.9</v>
      </c>
      <c r="I340" s="6">
        <f t="shared" si="6"/>
        <v>909.32099999999991</v>
      </c>
      <c r="J340" s="6" t="s">
        <v>1832</v>
      </c>
      <c r="K340" s="17"/>
    </row>
    <row r="341" spans="1:11" ht="13.95" customHeight="1" x14ac:dyDescent="0.3">
      <c r="A341" s="3">
        <v>46014</v>
      </c>
      <c r="B341" s="19" t="s">
        <v>1837</v>
      </c>
      <c r="C341" s="19" t="s">
        <v>8</v>
      </c>
      <c r="D341" s="19" t="s">
        <v>658</v>
      </c>
      <c r="E341" s="4">
        <v>0.65</v>
      </c>
      <c r="F341" s="42">
        <v>2.25</v>
      </c>
      <c r="G341" s="45">
        <v>371</v>
      </c>
      <c r="H341" s="22">
        <v>1.9</v>
      </c>
      <c r="I341" s="6">
        <f t="shared" si="6"/>
        <v>1030.91625</v>
      </c>
      <c r="J341" s="6" t="s">
        <v>514</v>
      </c>
      <c r="K341" s="17"/>
    </row>
    <row r="342" spans="1:11" ht="13.95" customHeight="1" x14ac:dyDescent="0.3">
      <c r="A342" s="3">
        <v>46015</v>
      </c>
      <c r="B342" s="19" t="s">
        <v>1837</v>
      </c>
      <c r="C342" s="19" t="s">
        <v>11</v>
      </c>
      <c r="D342" s="19" t="s">
        <v>662</v>
      </c>
      <c r="E342" s="4">
        <v>0.85</v>
      </c>
      <c r="F342" s="42">
        <v>3.1</v>
      </c>
      <c r="G342" s="45">
        <v>371</v>
      </c>
      <c r="H342" s="22">
        <v>1.9</v>
      </c>
      <c r="I342" s="6">
        <f t="shared" si="6"/>
        <v>1857.4114999999997</v>
      </c>
      <c r="J342" s="6" t="s">
        <v>1833</v>
      </c>
      <c r="K342" s="17"/>
    </row>
    <row r="343" spans="1:11" ht="13.95" customHeight="1" x14ac:dyDescent="0.3">
      <c r="A343" s="3">
        <v>46016</v>
      </c>
      <c r="B343" s="19" t="s">
        <v>1837</v>
      </c>
      <c r="C343" s="19" t="s">
        <v>13</v>
      </c>
      <c r="D343" s="19" t="s">
        <v>299</v>
      </c>
      <c r="E343" s="4">
        <v>0.8</v>
      </c>
      <c r="F343" s="42">
        <v>2.75</v>
      </c>
      <c r="G343" s="45">
        <v>371</v>
      </c>
      <c r="H343" s="22">
        <v>1.9</v>
      </c>
      <c r="I343" s="6">
        <f t="shared" si="6"/>
        <v>1550.78</v>
      </c>
      <c r="J343" s="6" t="s">
        <v>1834</v>
      </c>
      <c r="K343" s="17"/>
    </row>
    <row r="344" spans="1:11" ht="13.95" customHeight="1" x14ac:dyDescent="0.3">
      <c r="A344" s="3">
        <v>46017</v>
      </c>
      <c r="B344" s="19" t="s">
        <v>1837</v>
      </c>
      <c r="C344" s="19" t="s">
        <v>16</v>
      </c>
      <c r="D344" s="19" t="s">
        <v>1564</v>
      </c>
      <c r="E344" s="4">
        <v>0.82</v>
      </c>
      <c r="F344" s="42">
        <v>2.4500000000000002</v>
      </c>
      <c r="G344" s="45">
        <v>371</v>
      </c>
      <c r="H344" s="22">
        <v>1.9</v>
      </c>
      <c r="I344" s="6">
        <f t="shared" si="6"/>
        <v>1416.1440999999998</v>
      </c>
      <c r="J344" s="6" t="s">
        <v>1463</v>
      </c>
      <c r="K344" s="17"/>
    </row>
    <row r="345" spans="1:11" ht="13.95" customHeight="1" x14ac:dyDescent="0.3">
      <c r="A345" s="3">
        <v>46018</v>
      </c>
      <c r="B345" s="19" t="s">
        <v>1837</v>
      </c>
      <c r="C345" s="19" t="s">
        <v>18</v>
      </c>
      <c r="D345" s="19" t="s">
        <v>1564</v>
      </c>
      <c r="E345" s="4">
        <v>0.9</v>
      </c>
      <c r="F345" s="42">
        <v>2.85</v>
      </c>
      <c r="G345" s="45">
        <v>371</v>
      </c>
      <c r="H345" s="22">
        <v>1.9</v>
      </c>
      <c r="I345" s="6">
        <f t="shared" si="6"/>
        <v>1808.0685000000001</v>
      </c>
      <c r="J345" s="6" t="s">
        <v>1533</v>
      </c>
      <c r="K345" s="17"/>
    </row>
    <row r="346" spans="1:11" ht="13.95" customHeight="1" x14ac:dyDescent="0.3">
      <c r="A346" s="3">
        <v>46019</v>
      </c>
      <c r="B346" s="19" t="s">
        <v>1837</v>
      </c>
      <c r="C346" s="19" t="s">
        <v>20</v>
      </c>
      <c r="D346" s="19" t="s">
        <v>1564</v>
      </c>
      <c r="E346" s="4">
        <v>0.88</v>
      </c>
      <c r="F346" s="42">
        <v>2.65</v>
      </c>
      <c r="G346" s="45">
        <v>371</v>
      </c>
      <c r="H346" s="22">
        <v>1.9</v>
      </c>
      <c r="I346" s="6">
        <f t="shared" si="6"/>
        <v>1643.8268</v>
      </c>
      <c r="J346" s="6" t="s">
        <v>1835</v>
      </c>
      <c r="K346" s="17"/>
    </row>
    <row r="347" spans="1:11" ht="13.95" customHeight="1" x14ac:dyDescent="0.3">
      <c r="A347" s="3">
        <v>46020</v>
      </c>
      <c r="B347" s="19" t="s">
        <v>1837</v>
      </c>
      <c r="C347" s="19" t="s">
        <v>5</v>
      </c>
      <c r="D347" s="19" t="s">
        <v>1565</v>
      </c>
      <c r="E347" s="4">
        <v>0.95</v>
      </c>
      <c r="F347" s="42">
        <v>2.5</v>
      </c>
      <c r="G347" s="45">
        <v>371</v>
      </c>
      <c r="H347" s="22">
        <v>1.9</v>
      </c>
      <c r="I347" s="6">
        <f t="shared" si="6"/>
        <v>1674.1374999999998</v>
      </c>
      <c r="J347" s="6" t="s">
        <v>1769</v>
      </c>
      <c r="K347" s="17"/>
    </row>
    <row r="348" spans="1:11" ht="13.95" customHeight="1" x14ac:dyDescent="0.3">
      <c r="A348" s="3">
        <v>46021</v>
      </c>
      <c r="B348" s="19" t="s">
        <v>1837</v>
      </c>
      <c r="D348" s="19" t="s">
        <v>1565</v>
      </c>
      <c r="E348" s="4">
        <v>1</v>
      </c>
      <c r="F348" s="42">
        <v>2.8</v>
      </c>
      <c r="G348" s="45">
        <v>371</v>
      </c>
      <c r="H348" s="22">
        <v>1.9</v>
      </c>
      <c r="I348" s="6">
        <f t="shared" si="6"/>
        <v>1973.7199999999998</v>
      </c>
      <c r="J348" s="6" t="s">
        <v>1763</v>
      </c>
      <c r="K348" s="17"/>
    </row>
    <row r="349" spans="1:11" ht="13.95" customHeight="1" x14ac:dyDescent="0.3">
      <c r="A349" s="3">
        <v>46022</v>
      </c>
      <c r="B349" s="19" t="s">
        <v>1837</v>
      </c>
      <c r="D349" s="19" t="s">
        <v>1567</v>
      </c>
      <c r="E349" s="4">
        <v>1</v>
      </c>
      <c r="F349" s="42">
        <v>3.7</v>
      </c>
      <c r="G349" s="45">
        <v>371</v>
      </c>
      <c r="H349" s="22">
        <v>1.9</v>
      </c>
      <c r="I349" s="6">
        <f t="shared" si="6"/>
        <v>2608.13</v>
      </c>
      <c r="J349" s="6" t="s">
        <v>1836</v>
      </c>
      <c r="K349" s="17"/>
    </row>
  </sheetData>
  <phoneticPr fontId="1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227BD-9712-4B25-BBCD-FE88A81DC9EC}">
  <sheetPr>
    <tabColor theme="8" tint="-0.249977111117893"/>
  </sheetPr>
  <dimension ref="A1:K350"/>
  <sheetViews>
    <sheetView topLeftCell="A323" workbookViewId="0">
      <selection activeCell="A2" sqref="A2:J350"/>
    </sheetView>
  </sheetViews>
  <sheetFormatPr baseColWidth="10" defaultRowHeight="14.4" x14ac:dyDescent="0.3"/>
  <cols>
    <col min="1" max="1" width="13.109375" style="17" bestFit="1" customWidth="1"/>
    <col min="2" max="2" width="37.33203125" customWidth="1"/>
    <col min="10" max="10" width="30.109375" bestFit="1" customWidth="1"/>
  </cols>
  <sheetData>
    <row r="1" spans="1:11" ht="28.2" thickBot="1" x14ac:dyDescent="0.35">
      <c r="A1" s="24" t="s">
        <v>333</v>
      </c>
      <c r="B1" s="1" t="s">
        <v>670</v>
      </c>
      <c r="C1" s="34" t="s">
        <v>0</v>
      </c>
      <c r="D1" s="34" t="s">
        <v>1</v>
      </c>
      <c r="E1" s="37" t="s">
        <v>2</v>
      </c>
      <c r="F1" s="41" t="s">
        <v>3</v>
      </c>
      <c r="G1" s="47" t="s">
        <v>359</v>
      </c>
      <c r="H1" s="35" t="s">
        <v>360</v>
      </c>
      <c r="I1" s="47" t="s">
        <v>361</v>
      </c>
      <c r="J1" s="27" t="s">
        <v>4</v>
      </c>
      <c r="K1">
        <v>350</v>
      </c>
    </row>
    <row r="2" spans="1:11" ht="13.95" customHeight="1" x14ac:dyDescent="0.3">
      <c r="A2" s="20">
        <v>45658</v>
      </c>
      <c r="B2" s="19" t="s">
        <v>2073</v>
      </c>
      <c r="C2" s="19" t="s">
        <v>5</v>
      </c>
      <c r="D2" s="19" t="s">
        <v>735</v>
      </c>
      <c r="E2" s="4">
        <v>0.85</v>
      </c>
      <c r="F2" s="42">
        <v>2.75</v>
      </c>
      <c r="G2" s="45">
        <v>350</v>
      </c>
      <c r="H2" s="22">
        <v>2.1</v>
      </c>
      <c r="I2" s="6">
        <f t="shared" ref="I2" si="0">(G2*E2)*F2*H2</f>
        <v>1718.0625</v>
      </c>
      <c r="J2" s="6" t="s">
        <v>2012</v>
      </c>
      <c r="K2" s="17"/>
    </row>
    <row r="3" spans="1:11" ht="13.95" customHeight="1" x14ac:dyDescent="0.3">
      <c r="A3" s="20">
        <v>45659</v>
      </c>
      <c r="B3" s="19" t="s">
        <v>2073</v>
      </c>
      <c r="C3" s="19" t="s">
        <v>8</v>
      </c>
      <c r="D3" s="19" t="s">
        <v>1259</v>
      </c>
      <c r="E3" s="4">
        <v>0.45</v>
      </c>
      <c r="F3" s="42">
        <v>1.9</v>
      </c>
      <c r="G3" s="45">
        <v>350</v>
      </c>
      <c r="H3" s="22">
        <v>2.1</v>
      </c>
      <c r="I3" s="6">
        <f t="shared" ref="I3:I4" si="1">(G3*E3)*F3*H3</f>
        <v>628.42500000000007</v>
      </c>
      <c r="J3" s="6" t="s">
        <v>2013</v>
      </c>
      <c r="K3" s="17"/>
    </row>
    <row r="4" spans="1:11" ht="13.95" customHeight="1" x14ac:dyDescent="0.3">
      <c r="A4" s="20">
        <v>45660</v>
      </c>
      <c r="B4" s="19" t="s">
        <v>2073</v>
      </c>
      <c r="C4" s="19" t="s">
        <v>11</v>
      </c>
      <c r="D4" s="19" t="s">
        <v>14</v>
      </c>
      <c r="E4" s="4">
        <v>0.55000000000000004</v>
      </c>
      <c r="F4" s="42">
        <v>2.15</v>
      </c>
      <c r="G4" s="45">
        <v>350</v>
      </c>
      <c r="H4" s="22">
        <v>2.1</v>
      </c>
      <c r="I4" s="6">
        <f t="shared" si="1"/>
        <v>869.13750000000016</v>
      </c>
      <c r="J4" s="6" t="s">
        <v>390</v>
      </c>
      <c r="K4" s="17"/>
    </row>
    <row r="5" spans="1:11" ht="13.95" customHeight="1" x14ac:dyDescent="0.3">
      <c r="A5" s="20">
        <v>45661</v>
      </c>
      <c r="B5" s="19" t="s">
        <v>2073</v>
      </c>
      <c r="C5" s="19" t="s">
        <v>13</v>
      </c>
      <c r="D5" s="19" t="s">
        <v>14</v>
      </c>
      <c r="E5" s="4">
        <v>0.75</v>
      </c>
      <c r="F5" s="42">
        <v>2.5</v>
      </c>
      <c r="G5" s="45">
        <v>350</v>
      </c>
      <c r="H5" s="22">
        <v>2.1</v>
      </c>
      <c r="I5" s="6">
        <f t="shared" ref="I5:I68" si="2">(G5*E5)*F5*H5</f>
        <v>1378.125</v>
      </c>
      <c r="J5" s="6" t="s">
        <v>2014</v>
      </c>
      <c r="K5" s="17"/>
    </row>
    <row r="6" spans="1:11" ht="13.95" customHeight="1" x14ac:dyDescent="0.3">
      <c r="A6" s="20">
        <v>45662</v>
      </c>
      <c r="B6" s="19" t="s">
        <v>2073</v>
      </c>
      <c r="C6" s="19" t="s">
        <v>16</v>
      </c>
      <c r="D6" s="19" t="s">
        <v>14</v>
      </c>
      <c r="E6" s="4">
        <v>0.6</v>
      </c>
      <c r="F6" s="42">
        <v>2.25</v>
      </c>
      <c r="G6" s="45">
        <v>350</v>
      </c>
      <c r="H6" s="22">
        <v>2.1</v>
      </c>
      <c r="I6" s="6">
        <f t="shared" si="2"/>
        <v>992.25</v>
      </c>
      <c r="J6" s="6" t="s">
        <v>139</v>
      </c>
      <c r="K6" s="17"/>
    </row>
    <row r="7" spans="1:11" ht="13.95" customHeight="1" x14ac:dyDescent="0.3">
      <c r="A7" s="20">
        <v>45663</v>
      </c>
      <c r="B7" s="19" t="s">
        <v>2073</v>
      </c>
      <c r="C7" s="19" t="s">
        <v>18</v>
      </c>
      <c r="D7" s="19" t="s">
        <v>2015</v>
      </c>
      <c r="E7" s="4">
        <v>0.45</v>
      </c>
      <c r="F7" s="42">
        <v>1.85</v>
      </c>
      <c r="G7" s="45">
        <v>350</v>
      </c>
      <c r="H7" s="22">
        <v>2.1</v>
      </c>
      <c r="I7" s="6">
        <f t="shared" si="2"/>
        <v>611.88750000000005</v>
      </c>
      <c r="J7" s="6" t="s">
        <v>2016</v>
      </c>
      <c r="K7" s="17"/>
    </row>
    <row r="8" spans="1:11" ht="13.95" customHeight="1" x14ac:dyDescent="0.3">
      <c r="A8" s="20">
        <v>45664</v>
      </c>
      <c r="B8" s="19" t="s">
        <v>2073</v>
      </c>
      <c r="C8" s="19" t="s">
        <v>20</v>
      </c>
      <c r="D8" s="19" t="s">
        <v>2015</v>
      </c>
      <c r="E8" s="4">
        <v>0.4</v>
      </c>
      <c r="F8" s="42">
        <v>1.8</v>
      </c>
      <c r="G8" s="45">
        <v>350</v>
      </c>
      <c r="H8" s="22">
        <v>2.1</v>
      </c>
      <c r="I8" s="6">
        <f t="shared" si="2"/>
        <v>529.20000000000005</v>
      </c>
      <c r="J8" s="6" t="s">
        <v>150</v>
      </c>
      <c r="K8" s="17"/>
    </row>
    <row r="9" spans="1:11" ht="13.95" customHeight="1" x14ac:dyDescent="0.3">
      <c r="A9" s="20">
        <v>45665</v>
      </c>
      <c r="B9" s="19" t="s">
        <v>2073</v>
      </c>
      <c r="C9" s="19" t="s">
        <v>5</v>
      </c>
      <c r="D9" s="19" t="s">
        <v>2015</v>
      </c>
      <c r="E9" s="4">
        <v>0.42</v>
      </c>
      <c r="F9" s="42">
        <v>1.8</v>
      </c>
      <c r="G9" s="45">
        <v>350</v>
      </c>
      <c r="H9" s="22">
        <v>2.1</v>
      </c>
      <c r="I9" s="6">
        <f t="shared" si="2"/>
        <v>555.66000000000008</v>
      </c>
      <c r="J9" s="6" t="s">
        <v>150</v>
      </c>
      <c r="K9" s="17"/>
    </row>
    <row r="10" spans="1:11" ht="13.95" customHeight="1" x14ac:dyDescent="0.3">
      <c r="A10" s="20">
        <v>45666</v>
      </c>
      <c r="B10" s="19" t="s">
        <v>2073</v>
      </c>
      <c r="C10" s="19" t="s">
        <v>8</v>
      </c>
      <c r="D10" s="19" t="s">
        <v>1263</v>
      </c>
      <c r="E10" s="4">
        <v>0.65</v>
      </c>
      <c r="F10" s="42">
        <v>2.15</v>
      </c>
      <c r="G10" s="45">
        <v>350</v>
      </c>
      <c r="H10" s="22">
        <v>2.1</v>
      </c>
      <c r="I10" s="6">
        <f t="shared" si="2"/>
        <v>1027.1625000000001</v>
      </c>
      <c r="J10" s="6" t="s">
        <v>1864</v>
      </c>
      <c r="K10" s="17"/>
    </row>
    <row r="11" spans="1:11" ht="13.95" customHeight="1" x14ac:dyDescent="0.3">
      <c r="A11" s="20">
        <v>45667</v>
      </c>
      <c r="B11" s="19" t="s">
        <v>2073</v>
      </c>
      <c r="C11" s="19" t="s">
        <v>11</v>
      </c>
      <c r="D11" s="19" t="s">
        <v>14</v>
      </c>
      <c r="E11" s="4">
        <v>0.7</v>
      </c>
      <c r="F11" s="42">
        <v>2.35</v>
      </c>
      <c r="G11" s="45">
        <v>350</v>
      </c>
      <c r="H11" s="22">
        <v>2.1</v>
      </c>
      <c r="I11" s="6">
        <f t="shared" si="2"/>
        <v>1209.075</v>
      </c>
      <c r="J11" s="6" t="s">
        <v>97</v>
      </c>
      <c r="K11" s="17"/>
    </row>
    <row r="12" spans="1:11" ht="13.95" customHeight="1" x14ac:dyDescent="0.3">
      <c r="A12" s="20">
        <v>45668</v>
      </c>
      <c r="B12" s="19" t="s">
        <v>2073</v>
      </c>
      <c r="C12" s="19" t="s">
        <v>13</v>
      </c>
      <c r="D12" s="19" t="s">
        <v>14</v>
      </c>
      <c r="E12" s="4">
        <v>0.85</v>
      </c>
      <c r="F12" s="42">
        <v>2.7</v>
      </c>
      <c r="G12" s="45">
        <v>350</v>
      </c>
      <c r="H12" s="22">
        <v>2.1</v>
      </c>
      <c r="I12" s="6">
        <f t="shared" si="2"/>
        <v>1686.825</v>
      </c>
      <c r="J12" s="6" t="s">
        <v>1346</v>
      </c>
      <c r="K12" s="17"/>
    </row>
    <row r="13" spans="1:11" ht="13.95" customHeight="1" x14ac:dyDescent="0.3">
      <c r="A13" s="20">
        <v>45669</v>
      </c>
      <c r="B13" s="19" t="s">
        <v>2073</v>
      </c>
      <c r="C13" s="19" t="s">
        <v>16</v>
      </c>
      <c r="D13" s="19" t="s">
        <v>14</v>
      </c>
      <c r="E13" s="4">
        <v>0.7</v>
      </c>
      <c r="F13" s="42">
        <v>2.4</v>
      </c>
      <c r="G13" s="45">
        <v>350</v>
      </c>
      <c r="H13" s="22">
        <v>2.1</v>
      </c>
      <c r="I13" s="6">
        <f t="shared" si="2"/>
        <v>1234.7999999999997</v>
      </c>
      <c r="J13" s="6" t="s">
        <v>149</v>
      </c>
      <c r="K13" s="17"/>
    </row>
    <row r="14" spans="1:11" ht="13.95" customHeight="1" x14ac:dyDescent="0.3">
      <c r="A14" s="20">
        <v>45670</v>
      </c>
      <c r="B14" s="19" t="s">
        <v>2073</v>
      </c>
      <c r="C14" s="19" t="s">
        <v>18</v>
      </c>
      <c r="D14" s="19" t="s">
        <v>2015</v>
      </c>
      <c r="E14" s="4">
        <v>0.45</v>
      </c>
      <c r="F14" s="42">
        <v>1.85</v>
      </c>
      <c r="G14" s="45">
        <v>350</v>
      </c>
      <c r="H14" s="22">
        <v>2.1</v>
      </c>
      <c r="I14" s="6">
        <f t="shared" si="2"/>
        <v>611.88750000000005</v>
      </c>
      <c r="J14" s="6" t="s">
        <v>1813</v>
      </c>
      <c r="K14" s="17"/>
    </row>
    <row r="15" spans="1:11" ht="13.95" customHeight="1" x14ac:dyDescent="0.3">
      <c r="A15" s="20">
        <v>45671</v>
      </c>
      <c r="B15" s="19" t="s">
        <v>2073</v>
      </c>
      <c r="C15" s="19" t="s">
        <v>20</v>
      </c>
      <c r="D15" s="19" t="s">
        <v>1269</v>
      </c>
      <c r="E15" s="4">
        <v>0.65</v>
      </c>
      <c r="F15" s="42">
        <v>2.2999999999999998</v>
      </c>
      <c r="G15" s="45">
        <v>350</v>
      </c>
      <c r="H15" s="22">
        <v>2.1</v>
      </c>
      <c r="I15" s="6">
        <f t="shared" si="2"/>
        <v>1098.825</v>
      </c>
      <c r="J15" s="6" t="s">
        <v>1876</v>
      </c>
      <c r="K15" s="17"/>
    </row>
    <row r="16" spans="1:11" ht="13.95" customHeight="1" x14ac:dyDescent="0.3">
      <c r="A16" s="20">
        <v>45672</v>
      </c>
      <c r="B16" s="19" t="s">
        <v>2073</v>
      </c>
      <c r="C16" s="19" t="s">
        <v>5</v>
      </c>
      <c r="D16" s="19" t="s">
        <v>1259</v>
      </c>
      <c r="E16" s="4">
        <v>0.4</v>
      </c>
      <c r="F16" s="42">
        <v>1.8</v>
      </c>
      <c r="G16" s="45">
        <v>350</v>
      </c>
      <c r="H16" s="22">
        <v>2.1</v>
      </c>
      <c r="I16" s="6">
        <f t="shared" si="2"/>
        <v>529.20000000000005</v>
      </c>
      <c r="J16" s="6" t="s">
        <v>150</v>
      </c>
      <c r="K16" s="17"/>
    </row>
    <row r="17" spans="1:11" ht="13.95" customHeight="1" x14ac:dyDescent="0.3">
      <c r="A17" s="20">
        <v>45673</v>
      </c>
      <c r="B17" s="19" t="s">
        <v>2073</v>
      </c>
      <c r="C17" s="19" t="s">
        <v>8</v>
      </c>
      <c r="D17" s="19" t="s">
        <v>1263</v>
      </c>
      <c r="E17" s="4">
        <v>0.6</v>
      </c>
      <c r="F17" s="42">
        <v>2.1</v>
      </c>
      <c r="G17" s="45">
        <v>350</v>
      </c>
      <c r="H17" s="22">
        <v>2.1</v>
      </c>
      <c r="I17" s="6">
        <f t="shared" si="2"/>
        <v>926.1</v>
      </c>
      <c r="J17" s="6" t="s">
        <v>1410</v>
      </c>
      <c r="K17" s="17"/>
    </row>
    <row r="18" spans="1:11" ht="13.95" customHeight="1" x14ac:dyDescent="0.3">
      <c r="A18" s="20">
        <v>45674</v>
      </c>
      <c r="B18" s="19" t="s">
        <v>2073</v>
      </c>
      <c r="C18" s="19" t="s">
        <v>11</v>
      </c>
      <c r="D18" s="19" t="s">
        <v>14</v>
      </c>
      <c r="E18" s="4">
        <v>0.65</v>
      </c>
      <c r="F18" s="42">
        <v>2.2999999999999998</v>
      </c>
      <c r="G18" s="45">
        <v>350</v>
      </c>
      <c r="H18" s="22">
        <v>2.1</v>
      </c>
      <c r="I18" s="6">
        <f t="shared" si="2"/>
        <v>1098.825</v>
      </c>
      <c r="J18" s="6" t="s">
        <v>97</v>
      </c>
      <c r="K18" s="17"/>
    </row>
    <row r="19" spans="1:11" ht="13.95" customHeight="1" x14ac:dyDescent="0.3">
      <c r="A19" s="20">
        <v>45675</v>
      </c>
      <c r="B19" s="19" t="s">
        <v>2073</v>
      </c>
      <c r="C19" s="19" t="s">
        <v>13</v>
      </c>
      <c r="D19" s="19" t="s">
        <v>14</v>
      </c>
      <c r="E19" s="4">
        <v>0.8</v>
      </c>
      <c r="F19" s="42">
        <v>2.8</v>
      </c>
      <c r="G19" s="45">
        <v>350</v>
      </c>
      <c r="H19" s="22">
        <v>2.1</v>
      </c>
      <c r="I19" s="6">
        <f t="shared" si="2"/>
        <v>1646.4</v>
      </c>
      <c r="J19" s="6" t="s">
        <v>1464</v>
      </c>
      <c r="K19" s="17"/>
    </row>
    <row r="20" spans="1:11" ht="13.95" customHeight="1" x14ac:dyDescent="0.3">
      <c r="A20" s="20">
        <v>45676</v>
      </c>
      <c r="B20" s="19" t="s">
        <v>2073</v>
      </c>
      <c r="C20" s="19" t="s">
        <v>16</v>
      </c>
      <c r="D20" s="19" t="s">
        <v>14</v>
      </c>
      <c r="E20" s="4">
        <v>0.7</v>
      </c>
      <c r="F20" s="42">
        <v>2.4500000000000002</v>
      </c>
      <c r="G20" s="45">
        <v>350</v>
      </c>
      <c r="H20" s="22">
        <v>2.1</v>
      </c>
      <c r="I20" s="6">
        <f t="shared" si="2"/>
        <v>1260.5250000000001</v>
      </c>
      <c r="J20" s="6" t="s">
        <v>149</v>
      </c>
      <c r="K20" s="17"/>
    </row>
    <row r="21" spans="1:11" ht="13.95" customHeight="1" x14ac:dyDescent="0.3">
      <c r="A21" s="20">
        <v>45677</v>
      </c>
      <c r="B21" s="19" t="s">
        <v>2073</v>
      </c>
      <c r="C21" s="19" t="s">
        <v>18</v>
      </c>
      <c r="D21" s="19" t="s">
        <v>2015</v>
      </c>
      <c r="E21" s="4">
        <v>0.4</v>
      </c>
      <c r="F21" s="42">
        <v>1.8</v>
      </c>
      <c r="G21" s="45">
        <v>350</v>
      </c>
      <c r="H21" s="22">
        <v>2.1</v>
      </c>
      <c r="I21" s="6">
        <f t="shared" si="2"/>
        <v>529.20000000000005</v>
      </c>
      <c r="J21" s="6" t="s">
        <v>150</v>
      </c>
      <c r="K21" s="17"/>
    </row>
    <row r="22" spans="1:11" ht="13.95" customHeight="1" x14ac:dyDescent="0.3">
      <c r="A22" s="20">
        <v>45678</v>
      </c>
      <c r="B22" s="19" t="s">
        <v>2073</v>
      </c>
      <c r="C22" s="19" t="s">
        <v>20</v>
      </c>
      <c r="D22" s="19" t="s">
        <v>2015</v>
      </c>
      <c r="E22" s="4">
        <v>0.38</v>
      </c>
      <c r="F22" s="42">
        <v>1.8</v>
      </c>
      <c r="G22" s="45">
        <v>350</v>
      </c>
      <c r="H22" s="22">
        <v>2.1</v>
      </c>
      <c r="I22" s="6">
        <f t="shared" si="2"/>
        <v>502.74</v>
      </c>
      <c r="J22" s="6" t="s">
        <v>1472</v>
      </c>
      <c r="K22" s="17"/>
    </row>
    <row r="23" spans="1:11" ht="13.95" customHeight="1" x14ac:dyDescent="0.3">
      <c r="A23" s="20">
        <v>45679</v>
      </c>
      <c r="B23" s="19" t="s">
        <v>2073</v>
      </c>
      <c r="C23" s="19" t="s">
        <v>5</v>
      </c>
      <c r="D23" s="19" t="s">
        <v>2015</v>
      </c>
      <c r="E23" s="4">
        <v>0.4</v>
      </c>
      <c r="F23" s="42">
        <v>1.85</v>
      </c>
      <c r="G23" s="45">
        <v>350</v>
      </c>
      <c r="H23" s="22">
        <v>2.1</v>
      </c>
      <c r="I23" s="6">
        <f t="shared" si="2"/>
        <v>543.9</v>
      </c>
      <c r="J23" s="6" t="s">
        <v>150</v>
      </c>
      <c r="K23" s="17"/>
    </row>
    <row r="24" spans="1:11" ht="13.95" customHeight="1" x14ac:dyDescent="0.3">
      <c r="A24" s="20">
        <v>45680</v>
      </c>
      <c r="B24" s="19" t="s">
        <v>2073</v>
      </c>
      <c r="C24" s="19" t="s">
        <v>8</v>
      </c>
      <c r="D24" s="19" t="s">
        <v>1263</v>
      </c>
      <c r="E24" s="4">
        <v>0.6</v>
      </c>
      <c r="F24" s="42">
        <v>2.15</v>
      </c>
      <c r="G24" s="45">
        <v>350</v>
      </c>
      <c r="H24" s="22">
        <v>2.1</v>
      </c>
      <c r="I24" s="6">
        <f t="shared" si="2"/>
        <v>948.15000000000009</v>
      </c>
      <c r="J24" s="6" t="s">
        <v>1410</v>
      </c>
      <c r="K24" s="17"/>
    </row>
    <row r="25" spans="1:11" ht="13.95" customHeight="1" x14ac:dyDescent="0.3">
      <c r="A25" s="20">
        <v>45681</v>
      </c>
      <c r="B25" s="19" t="s">
        <v>2073</v>
      </c>
      <c r="C25" s="19" t="s">
        <v>11</v>
      </c>
      <c r="D25" s="19" t="s">
        <v>658</v>
      </c>
      <c r="E25" s="4">
        <v>0.65</v>
      </c>
      <c r="F25" s="42">
        <v>2.35</v>
      </c>
      <c r="G25" s="45">
        <v>350</v>
      </c>
      <c r="H25" s="22">
        <v>2.1</v>
      </c>
      <c r="I25" s="6">
        <f t="shared" si="2"/>
        <v>1122.7125000000001</v>
      </c>
      <c r="J25" s="6" t="s">
        <v>2017</v>
      </c>
      <c r="K25" s="17"/>
    </row>
    <row r="26" spans="1:11" ht="13.95" customHeight="1" x14ac:dyDescent="0.3">
      <c r="A26" s="20">
        <v>45682</v>
      </c>
      <c r="B26" s="19" t="s">
        <v>2073</v>
      </c>
      <c r="C26" s="19" t="s">
        <v>13</v>
      </c>
      <c r="D26" s="19" t="s">
        <v>658</v>
      </c>
      <c r="E26" s="4">
        <v>0.9</v>
      </c>
      <c r="F26" s="42">
        <v>2.9</v>
      </c>
      <c r="G26" s="45">
        <v>350</v>
      </c>
      <c r="H26" s="22">
        <v>2.1</v>
      </c>
      <c r="I26" s="6">
        <f t="shared" si="2"/>
        <v>1918.3500000000001</v>
      </c>
      <c r="J26" s="6" t="s">
        <v>1830</v>
      </c>
      <c r="K26" s="17"/>
    </row>
    <row r="27" spans="1:11" ht="13.95" customHeight="1" x14ac:dyDescent="0.3">
      <c r="A27" s="20">
        <v>45683</v>
      </c>
      <c r="B27" s="19" t="s">
        <v>2073</v>
      </c>
      <c r="C27" s="19" t="s">
        <v>16</v>
      </c>
      <c r="D27" s="19" t="s">
        <v>658</v>
      </c>
      <c r="E27" s="4">
        <v>0.85</v>
      </c>
      <c r="F27" s="42">
        <v>2.6</v>
      </c>
      <c r="G27" s="45">
        <v>350</v>
      </c>
      <c r="H27" s="22">
        <v>2.1</v>
      </c>
      <c r="I27" s="6">
        <f t="shared" si="2"/>
        <v>1624.3500000000001</v>
      </c>
      <c r="J27" s="6" t="s">
        <v>1275</v>
      </c>
      <c r="K27" s="17"/>
    </row>
    <row r="28" spans="1:11" ht="13.95" customHeight="1" x14ac:dyDescent="0.3">
      <c r="A28" s="20">
        <v>45684</v>
      </c>
      <c r="B28" s="19" t="s">
        <v>2073</v>
      </c>
      <c r="C28" s="19" t="s">
        <v>18</v>
      </c>
      <c r="D28" s="19" t="s">
        <v>658</v>
      </c>
      <c r="E28" s="4">
        <v>0.75</v>
      </c>
      <c r="F28" s="42">
        <v>2.2999999999999998</v>
      </c>
      <c r="G28" s="45">
        <v>350</v>
      </c>
      <c r="H28" s="22">
        <v>2.1</v>
      </c>
      <c r="I28" s="6">
        <f t="shared" si="2"/>
        <v>1267.875</v>
      </c>
      <c r="J28" s="6" t="s">
        <v>91</v>
      </c>
      <c r="K28" s="17"/>
    </row>
    <row r="29" spans="1:11" ht="13.95" customHeight="1" x14ac:dyDescent="0.3">
      <c r="A29" s="20">
        <v>45685</v>
      </c>
      <c r="B29" s="19" t="s">
        <v>2073</v>
      </c>
      <c r="C29" s="19" t="s">
        <v>20</v>
      </c>
      <c r="D29" s="19" t="s">
        <v>658</v>
      </c>
      <c r="E29" s="4">
        <v>0.7</v>
      </c>
      <c r="F29" s="42">
        <v>2.25</v>
      </c>
      <c r="G29" s="45">
        <v>350</v>
      </c>
      <c r="H29" s="22">
        <v>2.1</v>
      </c>
      <c r="I29" s="6">
        <f t="shared" si="2"/>
        <v>1157.6249999999998</v>
      </c>
      <c r="J29" s="6" t="s">
        <v>717</v>
      </c>
      <c r="K29" s="17"/>
    </row>
    <row r="30" spans="1:11" ht="13.95" customHeight="1" x14ac:dyDescent="0.3">
      <c r="A30" s="20">
        <v>45686</v>
      </c>
      <c r="B30" s="19" t="s">
        <v>2073</v>
      </c>
      <c r="C30" s="19" t="s">
        <v>5</v>
      </c>
      <c r="D30" s="19" t="s">
        <v>658</v>
      </c>
      <c r="E30" s="4">
        <v>0.7</v>
      </c>
      <c r="F30" s="42">
        <v>2.25</v>
      </c>
      <c r="G30" s="45">
        <v>350</v>
      </c>
      <c r="H30" s="22">
        <v>2.1</v>
      </c>
      <c r="I30" s="6">
        <f t="shared" si="2"/>
        <v>1157.6249999999998</v>
      </c>
      <c r="J30" s="6" t="s">
        <v>717</v>
      </c>
      <c r="K30" s="17"/>
    </row>
    <row r="31" spans="1:11" ht="13.95" customHeight="1" x14ac:dyDescent="0.3">
      <c r="A31" s="20">
        <v>45687</v>
      </c>
      <c r="B31" s="19" t="s">
        <v>2073</v>
      </c>
      <c r="C31" s="19" t="s">
        <v>8</v>
      </c>
      <c r="D31" s="19" t="s">
        <v>658</v>
      </c>
      <c r="E31" s="4">
        <v>0.75</v>
      </c>
      <c r="F31" s="42">
        <v>2.2999999999999998</v>
      </c>
      <c r="G31" s="45">
        <v>350</v>
      </c>
      <c r="H31" s="22">
        <v>2.1</v>
      </c>
      <c r="I31" s="6">
        <f t="shared" si="2"/>
        <v>1267.875</v>
      </c>
      <c r="J31" s="6" t="s">
        <v>82</v>
      </c>
      <c r="K31" s="17"/>
    </row>
    <row r="32" spans="1:11" ht="13.95" customHeight="1" x14ac:dyDescent="0.3">
      <c r="A32" s="20">
        <v>45688</v>
      </c>
      <c r="B32" s="19" t="s">
        <v>2073</v>
      </c>
      <c r="C32" s="19" t="s">
        <v>11</v>
      </c>
      <c r="D32" s="19" t="s">
        <v>658</v>
      </c>
      <c r="E32" s="4">
        <v>0.85</v>
      </c>
      <c r="F32" s="42">
        <v>2.4500000000000002</v>
      </c>
      <c r="G32" s="45">
        <v>350</v>
      </c>
      <c r="H32" s="22">
        <v>2.1</v>
      </c>
      <c r="I32" s="6">
        <f t="shared" si="2"/>
        <v>1530.6375</v>
      </c>
      <c r="J32" s="6" t="s">
        <v>99</v>
      </c>
      <c r="K32" s="17"/>
    </row>
    <row r="33" spans="1:11" ht="13.95" customHeight="1" x14ac:dyDescent="0.3">
      <c r="A33" s="20">
        <v>45689</v>
      </c>
      <c r="B33" s="19" t="s">
        <v>2073</v>
      </c>
      <c r="C33" s="19" t="s">
        <v>13</v>
      </c>
      <c r="D33" s="19" t="s">
        <v>658</v>
      </c>
      <c r="E33" s="4">
        <v>0.9</v>
      </c>
      <c r="F33" s="42">
        <v>3</v>
      </c>
      <c r="G33" s="45">
        <v>350</v>
      </c>
      <c r="H33" s="22">
        <v>2.1</v>
      </c>
      <c r="I33" s="6">
        <f t="shared" si="2"/>
        <v>1984.5</v>
      </c>
      <c r="J33" s="6" t="s">
        <v>2018</v>
      </c>
      <c r="K33" s="17"/>
    </row>
    <row r="34" spans="1:11" ht="13.95" customHeight="1" x14ac:dyDescent="0.3">
      <c r="A34" s="20">
        <v>45690</v>
      </c>
      <c r="B34" s="19" t="s">
        <v>2073</v>
      </c>
      <c r="C34" s="19" t="s">
        <v>16</v>
      </c>
      <c r="D34" s="19" t="s">
        <v>658</v>
      </c>
      <c r="E34" s="4">
        <v>0.75</v>
      </c>
      <c r="F34" s="42">
        <v>2.4500000000000002</v>
      </c>
      <c r="G34" s="45">
        <v>350</v>
      </c>
      <c r="H34" s="22">
        <v>2.1</v>
      </c>
      <c r="I34" s="6">
        <f t="shared" si="2"/>
        <v>1350.5625</v>
      </c>
      <c r="J34" s="6" t="s">
        <v>1275</v>
      </c>
      <c r="K34" s="17"/>
    </row>
    <row r="35" spans="1:11" ht="13.95" customHeight="1" x14ac:dyDescent="0.3">
      <c r="A35" s="20">
        <v>45691</v>
      </c>
      <c r="B35" s="19" t="s">
        <v>2073</v>
      </c>
      <c r="C35" s="19" t="s">
        <v>18</v>
      </c>
      <c r="D35" s="19" t="s">
        <v>1259</v>
      </c>
      <c r="E35" s="4">
        <v>0.4</v>
      </c>
      <c r="F35" s="42">
        <v>1.85</v>
      </c>
      <c r="G35" s="45">
        <v>350</v>
      </c>
      <c r="H35" s="22">
        <v>2.1</v>
      </c>
      <c r="I35" s="6">
        <f t="shared" si="2"/>
        <v>543.9</v>
      </c>
      <c r="J35" s="6" t="s">
        <v>2019</v>
      </c>
      <c r="K35" s="17"/>
    </row>
    <row r="36" spans="1:11" ht="13.95" customHeight="1" x14ac:dyDescent="0.3">
      <c r="A36" s="20">
        <v>45692</v>
      </c>
      <c r="B36" s="19" t="s">
        <v>2073</v>
      </c>
      <c r="C36" s="19" t="s">
        <v>20</v>
      </c>
      <c r="D36" s="19" t="s">
        <v>1259</v>
      </c>
      <c r="E36" s="4">
        <v>0.35</v>
      </c>
      <c r="F36" s="42">
        <v>1.8</v>
      </c>
      <c r="G36" s="45">
        <v>350</v>
      </c>
      <c r="H36" s="22">
        <v>2.1</v>
      </c>
      <c r="I36" s="6">
        <f t="shared" si="2"/>
        <v>463.04999999999995</v>
      </c>
      <c r="J36" s="6" t="s">
        <v>150</v>
      </c>
      <c r="K36" s="17"/>
    </row>
    <row r="37" spans="1:11" ht="13.95" customHeight="1" x14ac:dyDescent="0.3">
      <c r="A37" s="20">
        <v>45693</v>
      </c>
      <c r="B37" s="19" t="s">
        <v>2073</v>
      </c>
      <c r="C37" s="19" t="s">
        <v>5</v>
      </c>
      <c r="D37" s="19" t="s">
        <v>1259</v>
      </c>
      <c r="E37" s="4">
        <v>0.35</v>
      </c>
      <c r="F37" s="42">
        <v>1.8</v>
      </c>
      <c r="G37" s="45">
        <v>350</v>
      </c>
      <c r="H37" s="22">
        <v>2.1</v>
      </c>
      <c r="I37" s="6">
        <f t="shared" si="2"/>
        <v>463.04999999999995</v>
      </c>
      <c r="J37" s="6" t="s">
        <v>150</v>
      </c>
      <c r="K37" s="17"/>
    </row>
    <row r="38" spans="1:11" ht="13.95" customHeight="1" x14ac:dyDescent="0.3">
      <c r="A38" s="20">
        <v>45694</v>
      </c>
      <c r="B38" s="19" t="s">
        <v>2073</v>
      </c>
      <c r="C38" s="19" t="s">
        <v>8</v>
      </c>
      <c r="D38" s="19" t="s">
        <v>1263</v>
      </c>
      <c r="E38" s="4">
        <v>0.55000000000000004</v>
      </c>
      <c r="F38" s="42">
        <v>2.1</v>
      </c>
      <c r="G38" s="45">
        <v>350</v>
      </c>
      <c r="H38" s="22">
        <v>2.1</v>
      </c>
      <c r="I38" s="6">
        <f t="shared" si="2"/>
        <v>848.92500000000018</v>
      </c>
      <c r="J38" s="6" t="s">
        <v>1852</v>
      </c>
      <c r="K38" s="17"/>
    </row>
    <row r="39" spans="1:11" ht="13.95" customHeight="1" x14ac:dyDescent="0.3">
      <c r="A39" s="20">
        <v>45695</v>
      </c>
      <c r="B39" s="19" t="s">
        <v>2073</v>
      </c>
      <c r="C39" s="19" t="s">
        <v>11</v>
      </c>
      <c r="D39" s="19" t="s">
        <v>14</v>
      </c>
      <c r="E39" s="4">
        <v>0.65</v>
      </c>
      <c r="F39" s="42">
        <v>2.2999999999999998</v>
      </c>
      <c r="G39" s="45">
        <v>350</v>
      </c>
      <c r="H39" s="22">
        <v>2.1</v>
      </c>
      <c r="I39" s="6">
        <f t="shared" si="2"/>
        <v>1098.825</v>
      </c>
      <c r="J39" s="6" t="s">
        <v>390</v>
      </c>
      <c r="K39" s="17"/>
    </row>
    <row r="40" spans="1:11" ht="13.95" customHeight="1" x14ac:dyDescent="0.3">
      <c r="A40" s="20">
        <v>45696</v>
      </c>
      <c r="B40" s="19" t="s">
        <v>2073</v>
      </c>
      <c r="C40" s="19" t="s">
        <v>13</v>
      </c>
      <c r="D40" s="19" t="s">
        <v>14</v>
      </c>
      <c r="E40" s="4">
        <v>0.8</v>
      </c>
      <c r="F40" s="42">
        <v>2.8</v>
      </c>
      <c r="G40" s="45">
        <v>350</v>
      </c>
      <c r="H40" s="22">
        <v>2.1</v>
      </c>
      <c r="I40" s="6">
        <f t="shared" si="2"/>
        <v>1646.4</v>
      </c>
      <c r="J40" s="6" t="s">
        <v>1916</v>
      </c>
      <c r="K40" s="17"/>
    </row>
    <row r="41" spans="1:11" ht="13.95" customHeight="1" x14ac:dyDescent="0.3">
      <c r="A41" s="20">
        <v>45697</v>
      </c>
      <c r="B41" s="19" t="s">
        <v>2073</v>
      </c>
      <c r="C41" s="19" t="s">
        <v>16</v>
      </c>
      <c r="D41" s="19" t="s">
        <v>14</v>
      </c>
      <c r="E41" s="4">
        <v>0.7</v>
      </c>
      <c r="F41" s="42">
        <v>2.4</v>
      </c>
      <c r="G41" s="45">
        <v>350</v>
      </c>
      <c r="H41" s="22">
        <v>2.1</v>
      </c>
      <c r="I41" s="6">
        <f t="shared" si="2"/>
        <v>1234.7999999999997</v>
      </c>
      <c r="J41" s="6" t="s">
        <v>149</v>
      </c>
      <c r="K41" s="17"/>
    </row>
    <row r="42" spans="1:11" ht="13.95" customHeight="1" x14ac:dyDescent="0.3">
      <c r="A42" s="20">
        <v>45698</v>
      </c>
      <c r="B42" s="19" t="s">
        <v>2073</v>
      </c>
      <c r="C42" s="19" t="s">
        <v>18</v>
      </c>
      <c r="D42" s="19" t="s">
        <v>1259</v>
      </c>
      <c r="E42" s="4">
        <v>0.35</v>
      </c>
      <c r="F42" s="42">
        <v>1.8</v>
      </c>
      <c r="G42" s="45">
        <v>350</v>
      </c>
      <c r="H42" s="22">
        <v>2.1</v>
      </c>
      <c r="I42" s="6">
        <f t="shared" si="2"/>
        <v>463.04999999999995</v>
      </c>
      <c r="J42" s="6" t="s">
        <v>2020</v>
      </c>
      <c r="K42" s="17"/>
    </row>
    <row r="43" spans="1:11" ht="13.95" customHeight="1" x14ac:dyDescent="0.3">
      <c r="A43" s="20">
        <v>45699</v>
      </c>
      <c r="B43" s="19" t="s">
        <v>2073</v>
      </c>
      <c r="C43" s="19" t="s">
        <v>20</v>
      </c>
      <c r="D43" s="19" t="s">
        <v>1259</v>
      </c>
      <c r="E43" s="4">
        <v>0.35</v>
      </c>
      <c r="F43" s="42">
        <v>1.8</v>
      </c>
      <c r="G43" s="45">
        <v>350</v>
      </c>
      <c r="H43" s="22">
        <v>2.1</v>
      </c>
      <c r="I43" s="6">
        <f t="shared" si="2"/>
        <v>463.04999999999995</v>
      </c>
      <c r="J43" s="6" t="s">
        <v>2020</v>
      </c>
      <c r="K43" s="17"/>
    </row>
    <row r="44" spans="1:11" ht="13.95" customHeight="1" x14ac:dyDescent="0.3">
      <c r="A44" s="20">
        <v>45700</v>
      </c>
      <c r="B44" s="19" t="s">
        <v>2073</v>
      </c>
      <c r="C44" s="19" t="s">
        <v>5</v>
      </c>
      <c r="D44" s="19" t="s">
        <v>1259</v>
      </c>
      <c r="E44" s="4">
        <v>0.4</v>
      </c>
      <c r="F44" s="42">
        <v>1.85</v>
      </c>
      <c r="G44" s="45">
        <v>350</v>
      </c>
      <c r="H44" s="22">
        <v>2.1</v>
      </c>
      <c r="I44" s="6">
        <f t="shared" si="2"/>
        <v>543.9</v>
      </c>
      <c r="J44" s="6" t="s">
        <v>1938</v>
      </c>
      <c r="K44" s="17"/>
    </row>
    <row r="45" spans="1:11" ht="13.95" customHeight="1" x14ac:dyDescent="0.3">
      <c r="A45" s="20">
        <v>45701</v>
      </c>
      <c r="B45" s="19" t="s">
        <v>2073</v>
      </c>
      <c r="C45" s="19" t="s">
        <v>8</v>
      </c>
      <c r="D45" s="19" t="s">
        <v>2021</v>
      </c>
      <c r="E45" s="4">
        <v>0.5</v>
      </c>
      <c r="F45" s="42">
        <v>2.0499999999999998</v>
      </c>
      <c r="G45" s="45">
        <v>350</v>
      </c>
      <c r="H45" s="22">
        <v>2.1</v>
      </c>
      <c r="I45" s="6">
        <f t="shared" si="2"/>
        <v>753.37499999999989</v>
      </c>
      <c r="J45" s="6" t="s">
        <v>1498</v>
      </c>
      <c r="K45" s="17"/>
    </row>
    <row r="46" spans="1:11" ht="13.95" customHeight="1" x14ac:dyDescent="0.3">
      <c r="A46" s="20">
        <v>45702</v>
      </c>
      <c r="B46" s="19" t="s">
        <v>2073</v>
      </c>
      <c r="C46" s="19" t="s">
        <v>11</v>
      </c>
      <c r="D46" s="19" t="s">
        <v>1939</v>
      </c>
      <c r="E46" s="4">
        <v>0.8</v>
      </c>
      <c r="F46" s="42">
        <v>2.9</v>
      </c>
      <c r="G46" s="45">
        <v>350</v>
      </c>
      <c r="H46" s="22">
        <v>2.1</v>
      </c>
      <c r="I46" s="6">
        <f t="shared" si="2"/>
        <v>1705.2</v>
      </c>
      <c r="J46" s="6" t="s">
        <v>2022</v>
      </c>
      <c r="K46" s="17"/>
    </row>
    <row r="47" spans="1:11" ht="13.95" customHeight="1" x14ac:dyDescent="0.3">
      <c r="A47" s="20">
        <v>45703</v>
      </c>
      <c r="B47" s="19" t="s">
        <v>2073</v>
      </c>
      <c r="C47" s="19" t="s">
        <v>13</v>
      </c>
      <c r="D47" s="19" t="s">
        <v>14</v>
      </c>
      <c r="E47" s="4">
        <v>0.95</v>
      </c>
      <c r="F47" s="42">
        <v>3.1</v>
      </c>
      <c r="G47" s="45">
        <v>350</v>
      </c>
      <c r="H47" s="22">
        <v>2.1</v>
      </c>
      <c r="I47" s="6">
        <f t="shared" si="2"/>
        <v>2164.5750000000003</v>
      </c>
      <c r="J47" s="6" t="s">
        <v>2023</v>
      </c>
      <c r="K47" s="17"/>
    </row>
    <row r="48" spans="1:11" ht="13.95" customHeight="1" x14ac:dyDescent="0.3">
      <c r="A48" s="20">
        <v>45704</v>
      </c>
      <c r="B48" s="19" t="s">
        <v>2073</v>
      </c>
      <c r="C48" s="19" t="s">
        <v>16</v>
      </c>
      <c r="D48" s="19" t="s">
        <v>14</v>
      </c>
      <c r="E48" s="4">
        <v>0.8</v>
      </c>
      <c r="F48" s="42">
        <v>2.5499999999999998</v>
      </c>
      <c r="G48" s="45">
        <v>350</v>
      </c>
      <c r="H48" s="22">
        <v>2.1</v>
      </c>
      <c r="I48" s="6">
        <f t="shared" si="2"/>
        <v>1499.4</v>
      </c>
      <c r="J48" s="6" t="s">
        <v>2024</v>
      </c>
      <c r="K48" s="17"/>
    </row>
    <row r="49" spans="1:11" ht="13.95" customHeight="1" x14ac:dyDescent="0.3">
      <c r="A49" s="20">
        <v>45705</v>
      </c>
      <c r="B49" s="19" t="s">
        <v>2073</v>
      </c>
      <c r="C49" s="19" t="s">
        <v>18</v>
      </c>
      <c r="D49" s="19" t="s">
        <v>1259</v>
      </c>
      <c r="E49" s="4">
        <v>0.35</v>
      </c>
      <c r="F49" s="42">
        <v>1.8</v>
      </c>
      <c r="G49" s="45">
        <v>350</v>
      </c>
      <c r="H49" s="22">
        <v>2.1</v>
      </c>
      <c r="I49" s="6">
        <f t="shared" si="2"/>
        <v>463.04999999999995</v>
      </c>
      <c r="J49" s="6" t="s">
        <v>150</v>
      </c>
      <c r="K49" s="17"/>
    </row>
    <row r="50" spans="1:11" ht="13.95" customHeight="1" x14ac:dyDescent="0.3">
      <c r="A50" s="20">
        <v>45706</v>
      </c>
      <c r="B50" s="19" t="s">
        <v>2073</v>
      </c>
      <c r="C50" s="19" t="s">
        <v>20</v>
      </c>
      <c r="D50" s="19" t="s">
        <v>1259</v>
      </c>
      <c r="E50" s="4">
        <v>0.32</v>
      </c>
      <c r="F50" s="42">
        <v>1.8</v>
      </c>
      <c r="G50" s="45">
        <v>350</v>
      </c>
      <c r="H50" s="22">
        <v>2.1</v>
      </c>
      <c r="I50" s="6">
        <f t="shared" si="2"/>
        <v>423.36</v>
      </c>
      <c r="J50" s="6" t="s">
        <v>2025</v>
      </c>
      <c r="K50" s="17"/>
    </row>
    <row r="51" spans="1:11" ht="13.95" customHeight="1" x14ac:dyDescent="0.3">
      <c r="A51" s="20">
        <v>45707</v>
      </c>
      <c r="B51" s="19" t="s">
        <v>2073</v>
      </c>
      <c r="C51" s="19" t="s">
        <v>5</v>
      </c>
      <c r="D51" s="19" t="s">
        <v>1259</v>
      </c>
      <c r="E51" s="4">
        <v>0.35</v>
      </c>
      <c r="F51" s="42">
        <v>1.85</v>
      </c>
      <c r="G51" s="45">
        <v>350</v>
      </c>
      <c r="H51" s="22">
        <v>2.1</v>
      </c>
      <c r="I51" s="6">
        <f t="shared" si="2"/>
        <v>475.91249999999997</v>
      </c>
      <c r="J51" s="6" t="s">
        <v>150</v>
      </c>
      <c r="K51" s="17"/>
    </row>
    <row r="52" spans="1:11" ht="13.95" customHeight="1" x14ac:dyDescent="0.3">
      <c r="A52" s="20">
        <v>45708</v>
      </c>
      <c r="B52" s="19" t="s">
        <v>2073</v>
      </c>
      <c r="C52" s="19" t="s">
        <v>8</v>
      </c>
      <c r="D52" s="19" t="s">
        <v>1263</v>
      </c>
      <c r="E52" s="4">
        <v>0.55000000000000004</v>
      </c>
      <c r="F52" s="42">
        <v>2.15</v>
      </c>
      <c r="G52" s="45">
        <v>350</v>
      </c>
      <c r="H52" s="22">
        <v>2.1</v>
      </c>
      <c r="I52" s="6">
        <f t="shared" si="2"/>
        <v>869.13750000000016</v>
      </c>
      <c r="J52" s="6" t="s">
        <v>1993</v>
      </c>
      <c r="K52" s="17"/>
    </row>
    <row r="53" spans="1:11" ht="13.95" customHeight="1" x14ac:dyDescent="0.3">
      <c r="A53" s="20">
        <v>45709</v>
      </c>
      <c r="B53" s="19" t="s">
        <v>2073</v>
      </c>
      <c r="C53" s="19" t="s">
        <v>11</v>
      </c>
      <c r="D53" s="19" t="s">
        <v>14</v>
      </c>
      <c r="E53" s="4">
        <v>0.6</v>
      </c>
      <c r="F53" s="42">
        <v>2.2999999999999998</v>
      </c>
      <c r="G53" s="45">
        <v>350</v>
      </c>
      <c r="H53" s="22">
        <v>2.1</v>
      </c>
      <c r="I53" s="6">
        <f t="shared" si="2"/>
        <v>1014.3</v>
      </c>
      <c r="J53" s="6" t="s">
        <v>97</v>
      </c>
      <c r="K53" s="17"/>
    </row>
    <row r="54" spans="1:11" ht="13.95" customHeight="1" x14ac:dyDescent="0.3">
      <c r="A54" s="20">
        <v>45710</v>
      </c>
      <c r="B54" s="19" t="s">
        <v>2073</v>
      </c>
      <c r="C54" s="19" t="s">
        <v>13</v>
      </c>
      <c r="D54" s="19" t="s">
        <v>14</v>
      </c>
      <c r="E54" s="4">
        <v>0.85</v>
      </c>
      <c r="F54" s="42">
        <v>2.95</v>
      </c>
      <c r="G54" s="45">
        <v>350</v>
      </c>
      <c r="H54" s="22">
        <v>2.1</v>
      </c>
      <c r="I54" s="6">
        <f t="shared" si="2"/>
        <v>1843.0125</v>
      </c>
      <c r="J54" s="6" t="s">
        <v>1715</v>
      </c>
      <c r="K54" s="17"/>
    </row>
    <row r="55" spans="1:11" ht="13.95" customHeight="1" x14ac:dyDescent="0.3">
      <c r="A55" s="20">
        <v>45711</v>
      </c>
      <c r="B55" s="19" t="s">
        <v>2073</v>
      </c>
      <c r="C55" s="19" t="s">
        <v>16</v>
      </c>
      <c r="D55" s="19" t="s">
        <v>14</v>
      </c>
      <c r="E55" s="4">
        <v>0.7</v>
      </c>
      <c r="F55" s="42">
        <v>2.4500000000000002</v>
      </c>
      <c r="G55" s="45">
        <v>350</v>
      </c>
      <c r="H55" s="22">
        <v>2.1</v>
      </c>
      <c r="I55" s="6">
        <f t="shared" si="2"/>
        <v>1260.5250000000001</v>
      </c>
      <c r="J55" s="6" t="s">
        <v>149</v>
      </c>
      <c r="K55" s="17"/>
    </row>
    <row r="56" spans="1:11" ht="13.95" customHeight="1" x14ac:dyDescent="0.3">
      <c r="A56" s="20">
        <v>45712</v>
      </c>
      <c r="B56" s="19" t="s">
        <v>2073</v>
      </c>
      <c r="C56" s="19" t="s">
        <v>18</v>
      </c>
      <c r="D56" s="19" t="s">
        <v>1259</v>
      </c>
      <c r="E56" s="4">
        <v>0.35</v>
      </c>
      <c r="F56" s="42">
        <v>1.8</v>
      </c>
      <c r="G56" s="45">
        <v>350</v>
      </c>
      <c r="H56" s="22">
        <v>2.1</v>
      </c>
      <c r="I56" s="6">
        <f t="shared" si="2"/>
        <v>463.04999999999995</v>
      </c>
      <c r="J56" s="6" t="s">
        <v>150</v>
      </c>
      <c r="K56" s="17"/>
    </row>
    <row r="57" spans="1:11" ht="13.95" customHeight="1" x14ac:dyDescent="0.3">
      <c r="A57" s="20">
        <v>45713</v>
      </c>
      <c r="B57" s="19" t="s">
        <v>2073</v>
      </c>
      <c r="C57" s="19" t="s">
        <v>20</v>
      </c>
      <c r="D57" s="19" t="s">
        <v>1259</v>
      </c>
      <c r="E57" s="4">
        <v>0.35</v>
      </c>
      <c r="F57" s="42">
        <v>1.8</v>
      </c>
      <c r="G57" s="45">
        <v>350</v>
      </c>
      <c r="H57" s="22">
        <v>2.1</v>
      </c>
      <c r="I57" s="6">
        <f t="shared" si="2"/>
        <v>463.04999999999995</v>
      </c>
      <c r="J57" s="6" t="s">
        <v>150</v>
      </c>
      <c r="K57" s="17"/>
    </row>
    <row r="58" spans="1:11" ht="13.95" customHeight="1" x14ac:dyDescent="0.3">
      <c r="A58" s="20">
        <v>45714</v>
      </c>
      <c r="B58" s="19" t="s">
        <v>2073</v>
      </c>
      <c r="C58" s="19" t="s">
        <v>5</v>
      </c>
      <c r="D58" s="19" t="s">
        <v>1259</v>
      </c>
      <c r="E58" s="4">
        <v>0.38</v>
      </c>
      <c r="F58" s="42">
        <v>1.85</v>
      </c>
      <c r="G58" s="45">
        <v>350</v>
      </c>
      <c r="H58" s="22">
        <v>2.1</v>
      </c>
      <c r="I58" s="6">
        <f t="shared" si="2"/>
        <v>516.70500000000004</v>
      </c>
      <c r="J58" s="6" t="s">
        <v>150</v>
      </c>
      <c r="K58" s="17"/>
    </row>
    <row r="59" spans="1:11" ht="13.95" customHeight="1" x14ac:dyDescent="0.3">
      <c r="A59" s="20">
        <v>45715</v>
      </c>
      <c r="B59" s="19" t="s">
        <v>2073</v>
      </c>
      <c r="C59" s="19" t="s">
        <v>8</v>
      </c>
      <c r="D59" s="19" t="s">
        <v>1263</v>
      </c>
      <c r="E59" s="4">
        <v>0.6</v>
      </c>
      <c r="F59" s="42">
        <v>2.15</v>
      </c>
      <c r="G59" s="45">
        <v>350</v>
      </c>
      <c r="H59" s="22">
        <v>2.1</v>
      </c>
      <c r="I59" s="6">
        <f t="shared" si="2"/>
        <v>948.15000000000009</v>
      </c>
      <c r="J59" s="6" t="s">
        <v>2026</v>
      </c>
      <c r="K59" s="17"/>
    </row>
    <row r="60" spans="1:11" ht="13.95" customHeight="1" x14ac:dyDescent="0.3">
      <c r="A60" s="20">
        <v>45716</v>
      </c>
      <c r="B60" s="19" t="s">
        <v>2073</v>
      </c>
      <c r="C60" s="19" t="s">
        <v>11</v>
      </c>
      <c r="D60" s="19" t="s">
        <v>1417</v>
      </c>
      <c r="E60" s="4">
        <v>0.65</v>
      </c>
      <c r="F60" s="42">
        <v>2.35</v>
      </c>
      <c r="G60" s="45">
        <v>350</v>
      </c>
      <c r="H60" s="22">
        <v>2.1</v>
      </c>
      <c r="I60" s="6">
        <f t="shared" si="2"/>
        <v>1122.7125000000001</v>
      </c>
      <c r="J60" s="6" t="s">
        <v>1944</v>
      </c>
      <c r="K60" s="17"/>
    </row>
    <row r="61" spans="1:11" ht="13.95" customHeight="1" x14ac:dyDescent="0.3">
      <c r="A61" s="20">
        <v>45717</v>
      </c>
      <c r="B61" s="19" t="s">
        <v>2073</v>
      </c>
      <c r="C61" s="19" t="s">
        <v>13</v>
      </c>
      <c r="D61" s="19" t="s">
        <v>708</v>
      </c>
      <c r="E61" s="4">
        <v>0.6</v>
      </c>
      <c r="F61" s="42">
        <v>2.8</v>
      </c>
      <c r="G61" s="45">
        <v>350</v>
      </c>
      <c r="H61" s="22">
        <v>2.1</v>
      </c>
      <c r="I61" s="6">
        <f t="shared" si="2"/>
        <v>1234.8</v>
      </c>
      <c r="J61" s="6" t="s">
        <v>2027</v>
      </c>
      <c r="K61" s="17"/>
    </row>
    <row r="62" spans="1:11" ht="13.95" customHeight="1" x14ac:dyDescent="0.3">
      <c r="A62" s="20">
        <v>45718</v>
      </c>
      <c r="B62" s="19" t="s">
        <v>2073</v>
      </c>
      <c r="C62" s="19" t="s">
        <v>16</v>
      </c>
      <c r="D62" s="19" t="s">
        <v>76</v>
      </c>
      <c r="E62" s="4">
        <v>0.5</v>
      </c>
      <c r="F62" s="42">
        <v>2.35</v>
      </c>
      <c r="G62" s="45">
        <v>350</v>
      </c>
      <c r="H62" s="22">
        <v>2.1</v>
      </c>
      <c r="I62" s="6">
        <f t="shared" si="2"/>
        <v>863.625</v>
      </c>
      <c r="J62" s="6" t="s">
        <v>1855</v>
      </c>
      <c r="K62" s="17"/>
    </row>
    <row r="63" spans="1:11" ht="13.95" customHeight="1" x14ac:dyDescent="0.3">
      <c r="A63" s="20">
        <v>45719</v>
      </c>
      <c r="B63" s="19" t="s">
        <v>2073</v>
      </c>
      <c r="C63" s="19" t="s">
        <v>18</v>
      </c>
      <c r="D63" s="19" t="s">
        <v>76</v>
      </c>
      <c r="E63" s="4">
        <v>0.3</v>
      </c>
      <c r="F63" s="42">
        <v>1.85</v>
      </c>
      <c r="G63" s="45">
        <v>350</v>
      </c>
      <c r="H63" s="22">
        <v>2.1</v>
      </c>
      <c r="I63" s="6">
        <f t="shared" si="2"/>
        <v>407.92500000000001</v>
      </c>
      <c r="J63" s="6" t="s">
        <v>1297</v>
      </c>
      <c r="K63" s="17"/>
    </row>
    <row r="64" spans="1:11" ht="13.95" customHeight="1" x14ac:dyDescent="0.3">
      <c r="A64" s="20">
        <v>45720</v>
      </c>
      <c r="B64" s="19" t="s">
        <v>2073</v>
      </c>
      <c r="C64" s="19" t="s">
        <v>20</v>
      </c>
      <c r="D64" s="19" t="s">
        <v>76</v>
      </c>
      <c r="E64" s="4">
        <v>0.3</v>
      </c>
      <c r="F64" s="42">
        <v>1.85</v>
      </c>
      <c r="G64" s="45">
        <v>350</v>
      </c>
      <c r="H64" s="22">
        <v>2.1</v>
      </c>
      <c r="I64" s="6">
        <f t="shared" si="2"/>
        <v>407.92500000000001</v>
      </c>
      <c r="J64" s="6" t="s">
        <v>1297</v>
      </c>
      <c r="K64" s="17"/>
    </row>
    <row r="65" spans="1:11" ht="13.95" customHeight="1" x14ac:dyDescent="0.3">
      <c r="A65" s="20">
        <v>45721</v>
      </c>
      <c r="B65" s="19" t="s">
        <v>2073</v>
      </c>
      <c r="C65" s="19" t="s">
        <v>5</v>
      </c>
      <c r="D65" s="19" t="s">
        <v>76</v>
      </c>
      <c r="E65" s="4">
        <v>0.35</v>
      </c>
      <c r="F65" s="42">
        <v>1.9</v>
      </c>
      <c r="G65" s="45">
        <v>350</v>
      </c>
      <c r="H65" s="22">
        <v>2.1</v>
      </c>
      <c r="I65" s="6">
        <f t="shared" si="2"/>
        <v>488.77499999999998</v>
      </c>
      <c r="J65" s="6" t="s">
        <v>2028</v>
      </c>
      <c r="K65" s="17"/>
    </row>
    <row r="66" spans="1:11" ht="13.95" customHeight="1" x14ac:dyDescent="0.3">
      <c r="A66" s="20">
        <v>45722</v>
      </c>
      <c r="B66" s="19" t="s">
        <v>2073</v>
      </c>
      <c r="C66" s="19" t="s">
        <v>8</v>
      </c>
      <c r="D66" s="19" t="s">
        <v>1263</v>
      </c>
      <c r="E66" s="4">
        <v>0.55000000000000004</v>
      </c>
      <c r="F66" s="42">
        <v>2.2000000000000002</v>
      </c>
      <c r="G66" s="45">
        <v>350</v>
      </c>
      <c r="H66" s="22">
        <v>2.1</v>
      </c>
      <c r="I66" s="6">
        <f t="shared" si="2"/>
        <v>889.35000000000025</v>
      </c>
      <c r="J66" s="6" t="s">
        <v>1856</v>
      </c>
      <c r="K66" s="17"/>
    </row>
    <row r="67" spans="1:11" ht="13.95" customHeight="1" x14ac:dyDescent="0.3">
      <c r="A67" s="20">
        <v>45723</v>
      </c>
      <c r="B67" s="19" t="s">
        <v>2073</v>
      </c>
      <c r="C67" s="19" t="s">
        <v>11</v>
      </c>
      <c r="D67" s="19" t="s">
        <v>14</v>
      </c>
      <c r="E67" s="4">
        <v>0.65</v>
      </c>
      <c r="F67" s="42">
        <v>2.4500000000000002</v>
      </c>
      <c r="G67" s="45">
        <v>350</v>
      </c>
      <c r="H67" s="22">
        <v>2.1</v>
      </c>
      <c r="I67" s="6">
        <f t="shared" si="2"/>
        <v>1170.4875</v>
      </c>
      <c r="J67" s="6" t="s">
        <v>1302</v>
      </c>
      <c r="K67" s="17"/>
    </row>
    <row r="68" spans="1:11" ht="13.95" customHeight="1" x14ac:dyDescent="0.3">
      <c r="A68" s="20">
        <v>45724</v>
      </c>
      <c r="B68" s="19" t="s">
        <v>2073</v>
      </c>
      <c r="C68" s="19" t="s">
        <v>13</v>
      </c>
      <c r="D68" s="19" t="s">
        <v>850</v>
      </c>
      <c r="E68" s="4">
        <v>0.85</v>
      </c>
      <c r="F68" s="42">
        <v>3.05</v>
      </c>
      <c r="G68" s="45">
        <v>350</v>
      </c>
      <c r="H68" s="22">
        <v>2.1</v>
      </c>
      <c r="I68" s="6">
        <f t="shared" si="2"/>
        <v>1905.4875000000002</v>
      </c>
      <c r="J68" s="6" t="s">
        <v>1946</v>
      </c>
      <c r="K68" s="17"/>
    </row>
    <row r="69" spans="1:11" ht="13.95" customHeight="1" x14ac:dyDescent="0.3">
      <c r="A69" s="20">
        <v>45725</v>
      </c>
      <c r="B69" s="19" t="s">
        <v>2073</v>
      </c>
      <c r="C69" s="19" t="s">
        <v>16</v>
      </c>
      <c r="D69" s="19" t="s">
        <v>76</v>
      </c>
      <c r="E69" s="4">
        <v>0.6</v>
      </c>
      <c r="F69" s="42">
        <v>2.5</v>
      </c>
      <c r="G69" s="45">
        <v>350</v>
      </c>
      <c r="H69" s="22">
        <v>2.1</v>
      </c>
      <c r="I69" s="6">
        <f t="shared" ref="I69:I132" si="3">(G69*E69)*F69*H69</f>
        <v>1102.5</v>
      </c>
      <c r="J69" s="6" t="s">
        <v>2029</v>
      </c>
      <c r="K69" s="17"/>
    </row>
    <row r="70" spans="1:11" ht="13.95" customHeight="1" x14ac:dyDescent="0.3">
      <c r="A70" s="20">
        <v>45726</v>
      </c>
      <c r="B70" s="19" t="s">
        <v>2073</v>
      </c>
      <c r="C70" s="19" t="s">
        <v>18</v>
      </c>
      <c r="D70" s="19" t="s">
        <v>76</v>
      </c>
      <c r="E70" s="4">
        <v>0.3</v>
      </c>
      <c r="F70" s="42">
        <v>1.85</v>
      </c>
      <c r="G70" s="45">
        <v>350</v>
      </c>
      <c r="H70" s="22">
        <v>2.1</v>
      </c>
      <c r="I70" s="6">
        <f t="shared" si="3"/>
        <v>407.92500000000001</v>
      </c>
      <c r="J70" s="6" t="s">
        <v>150</v>
      </c>
      <c r="K70" s="17"/>
    </row>
    <row r="71" spans="1:11" ht="13.95" customHeight="1" x14ac:dyDescent="0.3">
      <c r="A71" s="20">
        <v>45727</v>
      </c>
      <c r="B71" s="19" t="s">
        <v>2073</v>
      </c>
      <c r="C71" s="19" t="s">
        <v>20</v>
      </c>
      <c r="D71" s="19" t="s">
        <v>76</v>
      </c>
      <c r="E71" s="4">
        <v>0.3</v>
      </c>
      <c r="F71" s="42">
        <v>1.85</v>
      </c>
      <c r="G71" s="45">
        <v>350</v>
      </c>
      <c r="H71" s="22">
        <v>2.1</v>
      </c>
      <c r="I71" s="6">
        <f t="shared" si="3"/>
        <v>407.92500000000001</v>
      </c>
      <c r="J71" s="6" t="s">
        <v>150</v>
      </c>
      <c r="K71" s="17"/>
    </row>
    <row r="72" spans="1:11" ht="13.95" customHeight="1" x14ac:dyDescent="0.3">
      <c r="A72" s="20">
        <v>45728</v>
      </c>
      <c r="B72" s="19" t="s">
        <v>2073</v>
      </c>
      <c r="C72" s="19" t="s">
        <v>5</v>
      </c>
      <c r="D72" s="19" t="s">
        <v>76</v>
      </c>
      <c r="E72" s="4">
        <v>0.35</v>
      </c>
      <c r="F72" s="42">
        <v>1.9</v>
      </c>
      <c r="G72" s="45">
        <v>350</v>
      </c>
      <c r="H72" s="22">
        <v>2.1</v>
      </c>
      <c r="I72" s="6">
        <f t="shared" si="3"/>
        <v>488.77499999999998</v>
      </c>
      <c r="J72" s="6" t="s">
        <v>150</v>
      </c>
      <c r="K72" s="17"/>
    </row>
    <row r="73" spans="1:11" ht="13.95" customHeight="1" x14ac:dyDescent="0.3">
      <c r="A73" s="20">
        <v>45729</v>
      </c>
      <c r="B73" s="19" t="s">
        <v>2073</v>
      </c>
      <c r="C73" s="19" t="s">
        <v>8</v>
      </c>
      <c r="D73" s="19" t="s">
        <v>76</v>
      </c>
      <c r="E73" s="4">
        <v>0.45</v>
      </c>
      <c r="F73" s="42">
        <v>2.0499999999999998</v>
      </c>
      <c r="G73" s="45">
        <v>350</v>
      </c>
      <c r="H73" s="22">
        <v>2.1</v>
      </c>
      <c r="I73" s="6">
        <f t="shared" si="3"/>
        <v>678.03750000000002</v>
      </c>
      <c r="J73" s="6" t="s">
        <v>1948</v>
      </c>
      <c r="K73" s="17"/>
    </row>
    <row r="74" spans="1:11" ht="13.95" customHeight="1" x14ac:dyDescent="0.3">
      <c r="A74" s="20">
        <v>45730</v>
      </c>
      <c r="B74" s="19" t="s">
        <v>2073</v>
      </c>
      <c r="C74" s="19" t="s">
        <v>11</v>
      </c>
      <c r="D74" s="19" t="s">
        <v>14</v>
      </c>
      <c r="E74" s="4">
        <v>0.65</v>
      </c>
      <c r="F74" s="42">
        <v>2.5</v>
      </c>
      <c r="G74" s="45">
        <v>350</v>
      </c>
      <c r="H74" s="22">
        <v>2.1</v>
      </c>
      <c r="I74" s="6">
        <f t="shared" si="3"/>
        <v>1194.375</v>
      </c>
      <c r="J74" s="6" t="s">
        <v>1302</v>
      </c>
      <c r="K74" s="17"/>
    </row>
    <row r="75" spans="1:11" ht="13.95" customHeight="1" x14ac:dyDescent="0.3">
      <c r="A75" s="20">
        <v>45731</v>
      </c>
      <c r="B75" s="19" t="s">
        <v>2073</v>
      </c>
      <c r="C75" s="19" t="s">
        <v>13</v>
      </c>
      <c r="D75" s="19" t="s">
        <v>76</v>
      </c>
      <c r="E75" s="4">
        <v>0.8</v>
      </c>
      <c r="F75" s="42">
        <v>2.95</v>
      </c>
      <c r="G75" s="45">
        <v>350</v>
      </c>
      <c r="H75" s="22">
        <v>2.1</v>
      </c>
      <c r="I75" s="6">
        <f t="shared" si="3"/>
        <v>1734.6000000000001</v>
      </c>
      <c r="J75" s="6" t="s">
        <v>2030</v>
      </c>
      <c r="K75" s="17"/>
    </row>
    <row r="76" spans="1:11" ht="13.95" customHeight="1" x14ac:dyDescent="0.3">
      <c r="A76" s="20">
        <v>45732</v>
      </c>
      <c r="B76" s="19" t="s">
        <v>2073</v>
      </c>
      <c r="C76" s="19" t="s">
        <v>16</v>
      </c>
      <c r="D76" s="19" t="s">
        <v>76</v>
      </c>
      <c r="E76" s="4">
        <v>0.65</v>
      </c>
      <c r="F76" s="42">
        <v>2.4500000000000002</v>
      </c>
      <c r="G76" s="45">
        <v>350</v>
      </c>
      <c r="H76" s="22">
        <v>2.1</v>
      </c>
      <c r="I76" s="6">
        <f t="shared" si="3"/>
        <v>1170.4875</v>
      </c>
      <c r="J76" s="6" t="s">
        <v>2031</v>
      </c>
      <c r="K76" s="17"/>
    </row>
    <row r="77" spans="1:11" ht="13.95" customHeight="1" x14ac:dyDescent="0.3">
      <c r="A77" s="20">
        <v>45733</v>
      </c>
      <c r="B77" s="19" t="s">
        <v>2073</v>
      </c>
      <c r="C77" s="19" t="s">
        <v>18</v>
      </c>
      <c r="D77" s="19" t="s">
        <v>76</v>
      </c>
      <c r="E77" s="4">
        <v>0.35</v>
      </c>
      <c r="F77" s="42">
        <v>1.85</v>
      </c>
      <c r="G77" s="45">
        <v>350</v>
      </c>
      <c r="H77" s="22">
        <v>2.1</v>
      </c>
      <c r="I77" s="6">
        <f t="shared" si="3"/>
        <v>475.91249999999997</v>
      </c>
      <c r="J77" s="6" t="s">
        <v>150</v>
      </c>
      <c r="K77" s="17"/>
    </row>
    <row r="78" spans="1:11" ht="13.95" customHeight="1" x14ac:dyDescent="0.3">
      <c r="A78" s="20">
        <v>45734</v>
      </c>
      <c r="B78" s="19" t="s">
        <v>2073</v>
      </c>
      <c r="C78" s="19" t="s">
        <v>20</v>
      </c>
      <c r="D78" s="19" t="s">
        <v>76</v>
      </c>
      <c r="E78" s="4">
        <v>0.35</v>
      </c>
      <c r="F78" s="42">
        <v>1.85</v>
      </c>
      <c r="G78" s="45">
        <v>350</v>
      </c>
      <c r="H78" s="22">
        <v>2.1</v>
      </c>
      <c r="I78" s="6">
        <f t="shared" si="3"/>
        <v>475.91249999999997</v>
      </c>
      <c r="J78" s="6" t="s">
        <v>150</v>
      </c>
      <c r="K78" s="17"/>
    </row>
    <row r="79" spans="1:11" ht="13.95" customHeight="1" x14ac:dyDescent="0.3">
      <c r="A79" s="20">
        <v>45735</v>
      </c>
      <c r="B79" s="19" t="s">
        <v>2073</v>
      </c>
      <c r="C79" s="19" t="s">
        <v>5</v>
      </c>
      <c r="D79" s="19" t="s">
        <v>994</v>
      </c>
      <c r="E79" s="4">
        <v>0.55000000000000004</v>
      </c>
      <c r="F79" s="42">
        <v>2.2999999999999998</v>
      </c>
      <c r="G79" s="45">
        <v>350</v>
      </c>
      <c r="H79" s="22">
        <v>2.1</v>
      </c>
      <c r="I79" s="6">
        <f t="shared" si="3"/>
        <v>929.7750000000002</v>
      </c>
      <c r="J79" s="6" t="s">
        <v>1305</v>
      </c>
      <c r="K79" s="17"/>
    </row>
    <row r="80" spans="1:11" ht="13.95" customHeight="1" x14ac:dyDescent="0.3">
      <c r="A80" s="20">
        <v>45736</v>
      </c>
      <c r="B80" s="19" t="s">
        <v>2073</v>
      </c>
      <c r="C80" s="19" t="s">
        <v>8</v>
      </c>
      <c r="D80" s="19" t="s">
        <v>383</v>
      </c>
      <c r="E80" s="4">
        <v>0.75</v>
      </c>
      <c r="F80" s="42">
        <v>2.7</v>
      </c>
      <c r="G80" s="45">
        <v>350</v>
      </c>
      <c r="H80" s="22">
        <v>2.1</v>
      </c>
      <c r="I80" s="6">
        <f t="shared" si="3"/>
        <v>1488.375</v>
      </c>
      <c r="J80" s="6" t="s">
        <v>2032</v>
      </c>
      <c r="K80" s="17"/>
    </row>
    <row r="81" spans="1:11" ht="13.95" customHeight="1" x14ac:dyDescent="0.3">
      <c r="A81" s="20">
        <v>45737</v>
      </c>
      <c r="B81" s="19" t="s">
        <v>2073</v>
      </c>
      <c r="C81" s="19" t="s">
        <v>11</v>
      </c>
      <c r="D81" s="19" t="s">
        <v>14</v>
      </c>
      <c r="E81" s="4">
        <v>0.75</v>
      </c>
      <c r="F81" s="42">
        <v>2.5499999999999998</v>
      </c>
      <c r="G81" s="45">
        <v>350</v>
      </c>
      <c r="H81" s="22">
        <v>2.1</v>
      </c>
      <c r="I81" s="6">
        <f t="shared" si="3"/>
        <v>1405.6875</v>
      </c>
      <c r="J81" s="6" t="s">
        <v>1463</v>
      </c>
      <c r="K81" s="17"/>
    </row>
    <row r="82" spans="1:11" ht="13.95" customHeight="1" x14ac:dyDescent="0.3">
      <c r="A82" s="20">
        <v>45738</v>
      </c>
      <c r="B82" s="19" t="s">
        <v>2073</v>
      </c>
      <c r="C82" s="19" t="s">
        <v>13</v>
      </c>
      <c r="D82" s="19" t="s">
        <v>76</v>
      </c>
      <c r="E82" s="4">
        <v>0.85</v>
      </c>
      <c r="F82" s="42">
        <v>3.1</v>
      </c>
      <c r="G82" s="45">
        <v>350</v>
      </c>
      <c r="H82" s="22">
        <v>2.1</v>
      </c>
      <c r="I82" s="6">
        <f t="shared" si="3"/>
        <v>1936.7250000000001</v>
      </c>
      <c r="J82" s="6" t="s">
        <v>2033</v>
      </c>
      <c r="K82" s="17"/>
    </row>
    <row r="83" spans="1:11" ht="13.95" customHeight="1" x14ac:dyDescent="0.3">
      <c r="A83" s="20">
        <v>45739</v>
      </c>
      <c r="B83" s="19" t="s">
        <v>2073</v>
      </c>
      <c r="C83" s="19" t="s">
        <v>16</v>
      </c>
      <c r="D83" s="19" t="s">
        <v>76</v>
      </c>
      <c r="E83" s="4">
        <v>0.75</v>
      </c>
      <c r="F83" s="42">
        <v>2.5</v>
      </c>
      <c r="G83" s="45">
        <v>350</v>
      </c>
      <c r="H83" s="22">
        <v>2.1</v>
      </c>
      <c r="I83" s="6">
        <f t="shared" si="3"/>
        <v>1378.125</v>
      </c>
      <c r="J83" s="6" t="s">
        <v>2029</v>
      </c>
      <c r="K83" s="17"/>
    </row>
    <row r="84" spans="1:11" ht="13.95" customHeight="1" x14ac:dyDescent="0.3">
      <c r="A84" s="20">
        <v>45740</v>
      </c>
      <c r="B84" s="19" t="s">
        <v>2073</v>
      </c>
      <c r="C84" s="19" t="s">
        <v>18</v>
      </c>
      <c r="D84" s="19" t="s">
        <v>76</v>
      </c>
      <c r="E84" s="4">
        <v>0.4</v>
      </c>
      <c r="F84" s="42">
        <v>1.95</v>
      </c>
      <c r="G84" s="45">
        <v>350</v>
      </c>
      <c r="H84" s="22">
        <v>2.1</v>
      </c>
      <c r="I84" s="6">
        <f t="shared" si="3"/>
        <v>573.30000000000007</v>
      </c>
      <c r="J84" s="6" t="s">
        <v>150</v>
      </c>
      <c r="K84" s="17"/>
    </row>
    <row r="85" spans="1:11" ht="13.95" customHeight="1" x14ac:dyDescent="0.3">
      <c r="A85" s="20">
        <v>45741</v>
      </c>
      <c r="B85" s="19" t="s">
        <v>2073</v>
      </c>
      <c r="C85" s="19" t="s">
        <v>20</v>
      </c>
      <c r="D85" s="19" t="s">
        <v>76</v>
      </c>
      <c r="E85" s="4">
        <v>0.4</v>
      </c>
      <c r="F85" s="42">
        <v>1.95</v>
      </c>
      <c r="G85" s="45">
        <v>350</v>
      </c>
      <c r="H85" s="22">
        <v>2.1</v>
      </c>
      <c r="I85" s="6">
        <f t="shared" si="3"/>
        <v>573.30000000000007</v>
      </c>
      <c r="J85" s="6" t="s">
        <v>150</v>
      </c>
      <c r="K85" s="17"/>
    </row>
    <row r="86" spans="1:11" ht="13.95" customHeight="1" x14ac:dyDescent="0.3">
      <c r="A86" s="20">
        <v>45742</v>
      </c>
      <c r="B86" s="19" t="s">
        <v>2073</v>
      </c>
      <c r="C86" s="19" t="s">
        <v>5</v>
      </c>
      <c r="D86" s="19" t="s">
        <v>76</v>
      </c>
      <c r="E86" s="4">
        <v>0.5</v>
      </c>
      <c r="F86" s="42">
        <v>2.15</v>
      </c>
      <c r="G86" s="45">
        <v>350</v>
      </c>
      <c r="H86" s="22">
        <v>2.1</v>
      </c>
      <c r="I86" s="6">
        <f t="shared" si="3"/>
        <v>790.125</v>
      </c>
      <c r="J86" s="6" t="s">
        <v>1440</v>
      </c>
      <c r="K86" s="17"/>
    </row>
    <row r="87" spans="1:11" ht="13.95" customHeight="1" x14ac:dyDescent="0.3">
      <c r="A87" s="20">
        <v>45743</v>
      </c>
      <c r="B87" s="19" t="s">
        <v>2073</v>
      </c>
      <c r="C87" s="19" t="s">
        <v>8</v>
      </c>
      <c r="D87" s="19" t="s">
        <v>1760</v>
      </c>
      <c r="E87" s="4">
        <v>0.65</v>
      </c>
      <c r="F87" s="42">
        <v>2.4500000000000002</v>
      </c>
      <c r="G87" s="45">
        <v>350</v>
      </c>
      <c r="H87" s="22">
        <v>2.1</v>
      </c>
      <c r="I87" s="6">
        <f t="shared" si="3"/>
        <v>1170.4875</v>
      </c>
      <c r="J87" s="6" t="s">
        <v>1488</v>
      </c>
      <c r="K87" s="17"/>
    </row>
    <row r="88" spans="1:11" ht="13.95" customHeight="1" x14ac:dyDescent="0.3">
      <c r="A88" s="20">
        <v>45744</v>
      </c>
      <c r="B88" s="19" t="s">
        <v>2073</v>
      </c>
      <c r="C88" s="19" t="s">
        <v>11</v>
      </c>
      <c r="D88" s="19" t="s">
        <v>1310</v>
      </c>
      <c r="E88" s="4">
        <v>0.9</v>
      </c>
      <c r="F88" s="42">
        <v>3.15</v>
      </c>
      <c r="G88" s="45">
        <v>350</v>
      </c>
      <c r="H88" s="22">
        <v>2.1</v>
      </c>
      <c r="I88" s="6">
        <f t="shared" si="3"/>
        <v>2083.7249999999999</v>
      </c>
      <c r="J88" s="6" t="s">
        <v>2034</v>
      </c>
      <c r="K88" s="17"/>
    </row>
    <row r="89" spans="1:11" ht="13.95" customHeight="1" x14ac:dyDescent="0.3">
      <c r="A89" s="20">
        <v>45745</v>
      </c>
      <c r="B89" s="19" t="s">
        <v>2073</v>
      </c>
      <c r="C89" s="19" t="s">
        <v>13</v>
      </c>
      <c r="D89" s="19" t="s">
        <v>904</v>
      </c>
      <c r="E89" s="4">
        <v>0.95</v>
      </c>
      <c r="F89" s="42">
        <v>3.3</v>
      </c>
      <c r="G89" s="45">
        <v>350</v>
      </c>
      <c r="H89" s="22">
        <v>2.1</v>
      </c>
      <c r="I89" s="6">
        <f t="shared" si="3"/>
        <v>2304.2249999999999</v>
      </c>
      <c r="J89" s="6" t="s">
        <v>1763</v>
      </c>
      <c r="K89" s="17"/>
    </row>
    <row r="90" spans="1:11" ht="13.95" customHeight="1" x14ac:dyDescent="0.3">
      <c r="A90" s="20">
        <v>45746</v>
      </c>
      <c r="B90" s="19" t="s">
        <v>2073</v>
      </c>
      <c r="C90" s="19" t="s">
        <v>16</v>
      </c>
      <c r="D90" s="19" t="s">
        <v>574</v>
      </c>
      <c r="E90" s="4">
        <v>1</v>
      </c>
      <c r="F90" s="42">
        <v>3.55</v>
      </c>
      <c r="G90" s="45">
        <v>350</v>
      </c>
      <c r="H90" s="22">
        <v>2.1</v>
      </c>
      <c r="I90" s="6">
        <f t="shared" si="3"/>
        <v>2609.25</v>
      </c>
      <c r="J90" s="6" t="s">
        <v>1954</v>
      </c>
      <c r="K90" s="17"/>
    </row>
    <row r="91" spans="1:11" ht="13.95" customHeight="1" x14ac:dyDescent="0.3">
      <c r="A91" s="20">
        <v>45747</v>
      </c>
      <c r="B91" s="19" t="s">
        <v>2073</v>
      </c>
      <c r="C91" s="19" t="s">
        <v>18</v>
      </c>
      <c r="D91" s="19" t="s">
        <v>574</v>
      </c>
      <c r="E91" s="4">
        <v>0.9</v>
      </c>
      <c r="F91" s="42">
        <v>3.1</v>
      </c>
      <c r="G91" s="45">
        <v>350</v>
      </c>
      <c r="H91" s="22">
        <v>2.1</v>
      </c>
      <c r="I91" s="6">
        <f t="shared" si="3"/>
        <v>2050.65</v>
      </c>
      <c r="J91" s="6" t="s">
        <v>1426</v>
      </c>
      <c r="K91" s="17"/>
    </row>
    <row r="92" spans="1:11" ht="13.95" customHeight="1" x14ac:dyDescent="0.3">
      <c r="A92" s="20">
        <v>45748</v>
      </c>
      <c r="B92" s="19" t="s">
        <v>2073</v>
      </c>
      <c r="C92" s="19" t="s">
        <v>20</v>
      </c>
      <c r="D92" s="19" t="s">
        <v>1314</v>
      </c>
      <c r="E92" s="4">
        <v>0.65</v>
      </c>
      <c r="F92" s="42">
        <v>2.25</v>
      </c>
      <c r="G92" s="45">
        <v>350</v>
      </c>
      <c r="H92" s="22">
        <v>2.1</v>
      </c>
      <c r="I92" s="6">
        <f t="shared" si="3"/>
        <v>1074.9375</v>
      </c>
      <c r="J92" s="6" t="s">
        <v>1863</v>
      </c>
      <c r="K92" s="17"/>
    </row>
    <row r="93" spans="1:11" ht="13.95" customHeight="1" x14ac:dyDescent="0.3">
      <c r="A93" s="20">
        <v>45749</v>
      </c>
      <c r="B93" s="19" t="s">
        <v>2073</v>
      </c>
      <c r="C93" s="19" t="s">
        <v>5</v>
      </c>
      <c r="D93" s="19" t="s">
        <v>1925</v>
      </c>
      <c r="E93" s="4">
        <v>0.6</v>
      </c>
      <c r="F93" s="42">
        <v>2.15</v>
      </c>
      <c r="G93" s="45">
        <v>350</v>
      </c>
      <c r="H93" s="22">
        <v>2.1</v>
      </c>
      <c r="I93" s="6">
        <f t="shared" si="3"/>
        <v>948.15000000000009</v>
      </c>
      <c r="J93" s="6" t="s">
        <v>1956</v>
      </c>
      <c r="K93" s="17"/>
    </row>
    <row r="94" spans="1:11" ht="13.95" customHeight="1" x14ac:dyDescent="0.3">
      <c r="A94" s="20">
        <v>45750</v>
      </c>
      <c r="B94" s="19" t="s">
        <v>2073</v>
      </c>
      <c r="C94" s="19" t="s">
        <v>8</v>
      </c>
      <c r="D94" s="19" t="s">
        <v>1925</v>
      </c>
      <c r="E94" s="4">
        <v>0.65</v>
      </c>
      <c r="F94" s="42">
        <v>2.2000000000000002</v>
      </c>
      <c r="G94" s="45">
        <v>350</v>
      </c>
      <c r="H94" s="22">
        <v>2.1</v>
      </c>
      <c r="I94" s="6">
        <f t="shared" si="3"/>
        <v>1051.0500000000002</v>
      </c>
      <c r="J94" s="6" t="s">
        <v>1956</v>
      </c>
      <c r="K94" s="17"/>
    </row>
    <row r="95" spans="1:11" ht="13.95" customHeight="1" x14ac:dyDescent="0.3">
      <c r="A95" s="20">
        <v>45751</v>
      </c>
      <c r="B95" s="19" t="s">
        <v>2073</v>
      </c>
      <c r="C95" s="19" t="s">
        <v>11</v>
      </c>
      <c r="D95" s="19" t="s">
        <v>14</v>
      </c>
      <c r="E95" s="4">
        <v>0.7</v>
      </c>
      <c r="F95" s="42">
        <v>2.4</v>
      </c>
      <c r="G95" s="45">
        <v>350</v>
      </c>
      <c r="H95" s="22">
        <v>2.1</v>
      </c>
      <c r="I95" s="6">
        <f t="shared" si="3"/>
        <v>1234.7999999999997</v>
      </c>
      <c r="J95" s="6" t="s">
        <v>390</v>
      </c>
      <c r="K95" s="17"/>
    </row>
    <row r="96" spans="1:11" ht="13.95" customHeight="1" x14ac:dyDescent="0.3">
      <c r="A96" s="20">
        <v>45752</v>
      </c>
      <c r="B96" s="19" t="s">
        <v>2073</v>
      </c>
      <c r="C96" s="19" t="s">
        <v>13</v>
      </c>
      <c r="D96" s="19" t="s">
        <v>14</v>
      </c>
      <c r="E96" s="4">
        <v>0.85</v>
      </c>
      <c r="F96" s="42">
        <v>2.9</v>
      </c>
      <c r="G96" s="45">
        <v>350</v>
      </c>
      <c r="H96" s="22">
        <v>2.1</v>
      </c>
      <c r="I96" s="6">
        <f t="shared" si="3"/>
        <v>1811.7750000000001</v>
      </c>
      <c r="J96" s="6" t="s">
        <v>1346</v>
      </c>
      <c r="K96" s="17"/>
    </row>
    <row r="97" spans="1:11" ht="13.95" customHeight="1" x14ac:dyDescent="0.3">
      <c r="A97" s="20">
        <v>45753</v>
      </c>
      <c r="B97" s="19" t="s">
        <v>2073</v>
      </c>
      <c r="C97" s="19" t="s">
        <v>16</v>
      </c>
      <c r="D97" s="19" t="s">
        <v>14</v>
      </c>
      <c r="E97" s="4">
        <v>0.75</v>
      </c>
      <c r="F97" s="42">
        <v>2.5499999999999998</v>
      </c>
      <c r="G97" s="45">
        <v>350</v>
      </c>
      <c r="H97" s="22">
        <v>2.1</v>
      </c>
      <c r="I97" s="6">
        <f t="shared" si="3"/>
        <v>1405.6875</v>
      </c>
      <c r="J97" s="6" t="s">
        <v>139</v>
      </c>
      <c r="K97" s="17"/>
    </row>
    <row r="98" spans="1:11" ht="13.95" customHeight="1" x14ac:dyDescent="0.3">
      <c r="A98" s="20">
        <v>45754</v>
      </c>
      <c r="B98" s="19" t="s">
        <v>2073</v>
      </c>
      <c r="C98" s="19" t="s">
        <v>18</v>
      </c>
      <c r="D98" s="19" t="s">
        <v>1259</v>
      </c>
      <c r="E98" s="4">
        <v>0.45</v>
      </c>
      <c r="F98" s="42">
        <v>1.95</v>
      </c>
      <c r="G98" s="45">
        <v>350</v>
      </c>
      <c r="H98" s="22">
        <v>2.1</v>
      </c>
      <c r="I98" s="6">
        <f t="shared" si="3"/>
        <v>644.96249999999998</v>
      </c>
      <c r="J98" s="6" t="s">
        <v>1628</v>
      </c>
      <c r="K98" s="17"/>
    </row>
    <row r="99" spans="1:11" ht="13.95" customHeight="1" x14ac:dyDescent="0.3">
      <c r="A99" s="20">
        <v>45755</v>
      </c>
      <c r="B99" s="19" t="s">
        <v>2073</v>
      </c>
      <c r="C99" s="19" t="s">
        <v>20</v>
      </c>
      <c r="D99" s="19" t="s">
        <v>994</v>
      </c>
      <c r="E99" s="4">
        <v>0.6</v>
      </c>
      <c r="F99" s="42">
        <v>2.2000000000000002</v>
      </c>
      <c r="G99" s="45">
        <v>350</v>
      </c>
      <c r="H99" s="22">
        <v>2.1</v>
      </c>
      <c r="I99" s="6">
        <f t="shared" si="3"/>
        <v>970.20000000000016</v>
      </c>
      <c r="J99" s="6" t="s">
        <v>1510</v>
      </c>
      <c r="K99" s="17"/>
    </row>
    <row r="100" spans="1:11" ht="13.95" customHeight="1" x14ac:dyDescent="0.3">
      <c r="A100" s="20">
        <v>45756</v>
      </c>
      <c r="B100" s="19" t="s">
        <v>2073</v>
      </c>
      <c r="C100" s="19" t="s">
        <v>5</v>
      </c>
      <c r="D100" s="19" t="s">
        <v>1112</v>
      </c>
      <c r="E100" s="4">
        <v>0.75</v>
      </c>
      <c r="F100" s="42">
        <v>2.5</v>
      </c>
      <c r="G100" s="45">
        <v>350</v>
      </c>
      <c r="H100" s="22">
        <v>2.1</v>
      </c>
      <c r="I100" s="6">
        <f t="shared" si="3"/>
        <v>1378.125</v>
      </c>
      <c r="J100" s="6" t="s">
        <v>1876</v>
      </c>
      <c r="K100" s="17"/>
    </row>
    <row r="101" spans="1:11" ht="13.95" customHeight="1" x14ac:dyDescent="0.3">
      <c r="A101" s="20">
        <v>45757</v>
      </c>
      <c r="B101" s="19" t="s">
        <v>2073</v>
      </c>
      <c r="C101" s="19" t="s">
        <v>8</v>
      </c>
      <c r="D101" s="19" t="s">
        <v>1925</v>
      </c>
      <c r="E101" s="4">
        <v>0.65</v>
      </c>
      <c r="F101" s="42">
        <v>2.15</v>
      </c>
      <c r="G101" s="45">
        <v>350</v>
      </c>
      <c r="H101" s="22">
        <v>2.1</v>
      </c>
      <c r="I101" s="6">
        <f t="shared" si="3"/>
        <v>1027.1625000000001</v>
      </c>
      <c r="J101" s="6" t="s">
        <v>2035</v>
      </c>
      <c r="K101" s="17"/>
    </row>
    <row r="102" spans="1:11" ht="13.95" customHeight="1" x14ac:dyDescent="0.3">
      <c r="A102" s="20">
        <v>45758</v>
      </c>
      <c r="B102" s="19" t="s">
        <v>2073</v>
      </c>
      <c r="C102" s="19" t="s">
        <v>11</v>
      </c>
      <c r="D102" s="19" t="s">
        <v>14</v>
      </c>
      <c r="E102" s="4">
        <v>0.7</v>
      </c>
      <c r="F102" s="42">
        <v>2.4</v>
      </c>
      <c r="G102" s="45">
        <v>350</v>
      </c>
      <c r="H102" s="22">
        <v>2.1</v>
      </c>
      <c r="I102" s="6">
        <f t="shared" si="3"/>
        <v>1234.7999999999997</v>
      </c>
      <c r="J102" s="6" t="s">
        <v>97</v>
      </c>
      <c r="K102" s="17"/>
    </row>
    <row r="103" spans="1:11" ht="13.95" customHeight="1" x14ac:dyDescent="0.3">
      <c r="A103" s="20">
        <v>45759</v>
      </c>
      <c r="B103" s="19" t="s">
        <v>2073</v>
      </c>
      <c r="C103" s="19" t="s">
        <v>13</v>
      </c>
      <c r="D103" s="19" t="s">
        <v>14</v>
      </c>
      <c r="E103" s="4">
        <v>0.9</v>
      </c>
      <c r="F103" s="42">
        <v>3</v>
      </c>
      <c r="G103" s="45">
        <v>350</v>
      </c>
      <c r="H103" s="22">
        <v>2.1</v>
      </c>
      <c r="I103" s="6">
        <f t="shared" si="3"/>
        <v>1984.5</v>
      </c>
      <c r="J103" s="6" t="s">
        <v>2036</v>
      </c>
      <c r="K103" s="17"/>
    </row>
    <row r="104" spans="1:11" ht="13.95" customHeight="1" x14ac:dyDescent="0.3">
      <c r="A104" s="20">
        <v>45760</v>
      </c>
      <c r="B104" s="19" t="s">
        <v>2073</v>
      </c>
      <c r="C104" s="19" t="s">
        <v>16</v>
      </c>
      <c r="D104" s="19" t="s">
        <v>14</v>
      </c>
      <c r="E104" s="4">
        <v>0.8</v>
      </c>
      <c r="F104" s="42">
        <v>2.6</v>
      </c>
      <c r="G104" s="45">
        <v>350</v>
      </c>
      <c r="H104" s="22">
        <v>2.1</v>
      </c>
      <c r="I104" s="6">
        <f t="shared" si="3"/>
        <v>1528.8</v>
      </c>
      <c r="J104" s="6" t="s">
        <v>149</v>
      </c>
      <c r="K104" s="17"/>
    </row>
    <row r="105" spans="1:11" ht="13.95" customHeight="1" x14ac:dyDescent="0.3">
      <c r="A105" s="20">
        <v>45761</v>
      </c>
      <c r="B105" s="19" t="s">
        <v>2073</v>
      </c>
      <c r="C105" s="19" t="s">
        <v>18</v>
      </c>
      <c r="D105" s="19" t="s">
        <v>658</v>
      </c>
      <c r="E105" s="4">
        <v>0.65</v>
      </c>
      <c r="F105" s="42">
        <v>2.2999999999999998</v>
      </c>
      <c r="G105" s="45">
        <v>350</v>
      </c>
      <c r="H105" s="22">
        <v>2.1</v>
      </c>
      <c r="I105" s="6">
        <f t="shared" si="3"/>
        <v>1098.825</v>
      </c>
      <c r="J105" s="6" t="s">
        <v>596</v>
      </c>
      <c r="K105" s="17"/>
    </row>
    <row r="106" spans="1:11" ht="13.95" customHeight="1" x14ac:dyDescent="0.3">
      <c r="A106" s="20">
        <v>45762</v>
      </c>
      <c r="B106" s="19" t="s">
        <v>2073</v>
      </c>
      <c r="C106" s="19" t="s">
        <v>20</v>
      </c>
      <c r="D106" s="19" t="s">
        <v>658</v>
      </c>
      <c r="E106" s="4">
        <v>0.7</v>
      </c>
      <c r="F106" s="42">
        <v>2.35</v>
      </c>
      <c r="G106" s="45">
        <v>350</v>
      </c>
      <c r="H106" s="22">
        <v>2.1</v>
      </c>
      <c r="I106" s="6">
        <f t="shared" si="3"/>
        <v>1209.075</v>
      </c>
      <c r="J106" s="6" t="s">
        <v>2037</v>
      </c>
      <c r="K106" s="17"/>
    </row>
    <row r="107" spans="1:11" ht="13.95" customHeight="1" x14ac:dyDescent="0.3">
      <c r="A107" s="20">
        <v>45763</v>
      </c>
      <c r="B107" s="19" t="s">
        <v>2073</v>
      </c>
      <c r="C107" s="19" t="s">
        <v>5</v>
      </c>
      <c r="D107" s="19" t="s">
        <v>658</v>
      </c>
      <c r="E107" s="4">
        <v>0.7</v>
      </c>
      <c r="F107" s="42">
        <v>2.35</v>
      </c>
      <c r="G107" s="45">
        <v>350</v>
      </c>
      <c r="H107" s="22">
        <v>2.1</v>
      </c>
      <c r="I107" s="6">
        <f t="shared" si="3"/>
        <v>1209.075</v>
      </c>
      <c r="J107" s="6" t="s">
        <v>717</v>
      </c>
      <c r="K107" s="17"/>
    </row>
    <row r="108" spans="1:11" ht="13.95" customHeight="1" x14ac:dyDescent="0.3">
      <c r="A108" s="20">
        <v>45764</v>
      </c>
      <c r="B108" s="19" t="s">
        <v>2073</v>
      </c>
      <c r="C108" s="19" t="s">
        <v>8</v>
      </c>
      <c r="D108" s="19" t="s">
        <v>658</v>
      </c>
      <c r="E108" s="4">
        <v>0.75</v>
      </c>
      <c r="F108" s="42">
        <v>2.4</v>
      </c>
      <c r="G108" s="45">
        <v>350</v>
      </c>
      <c r="H108" s="22">
        <v>2.1</v>
      </c>
      <c r="I108" s="6">
        <f t="shared" si="3"/>
        <v>1323</v>
      </c>
      <c r="J108" s="6" t="s">
        <v>717</v>
      </c>
      <c r="K108" s="17"/>
    </row>
    <row r="109" spans="1:11" ht="13.95" customHeight="1" x14ac:dyDescent="0.3">
      <c r="A109" s="20">
        <v>45765</v>
      </c>
      <c r="B109" s="19" t="s">
        <v>2073</v>
      </c>
      <c r="C109" s="19" t="s">
        <v>11</v>
      </c>
      <c r="D109" s="19" t="s">
        <v>1564</v>
      </c>
      <c r="E109" s="4">
        <v>0.8</v>
      </c>
      <c r="F109" s="42">
        <v>2.5499999999999998</v>
      </c>
      <c r="G109" s="45">
        <v>350</v>
      </c>
      <c r="H109" s="22">
        <v>2.1</v>
      </c>
      <c r="I109" s="6">
        <f t="shared" si="3"/>
        <v>1499.4</v>
      </c>
      <c r="J109" s="6" t="s">
        <v>1962</v>
      </c>
      <c r="K109" s="17"/>
    </row>
    <row r="110" spans="1:11" ht="13.95" customHeight="1" x14ac:dyDescent="0.3">
      <c r="A110" s="20">
        <v>45766</v>
      </c>
      <c r="B110" s="19" t="s">
        <v>2073</v>
      </c>
      <c r="C110" s="19" t="s">
        <v>13</v>
      </c>
      <c r="D110" s="19" t="s">
        <v>1564</v>
      </c>
      <c r="E110" s="4">
        <v>0.95</v>
      </c>
      <c r="F110" s="42">
        <v>3.15</v>
      </c>
      <c r="G110" s="45">
        <v>350</v>
      </c>
      <c r="H110" s="22">
        <v>2.1</v>
      </c>
      <c r="I110" s="6">
        <f t="shared" si="3"/>
        <v>2199.4875000000002</v>
      </c>
      <c r="J110" s="6" t="s">
        <v>2038</v>
      </c>
      <c r="K110" s="17"/>
    </row>
    <row r="111" spans="1:11" ht="13.95" customHeight="1" x14ac:dyDescent="0.3">
      <c r="A111" s="20">
        <v>45767</v>
      </c>
      <c r="B111" s="19" t="s">
        <v>2073</v>
      </c>
      <c r="C111" s="19" t="s">
        <v>16</v>
      </c>
      <c r="D111" s="19" t="s">
        <v>905</v>
      </c>
      <c r="E111" s="4">
        <v>0.95</v>
      </c>
      <c r="F111" s="42">
        <v>3.2</v>
      </c>
      <c r="G111" s="45">
        <v>350</v>
      </c>
      <c r="H111" s="22">
        <v>2.1</v>
      </c>
      <c r="I111" s="6">
        <f t="shared" si="3"/>
        <v>2234.4</v>
      </c>
      <c r="J111" s="6" t="s">
        <v>1963</v>
      </c>
      <c r="K111" s="17"/>
    </row>
    <row r="112" spans="1:11" ht="13.95" customHeight="1" x14ac:dyDescent="0.3">
      <c r="A112" s="20">
        <v>45768</v>
      </c>
      <c r="B112" s="19" t="s">
        <v>2073</v>
      </c>
      <c r="C112" s="19" t="s">
        <v>18</v>
      </c>
      <c r="D112" s="19" t="s">
        <v>658</v>
      </c>
      <c r="E112" s="4">
        <v>0.75</v>
      </c>
      <c r="F112" s="42">
        <v>2.4500000000000002</v>
      </c>
      <c r="G112" s="45">
        <v>350</v>
      </c>
      <c r="H112" s="22">
        <v>2.1</v>
      </c>
      <c r="I112" s="6">
        <f t="shared" si="3"/>
        <v>1350.5625</v>
      </c>
      <c r="J112" s="6" t="s">
        <v>1721</v>
      </c>
      <c r="K112" s="17"/>
    </row>
    <row r="113" spans="1:11" ht="13.95" customHeight="1" x14ac:dyDescent="0.3">
      <c r="A113" s="20">
        <v>45769</v>
      </c>
      <c r="B113" s="19" t="s">
        <v>2073</v>
      </c>
      <c r="C113" s="19" t="s">
        <v>20</v>
      </c>
      <c r="D113" s="19" t="s">
        <v>658</v>
      </c>
      <c r="E113" s="4">
        <v>0.7</v>
      </c>
      <c r="F113" s="42">
        <v>2.35</v>
      </c>
      <c r="G113" s="45">
        <v>350</v>
      </c>
      <c r="H113" s="22">
        <v>2.1</v>
      </c>
      <c r="I113" s="6">
        <f t="shared" si="3"/>
        <v>1209.075</v>
      </c>
      <c r="J113" s="6" t="s">
        <v>1840</v>
      </c>
      <c r="K113" s="17"/>
    </row>
    <row r="114" spans="1:11" ht="13.95" customHeight="1" x14ac:dyDescent="0.3">
      <c r="A114" s="20">
        <v>45770</v>
      </c>
      <c r="B114" s="19" t="s">
        <v>2073</v>
      </c>
      <c r="C114" s="19" t="s">
        <v>5</v>
      </c>
      <c r="D114" s="19" t="s">
        <v>1259</v>
      </c>
      <c r="E114" s="4">
        <v>0.5</v>
      </c>
      <c r="F114" s="42">
        <v>2</v>
      </c>
      <c r="G114" s="45">
        <v>350</v>
      </c>
      <c r="H114" s="22">
        <v>2.1</v>
      </c>
      <c r="I114" s="6">
        <f t="shared" si="3"/>
        <v>735</v>
      </c>
      <c r="J114" s="6" t="s">
        <v>150</v>
      </c>
      <c r="K114" s="17"/>
    </row>
    <row r="115" spans="1:11" ht="13.95" customHeight="1" x14ac:dyDescent="0.3">
      <c r="A115" s="20">
        <v>45771</v>
      </c>
      <c r="B115" s="19" t="s">
        <v>2073</v>
      </c>
      <c r="C115" s="19" t="s">
        <v>8</v>
      </c>
      <c r="D115" s="19" t="s">
        <v>1263</v>
      </c>
      <c r="E115" s="4">
        <v>0.6</v>
      </c>
      <c r="F115" s="42">
        <v>2.15</v>
      </c>
      <c r="G115" s="45">
        <v>350</v>
      </c>
      <c r="H115" s="22">
        <v>2.1</v>
      </c>
      <c r="I115" s="6">
        <f t="shared" si="3"/>
        <v>948.15000000000009</v>
      </c>
      <c r="J115" s="6" t="s">
        <v>1814</v>
      </c>
      <c r="K115" s="17"/>
    </row>
    <row r="116" spans="1:11" ht="13.95" customHeight="1" x14ac:dyDescent="0.3">
      <c r="A116" s="20">
        <v>45772</v>
      </c>
      <c r="B116" s="19" t="s">
        <v>2073</v>
      </c>
      <c r="C116" s="19" t="s">
        <v>11</v>
      </c>
      <c r="D116" s="19" t="s">
        <v>14</v>
      </c>
      <c r="E116" s="4">
        <v>0.7</v>
      </c>
      <c r="F116" s="42">
        <v>2.4</v>
      </c>
      <c r="G116" s="45">
        <v>350</v>
      </c>
      <c r="H116" s="22">
        <v>2.1</v>
      </c>
      <c r="I116" s="6">
        <f t="shared" si="3"/>
        <v>1234.7999999999997</v>
      </c>
      <c r="J116" s="6" t="s">
        <v>97</v>
      </c>
      <c r="K116" s="17"/>
    </row>
    <row r="117" spans="1:11" ht="13.95" customHeight="1" x14ac:dyDescent="0.3">
      <c r="A117" s="20">
        <v>45773</v>
      </c>
      <c r="B117" s="19" t="s">
        <v>2073</v>
      </c>
      <c r="C117" s="19" t="s">
        <v>13</v>
      </c>
      <c r="D117" s="19" t="s">
        <v>14</v>
      </c>
      <c r="E117" s="4">
        <v>0.85</v>
      </c>
      <c r="F117" s="42">
        <v>3</v>
      </c>
      <c r="G117" s="45">
        <v>350</v>
      </c>
      <c r="H117" s="22">
        <v>2.1</v>
      </c>
      <c r="I117" s="6">
        <f t="shared" si="3"/>
        <v>1874.25</v>
      </c>
      <c r="J117" s="6" t="s">
        <v>1875</v>
      </c>
      <c r="K117" s="17"/>
    </row>
    <row r="118" spans="1:11" ht="13.95" customHeight="1" x14ac:dyDescent="0.3">
      <c r="A118" s="20">
        <v>45774</v>
      </c>
      <c r="B118" s="19" t="s">
        <v>2073</v>
      </c>
      <c r="C118" s="19" t="s">
        <v>16</v>
      </c>
      <c r="D118" s="19" t="s">
        <v>14</v>
      </c>
      <c r="E118" s="4">
        <v>0.75</v>
      </c>
      <c r="F118" s="42">
        <v>2.5499999999999998</v>
      </c>
      <c r="G118" s="45">
        <v>350</v>
      </c>
      <c r="H118" s="22">
        <v>2.1</v>
      </c>
      <c r="I118" s="6">
        <f t="shared" si="3"/>
        <v>1405.6875</v>
      </c>
      <c r="J118" s="6" t="s">
        <v>149</v>
      </c>
      <c r="K118" s="17"/>
    </row>
    <row r="119" spans="1:11" ht="13.95" customHeight="1" x14ac:dyDescent="0.3">
      <c r="A119" s="20">
        <v>45775</v>
      </c>
      <c r="B119" s="19" t="s">
        <v>2073</v>
      </c>
      <c r="C119" s="19" t="s">
        <v>18</v>
      </c>
      <c r="D119" s="19" t="s">
        <v>1259</v>
      </c>
      <c r="E119" s="4">
        <v>0.45</v>
      </c>
      <c r="F119" s="42">
        <v>1.95</v>
      </c>
      <c r="G119" s="45">
        <v>350</v>
      </c>
      <c r="H119" s="22">
        <v>2.1</v>
      </c>
      <c r="I119" s="6">
        <f t="shared" si="3"/>
        <v>644.96249999999998</v>
      </c>
      <c r="J119" s="6" t="s">
        <v>150</v>
      </c>
      <c r="K119" s="17"/>
    </row>
    <row r="120" spans="1:11" ht="13.95" customHeight="1" x14ac:dyDescent="0.3">
      <c r="A120" s="20">
        <v>45776</v>
      </c>
      <c r="B120" s="19" t="s">
        <v>2073</v>
      </c>
      <c r="C120" s="19" t="s">
        <v>20</v>
      </c>
      <c r="D120" s="19" t="s">
        <v>1259</v>
      </c>
      <c r="E120" s="4">
        <v>0.45</v>
      </c>
      <c r="F120" s="42">
        <v>1.95</v>
      </c>
      <c r="G120" s="45">
        <v>350</v>
      </c>
      <c r="H120" s="22">
        <v>2.1</v>
      </c>
      <c r="I120" s="6">
        <f t="shared" si="3"/>
        <v>644.96249999999998</v>
      </c>
      <c r="J120" s="6" t="s">
        <v>150</v>
      </c>
      <c r="K120" s="17"/>
    </row>
    <row r="121" spans="1:11" ht="13.95" customHeight="1" x14ac:dyDescent="0.3">
      <c r="A121" s="20">
        <v>45777</v>
      </c>
      <c r="B121" s="19" t="s">
        <v>2073</v>
      </c>
      <c r="C121" s="19" t="s">
        <v>5</v>
      </c>
      <c r="D121" s="19" t="s">
        <v>994</v>
      </c>
      <c r="E121" s="4">
        <v>0.6</v>
      </c>
      <c r="F121" s="42">
        <v>2.25</v>
      </c>
      <c r="G121" s="45">
        <v>350</v>
      </c>
      <c r="H121" s="22">
        <v>2.1</v>
      </c>
      <c r="I121" s="6">
        <f t="shared" si="3"/>
        <v>992.25</v>
      </c>
      <c r="J121" s="6" t="s">
        <v>1438</v>
      </c>
      <c r="K121" s="17"/>
    </row>
    <row r="122" spans="1:11" ht="13.95" customHeight="1" x14ac:dyDescent="0.3">
      <c r="A122" s="20">
        <v>45778</v>
      </c>
      <c r="B122" s="19" t="s">
        <v>2073</v>
      </c>
      <c r="C122" s="19" t="s">
        <v>8</v>
      </c>
      <c r="D122" s="19" t="s">
        <v>742</v>
      </c>
      <c r="E122" s="4">
        <v>0.85</v>
      </c>
      <c r="F122" s="42">
        <v>2.75</v>
      </c>
      <c r="G122" s="45">
        <v>350</v>
      </c>
      <c r="H122" s="22">
        <v>2.2000000000000002</v>
      </c>
      <c r="I122" s="6">
        <f t="shared" si="3"/>
        <v>1799.8750000000002</v>
      </c>
      <c r="J122" s="6" t="s">
        <v>1876</v>
      </c>
      <c r="K122" s="17"/>
    </row>
    <row r="123" spans="1:11" ht="13.95" customHeight="1" x14ac:dyDescent="0.3">
      <c r="A123" s="20">
        <v>45779</v>
      </c>
      <c r="B123" s="19" t="s">
        <v>2073</v>
      </c>
      <c r="C123" s="19" t="s">
        <v>11</v>
      </c>
      <c r="D123" s="19" t="s">
        <v>1518</v>
      </c>
      <c r="E123" s="4">
        <v>0.75</v>
      </c>
      <c r="F123" s="42">
        <v>2.4500000000000002</v>
      </c>
      <c r="G123" s="45">
        <v>350</v>
      </c>
      <c r="H123" s="22">
        <v>2.2000000000000002</v>
      </c>
      <c r="I123" s="6">
        <f t="shared" si="3"/>
        <v>1414.8750000000002</v>
      </c>
      <c r="J123" s="6" t="s">
        <v>197</v>
      </c>
      <c r="K123" s="17"/>
    </row>
    <row r="124" spans="1:11" ht="13.95" customHeight="1" x14ac:dyDescent="0.3">
      <c r="A124" s="20">
        <v>45780</v>
      </c>
      <c r="B124" s="19" t="s">
        <v>2073</v>
      </c>
      <c r="C124" s="19" t="s">
        <v>13</v>
      </c>
      <c r="D124" s="19" t="s">
        <v>14</v>
      </c>
      <c r="E124" s="4">
        <v>0.95</v>
      </c>
      <c r="F124" s="42">
        <v>3.1</v>
      </c>
      <c r="G124" s="45">
        <v>350</v>
      </c>
      <c r="H124" s="22">
        <v>2.2000000000000002</v>
      </c>
      <c r="I124" s="6">
        <f t="shared" si="3"/>
        <v>2267.65</v>
      </c>
      <c r="J124" s="6" t="s">
        <v>1675</v>
      </c>
      <c r="K124" s="17"/>
    </row>
    <row r="125" spans="1:11" ht="13.95" customHeight="1" x14ac:dyDescent="0.3">
      <c r="A125" s="20">
        <v>45781</v>
      </c>
      <c r="B125" s="19" t="s">
        <v>2073</v>
      </c>
      <c r="C125" s="19" t="s">
        <v>16</v>
      </c>
      <c r="D125" s="19" t="s">
        <v>14</v>
      </c>
      <c r="E125" s="4">
        <v>0.8</v>
      </c>
      <c r="F125" s="42">
        <v>2.65</v>
      </c>
      <c r="G125" s="45">
        <v>350</v>
      </c>
      <c r="H125" s="22">
        <v>2.2000000000000002</v>
      </c>
      <c r="I125" s="6">
        <f t="shared" si="3"/>
        <v>1632.4</v>
      </c>
      <c r="J125" s="6" t="s">
        <v>238</v>
      </c>
      <c r="K125" s="17"/>
    </row>
    <row r="126" spans="1:11" ht="13.95" customHeight="1" x14ac:dyDescent="0.3">
      <c r="A126" s="20">
        <v>45782</v>
      </c>
      <c r="B126" s="19" t="s">
        <v>2073</v>
      </c>
      <c r="C126" s="19" t="s">
        <v>18</v>
      </c>
      <c r="D126" s="19" t="s">
        <v>1340</v>
      </c>
      <c r="E126" s="4">
        <v>0.6</v>
      </c>
      <c r="F126" s="42">
        <v>2.1</v>
      </c>
      <c r="G126" s="45">
        <v>350</v>
      </c>
      <c r="H126" s="22">
        <v>2.2000000000000002</v>
      </c>
      <c r="I126" s="6">
        <f t="shared" si="3"/>
        <v>970.2</v>
      </c>
      <c r="J126" s="6" t="s">
        <v>2039</v>
      </c>
      <c r="K126" s="17"/>
    </row>
    <row r="127" spans="1:11" ht="13.95" customHeight="1" x14ac:dyDescent="0.3">
      <c r="A127" s="20">
        <v>45783</v>
      </c>
      <c r="B127" s="19" t="s">
        <v>2073</v>
      </c>
      <c r="C127" s="19" t="s">
        <v>20</v>
      </c>
      <c r="D127" s="19" t="s">
        <v>1340</v>
      </c>
      <c r="E127" s="4">
        <v>0.6</v>
      </c>
      <c r="F127" s="42">
        <v>2.1</v>
      </c>
      <c r="G127" s="45">
        <v>350</v>
      </c>
      <c r="H127" s="22">
        <v>2.2000000000000002</v>
      </c>
      <c r="I127" s="6">
        <f t="shared" si="3"/>
        <v>970.2</v>
      </c>
      <c r="J127" s="6" t="s">
        <v>2039</v>
      </c>
      <c r="K127" s="17"/>
    </row>
    <row r="128" spans="1:11" ht="13.95" customHeight="1" x14ac:dyDescent="0.3">
      <c r="A128" s="20">
        <v>45784</v>
      </c>
      <c r="B128" s="19" t="s">
        <v>2073</v>
      </c>
      <c r="C128" s="19" t="s">
        <v>5</v>
      </c>
      <c r="D128" s="19" t="s">
        <v>1340</v>
      </c>
      <c r="E128" s="4">
        <v>0.55000000000000004</v>
      </c>
      <c r="F128" s="42">
        <v>2.0499999999999998</v>
      </c>
      <c r="G128" s="45">
        <v>350</v>
      </c>
      <c r="H128" s="22">
        <v>2.2000000000000002</v>
      </c>
      <c r="I128" s="6">
        <f t="shared" si="3"/>
        <v>868.17500000000007</v>
      </c>
      <c r="J128" s="6" t="s">
        <v>603</v>
      </c>
      <c r="K128" s="17"/>
    </row>
    <row r="129" spans="1:11" ht="13.95" customHeight="1" x14ac:dyDescent="0.3">
      <c r="A129" s="20">
        <v>45785</v>
      </c>
      <c r="B129" s="19" t="s">
        <v>2073</v>
      </c>
      <c r="C129" s="19" t="s">
        <v>8</v>
      </c>
      <c r="D129" s="19" t="s">
        <v>1340</v>
      </c>
      <c r="E129" s="4">
        <v>0.6</v>
      </c>
      <c r="F129" s="42">
        <v>2.1</v>
      </c>
      <c r="G129" s="45">
        <v>350</v>
      </c>
      <c r="H129" s="22">
        <v>2.2000000000000002</v>
      </c>
      <c r="I129" s="6">
        <f t="shared" si="3"/>
        <v>970.2</v>
      </c>
      <c r="J129" s="6" t="s">
        <v>2040</v>
      </c>
      <c r="K129" s="17"/>
    </row>
    <row r="130" spans="1:11" ht="13.95" customHeight="1" x14ac:dyDescent="0.3">
      <c r="A130" s="20">
        <v>45786</v>
      </c>
      <c r="B130" s="19" t="s">
        <v>2073</v>
      </c>
      <c r="C130" s="19" t="s">
        <v>11</v>
      </c>
      <c r="D130" s="19" t="s">
        <v>14</v>
      </c>
      <c r="E130" s="4">
        <v>0.75</v>
      </c>
      <c r="F130" s="42">
        <v>2.4</v>
      </c>
      <c r="G130" s="45">
        <v>350</v>
      </c>
      <c r="H130" s="22">
        <v>2.2000000000000002</v>
      </c>
      <c r="I130" s="6">
        <f t="shared" si="3"/>
        <v>1386</v>
      </c>
      <c r="J130" s="6" t="s">
        <v>97</v>
      </c>
      <c r="K130" s="17"/>
    </row>
    <row r="131" spans="1:11" ht="13.95" customHeight="1" x14ac:dyDescent="0.3">
      <c r="A131" s="20">
        <v>45787</v>
      </c>
      <c r="B131" s="19" t="s">
        <v>2073</v>
      </c>
      <c r="C131" s="19" t="s">
        <v>13</v>
      </c>
      <c r="D131" s="19" t="s">
        <v>14</v>
      </c>
      <c r="E131" s="4">
        <v>1</v>
      </c>
      <c r="F131" s="42">
        <v>3.3</v>
      </c>
      <c r="G131" s="45">
        <v>350</v>
      </c>
      <c r="H131" s="22">
        <v>2.2000000000000002</v>
      </c>
      <c r="I131" s="6">
        <f t="shared" si="3"/>
        <v>2541</v>
      </c>
      <c r="J131" s="6" t="s">
        <v>2041</v>
      </c>
      <c r="K131" s="17"/>
    </row>
    <row r="132" spans="1:11" ht="13.95" customHeight="1" x14ac:dyDescent="0.3">
      <c r="A132" s="20">
        <v>45788</v>
      </c>
      <c r="B132" s="19" t="s">
        <v>2073</v>
      </c>
      <c r="C132" s="19" t="s">
        <v>16</v>
      </c>
      <c r="D132" s="19" t="s">
        <v>14</v>
      </c>
      <c r="E132" s="4">
        <v>0.9</v>
      </c>
      <c r="F132" s="42">
        <v>2.85</v>
      </c>
      <c r="G132" s="45">
        <v>350</v>
      </c>
      <c r="H132" s="22">
        <v>2.2000000000000002</v>
      </c>
      <c r="I132" s="6">
        <f t="shared" si="3"/>
        <v>1975.0500000000002</v>
      </c>
      <c r="J132" s="6" t="s">
        <v>2042</v>
      </c>
      <c r="K132" s="17"/>
    </row>
    <row r="133" spans="1:11" ht="13.95" customHeight="1" x14ac:dyDescent="0.3">
      <c r="A133" s="20">
        <v>45789</v>
      </c>
      <c r="B133" s="19" t="s">
        <v>2073</v>
      </c>
      <c r="C133" s="19" t="s">
        <v>18</v>
      </c>
      <c r="D133" s="19" t="s">
        <v>1340</v>
      </c>
      <c r="E133" s="4">
        <v>0.55000000000000004</v>
      </c>
      <c r="F133" s="42">
        <v>2</v>
      </c>
      <c r="G133" s="45">
        <v>350</v>
      </c>
      <c r="H133" s="22">
        <v>2.2000000000000002</v>
      </c>
      <c r="I133" s="6">
        <f t="shared" ref="I133:I153" si="4">(G133*E133)*F133*H133</f>
        <v>847.00000000000023</v>
      </c>
      <c r="J133" s="6" t="s">
        <v>1628</v>
      </c>
      <c r="K133" s="17"/>
    </row>
    <row r="134" spans="1:11" ht="13.95" customHeight="1" x14ac:dyDescent="0.3">
      <c r="A134" s="20">
        <v>45790</v>
      </c>
      <c r="B134" s="19" t="s">
        <v>2073</v>
      </c>
      <c r="C134" s="19" t="s">
        <v>20</v>
      </c>
      <c r="D134" s="19" t="s">
        <v>1340</v>
      </c>
      <c r="E134" s="4">
        <v>0.6</v>
      </c>
      <c r="F134" s="42">
        <v>2.0499999999999998</v>
      </c>
      <c r="G134" s="45">
        <v>350</v>
      </c>
      <c r="H134" s="22">
        <v>2.2000000000000002</v>
      </c>
      <c r="I134" s="6">
        <f t="shared" si="4"/>
        <v>947.09999999999991</v>
      </c>
      <c r="J134" s="6" t="s">
        <v>717</v>
      </c>
      <c r="K134" s="17"/>
    </row>
    <row r="135" spans="1:11" ht="13.95" customHeight="1" x14ac:dyDescent="0.3">
      <c r="A135" s="20">
        <v>45791</v>
      </c>
      <c r="B135" s="19" t="s">
        <v>2073</v>
      </c>
      <c r="C135" s="19" t="s">
        <v>5</v>
      </c>
      <c r="D135" s="19" t="s">
        <v>1340</v>
      </c>
      <c r="E135" s="4">
        <v>0.65</v>
      </c>
      <c r="F135" s="42">
        <v>2.1</v>
      </c>
      <c r="G135" s="45">
        <v>350</v>
      </c>
      <c r="H135" s="22">
        <v>2.2000000000000002</v>
      </c>
      <c r="I135" s="6">
        <f t="shared" si="4"/>
        <v>1051.0500000000002</v>
      </c>
      <c r="J135" s="6" t="s">
        <v>717</v>
      </c>
      <c r="K135" s="17"/>
    </row>
    <row r="136" spans="1:11" ht="13.95" customHeight="1" x14ac:dyDescent="0.3">
      <c r="A136" s="20">
        <v>45792</v>
      </c>
      <c r="B136" s="19" t="s">
        <v>2073</v>
      </c>
      <c r="C136" s="19" t="s">
        <v>8</v>
      </c>
      <c r="D136" s="19" t="s">
        <v>1263</v>
      </c>
      <c r="E136" s="4">
        <v>0.75</v>
      </c>
      <c r="F136" s="42">
        <v>2.35</v>
      </c>
      <c r="G136" s="45">
        <v>350</v>
      </c>
      <c r="H136" s="22">
        <v>2.2000000000000002</v>
      </c>
      <c r="I136" s="6">
        <f t="shared" si="4"/>
        <v>1357.125</v>
      </c>
      <c r="J136" s="6" t="s">
        <v>1824</v>
      </c>
      <c r="K136" s="17"/>
    </row>
    <row r="137" spans="1:11" ht="13.95" customHeight="1" x14ac:dyDescent="0.3">
      <c r="A137" s="20">
        <v>45793</v>
      </c>
      <c r="B137" s="19" t="s">
        <v>2073</v>
      </c>
      <c r="C137" s="19" t="s">
        <v>11</v>
      </c>
      <c r="D137" s="19" t="s">
        <v>14</v>
      </c>
      <c r="E137" s="4">
        <v>0.8</v>
      </c>
      <c r="F137" s="42">
        <v>2.5</v>
      </c>
      <c r="G137" s="45">
        <v>350</v>
      </c>
      <c r="H137" s="22">
        <v>2.2000000000000002</v>
      </c>
      <c r="I137" s="6">
        <f t="shared" si="4"/>
        <v>1540.0000000000002</v>
      </c>
      <c r="J137" s="6" t="s">
        <v>97</v>
      </c>
      <c r="K137" s="17"/>
    </row>
    <row r="138" spans="1:11" ht="13.95" customHeight="1" x14ac:dyDescent="0.3">
      <c r="A138" s="20">
        <v>45794</v>
      </c>
      <c r="B138" s="19" t="s">
        <v>2073</v>
      </c>
      <c r="C138" s="19" t="s">
        <v>13</v>
      </c>
      <c r="D138" s="19" t="s">
        <v>14</v>
      </c>
      <c r="E138" s="4">
        <v>1</v>
      </c>
      <c r="F138" s="42">
        <v>3.4</v>
      </c>
      <c r="G138" s="45">
        <v>350</v>
      </c>
      <c r="H138" s="22">
        <v>2.2000000000000002</v>
      </c>
      <c r="I138" s="6">
        <f t="shared" si="4"/>
        <v>2618</v>
      </c>
      <c r="J138" s="6" t="s">
        <v>2043</v>
      </c>
      <c r="K138" s="17"/>
    </row>
    <row r="139" spans="1:11" ht="13.95" customHeight="1" x14ac:dyDescent="0.3">
      <c r="A139" s="20">
        <v>45795</v>
      </c>
      <c r="B139" s="19" t="s">
        <v>2073</v>
      </c>
      <c r="C139" s="19" t="s">
        <v>16</v>
      </c>
      <c r="D139" s="19" t="s">
        <v>14</v>
      </c>
      <c r="E139" s="4">
        <v>0.9</v>
      </c>
      <c r="F139" s="42">
        <v>2.9</v>
      </c>
      <c r="G139" s="45">
        <v>350</v>
      </c>
      <c r="H139" s="22">
        <v>2.2000000000000002</v>
      </c>
      <c r="I139" s="6">
        <f t="shared" si="4"/>
        <v>2009.7000000000003</v>
      </c>
      <c r="J139" s="6" t="s">
        <v>139</v>
      </c>
      <c r="K139" s="17"/>
    </row>
    <row r="140" spans="1:11" ht="13.95" customHeight="1" x14ac:dyDescent="0.3">
      <c r="A140" s="20">
        <v>45796</v>
      </c>
      <c r="B140" s="19" t="s">
        <v>2073</v>
      </c>
      <c r="C140" s="19" t="s">
        <v>18</v>
      </c>
      <c r="D140" s="19" t="s">
        <v>1340</v>
      </c>
      <c r="E140" s="4">
        <v>0.6</v>
      </c>
      <c r="F140" s="42">
        <v>2.0499999999999998</v>
      </c>
      <c r="G140" s="45">
        <v>350</v>
      </c>
      <c r="H140" s="22">
        <v>2.2000000000000002</v>
      </c>
      <c r="I140" s="6">
        <f t="shared" si="4"/>
        <v>947.09999999999991</v>
      </c>
      <c r="J140" s="6" t="s">
        <v>70</v>
      </c>
      <c r="K140" s="17"/>
    </row>
    <row r="141" spans="1:11" ht="13.95" customHeight="1" x14ac:dyDescent="0.3">
      <c r="A141" s="20">
        <v>45797</v>
      </c>
      <c r="B141" s="19" t="s">
        <v>2073</v>
      </c>
      <c r="C141" s="19" t="s">
        <v>20</v>
      </c>
      <c r="D141" s="19" t="s">
        <v>1340</v>
      </c>
      <c r="E141" s="4">
        <v>0.6</v>
      </c>
      <c r="F141" s="42">
        <v>2.0499999999999998</v>
      </c>
      <c r="G141" s="45">
        <v>350</v>
      </c>
      <c r="H141" s="22">
        <v>2.2000000000000002</v>
      </c>
      <c r="I141" s="6">
        <f t="shared" si="4"/>
        <v>947.09999999999991</v>
      </c>
      <c r="J141" s="6" t="s">
        <v>603</v>
      </c>
      <c r="K141" s="17"/>
    </row>
    <row r="142" spans="1:11" ht="13.95" customHeight="1" x14ac:dyDescent="0.3">
      <c r="A142" s="20">
        <v>45798</v>
      </c>
      <c r="B142" s="19" t="s">
        <v>2073</v>
      </c>
      <c r="C142" s="19" t="s">
        <v>5</v>
      </c>
      <c r="D142" s="19" t="s">
        <v>1340</v>
      </c>
      <c r="E142" s="4">
        <v>0.65</v>
      </c>
      <c r="F142" s="42">
        <v>2.1</v>
      </c>
      <c r="G142" s="45">
        <v>350</v>
      </c>
      <c r="H142" s="22">
        <v>2.2000000000000002</v>
      </c>
      <c r="I142" s="6">
        <f t="shared" si="4"/>
        <v>1051.0500000000002</v>
      </c>
      <c r="J142" s="6" t="s">
        <v>71</v>
      </c>
      <c r="K142" s="17"/>
    </row>
    <row r="143" spans="1:11" ht="13.95" customHeight="1" x14ac:dyDescent="0.3">
      <c r="A143" s="20">
        <v>45799</v>
      </c>
      <c r="B143" s="19" t="s">
        <v>2073</v>
      </c>
      <c r="C143" s="19" t="s">
        <v>8</v>
      </c>
      <c r="D143" s="19" t="s">
        <v>1263</v>
      </c>
      <c r="E143" s="4">
        <v>0.75</v>
      </c>
      <c r="F143" s="42">
        <v>2.2999999999999998</v>
      </c>
      <c r="G143" s="45">
        <v>350</v>
      </c>
      <c r="H143" s="22">
        <v>2.2000000000000002</v>
      </c>
      <c r="I143" s="6">
        <f t="shared" si="4"/>
        <v>1328.25</v>
      </c>
      <c r="J143" s="6" t="s">
        <v>1815</v>
      </c>
      <c r="K143" s="17"/>
    </row>
    <row r="144" spans="1:11" ht="13.95" customHeight="1" x14ac:dyDescent="0.3">
      <c r="A144" s="20">
        <v>45800</v>
      </c>
      <c r="B144" s="19" t="s">
        <v>2073</v>
      </c>
      <c r="C144" s="19" t="s">
        <v>11</v>
      </c>
      <c r="D144" s="19" t="s">
        <v>14</v>
      </c>
      <c r="E144" s="4">
        <v>0.85</v>
      </c>
      <c r="F144" s="42">
        <v>2.6</v>
      </c>
      <c r="G144" s="45">
        <v>350</v>
      </c>
      <c r="H144" s="22">
        <v>2.2000000000000002</v>
      </c>
      <c r="I144" s="6">
        <f t="shared" si="4"/>
        <v>1701.7</v>
      </c>
      <c r="J144" s="6" t="s">
        <v>97</v>
      </c>
      <c r="K144" s="17"/>
    </row>
    <row r="145" spans="1:11" ht="13.95" customHeight="1" x14ac:dyDescent="0.3">
      <c r="A145" s="20">
        <v>45801</v>
      </c>
      <c r="B145" s="19" t="s">
        <v>2073</v>
      </c>
      <c r="C145" s="19" t="s">
        <v>13</v>
      </c>
      <c r="D145" s="19" t="s">
        <v>14</v>
      </c>
      <c r="E145" s="4">
        <v>1</v>
      </c>
      <c r="F145" s="42">
        <v>3.5</v>
      </c>
      <c r="G145" s="45">
        <v>350</v>
      </c>
      <c r="H145" s="22">
        <v>2.2000000000000002</v>
      </c>
      <c r="I145" s="6">
        <f t="shared" si="4"/>
        <v>2695</v>
      </c>
      <c r="J145" s="6" t="s">
        <v>1967</v>
      </c>
      <c r="K145" s="17"/>
    </row>
    <row r="146" spans="1:11" ht="13.95" customHeight="1" x14ac:dyDescent="0.3">
      <c r="A146" s="20">
        <v>45802</v>
      </c>
      <c r="B146" s="19" t="s">
        <v>2073</v>
      </c>
      <c r="C146" s="19" t="s">
        <v>16</v>
      </c>
      <c r="D146" s="19" t="s">
        <v>14</v>
      </c>
      <c r="E146" s="4">
        <v>0.95</v>
      </c>
      <c r="F146" s="42">
        <v>3</v>
      </c>
      <c r="G146" s="45">
        <v>350</v>
      </c>
      <c r="H146" s="22">
        <v>2.2000000000000002</v>
      </c>
      <c r="I146" s="6">
        <f t="shared" si="4"/>
        <v>2194.5</v>
      </c>
      <c r="J146" s="6" t="s">
        <v>2044</v>
      </c>
      <c r="K146" s="17"/>
    </row>
    <row r="147" spans="1:11" ht="13.95" customHeight="1" x14ac:dyDescent="0.3">
      <c r="A147" s="20">
        <v>45803</v>
      </c>
      <c r="B147" s="19" t="s">
        <v>2073</v>
      </c>
      <c r="C147" s="19" t="s">
        <v>18</v>
      </c>
      <c r="D147" s="19" t="s">
        <v>1340</v>
      </c>
      <c r="E147" s="4">
        <v>0.65</v>
      </c>
      <c r="F147" s="42">
        <v>2.15</v>
      </c>
      <c r="G147" s="45">
        <v>350</v>
      </c>
      <c r="H147" s="22">
        <v>2.2000000000000002</v>
      </c>
      <c r="I147" s="6">
        <f t="shared" si="4"/>
        <v>1076.075</v>
      </c>
      <c r="J147" s="6" t="s">
        <v>2045</v>
      </c>
      <c r="K147" s="17"/>
    </row>
    <row r="148" spans="1:11" ht="13.95" customHeight="1" x14ac:dyDescent="0.3">
      <c r="A148" s="20">
        <v>45804</v>
      </c>
      <c r="B148" s="19" t="s">
        <v>2073</v>
      </c>
      <c r="C148" s="19" t="s">
        <v>20</v>
      </c>
      <c r="D148" s="19" t="s">
        <v>1340</v>
      </c>
      <c r="E148" s="4">
        <v>0.7</v>
      </c>
      <c r="F148" s="42">
        <v>2.15</v>
      </c>
      <c r="G148" s="45">
        <v>350</v>
      </c>
      <c r="H148" s="22">
        <v>2.2000000000000002</v>
      </c>
      <c r="I148" s="6">
        <f t="shared" si="4"/>
        <v>1158.8499999999999</v>
      </c>
      <c r="J148" s="6" t="s">
        <v>717</v>
      </c>
      <c r="K148" s="17"/>
    </row>
    <row r="149" spans="1:11" ht="13.95" customHeight="1" x14ac:dyDescent="0.3">
      <c r="A149" s="20">
        <v>45805</v>
      </c>
      <c r="B149" s="19" t="s">
        <v>2073</v>
      </c>
      <c r="C149" s="19" t="s">
        <v>5</v>
      </c>
      <c r="D149" s="19" t="s">
        <v>1340</v>
      </c>
      <c r="E149" s="4">
        <v>0.75</v>
      </c>
      <c r="F149" s="42">
        <v>2.2000000000000002</v>
      </c>
      <c r="G149" s="45">
        <v>350</v>
      </c>
      <c r="H149" s="22">
        <v>2.2000000000000002</v>
      </c>
      <c r="I149" s="6">
        <f t="shared" si="4"/>
        <v>1270.5</v>
      </c>
      <c r="J149" s="6" t="s">
        <v>71</v>
      </c>
      <c r="K149" s="17"/>
    </row>
    <row r="150" spans="1:11" ht="13.95" customHeight="1" x14ac:dyDescent="0.3">
      <c r="A150" s="20">
        <v>45806</v>
      </c>
      <c r="B150" s="19" t="s">
        <v>2073</v>
      </c>
      <c r="C150" s="19" t="s">
        <v>8</v>
      </c>
      <c r="D150" s="19" t="s">
        <v>1340</v>
      </c>
      <c r="E150" s="4">
        <v>0.8</v>
      </c>
      <c r="F150" s="42">
        <v>2.2999999999999998</v>
      </c>
      <c r="G150" s="45">
        <v>350</v>
      </c>
      <c r="H150" s="22">
        <v>2.2000000000000002</v>
      </c>
      <c r="I150" s="6">
        <f t="shared" si="4"/>
        <v>1416.8000000000002</v>
      </c>
      <c r="J150" s="6" t="s">
        <v>82</v>
      </c>
      <c r="K150" s="17"/>
    </row>
    <row r="151" spans="1:11" ht="13.95" customHeight="1" x14ac:dyDescent="0.3">
      <c r="A151" s="20">
        <v>45807</v>
      </c>
      <c r="B151" s="19" t="s">
        <v>2073</v>
      </c>
      <c r="C151" s="19" t="s">
        <v>11</v>
      </c>
      <c r="D151" s="19" t="s">
        <v>14</v>
      </c>
      <c r="E151" s="4">
        <v>0.9</v>
      </c>
      <c r="F151" s="42">
        <v>2.7</v>
      </c>
      <c r="G151" s="45">
        <v>350</v>
      </c>
      <c r="H151" s="22">
        <v>2.2000000000000002</v>
      </c>
      <c r="I151" s="6">
        <f t="shared" si="4"/>
        <v>1871.1000000000001</v>
      </c>
      <c r="J151" s="6" t="s">
        <v>97</v>
      </c>
      <c r="K151" s="17"/>
    </row>
    <row r="152" spans="1:11" ht="13.95" customHeight="1" x14ac:dyDescent="0.3">
      <c r="A152" s="20">
        <v>45808</v>
      </c>
      <c r="B152" s="19" t="s">
        <v>2073</v>
      </c>
      <c r="C152" s="19" t="s">
        <v>13</v>
      </c>
      <c r="D152" s="19" t="s">
        <v>14</v>
      </c>
      <c r="E152" s="4">
        <v>1</v>
      </c>
      <c r="F152" s="42">
        <v>3.55</v>
      </c>
      <c r="G152" s="45">
        <v>350</v>
      </c>
      <c r="H152" s="22">
        <v>2.2000000000000002</v>
      </c>
      <c r="I152" s="6">
        <f t="shared" si="4"/>
        <v>2733.5</v>
      </c>
      <c r="J152" s="6" t="s">
        <v>2046</v>
      </c>
      <c r="K152" s="17"/>
    </row>
    <row r="153" spans="1:11" ht="13.95" customHeight="1" x14ac:dyDescent="0.3">
      <c r="A153" s="20">
        <v>45809</v>
      </c>
      <c r="B153" s="19" t="s">
        <v>2073</v>
      </c>
      <c r="C153" s="19" t="s">
        <v>16</v>
      </c>
      <c r="D153" s="19" t="s">
        <v>14</v>
      </c>
      <c r="E153" s="4">
        <v>0.85</v>
      </c>
      <c r="F153" s="42">
        <v>2.8</v>
      </c>
      <c r="G153" s="45">
        <v>350</v>
      </c>
      <c r="H153" s="22">
        <v>2.2999999999999998</v>
      </c>
      <c r="I153" s="6">
        <f t="shared" si="4"/>
        <v>1915.8999999999999</v>
      </c>
      <c r="J153" s="6" t="s">
        <v>139</v>
      </c>
      <c r="K153" s="17"/>
    </row>
    <row r="154" spans="1:11" ht="13.95" customHeight="1" x14ac:dyDescent="0.3">
      <c r="A154" s="20">
        <v>45810</v>
      </c>
      <c r="B154" s="19" t="s">
        <v>2073</v>
      </c>
      <c r="C154" s="19" t="s">
        <v>18</v>
      </c>
      <c r="D154" s="19" t="s">
        <v>1340</v>
      </c>
      <c r="E154" s="4">
        <v>0.7</v>
      </c>
      <c r="F154" s="42">
        <v>2.15</v>
      </c>
      <c r="G154" s="45">
        <v>350</v>
      </c>
      <c r="H154" s="22">
        <v>2.2999999999999998</v>
      </c>
      <c r="I154" s="6">
        <f t="shared" ref="I154:I213" si="5">(G154*E154)*F154*H154</f>
        <v>1211.5249999999996</v>
      </c>
      <c r="J154" s="6" t="s">
        <v>1968</v>
      </c>
      <c r="K154" s="17"/>
    </row>
    <row r="155" spans="1:11" ht="13.95" customHeight="1" x14ac:dyDescent="0.3">
      <c r="A155" s="20">
        <v>45811</v>
      </c>
      <c r="B155" s="19" t="s">
        <v>2073</v>
      </c>
      <c r="C155" s="19" t="s">
        <v>20</v>
      </c>
      <c r="D155" s="19" t="s">
        <v>1340</v>
      </c>
      <c r="E155" s="4">
        <v>0.75</v>
      </c>
      <c r="F155" s="42">
        <v>2.2000000000000002</v>
      </c>
      <c r="G155" s="45">
        <v>350</v>
      </c>
      <c r="H155" s="22">
        <v>2.2999999999999998</v>
      </c>
      <c r="I155" s="6">
        <f t="shared" si="5"/>
        <v>1328.25</v>
      </c>
      <c r="J155" s="6" t="s">
        <v>1968</v>
      </c>
      <c r="K155" s="17"/>
    </row>
    <row r="156" spans="1:11" ht="13.95" customHeight="1" x14ac:dyDescent="0.3">
      <c r="A156" s="20">
        <v>45812</v>
      </c>
      <c r="B156" s="19" t="s">
        <v>2073</v>
      </c>
      <c r="C156" s="19" t="s">
        <v>5</v>
      </c>
      <c r="D156" s="19" t="s">
        <v>1340</v>
      </c>
      <c r="E156" s="4">
        <v>0.8</v>
      </c>
      <c r="F156" s="42">
        <v>2.25</v>
      </c>
      <c r="G156" s="45">
        <v>350</v>
      </c>
      <c r="H156" s="22">
        <v>2.2999999999999998</v>
      </c>
      <c r="I156" s="6">
        <f t="shared" si="5"/>
        <v>1449</v>
      </c>
      <c r="J156" s="6" t="s">
        <v>1440</v>
      </c>
      <c r="K156" s="17"/>
    </row>
    <row r="157" spans="1:11" ht="13.95" customHeight="1" x14ac:dyDescent="0.3">
      <c r="A157" s="20">
        <v>45813</v>
      </c>
      <c r="B157" s="19" t="s">
        <v>2073</v>
      </c>
      <c r="C157" s="19" t="s">
        <v>8</v>
      </c>
      <c r="D157" s="19" t="s">
        <v>1072</v>
      </c>
      <c r="E157" s="4">
        <v>0.9</v>
      </c>
      <c r="F157" s="42">
        <v>2.5499999999999998</v>
      </c>
      <c r="G157" s="45">
        <v>350</v>
      </c>
      <c r="H157" s="22">
        <v>2.2999999999999998</v>
      </c>
      <c r="I157" s="6">
        <f t="shared" si="5"/>
        <v>1847.4749999999999</v>
      </c>
      <c r="J157" s="6" t="s">
        <v>531</v>
      </c>
      <c r="K157" s="17"/>
    </row>
    <row r="158" spans="1:11" ht="13.95" customHeight="1" x14ac:dyDescent="0.3">
      <c r="A158" s="20">
        <v>45814</v>
      </c>
      <c r="B158" s="19" t="s">
        <v>2073</v>
      </c>
      <c r="C158" s="19" t="s">
        <v>11</v>
      </c>
      <c r="D158" s="19" t="s">
        <v>1142</v>
      </c>
      <c r="E158" s="4">
        <v>1</v>
      </c>
      <c r="F158" s="42">
        <v>3.3</v>
      </c>
      <c r="G158" s="45">
        <v>350</v>
      </c>
      <c r="H158" s="22">
        <v>2.2999999999999998</v>
      </c>
      <c r="I158" s="6">
        <f t="shared" si="5"/>
        <v>2656.5</v>
      </c>
      <c r="J158" s="6" t="s">
        <v>2047</v>
      </c>
      <c r="K158" s="17"/>
    </row>
    <row r="159" spans="1:11" ht="13.95" customHeight="1" x14ac:dyDescent="0.3">
      <c r="A159" s="20">
        <v>45815</v>
      </c>
      <c r="B159" s="19" t="s">
        <v>2073</v>
      </c>
      <c r="C159" s="19" t="s">
        <v>13</v>
      </c>
      <c r="D159" s="19" t="s">
        <v>1142</v>
      </c>
      <c r="E159" s="4">
        <v>1</v>
      </c>
      <c r="F159" s="42">
        <v>3.5</v>
      </c>
      <c r="G159" s="45">
        <v>350</v>
      </c>
      <c r="H159" s="22">
        <v>2.2999999999999998</v>
      </c>
      <c r="I159" s="6">
        <f t="shared" si="5"/>
        <v>2817.5</v>
      </c>
      <c r="J159" s="6" t="s">
        <v>2048</v>
      </c>
      <c r="K159" s="17"/>
    </row>
    <row r="160" spans="1:11" ht="13.95" customHeight="1" x14ac:dyDescent="0.3">
      <c r="A160" s="20">
        <v>45816</v>
      </c>
      <c r="B160" s="19" t="s">
        <v>2073</v>
      </c>
      <c r="C160" s="19" t="s">
        <v>16</v>
      </c>
      <c r="D160" s="19" t="s">
        <v>1344</v>
      </c>
      <c r="E160" s="4">
        <v>1</v>
      </c>
      <c r="F160" s="42">
        <v>3.15</v>
      </c>
      <c r="G160" s="45">
        <v>350</v>
      </c>
      <c r="H160" s="22">
        <v>2.2999999999999998</v>
      </c>
      <c r="I160" s="6">
        <f t="shared" si="5"/>
        <v>2535.75</v>
      </c>
      <c r="J160" s="6" t="s">
        <v>576</v>
      </c>
      <c r="K160" s="17"/>
    </row>
    <row r="161" spans="1:11" ht="13.95" customHeight="1" x14ac:dyDescent="0.3">
      <c r="A161" s="20">
        <v>45817</v>
      </c>
      <c r="B161" s="19" t="s">
        <v>2073</v>
      </c>
      <c r="C161" s="19" t="s">
        <v>18</v>
      </c>
      <c r="D161" s="19" t="s">
        <v>1340</v>
      </c>
      <c r="E161" s="4">
        <v>0.85</v>
      </c>
      <c r="F161" s="42">
        <v>2.25</v>
      </c>
      <c r="G161" s="45">
        <v>350</v>
      </c>
      <c r="H161" s="22">
        <v>2.2999999999999998</v>
      </c>
      <c r="I161" s="6">
        <f t="shared" si="5"/>
        <v>1539.5624999999998</v>
      </c>
      <c r="J161" s="6" t="s">
        <v>1794</v>
      </c>
      <c r="K161" s="17"/>
    </row>
    <row r="162" spans="1:11" ht="13.95" customHeight="1" x14ac:dyDescent="0.3">
      <c r="A162" s="20">
        <v>45818</v>
      </c>
      <c r="B162" s="19" t="s">
        <v>2073</v>
      </c>
      <c r="C162" s="19" t="s">
        <v>20</v>
      </c>
      <c r="D162" s="19" t="s">
        <v>1340</v>
      </c>
      <c r="E162" s="4">
        <v>0.8</v>
      </c>
      <c r="F162" s="42">
        <v>2.2000000000000002</v>
      </c>
      <c r="G162" s="45">
        <v>350</v>
      </c>
      <c r="H162" s="22">
        <v>2.2999999999999998</v>
      </c>
      <c r="I162" s="6">
        <f t="shared" si="5"/>
        <v>1416.8</v>
      </c>
      <c r="J162" s="6" t="s">
        <v>717</v>
      </c>
      <c r="K162" s="17"/>
    </row>
    <row r="163" spans="1:11" ht="13.95" customHeight="1" x14ac:dyDescent="0.3">
      <c r="A163" s="20">
        <v>45819</v>
      </c>
      <c r="B163" s="19" t="s">
        <v>2073</v>
      </c>
      <c r="C163" s="19" t="s">
        <v>5</v>
      </c>
      <c r="D163" s="19" t="s">
        <v>1340</v>
      </c>
      <c r="E163" s="4">
        <v>0.8</v>
      </c>
      <c r="F163" s="42">
        <v>2.2000000000000002</v>
      </c>
      <c r="G163" s="45">
        <v>350</v>
      </c>
      <c r="H163" s="22">
        <v>2.2999999999999998</v>
      </c>
      <c r="I163" s="6">
        <f t="shared" si="5"/>
        <v>1416.8</v>
      </c>
      <c r="J163" s="6" t="s">
        <v>717</v>
      </c>
      <c r="K163" s="17"/>
    </row>
    <row r="164" spans="1:11" ht="13.95" customHeight="1" x14ac:dyDescent="0.3">
      <c r="A164" s="20">
        <v>45820</v>
      </c>
      <c r="B164" s="19" t="s">
        <v>2073</v>
      </c>
      <c r="C164" s="19" t="s">
        <v>8</v>
      </c>
      <c r="D164" s="19" t="s">
        <v>1340</v>
      </c>
      <c r="E164" s="4">
        <v>0.85</v>
      </c>
      <c r="F164" s="42">
        <v>2.35</v>
      </c>
      <c r="G164" s="45">
        <v>350</v>
      </c>
      <c r="H164" s="22">
        <v>2.2999999999999998</v>
      </c>
      <c r="I164" s="6">
        <f t="shared" si="5"/>
        <v>1607.9875</v>
      </c>
      <c r="J164" s="6" t="s">
        <v>67</v>
      </c>
      <c r="K164" s="17"/>
    </row>
    <row r="165" spans="1:11" ht="13.95" customHeight="1" x14ac:dyDescent="0.3">
      <c r="A165" s="20">
        <v>45821</v>
      </c>
      <c r="B165" s="19" t="s">
        <v>2073</v>
      </c>
      <c r="C165" s="19" t="s">
        <v>11</v>
      </c>
      <c r="D165" s="19" t="s">
        <v>14</v>
      </c>
      <c r="E165" s="4">
        <v>0.95</v>
      </c>
      <c r="F165" s="42">
        <v>2.75</v>
      </c>
      <c r="G165" s="45">
        <v>350</v>
      </c>
      <c r="H165" s="22">
        <v>2.2999999999999998</v>
      </c>
      <c r="I165" s="6">
        <f t="shared" si="5"/>
        <v>2103.0625</v>
      </c>
      <c r="J165" s="6" t="s">
        <v>1684</v>
      </c>
      <c r="K165" s="17"/>
    </row>
    <row r="166" spans="1:11" ht="13.95" customHeight="1" x14ac:dyDescent="0.3">
      <c r="A166" s="20">
        <v>45822</v>
      </c>
      <c r="B166" s="19" t="s">
        <v>2073</v>
      </c>
      <c r="C166" s="19" t="s">
        <v>13</v>
      </c>
      <c r="D166" s="19" t="s">
        <v>14</v>
      </c>
      <c r="E166" s="4">
        <v>1</v>
      </c>
      <c r="F166" s="42">
        <v>3.55</v>
      </c>
      <c r="G166" s="45">
        <v>350</v>
      </c>
      <c r="H166" s="22">
        <v>2.2999999999999998</v>
      </c>
      <c r="I166" s="6">
        <f t="shared" si="5"/>
        <v>2857.75</v>
      </c>
      <c r="J166" s="6" t="s">
        <v>1715</v>
      </c>
      <c r="K166" s="17"/>
    </row>
    <row r="167" spans="1:11" ht="13.95" customHeight="1" x14ac:dyDescent="0.3">
      <c r="A167" s="20">
        <v>45823</v>
      </c>
      <c r="B167" s="19" t="s">
        <v>2073</v>
      </c>
      <c r="C167" s="19" t="s">
        <v>16</v>
      </c>
      <c r="D167" s="19" t="s">
        <v>14</v>
      </c>
      <c r="E167" s="4">
        <v>1</v>
      </c>
      <c r="F167" s="42">
        <v>3.2</v>
      </c>
      <c r="G167" s="45">
        <v>350</v>
      </c>
      <c r="H167" s="22">
        <v>2.2999999999999998</v>
      </c>
      <c r="I167" s="6">
        <f t="shared" si="5"/>
        <v>2576</v>
      </c>
      <c r="J167" s="6" t="s">
        <v>2049</v>
      </c>
      <c r="K167" s="17"/>
    </row>
    <row r="168" spans="1:11" ht="13.95" customHeight="1" x14ac:dyDescent="0.3">
      <c r="A168" s="20">
        <v>45824</v>
      </c>
      <c r="B168" s="19" t="s">
        <v>2073</v>
      </c>
      <c r="C168" s="19" t="s">
        <v>18</v>
      </c>
      <c r="D168" s="19" t="s">
        <v>1347</v>
      </c>
      <c r="E168" s="4">
        <v>0.95</v>
      </c>
      <c r="F168" s="42">
        <v>2.4500000000000002</v>
      </c>
      <c r="G168" s="45">
        <v>350</v>
      </c>
      <c r="H168" s="22">
        <v>2.2999999999999998</v>
      </c>
      <c r="I168" s="6">
        <f t="shared" si="5"/>
        <v>1873.6375</v>
      </c>
      <c r="J168" s="6" t="s">
        <v>449</v>
      </c>
      <c r="K168" s="17"/>
    </row>
    <row r="169" spans="1:11" ht="13.95" customHeight="1" x14ac:dyDescent="0.3">
      <c r="A169" s="20">
        <v>45825</v>
      </c>
      <c r="B169" s="19" t="s">
        <v>2073</v>
      </c>
      <c r="C169" s="19" t="s">
        <v>20</v>
      </c>
      <c r="D169" s="19" t="s">
        <v>1347</v>
      </c>
      <c r="E169" s="4">
        <v>0.95</v>
      </c>
      <c r="F169" s="42">
        <v>2.4500000000000002</v>
      </c>
      <c r="G169" s="45">
        <v>350</v>
      </c>
      <c r="H169" s="22">
        <v>2.2999999999999998</v>
      </c>
      <c r="I169" s="6">
        <f t="shared" si="5"/>
        <v>1873.6375</v>
      </c>
      <c r="J169" s="6" t="s">
        <v>589</v>
      </c>
      <c r="K169" s="17"/>
    </row>
    <row r="170" spans="1:11" ht="13.95" customHeight="1" x14ac:dyDescent="0.3">
      <c r="A170" s="20">
        <v>45826</v>
      </c>
      <c r="B170" s="19" t="s">
        <v>2073</v>
      </c>
      <c r="C170" s="19" t="s">
        <v>5</v>
      </c>
      <c r="D170" s="19" t="s">
        <v>1347</v>
      </c>
      <c r="E170" s="4">
        <v>0.95</v>
      </c>
      <c r="F170" s="42">
        <v>2.4</v>
      </c>
      <c r="G170" s="45">
        <v>350</v>
      </c>
      <c r="H170" s="22">
        <v>2.2999999999999998</v>
      </c>
      <c r="I170" s="6">
        <f t="shared" si="5"/>
        <v>1835.3999999999999</v>
      </c>
      <c r="J170" s="6" t="s">
        <v>589</v>
      </c>
      <c r="K170" s="17"/>
    </row>
    <row r="171" spans="1:11" ht="13.95" customHeight="1" x14ac:dyDescent="0.3">
      <c r="A171" s="20">
        <v>45827</v>
      </c>
      <c r="B171" s="19" t="s">
        <v>2073</v>
      </c>
      <c r="C171" s="19" t="s">
        <v>8</v>
      </c>
      <c r="D171" s="19" t="s">
        <v>1347</v>
      </c>
      <c r="E171" s="4">
        <v>1</v>
      </c>
      <c r="F171" s="42">
        <v>2.5499999999999998</v>
      </c>
      <c r="G171" s="45">
        <v>350</v>
      </c>
      <c r="H171" s="22">
        <v>2.2999999999999998</v>
      </c>
      <c r="I171" s="6">
        <f t="shared" si="5"/>
        <v>2052.7499999999995</v>
      </c>
      <c r="J171" s="6" t="s">
        <v>339</v>
      </c>
      <c r="K171" s="17"/>
    </row>
    <row r="172" spans="1:11" ht="13.95" customHeight="1" x14ac:dyDescent="0.3">
      <c r="A172" s="20">
        <v>45828</v>
      </c>
      <c r="B172" s="19" t="s">
        <v>2073</v>
      </c>
      <c r="C172" s="19" t="s">
        <v>11</v>
      </c>
      <c r="D172" s="19" t="s">
        <v>14</v>
      </c>
      <c r="E172" s="4">
        <v>1</v>
      </c>
      <c r="F172" s="42">
        <v>3.05</v>
      </c>
      <c r="G172" s="45">
        <v>350</v>
      </c>
      <c r="H172" s="22">
        <v>2.2999999999999998</v>
      </c>
      <c r="I172" s="6">
        <f t="shared" si="5"/>
        <v>2455.25</v>
      </c>
      <c r="J172" s="6" t="s">
        <v>1463</v>
      </c>
      <c r="K172" s="17"/>
    </row>
    <row r="173" spans="1:11" ht="13.95" customHeight="1" x14ac:dyDescent="0.3">
      <c r="A173" s="20">
        <v>45829</v>
      </c>
      <c r="B173" s="19" t="s">
        <v>2073</v>
      </c>
      <c r="C173" s="19" t="s">
        <v>13</v>
      </c>
      <c r="D173" s="19" t="s">
        <v>14</v>
      </c>
      <c r="E173" s="4">
        <v>1</v>
      </c>
      <c r="F173" s="42">
        <v>3.65</v>
      </c>
      <c r="G173" s="45">
        <v>350</v>
      </c>
      <c r="H173" s="22">
        <v>2.2999999999999998</v>
      </c>
      <c r="I173" s="6">
        <f t="shared" si="5"/>
        <v>2938.25</v>
      </c>
      <c r="J173" s="6" t="s">
        <v>2050</v>
      </c>
      <c r="K173" s="17"/>
    </row>
    <row r="174" spans="1:11" ht="13.95" customHeight="1" x14ac:dyDescent="0.3">
      <c r="A174" s="20">
        <v>45830</v>
      </c>
      <c r="B174" s="19" t="s">
        <v>2073</v>
      </c>
      <c r="C174" s="19" t="s">
        <v>16</v>
      </c>
      <c r="D174" s="19" t="s">
        <v>14</v>
      </c>
      <c r="E174" s="4">
        <v>1</v>
      </c>
      <c r="F174" s="42">
        <v>3.3</v>
      </c>
      <c r="G174" s="45">
        <v>350</v>
      </c>
      <c r="H174" s="22">
        <v>2.2999999999999998</v>
      </c>
      <c r="I174" s="6">
        <f t="shared" si="5"/>
        <v>2656.5</v>
      </c>
      <c r="J174" s="6" t="s">
        <v>69</v>
      </c>
      <c r="K174" s="17"/>
    </row>
    <row r="175" spans="1:11" ht="13.95" customHeight="1" x14ac:dyDescent="0.3">
      <c r="A175" s="20">
        <v>45831</v>
      </c>
      <c r="B175" s="19" t="s">
        <v>2073</v>
      </c>
      <c r="C175" s="19" t="s">
        <v>18</v>
      </c>
      <c r="D175" s="19" t="s">
        <v>1347</v>
      </c>
      <c r="E175" s="4">
        <v>1</v>
      </c>
      <c r="F175" s="42">
        <v>2.5499999999999998</v>
      </c>
      <c r="G175" s="45">
        <v>350</v>
      </c>
      <c r="H175" s="22">
        <v>2.2999999999999998</v>
      </c>
      <c r="I175" s="6">
        <f t="shared" si="5"/>
        <v>2052.7499999999995</v>
      </c>
      <c r="J175" s="6" t="s">
        <v>1449</v>
      </c>
      <c r="K175" s="17"/>
    </row>
    <row r="176" spans="1:11" ht="13.95" customHeight="1" x14ac:dyDescent="0.3">
      <c r="A176" s="20">
        <v>45832</v>
      </c>
      <c r="B176" s="19" t="s">
        <v>2073</v>
      </c>
      <c r="C176" s="19" t="s">
        <v>20</v>
      </c>
      <c r="D176" s="19" t="s">
        <v>1347</v>
      </c>
      <c r="E176" s="4">
        <v>1</v>
      </c>
      <c r="F176" s="42">
        <v>2.5</v>
      </c>
      <c r="G176" s="45">
        <v>350</v>
      </c>
      <c r="H176" s="22">
        <v>2.2999999999999998</v>
      </c>
      <c r="I176" s="6">
        <f t="shared" si="5"/>
        <v>2012.4999999999998</v>
      </c>
      <c r="J176" s="6" t="s">
        <v>1449</v>
      </c>
      <c r="K176" s="17"/>
    </row>
    <row r="177" spans="1:11" ht="13.95" customHeight="1" x14ac:dyDescent="0.3">
      <c r="A177" s="20">
        <v>45833</v>
      </c>
      <c r="B177" s="19" t="s">
        <v>2073</v>
      </c>
      <c r="C177" s="19" t="s">
        <v>5</v>
      </c>
      <c r="D177" s="19" t="s">
        <v>1347</v>
      </c>
      <c r="E177" s="4">
        <v>1</v>
      </c>
      <c r="F177" s="42">
        <v>2.5</v>
      </c>
      <c r="G177" s="45">
        <v>350</v>
      </c>
      <c r="H177" s="22">
        <v>2.2999999999999998</v>
      </c>
      <c r="I177" s="6">
        <f t="shared" si="5"/>
        <v>2012.4999999999998</v>
      </c>
      <c r="J177" s="6" t="s">
        <v>1449</v>
      </c>
      <c r="K177" s="17"/>
    </row>
    <row r="178" spans="1:11" ht="13.95" customHeight="1" x14ac:dyDescent="0.3">
      <c r="A178" s="20">
        <v>45834</v>
      </c>
      <c r="B178" s="19" t="s">
        <v>2073</v>
      </c>
      <c r="C178" s="19" t="s">
        <v>8</v>
      </c>
      <c r="D178" s="19" t="s">
        <v>1347</v>
      </c>
      <c r="E178" s="4">
        <v>1</v>
      </c>
      <c r="F178" s="42">
        <v>2.6</v>
      </c>
      <c r="G178" s="45">
        <v>350</v>
      </c>
      <c r="H178" s="22">
        <v>2.2999999999999998</v>
      </c>
      <c r="I178" s="6">
        <f t="shared" si="5"/>
        <v>2093</v>
      </c>
      <c r="J178" s="6" t="s">
        <v>1449</v>
      </c>
      <c r="K178" s="17"/>
    </row>
    <row r="179" spans="1:11" ht="13.95" customHeight="1" x14ac:dyDescent="0.3">
      <c r="A179" s="20">
        <v>45835</v>
      </c>
      <c r="B179" s="19" t="s">
        <v>2073</v>
      </c>
      <c r="C179" s="19" t="s">
        <v>11</v>
      </c>
      <c r="D179" s="19" t="s">
        <v>14</v>
      </c>
      <c r="E179" s="4">
        <v>1</v>
      </c>
      <c r="F179" s="42">
        <v>3.1</v>
      </c>
      <c r="G179" s="45">
        <v>350</v>
      </c>
      <c r="H179" s="22">
        <v>2.2999999999999998</v>
      </c>
      <c r="I179" s="6">
        <f t="shared" si="5"/>
        <v>2495.5</v>
      </c>
      <c r="J179" s="6" t="s">
        <v>97</v>
      </c>
      <c r="K179" s="17"/>
    </row>
    <row r="180" spans="1:11" ht="13.95" customHeight="1" x14ac:dyDescent="0.3">
      <c r="A180" s="20">
        <v>45836</v>
      </c>
      <c r="B180" s="19" t="s">
        <v>2073</v>
      </c>
      <c r="C180" s="19" t="s">
        <v>13</v>
      </c>
      <c r="D180" s="19" t="s">
        <v>995</v>
      </c>
      <c r="E180" s="4">
        <v>1</v>
      </c>
      <c r="F180" s="42">
        <v>3.7</v>
      </c>
      <c r="G180" s="45">
        <v>350</v>
      </c>
      <c r="H180" s="22">
        <v>2.2999999999999998</v>
      </c>
      <c r="I180" s="6">
        <f t="shared" si="5"/>
        <v>2978.4999999999995</v>
      </c>
      <c r="J180" s="6" t="s">
        <v>2051</v>
      </c>
      <c r="K180" s="17"/>
    </row>
    <row r="181" spans="1:11" ht="13.95" customHeight="1" x14ac:dyDescent="0.3">
      <c r="A181" s="20">
        <v>45837</v>
      </c>
      <c r="B181" s="19" t="s">
        <v>2073</v>
      </c>
      <c r="C181" s="19" t="s">
        <v>16</v>
      </c>
      <c r="D181" s="19" t="s">
        <v>14</v>
      </c>
      <c r="E181" s="4">
        <v>1</v>
      </c>
      <c r="F181" s="42">
        <v>3.35</v>
      </c>
      <c r="G181" s="45">
        <v>350</v>
      </c>
      <c r="H181" s="22">
        <v>2.2999999999999998</v>
      </c>
      <c r="I181" s="6">
        <f t="shared" si="5"/>
        <v>2696.75</v>
      </c>
      <c r="J181" s="6" t="s">
        <v>69</v>
      </c>
      <c r="K181" s="17"/>
    </row>
    <row r="182" spans="1:11" ht="13.95" customHeight="1" x14ac:dyDescent="0.3">
      <c r="A182" s="20">
        <v>45838</v>
      </c>
      <c r="B182" s="19" t="s">
        <v>2073</v>
      </c>
      <c r="C182" s="19" t="s">
        <v>18</v>
      </c>
      <c r="D182" s="19" t="s">
        <v>1347</v>
      </c>
      <c r="E182" s="4">
        <v>1</v>
      </c>
      <c r="F182" s="42">
        <v>2.7</v>
      </c>
      <c r="G182" s="45">
        <v>350</v>
      </c>
      <c r="H182" s="22">
        <v>2.2999999999999998</v>
      </c>
      <c r="I182" s="6">
        <f t="shared" si="5"/>
        <v>2173.5</v>
      </c>
      <c r="J182" s="6" t="s">
        <v>783</v>
      </c>
      <c r="K182" s="17"/>
    </row>
    <row r="183" spans="1:11" ht="13.95" customHeight="1" x14ac:dyDescent="0.3">
      <c r="A183" s="20">
        <v>45839</v>
      </c>
      <c r="B183" s="19" t="s">
        <v>2073</v>
      </c>
      <c r="C183" s="19" t="s">
        <v>20</v>
      </c>
      <c r="D183" s="19" t="s">
        <v>1347</v>
      </c>
      <c r="E183" s="4">
        <v>1</v>
      </c>
      <c r="F183" s="42">
        <v>2.75</v>
      </c>
      <c r="G183" s="45">
        <v>350</v>
      </c>
      <c r="H183" s="22">
        <v>2.4</v>
      </c>
      <c r="I183" s="6">
        <f t="shared" si="5"/>
        <v>2310</v>
      </c>
      <c r="J183" s="6" t="s">
        <v>1974</v>
      </c>
      <c r="K183" s="17"/>
    </row>
    <row r="184" spans="1:11" ht="13.95" customHeight="1" x14ac:dyDescent="0.3">
      <c r="A184" s="20">
        <v>45840</v>
      </c>
      <c r="B184" s="19" t="s">
        <v>2073</v>
      </c>
      <c r="C184" s="19" t="s">
        <v>5</v>
      </c>
      <c r="D184" s="19" t="s">
        <v>1347</v>
      </c>
      <c r="E184" s="4">
        <v>1</v>
      </c>
      <c r="F184" s="42">
        <v>2.7</v>
      </c>
      <c r="G184" s="45">
        <v>350</v>
      </c>
      <c r="H184" s="22">
        <v>2.4</v>
      </c>
      <c r="I184" s="6">
        <f t="shared" si="5"/>
        <v>2268</v>
      </c>
      <c r="J184" s="6" t="s">
        <v>1974</v>
      </c>
      <c r="K184" s="17"/>
    </row>
    <row r="185" spans="1:11" ht="13.95" customHeight="1" x14ac:dyDescent="0.3">
      <c r="A185" s="20">
        <v>45841</v>
      </c>
      <c r="B185" s="19" t="s">
        <v>2073</v>
      </c>
      <c r="C185" s="19" t="s">
        <v>8</v>
      </c>
      <c r="D185" s="19" t="s">
        <v>1347</v>
      </c>
      <c r="E185" s="4">
        <v>1</v>
      </c>
      <c r="F185" s="42">
        <v>2.85</v>
      </c>
      <c r="G185" s="45">
        <v>350</v>
      </c>
      <c r="H185" s="22">
        <v>2.4</v>
      </c>
      <c r="I185" s="6">
        <f t="shared" si="5"/>
        <v>2394</v>
      </c>
      <c r="J185" s="6" t="s">
        <v>67</v>
      </c>
      <c r="K185" s="17"/>
    </row>
    <row r="186" spans="1:11" ht="13.95" customHeight="1" x14ac:dyDescent="0.3">
      <c r="A186" s="20">
        <v>45842</v>
      </c>
      <c r="B186" s="19" t="s">
        <v>2073</v>
      </c>
      <c r="C186" s="19" t="s">
        <v>11</v>
      </c>
      <c r="D186" s="19" t="s">
        <v>829</v>
      </c>
      <c r="E186" s="4">
        <v>1</v>
      </c>
      <c r="F186" s="42">
        <v>3.15</v>
      </c>
      <c r="G186" s="45">
        <v>350</v>
      </c>
      <c r="H186" s="22">
        <v>2.4</v>
      </c>
      <c r="I186" s="6">
        <f t="shared" si="5"/>
        <v>2646</v>
      </c>
      <c r="J186" s="6" t="s">
        <v>1684</v>
      </c>
      <c r="K186" s="17"/>
    </row>
    <row r="187" spans="1:11" ht="13.95" customHeight="1" x14ac:dyDescent="0.3">
      <c r="A187" s="20">
        <v>45843</v>
      </c>
      <c r="B187" s="19" t="s">
        <v>2073</v>
      </c>
      <c r="C187" s="19" t="s">
        <v>13</v>
      </c>
      <c r="D187" s="19" t="s">
        <v>829</v>
      </c>
      <c r="E187" s="4">
        <v>1</v>
      </c>
      <c r="F187" s="42">
        <v>3.85</v>
      </c>
      <c r="G187" s="45">
        <v>350</v>
      </c>
      <c r="H187" s="22">
        <v>2.4</v>
      </c>
      <c r="I187" s="6">
        <f t="shared" si="5"/>
        <v>3234</v>
      </c>
      <c r="J187" s="6" t="s">
        <v>1675</v>
      </c>
      <c r="K187" s="17"/>
    </row>
    <row r="188" spans="1:11" ht="13.95" customHeight="1" x14ac:dyDescent="0.3">
      <c r="A188" s="20">
        <v>45844</v>
      </c>
      <c r="B188" s="19" t="s">
        <v>2073</v>
      </c>
      <c r="C188" s="19" t="s">
        <v>16</v>
      </c>
      <c r="D188" s="19" t="s">
        <v>829</v>
      </c>
      <c r="E188" s="4">
        <v>1</v>
      </c>
      <c r="F188" s="42">
        <v>3.4</v>
      </c>
      <c r="G188" s="45">
        <v>350</v>
      </c>
      <c r="H188" s="22">
        <v>2.4</v>
      </c>
      <c r="I188" s="6">
        <f t="shared" si="5"/>
        <v>2856</v>
      </c>
      <c r="J188" s="6" t="s">
        <v>2049</v>
      </c>
      <c r="K188" s="17"/>
    </row>
    <row r="189" spans="1:11" ht="13.95" customHeight="1" x14ac:dyDescent="0.3">
      <c r="A189" s="20">
        <v>45845</v>
      </c>
      <c r="B189" s="19" t="s">
        <v>2073</v>
      </c>
      <c r="C189" s="19" t="s">
        <v>18</v>
      </c>
      <c r="D189" s="19" t="s">
        <v>1347</v>
      </c>
      <c r="E189" s="4">
        <v>1</v>
      </c>
      <c r="F189" s="42">
        <v>2.8</v>
      </c>
      <c r="G189" s="45">
        <v>350</v>
      </c>
      <c r="H189" s="22">
        <v>2.4</v>
      </c>
      <c r="I189" s="6">
        <f t="shared" si="5"/>
        <v>2351.9999999999995</v>
      </c>
      <c r="J189" s="6" t="s">
        <v>754</v>
      </c>
      <c r="K189" s="17"/>
    </row>
    <row r="190" spans="1:11" ht="13.95" customHeight="1" x14ac:dyDescent="0.3">
      <c r="A190" s="20">
        <v>45846</v>
      </c>
      <c r="B190" s="19" t="s">
        <v>2073</v>
      </c>
      <c r="C190" s="19" t="s">
        <v>20</v>
      </c>
      <c r="D190" s="19" t="s">
        <v>1347</v>
      </c>
      <c r="E190" s="4">
        <v>1</v>
      </c>
      <c r="F190" s="42">
        <v>2.75</v>
      </c>
      <c r="G190" s="45">
        <v>350</v>
      </c>
      <c r="H190" s="22">
        <v>2.4</v>
      </c>
      <c r="I190" s="6">
        <f t="shared" si="5"/>
        <v>2310</v>
      </c>
      <c r="J190" s="6" t="s">
        <v>717</v>
      </c>
      <c r="K190" s="17"/>
    </row>
    <row r="191" spans="1:11" ht="13.95" customHeight="1" x14ac:dyDescent="0.3">
      <c r="A191" s="20">
        <v>45847</v>
      </c>
      <c r="B191" s="19" t="s">
        <v>2073</v>
      </c>
      <c r="C191" s="19" t="s">
        <v>5</v>
      </c>
      <c r="D191" s="19" t="s">
        <v>1347</v>
      </c>
      <c r="E191" s="4">
        <v>1</v>
      </c>
      <c r="F191" s="42">
        <v>2.75</v>
      </c>
      <c r="G191" s="45">
        <v>350</v>
      </c>
      <c r="H191" s="22">
        <v>2.4</v>
      </c>
      <c r="I191" s="6">
        <f t="shared" si="5"/>
        <v>2310</v>
      </c>
      <c r="J191" s="6" t="s">
        <v>717</v>
      </c>
      <c r="K191" s="17"/>
    </row>
    <row r="192" spans="1:11" ht="13.95" customHeight="1" x14ac:dyDescent="0.3">
      <c r="A192" s="20">
        <v>45848</v>
      </c>
      <c r="B192" s="19" t="s">
        <v>2073</v>
      </c>
      <c r="C192" s="19" t="s">
        <v>8</v>
      </c>
      <c r="D192" s="19" t="s">
        <v>1347</v>
      </c>
      <c r="E192" s="4">
        <v>1</v>
      </c>
      <c r="F192" s="42">
        <v>2.9</v>
      </c>
      <c r="G192" s="45">
        <v>350</v>
      </c>
      <c r="H192" s="22">
        <v>2.4</v>
      </c>
      <c r="I192" s="6">
        <f t="shared" si="5"/>
        <v>2436</v>
      </c>
      <c r="J192" s="6" t="s">
        <v>339</v>
      </c>
      <c r="K192" s="17"/>
    </row>
    <row r="193" spans="1:11" ht="13.95" customHeight="1" x14ac:dyDescent="0.3">
      <c r="A193" s="20">
        <v>45849</v>
      </c>
      <c r="B193" s="19" t="s">
        <v>2073</v>
      </c>
      <c r="C193" s="19" t="s">
        <v>11</v>
      </c>
      <c r="D193" s="19" t="s">
        <v>829</v>
      </c>
      <c r="E193" s="4">
        <v>1</v>
      </c>
      <c r="F193" s="42">
        <v>3.25</v>
      </c>
      <c r="G193" s="45">
        <v>350</v>
      </c>
      <c r="H193" s="22">
        <v>2.4</v>
      </c>
      <c r="I193" s="6">
        <f t="shared" si="5"/>
        <v>2730</v>
      </c>
      <c r="J193" s="6" t="s">
        <v>1463</v>
      </c>
      <c r="K193" s="17"/>
    </row>
    <row r="194" spans="1:11" ht="13.95" customHeight="1" x14ac:dyDescent="0.3">
      <c r="A194" s="20">
        <v>45850</v>
      </c>
      <c r="B194" s="19" t="s">
        <v>2073</v>
      </c>
      <c r="C194" s="19" t="s">
        <v>13</v>
      </c>
      <c r="D194" s="19" t="s">
        <v>829</v>
      </c>
      <c r="E194" s="4">
        <v>1</v>
      </c>
      <c r="F194" s="42">
        <v>3.9</v>
      </c>
      <c r="G194" s="45">
        <v>350</v>
      </c>
      <c r="H194" s="22">
        <v>2.4</v>
      </c>
      <c r="I194" s="6">
        <f t="shared" si="5"/>
        <v>3276</v>
      </c>
      <c r="J194" s="6" t="s">
        <v>1346</v>
      </c>
      <c r="K194" s="17"/>
    </row>
    <row r="195" spans="1:11" ht="13.95" customHeight="1" x14ac:dyDescent="0.3">
      <c r="A195" s="20">
        <v>45851</v>
      </c>
      <c r="B195" s="19" t="s">
        <v>2073</v>
      </c>
      <c r="C195" s="19" t="s">
        <v>16</v>
      </c>
      <c r="D195" s="19" t="s">
        <v>829</v>
      </c>
      <c r="E195" s="4">
        <v>1</v>
      </c>
      <c r="F195" s="42">
        <v>3.45</v>
      </c>
      <c r="G195" s="45">
        <v>350</v>
      </c>
      <c r="H195" s="22">
        <v>2.4</v>
      </c>
      <c r="I195" s="6">
        <f t="shared" si="5"/>
        <v>2898</v>
      </c>
      <c r="J195" s="6" t="s">
        <v>238</v>
      </c>
      <c r="K195" s="17"/>
    </row>
    <row r="196" spans="1:11" ht="13.95" customHeight="1" x14ac:dyDescent="0.3">
      <c r="A196" s="20">
        <v>45852</v>
      </c>
      <c r="B196" s="19" t="s">
        <v>2073</v>
      </c>
      <c r="C196" s="19" t="s">
        <v>18</v>
      </c>
      <c r="D196" s="19" t="s">
        <v>1347</v>
      </c>
      <c r="E196" s="4">
        <v>1</v>
      </c>
      <c r="F196" s="42">
        <v>2.85</v>
      </c>
      <c r="G196" s="45">
        <v>350</v>
      </c>
      <c r="H196" s="22">
        <v>2.4</v>
      </c>
      <c r="I196" s="6">
        <f t="shared" si="5"/>
        <v>2394</v>
      </c>
      <c r="J196" s="6" t="s">
        <v>1978</v>
      </c>
      <c r="K196" s="17"/>
    </row>
    <row r="197" spans="1:11" ht="13.95" customHeight="1" x14ac:dyDescent="0.3">
      <c r="A197" s="20">
        <v>45853</v>
      </c>
      <c r="B197" s="19" t="s">
        <v>2073</v>
      </c>
      <c r="C197" s="19" t="s">
        <v>20</v>
      </c>
      <c r="D197" s="19" t="s">
        <v>1347</v>
      </c>
      <c r="E197" s="4">
        <v>1</v>
      </c>
      <c r="F197" s="42">
        <v>2.8</v>
      </c>
      <c r="G197" s="45">
        <v>350</v>
      </c>
      <c r="H197" s="22">
        <v>2.4</v>
      </c>
      <c r="I197" s="6">
        <f t="shared" si="5"/>
        <v>2351.9999999999995</v>
      </c>
      <c r="J197" s="6" t="s">
        <v>717</v>
      </c>
      <c r="K197" s="17"/>
    </row>
    <row r="198" spans="1:11" ht="13.95" customHeight="1" x14ac:dyDescent="0.3">
      <c r="A198" s="20">
        <v>45854</v>
      </c>
      <c r="B198" s="19" t="s">
        <v>2073</v>
      </c>
      <c r="C198" s="19" t="s">
        <v>5</v>
      </c>
      <c r="D198" s="19" t="s">
        <v>1347</v>
      </c>
      <c r="E198" s="4">
        <v>1</v>
      </c>
      <c r="F198" s="42">
        <v>2.8</v>
      </c>
      <c r="G198" s="45">
        <v>350</v>
      </c>
      <c r="H198" s="22">
        <v>2.4</v>
      </c>
      <c r="I198" s="6">
        <f t="shared" si="5"/>
        <v>2351.9999999999995</v>
      </c>
      <c r="J198" s="6" t="s">
        <v>717</v>
      </c>
      <c r="K198" s="17"/>
    </row>
    <row r="199" spans="1:11" ht="13.95" customHeight="1" x14ac:dyDescent="0.3">
      <c r="A199" s="20">
        <v>45855</v>
      </c>
      <c r="B199" s="19" t="s">
        <v>2073</v>
      </c>
      <c r="C199" s="19" t="s">
        <v>8</v>
      </c>
      <c r="D199" s="19" t="s">
        <v>1347</v>
      </c>
      <c r="E199" s="4">
        <v>1</v>
      </c>
      <c r="F199" s="42">
        <v>2.95</v>
      </c>
      <c r="G199" s="45">
        <v>350</v>
      </c>
      <c r="H199" s="22">
        <v>2.4</v>
      </c>
      <c r="I199" s="6">
        <f t="shared" si="5"/>
        <v>2478</v>
      </c>
      <c r="J199" s="6" t="s">
        <v>531</v>
      </c>
      <c r="K199" s="17"/>
    </row>
    <row r="200" spans="1:11" ht="13.95" customHeight="1" x14ac:dyDescent="0.3">
      <c r="A200" s="20">
        <v>45856</v>
      </c>
      <c r="B200" s="19" t="s">
        <v>2073</v>
      </c>
      <c r="C200" s="19" t="s">
        <v>11</v>
      </c>
      <c r="D200" s="19" t="s">
        <v>829</v>
      </c>
      <c r="E200" s="4">
        <v>1</v>
      </c>
      <c r="F200" s="42">
        <v>3.35</v>
      </c>
      <c r="G200" s="45">
        <v>350</v>
      </c>
      <c r="H200" s="22">
        <v>2.4</v>
      </c>
      <c r="I200" s="6">
        <f t="shared" si="5"/>
        <v>2814</v>
      </c>
      <c r="J200" s="6" t="s">
        <v>97</v>
      </c>
      <c r="K200" s="17"/>
    </row>
    <row r="201" spans="1:11" ht="13.95" customHeight="1" x14ac:dyDescent="0.3">
      <c r="A201" s="20">
        <v>45857</v>
      </c>
      <c r="B201" s="19" t="s">
        <v>2073</v>
      </c>
      <c r="C201" s="19" t="s">
        <v>13</v>
      </c>
      <c r="D201" s="19" t="s">
        <v>829</v>
      </c>
      <c r="E201" s="4">
        <v>1</v>
      </c>
      <c r="F201" s="42">
        <v>3.95</v>
      </c>
      <c r="G201" s="45">
        <v>350</v>
      </c>
      <c r="H201" s="22">
        <v>2.4</v>
      </c>
      <c r="I201" s="6">
        <f t="shared" si="5"/>
        <v>3318</v>
      </c>
      <c r="J201" s="6" t="s">
        <v>2052</v>
      </c>
      <c r="K201" s="17"/>
    </row>
    <row r="202" spans="1:11" ht="13.95" customHeight="1" x14ac:dyDescent="0.3">
      <c r="A202" s="20">
        <v>45858</v>
      </c>
      <c r="B202" s="19" t="s">
        <v>2073</v>
      </c>
      <c r="C202" s="19" t="s">
        <v>16</v>
      </c>
      <c r="D202" s="19" t="s">
        <v>829</v>
      </c>
      <c r="E202" s="4">
        <v>1</v>
      </c>
      <c r="F202" s="42">
        <v>3.5</v>
      </c>
      <c r="G202" s="45">
        <v>350</v>
      </c>
      <c r="H202" s="22">
        <v>2.4</v>
      </c>
      <c r="I202" s="6">
        <f t="shared" si="5"/>
        <v>2940</v>
      </c>
      <c r="J202" s="6" t="s">
        <v>69</v>
      </c>
      <c r="K202" s="17"/>
    </row>
    <row r="203" spans="1:11" ht="13.95" customHeight="1" x14ac:dyDescent="0.3">
      <c r="A203" s="20">
        <v>45859</v>
      </c>
      <c r="B203" s="19" t="s">
        <v>2073</v>
      </c>
      <c r="C203" s="19" t="s">
        <v>18</v>
      </c>
      <c r="D203" s="19" t="s">
        <v>1347</v>
      </c>
      <c r="E203" s="4">
        <v>1</v>
      </c>
      <c r="F203" s="42">
        <v>2.9</v>
      </c>
      <c r="G203" s="45">
        <v>350</v>
      </c>
      <c r="H203" s="22">
        <v>2.4</v>
      </c>
      <c r="I203" s="6">
        <f t="shared" si="5"/>
        <v>2436</v>
      </c>
      <c r="J203" s="6" t="s">
        <v>1449</v>
      </c>
      <c r="K203" s="17"/>
    </row>
    <row r="204" spans="1:11" ht="13.95" customHeight="1" x14ac:dyDescent="0.3">
      <c r="A204" s="20">
        <v>45860</v>
      </c>
      <c r="B204" s="19" t="s">
        <v>2073</v>
      </c>
      <c r="C204" s="19" t="s">
        <v>20</v>
      </c>
      <c r="D204" s="19" t="s">
        <v>1347</v>
      </c>
      <c r="E204" s="4">
        <v>1</v>
      </c>
      <c r="F204" s="42">
        <v>2.85</v>
      </c>
      <c r="G204" s="45">
        <v>350</v>
      </c>
      <c r="H204" s="22">
        <v>2.4</v>
      </c>
      <c r="I204" s="6">
        <f t="shared" si="5"/>
        <v>2394</v>
      </c>
      <c r="J204" s="6" t="s">
        <v>1449</v>
      </c>
      <c r="K204" s="17"/>
    </row>
    <row r="205" spans="1:11" ht="13.95" customHeight="1" x14ac:dyDescent="0.3">
      <c r="A205" s="20">
        <v>45861</v>
      </c>
      <c r="B205" s="19" t="s">
        <v>2073</v>
      </c>
      <c r="C205" s="19" t="s">
        <v>5</v>
      </c>
      <c r="D205" s="19" t="s">
        <v>1347</v>
      </c>
      <c r="E205" s="4">
        <v>1</v>
      </c>
      <c r="F205" s="42">
        <v>2.85</v>
      </c>
      <c r="G205" s="45">
        <v>350</v>
      </c>
      <c r="H205" s="22">
        <v>2.4</v>
      </c>
      <c r="I205" s="6">
        <f t="shared" si="5"/>
        <v>2394</v>
      </c>
      <c r="J205" s="6" t="s">
        <v>1449</v>
      </c>
      <c r="K205" s="17"/>
    </row>
    <row r="206" spans="1:11" ht="13.95" customHeight="1" x14ac:dyDescent="0.3">
      <c r="A206" s="20">
        <v>45862</v>
      </c>
      <c r="B206" s="19" t="s">
        <v>2073</v>
      </c>
      <c r="C206" s="19" t="s">
        <v>8</v>
      </c>
      <c r="D206" s="19" t="s">
        <v>994</v>
      </c>
      <c r="E206" s="4">
        <v>1</v>
      </c>
      <c r="F206" s="42">
        <v>3.15</v>
      </c>
      <c r="G206" s="45">
        <v>350</v>
      </c>
      <c r="H206" s="22">
        <v>2.4</v>
      </c>
      <c r="I206" s="6">
        <f t="shared" si="5"/>
        <v>2646</v>
      </c>
      <c r="J206" s="6" t="s">
        <v>1451</v>
      </c>
      <c r="K206" s="17"/>
    </row>
    <row r="207" spans="1:11" ht="13.95" customHeight="1" x14ac:dyDescent="0.3">
      <c r="A207" s="20">
        <v>45863</v>
      </c>
      <c r="B207" s="19" t="s">
        <v>2073</v>
      </c>
      <c r="C207" s="19" t="s">
        <v>11</v>
      </c>
      <c r="D207" s="19" t="s">
        <v>1010</v>
      </c>
      <c r="E207" s="4">
        <v>1</v>
      </c>
      <c r="F207" s="42">
        <v>3.7</v>
      </c>
      <c r="G207" s="45">
        <v>350</v>
      </c>
      <c r="H207" s="22">
        <v>2.4</v>
      </c>
      <c r="I207" s="6">
        <f t="shared" si="5"/>
        <v>3108</v>
      </c>
      <c r="J207" s="6" t="s">
        <v>2053</v>
      </c>
      <c r="K207" s="17"/>
    </row>
    <row r="208" spans="1:11" ht="13.95" customHeight="1" x14ac:dyDescent="0.3">
      <c r="A208" s="20">
        <v>45864</v>
      </c>
      <c r="B208" s="19" t="s">
        <v>2073</v>
      </c>
      <c r="C208" s="19" t="s">
        <v>13</v>
      </c>
      <c r="D208" s="19" t="s">
        <v>829</v>
      </c>
      <c r="E208" s="4">
        <v>1</v>
      </c>
      <c r="F208" s="42">
        <v>4</v>
      </c>
      <c r="G208" s="45">
        <v>350</v>
      </c>
      <c r="H208" s="22">
        <v>2.4</v>
      </c>
      <c r="I208" s="6">
        <f t="shared" si="5"/>
        <v>3360</v>
      </c>
      <c r="J208" s="6" t="s">
        <v>1981</v>
      </c>
      <c r="K208" s="17"/>
    </row>
    <row r="209" spans="1:11" ht="13.95" customHeight="1" x14ac:dyDescent="0.3">
      <c r="A209" s="20">
        <v>45865</v>
      </c>
      <c r="B209" s="19" t="s">
        <v>2073</v>
      </c>
      <c r="C209" s="19" t="s">
        <v>16</v>
      </c>
      <c r="D209" s="19" t="s">
        <v>829</v>
      </c>
      <c r="E209" s="4">
        <v>1</v>
      </c>
      <c r="F209" s="42">
        <v>3.55</v>
      </c>
      <c r="G209" s="45">
        <v>350</v>
      </c>
      <c r="H209" s="22">
        <v>2.4</v>
      </c>
      <c r="I209" s="6">
        <f t="shared" si="5"/>
        <v>2982</v>
      </c>
      <c r="J209" s="6" t="s">
        <v>69</v>
      </c>
      <c r="K209" s="17"/>
    </row>
    <row r="210" spans="1:11" ht="13.95" customHeight="1" x14ac:dyDescent="0.3">
      <c r="A210" s="20">
        <v>45866</v>
      </c>
      <c r="B210" s="19" t="s">
        <v>2073</v>
      </c>
      <c r="C210" s="19" t="s">
        <v>18</v>
      </c>
      <c r="D210" s="19" t="s">
        <v>1347</v>
      </c>
      <c r="E210" s="4">
        <v>1</v>
      </c>
      <c r="F210" s="42">
        <v>2.95</v>
      </c>
      <c r="G210" s="45">
        <v>350</v>
      </c>
      <c r="H210" s="22">
        <v>2.4</v>
      </c>
      <c r="I210" s="6">
        <f t="shared" si="5"/>
        <v>2478</v>
      </c>
      <c r="J210" s="6" t="s">
        <v>99</v>
      </c>
      <c r="K210" s="17"/>
    </row>
    <row r="211" spans="1:11" ht="13.95" customHeight="1" x14ac:dyDescent="0.3">
      <c r="A211" s="20">
        <v>45867</v>
      </c>
      <c r="B211" s="19" t="s">
        <v>2073</v>
      </c>
      <c r="C211" s="19" t="s">
        <v>20</v>
      </c>
      <c r="D211" s="19" t="s">
        <v>1347</v>
      </c>
      <c r="E211" s="4">
        <v>1</v>
      </c>
      <c r="F211" s="42">
        <v>2.9</v>
      </c>
      <c r="G211" s="45">
        <v>350</v>
      </c>
      <c r="H211" s="22">
        <v>2.4</v>
      </c>
      <c r="I211" s="6">
        <f t="shared" si="5"/>
        <v>2436</v>
      </c>
      <c r="J211" s="6" t="s">
        <v>99</v>
      </c>
      <c r="K211" s="17"/>
    </row>
    <row r="212" spans="1:11" ht="13.95" customHeight="1" x14ac:dyDescent="0.3">
      <c r="A212" s="20">
        <v>45868</v>
      </c>
      <c r="B212" s="19" t="s">
        <v>2073</v>
      </c>
      <c r="C212" s="19" t="s">
        <v>5</v>
      </c>
      <c r="D212" s="19" t="s">
        <v>1347</v>
      </c>
      <c r="E212" s="4">
        <v>1</v>
      </c>
      <c r="F212" s="42">
        <v>2.9</v>
      </c>
      <c r="G212" s="45">
        <v>350</v>
      </c>
      <c r="H212" s="22">
        <v>2.4</v>
      </c>
      <c r="I212" s="6">
        <f t="shared" si="5"/>
        <v>2436</v>
      </c>
      <c r="J212" s="6" t="s">
        <v>99</v>
      </c>
      <c r="K212" s="17"/>
    </row>
    <row r="213" spans="1:11" ht="13.95" customHeight="1" x14ac:dyDescent="0.3">
      <c r="A213" s="20">
        <v>45869</v>
      </c>
      <c r="B213" s="19" t="s">
        <v>2073</v>
      </c>
      <c r="C213" s="19" t="s">
        <v>8</v>
      </c>
      <c r="D213" s="19" t="s">
        <v>1538</v>
      </c>
      <c r="E213" s="4">
        <v>1</v>
      </c>
      <c r="F213" s="42">
        <v>3.05</v>
      </c>
      <c r="G213" s="45">
        <v>350</v>
      </c>
      <c r="H213" s="22">
        <v>2.4</v>
      </c>
      <c r="I213" s="6">
        <f t="shared" si="5"/>
        <v>2562</v>
      </c>
      <c r="J213" s="6" t="s">
        <v>1982</v>
      </c>
      <c r="K213" s="17"/>
    </row>
    <row r="214" spans="1:11" ht="13.95" customHeight="1" x14ac:dyDescent="0.3">
      <c r="A214" s="20">
        <v>45870</v>
      </c>
      <c r="B214" s="19" t="s">
        <v>2073</v>
      </c>
      <c r="C214" s="19" t="s">
        <v>11</v>
      </c>
      <c r="D214" s="19" t="s">
        <v>1347</v>
      </c>
      <c r="E214" s="4">
        <v>1</v>
      </c>
      <c r="F214" s="42">
        <v>3.25</v>
      </c>
      <c r="G214" s="45">
        <v>350</v>
      </c>
      <c r="H214" s="22">
        <v>2.4</v>
      </c>
      <c r="I214" s="6">
        <f t="shared" ref="I214:I245" si="6">(G214*E214)*F214*H214</f>
        <v>2730</v>
      </c>
      <c r="J214" s="6" t="s">
        <v>2054</v>
      </c>
      <c r="K214" s="17"/>
    </row>
    <row r="215" spans="1:11" ht="13.95" customHeight="1" x14ac:dyDescent="0.3">
      <c r="A215" s="20">
        <v>45871</v>
      </c>
      <c r="B215" s="19" t="s">
        <v>2073</v>
      </c>
      <c r="C215" s="19" t="s">
        <v>13</v>
      </c>
      <c r="D215" s="19" t="s">
        <v>829</v>
      </c>
      <c r="E215" s="4">
        <v>1</v>
      </c>
      <c r="F215" s="42">
        <v>4</v>
      </c>
      <c r="G215" s="45">
        <v>350</v>
      </c>
      <c r="H215" s="22">
        <v>2.4</v>
      </c>
      <c r="I215" s="6">
        <f t="shared" si="6"/>
        <v>3360</v>
      </c>
      <c r="J215" s="6" t="s">
        <v>1346</v>
      </c>
      <c r="K215" s="17"/>
    </row>
    <row r="216" spans="1:11" ht="13.95" customHeight="1" x14ac:dyDescent="0.3">
      <c r="A216" s="20">
        <v>45872</v>
      </c>
      <c r="B216" s="19" t="s">
        <v>2073</v>
      </c>
      <c r="C216" s="19" t="s">
        <v>16</v>
      </c>
      <c r="D216" s="19" t="s">
        <v>829</v>
      </c>
      <c r="E216" s="4">
        <v>1</v>
      </c>
      <c r="F216" s="42">
        <v>3.55</v>
      </c>
      <c r="G216" s="45">
        <v>350</v>
      </c>
      <c r="H216" s="22">
        <v>2.4</v>
      </c>
      <c r="I216" s="6">
        <f t="shared" si="6"/>
        <v>2982</v>
      </c>
      <c r="J216" s="6" t="s">
        <v>2049</v>
      </c>
      <c r="K216" s="17"/>
    </row>
    <row r="217" spans="1:11" ht="13.95" customHeight="1" x14ac:dyDescent="0.3">
      <c r="A217" s="20">
        <v>45873</v>
      </c>
      <c r="B217" s="19" t="s">
        <v>2073</v>
      </c>
      <c r="C217" s="19" t="s">
        <v>18</v>
      </c>
      <c r="D217" s="19" t="s">
        <v>1347</v>
      </c>
      <c r="E217" s="4">
        <v>1</v>
      </c>
      <c r="F217" s="42">
        <v>3</v>
      </c>
      <c r="G217" s="45">
        <v>350</v>
      </c>
      <c r="H217" s="22">
        <v>2.4</v>
      </c>
      <c r="I217" s="6">
        <f t="shared" si="6"/>
        <v>2520</v>
      </c>
      <c r="J217" s="6" t="s">
        <v>2055</v>
      </c>
      <c r="K217" s="17"/>
    </row>
    <row r="218" spans="1:11" ht="13.95" customHeight="1" x14ac:dyDescent="0.3">
      <c r="A218" s="20">
        <v>45874</v>
      </c>
      <c r="B218" s="19" t="s">
        <v>2073</v>
      </c>
      <c r="C218" s="19" t="s">
        <v>20</v>
      </c>
      <c r="D218" s="19" t="s">
        <v>1347</v>
      </c>
      <c r="E218" s="4">
        <v>1</v>
      </c>
      <c r="F218" s="42">
        <v>2.95</v>
      </c>
      <c r="G218" s="45">
        <v>350</v>
      </c>
      <c r="H218" s="22">
        <v>2.4</v>
      </c>
      <c r="I218" s="6">
        <f t="shared" si="6"/>
        <v>2478</v>
      </c>
      <c r="J218" s="6" t="s">
        <v>2055</v>
      </c>
      <c r="K218" s="17"/>
    </row>
    <row r="219" spans="1:11" ht="13.95" customHeight="1" x14ac:dyDescent="0.3">
      <c r="A219" s="20">
        <v>45875</v>
      </c>
      <c r="B219" s="19" t="s">
        <v>2073</v>
      </c>
      <c r="C219" s="19" t="s">
        <v>5</v>
      </c>
      <c r="D219" s="19" t="s">
        <v>1347</v>
      </c>
      <c r="E219" s="4">
        <v>1</v>
      </c>
      <c r="F219" s="42">
        <v>2.95</v>
      </c>
      <c r="G219" s="45">
        <v>350</v>
      </c>
      <c r="H219" s="22">
        <v>2.4</v>
      </c>
      <c r="I219" s="6">
        <f t="shared" si="6"/>
        <v>2478</v>
      </c>
      <c r="J219" s="6" t="s">
        <v>2055</v>
      </c>
      <c r="K219" s="17"/>
    </row>
    <row r="220" spans="1:11" ht="13.95" customHeight="1" x14ac:dyDescent="0.3">
      <c r="A220" s="20">
        <v>45876</v>
      </c>
      <c r="B220" s="19" t="s">
        <v>2073</v>
      </c>
      <c r="C220" s="19" t="s">
        <v>8</v>
      </c>
      <c r="D220" s="19" t="s">
        <v>1347</v>
      </c>
      <c r="E220" s="4">
        <v>1</v>
      </c>
      <c r="F220" s="42">
        <v>3.1</v>
      </c>
      <c r="G220" s="45">
        <v>350</v>
      </c>
      <c r="H220" s="22">
        <v>2.4</v>
      </c>
      <c r="I220" s="6">
        <f t="shared" si="6"/>
        <v>2604</v>
      </c>
      <c r="J220" s="6" t="s">
        <v>82</v>
      </c>
      <c r="K220" s="17"/>
    </row>
    <row r="221" spans="1:11" ht="13.95" customHeight="1" x14ac:dyDescent="0.3">
      <c r="A221" s="20">
        <v>45877</v>
      </c>
      <c r="B221" s="19" t="s">
        <v>2073</v>
      </c>
      <c r="C221" s="19" t="s">
        <v>11</v>
      </c>
      <c r="D221" s="19" t="s">
        <v>829</v>
      </c>
      <c r="E221" s="4">
        <v>1</v>
      </c>
      <c r="F221" s="42">
        <v>3.45</v>
      </c>
      <c r="G221" s="45">
        <v>350</v>
      </c>
      <c r="H221" s="22">
        <v>2.4</v>
      </c>
      <c r="I221" s="6">
        <f t="shared" si="6"/>
        <v>2898</v>
      </c>
      <c r="J221" s="6" t="s">
        <v>531</v>
      </c>
      <c r="K221" s="17"/>
    </row>
    <row r="222" spans="1:11" ht="13.95" customHeight="1" x14ac:dyDescent="0.3">
      <c r="A222" s="20">
        <v>45878</v>
      </c>
      <c r="B222" s="19" t="s">
        <v>2073</v>
      </c>
      <c r="C222" s="19" t="s">
        <v>13</v>
      </c>
      <c r="D222" s="19" t="s">
        <v>829</v>
      </c>
      <c r="E222" s="4">
        <v>1</v>
      </c>
      <c r="F222" s="42">
        <v>4.1500000000000004</v>
      </c>
      <c r="G222" s="45">
        <v>350</v>
      </c>
      <c r="H222" s="22">
        <v>2.4</v>
      </c>
      <c r="I222" s="6">
        <f t="shared" si="6"/>
        <v>3486.0000000000005</v>
      </c>
      <c r="J222" s="6" t="s">
        <v>2056</v>
      </c>
      <c r="K222" s="17"/>
    </row>
    <row r="223" spans="1:11" ht="13.95" customHeight="1" x14ac:dyDescent="0.3">
      <c r="A223" s="20">
        <v>45879</v>
      </c>
      <c r="B223" s="19" t="s">
        <v>2073</v>
      </c>
      <c r="C223" s="19" t="s">
        <v>16</v>
      </c>
      <c r="D223" s="19" t="s">
        <v>829</v>
      </c>
      <c r="E223" s="4">
        <v>1</v>
      </c>
      <c r="F223" s="42">
        <v>3.65</v>
      </c>
      <c r="G223" s="45">
        <v>350</v>
      </c>
      <c r="H223" s="22">
        <v>2.4</v>
      </c>
      <c r="I223" s="6">
        <f t="shared" si="6"/>
        <v>3066</v>
      </c>
      <c r="J223" s="6" t="s">
        <v>238</v>
      </c>
      <c r="K223" s="17"/>
    </row>
    <row r="224" spans="1:11" ht="13.95" customHeight="1" x14ac:dyDescent="0.3">
      <c r="A224" s="20">
        <v>45880</v>
      </c>
      <c r="B224" s="19" t="s">
        <v>2073</v>
      </c>
      <c r="C224" s="19" t="s">
        <v>18</v>
      </c>
      <c r="D224" s="19" t="s">
        <v>1347</v>
      </c>
      <c r="E224" s="4">
        <v>1</v>
      </c>
      <c r="F224" s="42">
        <v>3.05</v>
      </c>
      <c r="G224" s="45">
        <v>350</v>
      </c>
      <c r="H224" s="22">
        <v>2.4</v>
      </c>
      <c r="I224" s="6">
        <f t="shared" si="6"/>
        <v>2562</v>
      </c>
      <c r="J224" s="6" t="s">
        <v>1449</v>
      </c>
      <c r="K224" s="17"/>
    </row>
    <row r="225" spans="1:11" ht="13.95" customHeight="1" x14ac:dyDescent="0.3">
      <c r="A225" s="20">
        <v>45881</v>
      </c>
      <c r="B225" s="19" t="s">
        <v>2073</v>
      </c>
      <c r="C225" s="19" t="s">
        <v>20</v>
      </c>
      <c r="D225" s="19" t="s">
        <v>994</v>
      </c>
      <c r="E225" s="4">
        <v>1</v>
      </c>
      <c r="F225" s="42">
        <v>3.35</v>
      </c>
      <c r="G225" s="45">
        <v>350</v>
      </c>
      <c r="H225" s="22">
        <v>2.4</v>
      </c>
      <c r="I225" s="6">
        <f t="shared" si="6"/>
        <v>2814</v>
      </c>
      <c r="J225" s="6" t="s">
        <v>1453</v>
      </c>
      <c r="K225" s="17"/>
    </row>
    <row r="226" spans="1:11" ht="13.95" customHeight="1" x14ac:dyDescent="0.3">
      <c r="A226" s="20">
        <v>45882</v>
      </c>
      <c r="B226" s="19" t="s">
        <v>2073</v>
      </c>
      <c r="C226" s="19" t="s">
        <v>5</v>
      </c>
      <c r="D226" s="19" t="s">
        <v>850</v>
      </c>
      <c r="E226" s="4">
        <v>1</v>
      </c>
      <c r="F226" s="42">
        <v>3.95</v>
      </c>
      <c r="G226" s="45">
        <v>350</v>
      </c>
      <c r="H226" s="22">
        <v>2.4</v>
      </c>
      <c r="I226" s="6">
        <f t="shared" si="6"/>
        <v>3318</v>
      </c>
      <c r="J226" s="6" t="s">
        <v>1985</v>
      </c>
      <c r="K226" s="17"/>
    </row>
    <row r="227" spans="1:11" ht="13.95" customHeight="1" x14ac:dyDescent="0.3">
      <c r="A227" s="20">
        <v>45883</v>
      </c>
      <c r="B227" s="19" t="s">
        <v>2073</v>
      </c>
      <c r="C227" s="19" t="s">
        <v>8</v>
      </c>
      <c r="D227" s="19" t="s">
        <v>1347</v>
      </c>
      <c r="E227" s="4">
        <v>1</v>
      </c>
      <c r="F227" s="42">
        <v>3.1</v>
      </c>
      <c r="G227" s="45">
        <v>350</v>
      </c>
      <c r="H227" s="22">
        <v>2.4</v>
      </c>
      <c r="I227" s="6">
        <f t="shared" si="6"/>
        <v>2604</v>
      </c>
      <c r="J227" s="6" t="s">
        <v>1449</v>
      </c>
      <c r="K227" s="17"/>
    </row>
    <row r="228" spans="1:11" ht="13.95" customHeight="1" x14ac:dyDescent="0.3">
      <c r="A228" s="20">
        <v>45884</v>
      </c>
      <c r="B228" s="19" t="s">
        <v>2073</v>
      </c>
      <c r="C228" s="19" t="s">
        <v>11</v>
      </c>
      <c r="D228" s="19" t="s">
        <v>829</v>
      </c>
      <c r="E228" s="4">
        <v>1</v>
      </c>
      <c r="F228" s="42">
        <v>3.5</v>
      </c>
      <c r="G228" s="45">
        <v>350</v>
      </c>
      <c r="H228" s="22">
        <v>2.4</v>
      </c>
      <c r="I228" s="6">
        <f t="shared" si="6"/>
        <v>2940</v>
      </c>
      <c r="J228" s="6" t="s">
        <v>1463</v>
      </c>
      <c r="K228" s="17"/>
    </row>
    <row r="229" spans="1:11" ht="13.95" customHeight="1" x14ac:dyDescent="0.3">
      <c r="A229" s="20">
        <v>45885</v>
      </c>
      <c r="B229" s="19" t="s">
        <v>2073</v>
      </c>
      <c r="C229" s="19" t="s">
        <v>13</v>
      </c>
      <c r="D229" s="19" t="s">
        <v>829</v>
      </c>
      <c r="E229" s="4">
        <v>1</v>
      </c>
      <c r="F229" s="42">
        <v>4.0999999999999996</v>
      </c>
      <c r="G229" s="45">
        <v>350</v>
      </c>
      <c r="H229" s="22">
        <v>2.4</v>
      </c>
      <c r="I229" s="6">
        <f t="shared" si="6"/>
        <v>3443.9999999999995</v>
      </c>
      <c r="J229" s="6" t="s">
        <v>1572</v>
      </c>
      <c r="K229" s="17"/>
    </row>
    <row r="230" spans="1:11" ht="13.95" customHeight="1" x14ac:dyDescent="0.3">
      <c r="A230" s="20">
        <v>45886</v>
      </c>
      <c r="B230" s="19" t="s">
        <v>2073</v>
      </c>
      <c r="C230" s="19" t="s">
        <v>16</v>
      </c>
      <c r="D230" s="19" t="s">
        <v>829</v>
      </c>
      <c r="E230" s="4">
        <v>1</v>
      </c>
      <c r="F230" s="42">
        <v>3.6</v>
      </c>
      <c r="G230" s="45">
        <v>350</v>
      </c>
      <c r="H230" s="22">
        <v>2.4</v>
      </c>
      <c r="I230" s="6">
        <f t="shared" si="6"/>
        <v>3024</v>
      </c>
      <c r="J230" s="6" t="s">
        <v>69</v>
      </c>
      <c r="K230" s="17"/>
    </row>
    <row r="231" spans="1:11" ht="13.95" customHeight="1" x14ac:dyDescent="0.3">
      <c r="A231" s="20">
        <v>45887</v>
      </c>
      <c r="B231" s="19" t="s">
        <v>2073</v>
      </c>
      <c r="C231" s="19" t="s">
        <v>18</v>
      </c>
      <c r="D231" s="19" t="s">
        <v>1347</v>
      </c>
      <c r="E231" s="4">
        <v>1</v>
      </c>
      <c r="F231" s="42">
        <v>3.05</v>
      </c>
      <c r="G231" s="45">
        <v>350</v>
      </c>
      <c r="H231" s="22">
        <v>2.4</v>
      </c>
      <c r="I231" s="6">
        <f t="shared" si="6"/>
        <v>2562</v>
      </c>
      <c r="J231" s="6" t="s">
        <v>1449</v>
      </c>
      <c r="K231" s="17"/>
    </row>
    <row r="232" spans="1:11" ht="13.95" customHeight="1" x14ac:dyDescent="0.3">
      <c r="A232" s="20">
        <v>45888</v>
      </c>
      <c r="B232" s="19" t="s">
        <v>2073</v>
      </c>
      <c r="C232" s="19" t="s">
        <v>20</v>
      </c>
      <c r="D232" s="19" t="s">
        <v>1347</v>
      </c>
      <c r="E232" s="4">
        <v>1</v>
      </c>
      <c r="F232" s="42">
        <v>3</v>
      </c>
      <c r="G232" s="45">
        <v>350</v>
      </c>
      <c r="H232" s="22">
        <v>2.4</v>
      </c>
      <c r="I232" s="6">
        <f t="shared" si="6"/>
        <v>2520</v>
      </c>
      <c r="J232" s="6" t="s">
        <v>1449</v>
      </c>
      <c r="K232" s="17"/>
    </row>
    <row r="233" spans="1:11" ht="13.95" customHeight="1" x14ac:dyDescent="0.3">
      <c r="A233" s="20">
        <v>45889</v>
      </c>
      <c r="B233" s="19" t="s">
        <v>2073</v>
      </c>
      <c r="C233" s="19" t="s">
        <v>5</v>
      </c>
      <c r="D233" s="19" t="s">
        <v>1347</v>
      </c>
      <c r="E233" s="4">
        <v>1</v>
      </c>
      <c r="F233" s="42">
        <v>3</v>
      </c>
      <c r="G233" s="45">
        <v>350</v>
      </c>
      <c r="H233" s="22">
        <v>2.4</v>
      </c>
      <c r="I233" s="6">
        <f t="shared" si="6"/>
        <v>2520</v>
      </c>
      <c r="J233" s="6" t="s">
        <v>1449</v>
      </c>
      <c r="K233" s="17"/>
    </row>
    <row r="234" spans="1:11" ht="13.95" customHeight="1" x14ac:dyDescent="0.3">
      <c r="A234" s="20">
        <v>45890</v>
      </c>
      <c r="B234" s="19" t="s">
        <v>2073</v>
      </c>
      <c r="C234" s="19" t="s">
        <v>8</v>
      </c>
      <c r="D234" s="19" t="s">
        <v>1347</v>
      </c>
      <c r="E234" s="4">
        <v>1</v>
      </c>
      <c r="F234" s="42">
        <v>3.15</v>
      </c>
      <c r="G234" s="45">
        <v>350</v>
      </c>
      <c r="H234" s="22">
        <v>2.4</v>
      </c>
      <c r="I234" s="6">
        <f t="shared" si="6"/>
        <v>2646</v>
      </c>
      <c r="J234" s="6" t="s">
        <v>82</v>
      </c>
      <c r="K234" s="17"/>
    </row>
    <row r="235" spans="1:11" ht="13.95" customHeight="1" x14ac:dyDescent="0.3">
      <c r="A235" s="20">
        <v>45891</v>
      </c>
      <c r="B235" s="19" t="s">
        <v>2073</v>
      </c>
      <c r="C235" s="19" t="s">
        <v>11</v>
      </c>
      <c r="D235" s="19" t="s">
        <v>829</v>
      </c>
      <c r="E235" s="4">
        <v>1</v>
      </c>
      <c r="F235" s="42">
        <v>3.55</v>
      </c>
      <c r="G235" s="45">
        <v>350</v>
      </c>
      <c r="H235" s="22">
        <v>2.4</v>
      </c>
      <c r="I235" s="6">
        <f t="shared" si="6"/>
        <v>2982</v>
      </c>
      <c r="J235" s="6" t="s">
        <v>97</v>
      </c>
      <c r="K235" s="17"/>
    </row>
    <row r="236" spans="1:11" ht="13.95" customHeight="1" x14ac:dyDescent="0.3">
      <c r="A236" s="20">
        <v>45892</v>
      </c>
      <c r="B236" s="19" t="s">
        <v>2073</v>
      </c>
      <c r="C236" s="19" t="s">
        <v>13</v>
      </c>
      <c r="D236" s="19" t="s">
        <v>829</v>
      </c>
      <c r="E236" s="4">
        <v>1</v>
      </c>
      <c r="F236" s="42">
        <v>4.0999999999999996</v>
      </c>
      <c r="G236" s="45">
        <v>350</v>
      </c>
      <c r="H236" s="22">
        <v>2.4</v>
      </c>
      <c r="I236" s="6">
        <f t="shared" si="6"/>
        <v>3443.9999999999995</v>
      </c>
      <c r="J236" s="6" t="s">
        <v>1679</v>
      </c>
      <c r="K236" s="17"/>
    </row>
    <row r="237" spans="1:11" ht="13.95" customHeight="1" x14ac:dyDescent="0.3">
      <c r="A237" s="20">
        <v>45893</v>
      </c>
      <c r="B237" s="19" t="s">
        <v>2073</v>
      </c>
      <c r="C237" s="19" t="s">
        <v>16</v>
      </c>
      <c r="D237" s="19" t="s">
        <v>829</v>
      </c>
      <c r="E237" s="4">
        <v>1</v>
      </c>
      <c r="F237" s="42">
        <v>3.7</v>
      </c>
      <c r="G237" s="45">
        <v>350</v>
      </c>
      <c r="H237" s="22">
        <v>2.4</v>
      </c>
      <c r="I237" s="6">
        <f t="shared" si="6"/>
        <v>3108</v>
      </c>
      <c r="J237" s="6" t="s">
        <v>69</v>
      </c>
      <c r="K237" s="17"/>
    </row>
    <row r="238" spans="1:11" ht="13.95" customHeight="1" x14ac:dyDescent="0.3">
      <c r="A238" s="20">
        <v>45894</v>
      </c>
      <c r="B238" s="19" t="s">
        <v>2073</v>
      </c>
      <c r="C238" s="19" t="s">
        <v>18</v>
      </c>
      <c r="D238" s="19" t="s">
        <v>1347</v>
      </c>
      <c r="E238" s="4">
        <v>1</v>
      </c>
      <c r="F238" s="42">
        <v>3.1</v>
      </c>
      <c r="G238" s="45">
        <v>350</v>
      </c>
      <c r="H238" s="22">
        <v>2.4</v>
      </c>
      <c r="I238" s="6">
        <f t="shared" si="6"/>
        <v>2604</v>
      </c>
      <c r="J238" s="6" t="s">
        <v>755</v>
      </c>
      <c r="K238" s="17"/>
    </row>
    <row r="239" spans="1:11" ht="13.95" customHeight="1" x14ac:dyDescent="0.3">
      <c r="A239" s="20">
        <v>45895</v>
      </c>
      <c r="B239" s="19" t="s">
        <v>2073</v>
      </c>
      <c r="C239" s="19" t="s">
        <v>20</v>
      </c>
      <c r="D239" s="19" t="s">
        <v>1347</v>
      </c>
      <c r="E239" s="4">
        <v>1</v>
      </c>
      <c r="F239" s="42">
        <v>3.05</v>
      </c>
      <c r="G239" s="45">
        <v>350</v>
      </c>
      <c r="H239" s="22">
        <v>2.4</v>
      </c>
      <c r="I239" s="6">
        <f t="shared" si="6"/>
        <v>2562</v>
      </c>
      <c r="J239" s="6" t="s">
        <v>717</v>
      </c>
      <c r="K239" s="17"/>
    </row>
    <row r="240" spans="1:11" ht="13.95" customHeight="1" x14ac:dyDescent="0.3">
      <c r="A240" s="20">
        <v>45896</v>
      </c>
      <c r="B240" s="19" t="s">
        <v>2073</v>
      </c>
      <c r="C240" s="19" t="s">
        <v>5</v>
      </c>
      <c r="D240" s="19" t="s">
        <v>1347</v>
      </c>
      <c r="E240" s="4">
        <v>1</v>
      </c>
      <c r="F240" s="42">
        <v>3.05</v>
      </c>
      <c r="G240" s="45">
        <v>350</v>
      </c>
      <c r="H240" s="22">
        <v>2.4</v>
      </c>
      <c r="I240" s="6">
        <f t="shared" si="6"/>
        <v>2562</v>
      </c>
      <c r="J240" s="6" t="s">
        <v>717</v>
      </c>
      <c r="K240" s="17"/>
    </row>
    <row r="241" spans="1:11" ht="13.95" customHeight="1" x14ac:dyDescent="0.3">
      <c r="A241" s="20">
        <v>45897</v>
      </c>
      <c r="B241" s="19" t="s">
        <v>2073</v>
      </c>
      <c r="C241" s="19" t="s">
        <v>8</v>
      </c>
      <c r="D241" s="19" t="s">
        <v>1347</v>
      </c>
      <c r="E241" s="4">
        <v>1</v>
      </c>
      <c r="F241" s="42">
        <v>3.2</v>
      </c>
      <c r="G241" s="45">
        <v>350</v>
      </c>
      <c r="H241" s="22">
        <v>2.4</v>
      </c>
      <c r="I241" s="6">
        <f t="shared" si="6"/>
        <v>2688</v>
      </c>
      <c r="J241" s="6" t="s">
        <v>717</v>
      </c>
      <c r="K241" s="17"/>
    </row>
    <row r="242" spans="1:11" ht="13.95" customHeight="1" x14ac:dyDescent="0.3">
      <c r="A242" s="20">
        <v>45898</v>
      </c>
      <c r="B242" s="19" t="s">
        <v>2073</v>
      </c>
      <c r="C242" s="19" t="s">
        <v>11</v>
      </c>
      <c r="D242" s="19" t="s">
        <v>14</v>
      </c>
      <c r="E242" s="4">
        <v>1</v>
      </c>
      <c r="F242" s="42">
        <v>3.6</v>
      </c>
      <c r="G242" s="45">
        <v>350</v>
      </c>
      <c r="H242" s="22">
        <v>2.4</v>
      </c>
      <c r="I242" s="6">
        <f t="shared" si="6"/>
        <v>3024</v>
      </c>
      <c r="J242" s="6" t="s">
        <v>480</v>
      </c>
      <c r="K242" s="17"/>
    </row>
    <row r="243" spans="1:11" ht="13.95" customHeight="1" x14ac:dyDescent="0.3">
      <c r="A243" s="20">
        <v>45899</v>
      </c>
      <c r="B243" s="19" t="s">
        <v>2073</v>
      </c>
      <c r="C243" s="19" t="s">
        <v>13</v>
      </c>
      <c r="D243" s="19" t="s">
        <v>14</v>
      </c>
      <c r="E243" s="4">
        <v>1</v>
      </c>
      <c r="F243" s="42">
        <v>4.2</v>
      </c>
      <c r="G243" s="45">
        <v>350</v>
      </c>
      <c r="H243" s="22">
        <v>2.4</v>
      </c>
      <c r="I243" s="6">
        <f t="shared" si="6"/>
        <v>3528</v>
      </c>
      <c r="J243" s="6" t="s">
        <v>1981</v>
      </c>
      <c r="K243" s="17"/>
    </row>
    <row r="244" spans="1:11" ht="13.95" customHeight="1" x14ac:dyDescent="0.3">
      <c r="A244" s="20">
        <v>45900</v>
      </c>
      <c r="B244" s="19" t="s">
        <v>2073</v>
      </c>
      <c r="C244" s="19" t="s">
        <v>16</v>
      </c>
      <c r="D244" s="19" t="s">
        <v>14</v>
      </c>
      <c r="E244" s="4">
        <v>1</v>
      </c>
      <c r="F244" s="42">
        <v>3.8</v>
      </c>
      <c r="G244" s="45">
        <v>350</v>
      </c>
      <c r="H244" s="22">
        <v>2.4</v>
      </c>
      <c r="I244" s="6">
        <f t="shared" si="6"/>
        <v>3192</v>
      </c>
      <c r="J244" s="6" t="s">
        <v>625</v>
      </c>
      <c r="K244" s="17"/>
    </row>
    <row r="245" spans="1:11" ht="13.95" customHeight="1" x14ac:dyDescent="0.3">
      <c r="A245" s="20">
        <v>45901</v>
      </c>
      <c r="B245" s="19" t="s">
        <v>2073</v>
      </c>
      <c r="C245" s="19" t="s">
        <v>18</v>
      </c>
      <c r="D245" s="19" t="s">
        <v>1545</v>
      </c>
      <c r="E245" s="4">
        <v>0.75</v>
      </c>
      <c r="F245" s="42">
        <v>2.7</v>
      </c>
      <c r="G245" s="45">
        <v>350</v>
      </c>
      <c r="H245" s="22">
        <v>2.2000000000000002</v>
      </c>
      <c r="I245" s="6">
        <f t="shared" si="6"/>
        <v>1559.2500000000002</v>
      </c>
      <c r="J245" s="6" t="s">
        <v>1620</v>
      </c>
      <c r="K245" s="17"/>
    </row>
    <row r="246" spans="1:11" ht="13.95" customHeight="1" x14ac:dyDescent="0.3">
      <c r="A246" s="20">
        <v>45902</v>
      </c>
      <c r="B246" s="19" t="s">
        <v>2073</v>
      </c>
      <c r="C246" s="19" t="s">
        <v>20</v>
      </c>
      <c r="D246" s="19" t="s">
        <v>1340</v>
      </c>
      <c r="E246" s="4">
        <v>0.6</v>
      </c>
      <c r="F246" s="42">
        <v>2.15</v>
      </c>
      <c r="G246" s="45">
        <v>350</v>
      </c>
      <c r="H246" s="22">
        <v>2.2000000000000002</v>
      </c>
      <c r="I246" s="6">
        <f t="shared" ref="I246:I306" si="7">(G246*E246)*F246*H246</f>
        <v>993.30000000000007</v>
      </c>
      <c r="J246" s="6" t="s">
        <v>2057</v>
      </c>
      <c r="K246" s="17"/>
    </row>
    <row r="247" spans="1:11" ht="13.95" customHeight="1" x14ac:dyDescent="0.3">
      <c r="A247" s="20">
        <v>45903</v>
      </c>
      <c r="B247" s="19" t="s">
        <v>2073</v>
      </c>
      <c r="C247" s="19" t="s">
        <v>5</v>
      </c>
      <c r="D247" s="19" t="s">
        <v>1340</v>
      </c>
      <c r="E247" s="4">
        <v>0.55000000000000004</v>
      </c>
      <c r="F247" s="42">
        <v>2.1</v>
      </c>
      <c r="G247" s="45">
        <v>350</v>
      </c>
      <c r="H247" s="22">
        <v>2.2000000000000002</v>
      </c>
      <c r="I247" s="6">
        <f t="shared" si="7"/>
        <v>889.35000000000025</v>
      </c>
      <c r="J247" s="6" t="s">
        <v>1832</v>
      </c>
      <c r="K247" s="17"/>
    </row>
    <row r="248" spans="1:11" ht="13.95" customHeight="1" x14ac:dyDescent="0.3">
      <c r="A248" s="20">
        <v>45904</v>
      </c>
      <c r="B248" s="19" t="s">
        <v>2073</v>
      </c>
      <c r="C248" s="19" t="s">
        <v>8</v>
      </c>
      <c r="D248" s="19" t="s">
        <v>1263</v>
      </c>
      <c r="E248" s="4">
        <v>0.7</v>
      </c>
      <c r="F248" s="42">
        <v>2.35</v>
      </c>
      <c r="G248" s="45">
        <v>350</v>
      </c>
      <c r="H248" s="22">
        <v>2.2000000000000002</v>
      </c>
      <c r="I248" s="6">
        <f t="shared" si="7"/>
        <v>1266.6500000000001</v>
      </c>
      <c r="J248" s="6" t="s">
        <v>2058</v>
      </c>
      <c r="K248" s="17"/>
    </row>
    <row r="249" spans="1:11" ht="13.95" customHeight="1" x14ac:dyDescent="0.3">
      <c r="A249" s="20">
        <v>45905</v>
      </c>
      <c r="B249" s="19" t="s">
        <v>2073</v>
      </c>
      <c r="C249" s="19" t="s">
        <v>11</v>
      </c>
      <c r="D249" s="19" t="s">
        <v>14</v>
      </c>
      <c r="E249" s="4">
        <v>0.75</v>
      </c>
      <c r="F249" s="42">
        <v>2.6</v>
      </c>
      <c r="G249" s="45">
        <v>350</v>
      </c>
      <c r="H249" s="22">
        <v>2.2000000000000002</v>
      </c>
      <c r="I249" s="6">
        <f t="shared" si="7"/>
        <v>1501.5000000000002</v>
      </c>
      <c r="J249" s="6" t="s">
        <v>390</v>
      </c>
      <c r="K249" s="17"/>
    </row>
    <row r="250" spans="1:11" ht="13.95" customHeight="1" x14ac:dyDescent="0.3">
      <c r="A250" s="20">
        <v>45906</v>
      </c>
      <c r="B250" s="19" t="s">
        <v>2073</v>
      </c>
      <c r="C250" s="19" t="s">
        <v>13</v>
      </c>
      <c r="D250" s="19" t="s">
        <v>14</v>
      </c>
      <c r="E250" s="4">
        <v>0.9</v>
      </c>
      <c r="F250" s="42">
        <v>3.55</v>
      </c>
      <c r="G250" s="45">
        <v>350</v>
      </c>
      <c r="H250" s="22">
        <v>2.2000000000000002</v>
      </c>
      <c r="I250" s="6">
        <f t="shared" si="7"/>
        <v>2460.15</v>
      </c>
      <c r="J250" s="6" t="s">
        <v>1346</v>
      </c>
      <c r="K250" s="17"/>
    </row>
    <row r="251" spans="1:11" ht="13.95" customHeight="1" x14ac:dyDescent="0.3">
      <c r="A251" s="20">
        <v>45907</v>
      </c>
      <c r="B251" s="19" t="s">
        <v>2073</v>
      </c>
      <c r="C251" s="19" t="s">
        <v>16</v>
      </c>
      <c r="D251" s="19" t="s">
        <v>14</v>
      </c>
      <c r="E251" s="4">
        <v>0.8</v>
      </c>
      <c r="F251" s="42">
        <v>2.9</v>
      </c>
      <c r="G251" s="45">
        <v>350</v>
      </c>
      <c r="H251" s="22">
        <v>2.2000000000000002</v>
      </c>
      <c r="I251" s="6">
        <f t="shared" si="7"/>
        <v>1786.4</v>
      </c>
      <c r="J251" s="6" t="s">
        <v>139</v>
      </c>
      <c r="K251" s="17"/>
    </row>
    <row r="252" spans="1:11" ht="13.95" customHeight="1" x14ac:dyDescent="0.3">
      <c r="A252" s="20">
        <v>45908</v>
      </c>
      <c r="B252" s="19" t="s">
        <v>2073</v>
      </c>
      <c r="C252" s="19" t="s">
        <v>18</v>
      </c>
      <c r="D252" s="19" t="s">
        <v>1340</v>
      </c>
      <c r="E252" s="4">
        <v>0.5</v>
      </c>
      <c r="F252" s="42">
        <v>2.0499999999999998</v>
      </c>
      <c r="G252" s="45">
        <v>350</v>
      </c>
      <c r="H252" s="22">
        <v>2.2000000000000002</v>
      </c>
      <c r="I252" s="6">
        <f t="shared" si="7"/>
        <v>789.24999999999989</v>
      </c>
      <c r="J252" s="6" t="s">
        <v>1628</v>
      </c>
      <c r="K252" s="17"/>
    </row>
    <row r="253" spans="1:11" ht="13.95" customHeight="1" x14ac:dyDescent="0.3">
      <c r="A253" s="20">
        <v>45909</v>
      </c>
      <c r="B253" s="19" t="s">
        <v>2073</v>
      </c>
      <c r="C253" s="19" t="s">
        <v>20</v>
      </c>
      <c r="D253" s="19" t="s">
        <v>1340</v>
      </c>
      <c r="E253" s="4">
        <v>0.45</v>
      </c>
      <c r="F253" s="42">
        <v>2</v>
      </c>
      <c r="G253" s="45">
        <v>350</v>
      </c>
      <c r="H253" s="22">
        <v>2.2000000000000002</v>
      </c>
      <c r="I253" s="6">
        <f t="shared" si="7"/>
        <v>693</v>
      </c>
      <c r="J253" s="6" t="s">
        <v>1628</v>
      </c>
      <c r="K253" s="17"/>
    </row>
    <row r="254" spans="1:11" ht="13.95" customHeight="1" x14ac:dyDescent="0.3">
      <c r="A254" s="20">
        <v>45910</v>
      </c>
      <c r="B254" s="19" t="s">
        <v>2073</v>
      </c>
      <c r="C254" s="19" t="s">
        <v>5</v>
      </c>
      <c r="D254" s="19" t="s">
        <v>1340</v>
      </c>
      <c r="E254" s="4">
        <v>0.5</v>
      </c>
      <c r="F254" s="42">
        <v>2.0499999999999998</v>
      </c>
      <c r="G254" s="45">
        <v>350</v>
      </c>
      <c r="H254" s="22">
        <v>2.2000000000000002</v>
      </c>
      <c r="I254" s="6">
        <f t="shared" si="7"/>
        <v>789.24999999999989</v>
      </c>
      <c r="J254" s="6" t="s">
        <v>150</v>
      </c>
      <c r="K254" s="17"/>
    </row>
    <row r="255" spans="1:11" ht="13.95" customHeight="1" x14ac:dyDescent="0.3">
      <c r="A255" s="20">
        <v>45911</v>
      </c>
      <c r="B255" s="19" t="s">
        <v>2073</v>
      </c>
      <c r="C255" s="19" t="s">
        <v>8</v>
      </c>
      <c r="D255" s="19" t="s">
        <v>1263</v>
      </c>
      <c r="E255" s="4">
        <v>0.7</v>
      </c>
      <c r="F255" s="42">
        <v>2.2999999999999998</v>
      </c>
      <c r="G255" s="45">
        <v>350</v>
      </c>
      <c r="H255" s="22">
        <v>2.2000000000000002</v>
      </c>
      <c r="I255" s="6">
        <f t="shared" si="7"/>
        <v>1239.6999999999998</v>
      </c>
      <c r="J255" s="6" t="s">
        <v>2059</v>
      </c>
      <c r="K255" s="17"/>
    </row>
    <row r="256" spans="1:11" ht="13.95" customHeight="1" x14ac:dyDescent="0.3">
      <c r="A256" s="20">
        <v>45912</v>
      </c>
      <c r="B256" s="19" t="s">
        <v>2073</v>
      </c>
      <c r="C256" s="19" t="s">
        <v>11</v>
      </c>
      <c r="D256" s="19" t="s">
        <v>14</v>
      </c>
      <c r="E256" s="4">
        <v>0.75</v>
      </c>
      <c r="F256" s="42">
        <v>2.5499999999999998</v>
      </c>
      <c r="G256" s="45">
        <v>350</v>
      </c>
      <c r="H256" s="22">
        <v>2.2000000000000002</v>
      </c>
      <c r="I256" s="6">
        <f t="shared" si="7"/>
        <v>1472.6250000000002</v>
      </c>
      <c r="J256" s="6" t="s">
        <v>97</v>
      </c>
      <c r="K256" s="17"/>
    </row>
    <row r="257" spans="1:11" ht="13.95" customHeight="1" x14ac:dyDescent="0.3">
      <c r="A257" s="20">
        <v>45913</v>
      </c>
      <c r="B257" s="19" t="s">
        <v>2073</v>
      </c>
      <c r="C257" s="19" t="s">
        <v>13</v>
      </c>
      <c r="D257" s="19" t="s">
        <v>14</v>
      </c>
      <c r="E257" s="4">
        <v>0.85</v>
      </c>
      <c r="F257" s="42">
        <v>3.5</v>
      </c>
      <c r="G257" s="45">
        <v>350</v>
      </c>
      <c r="H257" s="22">
        <v>2.2000000000000002</v>
      </c>
      <c r="I257" s="6">
        <f t="shared" si="7"/>
        <v>2290.75</v>
      </c>
      <c r="J257" s="6" t="s">
        <v>1715</v>
      </c>
      <c r="K257" s="17"/>
    </row>
    <row r="258" spans="1:11" ht="13.95" customHeight="1" x14ac:dyDescent="0.3">
      <c r="A258" s="20">
        <v>45914</v>
      </c>
      <c r="B258" s="19" t="s">
        <v>2073</v>
      </c>
      <c r="C258" s="19" t="s">
        <v>16</v>
      </c>
      <c r="D258" s="19" t="s">
        <v>14</v>
      </c>
      <c r="E258" s="4">
        <v>0.75</v>
      </c>
      <c r="F258" s="42">
        <v>2.85</v>
      </c>
      <c r="G258" s="45">
        <v>350</v>
      </c>
      <c r="H258" s="22">
        <v>2.2000000000000002</v>
      </c>
      <c r="I258" s="6">
        <f t="shared" si="7"/>
        <v>1645.8750000000002</v>
      </c>
      <c r="J258" s="6" t="s">
        <v>149</v>
      </c>
      <c r="K258" s="17"/>
    </row>
    <row r="259" spans="1:11" ht="13.95" customHeight="1" x14ac:dyDescent="0.3">
      <c r="A259" s="20">
        <v>45915</v>
      </c>
      <c r="B259" s="19" t="s">
        <v>2073</v>
      </c>
      <c r="C259" s="19" t="s">
        <v>18</v>
      </c>
      <c r="D259" s="19" t="s">
        <v>1259</v>
      </c>
      <c r="E259" s="4">
        <v>0.45</v>
      </c>
      <c r="F259" s="42">
        <v>2</v>
      </c>
      <c r="G259" s="45">
        <v>350</v>
      </c>
      <c r="H259" s="22">
        <v>2.2000000000000002</v>
      </c>
      <c r="I259" s="6">
        <f t="shared" si="7"/>
        <v>693</v>
      </c>
      <c r="J259" s="6" t="s">
        <v>1813</v>
      </c>
      <c r="K259" s="17"/>
    </row>
    <row r="260" spans="1:11" ht="13.95" customHeight="1" x14ac:dyDescent="0.3">
      <c r="A260" s="20">
        <v>45916</v>
      </c>
      <c r="B260" s="19" t="s">
        <v>2073</v>
      </c>
      <c r="C260" s="19" t="s">
        <v>20</v>
      </c>
      <c r="D260" s="19" t="s">
        <v>1259</v>
      </c>
      <c r="E260" s="4">
        <v>0.4</v>
      </c>
      <c r="F260" s="42">
        <v>1.95</v>
      </c>
      <c r="G260" s="45">
        <v>350</v>
      </c>
      <c r="H260" s="22">
        <v>2.2000000000000002</v>
      </c>
      <c r="I260" s="6">
        <f t="shared" si="7"/>
        <v>600.6</v>
      </c>
      <c r="J260" s="6" t="s">
        <v>150</v>
      </c>
      <c r="K260" s="17"/>
    </row>
    <row r="261" spans="1:11" ht="13.95" customHeight="1" x14ac:dyDescent="0.3">
      <c r="A261" s="20">
        <v>45917</v>
      </c>
      <c r="B261" s="19" t="s">
        <v>2073</v>
      </c>
      <c r="C261" s="19" t="s">
        <v>5</v>
      </c>
      <c r="D261" s="19" t="s">
        <v>1259</v>
      </c>
      <c r="E261" s="4">
        <v>0.45</v>
      </c>
      <c r="F261" s="42">
        <v>2</v>
      </c>
      <c r="G261" s="45">
        <v>350</v>
      </c>
      <c r="H261" s="22">
        <v>2.2000000000000002</v>
      </c>
      <c r="I261" s="6">
        <f t="shared" si="7"/>
        <v>693</v>
      </c>
      <c r="J261" s="6" t="s">
        <v>150</v>
      </c>
      <c r="K261" s="17"/>
    </row>
    <row r="262" spans="1:11" ht="13.95" customHeight="1" x14ac:dyDescent="0.3">
      <c r="A262" s="20">
        <v>45918</v>
      </c>
      <c r="B262" s="19" t="s">
        <v>2073</v>
      </c>
      <c r="C262" s="19" t="s">
        <v>8</v>
      </c>
      <c r="D262" s="19" t="s">
        <v>1263</v>
      </c>
      <c r="E262" s="4">
        <v>0.65</v>
      </c>
      <c r="F262" s="42">
        <v>2.25</v>
      </c>
      <c r="G262" s="45">
        <v>350</v>
      </c>
      <c r="H262" s="22">
        <v>2.2000000000000002</v>
      </c>
      <c r="I262" s="6">
        <f t="shared" si="7"/>
        <v>1126.125</v>
      </c>
      <c r="J262" s="6" t="s">
        <v>1991</v>
      </c>
      <c r="K262" s="17"/>
    </row>
    <row r="263" spans="1:11" ht="13.95" customHeight="1" x14ac:dyDescent="0.3">
      <c r="A263" s="20">
        <v>45919</v>
      </c>
      <c r="B263" s="19" t="s">
        <v>2073</v>
      </c>
      <c r="C263" s="19" t="s">
        <v>11</v>
      </c>
      <c r="D263" s="19" t="s">
        <v>14</v>
      </c>
      <c r="E263" s="4">
        <v>0.7</v>
      </c>
      <c r="F263" s="42">
        <v>2.5</v>
      </c>
      <c r="G263" s="45">
        <v>350</v>
      </c>
      <c r="H263" s="22">
        <v>2.2000000000000002</v>
      </c>
      <c r="I263" s="6">
        <f t="shared" si="7"/>
        <v>1347.4999999999998</v>
      </c>
      <c r="J263" s="6" t="s">
        <v>97</v>
      </c>
      <c r="K263" s="17"/>
    </row>
    <row r="264" spans="1:11" ht="13.95" customHeight="1" x14ac:dyDescent="0.3">
      <c r="A264" s="20">
        <v>45920</v>
      </c>
      <c r="B264" s="19" t="s">
        <v>2073</v>
      </c>
      <c r="C264" s="19" t="s">
        <v>13</v>
      </c>
      <c r="D264" s="19" t="s">
        <v>14</v>
      </c>
      <c r="E264" s="4">
        <v>0.8</v>
      </c>
      <c r="F264" s="42">
        <v>3.45</v>
      </c>
      <c r="G264" s="45">
        <v>350</v>
      </c>
      <c r="H264" s="22">
        <v>2.2000000000000002</v>
      </c>
      <c r="I264" s="6">
        <f t="shared" si="7"/>
        <v>2125.2000000000003</v>
      </c>
      <c r="J264" s="6" t="s">
        <v>1992</v>
      </c>
      <c r="K264" s="17"/>
    </row>
    <row r="265" spans="1:11" ht="13.95" customHeight="1" x14ac:dyDescent="0.3">
      <c r="A265" s="20">
        <v>45921</v>
      </c>
      <c r="B265" s="19" t="s">
        <v>2073</v>
      </c>
      <c r="C265" s="19" t="s">
        <v>16</v>
      </c>
      <c r="D265" s="19" t="s">
        <v>14</v>
      </c>
      <c r="E265" s="4">
        <v>0.75</v>
      </c>
      <c r="F265" s="42">
        <v>2.8</v>
      </c>
      <c r="G265" s="45">
        <v>350</v>
      </c>
      <c r="H265" s="22">
        <v>2.2000000000000002</v>
      </c>
      <c r="I265" s="6">
        <f t="shared" si="7"/>
        <v>1617.0000000000002</v>
      </c>
      <c r="J265" s="6" t="s">
        <v>139</v>
      </c>
      <c r="K265" s="17"/>
    </row>
    <row r="266" spans="1:11" ht="13.95" customHeight="1" x14ac:dyDescent="0.3">
      <c r="A266" s="20">
        <v>45922</v>
      </c>
      <c r="B266" s="19" t="s">
        <v>2073</v>
      </c>
      <c r="C266" s="19" t="s">
        <v>18</v>
      </c>
      <c r="D266" s="19" t="s">
        <v>1259</v>
      </c>
      <c r="E266" s="4">
        <v>0.4</v>
      </c>
      <c r="F266" s="42">
        <v>1.95</v>
      </c>
      <c r="G266" s="45">
        <v>350</v>
      </c>
      <c r="H266" s="22">
        <v>2.2000000000000002</v>
      </c>
      <c r="I266" s="6">
        <f t="shared" si="7"/>
        <v>600.6</v>
      </c>
      <c r="J266" s="6" t="s">
        <v>2060</v>
      </c>
      <c r="K266" s="17"/>
    </row>
    <row r="267" spans="1:11" ht="13.95" customHeight="1" x14ac:dyDescent="0.3">
      <c r="A267" s="20">
        <v>45923</v>
      </c>
      <c r="B267" s="19" t="s">
        <v>2073</v>
      </c>
      <c r="C267" s="19" t="s">
        <v>20</v>
      </c>
      <c r="D267" s="19" t="s">
        <v>1259</v>
      </c>
      <c r="E267" s="4">
        <v>0.38</v>
      </c>
      <c r="F267" s="42">
        <v>1.95</v>
      </c>
      <c r="G267" s="45">
        <v>350</v>
      </c>
      <c r="H267" s="22">
        <v>2.2000000000000002</v>
      </c>
      <c r="I267" s="6">
        <f t="shared" si="7"/>
        <v>570.56999999999994</v>
      </c>
      <c r="J267" s="6" t="s">
        <v>150</v>
      </c>
      <c r="K267" s="17"/>
    </row>
    <row r="268" spans="1:11" ht="13.95" customHeight="1" x14ac:dyDescent="0.3">
      <c r="A268" s="20">
        <v>45924</v>
      </c>
      <c r="B268" s="19" t="s">
        <v>2073</v>
      </c>
      <c r="C268" s="19" t="s">
        <v>5</v>
      </c>
      <c r="D268" s="19" t="s">
        <v>1259</v>
      </c>
      <c r="E268" s="4">
        <v>0.42</v>
      </c>
      <c r="F268" s="42">
        <v>1.95</v>
      </c>
      <c r="G268" s="45">
        <v>350</v>
      </c>
      <c r="H268" s="22">
        <v>2.2000000000000002</v>
      </c>
      <c r="I268" s="6">
        <f t="shared" si="7"/>
        <v>630.63</v>
      </c>
      <c r="J268" s="6" t="s">
        <v>150</v>
      </c>
      <c r="K268" s="17"/>
    </row>
    <row r="269" spans="1:11" ht="13.95" customHeight="1" x14ac:dyDescent="0.3">
      <c r="A269" s="20">
        <v>45925</v>
      </c>
      <c r="B269" s="19" t="s">
        <v>2073</v>
      </c>
      <c r="C269" s="19" t="s">
        <v>8</v>
      </c>
      <c r="D269" s="19" t="s">
        <v>1263</v>
      </c>
      <c r="E269" s="4">
        <v>0.6</v>
      </c>
      <c r="F269" s="42">
        <v>2.25</v>
      </c>
      <c r="G269" s="45">
        <v>350</v>
      </c>
      <c r="H269" s="22">
        <v>2.2000000000000002</v>
      </c>
      <c r="I269" s="6">
        <f t="shared" si="7"/>
        <v>1039.5</v>
      </c>
      <c r="J269" s="6" t="s">
        <v>1993</v>
      </c>
      <c r="K269" s="17"/>
    </row>
    <row r="270" spans="1:11" ht="13.95" customHeight="1" x14ac:dyDescent="0.3">
      <c r="A270" s="20">
        <v>45926</v>
      </c>
      <c r="B270" s="19" t="s">
        <v>2073</v>
      </c>
      <c r="C270" s="19" t="s">
        <v>11</v>
      </c>
      <c r="D270" s="19" t="s">
        <v>14</v>
      </c>
      <c r="E270" s="4">
        <v>0.65</v>
      </c>
      <c r="F270" s="42">
        <v>2.5499999999999998</v>
      </c>
      <c r="G270" s="45">
        <v>350</v>
      </c>
      <c r="H270" s="22">
        <v>2.2000000000000002</v>
      </c>
      <c r="I270" s="6">
        <f t="shared" si="7"/>
        <v>1276.2750000000001</v>
      </c>
      <c r="J270" s="6" t="s">
        <v>97</v>
      </c>
      <c r="K270" s="17"/>
    </row>
    <row r="271" spans="1:11" ht="13.95" customHeight="1" x14ac:dyDescent="0.3">
      <c r="A271" s="20">
        <v>45927</v>
      </c>
      <c r="B271" s="19" t="s">
        <v>2073</v>
      </c>
      <c r="C271" s="19" t="s">
        <v>13</v>
      </c>
      <c r="D271" s="19" t="s">
        <v>14</v>
      </c>
      <c r="E271" s="4">
        <v>0.85</v>
      </c>
      <c r="F271" s="42">
        <v>3.4</v>
      </c>
      <c r="G271" s="45">
        <v>350</v>
      </c>
      <c r="H271" s="22">
        <v>2.2000000000000002</v>
      </c>
      <c r="I271" s="6">
        <f t="shared" si="7"/>
        <v>2225.3000000000002</v>
      </c>
      <c r="J271" s="6" t="s">
        <v>1910</v>
      </c>
      <c r="K271" s="17"/>
    </row>
    <row r="272" spans="1:11" ht="13.95" customHeight="1" x14ac:dyDescent="0.3">
      <c r="A272" s="20">
        <v>45928</v>
      </c>
      <c r="B272" s="19" t="s">
        <v>2073</v>
      </c>
      <c r="C272" s="19" t="s">
        <v>16</v>
      </c>
      <c r="D272" s="19" t="s">
        <v>14</v>
      </c>
      <c r="E272" s="4">
        <v>0.75</v>
      </c>
      <c r="F272" s="42">
        <v>2.85</v>
      </c>
      <c r="G272" s="45">
        <v>350</v>
      </c>
      <c r="H272" s="22">
        <v>2.2000000000000002</v>
      </c>
      <c r="I272" s="6">
        <f t="shared" si="7"/>
        <v>1645.8750000000002</v>
      </c>
      <c r="J272" s="6" t="s">
        <v>149</v>
      </c>
      <c r="K272" s="17"/>
    </row>
    <row r="273" spans="1:11" ht="13.95" customHeight="1" x14ac:dyDescent="0.3">
      <c r="A273" s="20">
        <v>45929</v>
      </c>
      <c r="B273" s="19" t="s">
        <v>2073</v>
      </c>
      <c r="C273" s="19" t="s">
        <v>18</v>
      </c>
      <c r="D273" s="19" t="s">
        <v>1259</v>
      </c>
      <c r="E273" s="4">
        <v>0.42</v>
      </c>
      <c r="F273" s="42">
        <v>1.95</v>
      </c>
      <c r="G273" s="45">
        <v>350</v>
      </c>
      <c r="H273" s="22">
        <v>2.2000000000000002</v>
      </c>
      <c r="I273" s="6">
        <f t="shared" si="7"/>
        <v>630.63</v>
      </c>
      <c r="J273" s="6" t="s">
        <v>70</v>
      </c>
      <c r="K273" s="17"/>
    </row>
    <row r="274" spans="1:11" ht="13.95" customHeight="1" x14ac:dyDescent="0.3">
      <c r="A274" s="20">
        <v>45930</v>
      </c>
      <c r="B274" s="19" t="s">
        <v>2073</v>
      </c>
      <c r="C274" s="19" t="s">
        <v>20</v>
      </c>
      <c r="D274" s="19" t="s">
        <v>1259</v>
      </c>
      <c r="E274" s="4">
        <v>0.45</v>
      </c>
      <c r="F274" s="42">
        <v>1.95</v>
      </c>
      <c r="G274" s="45">
        <v>350</v>
      </c>
      <c r="H274" s="22">
        <v>2.2000000000000002</v>
      </c>
      <c r="I274" s="6">
        <f t="shared" si="7"/>
        <v>675.67500000000007</v>
      </c>
      <c r="J274" s="6" t="s">
        <v>99</v>
      </c>
      <c r="K274" s="17"/>
    </row>
    <row r="275" spans="1:11" ht="13.95" customHeight="1" x14ac:dyDescent="0.3">
      <c r="A275" s="20">
        <v>45931</v>
      </c>
      <c r="B275" s="19" t="s">
        <v>2073</v>
      </c>
      <c r="C275" s="19" t="s">
        <v>5</v>
      </c>
      <c r="D275" s="19" t="s">
        <v>1259</v>
      </c>
      <c r="E275" s="4">
        <v>0.5</v>
      </c>
      <c r="F275" s="42">
        <v>2.0499999999999998</v>
      </c>
      <c r="G275" s="45">
        <v>350</v>
      </c>
      <c r="H275" s="22">
        <v>2.1</v>
      </c>
      <c r="I275" s="6">
        <f t="shared" si="7"/>
        <v>753.37499999999989</v>
      </c>
      <c r="J275" s="6" t="s">
        <v>1805</v>
      </c>
      <c r="K275" s="17"/>
    </row>
    <row r="276" spans="1:11" ht="13.95" customHeight="1" x14ac:dyDescent="0.3">
      <c r="A276" s="20">
        <v>45932</v>
      </c>
      <c r="B276" s="19" t="s">
        <v>2073</v>
      </c>
      <c r="C276" s="19" t="s">
        <v>8</v>
      </c>
      <c r="D276" s="19" t="s">
        <v>1263</v>
      </c>
      <c r="E276" s="4">
        <v>0.65</v>
      </c>
      <c r="F276" s="42">
        <v>2.2999999999999998</v>
      </c>
      <c r="G276" s="45">
        <v>350</v>
      </c>
      <c r="H276" s="22">
        <v>2.1</v>
      </c>
      <c r="I276" s="6">
        <f t="shared" si="7"/>
        <v>1098.825</v>
      </c>
      <c r="J276" s="6" t="s">
        <v>2061</v>
      </c>
      <c r="K276" s="17"/>
    </row>
    <row r="277" spans="1:11" ht="13.95" customHeight="1" x14ac:dyDescent="0.3">
      <c r="A277" s="20">
        <v>45933</v>
      </c>
      <c r="B277" s="19" t="s">
        <v>2073</v>
      </c>
      <c r="C277" s="19" t="s">
        <v>11</v>
      </c>
      <c r="D277" s="19" t="s">
        <v>14</v>
      </c>
      <c r="E277" s="4">
        <v>0.7</v>
      </c>
      <c r="F277" s="42">
        <v>2.5</v>
      </c>
      <c r="G277" s="45">
        <v>350</v>
      </c>
      <c r="H277" s="22">
        <v>2.1</v>
      </c>
      <c r="I277" s="6">
        <f t="shared" si="7"/>
        <v>1286.2499999999998</v>
      </c>
      <c r="J277" s="6" t="s">
        <v>390</v>
      </c>
      <c r="K277" s="17"/>
    </row>
    <row r="278" spans="1:11" ht="13.95" customHeight="1" x14ac:dyDescent="0.3">
      <c r="A278" s="20">
        <v>45934</v>
      </c>
      <c r="B278" s="19" t="s">
        <v>2073</v>
      </c>
      <c r="C278" s="19" t="s">
        <v>13</v>
      </c>
      <c r="D278" s="19" t="s">
        <v>14</v>
      </c>
      <c r="E278" s="4">
        <v>0.85</v>
      </c>
      <c r="F278" s="42">
        <v>3.35</v>
      </c>
      <c r="G278" s="45">
        <v>350</v>
      </c>
      <c r="H278" s="22">
        <v>2.1</v>
      </c>
      <c r="I278" s="6">
        <f t="shared" si="7"/>
        <v>2092.9124999999999</v>
      </c>
      <c r="J278" s="6" t="s">
        <v>1346</v>
      </c>
      <c r="K278" s="17"/>
    </row>
    <row r="279" spans="1:11" ht="13.95" customHeight="1" x14ac:dyDescent="0.3">
      <c r="A279" s="20">
        <v>45935</v>
      </c>
      <c r="B279" s="19" t="s">
        <v>2073</v>
      </c>
      <c r="C279" s="19" t="s">
        <v>16</v>
      </c>
      <c r="D279" s="19" t="s">
        <v>14</v>
      </c>
      <c r="E279" s="4">
        <v>0.75</v>
      </c>
      <c r="F279" s="42">
        <v>2.75</v>
      </c>
      <c r="G279" s="45">
        <v>350</v>
      </c>
      <c r="H279" s="22">
        <v>2.1</v>
      </c>
      <c r="I279" s="6">
        <f t="shared" si="7"/>
        <v>1515.9375</v>
      </c>
      <c r="J279" s="6" t="s">
        <v>139</v>
      </c>
      <c r="K279" s="17"/>
    </row>
    <row r="280" spans="1:11" ht="13.95" customHeight="1" x14ac:dyDescent="0.3">
      <c r="A280" s="20">
        <v>45936</v>
      </c>
      <c r="B280" s="19" t="s">
        <v>2073</v>
      </c>
      <c r="C280" s="19" t="s">
        <v>18</v>
      </c>
      <c r="D280" s="19" t="s">
        <v>1259</v>
      </c>
      <c r="E280" s="4">
        <v>0.4</v>
      </c>
      <c r="F280" s="42">
        <v>1.95</v>
      </c>
      <c r="G280" s="45">
        <v>350</v>
      </c>
      <c r="H280" s="22">
        <v>2.1</v>
      </c>
      <c r="I280" s="6">
        <f t="shared" si="7"/>
        <v>573.30000000000007</v>
      </c>
      <c r="J280" s="6" t="s">
        <v>150</v>
      </c>
      <c r="K280" s="17"/>
    </row>
    <row r="281" spans="1:11" ht="13.95" customHeight="1" x14ac:dyDescent="0.3">
      <c r="A281" s="20">
        <v>45937</v>
      </c>
      <c r="B281" s="19" t="s">
        <v>2073</v>
      </c>
      <c r="C281" s="19" t="s">
        <v>20</v>
      </c>
      <c r="D281" s="19" t="s">
        <v>1259</v>
      </c>
      <c r="E281" s="4">
        <v>0.4</v>
      </c>
      <c r="F281" s="42">
        <v>1.95</v>
      </c>
      <c r="G281" s="45">
        <v>350</v>
      </c>
      <c r="H281" s="22">
        <v>2.1</v>
      </c>
      <c r="I281" s="6">
        <f t="shared" si="7"/>
        <v>573.30000000000007</v>
      </c>
      <c r="J281" s="6" t="s">
        <v>150</v>
      </c>
      <c r="K281" s="17"/>
    </row>
    <row r="282" spans="1:11" ht="13.95" customHeight="1" x14ac:dyDescent="0.3">
      <c r="A282" s="20">
        <v>45938</v>
      </c>
      <c r="B282" s="19" t="s">
        <v>2073</v>
      </c>
      <c r="C282" s="19" t="s">
        <v>5</v>
      </c>
      <c r="D282" s="19" t="s">
        <v>1259</v>
      </c>
      <c r="E282" s="4">
        <v>0.45</v>
      </c>
      <c r="F282" s="42">
        <v>2</v>
      </c>
      <c r="G282" s="45">
        <v>350</v>
      </c>
      <c r="H282" s="22">
        <v>2.1</v>
      </c>
      <c r="I282" s="6">
        <f t="shared" si="7"/>
        <v>661.5</v>
      </c>
      <c r="J282" s="6" t="s">
        <v>150</v>
      </c>
      <c r="K282" s="17"/>
    </row>
    <row r="283" spans="1:11" ht="13.95" customHeight="1" x14ac:dyDescent="0.3">
      <c r="A283" s="20">
        <v>45939</v>
      </c>
      <c r="B283" s="19" t="s">
        <v>2073</v>
      </c>
      <c r="C283" s="19" t="s">
        <v>8</v>
      </c>
      <c r="D283" s="19" t="s">
        <v>1263</v>
      </c>
      <c r="E283" s="4">
        <v>0.7</v>
      </c>
      <c r="F283" s="42">
        <v>2.35</v>
      </c>
      <c r="G283" s="45">
        <v>350</v>
      </c>
      <c r="H283" s="22">
        <v>2.1</v>
      </c>
      <c r="I283" s="6">
        <f t="shared" si="7"/>
        <v>1209.075</v>
      </c>
      <c r="J283" s="6" t="s">
        <v>2001</v>
      </c>
      <c r="K283" s="17"/>
    </row>
    <row r="284" spans="1:11" ht="13.95" customHeight="1" x14ac:dyDescent="0.3">
      <c r="A284" s="20">
        <v>45940</v>
      </c>
      <c r="B284" s="19" t="s">
        <v>2073</v>
      </c>
      <c r="C284" s="19" t="s">
        <v>11</v>
      </c>
      <c r="D284" s="19" t="s">
        <v>14</v>
      </c>
      <c r="E284" s="4">
        <v>0.7</v>
      </c>
      <c r="F284" s="42">
        <v>2.5</v>
      </c>
      <c r="G284" s="45">
        <v>350</v>
      </c>
      <c r="H284" s="22">
        <v>2.1</v>
      </c>
      <c r="I284" s="6">
        <f t="shared" si="7"/>
        <v>1286.2499999999998</v>
      </c>
      <c r="J284" s="6" t="s">
        <v>97</v>
      </c>
      <c r="K284" s="17"/>
    </row>
    <row r="285" spans="1:11" ht="13.95" customHeight="1" x14ac:dyDescent="0.3">
      <c r="A285" s="20">
        <v>45941</v>
      </c>
      <c r="B285" s="19" t="s">
        <v>2073</v>
      </c>
      <c r="C285" s="19" t="s">
        <v>13</v>
      </c>
      <c r="D285" s="19" t="s">
        <v>14</v>
      </c>
      <c r="E285" s="4">
        <v>0.85</v>
      </c>
      <c r="F285" s="42">
        <v>3.4</v>
      </c>
      <c r="G285" s="45">
        <v>350</v>
      </c>
      <c r="H285" s="22">
        <v>2.1</v>
      </c>
      <c r="I285" s="6">
        <f t="shared" si="7"/>
        <v>2124.15</v>
      </c>
      <c r="J285" s="6" t="s">
        <v>1464</v>
      </c>
      <c r="K285" s="17"/>
    </row>
    <row r="286" spans="1:11" ht="13.95" customHeight="1" x14ac:dyDescent="0.3">
      <c r="A286" s="20">
        <v>45942</v>
      </c>
      <c r="B286" s="19" t="s">
        <v>2073</v>
      </c>
      <c r="C286" s="19" t="s">
        <v>16</v>
      </c>
      <c r="D286" s="19" t="s">
        <v>14</v>
      </c>
      <c r="E286" s="4">
        <v>0.75</v>
      </c>
      <c r="F286" s="42">
        <v>2.8</v>
      </c>
      <c r="G286" s="45">
        <v>350</v>
      </c>
      <c r="H286" s="22">
        <v>2.1</v>
      </c>
      <c r="I286" s="6">
        <f t="shared" si="7"/>
        <v>1543.5</v>
      </c>
      <c r="J286" s="6" t="s">
        <v>149</v>
      </c>
      <c r="K286" s="17"/>
    </row>
    <row r="287" spans="1:11" ht="13.95" customHeight="1" x14ac:dyDescent="0.3">
      <c r="A287" s="20">
        <v>45943</v>
      </c>
      <c r="B287" s="19" t="s">
        <v>2073</v>
      </c>
      <c r="C287" s="19" t="s">
        <v>18</v>
      </c>
      <c r="D287" s="19" t="s">
        <v>1259</v>
      </c>
      <c r="E287" s="4">
        <v>0.45</v>
      </c>
      <c r="F287" s="42">
        <v>2</v>
      </c>
      <c r="G287" s="45">
        <v>350</v>
      </c>
      <c r="H287" s="22">
        <v>2.1</v>
      </c>
      <c r="I287" s="6">
        <f t="shared" si="7"/>
        <v>661.5</v>
      </c>
      <c r="J287" s="6" t="s">
        <v>70</v>
      </c>
      <c r="K287" s="17"/>
    </row>
    <row r="288" spans="1:11" ht="13.95" customHeight="1" x14ac:dyDescent="0.3">
      <c r="A288" s="20">
        <v>45944</v>
      </c>
      <c r="B288" s="19" t="s">
        <v>2073</v>
      </c>
      <c r="C288" s="19" t="s">
        <v>20</v>
      </c>
      <c r="D288" s="19" t="s">
        <v>994</v>
      </c>
      <c r="E288" s="4">
        <v>0.6</v>
      </c>
      <c r="F288" s="42">
        <v>2.25</v>
      </c>
      <c r="G288" s="45">
        <v>350</v>
      </c>
      <c r="H288" s="22">
        <v>2.1</v>
      </c>
      <c r="I288" s="6">
        <f t="shared" si="7"/>
        <v>992.25</v>
      </c>
      <c r="J288" s="6" t="s">
        <v>1706</v>
      </c>
      <c r="K288" s="17"/>
    </row>
    <row r="289" spans="1:11" ht="13.95" customHeight="1" x14ac:dyDescent="0.3">
      <c r="A289" s="20">
        <v>45945</v>
      </c>
      <c r="B289" s="19" t="s">
        <v>2073</v>
      </c>
      <c r="C289" s="19" t="s">
        <v>5</v>
      </c>
      <c r="D289" s="19" t="s">
        <v>865</v>
      </c>
      <c r="E289" s="4">
        <v>0.8</v>
      </c>
      <c r="F289" s="42">
        <v>2.7</v>
      </c>
      <c r="G289" s="45">
        <v>350</v>
      </c>
      <c r="H289" s="22">
        <v>2.1</v>
      </c>
      <c r="I289" s="6">
        <f t="shared" si="7"/>
        <v>1587.6000000000001</v>
      </c>
      <c r="J289" s="6" t="s">
        <v>1876</v>
      </c>
      <c r="K289" s="17"/>
    </row>
    <row r="290" spans="1:11" ht="13.95" customHeight="1" x14ac:dyDescent="0.3">
      <c r="A290" s="20">
        <v>45946</v>
      </c>
      <c r="B290" s="19" t="s">
        <v>2073</v>
      </c>
      <c r="C290" s="19" t="s">
        <v>8</v>
      </c>
      <c r="D290" s="19" t="s">
        <v>1259</v>
      </c>
      <c r="E290" s="4">
        <v>0.5</v>
      </c>
      <c r="F290" s="42">
        <v>2.1</v>
      </c>
      <c r="G290" s="45">
        <v>350</v>
      </c>
      <c r="H290" s="22">
        <v>2.1</v>
      </c>
      <c r="I290" s="6">
        <f t="shared" si="7"/>
        <v>771.75</v>
      </c>
      <c r="J290" s="6" t="s">
        <v>150</v>
      </c>
      <c r="K290" s="17"/>
    </row>
    <row r="291" spans="1:11" ht="13.95" customHeight="1" x14ac:dyDescent="0.3">
      <c r="A291" s="20">
        <v>45947</v>
      </c>
      <c r="B291" s="19" t="s">
        <v>2073</v>
      </c>
      <c r="C291" s="19" t="s">
        <v>11</v>
      </c>
      <c r="D291" s="19" t="s">
        <v>1434</v>
      </c>
      <c r="E291" s="4">
        <v>0.65</v>
      </c>
      <c r="F291" s="42">
        <v>2.4500000000000002</v>
      </c>
      <c r="G291" s="45">
        <v>350</v>
      </c>
      <c r="H291" s="22">
        <v>2.1</v>
      </c>
      <c r="I291" s="6">
        <f t="shared" si="7"/>
        <v>1170.4875</v>
      </c>
      <c r="J291" s="6" t="s">
        <v>1818</v>
      </c>
      <c r="K291" s="17"/>
    </row>
    <row r="292" spans="1:11" ht="13.95" customHeight="1" x14ac:dyDescent="0.3">
      <c r="A292" s="20">
        <v>45948</v>
      </c>
      <c r="B292" s="19" t="s">
        <v>2073</v>
      </c>
      <c r="C292" s="19" t="s">
        <v>13</v>
      </c>
      <c r="D292" s="19" t="s">
        <v>1434</v>
      </c>
      <c r="E292" s="4">
        <v>0.9</v>
      </c>
      <c r="F292" s="42">
        <v>3.25</v>
      </c>
      <c r="G292" s="45">
        <v>350</v>
      </c>
      <c r="H292" s="22">
        <v>2.1</v>
      </c>
      <c r="I292" s="6">
        <f t="shared" si="7"/>
        <v>2149.875</v>
      </c>
      <c r="J292" s="6" t="s">
        <v>2062</v>
      </c>
      <c r="K292" s="17"/>
    </row>
    <row r="293" spans="1:11" ht="13.95" customHeight="1" x14ac:dyDescent="0.3">
      <c r="A293" s="20">
        <v>45949</v>
      </c>
      <c r="B293" s="19" t="s">
        <v>2073</v>
      </c>
      <c r="C293" s="19" t="s">
        <v>16</v>
      </c>
      <c r="D293" s="19" t="s">
        <v>1434</v>
      </c>
      <c r="E293" s="4">
        <v>0.85</v>
      </c>
      <c r="F293" s="42">
        <v>2.8</v>
      </c>
      <c r="G293" s="45">
        <v>350</v>
      </c>
      <c r="H293" s="22">
        <v>2.1</v>
      </c>
      <c r="I293" s="6">
        <f t="shared" si="7"/>
        <v>1749.3000000000002</v>
      </c>
      <c r="J293" s="6" t="s">
        <v>1275</v>
      </c>
      <c r="K293" s="17"/>
    </row>
    <row r="294" spans="1:11" ht="13.95" customHeight="1" x14ac:dyDescent="0.3">
      <c r="A294" s="20">
        <v>45950</v>
      </c>
      <c r="B294" s="19" t="s">
        <v>2073</v>
      </c>
      <c r="C294" s="19" t="s">
        <v>18</v>
      </c>
      <c r="D294" s="19" t="s">
        <v>1434</v>
      </c>
      <c r="E294" s="4">
        <v>0.75</v>
      </c>
      <c r="F294" s="42">
        <v>2.4500000000000002</v>
      </c>
      <c r="G294" s="45">
        <v>350</v>
      </c>
      <c r="H294" s="22">
        <v>2.1</v>
      </c>
      <c r="I294" s="6">
        <f t="shared" si="7"/>
        <v>1350.5625</v>
      </c>
      <c r="J294" s="6" t="s">
        <v>1721</v>
      </c>
      <c r="K294" s="17"/>
    </row>
    <row r="295" spans="1:11" ht="13.95" customHeight="1" x14ac:dyDescent="0.3">
      <c r="A295" s="20">
        <v>45951</v>
      </c>
      <c r="B295" s="19" t="s">
        <v>2073</v>
      </c>
      <c r="C295" s="19" t="s">
        <v>20</v>
      </c>
      <c r="D295" s="19" t="s">
        <v>1434</v>
      </c>
      <c r="E295" s="4">
        <v>0.75</v>
      </c>
      <c r="F295" s="42">
        <v>2.4</v>
      </c>
      <c r="G295" s="45">
        <v>350</v>
      </c>
      <c r="H295" s="22">
        <v>2.1</v>
      </c>
      <c r="I295" s="6">
        <f t="shared" si="7"/>
        <v>1323</v>
      </c>
      <c r="J295" s="6" t="s">
        <v>1721</v>
      </c>
      <c r="K295" s="17"/>
    </row>
    <row r="296" spans="1:11" ht="13.95" customHeight="1" x14ac:dyDescent="0.3">
      <c r="A296" s="20">
        <v>45952</v>
      </c>
      <c r="B296" s="19" t="s">
        <v>2073</v>
      </c>
      <c r="C296" s="19" t="s">
        <v>5</v>
      </c>
      <c r="D296" s="19" t="s">
        <v>1434</v>
      </c>
      <c r="E296" s="4">
        <v>0.8</v>
      </c>
      <c r="F296" s="42">
        <v>2.4</v>
      </c>
      <c r="G296" s="45">
        <v>350</v>
      </c>
      <c r="H296" s="22">
        <v>2.1</v>
      </c>
      <c r="I296" s="6">
        <f t="shared" si="7"/>
        <v>1411.2</v>
      </c>
      <c r="J296" s="6" t="s">
        <v>717</v>
      </c>
      <c r="K296" s="17"/>
    </row>
    <row r="297" spans="1:11" ht="13.95" customHeight="1" x14ac:dyDescent="0.3">
      <c r="A297" s="20">
        <v>45953</v>
      </c>
      <c r="B297" s="19" t="s">
        <v>2073</v>
      </c>
      <c r="C297" s="19" t="s">
        <v>8</v>
      </c>
      <c r="D297" s="19" t="s">
        <v>1263</v>
      </c>
      <c r="E297" s="4">
        <v>0.75</v>
      </c>
      <c r="F297" s="42">
        <v>2.5</v>
      </c>
      <c r="G297" s="45">
        <v>350</v>
      </c>
      <c r="H297" s="22">
        <v>2.1</v>
      </c>
      <c r="I297" s="6">
        <f t="shared" si="7"/>
        <v>1378.125</v>
      </c>
      <c r="J297" s="6" t="s">
        <v>1998</v>
      </c>
      <c r="K297" s="17"/>
    </row>
    <row r="298" spans="1:11" ht="13.95" customHeight="1" x14ac:dyDescent="0.3">
      <c r="A298" s="20">
        <v>45954</v>
      </c>
      <c r="B298" s="19" t="s">
        <v>2073</v>
      </c>
      <c r="C298" s="19" t="s">
        <v>11</v>
      </c>
      <c r="D298" s="19" t="s">
        <v>14</v>
      </c>
      <c r="E298" s="4">
        <v>0.8</v>
      </c>
      <c r="F298" s="42">
        <v>2.75</v>
      </c>
      <c r="G298" s="45">
        <v>350</v>
      </c>
      <c r="H298" s="22">
        <v>2.1</v>
      </c>
      <c r="I298" s="6">
        <f t="shared" si="7"/>
        <v>1617</v>
      </c>
      <c r="J298" s="6" t="s">
        <v>1369</v>
      </c>
      <c r="K298" s="17"/>
    </row>
    <row r="299" spans="1:11" ht="13.95" customHeight="1" x14ac:dyDescent="0.3">
      <c r="A299" s="20">
        <v>45955</v>
      </c>
      <c r="B299" s="19" t="s">
        <v>2073</v>
      </c>
      <c r="C299" s="19" t="s">
        <v>13</v>
      </c>
      <c r="D299" s="19" t="s">
        <v>14</v>
      </c>
      <c r="E299" s="4">
        <v>0.95</v>
      </c>
      <c r="F299" s="42">
        <v>3.5</v>
      </c>
      <c r="G299" s="45">
        <v>350</v>
      </c>
      <c r="H299" s="22">
        <v>2.1</v>
      </c>
      <c r="I299" s="6">
        <f t="shared" si="7"/>
        <v>2443.875</v>
      </c>
      <c r="J299" s="6" t="s">
        <v>1531</v>
      </c>
      <c r="K299" s="17"/>
    </row>
    <row r="300" spans="1:11" ht="13.95" customHeight="1" x14ac:dyDescent="0.3">
      <c r="A300" s="20">
        <v>45956</v>
      </c>
      <c r="B300" s="19" t="s">
        <v>2073</v>
      </c>
      <c r="C300" s="19" t="s">
        <v>16</v>
      </c>
      <c r="D300" s="19" t="s">
        <v>14</v>
      </c>
      <c r="E300" s="4">
        <v>0.85</v>
      </c>
      <c r="F300" s="42">
        <v>3</v>
      </c>
      <c r="G300" s="45">
        <v>350</v>
      </c>
      <c r="H300" s="22">
        <v>2.1</v>
      </c>
      <c r="I300" s="6">
        <f t="shared" si="7"/>
        <v>1874.25</v>
      </c>
      <c r="J300" s="6" t="s">
        <v>69</v>
      </c>
      <c r="K300" s="17"/>
    </row>
    <row r="301" spans="1:11" ht="13.95" customHeight="1" x14ac:dyDescent="0.3">
      <c r="A301" s="20">
        <v>45957</v>
      </c>
      <c r="B301" s="19" t="s">
        <v>2073</v>
      </c>
      <c r="C301" s="19" t="s">
        <v>18</v>
      </c>
      <c r="D301" s="19" t="s">
        <v>1259</v>
      </c>
      <c r="E301" s="4">
        <v>0.55000000000000004</v>
      </c>
      <c r="F301" s="42">
        <v>2.15</v>
      </c>
      <c r="G301" s="45">
        <v>350</v>
      </c>
      <c r="H301" s="22">
        <v>2.1</v>
      </c>
      <c r="I301" s="6">
        <f t="shared" si="7"/>
        <v>869.13750000000016</v>
      </c>
      <c r="J301" s="6" t="s">
        <v>2063</v>
      </c>
      <c r="K301" s="17"/>
    </row>
    <row r="302" spans="1:11" ht="13.95" customHeight="1" x14ac:dyDescent="0.3">
      <c r="A302" s="20">
        <v>45958</v>
      </c>
      <c r="B302" s="19" t="s">
        <v>2073</v>
      </c>
      <c r="C302" s="19" t="s">
        <v>20</v>
      </c>
      <c r="D302" s="19" t="s">
        <v>1259</v>
      </c>
      <c r="E302" s="4">
        <v>0.5</v>
      </c>
      <c r="F302" s="42">
        <v>2.0499999999999998</v>
      </c>
      <c r="G302" s="45">
        <v>350</v>
      </c>
      <c r="H302" s="22">
        <v>2.1</v>
      </c>
      <c r="I302" s="6">
        <f t="shared" si="7"/>
        <v>753.37499999999989</v>
      </c>
      <c r="J302" s="6" t="s">
        <v>150</v>
      </c>
      <c r="K302" s="17"/>
    </row>
    <row r="303" spans="1:11" ht="13.95" customHeight="1" x14ac:dyDescent="0.3">
      <c r="A303" s="20">
        <v>45959</v>
      </c>
      <c r="B303" s="19" t="s">
        <v>2073</v>
      </c>
      <c r="C303" s="19" t="s">
        <v>5</v>
      </c>
      <c r="D303" s="19" t="s">
        <v>1259</v>
      </c>
      <c r="E303" s="4">
        <v>0.45</v>
      </c>
      <c r="F303" s="42">
        <v>2</v>
      </c>
      <c r="G303" s="45">
        <v>350</v>
      </c>
      <c r="H303" s="22">
        <v>2.1</v>
      </c>
      <c r="I303" s="6">
        <f t="shared" si="7"/>
        <v>661.5</v>
      </c>
      <c r="J303" s="6" t="s">
        <v>150</v>
      </c>
      <c r="K303" s="17"/>
    </row>
    <row r="304" spans="1:11" ht="13.95" customHeight="1" x14ac:dyDescent="0.3">
      <c r="A304" s="20">
        <v>45960</v>
      </c>
      <c r="B304" s="19" t="s">
        <v>2073</v>
      </c>
      <c r="C304" s="19" t="s">
        <v>8</v>
      </c>
      <c r="D304" s="19" t="s">
        <v>1820</v>
      </c>
      <c r="E304" s="4">
        <v>0.6</v>
      </c>
      <c r="F304" s="42">
        <v>2.25</v>
      </c>
      <c r="G304" s="45">
        <v>350</v>
      </c>
      <c r="H304" s="22">
        <v>2.1</v>
      </c>
      <c r="I304" s="6">
        <f t="shared" si="7"/>
        <v>992.25</v>
      </c>
      <c r="J304" s="6" t="s">
        <v>1821</v>
      </c>
      <c r="K304" s="17"/>
    </row>
    <row r="305" spans="1:11" ht="13.95" customHeight="1" x14ac:dyDescent="0.3">
      <c r="A305" s="20">
        <v>45961</v>
      </c>
      <c r="B305" s="19" t="s">
        <v>2073</v>
      </c>
      <c r="C305" s="19" t="s">
        <v>11</v>
      </c>
      <c r="D305" s="19" t="s">
        <v>867</v>
      </c>
      <c r="E305" s="4">
        <v>0.8</v>
      </c>
      <c r="F305" s="42">
        <v>3</v>
      </c>
      <c r="G305" s="45">
        <v>350</v>
      </c>
      <c r="H305" s="22">
        <v>2.1</v>
      </c>
      <c r="I305" s="6">
        <f t="shared" si="7"/>
        <v>1764</v>
      </c>
      <c r="J305" s="6" t="s">
        <v>1711</v>
      </c>
      <c r="K305" s="17"/>
    </row>
    <row r="306" spans="1:11" ht="13.95" customHeight="1" x14ac:dyDescent="0.3">
      <c r="A306" s="20">
        <v>45962</v>
      </c>
      <c r="B306" s="19" t="s">
        <v>2073</v>
      </c>
      <c r="C306" s="19" t="s">
        <v>13</v>
      </c>
      <c r="D306" s="19" t="s">
        <v>1619</v>
      </c>
      <c r="E306" s="4">
        <v>0.65</v>
      </c>
      <c r="F306" s="42">
        <v>2.65</v>
      </c>
      <c r="G306" s="45">
        <v>350</v>
      </c>
      <c r="H306" s="22">
        <v>2</v>
      </c>
      <c r="I306" s="6">
        <f t="shared" si="7"/>
        <v>1205.75</v>
      </c>
      <c r="J306" s="6" t="s">
        <v>1620</v>
      </c>
      <c r="K306" s="17"/>
    </row>
    <row r="307" spans="1:11" ht="13.95" customHeight="1" x14ac:dyDescent="0.3">
      <c r="A307" s="20">
        <v>45963</v>
      </c>
      <c r="B307" s="19" t="s">
        <v>2073</v>
      </c>
      <c r="C307" s="19" t="s">
        <v>16</v>
      </c>
      <c r="D307" s="19" t="s">
        <v>14</v>
      </c>
      <c r="E307" s="4">
        <v>0.5</v>
      </c>
      <c r="F307" s="42">
        <v>2.2999999999999998</v>
      </c>
      <c r="G307" s="45">
        <v>350</v>
      </c>
      <c r="H307" s="22">
        <v>2</v>
      </c>
      <c r="I307" s="6">
        <f t="shared" ref="I307:I350" si="8">(G307*E307)*F307*H307</f>
        <v>804.99999999999989</v>
      </c>
      <c r="J307" s="6" t="s">
        <v>1999</v>
      </c>
      <c r="K307" s="17"/>
    </row>
    <row r="308" spans="1:11" ht="13.95" customHeight="1" x14ac:dyDescent="0.3">
      <c r="A308" s="20">
        <v>45964</v>
      </c>
      <c r="B308" s="19" t="s">
        <v>2073</v>
      </c>
      <c r="C308" s="19" t="s">
        <v>18</v>
      </c>
      <c r="D308" s="19" t="s">
        <v>2015</v>
      </c>
      <c r="E308" s="4">
        <v>0.35</v>
      </c>
      <c r="F308" s="42">
        <v>1.85</v>
      </c>
      <c r="G308" s="45">
        <v>350</v>
      </c>
      <c r="H308" s="22">
        <v>2</v>
      </c>
      <c r="I308" s="6">
        <f t="shared" si="8"/>
        <v>453.24999999999994</v>
      </c>
      <c r="J308" s="6" t="s">
        <v>2064</v>
      </c>
      <c r="K308" s="17"/>
    </row>
    <row r="309" spans="1:11" ht="13.95" customHeight="1" x14ac:dyDescent="0.3">
      <c r="A309" s="20">
        <v>45965</v>
      </c>
      <c r="B309" s="19" t="s">
        <v>2073</v>
      </c>
      <c r="C309" s="19" t="s">
        <v>20</v>
      </c>
      <c r="D309" s="19" t="s">
        <v>1925</v>
      </c>
      <c r="E309" s="4">
        <v>0.6</v>
      </c>
      <c r="F309" s="42">
        <v>2.2000000000000002</v>
      </c>
      <c r="G309" s="45">
        <v>350</v>
      </c>
      <c r="H309" s="22">
        <v>2</v>
      </c>
      <c r="I309" s="6">
        <f t="shared" si="8"/>
        <v>924.00000000000011</v>
      </c>
      <c r="J309" s="6" t="s">
        <v>2065</v>
      </c>
      <c r="K309" s="17"/>
    </row>
    <row r="310" spans="1:11" ht="13.95" customHeight="1" x14ac:dyDescent="0.3">
      <c r="A310" s="20">
        <v>45966</v>
      </c>
      <c r="B310" s="19" t="s">
        <v>2073</v>
      </c>
      <c r="C310" s="19" t="s">
        <v>5</v>
      </c>
      <c r="D310" s="19" t="s">
        <v>1925</v>
      </c>
      <c r="E310" s="4">
        <v>0.65</v>
      </c>
      <c r="F310" s="42">
        <v>2.2000000000000002</v>
      </c>
      <c r="G310" s="45">
        <v>350</v>
      </c>
      <c r="H310" s="22">
        <v>2</v>
      </c>
      <c r="I310" s="6">
        <f t="shared" si="8"/>
        <v>1001.0000000000001</v>
      </c>
      <c r="J310" s="6" t="s">
        <v>2065</v>
      </c>
      <c r="K310" s="17"/>
    </row>
    <row r="311" spans="1:11" ht="13.95" customHeight="1" x14ac:dyDescent="0.3">
      <c r="A311" s="20">
        <v>45967</v>
      </c>
      <c r="B311" s="19" t="s">
        <v>2073</v>
      </c>
      <c r="C311" s="19" t="s">
        <v>8</v>
      </c>
      <c r="D311" s="19" t="s">
        <v>1925</v>
      </c>
      <c r="E311" s="4">
        <v>0.55000000000000004</v>
      </c>
      <c r="F311" s="42">
        <v>2.15</v>
      </c>
      <c r="G311" s="45">
        <v>350</v>
      </c>
      <c r="H311" s="22">
        <v>2</v>
      </c>
      <c r="I311" s="6">
        <f t="shared" si="8"/>
        <v>827.75000000000011</v>
      </c>
      <c r="J311" s="6" t="s">
        <v>1377</v>
      </c>
      <c r="K311" s="17"/>
    </row>
    <row r="312" spans="1:11" ht="13.95" customHeight="1" x14ac:dyDescent="0.3">
      <c r="A312" s="20">
        <v>45968</v>
      </c>
      <c r="B312" s="19" t="s">
        <v>2073</v>
      </c>
      <c r="C312" s="19" t="s">
        <v>11</v>
      </c>
      <c r="D312" s="19" t="s">
        <v>14</v>
      </c>
      <c r="E312" s="4">
        <v>0.6</v>
      </c>
      <c r="F312" s="42">
        <v>2.35</v>
      </c>
      <c r="G312" s="45">
        <v>350</v>
      </c>
      <c r="H312" s="22">
        <v>2</v>
      </c>
      <c r="I312" s="6">
        <f t="shared" si="8"/>
        <v>987</v>
      </c>
      <c r="J312" s="6" t="s">
        <v>2066</v>
      </c>
      <c r="K312" s="17"/>
    </row>
    <row r="313" spans="1:11" ht="13.95" customHeight="1" x14ac:dyDescent="0.3">
      <c r="A313" s="20">
        <v>45969</v>
      </c>
      <c r="B313" s="19" t="s">
        <v>2073</v>
      </c>
      <c r="C313" s="19" t="s">
        <v>13</v>
      </c>
      <c r="D313" s="19" t="s">
        <v>14</v>
      </c>
      <c r="E313" s="4">
        <v>0.8</v>
      </c>
      <c r="F313" s="42">
        <v>3.15</v>
      </c>
      <c r="G313" s="45">
        <v>350</v>
      </c>
      <c r="H313" s="22">
        <v>2</v>
      </c>
      <c r="I313" s="6">
        <f t="shared" si="8"/>
        <v>1764</v>
      </c>
      <c r="J313" s="6" t="s">
        <v>1918</v>
      </c>
      <c r="K313" s="17"/>
    </row>
    <row r="314" spans="1:11" ht="13.95" customHeight="1" x14ac:dyDescent="0.3">
      <c r="A314" s="20">
        <v>45970</v>
      </c>
      <c r="B314" s="19" t="s">
        <v>2073</v>
      </c>
      <c r="C314" s="19" t="s">
        <v>16</v>
      </c>
      <c r="D314" s="19" t="s">
        <v>14</v>
      </c>
      <c r="E314" s="4">
        <v>0.6</v>
      </c>
      <c r="F314" s="42">
        <v>2.5499999999999998</v>
      </c>
      <c r="G314" s="45">
        <v>350</v>
      </c>
      <c r="H314" s="22">
        <v>2</v>
      </c>
      <c r="I314" s="6">
        <f t="shared" si="8"/>
        <v>1071</v>
      </c>
      <c r="J314" s="6" t="s">
        <v>139</v>
      </c>
      <c r="K314" s="17"/>
    </row>
    <row r="315" spans="1:11" ht="13.95" customHeight="1" x14ac:dyDescent="0.3">
      <c r="A315" s="20">
        <v>45971</v>
      </c>
      <c r="B315" s="19" t="s">
        <v>2073</v>
      </c>
      <c r="C315" s="19" t="s">
        <v>18</v>
      </c>
      <c r="D315" s="19" t="s">
        <v>1259</v>
      </c>
      <c r="E315" s="4">
        <v>0.3</v>
      </c>
      <c r="F315" s="42">
        <v>1.8</v>
      </c>
      <c r="G315" s="45">
        <v>350</v>
      </c>
      <c r="H315" s="22">
        <v>2</v>
      </c>
      <c r="I315" s="6">
        <f t="shared" si="8"/>
        <v>378</v>
      </c>
      <c r="J315" s="6" t="s">
        <v>1472</v>
      </c>
      <c r="K315" s="17"/>
    </row>
    <row r="316" spans="1:11" ht="13.95" customHeight="1" x14ac:dyDescent="0.3">
      <c r="A316" s="20">
        <v>45972</v>
      </c>
      <c r="B316" s="19" t="s">
        <v>2073</v>
      </c>
      <c r="C316" s="19" t="s">
        <v>20</v>
      </c>
      <c r="D316" s="19" t="s">
        <v>1259</v>
      </c>
      <c r="E316" s="4">
        <v>0.3</v>
      </c>
      <c r="F316" s="42">
        <v>1.8</v>
      </c>
      <c r="G316" s="45">
        <v>350</v>
      </c>
      <c r="H316" s="22">
        <v>2</v>
      </c>
      <c r="I316" s="6">
        <f t="shared" si="8"/>
        <v>378</v>
      </c>
      <c r="J316" s="6" t="s">
        <v>1472</v>
      </c>
      <c r="K316" s="17"/>
    </row>
    <row r="317" spans="1:11" ht="13.95" customHeight="1" x14ac:dyDescent="0.3">
      <c r="A317" s="20">
        <v>45973</v>
      </c>
      <c r="B317" s="19" t="s">
        <v>2073</v>
      </c>
      <c r="C317" s="19" t="s">
        <v>5</v>
      </c>
      <c r="D317" s="19" t="s">
        <v>1259</v>
      </c>
      <c r="E317" s="4">
        <v>0.35</v>
      </c>
      <c r="F317" s="42">
        <v>1.85</v>
      </c>
      <c r="G317" s="45">
        <v>350</v>
      </c>
      <c r="H317" s="22">
        <v>2</v>
      </c>
      <c r="I317" s="6">
        <f t="shared" si="8"/>
        <v>453.24999999999994</v>
      </c>
      <c r="J317" s="6" t="s">
        <v>150</v>
      </c>
      <c r="K317" s="17"/>
    </row>
    <row r="318" spans="1:11" ht="13.95" customHeight="1" x14ac:dyDescent="0.3">
      <c r="A318" s="20">
        <v>45974</v>
      </c>
      <c r="B318" s="19" t="s">
        <v>2073</v>
      </c>
      <c r="C318" s="19" t="s">
        <v>8</v>
      </c>
      <c r="D318" s="19" t="s">
        <v>1925</v>
      </c>
      <c r="E318" s="4">
        <v>0.7</v>
      </c>
      <c r="F318" s="42">
        <v>2.35</v>
      </c>
      <c r="G318" s="45">
        <v>350</v>
      </c>
      <c r="H318" s="22">
        <v>2</v>
      </c>
      <c r="I318" s="6">
        <f t="shared" si="8"/>
        <v>1151.5</v>
      </c>
      <c r="J318" s="6" t="s">
        <v>1814</v>
      </c>
      <c r="K318" s="17"/>
    </row>
    <row r="319" spans="1:11" ht="13.95" customHeight="1" x14ac:dyDescent="0.3">
      <c r="A319" s="20">
        <v>45975</v>
      </c>
      <c r="B319" s="19" t="s">
        <v>2073</v>
      </c>
      <c r="C319" s="19" t="s">
        <v>11</v>
      </c>
      <c r="D319" s="19" t="s">
        <v>14</v>
      </c>
      <c r="E319" s="4">
        <v>0.65</v>
      </c>
      <c r="F319" s="42">
        <v>2.4500000000000002</v>
      </c>
      <c r="G319" s="45">
        <v>350</v>
      </c>
      <c r="H319" s="22">
        <v>2</v>
      </c>
      <c r="I319" s="6">
        <f t="shared" si="8"/>
        <v>1114.75</v>
      </c>
      <c r="J319" s="6" t="s">
        <v>97</v>
      </c>
      <c r="K319" s="17"/>
    </row>
    <row r="320" spans="1:11" ht="13.95" customHeight="1" x14ac:dyDescent="0.3">
      <c r="A320" s="20">
        <v>45976</v>
      </c>
      <c r="B320" s="19" t="s">
        <v>2073</v>
      </c>
      <c r="C320" s="19" t="s">
        <v>13</v>
      </c>
      <c r="D320" s="19" t="s">
        <v>14</v>
      </c>
      <c r="E320" s="4">
        <v>0.85</v>
      </c>
      <c r="F320" s="42">
        <v>3.3</v>
      </c>
      <c r="G320" s="45">
        <v>350</v>
      </c>
      <c r="H320" s="22">
        <v>2</v>
      </c>
      <c r="I320" s="6">
        <f t="shared" si="8"/>
        <v>1963.5</v>
      </c>
      <c r="J320" s="6" t="s">
        <v>1715</v>
      </c>
      <c r="K320" s="17"/>
    </row>
    <row r="321" spans="1:11" ht="13.95" customHeight="1" x14ac:dyDescent="0.3">
      <c r="A321" s="20">
        <v>45977</v>
      </c>
      <c r="B321" s="19" t="s">
        <v>2073</v>
      </c>
      <c r="C321" s="19" t="s">
        <v>16</v>
      </c>
      <c r="D321" s="19" t="s">
        <v>14</v>
      </c>
      <c r="E321" s="4">
        <v>0.65</v>
      </c>
      <c r="F321" s="42">
        <v>2.65</v>
      </c>
      <c r="G321" s="45">
        <v>350</v>
      </c>
      <c r="H321" s="22">
        <v>2</v>
      </c>
      <c r="I321" s="6">
        <f t="shared" si="8"/>
        <v>1205.75</v>
      </c>
      <c r="J321" s="6" t="s">
        <v>149</v>
      </c>
      <c r="K321" s="17"/>
    </row>
    <row r="322" spans="1:11" ht="13.95" customHeight="1" x14ac:dyDescent="0.3">
      <c r="A322" s="20">
        <v>45978</v>
      </c>
      <c r="B322" s="19" t="s">
        <v>2073</v>
      </c>
      <c r="C322" s="19" t="s">
        <v>18</v>
      </c>
      <c r="D322" s="19" t="s">
        <v>2015</v>
      </c>
      <c r="E322" s="4">
        <v>0.35</v>
      </c>
      <c r="F322" s="42">
        <v>1.8</v>
      </c>
      <c r="G322" s="45">
        <v>350</v>
      </c>
      <c r="H322" s="22">
        <v>2</v>
      </c>
      <c r="I322" s="6">
        <f t="shared" si="8"/>
        <v>440.99999999999994</v>
      </c>
      <c r="J322" s="6" t="s">
        <v>1601</v>
      </c>
      <c r="K322" s="17"/>
    </row>
    <row r="323" spans="1:11" ht="13.95" customHeight="1" x14ac:dyDescent="0.3">
      <c r="A323" s="20">
        <v>45979</v>
      </c>
      <c r="B323" s="19" t="s">
        <v>2073</v>
      </c>
      <c r="C323" s="19" t="s">
        <v>20</v>
      </c>
      <c r="D323" s="19" t="s">
        <v>2015</v>
      </c>
      <c r="E323" s="4">
        <v>0.35</v>
      </c>
      <c r="F323" s="42">
        <v>1.8</v>
      </c>
      <c r="G323" s="45">
        <v>350</v>
      </c>
      <c r="H323" s="22">
        <v>2</v>
      </c>
      <c r="I323" s="6">
        <f t="shared" si="8"/>
        <v>440.99999999999994</v>
      </c>
      <c r="J323" s="6" t="s">
        <v>1601</v>
      </c>
      <c r="K323" s="17"/>
    </row>
    <row r="324" spans="1:11" ht="13.95" customHeight="1" x14ac:dyDescent="0.3">
      <c r="A324" s="20">
        <v>45980</v>
      </c>
      <c r="B324" s="19" t="s">
        <v>2073</v>
      </c>
      <c r="C324" s="19" t="s">
        <v>5</v>
      </c>
      <c r="D324" s="19" t="s">
        <v>2015</v>
      </c>
      <c r="E324" s="4">
        <v>0.4</v>
      </c>
      <c r="F324" s="42">
        <v>1.85</v>
      </c>
      <c r="G324" s="45">
        <v>350</v>
      </c>
      <c r="H324" s="22">
        <v>2</v>
      </c>
      <c r="I324" s="6">
        <f t="shared" si="8"/>
        <v>518</v>
      </c>
      <c r="J324" s="6" t="s">
        <v>150</v>
      </c>
      <c r="K324" s="17"/>
    </row>
    <row r="325" spans="1:11" ht="13.95" customHeight="1" x14ac:dyDescent="0.3">
      <c r="A325" s="20">
        <v>45981</v>
      </c>
      <c r="B325" s="19" t="s">
        <v>2073</v>
      </c>
      <c r="C325" s="19" t="s">
        <v>8</v>
      </c>
      <c r="D325" s="19" t="s">
        <v>1263</v>
      </c>
      <c r="E325" s="4">
        <v>0.6</v>
      </c>
      <c r="F325" s="42">
        <v>2.25</v>
      </c>
      <c r="G325" s="45">
        <v>350</v>
      </c>
      <c r="H325" s="22">
        <v>2</v>
      </c>
      <c r="I325" s="6">
        <f t="shared" si="8"/>
        <v>945</v>
      </c>
      <c r="J325" s="6" t="s">
        <v>1864</v>
      </c>
      <c r="K325" s="17"/>
    </row>
    <row r="326" spans="1:11" ht="13.95" customHeight="1" x14ac:dyDescent="0.3">
      <c r="A326" s="20">
        <v>45982</v>
      </c>
      <c r="B326" s="19" t="s">
        <v>2073</v>
      </c>
      <c r="C326" s="19" t="s">
        <v>11</v>
      </c>
      <c r="D326" s="19" t="s">
        <v>14</v>
      </c>
      <c r="E326" s="4">
        <v>0.6</v>
      </c>
      <c r="F326" s="42">
        <v>2.4</v>
      </c>
      <c r="G326" s="45">
        <v>350</v>
      </c>
      <c r="H326" s="22">
        <v>2</v>
      </c>
      <c r="I326" s="6">
        <f t="shared" si="8"/>
        <v>1008</v>
      </c>
      <c r="J326" s="6" t="s">
        <v>97</v>
      </c>
      <c r="K326" s="17"/>
    </row>
    <row r="327" spans="1:11" ht="13.95" customHeight="1" x14ac:dyDescent="0.3">
      <c r="A327" s="20">
        <v>45983</v>
      </c>
      <c r="B327" s="19" t="s">
        <v>2073</v>
      </c>
      <c r="C327" s="19" t="s">
        <v>13</v>
      </c>
      <c r="D327" s="19" t="s">
        <v>14</v>
      </c>
      <c r="E327" s="4">
        <v>0.85</v>
      </c>
      <c r="F327" s="42">
        <v>3.25</v>
      </c>
      <c r="G327" s="45">
        <v>350</v>
      </c>
      <c r="H327" s="22">
        <v>2</v>
      </c>
      <c r="I327" s="6">
        <f t="shared" si="8"/>
        <v>1933.75</v>
      </c>
      <c r="J327" s="6" t="s">
        <v>2002</v>
      </c>
      <c r="K327" s="17"/>
    </row>
    <row r="328" spans="1:11" ht="13.95" customHeight="1" x14ac:dyDescent="0.3">
      <c r="A328" s="20">
        <v>45984</v>
      </c>
      <c r="B328" s="19" t="s">
        <v>2073</v>
      </c>
      <c r="C328" s="19" t="s">
        <v>16</v>
      </c>
      <c r="D328" s="19" t="s">
        <v>14</v>
      </c>
      <c r="E328" s="4">
        <v>0.65</v>
      </c>
      <c r="F328" s="42">
        <v>2.6</v>
      </c>
      <c r="G328" s="45">
        <v>350</v>
      </c>
      <c r="H328" s="22">
        <v>2</v>
      </c>
      <c r="I328" s="6">
        <f t="shared" si="8"/>
        <v>1183</v>
      </c>
      <c r="J328" s="6" t="s">
        <v>149</v>
      </c>
      <c r="K328" s="17"/>
    </row>
    <row r="329" spans="1:11" ht="13.95" customHeight="1" x14ac:dyDescent="0.3">
      <c r="A329" s="20">
        <v>45985</v>
      </c>
      <c r="B329" s="19" t="s">
        <v>2073</v>
      </c>
      <c r="C329" s="19" t="s">
        <v>18</v>
      </c>
      <c r="D329" s="19" t="s">
        <v>1259</v>
      </c>
      <c r="E329" s="4">
        <v>0.35</v>
      </c>
      <c r="F329" s="42">
        <v>1.85</v>
      </c>
      <c r="G329" s="45">
        <v>350</v>
      </c>
      <c r="H329" s="22">
        <v>2</v>
      </c>
      <c r="I329" s="6">
        <f t="shared" si="8"/>
        <v>453.24999999999994</v>
      </c>
      <c r="J329" s="6" t="s">
        <v>150</v>
      </c>
      <c r="K329" s="17"/>
    </row>
    <row r="330" spans="1:11" ht="13.95" customHeight="1" x14ac:dyDescent="0.3">
      <c r="A330" s="20">
        <v>45986</v>
      </c>
      <c r="B330" s="19" t="s">
        <v>2073</v>
      </c>
      <c r="C330" s="19" t="s">
        <v>20</v>
      </c>
      <c r="D330" s="19" t="s">
        <v>1259</v>
      </c>
      <c r="E330" s="4">
        <v>0.35</v>
      </c>
      <c r="F330" s="42">
        <v>1.85</v>
      </c>
      <c r="G330" s="45">
        <v>350</v>
      </c>
      <c r="H330" s="22">
        <v>2</v>
      </c>
      <c r="I330" s="6">
        <f t="shared" si="8"/>
        <v>453.24999999999994</v>
      </c>
      <c r="J330" s="6" t="s">
        <v>150</v>
      </c>
      <c r="K330" s="17"/>
    </row>
    <row r="331" spans="1:11" ht="13.95" customHeight="1" x14ac:dyDescent="0.3">
      <c r="A331" s="20">
        <v>45987</v>
      </c>
      <c r="B331" s="19" t="s">
        <v>2073</v>
      </c>
      <c r="C331" s="19" t="s">
        <v>5</v>
      </c>
      <c r="D331" s="19" t="s">
        <v>1259</v>
      </c>
      <c r="E331" s="4">
        <v>0.4</v>
      </c>
      <c r="F331" s="42">
        <v>1.9</v>
      </c>
      <c r="G331" s="45">
        <v>350</v>
      </c>
      <c r="H331" s="22">
        <v>2</v>
      </c>
      <c r="I331" s="6">
        <f t="shared" si="8"/>
        <v>532</v>
      </c>
      <c r="J331" s="6" t="s">
        <v>150</v>
      </c>
      <c r="K331" s="17"/>
    </row>
    <row r="332" spans="1:11" ht="13.95" customHeight="1" x14ac:dyDescent="0.3">
      <c r="A332" s="20">
        <v>45988</v>
      </c>
      <c r="B332" s="19" t="s">
        <v>2073</v>
      </c>
      <c r="C332" s="19" t="s">
        <v>8</v>
      </c>
      <c r="D332" s="19" t="s">
        <v>1263</v>
      </c>
      <c r="E332" s="4">
        <v>0.65</v>
      </c>
      <c r="F332" s="42">
        <v>2.2999999999999998</v>
      </c>
      <c r="G332" s="45">
        <v>350</v>
      </c>
      <c r="H332" s="22">
        <v>2</v>
      </c>
      <c r="I332" s="6">
        <f t="shared" si="8"/>
        <v>1046.5</v>
      </c>
      <c r="J332" s="6" t="s">
        <v>2067</v>
      </c>
      <c r="K332" s="17"/>
    </row>
    <row r="333" spans="1:11" ht="13.95" customHeight="1" x14ac:dyDescent="0.3">
      <c r="A333" s="20">
        <v>45989</v>
      </c>
      <c r="B333" s="19" t="s">
        <v>2073</v>
      </c>
      <c r="C333" s="19" t="s">
        <v>11</v>
      </c>
      <c r="D333" s="19" t="s">
        <v>14</v>
      </c>
      <c r="E333" s="4">
        <v>0.7</v>
      </c>
      <c r="F333" s="42">
        <v>2.5499999999999998</v>
      </c>
      <c r="G333" s="45">
        <v>350</v>
      </c>
      <c r="H333" s="22">
        <v>2</v>
      </c>
      <c r="I333" s="6">
        <f t="shared" si="8"/>
        <v>1249.4999999999998</v>
      </c>
      <c r="J333" s="6" t="s">
        <v>1124</v>
      </c>
      <c r="K333" s="17"/>
    </row>
    <row r="334" spans="1:11" ht="13.95" customHeight="1" x14ac:dyDescent="0.3">
      <c r="A334" s="20">
        <v>45990</v>
      </c>
      <c r="B334" s="19" t="s">
        <v>2073</v>
      </c>
      <c r="C334" s="19" t="s">
        <v>13</v>
      </c>
      <c r="D334" s="19" t="s">
        <v>14</v>
      </c>
      <c r="E334" s="4">
        <v>0.9</v>
      </c>
      <c r="F334" s="42">
        <v>3.4</v>
      </c>
      <c r="G334" s="45">
        <v>350</v>
      </c>
      <c r="H334" s="22">
        <v>2</v>
      </c>
      <c r="I334" s="6">
        <f t="shared" si="8"/>
        <v>2142</v>
      </c>
      <c r="J334" s="6" t="s">
        <v>1715</v>
      </c>
      <c r="K334" s="17"/>
    </row>
    <row r="335" spans="1:11" ht="13.95" customHeight="1" x14ac:dyDescent="0.3">
      <c r="A335" s="20">
        <v>45991</v>
      </c>
      <c r="B335" s="19" t="s">
        <v>2073</v>
      </c>
      <c r="C335" s="19" t="s">
        <v>16</v>
      </c>
      <c r="D335" s="19" t="s">
        <v>14</v>
      </c>
      <c r="E335" s="4">
        <v>0.7</v>
      </c>
      <c r="F335" s="42">
        <v>2.75</v>
      </c>
      <c r="G335" s="45">
        <v>350</v>
      </c>
      <c r="H335" s="22">
        <v>2</v>
      </c>
      <c r="I335" s="6">
        <f t="shared" si="8"/>
        <v>1347.4999999999998</v>
      </c>
      <c r="J335" s="6" t="s">
        <v>99</v>
      </c>
      <c r="K335" s="17"/>
    </row>
    <row r="336" spans="1:11" ht="13.95" customHeight="1" x14ac:dyDescent="0.3">
      <c r="A336" s="20">
        <v>45992</v>
      </c>
      <c r="B336" s="19" t="s">
        <v>2073</v>
      </c>
      <c r="C336" s="19" t="s">
        <v>18</v>
      </c>
      <c r="D336" s="19" t="s">
        <v>1259</v>
      </c>
      <c r="E336" s="4">
        <v>0.35</v>
      </c>
      <c r="F336" s="42">
        <v>1.85</v>
      </c>
      <c r="G336" s="45">
        <v>350</v>
      </c>
      <c r="H336" s="22">
        <v>2.1</v>
      </c>
      <c r="I336" s="6">
        <f t="shared" si="8"/>
        <v>475.91249999999997</v>
      </c>
      <c r="J336" s="6" t="s">
        <v>2068</v>
      </c>
      <c r="K336" s="17"/>
    </row>
    <row r="337" spans="1:11" ht="13.95" customHeight="1" x14ac:dyDescent="0.3">
      <c r="A337" s="20">
        <v>45997</v>
      </c>
      <c r="B337" s="19" t="s">
        <v>2073</v>
      </c>
      <c r="C337" s="19" t="s">
        <v>13</v>
      </c>
      <c r="D337" s="19" t="s">
        <v>14</v>
      </c>
      <c r="E337" s="4">
        <v>0.75</v>
      </c>
      <c r="F337" s="42">
        <v>3.1</v>
      </c>
      <c r="G337" s="45">
        <v>350</v>
      </c>
      <c r="H337" s="22">
        <v>2.1</v>
      </c>
      <c r="I337" s="6">
        <f t="shared" si="8"/>
        <v>1708.875</v>
      </c>
      <c r="J337" s="6" t="s">
        <v>1918</v>
      </c>
      <c r="K337" s="17"/>
    </row>
    <row r="338" spans="1:11" ht="13.95" customHeight="1" x14ac:dyDescent="0.3">
      <c r="A338" s="20">
        <v>46004</v>
      </c>
      <c r="B338" s="19" t="s">
        <v>2073</v>
      </c>
      <c r="C338" s="19" t="s">
        <v>13</v>
      </c>
      <c r="D338" s="19" t="s">
        <v>14</v>
      </c>
      <c r="E338" s="4">
        <v>0.8</v>
      </c>
      <c r="F338" s="42">
        <v>3.2</v>
      </c>
      <c r="G338" s="45">
        <v>350</v>
      </c>
      <c r="H338" s="22">
        <v>2.1</v>
      </c>
      <c r="I338" s="6">
        <f t="shared" si="8"/>
        <v>1881.6000000000001</v>
      </c>
      <c r="J338" s="6" t="s">
        <v>2069</v>
      </c>
      <c r="K338" s="17"/>
    </row>
    <row r="339" spans="1:11" ht="13.95" customHeight="1" x14ac:dyDescent="0.3">
      <c r="A339" s="20">
        <v>46011</v>
      </c>
      <c r="B339" s="19" t="s">
        <v>2073</v>
      </c>
      <c r="C339" s="19" t="s">
        <v>13</v>
      </c>
      <c r="D339" s="19" t="s">
        <v>658</v>
      </c>
      <c r="E339" s="4">
        <v>0.85</v>
      </c>
      <c r="F339" s="42">
        <v>2.85</v>
      </c>
      <c r="G339" s="45">
        <v>350</v>
      </c>
      <c r="H339" s="22">
        <v>2.1</v>
      </c>
      <c r="I339" s="6">
        <f t="shared" si="8"/>
        <v>1780.5375000000001</v>
      </c>
      <c r="J339" s="6" t="s">
        <v>2070</v>
      </c>
      <c r="K339" s="17"/>
    </row>
    <row r="340" spans="1:11" ht="13.95" customHeight="1" x14ac:dyDescent="0.3">
      <c r="A340" s="20">
        <v>46012</v>
      </c>
      <c r="B340" s="19" t="s">
        <v>2073</v>
      </c>
      <c r="C340" s="19" t="s">
        <v>16</v>
      </c>
      <c r="D340" s="19" t="s">
        <v>658</v>
      </c>
      <c r="E340" s="4">
        <v>0.75</v>
      </c>
      <c r="F340" s="42">
        <v>2.6</v>
      </c>
      <c r="G340" s="45">
        <v>350</v>
      </c>
      <c r="H340" s="22">
        <v>2.1</v>
      </c>
      <c r="I340" s="6">
        <f t="shared" si="8"/>
        <v>1433.25</v>
      </c>
      <c r="J340" s="6" t="s">
        <v>139</v>
      </c>
      <c r="K340" s="17"/>
    </row>
    <row r="341" spans="1:11" ht="13.95" customHeight="1" x14ac:dyDescent="0.3">
      <c r="A341" s="20">
        <v>46013</v>
      </c>
      <c r="B341" s="19" t="s">
        <v>2073</v>
      </c>
      <c r="C341" s="19" t="s">
        <v>18</v>
      </c>
      <c r="D341" s="19" t="s">
        <v>658</v>
      </c>
      <c r="E341" s="4">
        <v>0.65</v>
      </c>
      <c r="F341" s="42">
        <v>2.2999999999999998</v>
      </c>
      <c r="G341" s="45">
        <v>350</v>
      </c>
      <c r="H341" s="22">
        <v>2.1</v>
      </c>
      <c r="I341" s="6">
        <f t="shared" si="8"/>
        <v>1098.825</v>
      </c>
      <c r="J341" s="6" t="s">
        <v>2071</v>
      </c>
      <c r="K341" s="17"/>
    </row>
    <row r="342" spans="1:11" ht="13.95" customHeight="1" x14ac:dyDescent="0.3">
      <c r="A342" s="20">
        <v>46014</v>
      </c>
      <c r="B342" s="19" t="s">
        <v>2073</v>
      </c>
      <c r="C342" s="19" t="s">
        <v>20</v>
      </c>
      <c r="D342" s="19" t="s">
        <v>658</v>
      </c>
      <c r="E342" s="4">
        <v>0.7</v>
      </c>
      <c r="F342" s="42">
        <v>2.4</v>
      </c>
      <c r="G342" s="45">
        <v>350</v>
      </c>
      <c r="H342" s="22">
        <v>2.1</v>
      </c>
      <c r="I342" s="6">
        <f t="shared" si="8"/>
        <v>1234.7999999999997</v>
      </c>
      <c r="J342" s="6" t="s">
        <v>514</v>
      </c>
      <c r="K342" s="17"/>
    </row>
    <row r="343" spans="1:11" ht="13.95" customHeight="1" x14ac:dyDescent="0.3">
      <c r="A343" s="20">
        <v>46015</v>
      </c>
      <c r="B343" s="19" t="s">
        <v>2073</v>
      </c>
      <c r="C343" s="19" t="s">
        <v>5</v>
      </c>
      <c r="D343" s="19" t="s">
        <v>662</v>
      </c>
      <c r="E343" s="4">
        <v>0.85</v>
      </c>
      <c r="F343" s="42">
        <v>3.4</v>
      </c>
      <c r="G343" s="45">
        <v>350</v>
      </c>
      <c r="H343" s="22">
        <v>2.1</v>
      </c>
      <c r="I343" s="6">
        <f t="shared" si="8"/>
        <v>2124.15</v>
      </c>
      <c r="J343" s="6" t="s">
        <v>1633</v>
      </c>
      <c r="K343" s="17"/>
    </row>
    <row r="344" spans="1:11" ht="13.95" customHeight="1" x14ac:dyDescent="0.3">
      <c r="A344" s="20">
        <v>46016</v>
      </c>
      <c r="B344" s="19" t="s">
        <v>2073</v>
      </c>
      <c r="C344" s="19" t="s">
        <v>8</v>
      </c>
      <c r="D344" s="19" t="s">
        <v>299</v>
      </c>
      <c r="E344" s="4">
        <v>0.8</v>
      </c>
      <c r="F344" s="42">
        <v>2.85</v>
      </c>
      <c r="G344" s="45">
        <v>350</v>
      </c>
      <c r="H344" s="22">
        <v>2.1</v>
      </c>
      <c r="I344" s="6">
        <f t="shared" si="8"/>
        <v>1675.8000000000002</v>
      </c>
      <c r="J344" s="6" t="s">
        <v>1834</v>
      </c>
      <c r="K344" s="17"/>
    </row>
    <row r="345" spans="1:11" ht="13.95" customHeight="1" x14ac:dyDescent="0.3">
      <c r="A345" s="20">
        <v>46017</v>
      </c>
      <c r="B345" s="19" t="s">
        <v>2073</v>
      </c>
      <c r="C345" s="19" t="s">
        <v>11</v>
      </c>
      <c r="D345" s="19" t="s">
        <v>1564</v>
      </c>
      <c r="E345" s="4">
        <v>0.85</v>
      </c>
      <c r="F345" s="42">
        <v>2.75</v>
      </c>
      <c r="G345" s="45">
        <v>350</v>
      </c>
      <c r="H345" s="22">
        <v>2.1</v>
      </c>
      <c r="I345" s="6">
        <f t="shared" si="8"/>
        <v>1718.0625</v>
      </c>
      <c r="J345" s="6" t="s">
        <v>1463</v>
      </c>
      <c r="K345" s="17"/>
    </row>
    <row r="346" spans="1:11" ht="13.95" customHeight="1" x14ac:dyDescent="0.3">
      <c r="A346" s="20">
        <v>46018</v>
      </c>
      <c r="B346" s="19" t="s">
        <v>2073</v>
      </c>
      <c r="C346" s="19" t="s">
        <v>13</v>
      </c>
      <c r="D346" s="19" t="s">
        <v>1564</v>
      </c>
      <c r="E346" s="4">
        <v>0.95</v>
      </c>
      <c r="F346" s="42">
        <v>3.3</v>
      </c>
      <c r="G346" s="45">
        <v>350</v>
      </c>
      <c r="H346" s="22">
        <v>2.1</v>
      </c>
      <c r="I346" s="6">
        <f t="shared" si="8"/>
        <v>2304.2249999999999</v>
      </c>
      <c r="J346" s="6" t="s">
        <v>1464</v>
      </c>
      <c r="K346" s="17"/>
    </row>
    <row r="347" spans="1:11" ht="13.95" customHeight="1" x14ac:dyDescent="0.3">
      <c r="A347" s="20">
        <v>46019</v>
      </c>
      <c r="B347" s="19" t="s">
        <v>2073</v>
      </c>
      <c r="C347" s="19" t="s">
        <v>16</v>
      </c>
      <c r="D347" s="19" t="s">
        <v>1564</v>
      </c>
      <c r="E347" s="4">
        <v>0.9</v>
      </c>
      <c r="F347" s="42">
        <v>2.9</v>
      </c>
      <c r="G347" s="45">
        <v>350</v>
      </c>
      <c r="H347" s="22">
        <v>2.1</v>
      </c>
      <c r="I347" s="6">
        <f t="shared" si="8"/>
        <v>1918.3500000000001</v>
      </c>
      <c r="J347" s="6" t="s">
        <v>1275</v>
      </c>
      <c r="K347" s="17"/>
    </row>
    <row r="348" spans="1:11" ht="13.95" customHeight="1" x14ac:dyDescent="0.3">
      <c r="A348" s="20">
        <v>46020</v>
      </c>
      <c r="B348" s="19" t="s">
        <v>2073</v>
      </c>
      <c r="C348" s="19" t="s">
        <v>18</v>
      </c>
      <c r="D348" s="19" t="s">
        <v>1565</v>
      </c>
      <c r="E348" s="4">
        <v>0.95</v>
      </c>
      <c r="F348" s="42">
        <v>2.85</v>
      </c>
      <c r="G348" s="45">
        <v>350</v>
      </c>
      <c r="H348" s="22">
        <v>2.1</v>
      </c>
      <c r="I348" s="6">
        <f t="shared" si="8"/>
        <v>1990.0125</v>
      </c>
      <c r="J348" s="6" t="s">
        <v>531</v>
      </c>
      <c r="K348" s="17"/>
    </row>
    <row r="349" spans="1:11" ht="13.95" customHeight="1" x14ac:dyDescent="0.3">
      <c r="A349" s="20">
        <v>46021</v>
      </c>
      <c r="B349" s="19" t="s">
        <v>2073</v>
      </c>
      <c r="C349" s="19" t="s">
        <v>20</v>
      </c>
      <c r="D349" s="19" t="s">
        <v>1565</v>
      </c>
      <c r="E349" s="4">
        <v>1</v>
      </c>
      <c r="F349" s="42">
        <v>3.15</v>
      </c>
      <c r="G349" s="45">
        <v>350</v>
      </c>
      <c r="H349" s="22">
        <v>2.1</v>
      </c>
      <c r="I349" s="6">
        <f t="shared" si="8"/>
        <v>2315.25</v>
      </c>
      <c r="J349" s="6" t="s">
        <v>1763</v>
      </c>
      <c r="K349" s="17"/>
    </row>
    <row r="350" spans="1:11" ht="13.95" customHeight="1" x14ac:dyDescent="0.3">
      <c r="A350" s="20">
        <v>46022</v>
      </c>
      <c r="B350" s="19" t="s">
        <v>2073</v>
      </c>
      <c r="C350" s="19" t="s">
        <v>5</v>
      </c>
      <c r="D350" s="19" t="s">
        <v>1567</v>
      </c>
      <c r="E350" s="4">
        <v>1</v>
      </c>
      <c r="F350" s="42">
        <v>4.0999999999999996</v>
      </c>
      <c r="G350" s="45">
        <v>350</v>
      </c>
      <c r="H350" s="22">
        <v>2.1</v>
      </c>
      <c r="I350" s="6">
        <f t="shared" si="8"/>
        <v>3013.4999999999995</v>
      </c>
      <c r="J350" s="6" t="s">
        <v>2072</v>
      </c>
      <c r="K350" s="1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9BD3C-D8C3-4DEF-AE5B-446C43A84256}">
  <sheetPr>
    <tabColor theme="8" tint="-0.249977111117893"/>
  </sheetPr>
  <dimension ref="A1:L350"/>
  <sheetViews>
    <sheetView topLeftCell="A324" workbookViewId="0">
      <selection activeCell="A2" sqref="A2:J350"/>
    </sheetView>
  </sheetViews>
  <sheetFormatPr baseColWidth="10" defaultRowHeight="14.4" x14ac:dyDescent="0.3"/>
  <cols>
    <col min="1" max="1" width="13.109375" bestFit="1" customWidth="1"/>
    <col min="2" max="2" width="18.77734375" customWidth="1"/>
    <col min="10" max="10" width="30.21875" bestFit="1" customWidth="1"/>
  </cols>
  <sheetData>
    <row r="1" spans="1:12" ht="28.2" thickBot="1" x14ac:dyDescent="0.35">
      <c r="A1" s="1" t="s">
        <v>333</v>
      </c>
      <c r="B1" s="1" t="s">
        <v>670</v>
      </c>
      <c r="C1" s="34" t="s">
        <v>0</v>
      </c>
      <c r="D1" s="34" t="s">
        <v>1</v>
      </c>
      <c r="E1" s="37" t="s">
        <v>2</v>
      </c>
      <c r="F1" s="41" t="s">
        <v>3</v>
      </c>
      <c r="G1" s="47" t="s">
        <v>359</v>
      </c>
      <c r="H1" s="35" t="s">
        <v>360</v>
      </c>
      <c r="I1" s="47" t="s">
        <v>361</v>
      </c>
      <c r="J1" s="27" t="s">
        <v>4</v>
      </c>
      <c r="K1">
        <v>249</v>
      </c>
      <c r="L1">
        <v>2.1</v>
      </c>
    </row>
    <row r="2" spans="1:12" ht="13.95" customHeight="1" x14ac:dyDescent="0.3">
      <c r="A2" s="3">
        <v>45658</v>
      </c>
      <c r="B2" s="19" t="s">
        <v>2011</v>
      </c>
      <c r="C2" s="19" t="s">
        <v>5</v>
      </c>
      <c r="D2" s="19" t="s">
        <v>735</v>
      </c>
      <c r="E2" s="4">
        <v>0.95</v>
      </c>
      <c r="F2" s="42">
        <v>2.8</v>
      </c>
      <c r="G2" s="45">
        <v>249</v>
      </c>
      <c r="H2" s="22">
        <v>2.1</v>
      </c>
      <c r="I2" s="6">
        <f t="shared" ref="I2:I65" si="0">(G2*E2)*F2*H2</f>
        <v>1390.914</v>
      </c>
      <c r="J2" s="6" t="s">
        <v>1923</v>
      </c>
      <c r="K2" s="17"/>
    </row>
    <row r="3" spans="1:12" ht="13.95" customHeight="1" x14ac:dyDescent="0.3">
      <c r="A3" s="3">
        <v>45659</v>
      </c>
      <c r="B3" s="19" t="s">
        <v>2011</v>
      </c>
      <c r="C3" s="19" t="s">
        <v>8</v>
      </c>
      <c r="D3" s="19" t="s">
        <v>1259</v>
      </c>
      <c r="E3" s="4">
        <v>0.45</v>
      </c>
      <c r="F3" s="42">
        <v>1.95</v>
      </c>
      <c r="G3" s="45">
        <v>249</v>
      </c>
      <c r="H3" s="22">
        <v>2.1</v>
      </c>
      <c r="I3" s="6">
        <f t="shared" si="0"/>
        <v>458.84475000000003</v>
      </c>
      <c r="J3" s="6" t="s">
        <v>1924</v>
      </c>
      <c r="K3" s="17"/>
    </row>
    <row r="4" spans="1:12" ht="13.95" customHeight="1" x14ac:dyDescent="0.3">
      <c r="A4" s="3">
        <v>45660</v>
      </c>
      <c r="B4" s="19" t="s">
        <v>2011</v>
      </c>
      <c r="C4" s="19" t="s">
        <v>11</v>
      </c>
      <c r="D4" s="19" t="s">
        <v>14</v>
      </c>
      <c r="E4" s="4">
        <v>0.55000000000000004</v>
      </c>
      <c r="F4" s="42">
        <v>2.2000000000000002</v>
      </c>
      <c r="G4" s="45">
        <v>249</v>
      </c>
      <c r="H4" s="22">
        <v>2.1</v>
      </c>
      <c r="I4" s="6">
        <f t="shared" si="0"/>
        <v>632.70900000000017</v>
      </c>
      <c r="J4" s="6" t="s">
        <v>390</v>
      </c>
      <c r="K4" s="17"/>
    </row>
    <row r="5" spans="1:12" ht="13.95" customHeight="1" x14ac:dyDescent="0.3">
      <c r="A5" s="3">
        <v>45661</v>
      </c>
      <c r="B5" s="19" t="s">
        <v>2011</v>
      </c>
      <c r="C5" s="19" t="s">
        <v>13</v>
      </c>
      <c r="D5" s="19" t="s">
        <v>14</v>
      </c>
      <c r="E5" s="4">
        <v>0.75</v>
      </c>
      <c r="F5" s="42">
        <v>2.65</v>
      </c>
      <c r="G5" s="45">
        <v>249</v>
      </c>
      <c r="H5" s="22">
        <v>2.1</v>
      </c>
      <c r="I5" s="6">
        <f t="shared" si="0"/>
        <v>1039.2637500000001</v>
      </c>
      <c r="J5" s="6" t="s">
        <v>1558</v>
      </c>
      <c r="K5" s="17"/>
    </row>
    <row r="6" spans="1:12" ht="13.95" customHeight="1" x14ac:dyDescent="0.3">
      <c r="A6" s="3">
        <v>45662</v>
      </c>
      <c r="B6" s="19" t="s">
        <v>2011</v>
      </c>
      <c r="C6" s="19" t="s">
        <v>16</v>
      </c>
      <c r="D6" s="19" t="s">
        <v>14</v>
      </c>
      <c r="E6" s="4">
        <v>0.6</v>
      </c>
      <c r="F6" s="42">
        <v>2.35</v>
      </c>
      <c r="G6" s="45">
        <v>249</v>
      </c>
      <c r="H6" s="22">
        <v>2.1</v>
      </c>
      <c r="I6" s="6">
        <f t="shared" si="0"/>
        <v>737.2890000000001</v>
      </c>
      <c r="J6" s="6" t="s">
        <v>238</v>
      </c>
      <c r="K6" s="17"/>
    </row>
    <row r="7" spans="1:12" ht="13.95" customHeight="1" x14ac:dyDescent="0.3">
      <c r="A7" s="3">
        <v>45663</v>
      </c>
      <c r="B7" s="19" t="s">
        <v>2011</v>
      </c>
      <c r="C7" s="19" t="s">
        <v>18</v>
      </c>
      <c r="D7" s="19" t="s">
        <v>1925</v>
      </c>
      <c r="E7" s="4">
        <v>0.5</v>
      </c>
      <c r="F7" s="42">
        <v>2.1</v>
      </c>
      <c r="G7" s="45">
        <v>249</v>
      </c>
      <c r="H7" s="22">
        <v>2.1</v>
      </c>
      <c r="I7" s="6">
        <f t="shared" si="0"/>
        <v>549.04499999999996</v>
      </c>
      <c r="J7" s="6" t="s">
        <v>1926</v>
      </c>
      <c r="K7" s="17"/>
    </row>
    <row r="8" spans="1:12" ht="13.95" customHeight="1" x14ac:dyDescent="0.3">
      <c r="A8" s="3">
        <v>45664</v>
      </c>
      <c r="B8" s="19" t="s">
        <v>2011</v>
      </c>
      <c r="C8" s="19" t="s">
        <v>20</v>
      </c>
      <c r="D8" s="19" t="s">
        <v>1925</v>
      </c>
      <c r="E8" s="4">
        <v>0.55000000000000004</v>
      </c>
      <c r="F8" s="42">
        <v>2.1</v>
      </c>
      <c r="G8" s="45">
        <v>249</v>
      </c>
      <c r="H8" s="22">
        <v>2.1</v>
      </c>
      <c r="I8" s="6">
        <f t="shared" si="0"/>
        <v>603.94950000000006</v>
      </c>
      <c r="J8" s="6" t="s">
        <v>1926</v>
      </c>
      <c r="K8" s="17"/>
    </row>
    <row r="9" spans="1:12" ht="13.95" customHeight="1" x14ac:dyDescent="0.3">
      <c r="A9" s="3">
        <v>45665</v>
      </c>
      <c r="B9" s="19" t="s">
        <v>2011</v>
      </c>
      <c r="C9" s="19" t="s">
        <v>5</v>
      </c>
      <c r="D9" s="19" t="s">
        <v>1925</v>
      </c>
      <c r="E9" s="4">
        <v>0.5</v>
      </c>
      <c r="F9" s="42">
        <v>2.0499999999999998</v>
      </c>
      <c r="G9" s="45">
        <v>249</v>
      </c>
      <c r="H9" s="22">
        <v>2.1</v>
      </c>
      <c r="I9" s="6">
        <f t="shared" si="0"/>
        <v>535.97249999999997</v>
      </c>
      <c r="J9" s="6" t="s">
        <v>1926</v>
      </c>
      <c r="K9" s="17"/>
    </row>
    <row r="10" spans="1:12" ht="13.95" customHeight="1" x14ac:dyDescent="0.3">
      <c r="A10" s="3">
        <v>45666</v>
      </c>
      <c r="B10" s="19" t="s">
        <v>2011</v>
      </c>
      <c r="C10" s="19" t="s">
        <v>8</v>
      </c>
      <c r="D10" s="19" t="s">
        <v>1259</v>
      </c>
      <c r="E10" s="4">
        <v>0.4</v>
      </c>
      <c r="F10" s="42">
        <v>1.9</v>
      </c>
      <c r="G10" s="45">
        <v>249</v>
      </c>
      <c r="H10" s="22">
        <v>2.1</v>
      </c>
      <c r="I10" s="6">
        <f t="shared" si="0"/>
        <v>397.40400000000005</v>
      </c>
      <c r="J10" s="6" t="s">
        <v>150</v>
      </c>
      <c r="K10" s="17"/>
    </row>
    <row r="11" spans="1:12" ht="13.95" customHeight="1" x14ac:dyDescent="0.3">
      <c r="A11" s="3">
        <v>45667</v>
      </c>
      <c r="B11" s="19" t="s">
        <v>2011</v>
      </c>
      <c r="C11" s="19" t="s">
        <v>11</v>
      </c>
      <c r="D11" s="19" t="s">
        <v>14</v>
      </c>
      <c r="E11" s="4">
        <v>0.6</v>
      </c>
      <c r="F11" s="42">
        <v>2.2999999999999998</v>
      </c>
      <c r="G11" s="45">
        <v>249</v>
      </c>
      <c r="H11" s="22">
        <v>2.1</v>
      </c>
      <c r="I11" s="6">
        <f t="shared" si="0"/>
        <v>721.60200000000009</v>
      </c>
      <c r="J11" s="6" t="s">
        <v>1927</v>
      </c>
      <c r="K11" s="17"/>
    </row>
    <row r="12" spans="1:12" ht="13.95" customHeight="1" x14ac:dyDescent="0.3">
      <c r="A12" s="3">
        <v>45668</v>
      </c>
      <c r="B12" s="19" t="s">
        <v>2011</v>
      </c>
      <c r="C12" s="19" t="s">
        <v>13</v>
      </c>
      <c r="D12" s="19" t="s">
        <v>14</v>
      </c>
      <c r="E12" s="4">
        <v>0.85</v>
      </c>
      <c r="F12" s="42">
        <v>2.95</v>
      </c>
      <c r="G12" s="45">
        <v>249</v>
      </c>
      <c r="H12" s="22">
        <v>2.1</v>
      </c>
      <c r="I12" s="6">
        <f t="shared" si="0"/>
        <v>1311.1717500000002</v>
      </c>
      <c r="J12" s="6" t="s">
        <v>1525</v>
      </c>
      <c r="K12" s="17"/>
    </row>
    <row r="13" spans="1:12" ht="13.95" customHeight="1" x14ac:dyDescent="0.3">
      <c r="A13" s="3">
        <v>45669</v>
      </c>
      <c r="B13" s="19" t="s">
        <v>2011</v>
      </c>
      <c r="C13" s="19" t="s">
        <v>16</v>
      </c>
      <c r="D13" s="19" t="s">
        <v>14</v>
      </c>
      <c r="E13" s="4">
        <v>0.7</v>
      </c>
      <c r="F13" s="42">
        <v>2.5</v>
      </c>
      <c r="G13" s="45">
        <v>249</v>
      </c>
      <c r="H13" s="22">
        <v>2.1</v>
      </c>
      <c r="I13" s="6">
        <f t="shared" si="0"/>
        <v>915.07499999999993</v>
      </c>
      <c r="J13" s="6" t="s">
        <v>69</v>
      </c>
      <c r="K13" s="17"/>
    </row>
    <row r="14" spans="1:12" ht="13.95" customHeight="1" x14ac:dyDescent="0.3">
      <c r="A14" s="3">
        <v>45670</v>
      </c>
      <c r="B14" s="19" t="s">
        <v>2011</v>
      </c>
      <c r="C14" s="19" t="s">
        <v>18</v>
      </c>
      <c r="D14" s="19" t="s">
        <v>1259</v>
      </c>
      <c r="E14" s="4">
        <v>0.4</v>
      </c>
      <c r="F14" s="42">
        <v>1.9</v>
      </c>
      <c r="G14" s="45">
        <v>249</v>
      </c>
      <c r="H14" s="22">
        <v>2.1</v>
      </c>
      <c r="I14" s="6">
        <f t="shared" si="0"/>
        <v>397.40400000000005</v>
      </c>
      <c r="J14" s="6" t="s">
        <v>70</v>
      </c>
      <c r="K14" s="17"/>
    </row>
    <row r="15" spans="1:12" ht="13.95" customHeight="1" x14ac:dyDescent="0.3">
      <c r="A15" s="3">
        <v>45671</v>
      </c>
      <c r="B15" s="19" t="s">
        <v>2011</v>
      </c>
      <c r="C15" s="19" t="s">
        <v>20</v>
      </c>
      <c r="D15" s="19" t="s">
        <v>1269</v>
      </c>
      <c r="E15" s="4">
        <v>0.65</v>
      </c>
      <c r="F15" s="42">
        <v>2.35</v>
      </c>
      <c r="G15" s="45">
        <v>249</v>
      </c>
      <c r="H15" s="22">
        <v>2.1</v>
      </c>
      <c r="I15" s="6">
        <f t="shared" si="0"/>
        <v>798.72975000000008</v>
      </c>
      <c r="J15" s="6" t="s">
        <v>1928</v>
      </c>
      <c r="K15" s="17"/>
    </row>
    <row r="16" spans="1:12" ht="13.95" customHeight="1" x14ac:dyDescent="0.3">
      <c r="A16" s="3">
        <v>45672</v>
      </c>
      <c r="B16" s="19" t="s">
        <v>2011</v>
      </c>
      <c r="C16" s="19" t="s">
        <v>5</v>
      </c>
      <c r="D16" s="19" t="s">
        <v>1259</v>
      </c>
      <c r="E16" s="4">
        <v>0.4</v>
      </c>
      <c r="F16" s="42">
        <v>1.9</v>
      </c>
      <c r="G16" s="45">
        <v>249</v>
      </c>
      <c r="H16" s="22">
        <v>2.1</v>
      </c>
      <c r="I16" s="6">
        <f t="shared" si="0"/>
        <v>397.40400000000005</v>
      </c>
      <c r="J16" s="6" t="s">
        <v>150</v>
      </c>
      <c r="K16" s="17"/>
    </row>
    <row r="17" spans="1:11" ht="13.95" customHeight="1" x14ac:dyDescent="0.3">
      <c r="A17" s="3">
        <v>45673</v>
      </c>
      <c r="B17" s="19" t="s">
        <v>2011</v>
      </c>
      <c r="C17" s="19" t="s">
        <v>8</v>
      </c>
      <c r="D17" s="19" t="s">
        <v>1925</v>
      </c>
      <c r="E17" s="4">
        <v>0.6</v>
      </c>
      <c r="F17" s="42">
        <v>2.2000000000000002</v>
      </c>
      <c r="G17" s="45">
        <v>249</v>
      </c>
      <c r="H17" s="22">
        <v>2.1</v>
      </c>
      <c r="I17" s="6">
        <f t="shared" si="0"/>
        <v>690.22800000000018</v>
      </c>
      <c r="J17" s="6" t="s">
        <v>1929</v>
      </c>
      <c r="K17" s="17"/>
    </row>
    <row r="18" spans="1:11" ht="13.95" customHeight="1" x14ac:dyDescent="0.3">
      <c r="A18" s="3">
        <v>45674</v>
      </c>
      <c r="B18" s="19" t="s">
        <v>2011</v>
      </c>
      <c r="C18" s="19" t="s">
        <v>11</v>
      </c>
      <c r="D18" s="19" t="s">
        <v>14</v>
      </c>
      <c r="E18" s="4">
        <v>0.65</v>
      </c>
      <c r="F18" s="42">
        <v>2.35</v>
      </c>
      <c r="G18" s="45">
        <v>249</v>
      </c>
      <c r="H18" s="22">
        <v>2.1</v>
      </c>
      <c r="I18" s="6">
        <f t="shared" si="0"/>
        <v>798.72975000000008</v>
      </c>
      <c r="J18" s="6" t="s">
        <v>97</v>
      </c>
      <c r="K18" s="17"/>
    </row>
    <row r="19" spans="1:11" ht="13.95" customHeight="1" x14ac:dyDescent="0.3">
      <c r="A19" s="3">
        <v>45675</v>
      </c>
      <c r="B19" s="19" t="s">
        <v>2011</v>
      </c>
      <c r="C19" s="19" t="s">
        <v>13</v>
      </c>
      <c r="D19" s="19" t="s">
        <v>14</v>
      </c>
      <c r="E19" s="4">
        <v>0.8</v>
      </c>
      <c r="F19" s="42">
        <v>3</v>
      </c>
      <c r="G19" s="45">
        <v>249</v>
      </c>
      <c r="H19" s="22">
        <v>2.1</v>
      </c>
      <c r="I19" s="6">
        <f t="shared" si="0"/>
        <v>1254.96</v>
      </c>
      <c r="J19" s="6" t="s">
        <v>1930</v>
      </c>
      <c r="K19" s="17"/>
    </row>
    <row r="20" spans="1:11" ht="13.95" customHeight="1" x14ac:dyDescent="0.3">
      <c r="A20" s="3">
        <v>45676</v>
      </c>
      <c r="B20" s="19" t="s">
        <v>2011</v>
      </c>
      <c r="C20" s="19" t="s">
        <v>16</v>
      </c>
      <c r="D20" s="19" t="s">
        <v>14</v>
      </c>
      <c r="E20" s="4">
        <v>0.7</v>
      </c>
      <c r="F20" s="42">
        <v>2.5499999999999998</v>
      </c>
      <c r="G20" s="45">
        <v>249</v>
      </c>
      <c r="H20" s="22">
        <v>2.1</v>
      </c>
      <c r="I20" s="6">
        <f t="shared" si="0"/>
        <v>933.37649999999985</v>
      </c>
      <c r="J20" s="6" t="s">
        <v>69</v>
      </c>
      <c r="K20" s="17"/>
    </row>
    <row r="21" spans="1:11" ht="13.95" customHeight="1" x14ac:dyDescent="0.3">
      <c r="A21" s="3">
        <v>45677</v>
      </c>
      <c r="B21" s="19" t="s">
        <v>2011</v>
      </c>
      <c r="C21" s="19" t="s">
        <v>18</v>
      </c>
      <c r="D21" s="19" t="s">
        <v>1259</v>
      </c>
      <c r="E21" s="4">
        <v>0.35</v>
      </c>
      <c r="F21" s="42">
        <v>1.85</v>
      </c>
      <c r="G21" s="45">
        <v>249</v>
      </c>
      <c r="H21" s="22">
        <v>2.1</v>
      </c>
      <c r="I21" s="6">
        <f t="shared" si="0"/>
        <v>338.57774999999998</v>
      </c>
      <c r="J21" s="6" t="s">
        <v>1628</v>
      </c>
      <c r="K21" s="17"/>
    </row>
    <row r="22" spans="1:11" ht="13.95" customHeight="1" x14ac:dyDescent="0.3">
      <c r="A22" s="3">
        <v>45678</v>
      </c>
      <c r="B22" s="19" t="s">
        <v>2011</v>
      </c>
      <c r="C22" s="19" t="s">
        <v>20</v>
      </c>
      <c r="D22" s="19" t="s">
        <v>1259</v>
      </c>
      <c r="E22" s="4">
        <v>0.32</v>
      </c>
      <c r="F22" s="42">
        <v>1.85</v>
      </c>
      <c r="G22" s="45">
        <v>249</v>
      </c>
      <c r="H22" s="22">
        <v>2.1</v>
      </c>
      <c r="I22" s="6">
        <f t="shared" si="0"/>
        <v>309.55680000000007</v>
      </c>
      <c r="J22" s="6" t="s">
        <v>1472</v>
      </c>
      <c r="K22" s="17"/>
    </row>
    <row r="23" spans="1:11" ht="13.95" customHeight="1" x14ac:dyDescent="0.3">
      <c r="A23" s="3">
        <v>45679</v>
      </c>
      <c r="B23" s="19" t="s">
        <v>2011</v>
      </c>
      <c r="C23" s="19" t="s">
        <v>5</v>
      </c>
      <c r="D23" s="19" t="s">
        <v>1259</v>
      </c>
      <c r="E23" s="4">
        <v>0.35</v>
      </c>
      <c r="F23" s="42">
        <v>1.85</v>
      </c>
      <c r="G23" s="45">
        <v>249</v>
      </c>
      <c r="H23" s="22">
        <v>2.1</v>
      </c>
      <c r="I23" s="6">
        <f t="shared" si="0"/>
        <v>338.57774999999998</v>
      </c>
      <c r="J23" s="6" t="s">
        <v>150</v>
      </c>
      <c r="K23" s="17"/>
    </row>
    <row r="24" spans="1:11" ht="13.95" customHeight="1" x14ac:dyDescent="0.3">
      <c r="A24" s="3">
        <v>45680</v>
      </c>
      <c r="B24" s="19" t="s">
        <v>2011</v>
      </c>
      <c r="C24" s="19" t="s">
        <v>8</v>
      </c>
      <c r="D24" s="19" t="s">
        <v>1925</v>
      </c>
      <c r="E24" s="4">
        <v>0.55000000000000004</v>
      </c>
      <c r="F24" s="42">
        <v>2.15</v>
      </c>
      <c r="G24" s="45">
        <v>249</v>
      </c>
      <c r="H24" s="22">
        <v>2.1</v>
      </c>
      <c r="I24" s="6">
        <f t="shared" si="0"/>
        <v>618.32925000000012</v>
      </c>
      <c r="J24" s="6" t="s">
        <v>1410</v>
      </c>
      <c r="K24" s="17"/>
    </row>
    <row r="25" spans="1:11" ht="13.95" customHeight="1" x14ac:dyDescent="0.3">
      <c r="A25" s="3">
        <v>45681</v>
      </c>
      <c r="B25" s="19" t="s">
        <v>2011</v>
      </c>
      <c r="C25" s="19" t="s">
        <v>11</v>
      </c>
      <c r="D25" s="19" t="s">
        <v>658</v>
      </c>
      <c r="E25" s="4">
        <v>0.65</v>
      </c>
      <c r="F25" s="42">
        <v>2.35</v>
      </c>
      <c r="G25" s="45">
        <v>249</v>
      </c>
      <c r="H25" s="22">
        <v>2.1</v>
      </c>
      <c r="I25" s="6">
        <f t="shared" si="0"/>
        <v>798.72975000000008</v>
      </c>
      <c r="J25" s="6" t="s">
        <v>1931</v>
      </c>
      <c r="K25" s="17"/>
    </row>
    <row r="26" spans="1:11" ht="13.95" customHeight="1" x14ac:dyDescent="0.3">
      <c r="A26" s="3">
        <v>45682</v>
      </c>
      <c r="B26" s="19" t="s">
        <v>2011</v>
      </c>
      <c r="C26" s="19" t="s">
        <v>13</v>
      </c>
      <c r="D26" s="19" t="s">
        <v>658</v>
      </c>
      <c r="E26" s="4">
        <v>0.9</v>
      </c>
      <c r="F26" s="42">
        <v>3.1</v>
      </c>
      <c r="G26" s="45">
        <v>249</v>
      </c>
      <c r="H26" s="22">
        <v>2.1</v>
      </c>
      <c r="I26" s="6">
        <f t="shared" si="0"/>
        <v>1458.8910000000001</v>
      </c>
      <c r="J26" s="6" t="s">
        <v>1918</v>
      </c>
      <c r="K26" s="17"/>
    </row>
    <row r="27" spans="1:11" ht="13.95" customHeight="1" x14ac:dyDescent="0.3">
      <c r="A27" s="3">
        <v>45683</v>
      </c>
      <c r="B27" s="19" t="s">
        <v>2011</v>
      </c>
      <c r="C27" s="19" t="s">
        <v>16</v>
      </c>
      <c r="D27" s="19" t="s">
        <v>658</v>
      </c>
      <c r="E27" s="4">
        <v>0.85</v>
      </c>
      <c r="F27" s="42">
        <v>2.75</v>
      </c>
      <c r="G27" s="45">
        <v>249</v>
      </c>
      <c r="H27" s="22">
        <v>2.1</v>
      </c>
      <c r="I27" s="6">
        <f t="shared" si="0"/>
        <v>1222.2787500000002</v>
      </c>
      <c r="J27" s="6" t="s">
        <v>1835</v>
      </c>
      <c r="K27" s="17"/>
    </row>
    <row r="28" spans="1:11" ht="13.95" customHeight="1" x14ac:dyDescent="0.3">
      <c r="A28" s="3">
        <v>45684</v>
      </c>
      <c r="B28" s="19" t="s">
        <v>2011</v>
      </c>
      <c r="C28" s="19" t="s">
        <v>18</v>
      </c>
      <c r="D28" s="19" t="s">
        <v>658</v>
      </c>
      <c r="E28" s="4">
        <v>0.75</v>
      </c>
      <c r="F28" s="42">
        <v>2.4</v>
      </c>
      <c r="G28" s="45">
        <v>249</v>
      </c>
      <c r="H28" s="22">
        <v>2.1</v>
      </c>
      <c r="I28" s="6">
        <f t="shared" si="0"/>
        <v>941.22</v>
      </c>
      <c r="J28" s="6" t="s">
        <v>1932</v>
      </c>
      <c r="K28" s="17"/>
    </row>
    <row r="29" spans="1:11" ht="13.95" customHeight="1" x14ac:dyDescent="0.3">
      <c r="A29" s="3">
        <v>45685</v>
      </c>
      <c r="B29" s="19" t="s">
        <v>2011</v>
      </c>
      <c r="C29" s="19" t="s">
        <v>20</v>
      </c>
      <c r="D29" s="19" t="s">
        <v>658</v>
      </c>
      <c r="E29" s="4">
        <v>0.7</v>
      </c>
      <c r="F29" s="42">
        <v>2.35</v>
      </c>
      <c r="G29" s="45">
        <v>249</v>
      </c>
      <c r="H29" s="22">
        <v>2.1</v>
      </c>
      <c r="I29" s="6">
        <f t="shared" si="0"/>
        <v>860.17049999999995</v>
      </c>
      <c r="J29" s="6" t="s">
        <v>1932</v>
      </c>
      <c r="K29" s="17"/>
    </row>
    <row r="30" spans="1:11" ht="13.95" customHeight="1" x14ac:dyDescent="0.3">
      <c r="A30" s="3">
        <v>45686</v>
      </c>
      <c r="B30" s="19" t="s">
        <v>2011</v>
      </c>
      <c r="C30" s="19" t="s">
        <v>5</v>
      </c>
      <c r="D30" s="19" t="s">
        <v>658</v>
      </c>
      <c r="E30" s="4">
        <v>0.7</v>
      </c>
      <c r="F30" s="42">
        <v>2.35</v>
      </c>
      <c r="G30" s="45">
        <v>249</v>
      </c>
      <c r="H30" s="22">
        <v>2.1</v>
      </c>
      <c r="I30" s="6">
        <f t="shared" si="0"/>
        <v>860.17049999999995</v>
      </c>
      <c r="J30" s="6" t="s">
        <v>1932</v>
      </c>
      <c r="K30" s="17"/>
    </row>
    <row r="31" spans="1:11" ht="13.95" customHeight="1" x14ac:dyDescent="0.3">
      <c r="A31" s="3">
        <v>45687</v>
      </c>
      <c r="B31" s="19" t="s">
        <v>2011</v>
      </c>
      <c r="C31" s="19" t="s">
        <v>8</v>
      </c>
      <c r="D31" s="19" t="s">
        <v>658</v>
      </c>
      <c r="E31" s="4">
        <v>0.75</v>
      </c>
      <c r="F31" s="42">
        <v>2.4</v>
      </c>
      <c r="G31" s="45">
        <v>249</v>
      </c>
      <c r="H31" s="22">
        <v>2.1</v>
      </c>
      <c r="I31" s="6">
        <f t="shared" si="0"/>
        <v>941.22</v>
      </c>
      <c r="J31" s="6" t="s">
        <v>1932</v>
      </c>
      <c r="K31" s="17"/>
    </row>
    <row r="32" spans="1:11" ht="13.95" customHeight="1" x14ac:dyDescent="0.3">
      <c r="A32" s="3">
        <v>45688</v>
      </c>
      <c r="B32" s="19" t="s">
        <v>2011</v>
      </c>
      <c r="C32" s="19" t="s">
        <v>11</v>
      </c>
      <c r="D32" s="19" t="s">
        <v>658</v>
      </c>
      <c r="E32" s="4">
        <v>0.85</v>
      </c>
      <c r="F32" s="42">
        <v>2.5499999999999998</v>
      </c>
      <c r="G32" s="45">
        <v>249</v>
      </c>
      <c r="H32" s="22">
        <v>2.1</v>
      </c>
      <c r="I32" s="6">
        <f t="shared" si="0"/>
        <v>1133.3857499999999</v>
      </c>
      <c r="J32" s="6" t="s">
        <v>99</v>
      </c>
      <c r="K32" s="17"/>
    </row>
    <row r="33" spans="1:11" ht="13.95" customHeight="1" x14ac:dyDescent="0.3">
      <c r="A33" s="3">
        <v>45689</v>
      </c>
      <c r="B33" s="19" t="s">
        <v>2011</v>
      </c>
      <c r="C33" s="19" t="s">
        <v>13</v>
      </c>
      <c r="D33" s="19" t="s">
        <v>1491</v>
      </c>
      <c r="E33" s="4">
        <v>0.9</v>
      </c>
      <c r="F33" s="42">
        <v>3.15</v>
      </c>
      <c r="G33" s="45">
        <v>249</v>
      </c>
      <c r="H33" s="22">
        <v>2.1</v>
      </c>
      <c r="I33" s="6">
        <f t="shared" si="0"/>
        <v>1482.4214999999999</v>
      </c>
      <c r="J33" s="6" t="s">
        <v>1933</v>
      </c>
      <c r="K33" s="17"/>
    </row>
    <row r="34" spans="1:11" ht="13.95" customHeight="1" x14ac:dyDescent="0.3">
      <c r="A34" s="3">
        <v>45690</v>
      </c>
      <c r="B34" s="19" t="s">
        <v>2011</v>
      </c>
      <c r="C34" s="19" t="s">
        <v>16</v>
      </c>
      <c r="D34" s="19" t="s">
        <v>1491</v>
      </c>
      <c r="E34" s="4">
        <v>0.8</v>
      </c>
      <c r="F34" s="42">
        <v>2.7</v>
      </c>
      <c r="G34" s="45">
        <v>249</v>
      </c>
      <c r="H34" s="22">
        <v>2.1</v>
      </c>
      <c r="I34" s="6">
        <f t="shared" si="0"/>
        <v>1129.4640000000002</v>
      </c>
      <c r="J34" s="6" t="s">
        <v>1934</v>
      </c>
      <c r="K34" s="17"/>
    </row>
    <row r="35" spans="1:11" ht="13.95" customHeight="1" x14ac:dyDescent="0.3">
      <c r="A35" s="3">
        <v>45691</v>
      </c>
      <c r="B35" s="19" t="s">
        <v>2011</v>
      </c>
      <c r="C35" s="19" t="s">
        <v>18</v>
      </c>
      <c r="D35" s="19" t="s">
        <v>1259</v>
      </c>
      <c r="E35" s="4">
        <v>0.4</v>
      </c>
      <c r="F35" s="42">
        <v>1.95</v>
      </c>
      <c r="G35" s="45">
        <v>249</v>
      </c>
      <c r="H35" s="22">
        <v>2.1</v>
      </c>
      <c r="I35" s="6">
        <f t="shared" si="0"/>
        <v>407.86200000000002</v>
      </c>
      <c r="J35" s="6" t="s">
        <v>1935</v>
      </c>
      <c r="K35" s="17"/>
    </row>
    <row r="36" spans="1:11" ht="13.95" customHeight="1" x14ac:dyDescent="0.3">
      <c r="A36" s="3">
        <v>45692</v>
      </c>
      <c r="B36" s="19" t="s">
        <v>2011</v>
      </c>
      <c r="C36" s="19" t="s">
        <v>20</v>
      </c>
      <c r="D36" s="19" t="s">
        <v>1259</v>
      </c>
      <c r="E36" s="4">
        <v>0.35</v>
      </c>
      <c r="F36" s="42">
        <v>1.9</v>
      </c>
      <c r="G36" s="45">
        <v>249</v>
      </c>
      <c r="H36" s="22">
        <v>2.1</v>
      </c>
      <c r="I36" s="6">
        <f t="shared" si="0"/>
        <v>347.7285</v>
      </c>
      <c r="J36" s="6" t="s">
        <v>1472</v>
      </c>
      <c r="K36" s="17"/>
    </row>
    <row r="37" spans="1:11" ht="13.95" customHeight="1" x14ac:dyDescent="0.3">
      <c r="A37" s="3">
        <v>45693</v>
      </c>
      <c r="B37" s="19" t="s">
        <v>2011</v>
      </c>
      <c r="C37" s="19" t="s">
        <v>5</v>
      </c>
      <c r="D37" s="19" t="s">
        <v>1259</v>
      </c>
      <c r="E37" s="4">
        <v>0.38</v>
      </c>
      <c r="F37" s="42">
        <v>1.9</v>
      </c>
      <c r="G37" s="45">
        <v>249</v>
      </c>
      <c r="H37" s="22">
        <v>2.1</v>
      </c>
      <c r="I37" s="6">
        <f t="shared" si="0"/>
        <v>377.53379999999999</v>
      </c>
      <c r="J37" s="6" t="s">
        <v>150</v>
      </c>
      <c r="K37" s="17"/>
    </row>
    <row r="38" spans="1:11" ht="13.95" customHeight="1" x14ac:dyDescent="0.3">
      <c r="A38" s="3">
        <v>45694</v>
      </c>
      <c r="B38" s="19" t="s">
        <v>2011</v>
      </c>
      <c r="C38" s="19" t="s">
        <v>8</v>
      </c>
      <c r="D38" s="19" t="s">
        <v>1936</v>
      </c>
      <c r="E38" s="4">
        <v>0.55000000000000004</v>
      </c>
      <c r="F38" s="42">
        <v>2.15</v>
      </c>
      <c r="G38" s="45">
        <v>249</v>
      </c>
      <c r="H38" s="22">
        <v>2.1</v>
      </c>
      <c r="I38" s="6">
        <f t="shared" si="0"/>
        <v>618.32925000000012</v>
      </c>
      <c r="J38" s="6" t="s">
        <v>1937</v>
      </c>
      <c r="K38" s="17"/>
    </row>
    <row r="39" spans="1:11" ht="13.95" customHeight="1" x14ac:dyDescent="0.3">
      <c r="A39" s="3">
        <v>45695</v>
      </c>
      <c r="B39" s="19" t="s">
        <v>2011</v>
      </c>
      <c r="C39" s="19" t="s">
        <v>11</v>
      </c>
      <c r="D39" s="19" t="s">
        <v>14</v>
      </c>
      <c r="E39" s="4">
        <v>0.65</v>
      </c>
      <c r="F39" s="42">
        <v>2.35</v>
      </c>
      <c r="G39" s="45">
        <v>249</v>
      </c>
      <c r="H39" s="22">
        <v>2.1</v>
      </c>
      <c r="I39" s="6">
        <f t="shared" si="0"/>
        <v>798.72975000000008</v>
      </c>
      <c r="J39" s="6" t="s">
        <v>390</v>
      </c>
      <c r="K39" s="17"/>
    </row>
    <row r="40" spans="1:11" ht="13.95" customHeight="1" x14ac:dyDescent="0.3">
      <c r="A40" s="3">
        <v>45696</v>
      </c>
      <c r="B40" s="19" t="s">
        <v>2011</v>
      </c>
      <c r="C40" s="19" t="s">
        <v>13</v>
      </c>
      <c r="D40" s="19" t="s">
        <v>14</v>
      </c>
      <c r="E40" s="4">
        <v>0.85</v>
      </c>
      <c r="F40" s="42">
        <v>3.05</v>
      </c>
      <c r="G40" s="45">
        <v>249</v>
      </c>
      <c r="H40" s="22">
        <v>2.1</v>
      </c>
      <c r="I40" s="6">
        <f t="shared" si="0"/>
        <v>1355.6182500000002</v>
      </c>
      <c r="J40" s="6" t="s">
        <v>1617</v>
      </c>
      <c r="K40" s="17"/>
    </row>
    <row r="41" spans="1:11" ht="13.95" customHeight="1" x14ac:dyDescent="0.3">
      <c r="A41" s="3">
        <v>45697</v>
      </c>
      <c r="B41" s="19" t="s">
        <v>2011</v>
      </c>
      <c r="C41" s="19" t="s">
        <v>16</v>
      </c>
      <c r="D41" s="19" t="s">
        <v>14</v>
      </c>
      <c r="E41" s="4">
        <v>0.75</v>
      </c>
      <c r="F41" s="42">
        <v>2.6</v>
      </c>
      <c r="G41" s="45">
        <v>249</v>
      </c>
      <c r="H41" s="22">
        <v>2.1</v>
      </c>
      <c r="I41" s="6">
        <f t="shared" si="0"/>
        <v>1019.6550000000001</v>
      </c>
      <c r="J41" s="6" t="s">
        <v>238</v>
      </c>
      <c r="K41" s="17"/>
    </row>
    <row r="42" spans="1:11" ht="13.95" customHeight="1" x14ac:dyDescent="0.3">
      <c r="A42" s="3">
        <v>45698</v>
      </c>
      <c r="B42" s="19" t="s">
        <v>2011</v>
      </c>
      <c r="C42" s="19" t="s">
        <v>18</v>
      </c>
      <c r="D42" s="19" t="s">
        <v>1259</v>
      </c>
      <c r="E42" s="4">
        <v>0.4</v>
      </c>
      <c r="F42" s="42">
        <v>1.9</v>
      </c>
      <c r="G42" s="45">
        <v>249</v>
      </c>
      <c r="H42" s="22">
        <v>2.1</v>
      </c>
      <c r="I42" s="6">
        <f t="shared" si="0"/>
        <v>397.40400000000005</v>
      </c>
      <c r="J42" s="6" t="s">
        <v>70</v>
      </c>
      <c r="K42" s="17"/>
    </row>
    <row r="43" spans="1:11" ht="13.95" customHeight="1" x14ac:dyDescent="0.3">
      <c r="A43" s="3">
        <v>45699</v>
      </c>
      <c r="B43" s="19" t="s">
        <v>2011</v>
      </c>
      <c r="C43" s="19" t="s">
        <v>20</v>
      </c>
      <c r="D43" s="19" t="s">
        <v>1259</v>
      </c>
      <c r="E43" s="4">
        <v>0.35</v>
      </c>
      <c r="F43" s="42">
        <v>1.9</v>
      </c>
      <c r="G43" s="45">
        <v>249</v>
      </c>
      <c r="H43" s="22">
        <v>2.1</v>
      </c>
      <c r="I43" s="6">
        <f t="shared" si="0"/>
        <v>347.7285</v>
      </c>
      <c r="J43" s="6" t="s">
        <v>150</v>
      </c>
      <c r="K43" s="17"/>
    </row>
    <row r="44" spans="1:11" ht="13.95" customHeight="1" x14ac:dyDescent="0.3">
      <c r="A44" s="3">
        <v>45700</v>
      </c>
      <c r="B44" s="19" t="s">
        <v>2011</v>
      </c>
      <c r="C44" s="19" t="s">
        <v>5</v>
      </c>
      <c r="D44" s="19" t="s">
        <v>1259</v>
      </c>
      <c r="E44" s="4">
        <v>0.45</v>
      </c>
      <c r="F44" s="42">
        <v>2.0499999999999998</v>
      </c>
      <c r="G44" s="45">
        <v>249</v>
      </c>
      <c r="H44" s="22">
        <v>2.1</v>
      </c>
      <c r="I44" s="6">
        <f t="shared" si="0"/>
        <v>482.37524999999999</v>
      </c>
      <c r="J44" s="6" t="s">
        <v>1938</v>
      </c>
      <c r="K44" s="17"/>
    </row>
    <row r="45" spans="1:11" ht="13.95" customHeight="1" x14ac:dyDescent="0.3">
      <c r="A45" s="3">
        <v>45701</v>
      </c>
      <c r="B45" s="19" t="s">
        <v>2011</v>
      </c>
      <c r="C45" s="19" t="s">
        <v>8</v>
      </c>
      <c r="D45" s="19" t="s">
        <v>1741</v>
      </c>
      <c r="E45" s="4">
        <v>0.6</v>
      </c>
      <c r="F45" s="42">
        <v>2.2000000000000002</v>
      </c>
      <c r="G45" s="45">
        <v>249</v>
      </c>
      <c r="H45" s="22">
        <v>2.1</v>
      </c>
      <c r="I45" s="6">
        <f t="shared" si="0"/>
        <v>690.22800000000018</v>
      </c>
      <c r="J45" s="6" t="s">
        <v>1498</v>
      </c>
      <c r="K45" s="17"/>
    </row>
    <row r="46" spans="1:11" ht="13.95" customHeight="1" x14ac:dyDescent="0.3">
      <c r="A46" s="3">
        <v>45702</v>
      </c>
      <c r="B46" s="19" t="s">
        <v>2011</v>
      </c>
      <c r="C46" s="19" t="s">
        <v>11</v>
      </c>
      <c r="D46" s="19" t="s">
        <v>1939</v>
      </c>
      <c r="E46" s="4">
        <v>0.85</v>
      </c>
      <c r="F46" s="42">
        <v>3.3</v>
      </c>
      <c r="G46" s="45">
        <v>249</v>
      </c>
      <c r="H46" s="22">
        <v>2.1</v>
      </c>
      <c r="I46" s="6">
        <f t="shared" si="0"/>
        <v>1466.7345</v>
      </c>
      <c r="J46" s="6" t="s">
        <v>1940</v>
      </c>
      <c r="K46" s="17"/>
    </row>
    <row r="47" spans="1:11" ht="13.95" customHeight="1" x14ac:dyDescent="0.3">
      <c r="A47" s="3">
        <v>45703</v>
      </c>
      <c r="B47" s="19" t="s">
        <v>2011</v>
      </c>
      <c r="C47" s="19" t="s">
        <v>13</v>
      </c>
      <c r="D47" s="19" t="s">
        <v>14</v>
      </c>
      <c r="E47" s="4">
        <v>0.95</v>
      </c>
      <c r="F47" s="42">
        <v>3.2</v>
      </c>
      <c r="G47" s="45">
        <v>249</v>
      </c>
      <c r="H47" s="22">
        <v>2.1</v>
      </c>
      <c r="I47" s="6">
        <f t="shared" si="0"/>
        <v>1589.6160000000002</v>
      </c>
      <c r="J47" s="6" t="s">
        <v>1941</v>
      </c>
      <c r="K47" s="17"/>
    </row>
    <row r="48" spans="1:11" ht="13.95" customHeight="1" x14ac:dyDescent="0.3">
      <c r="A48" s="3">
        <v>45704</v>
      </c>
      <c r="B48" s="19" t="s">
        <v>2011</v>
      </c>
      <c r="C48" s="19" t="s">
        <v>16</v>
      </c>
      <c r="D48" s="19" t="s">
        <v>14</v>
      </c>
      <c r="E48" s="4">
        <v>0.85</v>
      </c>
      <c r="F48" s="42">
        <v>2.75</v>
      </c>
      <c r="G48" s="45">
        <v>249</v>
      </c>
      <c r="H48" s="22">
        <v>2.1</v>
      </c>
      <c r="I48" s="6">
        <f t="shared" si="0"/>
        <v>1222.2787500000002</v>
      </c>
      <c r="J48" s="6" t="s">
        <v>559</v>
      </c>
      <c r="K48" s="17"/>
    </row>
    <row r="49" spans="1:11" ht="13.95" customHeight="1" x14ac:dyDescent="0.3">
      <c r="A49" s="3">
        <v>45705</v>
      </c>
      <c r="B49" s="19" t="s">
        <v>2011</v>
      </c>
      <c r="C49" s="19" t="s">
        <v>18</v>
      </c>
      <c r="D49" s="19" t="s">
        <v>1259</v>
      </c>
      <c r="E49" s="4">
        <v>0.4</v>
      </c>
      <c r="F49" s="42">
        <v>1.95</v>
      </c>
      <c r="G49" s="45">
        <v>249</v>
      </c>
      <c r="H49" s="22">
        <v>2.1</v>
      </c>
      <c r="I49" s="6">
        <f t="shared" si="0"/>
        <v>407.86200000000002</v>
      </c>
      <c r="J49" s="6" t="s">
        <v>150</v>
      </c>
      <c r="K49" s="17"/>
    </row>
    <row r="50" spans="1:11" ht="13.95" customHeight="1" x14ac:dyDescent="0.3">
      <c r="A50" s="3">
        <v>45706</v>
      </c>
      <c r="B50" s="19" t="s">
        <v>2011</v>
      </c>
      <c r="C50" s="19" t="s">
        <v>20</v>
      </c>
      <c r="D50" s="19" t="s">
        <v>1259</v>
      </c>
      <c r="E50" s="4">
        <v>0.35</v>
      </c>
      <c r="F50" s="42">
        <v>1.9</v>
      </c>
      <c r="G50" s="45">
        <v>249</v>
      </c>
      <c r="H50" s="22">
        <v>2.1</v>
      </c>
      <c r="I50" s="6">
        <f t="shared" si="0"/>
        <v>347.7285</v>
      </c>
      <c r="J50" s="6" t="s">
        <v>150</v>
      </c>
      <c r="K50" s="17"/>
    </row>
    <row r="51" spans="1:11" ht="13.95" customHeight="1" x14ac:dyDescent="0.3">
      <c r="A51" s="3">
        <v>45707</v>
      </c>
      <c r="B51" s="19" t="s">
        <v>2011</v>
      </c>
      <c r="C51" s="19" t="s">
        <v>5</v>
      </c>
      <c r="D51" s="19" t="s">
        <v>1259</v>
      </c>
      <c r="E51" s="4">
        <v>0.4</v>
      </c>
      <c r="F51" s="42">
        <v>1.95</v>
      </c>
      <c r="G51" s="45">
        <v>249</v>
      </c>
      <c r="H51" s="22">
        <v>2.1</v>
      </c>
      <c r="I51" s="6">
        <f t="shared" si="0"/>
        <v>407.86200000000002</v>
      </c>
      <c r="J51" s="6" t="s">
        <v>150</v>
      </c>
      <c r="K51" s="17"/>
    </row>
    <row r="52" spans="1:11" ht="13.95" customHeight="1" x14ac:dyDescent="0.3">
      <c r="A52" s="3">
        <v>45708</v>
      </c>
      <c r="B52" s="19" t="s">
        <v>2011</v>
      </c>
      <c r="C52" s="19" t="s">
        <v>8</v>
      </c>
      <c r="D52" s="19" t="s">
        <v>1936</v>
      </c>
      <c r="E52" s="4">
        <v>0.6</v>
      </c>
      <c r="F52" s="42">
        <v>2.2000000000000002</v>
      </c>
      <c r="G52" s="45">
        <v>249</v>
      </c>
      <c r="H52" s="22">
        <v>2.1</v>
      </c>
      <c r="I52" s="6">
        <f t="shared" si="0"/>
        <v>690.22800000000018</v>
      </c>
      <c r="J52" s="6" t="s">
        <v>1942</v>
      </c>
      <c r="K52" s="17"/>
    </row>
    <row r="53" spans="1:11" ht="13.95" customHeight="1" x14ac:dyDescent="0.3">
      <c r="A53" s="3">
        <v>45709</v>
      </c>
      <c r="B53" s="19" t="s">
        <v>2011</v>
      </c>
      <c r="C53" s="19" t="s">
        <v>11</v>
      </c>
      <c r="D53" s="19" t="s">
        <v>14</v>
      </c>
      <c r="E53" s="4">
        <v>0.7</v>
      </c>
      <c r="F53" s="42">
        <v>2.4</v>
      </c>
      <c r="G53" s="45">
        <v>249</v>
      </c>
      <c r="H53" s="22">
        <v>2.1</v>
      </c>
      <c r="I53" s="6">
        <f t="shared" si="0"/>
        <v>878.47199999999987</v>
      </c>
      <c r="J53" s="6" t="s">
        <v>97</v>
      </c>
      <c r="K53" s="17"/>
    </row>
    <row r="54" spans="1:11" ht="13.95" customHeight="1" x14ac:dyDescent="0.3">
      <c r="A54" s="3">
        <v>45710</v>
      </c>
      <c r="B54" s="19" t="s">
        <v>2011</v>
      </c>
      <c r="C54" s="19" t="s">
        <v>13</v>
      </c>
      <c r="D54" s="19" t="s">
        <v>14</v>
      </c>
      <c r="E54" s="4">
        <v>0.9</v>
      </c>
      <c r="F54" s="42">
        <v>3.1</v>
      </c>
      <c r="G54" s="45">
        <v>249</v>
      </c>
      <c r="H54" s="22">
        <v>2.1</v>
      </c>
      <c r="I54" s="6">
        <f t="shared" si="0"/>
        <v>1458.8910000000001</v>
      </c>
      <c r="J54" s="6" t="s">
        <v>1715</v>
      </c>
      <c r="K54" s="17"/>
    </row>
    <row r="55" spans="1:11" ht="13.95" customHeight="1" x14ac:dyDescent="0.3">
      <c r="A55" s="3">
        <v>45711</v>
      </c>
      <c r="B55" s="19" t="s">
        <v>2011</v>
      </c>
      <c r="C55" s="19" t="s">
        <v>16</v>
      </c>
      <c r="D55" s="19" t="s">
        <v>14</v>
      </c>
      <c r="E55" s="4">
        <v>0.75</v>
      </c>
      <c r="F55" s="42">
        <v>2.65</v>
      </c>
      <c r="G55" s="45">
        <v>249</v>
      </c>
      <c r="H55" s="22">
        <v>2.1</v>
      </c>
      <c r="I55" s="6">
        <f t="shared" si="0"/>
        <v>1039.2637500000001</v>
      </c>
      <c r="J55" s="6" t="s">
        <v>139</v>
      </c>
      <c r="K55" s="17"/>
    </row>
    <row r="56" spans="1:11" ht="13.95" customHeight="1" x14ac:dyDescent="0.3">
      <c r="A56" s="3">
        <v>45712</v>
      </c>
      <c r="B56" s="19" t="s">
        <v>2011</v>
      </c>
      <c r="C56" s="19" t="s">
        <v>18</v>
      </c>
      <c r="D56" s="19" t="s">
        <v>1259</v>
      </c>
      <c r="E56" s="4">
        <v>0.4</v>
      </c>
      <c r="F56" s="42">
        <v>1.95</v>
      </c>
      <c r="G56" s="45">
        <v>249</v>
      </c>
      <c r="H56" s="22">
        <v>2.1</v>
      </c>
      <c r="I56" s="6">
        <f t="shared" si="0"/>
        <v>407.86200000000002</v>
      </c>
      <c r="J56" s="6" t="s">
        <v>150</v>
      </c>
      <c r="K56" s="17"/>
    </row>
    <row r="57" spans="1:11" ht="13.95" customHeight="1" x14ac:dyDescent="0.3">
      <c r="A57" s="3">
        <v>45713</v>
      </c>
      <c r="B57" s="19" t="s">
        <v>2011</v>
      </c>
      <c r="C57" s="19" t="s">
        <v>20</v>
      </c>
      <c r="D57" s="19" t="s">
        <v>1259</v>
      </c>
      <c r="E57" s="4">
        <v>0.35</v>
      </c>
      <c r="F57" s="42">
        <v>1.9</v>
      </c>
      <c r="G57" s="45">
        <v>249</v>
      </c>
      <c r="H57" s="22">
        <v>2.1</v>
      </c>
      <c r="I57" s="6">
        <f t="shared" si="0"/>
        <v>347.7285</v>
      </c>
      <c r="J57" s="6" t="s">
        <v>150</v>
      </c>
      <c r="K57" s="17"/>
    </row>
    <row r="58" spans="1:11" ht="13.95" customHeight="1" x14ac:dyDescent="0.3">
      <c r="A58" s="3">
        <v>45714</v>
      </c>
      <c r="B58" s="19" t="s">
        <v>2011</v>
      </c>
      <c r="C58" s="19" t="s">
        <v>5</v>
      </c>
      <c r="D58" s="19" t="s">
        <v>1259</v>
      </c>
      <c r="E58" s="4">
        <v>0.38</v>
      </c>
      <c r="F58" s="42">
        <v>1.9</v>
      </c>
      <c r="G58" s="45">
        <v>249</v>
      </c>
      <c r="H58" s="22">
        <v>2.1</v>
      </c>
      <c r="I58" s="6">
        <f t="shared" si="0"/>
        <v>377.53379999999999</v>
      </c>
      <c r="J58" s="6" t="s">
        <v>150</v>
      </c>
      <c r="K58" s="17"/>
    </row>
    <row r="59" spans="1:11" ht="13.95" customHeight="1" x14ac:dyDescent="0.3">
      <c r="A59" s="3">
        <v>45715</v>
      </c>
      <c r="B59" s="19" t="s">
        <v>2011</v>
      </c>
      <c r="C59" s="19" t="s">
        <v>8</v>
      </c>
      <c r="D59" s="19" t="s">
        <v>1925</v>
      </c>
      <c r="E59" s="4">
        <v>0.55000000000000004</v>
      </c>
      <c r="F59" s="42">
        <v>2.15</v>
      </c>
      <c r="G59" s="45">
        <v>249</v>
      </c>
      <c r="H59" s="22">
        <v>2.1</v>
      </c>
      <c r="I59" s="6">
        <f t="shared" si="0"/>
        <v>618.32925000000012</v>
      </c>
      <c r="J59" s="6" t="s">
        <v>1943</v>
      </c>
      <c r="K59" s="17"/>
    </row>
    <row r="60" spans="1:11" ht="13.95" customHeight="1" x14ac:dyDescent="0.3">
      <c r="A60" s="3">
        <v>45716</v>
      </c>
      <c r="B60" s="19" t="s">
        <v>2011</v>
      </c>
      <c r="C60" s="19" t="s">
        <v>11</v>
      </c>
      <c r="D60" s="19" t="s">
        <v>1417</v>
      </c>
      <c r="E60" s="4">
        <v>0.65</v>
      </c>
      <c r="F60" s="42">
        <v>2.35</v>
      </c>
      <c r="G60" s="45">
        <v>249</v>
      </c>
      <c r="H60" s="22">
        <v>2.1</v>
      </c>
      <c r="I60" s="6">
        <f t="shared" si="0"/>
        <v>798.72975000000008</v>
      </c>
      <c r="J60" s="6" t="s">
        <v>1944</v>
      </c>
      <c r="K60" s="17"/>
    </row>
    <row r="61" spans="1:11" ht="13.95" customHeight="1" x14ac:dyDescent="0.3">
      <c r="A61" s="3">
        <v>45717</v>
      </c>
      <c r="B61" s="19" t="s">
        <v>2011</v>
      </c>
      <c r="C61" s="19" t="s">
        <v>13</v>
      </c>
      <c r="D61" s="19" t="s">
        <v>708</v>
      </c>
      <c r="E61" s="4">
        <v>0.6</v>
      </c>
      <c r="F61" s="42">
        <v>2.85</v>
      </c>
      <c r="G61" s="45">
        <v>249</v>
      </c>
      <c r="H61" s="22">
        <v>2.1</v>
      </c>
      <c r="I61" s="6">
        <f t="shared" si="0"/>
        <v>894.15900000000011</v>
      </c>
      <c r="J61" s="6" t="s">
        <v>1945</v>
      </c>
      <c r="K61" s="17"/>
    </row>
    <row r="62" spans="1:11" ht="13.95" customHeight="1" x14ac:dyDescent="0.3">
      <c r="A62" s="3">
        <v>45718</v>
      </c>
      <c r="B62" s="19" t="s">
        <v>2011</v>
      </c>
      <c r="C62" s="19" t="s">
        <v>16</v>
      </c>
      <c r="D62" s="19" t="s">
        <v>76</v>
      </c>
      <c r="E62" s="4">
        <v>0.5</v>
      </c>
      <c r="F62" s="42">
        <v>2.4</v>
      </c>
      <c r="G62" s="45">
        <v>249</v>
      </c>
      <c r="H62" s="22">
        <v>2.1</v>
      </c>
      <c r="I62" s="6">
        <f t="shared" si="0"/>
        <v>627.48</v>
      </c>
      <c r="J62" s="6" t="s">
        <v>1855</v>
      </c>
      <c r="K62" s="17"/>
    </row>
    <row r="63" spans="1:11" ht="13.95" customHeight="1" x14ac:dyDescent="0.3">
      <c r="A63" s="3">
        <v>45719</v>
      </c>
      <c r="B63" s="19" t="s">
        <v>2011</v>
      </c>
      <c r="C63" s="19" t="s">
        <v>18</v>
      </c>
      <c r="D63" s="19" t="s">
        <v>76</v>
      </c>
      <c r="E63" s="4">
        <v>0.35</v>
      </c>
      <c r="F63" s="42">
        <v>1.95</v>
      </c>
      <c r="G63" s="45">
        <v>249</v>
      </c>
      <c r="H63" s="22">
        <v>2.1</v>
      </c>
      <c r="I63" s="6">
        <f t="shared" si="0"/>
        <v>356.87924999999996</v>
      </c>
      <c r="J63" s="6" t="s">
        <v>1297</v>
      </c>
      <c r="K63" s="17"/>
    </row>
    <row r="64" spans="1:11" ht="13.95" customHeight="1" x14ac:dyDescent="0.3">
      <c r="A64" s="3">
        <v>45720</v>
      </c>
      <c r="B64" s="19" t="s">
        <v>2011</v>
      </c>
      <c r="C64" s="19" t="s">
        <v>20</v>
      </c>
      <c r="D64" s="19" t="s">
        <v>76</v>
      </c>
      <c r="E64" s="4">
        <v>0.3</v>
      </c>
      <c r="F64" s="42">
        <v>1.9</v>
      </c>
      <c r="G64" s="45">
        <v>249</v>
      </c>
      <c r="H64" s="22">
        <v>2.1</v>
      </c>
      <c r="I64" s="6">
        <f t="shared" si="0"/>
        <v>298.05300000000005</v>
      </c>
      <c r="J64" s="6" t="s">
        <v>1297</v>
      </c>
      <c r="K64" s="17"/>
    </row>
    <row r="65" spans="1:11" ht="13.95" customHeight="1" x14ac:dyDescent="0.3">
      <c r="A65" s="3">
        <v>45721</v>
      </c>
      <c r="B65" s="19" t="s">
        <v>2011</v>
      </c>
      <c r="C65" s="19" t="s">
        <v>5</v>
      </c>
      <c r="D65" s="19" t="s">
        <v>76</v>
      </c>
      <c r="E65" s="4">
        <v>0.35</v>
      </c>
      <c r="F65" s="42">
        <v>1.95</v>
      </c>
      <c r="G65" s="45">
        <v>249</v>
      </c>
      <c r="H65" s="22">
        <v>2.1</v>
      </c>
      <c r="I65" s="6">
        <f t="shared" si="0"/>
        <v>356.87924999999996</v>
      </c>
      <c r="J65" s="6" t="s">
        <v>57</v>
      </c>
      <c r="K65" s="17"/>
    </row>
    <row r="66" spans="1:11" ht="13.95" customHeight="1" x14ac:dyDescent="0.3">
      <c r="A66" s="3">
        <v>45722</v>
      </c>
      <c r="B66" s="19" t="s">
        <v>2011</v>
      </c>
      <c r="C66" s="19" t="s">
        <v>8</v>
      </c>
      <c r="D66" s="19" t="s">
        <v>1263</v>
      </c>
      <c r="E66" s="4">
        <v>0.55000000000000004</v>
      </c>
      <c r="F66" s="42">
        <v>2.2000000000000002</v>
      </c>
      <c r="G66" s="45">
        <v>249</v>
      </c>
      <c r="H66" s="22">
        <v>2.1</v>
      </c>
      <c r="I66" s="6">
        <f t="shared" ref="I66:I129" si="1">(G66*E66)*F66*H66</f>
        <v>632.70900000000017</v>
      </c>
      <c r="J66" s="6" t="s">
        <v>1856</v>
      </c>
      <c r="K66" s="17"/>
    </row>
    <row r="67" spans="1:11" ht="13.95" customHeight="1" x14ac:dyDescent="0.3">
      <c r="A67" s="3">
        <v>45723</v>
      </c>
      <c r="B67" s="19" t="s">
        <v>2011</v>
      </c>
      <c r="C67" s="19" t="s">
        <v>11</v>
      </c>
      <c r="D67" s="19" t="s">
        <v>14</v>
      </c>
      <c r="E67" s="4">
        <v>0.65</v>
      </c>
      <c r="F67" s="42">
        <v>2.5499999999999998</v>
      </c>
      <c r="G67" s="45">
        <v>249</v>
      </c>
      <c r="H67" s="22">
        <v>2.1</v>
      </c>
      <c r="I67" s="6">
        <f t="shared" si="1"/>
        <v>866.70674999999994</v>
      </c>
      <c r="J67" s="6" t="s">
        <v>1302</v>
      </c>
      <c r="K67" s="17"/>
    </row>
    <row r="68" spans="1:11" ht="13.95" customHeight="1" x14ac:dyDescent="0.3">
      <c r="A68" s="3">
        <v>45724</v>
      </c>
      <c r="B68" s="19" t="s">
        <v>2011</v>
      </c>
      <c r="C68" s="19" t="s">
        <v>13</v>
      </c>
      <c r="D68" s="19" t="s">
        <v>850</v>
      </c>
      <c r="E68" s="4">
        <v>0.8</v>
      </c>
      <c r="F68" s="42">
        <v>3.1</v>
      </c>
      <c r="G68" s="45">
        <v>249</v>
      </c>
      <c r="H68" s="22">
        <v>2.1</v>
      </c>
      <c r="I68" s="6">
        <f t="shared" si="1"/>
        <v>1296.7920000000001</v>
      </c>
      <c r="J68" s="6" t="s">
        <v>1946</v>
      </c>
      <c r="K68" s="17"/>
    </row>
    <row r="69" spans="1:11" ht="13.95" customHeight="1" x14ac:dyDescent="0.3">
      <c r="A69" s="3">
        <v>45725</v>
      </c>
      <c r="B69" s="19" t="s">
        <v>2011</v>
      </c>
      <c r="C69" s="19" t="s">
        <v>16</v>
      </c>
      <c r="D69" s="19" t="s">
        <v>76</v>
      </c>
      <c r="E69" s="4">
        <v>0.6</v>
      </c>
      <c r="F69" s="42">
        <v>2.5</v>
      </c>
      <c r="G69" s="45">
        <v>249</v>
      </c>
      <c r="H69" s="22">
        <v>2.1</v>
      </c>
      <c r="I69" s="6">
        <f t="shared" si="1"/>
        <v>784.35</v>
      </c>
      <c r="J69" s="6" t="s">
        <v>1947</v>
      </c>
      <c r="K69" s="17"/>
    </row>
    <row r="70" spans="1:11" ht="13.95" customHeight="1" x14ac:dyDescent="0.3">
      <c r="A70" s="3">
        <v>45726</v>
      </c>
      <c r="B70" s="19" t="s">
        <v>2011</v>
      </c>
      <c r="C70" s="19" t="s">
        <v>18</v>
      </c>
      <c r="D70" s="19" t="s">
        <v>76</v>
      </c>
      <c r="E70" s="4">
        <v>0.3</v>
      </c>
      <c r="F70" s="42">
        <v>1.9</v>
      </c>
      <c r="G70" s="45">
        <v>249</v>
      </c>
      <c r="H70" s="22">
        <v>2.1</v>
      </c>
      <c r="I70" s="6">
        <f t="shared" si="1"/>
        <v>298.05300000000005</v>
      </c>
      <c r="J70" s="6" t="s">
        <v>150</v>
      </c>
      <c r="K70" s="17"/>
    </row>
    <row r="71" spans="1:11" ht="13.95" customHeight="1" x14ac:dyDescent="0.3">
      <c r="A71" s="3">
        <v>45727</v>
      </c>
      <c r="B71" s="19" t="s">
        <v>2011</v>
      </c>
      <c r="C71" s="19" t="s">
        <v>20</v>
      </c>
      <c r="D71" s="19" t="s">
        <v>76</v>
      </c>
      <c r="E71" s="4">
        <v>0.3</v>
      </c>
      <c r="F71" s="42">
        <v>1.9</v>
      </c>
      <c r="G71" s="45">
        <v>249</v>
      </c>
      <c r="H71" s="22">
        <v>2.1</v>
      </c>
      <c r="I71" s="6">
        <f t="shared" si="1"/>
        <v>298.05300000000005</v>
      </c>
      <c r="J71" s="6" t="s">
        <v>150</v>
      </c>
      <c r="K71" s="17"/>
    </row>
    <row r="72" spans="1:11" ht="13.95" customHeight="1" x14ac:dyDescent="0.3">
      <c r="A72" s="3">
        <v>45728</v>
      </c>
      <c r="B72" s="19" t="s">
        <v>2011</v>
      </c>
      <c r="C72" s="19" t="s">
        <v>5</v>
      </c>
      <c r="D72" s="19" t="s">
        <v>76</v>
      </c>
      <c r="E72" s="4">
        <v>0.35</v>
      </c>
      <c r="F72" s="42">
        <v>1.95</v>
      </c>
      <c r="G72" s="45">
        <v>249</v>
      </c>
      <c r="H72" s="22">
        <v>2.1</v>
      </c>
      <c r="I72" s="6">
        <f t="shared" si="1"/>
        <v>356.87924999999996</v>
      </c>
      <c r="J72" s="6" t="s">
        <v>150</v>
      </c>
      <c r="K72" s="17"/>
    </row>
    <row r="73" spans="1:11" ht="13.95" customHeight="1" x14ac:dyDescent="0.3">
      <c r="A73" s="3">
        <v>45729</v>
      </c>
      <c r="B73" s="19" t="s">
        <v>2011</v>
      </c>
      <c r="C73" s="19" t="s">
        <v>8</v>
      </c>
      <c r="D73" s="19" t="s">
        <v>76</v>
      </c>
      <c r="E73" s="4">
        <v>0.45</v>
      </c>
      <c r="F73" s="42">
        <v>2.1</v>
      </c>
      <c r="G73" s="45">
        <v>249</v>
      </c>
      <c r="H73" s="22">
        <v>2.1</v>
      </c>
      <c r="I73" s="6">
        <f t="shared" si="1"/>
        <v>494.14050000000003</v>
      </c>
      <c r="J73" s="6" t="s">
        <v>1948</v>
      </c>
      <c r="K73" s="17"/>
    </row>
    <row r="74" spans="1:11" ht="13.95" customHeight="1" x14ac:dyDescent="0.3">
      <c r="A74" s="3">
        <v>45730</v>
      </c>
      <c r="B74" s="19" t="s">
        <v>2011</v>
      </c>
      <c r="C74" s="19" t="s">
        <v>11</v>
      </c>
      <c r="D74" s="19" t="s">
        <v>14</v>
      </c>
      <c r="E74" s="4">
        <v>0.6</v>
      </c>
      <c r="F74" s="42">
        <v>2.5499999999999998</v>
      </c>
      <c r="G74" s="45">
        <v>249</v>
      </c>
      <c r="H74" s="22">
        <v>2.1</v>
      </c>
      <c r="I74" s="6">
        <f t="shared" si="1"/>
        <v>800.03699999999992</v>
      </c>
      <c r="J74" s="6" t="s">
        <v>1302</v>
      </c>
      <c r="K74" s="17"/>
    </row>
    <row r="75" spans="1:11" ht="13.95" customHeight="1" x14ac:dyDescent="0.3">
      <c r="A75" s="3">
        <v>45731</v>
      </c>
      <c r="B75" s="19" t="s">
        <v>2011</v>
      </c>
      <c r="C75" s="19" t="s">
        <v>13</v>
      </c>
      <c r="D75" s="19" t="s">
        <v>76</v>
      </c>
      <c r="E75" s="4">
        <v>0.75</v>
      </c>
      <c r="F75" s="42">
        <v>2.9</v>
      </c>
      <c r="G75" s="45">
        <v>249</v>
      </c>
      <c r="H75" s="22">
        <v>2.1</v>
      </c>
      <c r="I75" s="6">
        <f t="shared" si="1"/>
        <v>1137.3074999999999</v>
      </c>
      <c r="J75" s="6" t="s">
        <v>1949</v>
      </c>
      <c r="K75" s="17"/>
    </row>
    <row r="76" spans="1:11" ht="13.95" customHeight="1" x14ac:dyDescent="0.3">
      <c r="A76" s="3">
        <v>45732</v>
      </c>
      <c r="B76" s="19" t="s">
        <v>2011</v>
      </c>
      <c r="C76" s="19" t="s">
        <v>16</v>
      </c>
      <c r="D76" s="19" t="s">
        <v>76</v>
      </c>
      <c r="E76" s="4">
        <v>0.65</v>
      </c>
      <c r="F76" s="42">
        <v>2.5</v>
      </c>
      <c r="G76" s="45">
        <v>249</v>
      </c>
      <c r="H76" s="22">
        <v>2.1</v>
      </c>
      <c r="I76" s="6">
        <f t="shared" si="1"/>
        <v>849.71250000000009</v>
      </c>
      <c r="J76" s="6" t="s">
        <v>1950</v>
      </c>
      <c r="K76" s="17"/>
    </row>
    <row r="77" spans="1:11" ht="13.95" customHeight="1" x14ac:dyDescent="0.3">
      <c r="A77" s="3">
        <v>45733</v>
      </c>
      <c r="B77" s="19" t="s">
        <v>2011</v>
      </c>
      <c r="C77" s="19" t="s">
        <v>18</v>
      </c>
      <c r="D77" s="19" t="s">
        <v>76</v>
      </c>
      <c r="E77" s="4">
        <v>0.35</v>
      </c>
      <c r="F77" s="42">
        <v>1.95</v>
      </c>
      <c r="G77" s="45">
        <v>249</v>
      </c>
      <c r="H77" s="22">
        <v>2.1</v>
      </c>
      <c r="I77" s="6">
        <f t="shared" si="1"/>
        <v>356.87924999999996</v>
      </c>
      <c r="J77" s="6" t="s">
        <v>150</v>
      </c>
      <c r="K77" s="17"/>
    </row>
    <row r="78" spans="1:11" ht="13.95" customHeight="1" x14ac:dyDescent="0.3">
      <c r="A78" s="3">
        <v>45734</v>
      </c>
      <c r="B78" s="19" t="s">
        <v>2011</v>
      </c>
      <c r="C78" s="19" t="s">
        <v>20</v>
      </c>
      <c r="D78" s="19" t="s">
        <v>76</v>
      </c>
      <c r="E78" s="4">
        <v>0.35</v>
      </c>
      <c r="F78" s="42">
        <v>1.9</v>
      </c>
      <c r="G78" s="45">
        <v>249</v>
      </c>
      <c r="H78" s="22">
        <v>2.1</v>
      </c>
      <c r="I78" s="6">
        <f t="shared" si="1"/>
        <v>347.7285</v>
      </c>
      <c r="J78" s="6" t="s">
        <v>150</v>
      </c>
      <c r="K78" s="17"/>
    </row>
    <row r="79" spans="1:11" ht="13.95" customHeight="1" x14ac:dyDescent="0.3">
      <c r="A79" s="3">
        <v>45735</v>
      </c>
      <c r="B79" s="19" t="s">
        <v>2011</v>
      </c>
      <c r="C79" s="19" t="s">
        <v>5</v>
      </c>
      <c r="D79" s="19" t="s">
        <v>994</v>
      </c>
      <c r="E79" s="4">
        <v>0.55000000000000004</v>
      </c>
      <c r="F79" s="42">
        <v>2.2999999999999998</v>
      </c>
      <c r="G79" s="45">
        <v>249</v>
      </c>
      <c r="H79" s="22">
        <v>2.1</v>
      </c>
      <c r="I79" s="6">
        <f t="shared" si="1"/>
        <v>661.46850000000006</v>
      </c>
      <c r="J79" s="6" t="s">
        <v>1305</v>
      </c>
      <c r="K79" s="17"/>
    </row>
    <row r="80" spans="1:11" ht="13.95" customHeight="1" x14ac:dyDescent="0.3">
      <c r="A80" s="3">
        <v>45736</v>
      </c>
      <c r="B80" s="19" t="s">
        <v>2011</v>
      </c>
      <c r="C80" s="19" t="s">
        <v>8</v>
      </c>
      <c r="D80" s="19" t="s">
        <v>383</v>
      </c>
      <c r="E80" s="4">
        <v>0.75</v>
      </c>
      <c r="F80" s="42">
        <v>2.75</v>
      </c>
      <c r="G80" s="45">
        <v>249</v>
      </c>
      <c r="H80" s="22">
        <v>2.1</v>
      </c>
      <c r="I80" s="6">
        <f t="shared" si="1"/>
        <v>1078.48125</v>
      </c>
      <c r="J80" s="6" t="s">
        <v>1951</v>
      </c>
      <c r="K80" s="17"/>
    </row>
    <row r="81" spans="1:11" ht="13.95" customHeight="1" x14ac:dyDescent="0.3">
      <c r="A81" s="3">
        <v>45737</v>
      </c>
      <c r="B81" s="19" t="s">
        <v>2011</v>
      </c>
      <c r="C81" s="19" t="s">
        <v>11</v>
      </c>
      <c r="D81" s="19" t="s">
        <v>14</v>
      </c>
      <c r="E81" s="4">
        <v>0.7</v>
      </c>
      <c r="F81" s="42">
        <v>2.6</v>
      </c>
      <c r="G81" s="45">
        <v>249</v>
      </c>
      <c r="H81" s="22">
        <v>2.1</v>
      </c>
      <c r="I81" s="6">
        <f t="shared" si="1"/>
        <v>951.67799999999988</v>
      </c>
      <c r="J81" s="6" t="s">
        <v>97</v>
      </c>
      <c r="K81" s="17"/>
    </row>
    <row r="82" spans="1:11" ht="13.95" customHeight="1" x14ac:dyDescent="0.3">
      <c r="A82" s="3">
        <v>45738</v>
      </c>
      <c r="B82" s="19" t="s">
        <v>2011</v>
      </c>
      <c r="C82" s="19" t="s">
        <v>13</v>
      </c>
      <c r="D82" s="19" t="s">
        <v>76</v>
      </c>
      <c r="E82" s="4">
        <v>0.85</v>
      </c>
      <c r="F82" s="42">
        <v>3.15</v>
      </c>
      <c r="G82" s="45">
        <v>249</v>
      </c>
      <c r="H82" s="22">
        <v>2.1</v>
      </c>
      <c r="I82" s="6">
        <f t="shared" si="1"/>
        <v>1400.06475</v>
      </c>
      <c r="J82" s="6" t="s">
        <v>1952</v>
      </c>
      <c r="K82" s="17"/>
    </row>
    <row r="83" spans="1:11" ht="13.95" customHeight="1" x14ac:dyDescent="0.3">
      <c r="A83" s="3">
        <v>45739</v>
      </c>
      <c r="B83" s="19" t="s">
        <v>2011</v>
      </c>
      <c r="C83" s="19" t="s">
        <v>16</v>
      </c>
      <c r="D83" s="19" t="s">
        <v>76</v>
      </c>
      <c r="E83" s="4">
        <v>0.75</v>
      </c>
      <c r="F83" s="42">
        <v>2.5499999999999998</v>
      </c>
      <c r="G83" s="45">
        <v>249</v>
      </c>
      <c r="H83" s="22">
        <v>2.1</v>
      </c>
      <c r="I83" s="6">
        <f t="shared" si="1"/>
        <v>1000.04625</v>
      </c>
      <c r="J83" s="6" t="s">
        <v>149</v>
      </c>
      <c r="K83" s="17"/>
    </row>
    <row r="84" spans="1:11" ht="13.95" customHeight="1" x14ac:dyDescent="0.3">
      <c r="A84" s="3">
        <v>45740</v>
      </c>
      <c r="B84" s="19" t="s">
        <v>2011</v>
      </c>
      <c r="C84" s="19" t="s">
        <v>18</v>
      </c>
      <c r="D84" s="19" t="s">
        <v>76</v>
      </c>
      <c r="E84" s="4">
        <v>0.4</v>
      </c>
      <c r="F84" s="42">
        <v>2</v>
      </c>
      <c r="G84" s="45">
        <v>249</v>
      </c>
      <c r="H84" s="22">
        <v>2.1</v>
      </c>
      <c r="I84" s="6">
        <f t="shared" si="1"/>
        <v>418.32000000000005</v>
      </c>
      <c r="J84" s="6" t="s">
        <v>150</v>
      </c>
      <c r="K84" s="17"/>
    </row>
    <row r="85" spans="1:11" ht="13.95" customHeight="1" x14ac:dyDescent="0.3">
      <c r="A85" s="3">
        <v>45741</v>
      </c>
      <c r="B85" s="19" t="s">
        <v>2011</v>
      </c>
      <c r="C85" s="19" t="s">
        <v>20</v>
      </c>
      <c r="D85" s="19" t="s">
        <v>76</v>
      </c>
      <c r="E85" s="4">
        <v>0.4</v>
      </c>
      <c r="F85" s="42">
        <v>2</v>
      </c>
      <c r="G85" s="45">
        <v>249</v>
      </c>
      <c r="H85" s="22">
        <v>2.1</v>
      </c>
      <c r="I85" s="6">
        <f t="shared" si="1"/>
        <v>418.32000000000005</v>
      </c>
      <c r="J85" s="6" t="s">
        <v>150</v>
      </c>
      <c r="K85" s="17"/>
    </row>
    <row r="86" spans="1:11" ht="13.95" customHeight="1" x14ac:dyDescent="0.3">
      <c r="A86" s="3">
        <v>45742</v>
      </c>
      <c r="B86" s="19" t="s">
        <v>2011</v>
      </c>
      <c r="C86" s="19" t="s">
        <v>5</v>
      </c>
      <c r="D86" s="19" t="s">
        <v>76</v>
      </c>
      <c r="E86" s="4">
        <v>0.5</v>
      </c>
      <c r="F86" s="42">
        <v>2.1</v>
      </c>
      <c r="G86" s="45">
        <v>249</v>
      </c>
      <c r="H86" s="22">
        <v>2.1</v>
      </c>
      <c r="I86" s="6">
        <f t="shared" si="1"/>
        <v>549.04499999999996</v>
      </c>
      <c r="J86" s="6" t="s">
        <v>1440</v>
      </c>
      <c r="K86" s="17"/>
    </row>
    <row r="87" spans="1:11" ht="13.95" customHeight="1" x14ac:dyDescent="0.3">
      <c r="A87" s="3">
        <v>45743</v>
      </c>
      <c r="B87" s="19" t="s">
        <v>2011</v>
      </c>
      <c r="C87" s="19" t="s">
        <v>8</v>
      </c>
      <c r="D87" s="19" t="s">
        <v>1760</v>
      </c>
      <c r="E87" s="4">
        <v>0.65</v>
      </c>
      <c r="F87" s="42">
        <v>2.4</v>
      </c>
      <c r="G87" s="45">
        <v>249</v>
      </c>
      <c r="H87" s="22">
        <v>2.1</v>
      </c>
      <c r="I87" s="6">
        <f t="shared" si="1"/>
        <v>815.72400000000005</v>
      </c>
      <c r="J87" s="6" t="s">
        <v>1488</v>
      </c>
      <c r="K87" s="17"/>
    </row>
    <row r="88" spans="1:11" ht="13.95" customHeight="1" x14ac:dyDescent="0.3">
      <c r="A88" s="3">
        <v>45744</v>
      </c>
      <c r="B88" s="19" t="s">
        <v>2011</v>
      </c>
      <c r="C88" s="19" t="s">
        <v>11</v>
      </c>
      <c r="D88" s="19" t="s">
        <v>1310</v>
      </c>
      <c r="E88" s="4">
        <v>0.85</v>
      </c>
      <c r="F88" s="42">
        <v>3.2</v>
      </c>
      <c r="G88" s="45">
        <v>249</v>
      </c>
      <c r="H88" s="22">
        <v>2.1</v>
      </c>
      <c r="I88" s="6">
        <f t="shared" si="1"/>
        <v>1422.2880000000002</v>
      </c>
      <c r="J88" s="6" t="s">
        <v>1953</v>
      </c>
      <c r="K88" s="17"/>
    </row>
    <row r="89" spans="1:11" ht="13.95" customHeight="1" x14ac:dyDescent="0.3">
      <c r="A89" s="3">
        <v>45745</v>
      </c>
      <c r="B89" s="19" t="s">
        <v>2011</v>
      </c>
      <c r="C89" s="19" t="s">
        <v>13</v>
      </c>
      <c r="D89" s="19" t="s">
        <v>904</v>
      </c>
      <c r="E89" s="4">
        <v>0.9</v>
      </c>
      <c r="F89" s="42">
        <v>3.3</v>
      </c>
      <c r="G89" s="45">
        <v>249</v>
      </c>
      <c r="H89" s="22">
        <v>2.1</v>
      </c>
      <c r="I89" s="6">
        <f t="shared" si="1"/>
        <v>1553.0129999999999</v>
      </c>
      <c r="J89" s="6" t="s">
        <v>1763</v>
      </c>
      <c r="K89" s="17"/>
    </row>
    <row r="90" spans="1:11" ht="13.95" customHeight="1" x14ac:dyDescent="0.3">
      <c r="A90" s="3">
        <v>45746</v>
      </c>
      <c r="B90" s="19" t="s">
        <v>2011</v>
      </c>
      <c r="C90" s="19" t="s">
        <v>16</v>
      </c>
      <c r="D90" s="19" t="s">
        <v>574</v>
      </c>
      <c r="E90" s="4">
        <v>1</v>
      </c>
      <c r="F90" s="42">
        <v>3.6</v>
      </c>
      <c r="G90" s="45">
        <v>249</v>
      </c>
      <c r="H90" s="22">
        <v>2.1</v>
      </c>
      <c r="I90" s="6">
        <f t="shared" si="1"/>
        <v>1882.44</v>
      </c>
      <c r="J90" s="6" t="s">
        <v>1954</v>
      </c>
      <c r="K90" s="17"/>
    </row>
    <row r="91" spans="1:11" ht="13.95" customHeight="1" x14ac:dyDescent="0.3">
      <c r="A91" s="3">
        <v>45747</v>
      </c>
      <c r="B91" s="19" t="s">
        <v>2011</v>
      </c>
      <c r="C91" s="19" t="s">
        <v>18</v>
      </c>
      <c r="D91" s="19" t="s">
        <v>574</v>
      </c>
      <c r="E91" s="4">
        <v>0.9</v>
      </c>
      <c r="F91" s="42">
        <v>3.1</v>
      </c>
      <c r="G91" s="45">
        <v>249</v>
      </c>
      <c r="H91" s="22">
        <v>2.1</v>
      </c>
      <c r="I91" s="6">
        <f t="shared" si="1"/>
        <v>1458.8910000000001</v>
      </c>
      <c r="J91" s="6" t="s">
        <v>750</v>
      </c>
      <c r="K91" s="17"/>
    </row>
    <row r="92" spans="1:11" ht="13.95" customHeight="1" x14ac:dyDescent="0.3">
      <c r="A92" s="3">
        <v>45748</v>
      </c>
      <c r="B92" s="19" t="s">
        <v>2011</v>
      </c>
      <c r="C92" s="19" t="s">
        <v>20</v>
      </c>
      <c r="D92" s="19" t="s">
        <v>1314</v>
      </c>
      <c r="E92" s="4">
        <v>0.6</v>
      </c>
      <c r="F92" s="42">
        <v>2.2000000000000002</v>
      </c>
      <c r="G92" s="45">
        <v>249</v>
      </c>
      <c r="H92" s="22">
        <v>2.1</v>
      </c>
      <c r="I92" s="6">
        <f t="shared" si="1"/>
        <v>690.22800000000018</v>
      </c>
      <c r="J92" s="6" t="s">
        <v>1955</v>
      </c>
      <c r="K92" s="17"/>
    </row>
    <row r="93" spans="1:11" ht="13.95" customHeight="1" x14ac:dyDescent="0.3">
      <c r="A93" s="3">
        <v>45749</v>
      </c>
      <c r="B93" s="19" t="s">
        <v>2011</v>
      </c>
      <c r="C93" s="19" t="s">
        <v>5</v>
      </c>
      <c r="D93" s="19" t="s">
        <v>1925</v>
      </c>
      <c r="E93" s="4">
        <v>0.65</v>
      </c>
      <c r="F93" s="42">
        <v>2.2999999999999998</v>
      </c>
      <c r="G93" s="45">
        <v>249</v>
      </c>
      <c r="H93" s="22">
        <v>2.1</v>
      </c>
      <c r="I93" s="6">
        <f t="shared" si="1"/>
        <v>781.73549999999989</v>
      </c>
      <c r="J93" s="6" t="s">
        <v>1956</v>
      </c>
      <c r="K93" s="17"/>
    </row>
    <row r="94" spans="1:11" ht="13.95" customHeight="1" x14ac:dyDescent="0.3">
      <c r="A94" s="3">
        <v>45750</v>
      </c>
      <c r="B94" s="19" t="s">
        <v>2011</v>
      </c>
      <c r="C94" s="19" t="s">
        <v>8</v>
      </c>
      <c r="D94" s="19" t="s">
        <v>1925</v>
      </c>
      <c r="E94" s="4">
        <v>0.7</v>
      </c>
      <c r="F94" s="42">
        <v>2.2999999999999998</v>
      </c>
      <c r="G94" s="45">
        <v>249</v>
      </c>
      <c r="H94" s="22">
        <v>2.1</v>
      </c>
      <c r="I94" s="6">
        <f t="shared" si="1"/>
        <v>841.86899999999991</v>
      </c>
      <c r="J94" s="6" t="s">
        <v>1956</v>
      </c>
      <c r="K94" s="17"/>
    </row>
    <row r="95" spans="1:11" ht="13.95" customHeight="1" x14ac:dyDescent="0.3">
      <c r="A95" s="3">
        <v>45751</v>
      </c>
      <c r="B95" s="19" t="s">
        <v>2011</v>
      </c>
      <c r="C95" s="19" t="s">
        <v>11</v>
      </c>
      <c r="D95" s="19" t="s">
        <v>14</v>
      </c>
      <c r="E95" s="4">
        <v>0.75</v>
      </c>
      <c r="F95" s="42">
        <v>2.4500000000000002</v>
      </c>
      <c r="G95" s="45">
        <v>249</v>
      </c>
      <c r="H95" s="22">
        <v>2.1</v>
      </c>
      <c r="I95" s="6">
        <f t="shared" si="1"/>
        <v>960.82875000000013</v>
      </c>
      <c r="J95" s="6" t="s">
        <v>1957</v>
      </c>
      <c r="K95" s="17"/>
    </row>
    <row r="96" spans="1:11" ht="13.95" customHeight="1" x14ac:dyDescent="0.3">
      <c r="A96" s="3">
        <v>45752</v>
      </c>
      <c r="B96" s="19" t="s">
        <v>2011</v>
      </c>
      <c r="C96" s="19" t="s">
        <v>13</v>
      </c>
      <c r="D96" s="19" t="s">
        <v>14</v>
      </c>
      <c r="E96" s="4">
        <v>0.9</v>
      </c>
      <c r="F96" s="42">
        <v>3.15</v>
      </c>
      <c r="G96" s="45">
        <v>249</v>
      </c>
      <c r="H96" s="22">
        <v>2.1</v>
      </c>
      <c r="I96" s="6">
        <f t="shared" si="1"/>
        <v>1482.4214999999999</v>
      </c>
      <c r="J96" s="6" t="s">
        <v>1525</v>
      </c>
      <c r="K96" s="17"/>
    </row>
    <row r="97" spans="1:11" ht="13.95" customHeight="1" x14ac:dyDescent="0.3">
      <c r="A97" s="3">
        <v>45753</v>
      </c>
      <c r="B97" s="19" t="s">
        <v>2011</v>
      </c>
      <c r="C97" s="19" t="s">
        <v>16</v>
      </c>
      <c r="D97" s="19" t="s">
        <v>14</v>
      </c>
      <c r="E97" s="4">
        <v>0.8</v>
      </c>
      <c r="F97" s="42">
        <v>2.75</v>
      </c>
      <c r="G97" s="45">
        <v>249</v>
      </c>
      <c r="H97" s="22">
        <v>2.1</v>
      </c>
      <c r="I97" s="6">
        <f t="shared" si="1"/>
        <v>1150.3800000000001</v>
      </c>
      <c r="J97" s="6" t="s">
        <v>238</v>
      </c>
      <c r="K97" s="17"/>
    </row>
    <row r="98" spans="1:11" ht="13.95" customHeight="1" x14ac:dyDescent="0.3">
      <c r="A98" s="3">
        <v>45754</v>
      </c>
      <c r="B98" s="19" t="s">
        <v>2011</v>
      </c>
      <c r="C98" s="19" t="s">
        <v>18</v>
      </c>
      <c r="D98" s="19" t="s">
        <v>1259</v>
      </c>
      <c r="E98" s="4">
        <v>0.45</v>
      </c>
      <c r="F98" s="42">
        <v>2.0499999999999998</v>
      </c>
      <c r="G98" s="45">
        <v>249</v>
      </c>
      <c r="H98" s="22">
        <v>2.1</v>
      </c>
      <c r="I98" s="6">
        <f t="shared" si="1"/>
        <v>482.37524999999999</v>
      </c>
      <c r="J98" s="6" t="s">
        <v>150</v>
      </c>
      <c r="K98" s="17"/>
    </row>
    <row r="99" spans="1:11" ht="13.95" customHeight="1" x14ac:dyDescent="0.3">
      <c r="A99" s="3">
        <v>45755</v>
      </c>
      <c r="B99" s="19" t="s">
        <v>2011</v>
      </c>
      <c r="C99" s="19" t="s">
        <v>20</v>
      </c>
      <c r="D99" s="19" t="s">
        <v>994</v>
      </c>
      <c r="E99" s="4">
        <v>0.6</v>
      </c>
      <c r="F99" s="42">
        <v>2.25</v>
      </c>
      <c r="G99" s="45">
        <v>249</v>
      </c>
      <c r="H99" s="22">
        <v>2.1</v>
      </c>
      <c r="I99" s="6">
        <f t="shared" si="1"/>
        <v>705.91500000000008</v>
      </c>
      <c r="J99" s="6" t="s">
        <v>1510</v>
      </c>
      <c r="K99" s="17"/>
    </row>
    <row r="100" spans="1:11" ht="13.95" customHeight="1" x14ac:dyDescent="0.3">
      <c r="A100" s="3">
        <v>45756</v>
      </c>
      <c r="B100" s="19" t="s">
        <v>2011</v>
      </c>
      <c r="C100" s="19" t="s">
        <v>5</v>
      </c>
      <c r="D100" s="19" t="s">
        <v>1112</v>
      </c>
      <c r="E100" s="4">
        <v>0.8</v>
      </c>
      <c r="F100" s="42">
        <v>2.6</v>
      </c>
      <c r="G100" s="45">
        <v>249</v>
      </c>
      <c r="H100" s="22">
        <v>2.1</v>
      </c>
      <c r="I100" s="6">
        <f t="shared" si="1"/>
        <v>1087.6320000000003</v>
      </c>
      <c r="J100" s="6" t="s">
        <v>1816</v>
      </c>
      <c r="K100" s="17"/>
    </row>
    <row r="101" spans="1:11" ht="13.95" customHeight="1" x14ac:dyDescent="0.3">
      <c r="A101" s="3">
        <v>45757</v>
      </c>
      <c r="B101" s="19" t="s">
        <v>2011</v>
      </c>
      <c r="C101" s="19" t="s">
        <v>8</v>
      </c>
      <c r="D101" s="19" t="s">
        <v>1925</v>
      </c>
      <c r="E101" s="4">
        <v>0.7</v>
      </c>
      <c r="F101" s="42">
        <v>2.25</v>
      </c>
      <c r="G101" s="45">
        <v>249</v>
      </c>
      <c r="H101" s="22">
        <v>2.1</v>
      </c>
      <c r="I101" s="6">
        <f t="shared" si="1"/>
        <v>823.5675</v>
      </c>
      <c r="J101" s="6" t="s">
        <v>1958</v>
      </c>
      <c r="K101" s="17"/>
    </row>
    <row r="102" spans="1:11" ht="13.95" customHeight="1" x14ac:dyDescent="0.3">
      <c r="A102" s="3">
        <v>45758</v>
      </c>
      <c r="B102" s="19" t="s">
        <v>2011</v>
      </c>
      <c r="C102" s="19" t="s">
        <v>11</v>
      </c>
      <c r="D102" s="19" t="s">
        <v>14</v>
      </c>
      <c r="E102" s="4">
        <v>0.75</v>
      </c>
      <c r="F102" s="42">
        <v>2.5</v>
      </c>
      <c r="G102" s="45">
        <v>249</v>
      </c>
      <c r="H102" s="22">
        <v>2.1</v>
      </c>
      <c r="I102" s="6">
        <f t="shared" si="1"/>
        <v>980.4375</v>
      </c>
      <c r="J102" s="6" t="s">
        <v>97</v>
      </c>
      <c r="K102" s="17"/>
    </row>
    <row r="103" spans="1:11" ht="13.95" customHeight="1" x14ac:dyDescent="0.3">
      <c r="A103" s="3">
        <v>45759</v>
      </c>
      <c r="B103" s="19" t="s">
        <v>2011</v>
      </c>
      <c r="C103" s="19" t="s">
        <v>13</v>
      </c>
      <c r="D103" s="19" t="s">
        <v>14</v>
      </c>
      <c r="E103" s="4">
        <v>0.95</v>
      </c>
      <c r="F103" s="42">
        <v>3.2</v>
      </c>
      <c r="G103" s="45">
        <v>249</v>
      </c>
      <c r="H103" s="22">
        <v>2.1</v>
      </c>
      <c r="I103" s="6">
        <f t="shared" si="1"/>
        <v>1589.6160000000002</v>
      </c>
      <c r="J103" s="6" t="s">
        <v>1959</v>
      </c>
      <c r="K103" s="17"/>
    </row>
    <row r="104" spans="1:11" ht="13.95" customHeight="1" x14ac:dyDescent="0.3">
      <c r="A104" s="3">
        <v>45760</v>
      </c>
      <c r="B104" s="19" t="s">
        <v>2011</v>
      </c>
      <c r="C104" s="19" t="s">
        <v>16</v>
      </c>
      <c r="D104" s="19" t="s">
        <v>14</v>
      </c>
      <c r="E104" s="4">
        <v>0.85</v>
      </c>
      <c r="F104" s="42">
        <v>2.8</v>
      </c>
      <c r="G104" s="45">
        <v>249</v>
      </c>
      <c r="H104" s="22">
        <v>2.1</v>
      </c>
      <c r="I104" s="6">
        <f t="shared" si="1"/>
        <v>1244.502</v>
      </c>
      <c r="J104" s="6" t="s">
        <v>69</v>
      </c>
      <c r="K104" s="17"/>
    </row>
    <row r="105" spans="1:11" ht="13.95" customHeight="1" x14ac:dyDescent="0.3">
      <c r="A105" s="3">
        <v>45761</v>
      </c>
      <c r="B105" s="19" t="s">
        <v>2011</v>
      </c>
      <c r="C105" s="19" t="s">
        <v>18</v>
      </c>
      <c r="D105" s="19" t="s">
        <v>1960</v>
      </c>
      <c r="E105" s="4">
        <v>0.7</v>
      </c>
      <c r="F105" s="42">
        <v>2.4</v>
      </c>
      <c r="G105" s="45">
        <v>249</v>
      </c>
      <c r="H105" s="22">
        <v>2.1</v>
      </c>
      <c r="I105" s="6">
        <f t="shared" si="1"/>
        <v>878.47199999999987</v>
      </c>
      <c r="J105" s="6" t="s">
        <v>1831</v>
      </c>
      <c r="K105" s="17"/>
    </row>
    <row r="106" spans="1:11" ht="13.95" customHeight="1" x14ac:dyDescent="0.3">
      <c r="A106" s="3">
        <v>45762</v>
      </c>
      <c r="B106" s="19" t="s">
        <v>2011</v>
      </c>
      <c r="C106" s="19" t="s">
        <v>20</v>
      </c>
      <c r="D106" s="19" t="s">
        <v>1960</v>
      </c>
      <c r="E106" s="4">
        <v>0.75</v>
      </c>
      <c r="F106" s="42">
        <v>2.4500000000000002</v>
      </c>
      <c r="G106" s="45">
        <v>249</v>
      </c>
      <c r="H106" s="22">
        <v>2.1</v>
      </c>
      <c r="I106" s="6">
        <f t="shared" si="1"/>
        <v>960.82875000000013</v>
      </c>
      <c r="J106" s="6" t="s">
        <v>1961</v>
      </c>
      <c r="K106" s="17"/>
    </row>
    <row r="107" spans="1:11" ht="13.95" customHeight="1" x14ac:dyDescent="0.3">
      <c r="A107" s="3">
        <v>45763</v>
      </c>
      <c r="B107" s="19" t="s">
        <v>2011</v>
      </c>
      <c r="C107" s="19" t="s">
        <v>5</v>
      </c>
      <c r="D107" s="19" t="s">
        <v>1960</v>
      </c>
      <c r="E107" s="4">
        <v>0.75</v>
      </c>
      <c r="F107" s="42">
        <v>2.4500000000000002</v>
      </c>
      <c r="G107" s="45">
        <v>249</v>
      </c>
      <c r="H107" s="22">
        <v>2.1</v>
      </c>
      <c r="I107" s="6">
        <f t="shared" si="1"/>
        <v>960.82875000000013</v>
      </c>
      <c r="J107" s="6" t="s">
        <v>1961</v>
      </c>
      <c r="K107" s="17"/>
    </row>
    <row r="108" spans="1:11" ht="13.95" customHeight="1" x14ac:dyDescent="0.3">
      <c r="A108" s="3">
        <v>45764</v>
      </c>
      <c r="B108" s="19" t="s">
        <v>2011</v>
      </c>
      <c r="C108" s="19" t="s">
        <v>8</v>
      </c>
      <c r="D108" s="19" t="s">
        <v>1960</v>
      </c>
      <c r="E108" s="4">
        <v>0.8</v>
      </c>
      <c r="F108" s="42">
        <v>2.5</v>
      </c>
      <c r="G108" s="45">
        <v>249</v>
      </c>
      <c r="H108" s="22">
        <v>2.1</v>
      </c>
      <c r="I108" s="6">
        <f t="shared" si="1"/>
        <v>1045.8000000000002</v>
      </c>
      <c r="J108" s="6" t="s">
        <v>339</v>
      </c>
      <c r="K108" s="17"/>
    </row>
    <row r="109" spans="1:11" ht="13.95" customHeight="1" x14ac:dyDescent="0.3">
      <c r="A109" s="3">
        <v>45765</v>
      </c>
      <c r="B109" s="19" t="s">
        <v>2011</v>
      </c>
      <c r="C109" s="19" t="s">
        <v>11</v>
      </c>
      <c r="D109" s="19" t="s">
        <v>1564</v>
      </c>
      <c r="E109" s="4">
        <v>0.85</v>
      </c>
      <c r="F109" s="42">
        <v>2.65</v>
      </c>
      <c r="G109" s="45">
        <v>249</v>
      </c>
      <c r="H109" s="22">
        <v>2.1</v>
      </c>
      <c r="I109" s="6">
        <f t="shared" si="1"/>
        <v>1177.8322499999999</v>
      </c>
      <c r="J109" s="6" t="s">
        <v>1962</v>
      </c>
      <c r="K109" s="17"/>
    </row>
    <row r="110" spans="1:11" ht="13.95" customHeight="1" x14ac:dyDescent="0.3">
      <c r="A110" s="3">
        <v>45766</v>
      </c>
      <c r="B110" s="19" t="s">
        <v>2011</v>
      </c>
      <c r="C110" s="19" t="s">
        <v>13</v>
      </c>
      <c r="D110" s="19" t="s">
        <v>1564</v>
      </c>
      <c r="E110" s="4">
        <v>1</v>
      </c>
      <c r="F110" s="42">
        <v>3.4</v>
      </c>
      <c r="G110" s="45">
        <v>249</v>
      </c>
      <c r="H110" s="22">
        <v>2.1</v>
      </c>
      <c r="I110" s="6">
        <f t="shared" si="1"/>
        <v>1777.8600000000001</v>
      </c>
      <c r="J110" s="6" t="s">
        <v>1533</v>
      </c>
      <c r="K110" s="17"/>
    </row>
    <row r="111" spans="1:11" ht="13.95" customHeight="1" x14ac:dyDescent="0.3">
      <c r="A111" s="3">
        <v>45767</v>
      </c>
      <c r="B111" s="19" t="s">
        <v>2011</v>
      </c>
      <c r="C111" s="19" t="s">
        <v>16</v>
      </c>
      <c r="D111" s="19" t="s">
        <v>905</v>
      </c>
      <c r="E111" s="4">
        <v>1</v>
      </c>
      <c r="F111" s="42">
        <v>3.5</v>
      </c>
      <c r="G111" s="45">
        <v>249</v>
      </c>
      <c r="H111" s="22">
        <v>2.1</v>
      </c>
      <c r="I111" s="6">
        <f t="shared" si="1"/>
        <v>1830.15</v>
      </c>
      <c r="J111" s="6" t="s">
        <v>1963</v>
      </c>
      <c r="K111" s="17"/>
    </row>
    <row r="112" spans="1:11" ht="13.95" customHeight="1" x14ac:dyDescent="0.3">
      <c r="A112" s="3">
        <v>45768</v>
      </c>
      <c r="B112" s="19" t="s">
        <v>2011</v>
      </c>
      <c r="C112" s="19" t="s">
        <v>18</v>
      </c>
      <c r="D112" s="19" t="s">
        <v>1960</v>
      </c>
      <c r="E112" s="4">
        <v>0.8</v>
      </c>
      <c r="F112" s="42">
        <v>2.5499999999999998</v>
      </c>
      <c r="G112" s="45">
        <v>249</v>
      </c>
      <c r="H112" s="22">
        <v>2.1</v>
      </c>
      <c r="I112" s="6">
        <f t="shared" si="1"/>
        <v>1066.7160000000001</v>
      </c>
      <c r="J112" s="6" t="s">
        <v>717</v>
      </c>
      <c r="K112" s="17"/>
    </row>
    <row r="113" spans="1:11" ht="13.95" customHeight="1" x14ac:dyDescent="0.3">
      <c r="A113" s="3">
        <v>45769</v>
      </c>
      <c r="B113" s="19" t="s">
        <v>2011</v>
      </c>
      <c r="C113" s="19" t="s">
        <v>20</v>
      </c>
      <c r="D113" s="19" t="s">
        <v>1960</v>
      </c>
      <c r="E113" s="4">
        <v>0.75</v>
      </c>
      <c r="F113" s="42">
        <v>2.4500000000000002</v>
      </c>
      <c r="G113" s="45">
        <v>249</v>
      </c>
      <c r="H113" s="22">
        <v>2.1</v>
      </c>
      <c r="I113" s="6">
        <f t="shared" si="1"/>
        <v>960.82875000000013</v>
      </c>
      <c r="J113" s="6" t="s">
        <v>1840</v>
      </c>
      <c r="K113" s="17"/>
    </row>
    <row r="114" spans="1:11" ht="13.95" customHeight="1" x14ac:dyDescent="0.3">
      <c r="A114" s="3">
        <v>45770</v>
      </c>
      <c r="B114" s="19" t="s">
        <v>2011</v>
      </c>
      <c r="C114" s="19" t="s">
        <v>5</v>
      </c>
      <c r="D114" s="19" t="s">
        <v>1259</v>
      </c>
      <c r="E114" s="4">
        <v>0.5</v>
      </c>
      <c r="F114" s="42">
        <v>2.0499999999999998</v>
      </c>
      <c r="G114" s="45">
        <v>249</v>
      </c>
      <c r="H114" s="22">
        <v>2.1</v>
      </c>
      <c r="I114" s="6">
        <f t="shared" si="1"/>
        <v>535.97249999999997</v>
      </c>
      <c r="J114" s="6" t="s">
        <v>150</v>
      </c>
      <c r="K114" s="17"/>
    </row>
    <row r="115" spans="1:11" ht="13.95" customHeight="1" x14ac:dyDescent="0.3">
      <c r="A115" s="3">
        <v>45771</v>
      </c>
      <c r="B115" s="19" t="s">
        <v>2011</v>
      </c>
      <c r="C115" s="19" t="s">
        <v>8</v>
      </c>
      <c r="D115" s="19" t="s">
        <v>1925</v>
      </c>
      <c r="E115" s="4">
        <v>0.65</v>
      </c>
      <c r="F115" s="42">
        <v>2.25</v>
      </c>
      <c r="G115" s="45">
        <v>249</v>
      </c>
      <c r="H115" s="22">
        <v>2.1</v>
      </c>
      <c r="I115" s="6">
        <f t="shared" si="1"/>
        <v>764.74124999999992</v>
      </c>
      <c r="J115" s="6" t="s">
        <v>1814</v>
      </c>
      <c r="K115" s="17"/>
    </row>
    <row r="116" spans="1:11" ht="13.95" customHeight="1" x14ac:dyDescent="0.3">
      <c r="A116" s="3">
        <v>45772</v>
      </c>
      <c r="B116" s="19" t="s">
        <v>2011</v>
      </c>
      <c r="C116" s="19" t="s">
        <v>11</v>
      </c>
      <c r="D116" s="19" t="s">
        <v>14</v>
      </c>
      <c r="E116" s="4">
        <v>0.75</v>
      </c>
      <c r="F116" s="42">
        <v>2.5</v>
      </c>
      <c r="G116" s="45">
        <v>249</v>
      </c>
      <c r="H116" s="22">
        <v>2.1</v>
      </c>
      <c r="I116" s="6">
        <f t="shared" si="1"/>
        <v>980.4375</v>
      </c>
      <c r="J116" s="6" t="s">
        <v>97</v>
      </c>
      <c r="K116" s="17"/>
    </row>
    <row r="117" spans="1:11" ht="13.95" customHeight="1" x14ac:dyDescent="0.3">
      <c r="A117" s="3">
        <v>45773</v>
      </c>
      <c r="B117" s="19" t="s">
        <v>2011</v>
      </c>
      <c r="C117" s="19" t="s">
        <v>13</v>
      </c>
      <c r="D117" s="19" t="s">
        <v>14</v>
      </c>
      <c r="E117" s="4">
        <v>0.95</v>
      </c>
      <c r="F117" s="42">
        <v>3.25</v>
      </c>
      <c r="G117" s="45">
        <v>249</v>
      </c>
      <c r="H117" s="22">
        <v>2.1</v>
      </c>
      <c r="I117" s="6">
        <f t="shared" si="1"/>
        <v>1614.4537499999999</v>
      </c>
      <c r="J117" s="6" t="s">
        <v>1875</v>
      </c>
      <c r="K117" s="17"/>
    </row>
    <row r="118" spans="1:11" ht="13.95" customHeight="1" x14ac:dyDescent="0.3">
      <c r="A118" s="3">
        <v>45774</v>
      </c>
      <c r="B118" s="19" t="s">
        <v>2011</v>
      </c>
      <c r="C118" s="19" t="s">
        <v>16</v>
      </c>
      <c r="D118" s="19" t="s">
        <v>14</v>
      </c>
      <c r="E118" s="4">
        <v>0.85</v>
      </c>
      <c r="F118" s="42">
        <v>2.8</v>
      </c>
      <c r="G118" s="45">
        <v>249</v>
      </c>
      <c r="H118" s="22">
        <v>2.1</v>
      </c>
      <c r="I118" s="6">
        <f t="shared" si="1"/>
        <v>1244.502</v>
      </c>
      <c r="J118" s="6" t="s">
        <v>69</v>
      </c>
      <c r="K118" s="17"/>
    </row>
    <row r="119" spans="1:11" ht="13.95" customHeight="1" x14ac:dyDescent="0.3">
      <c r="A119" s="3">
        <v>45775</v>
      </c>
      <c r="B119" s="19" t="s">
        <v>2011</v>
      </c>
      <c r="C119" s="19" t="s">
        <v>18</v>
      </c>
      <c r="D119" s="19" t="s">
        <v>1259</v>
      </c>
      <c r="E119" s="4">
        <v>0.45</v>
      </c>
      <c r="F119" s="42">
        <v>2</v>
      </c>
      <c r="G119" s="45">
        <v>249</v>
      </c>
      <c r="H119" s="22">
        <v>2.1</v>
      </c>
      <c r="I119" s="6">
        <f t="shared" si="1"/>
        <v>470.61</v>
      </c>
      <c r="J119" s="6" t="s">
        <v>150</v>
      </c>
      <c r="K119" s="17"/>
    </row>
    <row r="120" spans="1:11" ht="13.95" customHeight="1" x14ac:dyDescent="0.3">
      <c r="A120" s="3">
        <v>45776</v>
      </c>
      <c r="B120" s="19" t="s">
        <v>2011</v>
      </c>
      <c r="C120" s="19" t="s">
        <v>20</v>
      </c>
      <c r="D120" s="19" t="s">
        <v>1259</v>
      </c>
      <c r="E120" s="4">
        <v>0.5</v>
      </c>
      <c r="F120" s="42">
        <v>2.0499999999999998</v>
      </c>
      <c r="G120" s="45">
        <v>249</v>
      </c>
      <c r="H120" s="22">
        <v>2.1</v>
      </c>
      <c r="I120" s="6">
        <f t="shared" si="1"/>
        <v>535.97249999999997</v>
      </c>
      <c r="J120" s="6" t="s">
        <v>150</v>
      </c>
      <c r="K120" s="17"/>
    </row>
    <row r="121" spans="1:11" ht="13.95" customHeight="1" x14ac:dyDescent="0.3">
      <c r="A121" s="3">
        <v>45777</v>
      </c>
      <c r="B121" s="19" t="s">
        <v>2011</v>
      </c>
      <c r="C121" s="19" t="s">
        <v>5</v>
      </c>
      <c r="D121" s="19" t="s">
        <v>994</v>
      </c>
      <c r="E121" s="4">
        <v>0.65</v>
      </c>
      <c r="F121" s="42">
        <v>2.35</v>
      </c>
      <c r="G121" s="45">
        <v>249</v>
      </c>
      <c r="H121" s="22">
        <v>2.1</v>
      </c>
      <c r="I121" s="6">
        <f t="shared" si="1"/>
        <v>798.72975000000008</v>
      </c>
      <c r="J121" s="6" t="s">
        <v>1438</v>
      </c>
      <c r="K121" s="17"/>
    </row>
    <row r="122" spans="1:11" ht="13.95" customHeight="1" x14ac:dyDescent="0.3">
      <c r="A122" s="3">
        <v>45778</v>
      </c>
      <c r="B122" s="19" t="s">
        <v>2011</v>
      </c>
      <c r="C122" s="19" t="s">
        <v>8</v>
      </c>
      <c r="D122" s="19" t="s">
        <v>742</v>
      </c>
      <c r="E122" s="4">
        <v>0.85</v>
      </c>
      <c r="F122" s="42">
        <v>2.8</v>
      </c>
      <c r="G122" s="45">
        <v>249</v>
      </c>
      <c r="H122" s="22">
        <v>2.1</v>
      </c>
      <c r="I122" s="6">
        <f t="shared" si="1"/>
        <v>1244.502</v>
      </c>
      <c r="J122" s="6" t="s">
        <v>1964</v>
      </c>
      <c r="K122" s="17"/>
    </row>
    <row r="123" spans="1:11" ht="13.95" customHeight="1" x14ac:dyDescent="0.3">
      <c r="A123" s="3">
        <v>45779</v>
      </c>
      <c r="B123" s="19" t="s">
        <v>2011</v>
      </c>
      <c r="C123" s="19" t="s">
        <v>11</v>
      </c>
      <c r="D123" s="19" t="s">
        <v>1518</v>
      </c>
      <c r="E123" s="4">
        <v>0.75</v>
      </c>
      <c r="F123" s="42">
        <v>2.5</v>
      </c>
      <c r="G123" s="45">
        <v>249</v>
      </c>
      <c r="H123" s="22">
        <v>2.1</v>
      </c>
      <c r="I123" s="6">
        <f t="shared" si="1"/>
        <v>980.4375</v>
      </c>
      <c r="J123" s="6" t="s">
        <v>1111</v>
      </c>
      <c r="K123" s="17"/>
    </row>
    <row r="124" spans="1:11" ht="13.95" customHeight="1" x14ac:dyDescent="0.3">
      <c r="A124" s="3">
        <v>45780</v>
      </c>
      <c r="B124" s="19" t="s">
        <v>2011</v>
      </c>
      <c r="C124" s="19" t="s">
        <v>13</v>
      </c>
      <c r="D124" s="19" t="s">
        <v>14</v>
      </c>
      <c r="E124" s="4">
        <v>0.95</v>
      </c>
      <c r="F124" s="42">
        <v>3.3</v>
      </c>
      <c r="G124" s="45">
        <v>249</v>
      </c>
      <c r="H124" s="22">
        <v>2.1</v>
      </c>
      <c r="I124" s="6">
        <f t="shared" si="1"/>
        <v>1639.2914999999998</v>
      </c>
      <c r="J124" s="6" t="s">
        <v>1525</v>
      </c>
      <c r="K124" s="17"/>
    </row>
    <row r="125" spans="1:11" ht="13.95" customHeight="1" x14ac:dyDescent="0.3">
      <c r="A125" s="3">
        <v>45781</v>
      </c>
      <c r="B125" s="19" t="s">
        <v>2011</v>
      </c>
      <c r="C125" s="19" t="s">
        <v>16</v>
      </c>
      <c r="D125" s="19" t="s">
        <v>14</v>
      </c>
      <c r="E125" s="4">
        <v>0.8</v>
      </c>
      <c r="F125" s="42">
        <v>2.8</v>
      </c>
      <c r="G125" s="45">
        <v>249</v>
      </c>
      <c r="H125" s="22">
        <v>2.1</v>
      </c>
      <c r="I125" s="6">
        <f t="shared" si="1"/>
        <v>1171.296</v>
      </c>
      <c r="J125" s="6" t="s">
        <v>238</v>
      </c>
      <c r="K125" s="17"/>
    </row>
    <row r="126" spans="1:11" ht="13.95" customHeight="1" x14ac:dyDescent="0.3">
      <c r="A126" s="3">
        <v>45782</v>
      </c>
      <c r="B126" s="19" t="s">
        <v>2011</v>
      </c>
      <c r="C126" s="19" t="s">
        <v>18</v>
      </c>
      <c r="D126" s="19" t="s">
        <v>1340</v>
      </c>
      <c r="E126" s="4">
        <v>0.65</v>
      </c>
      <c r="F126" s="42">
        <v>2.2000000000000002</v>
      </c>
      <c r="G126" s="45">
        <v>249</v>
      </c>
      <c r="H126" s="22">
        <v>2.1</v>
      </c>
      <c r="I126" s="6">
        <f t="shared" si="1"/>
        <v>747.74700000000007</v>
      </c>
      <c r="J126" s="6" t="s">
        <v>1965</v>
      </c>
      <c r="K126" s="17"/>
    </row>
    <row r="127" spans="1:11" ht="13.95" customHeight="1" x14ac:dyDescent="0.3">
      <c r="A127" s="3">
        <v>45783</v>
      </c>
      <c r="B127" s="19" t="s">
        <v>2011</v>
      </c>
      <c r="C127" s="19" t="s">
        <v>20</v>
      </c>
      <c r="D127" s="19" t="s">
        <v>1340</v>
      </c>
      <c r="E127" s="4">
        <v>0.6</v>
      </c>
      <c r="F127" s="42">
        <v>2.15</v>
      </c>
      <c r="G127" s="45">
        <v>249</v>
      </c>
      <c r="H127" s="22">
        <v>2.1</v>
      </c>
      <c r="I127" s="6">
        <f t="shared" si="1"/>
        <v>674.54099999999994</v>
      </c>
      <c r="J127" s="6" t="s">
        <v>1965</v>
      </c>
      <c r="K127" s="17"/>
    </row>
    <row r="128" spans="1:11" ht="13.95" customHeight="1" x14ac:dyDescent="0.3">
      <c r="A128" s="3">
        <v>45784</v>
      </c>
      <c r="B128" s="19" t="s">
        <v>2011</v>
      </c>
      <c r="C128" s="19" t="s">
        <v>5</v>
      </c>
      <c r="D128" s="19" t="s">
        <v>1340</v>
      </c>
      <c r="E128" s="4">
        <v>0.6</v>
      </c>
      <c r="F128" s="42">
        <v>2.15</v>
      </c>
      <c r="G128" s="45">
        <v>249</v>
      </c>
      <c r="H128" s="22">
        <v>2.1</v>
      </c>
      <c r="I128" s="6">
        <f t="shared" si="1"/>
        <v>674.54099999999994</v>
      </c>
      <c r="J128" s="6" t="s">
        <v>71</v>
      </c>
      <c r="K128" s="17"/>
    </row>
    <row r="129" spans="1:11" ht="13.95" customHeight="1" x14ac:dyDescent="0.3">
      <c r="A129" s="3">
        <v>45785</v>
      </c>
      <c r="B129" s="19" t="s">
        <v>2011</v>
      </c>
      <c r="C129" s="19" t="s">
        <v>8</v>
      </c>
      <c r="D129" s="19" t="s">
        <v>1340</v>
      </c>
      <c r="E129" s="4">
        <v>0.55000000000000004</v>
      </c>
      <c r="F129" s="42">
        <v>2.1</v>
      </c>
      <c r="G129" s="45">
        <v>249</v>
      </c>
      <c r="H129" s="22">
        <v>2.1</v>
      </c>
      <c r="I129" s="6">
        <f t="shared" si="1"/>
        <v>603.94950000000006</v>
      </c>
      <c r="J129" s="6" t="s">
        <v>1878</v>
      </c>
      <c r="K129" s="17"/>
    </row>
    <row r="130" spans="1:11" ht="13.95" customHeight="1" x14ac:dyDescent="0.3">
      <c r="A130" s="3">
        <v>45786</v>
      </c>
      <c r="B130" s="19" t="s">
        <v>2011</v>
      </c>
      <c r="C130" s="19" t="s">
        <v>11</v>
      </c>
      <c r="D130" s="19" t="s">
        <v>14</v>
      </c>
      <c r="E130" s="4">
        <v>0.75</v>
      </c>
      <c r="F130" s="42">
        <v>2.5499999999999998</v>
      </c>
      <c r="G130" s="45">
        <v>249</v>
      </c>
      <c r="H130" s="22">
        <v>2.1</v>
      </c>
      <c r="I130" s="6">
        <f t="shared" ref="I130:I193" si="2">(G130*E130)*F130*H130</f>
        <v>1000.04625</v>
      </c>
      <c r="J130" s="6" t="s">
        <v>97</v>
      </c>
      <c r="K130" s="17"/>
    </row>
    <row r="131" spans="1:11" ht="13.95" customHeight="1" x14ac:dyDescent="0.3">
      <c r="A131" s="3">
        <v>45787</v>
      </c>
      <c r="B131" s="19" t="s">
        <v>2011</v>
      </c>
      <c r="C131" s="19" t="s">
        <v>13</v>
      </c>
      <c r="D131" s="19" t="s">
        <v>14</v>
      </c>
      <c r="E131" s="4">
        <v>1</v>
      </c>
      <c r="F131" s="42">
        <v>3.45</v>
      </c>
      <c r="G131" s="45">
        <v>249</v>
      </c>
      <c r="H131" s="22">
        <v>2.1</v>
      </c>
      <c r="I131" s="6">
        <f t="shared" si="2"/>
        <v>1804.0050000000001</v>
      </c>
      <c r="J131" s="6" t="s">
        <v>1879</v>
      </c>
      <c r="K131" s="17"/>
    </row>
    <row r="132" spans="1:11" ht="13.95" customHeight="1" x14ac:dyDescent="0.3">
      <c r="A132" s="3">
        <v>45788</v>
      </c>
      <c r="B132" s="19" t="s">
        <v>2011</v>
      </c>
      <c r="C132" s="19" t="s">
        <v>16</v>
      </c>
      <c r="D132" s="19" t="s">
        <v>14</v>
      </c>
      <c r="E132" s="4">
        <v>0.9</v>
      </c>
      <c r="F132" s="42">
        <v>2.9</v>
      </c>
      <c r="G132" s="45">
        <v>249</v>
      </c>
      <c r="H132" s="22">
        <v>2.1</v>
      </c>
      <c r="I132" s="6">
        <f t="shared" si="2"/>
        <v>1364.769</v>
      </c>
      <c r="J132" s="6" t="s">
        <v>1880</v>
      </c>
      <c r="K132" s="17"/>
    </row>
    <row r="133" spans="1:11" ht="13.95" customHeight="1" x14ac:dyDescent="0.3">
      <c r="A133" s="3">
        <v>45789</v>
      </c>
      <c r="B133" s="19" t="s">
        <v>2011</v>
      </c>
      <c r="C133" s="19" t="s">
        <v>18</v>
      </c>
      <c r="D133" s="19" t="s">
        <v>1340</v>
      </c>
      <c r="E133" s="4">
        <v>0.6</v>
      </c>
      <c r="F133" s="42">
        <v>2.15</v>
      </c>
      <c r="G133" s="45">
        <v>249</v>
      </c>
      <c r="H133" s="22">
        <v>2.1</v>
      </c>
      <c r="I133" s="6">
        <f t="shared" si="2"/>
        <v>674.54099999999994</v>
      </c>
      <c r="J133" s="6" t="s">
        <v>70</v>
      </c>
      <c r="K133" s="17"/>
    </row>
    <row r="134" spans="1:11" ht="13.95" customHeight="1" x14ac:dyDescent="0.3">
      <c r="A134" s="3">
        <v>45790</v>
      </c>
      <c r="B134" s="19" t="s">
        <v>2011</v>
      </c>
      <c r="C134" s="19" t="s">
        <v>20</v>
      </c>
      <c r="D134" s="19" t="s">
        <v>1340</v>
      </c>
      <c r="E134" s="4">
        <v>0.65</v>
      </c>
      <c r="F134" s="42">
        <v>2.15</v>
      </c>
      <c r="G134" s="45">
        <v>249</v>
      </c>
      <c r="H134" s="22">
        <v>2.1</v>
      </c>
      <c r="I134" s="6">
        <f t="shared" si="2"/>
        <v>730.75274999999999</v>
      </c>
      <c r="J134" s="6" t="s">
        <v>717</v>
      </c>
      <c r="K134" s="17"/>
    </row>
    <row r="135" spans="1:11" ht="13.95" customHeight="1" x14ac:dyDescent="0.3">
      <c r="A135" s="3">
        <v>45791</v>
      </c>
      <c r="B135" s="19" t="s">
        <v>2011</v>
      </c>
      <c r="C135" s="19" t="s">
        <v>5</v>
      </c>
      <c r="D135" s="19" t="s">
        <v>1340</v>
      </c>
      <c r="E135" s="4">
        <v>0.7</v>
      </c>
      <c r="F135" s="42">
        <v>2.2000000000000002</v>
      </c>
      <c r="G135" s="45">
        <v>249</v>
      </c>
      <c r="H135" s="22">
        <v>2.1</v>
      </c>
      <c r="I135" s="6">
        <f t="shared" si="2"/>
        <v>805.26599999999996</v>
      </c>
      <c r="J135" s="6" t="s">
        <v>71</v>
      </c>
      <c r="K135" s="17"/>
    </row>
    <row r="136" spans="1:11" ht="13.95" customHeight="1" x14ac:dyDescent="0.3">
      <c r="A136" s="3">
        <v>45792</v>
      </c>
      <c r="B136" s="19" t="s">
        <v>2011</v>
      </c>
      <c r="C136" s="19" t="s">
        <v>8</v>
      </c>
      <c r="D136" s="19" t="s">
        <v>1263</v>
      </c>
      <c r="E136" s="4">
        <v>0.8</v>
      </c>
      <c r="F136" s="42">
        <v>2.4500000000000002</v>
      </c>
      <c r="G136" s="45">
        <v>249</v>
      </c>
      <c r="H136" s="22">
        <v>2.1</v>
      </c>
      <c r="I136" s="6">
        <f t="shared" si="2"/>
        <v>1024.8840000000002</v>
      </c>
      <c r="J136" s="6" t="s">
        <v>1966</v>
      </c>
      <c r="K136" s="17"/>
    </row>
    <row r="137" spans="1:11" ht="13.95" customHeight="1" x14ac:dyDescent="0.3">
      <c r="A137" s="3">
        <v>45793</v>
      </c>
      <c r="B137" s="19" t="s">
        <v>2011</v>
      </c>
      <c r="C137" s="19" t="s">
        <v>11</v>
      </c>
      <c r="D137" s="19" t="s">
        <v>14</v>
      </c>
      <c r="E137" s="4">
        <v>0.85</v>
      </c>
      <c r="F137" s="42">
        <v>2.65</v>
      </c>
      <c r="G137" s="45">
        <v>249</v>
      </c>
      <c r="H137" s="22">
        <v>2.1</v>
      </c>
      <c r="I137" s="6">
        <f t="shared" si="2"/>
        <v>1177.8322499999999</v>
      </c>
      <c r="J137" s="6" t="s">
        <v>1124</v>
      </c>
      <c r="K137" s="17"/>
    </row>
    <row r="138" spans="1:11" ht="13.95" customHeight="1" x14ac:dyDescent="0.3">
      <c r="A138" s="3">
        <v>45794</v>
      </c>
      <c r="B138" s="19" t="s">
        <v>2011</v>
      </c>
      <c r="C138" s="19" t="s">
        <v>13</v>
      </c>
      <c r="D138" s="19" t="s">
        <v>14</v>
      </c>
      <c r="E138" s="4">
        <v>1</v>
      </c>
      <c r="F138" s="42">
        <v>3.5</v>
      </c>
      <c r="G138" s="45">
        <v>249</v>
      </c>
      <c r="H138" s="22">
        <v>2.1</v>
      </c>
      <c r="I138" s="6">
        <f t="shared" si="2"/>
        <v>1830.15</v>
      </c>
      <c r="J138" s="6" t="s">
        <v>1881</v>
      </c>
      <c r="K138" s="17"/>
    </row>
    <row r="139" spans="1:11" ht="13.95" customHeight="1" x14ac:dyDescent="0.3">
      <c r="A139" s="3">
        <v>45795</v>
      </c>
      <c r="B139" s="19" t="s">
        <v>2011</v>
      </c>
      <c r="C139" s="19" t="s">
        <v>16</v>
      </c>
      <c r="D139" s="19" t="s">
        <v>14</v>
      </c>
      <c r="E139" s="4">
        <v>0.9</v>
      </c>
      <c r="F139" s="42">
        <v>3</v>
      </c>
      <c r="G139" s="45">
        <v>249</v>
      </c>
      <c r="H139" s="22">
        <v>2.1</v>
      </c>
      <c r="I139" s="6">
        <f t="shared" si="2"/>
        <v>1411.83</v>
      </c>
      <c r="J139" s="6" t="s">
        <v>1882</v>
      </c>
      <c r="K139" s="17"/>
    </row>
    <row r="140" spans="1:11" ht="13.95" customHeight="1" x14ac:dyDescent="0.3">
      <c r="A140" s="3">
        <v>45796</v>
      </c>
      <c r="B140" s="19" t="s">
        <v>2011</v>
      </c>
      <c r="C140" s="19" t="s">
        <v>18</v>
      </c>
      <c r="D140" s="19" t="s">
        <v>1340</v>
      </c>
      <c r="E140" s="4">
        <v>0.65</v>
      </c>
      <c r="F140" s="42">
        <v>2.2000000000000002</v>
      </c>
      <c r="G140" s="45">
        <v>249</v>
      </c>
      <c r="H140" s="22">
        <v>2.1</v>
      </c>
      <c r="I140" s="6">
        <f t="shared" si="2"/>
        <v>747.74700000000007</v>
      </c>
      <c r="J140" s="6" t="s">
        <v>603</v>
      </c>
      <c r="K140" s="17"/>
    </row>
    <row r="141" spans="1:11" ht="13.95" customHeight="1" x14ac:dyDescent="0.3">
      <c r="A141" s="3">
        <v>45797</v>
      </c>
      <c r="B141" s="19" t="s">
        <v>2011</v>
      </c>
      <c r="C141" s="19" t="s">
        <v>20</v>
      </c>
      <c r="D141" s="19" t="s">
        <v>1340</v>
      </c>
      <c r="E141" s="4">
        <v>0.6</v>
      </c>
      <c r="F141" s="42">
        <v>2.15</v>
      </c>
      <c r="G141" s="45">
        <v>249</v>
      </c>
      <c r="H141" s="22">
        <v>2.1</v>
      </c>
      <c r="I141" s="6">
        <f t="shared" si="2"/>
        <v>674.54099999999994</v>
      </c>
      <c r="J141" s="6" t="s">
        <v>603</v>
      </c>
      <c r="K141" s="17"/>
    </row>
    <row r="142" spans="1:11" ht="13.95" customHeight="1" x14ac:dyDescent="0.3">
      <c r="A142" s="3">
        <v>45798</v>
      </c>
      <c r="B142" s="19" t="s">
        <v>2011</v>
      </c>
      <c r="C142" s="19" t="s">
        <v>5</v>
      </c>
      <c r="D142" s="19" t="s">
        <v>1340</v>
      </c>
      <c r="E142" s="4">
        <v>0.65</v>
      </c>
      <c r="F142" s="42">
        <v>2.2000000000000002</v>
      </c>
      <c r="G142" s="45">
        <v>249</v>
      </c>
      <c r="H142" s="22">
        <v>2.1</v>
      </c>
      <c r="I142" s="6">
        <f t="shared" si="2"/>
        <v>747.74700000000007</v>
      </c>
      <c r="J142" s="6" t="s">
        <v>71</v>
      </c>
      <c r="K142" s="17"/>
    </row>
    <row r="143" spans="1:11" ht="13.95" customHeight="1" x14ac:dyDescent="0.3">
      <c r="A143" s="3">
        <v>45799</v>
      </c>
      <c r="B143" s="19" t="s">
        <v>2011</v>
      </c>
      <c r="C143" s="19" t="s">
        <v>8</v>
      </c>
      <c r="D143" s="19" t="s">
        <v>1263</v>
      </c>
      <c r="E143" s="4">
        <v>0.75</v>
      </c>
      <c r="F143" s="42">
        <v>2.4</v>
      </c>
      <c r="G143" s="45">
        <v>249</v>
      </c>
      <c r="H143" s="22">
        <v>2.1</v>
      </c>
      <c r="I143" s="6">
        <f t="shared" si="2"/>
        <v>941.22</v>
      </c>
      <c r="J143" s="6" t="s">
        <v>1815</v>
      </c>
      <c r="K143" s="17"/>
    </row>
    <row r="144" spans="1:11" ht="13.95" customHeight="1" x14ac:dyDescent="0.3">
      <c r="A144" s="3">
        <v>45800</v>
      </c>
      <c r="B144" s="19" t="s">
        <v>2011</v>
      </c>
      <c r="C144" s="19" t="s">
        <v>11</v>
      </c>
      <c r="D144" s="19" t="s">
        <v>14</v>
      </c>
      <c r="E144" s="4">
        <v>0.85</v>
      </c>
      <c r="F144" s="42">
        <v>2.65</v>
      </c>
      <c r="G144" s="45">
        <v>249</v>
      </c>
      <c r="H144" s="22">
        <v>2.1</v>
      </c>
      <c r="I144" s="6">
        <f t="shared" si="2"/>
        <v>1177.8322499999999</v>
      </c>
      <c r="J144" s="6" t="s">
        <v>97</v>
      </c>
      <c r="K144" s="17"/>
    </row>
    <row r="145" spans="1:11" ht="13.95" customHeight="1" x14ac:dyDescent="0.3">
      <c r="A145" s="3">
        <v>45801</v>
      </c>
      <c r="B145" s="19" t="s">
        <v>2011</v>
      </c>
      <c r="C145" s="19" t="s">
        <v>13</v>
      </c>
      <c r="D145" s="19" t="s">
        <v>14</v>
      </c>
      <c r="E145" s="4">
        <v>1</v>
      </c>
      <c r="F145" s="42">
        <v>3.6</v>
      </c>
      <c r="G145" s="45">
        <v>249</v>
      </c>
      <c r="H145" s="22">
        <v>2.1</v>
      </c>
      <c r="I145" s="6">
        <f t="shared" si="2"/>
        <v>1882.44</v>
      </c>
      <c r="J145" s="6" t="s">
        <v>1967</v>
      </c>
      <c r="K145" s="17"/>
    </row>
    <row r="146" spans="1:11" ht="13.95" customHeight="1" x14ac:dyDescent="0.3">
      <c r="A146" s="3">
        <v>45802</v>
      </c>
      <c r="B146" s="19" t="s">
        <v>2011</v>
      </c>
      <c r="C146" s="19" t="s">
        <v>16</v>
      </c>
      <c r="D146" s="19" t="s">
        <v>14</v>
      </c>
      <c r="E146" s="4">
        <v>0.95</v>
      </c>
      <c r="F146" s="42">
        <v>3.1</v>
      </c>
      <c r="G146" s="45">
        <v>249</v>
      </c>
      <c r="H146" s="22">
        <v>2.1</v>
      </c>
      <c r="I146" s="6">
        <f t="shared" si="2"/>
        <v>1539.9404999999999</v>
      </c>
      <c r="J146" s="6" t="s">
        <v>139</v>
      </c>
      <c r="K146" s="17"/>
    </row>
    <row r="147" spans="1:11" ht="13.95" customHeight="1" x14ac:dyDescent="0.3">
      <c r="A147" s="3">
        <v>45803</v>
      </c>
      <c r="B147" s="19" t="s">
        <v>2011</v>
      </c>
      <c r="C147" s="19" t="s">
        <v>18</v>
      </c>
      <c r="D147" s="19" t="s">
        <v>1340</v>
      </c>
      <c r="E147" s="4">
        <v>0.7</v>
      </c>
      <c r="F147" s="42">
        <v>2.2999999999999998</v>
      </c>
      <c r="G147" s="45">
        <v>249</v>
      </c>
      <c r="H147" s="22">
        <v>2.1</v>
      </c>
      <c r="I147" s="6">
        <f t="shared" si="2"/>
        <v>841.86899999999991</v>
      </c>
      <c r="J147" s="6" t="s">
        <v>1883</v>
      </c>
      <c r="K147" s="17"/>
    </row>
    <row r="148" spans="1:11" ht="13.95" customHeight="1" x14ac:dyDescent="0.3">
      <c r="A148" s="3">
        <v>45804</v>
      </c>
      <c r="B148" s="19" t="s">
        <v>2011</v>
      </c>
      <c r="C148" s="19" t="s">
        <v>20</v>
      </c>
      <c r="D148" s="19" t="s">
        <v>1340</v>
      </c>
      <c r="E148" s="4">
        <v>0.7</v>
      </c>
      <c r="F148" s="42">
        <v>2.25</v>
      </c>
      <c r="G148" s="45">
        <v>249</v>
      </c>
      <c r="H148" s="22">
        <v>2.1</v>
      </c>
      <c r="I148" s="6">
        <f t="shared" si="2"/>
        <v>823.5675</v>
      </c>
      <c r="J148" s="6" t="s">
        <v>717</v>
      </c>
      <c r="K148" s="17"/>
    </row>
    <row r="149" spans="1:11" ht="13.95" customHeight="1" x14ac:dyDescent="0.3">
      <c r="A149" s="3">
        <v>45805</v>
      </c>
      <c r="B149" s="19" t="s">
        <v>2011</v>
      </c>
      <c r="C149" s="19" t="s">
        <v>5</v>
      </c>
      <c r="D149" s="19" t="s">
        <v>1340</v>
      </c>
      <c r="E149" s="4">
        <v>0.75</v>
      </c>
      <c r="F149" s="42">
        <v>2.2999999999999998</v>
      </c>
      <c r="G149" s="45">
        <v>249</v>
      </c>
      <c r="H149" s="22">
        <v>2.1</v>
      </c>
      <c r="I149" s="6">
        <f t="shared" si="2"/>
        <v>902.00249999999994</v>
      </c>
      <c r="J149" s="6" t="s">
        <v>71</v>
      </c>
      <c r="K149" s="17"/>
    </row>
    <row r="150" spans="1:11" ht="13.95" customHeight="1" x14ac:dyDescent="0.3">
      <c r="A150" s="3">
        <v>45806</v>
      </c>
      <c r="B150" s="19" t="s">
        <v>2011</v>
      </c>
      <c r="C150" s="19" t="s">
        <v>8</v>
      </c>
      <c r="D150" s="19" t="s">
        <v>1340</v>
      </c>
      <c r="E150" s="4">
        <v>0.8</v>
      </c>
      <c r="F150" s="42">
        <v>2.35</v>
      </c>
      <c r="G150" s="45">
        <v>249</v>
      </c>
      <c r="H150" s="22">
        <v>2.1</v>
      </c>
      <c r="I150" s="6">
        <f t="shared" si="2"/>
        <v>983.05200000000013</v>
      </c>
      <c r="J150" s="6" t="s">
        <v>82</v>
      </c>
      <c r="K150" s="17"/>
    </row>
    <row r="151" spans="1:11" ht="13.95" customHeight="1" x14ac:dyDescent="0.3">
      <c r="A151" s="3">
        <v>45807</v>
      </c>
      <c r="B151" s="19" t="s">
        <v>2011</v>
      </c>
      <c r="C151" s="19" t="s">
        <v>11</v>
      </c>
      <c r="D151" s="19" t="s">
        <v>14</v>
      </c>
      <c r="E151" s="4">
        <v>0.9</v>
      </c>
      <c r="F151" s="42">
        <v>2.75</v>
      </c>
      <c r="G151" s="45">
        <v>249</v>
      </c>
      <c r="H151" s="22">
        <v>2.1</v>
      </c>
      <c r="I151" s="6">
        <f t="shared" si="2"/>
        <v>1294.1775</v>
      </c>
      <c r="J151" s="6" t="s">
        <v>97</v>
      </c>
      <c r="K151" s="17"/>
    </row>
    <row r="152" spans="1:11" ht="13.95" customHeight="1" x14ac:dyDescent="0.3">
      <c r="A152" s="3">
        <v>45808</v>
      </c>
      <c r="B152" s="19" t="s">
        <v>2011</v>
      </c>
      <c r="C152" s="19" t="s">
        <v>13</v>
      </c>
      <c r="D152" s="19" t="s">
        <v>14</v>
      </c>
      <c r="E152" s="4">
        <v>1</v>
      </c>
      <c r="F152" s="42">
        <v>3.65</v>
      </c>
      <c r="G152" s="45">
        <v>249</v>
      </c>
      <c r="H152" s="22">
        <v>2.1</v>
      </c>
      <c r="I152" s="6">
        <f t="shared" si="2"/>
        <v>1908.585</v>
      </c>
      <c r="J152" s="6" t="s">
        <v>1346</v>
      </c>
      <c r="K152" s="17"/>
    </row>
    <row r="153" spans="1:11" ht="13.95" customHeight="1" x14ac:dyDescent="0.3">
      <c r="A153" s="3">
        <v>45809</v>
      </c>
      <c r="B153" s="19" t="s">
        <v>2011</v>
      </c>
      <c r="C153" s="19" t="s">
        <v>16</v>
      </c>
      <c r="D153" s="19" t="s">
        <v>14</v>
      </c>
      <c r="E153" s="4">
        <v>0.85</v>
      </c>
      <c r="F153" s="42">
        <v>2.8</v>
      </c>
      <c r="G153" s="45">
        <v>249</v>
      </c>
      <c r="H153" s="22">
        <v>2.2000000000000002</v>
      </c>
      <c r="I153" s="6">
        <f t="shared" si="2"/>
        <v>1303.7640000000001</v>
      </c>
      <c r="J153" s="6" t="s">
        <v>139</v>
      </c>
      <c r="K153" s="17"/>
    </row>
    <row r="154" spans="1:11" ht="13.95" customHeight="1" x14ac:dyDescent="0.3">
      <c r="A154" s="3">
        <v>45810</v>
      </c>
      <c r="B154" s="19" t="s">
        <v>2011</v>
      </c>
      <c r="C154" s="19" t="s">
        <v>18</v>
      </c>
      <c r="D154" s="19" t="s">
        <v>1340</v>
      </c>
      <c r="E154" s="4">
        <v>0.7</v>
      </c>
      <c r="F154" s="42">
        <v>2.2000000000000002</v>
      </c>
      <c r="G154" s="45">
        <v>249</v>
      </c>
      <c r="H154" s="22">
        <v>2.2000000000000002</v>
      </c>
      <c r="I154" s="6">
        <f t="shared" si="2"/>
        <v>843.61199999999997</v>
      </c>
      <c r="J154" s="6" t="s">
        <v>1968</v>
      </c>
      <c r="K154" s="17"/>
    </row>
    <row r="155" spans="1:11" ht="13.95" customHeight="1" x14ac:dyDescent="0.3">
      <c r="A155" s="3">
        <v>45811</v>
      </c>
      <c r="B155" s="19" t="s">
        <v>2011</v>
      </c>
      <c r="C155" s="19" t="s">
        <v>20</v>
      </c>
      <c r="D155" s="19" t="s">
        <v>1340</v>
      </c>
      <c r="E155" s="4">
        <v>0.75</v>
      </c>
      <c r="F155" s="42">
        <v>2.25</v>
      </c>
      <c r="G155" s="45">
        <v>249</v>
      </c>
      <c r="H155" s="22">
        <v>2.2000000000000002</v>
      </c>
      <c r="I155" s="6">
        <f t="shared" si="2"/>
        <v>924.41250000000002</v>
      </c>
      <c r="J155" s="6" t="s">
        <v>1968</v>
      </c>
      <c r="K155" s="17"/>
    </row>
    <row r="156" spans="1:11" ht="13.95" customHeight="1" x14ac:dyDescent="0.3">
      <c r="A156" s="3">
        <v>45812</v>
      </c>
      <c r="B156" s="19" t="s">
        <v>2011</v>
      </c>
      <c r="C156" s="19" t="s">
        <v>5</v>
      </c>
      <c r="D156" s="19" t="s">
        <v>1340</v>
      </c>
      <c r="E156" s="4">
        <v>0.8</v>
      </c>
      <c r="F156" s="42">
        <v>2.2999999999999998</v>
      </c>
      <c r="G156" s="45">
        <v>249</v>
      </c>
      <c r="H156" s="22">
        <v>2.2000000000000002</v>
      </c>
      <c r="I156" s="6">
        <f t="shared" si="2"/>
        <v>1007.9520000000001</v>
      </c>
      <c r="J156" s="6" t="s">
        <v>1440</v>
      </c>
      <c r="K156" s="17"/>
    </row>
    <row r="157" spans="1:11" ht="13.95" customHeight="1" x14ac:dyDescent="0.3">
      <c r="A157" s="3">
        <v>45813</v>
      </c>
      <c r="B157" s="19" t="s">
        <v>2011</v>
      </c>
      <c r="C157" s="19" t="s">
        <v>8</v>
      </c>
      <c r="D157" s="19" t="s">
        <v>1072</v>
      </c>
      <c r="E157" s="4">
        <v>0.9</v>
      </c>
      <c r="F157" s="42">
        <v>2.6</v>
      </c>
      <c r="G157" s="45">
        <v>249</v>
      </c>
      <c r="H157" s="22">
        <v>2.2000000000000002</v>
      </c>
      <c r="I157" s="6">
        <f t="shared" si="2"/>
        <v>1281.8520000000001</v>
      </c>
      <c r="J157" s="6" t="s">
        <v>1969</v>
      </c>
      <c r="K157" s="17"/>
    </row>
    <row r="158" spans="1:11" ht="13.95" customHeight="1" x14ac:dyDescent="0.3">
      <c r="A158" s="3">
        <v>45814</v>
      </c>
      <c r="B158" s="19" t="s">
        <v>2011</v>
      </c>
      <c r="C158" s="19" t="s">
        <v>11</v>
      </c>
      <c r="D158" s="19" t="s">
        <v>1142</v>
      </c>
      <c r="E158" s="4">
        <v>1</v>
      </c>
      <c r="F158" s="42">
        <v>3.4</v>
      </c>
      <c r="G158" s="45">
        <v>249</v>
      </c>
      <c r="H158" s="22">
        <v>2.2000000000000002</v>
      </c>
      <c r="I158" s="6">
        <f t="shared" si="2"/>
        <v>1862.5200000000002</v>
      </c>
      <c r="J158" s="6" t="s">
        <v>1970</v>
      </c>
      <c r="K158" s="17"/>
    </row>
    <row r="159" spans="1:11" ht="13.95" customHeight="1" x14ac:dyDescent="0.3">
      <c r="A159" s="3">
        <v>45815</v>
      </c>
      <c r="B159" s="19" t="s">
        <v>2011</v>
      </c>
      <c r="C159" s="19" t="s">
        <v>13</v>
      </c>
      <c r="D159" s="19" t="s">
        <v>1142</v>
      </c>
      <c r="E159" s="4">
        <v>1</v>
      </c>
      <c r="F159" s="42">
        <v>3.55</v>
      </c>
      <c r="G159" s="45">
        <v>249</v>
      </c>
      <c r="H159" s="22">
        <v>2.2000000000000002</v>
      </c>
      <c r="I159" s="6">
        <f t="shared" si="2"/>
        <v>1944.69</v>
      </c>
      <c r="J159" s="6" t="s">
        <v>1886</v>
      </c>
      <c r="K159" s="17"/>
    </row>
    <row r="160" spans="1:11" ht="13.95" customHeight="1" x14ac:dyDescent="0.3">
      <c r="A160" s="3">
        <v>45816</v>
      </c>
      <c r="B160" s="19" t="s">
        <v>2011</v>
      </c>
      <c r="C160" s="19" t="s">
        <v>16</v>
      </c>
      <c r="D160" s="19" t="s">
        <v>1344</v>
      </c>
      <c r="E160" s="4">
        <v>1</v>
      </c>
      <c r="F160" s="42">
        <v>3.1</v>
      </c>
      <c r="G160" s="45">
        <v>249</v>
      </c>
      <c r="H160" s="22">
        <v>2.2000000000000002</v>
      </c>
      <c r="I160" s="6">
        <f t="shared" si="2"/>
        <v>1698.18</v>
      </c>
      <c r="J160" s="6" t="s">
        <v>576</v>
      </c>
      <c r="K160" s="17"/>
    </row>
    <row r="161" spans="1:11" ht="13.95" customHeight="1" x14ac:dyDescent="0.3">
      <c r="A161" s="3">
        <v>45817</v>
      </c>
      <c r="B161" s="19" t="s">
        <v>2011</v>
      </c>
      <c r="C161" s="19" t="s">
        <v>18</v>
      </c>
      <c r="D161" s="19" t="s">
        <v>1340</v>
      </c>
      <c r="E161" s="4">
        <v>0.8</v>
      </c>
      <c r="F161" s="42">
        <v>2.2999999999999998</v>
      </c>
      <c r="G161" s="45">
        <v>249</v>
      </c>
      <c r="H161" s="22">
        <v>2.2000000000000002</v>
      </c>
      <c r="I161" s="6">
        <f t="shared" si="2"/>
        <v>1007.9520000000001</v>
      </c>
      <c r="J161" s="6" t="s">
        <v>1794</v>
      </c>
      <c r="K161" s="17"/>
    </row>
    <row r="162" spans="1:11" ht="13.95" customHeight="1" x14ac:dyDescent="0.3">
      <c r="A162" s="3">
        <v>45818</v>
      </c>
      <c r="B162" s="19" t="s">
        <v>2011</v>
      </c>
      <c r="C162" s="19" t="s">
        <v>20</v>
      </c>
      <c r="D162" s="19" t="s">
        <v>1340</v>
      </c>
      <c r="E162" s="4">
        <v>0.75</v>
      </c>
      <c r="F162" s="42">
        <v>2.25</v>
      </c>
      <c r="G162" s="45">
        <v>249</v>
      </c>
      <c r="H162" s="22">
        <v>2.2000000000000002</v>
      </c>
      <c r="I162" s="6">
        <f t="shared" si="2"/>
        <v>924.41250000000002</v>
      </c>
      <c r="J162" s="6" t="s">
        <v>717</v>
      </c>
      <c r="K162" s="17"/>
    </row>
    <row r="163" spans="1:11" ht="13.95" customHeight="1" x14ac:dyDescent="0.3">
      <c r="A163" s="3">
        <v>45819</v>
      </c>
      <c r="B163" s="19" t="s">
        <v>2011</v>
      </c>
      <c r="C163" s="19" t="s">
        <v>5</v>
      </c>
      <c r="D163" s="19" t="s">
        <v>1340</v>
      </c>
      <c r="E163" s="4">
        <v>0.75</v>
      </c>
      <c r="F163" s="42">
        <v>2.25</v>
      </c>
      <c r="G163" s="45">
        <v>249</v>
      </c>
      <c r="H163" s="22">
        <v>2.2000000000000002</v>
      </c>
      <c r="I163" s="6">
        <f t="shared" si="2"/>
        <v>924.41250000000002</v>
      </c>
      <c r="J163" s="6" t="s">
        <v>717</v>
      </c>
      <c r="K163" s="17"/>
    </row>
    <row r="164" spans="1:11" ht="13.95" customHeight="1" x14ac:dyDescent="0.3">
      <c r="A164" s="3">
        <v>45820</v>
      </c>
      <c r="B164" s="19" t="s">
        <v>2011</v>
      </c>
      <c r="C164" s="19" t="s">
        <v>8</v>
      </c>
      <c r="D164" s="19" t="s">
        <v>1340</v>
      </c>
      <c r="E164" s="4">
        <v>0.8</v>
      </c>
      <c r="F164" s="42">
        <v>2.35</v>
      </c>
      <c r="G164" s="45">
        <v>249</v>
      </c>
      <c r="H164" s="22">
        <v>2.2000000000000002</v>
      </c>
      <c r="I164" s="6">
        <f t="shared" si="2"/>
        <v>1029.8640000000003</v>
      </c>
      <c r="J164" s="6" t="s">
        <v>67</v>
      </c>
      <c r="K164" s="17"/>
    </row>
    <row r="165" spans="1:11" ht="13.95" customHeight="1" x14ac:dyDescent="0.3">
      <c r="A165" s="3">
        <v>45821</v>
      </c>
      <c r="B165" s="19" t="s">
        <v>2011</v>
      </c>
      <c r="C165" s="19" t="s">
        <v>11</v>
      </c>
      <c r="D165" s="19" t="s">
        <v>14</v>
      </c>
      <c r="E165" s="4">
        <v>0.9</v>
      </c>
      <c r="F165" s="42">
        <v>2.7</v>
      </c>
      <c r="G165" s="45">
        <v>249</v>
      </c>
      <c r="H165" s="22">
        <v>2.2000000000000002</v>
      </c>
      <c r="I165" s="6">
        <f t="shared" si="2"/>
        <v>1331.1540000000002</v>
      </c>
      <c r="J165" s="6" t="s">
        <v>1971</v>
      </c>
      <c r="K165" s="17"/>
    </row>
    <row r="166" spans="1:11" ht="13.95" customHeight="1" x14ac:dyDescent="0.3">
      <c r="A166" s="3">
        <v>45822</v>
      </c>
      <c r="B166" s="19" t="s">
        <v>2011</v>
      </c>
      <c r="C166" s="19" t="s">
        <v>13</v>
      </c>
      <c r="D166" s="19" t="s">
        <v>14</v>
      </c>
      <c r="E166" s="4">
        <v>1</v>
      </c>
      <c r="F166" s="42">
        <v>3.6</v>
      </c>
      <c r="G166" s="45">
        <v>249</v>
      </c>
      <c r="H166" s="22">
        <v>2.2000000000000002</v>
      </c>
      <c r="I166" s="6">
        <f t="shared" si="2"/>
        <v>1972.0800000000002</v>
      </c>
      <c r="J166" s="6" t="s">
        <v>1531</v>
      </c>
      <c r="K166" s="17"/>
    </row>
    <row r="167" spans="1:11" ht="13.95" customHeight="1" x14ac:dyDescent="0.3">
      <c r="A167" s="3">
        <v>45823</v>
      </c>
      <c r="B167" s="19" t="s">
        <v>2011</v>
      </c>
      <c r="C167" s="19" t="s">
        <v>16</v>
      </c>
      <c r="D167" s="19" t="s">
        <v>14</v>
      </c>
      <c r="E167" s="4">
        <v>1</v>
      </c>
      <c r="F167" s="42">
        <v>3.15</v>
      </c>
      <c r="G167" s="45">
        <v>249</v>
      </c>
      <c r="H167" s="22">
        <v>2.2000000000000002</v>
      </c>
      <c r="I167" s="6">
        <f t="shared" si="2"/>
        <v>1725.5700000000002</v>
      </c>
      <c r="J167" s="6" t="s">
        <v>238</v>
      </c>
      <c r="K167" s="17"/>
    </row>
    <row r="168" spans="1:11" ht="13.95" customHeight="1" x14ac:dyDescent="0.3">
      <c r="A168" s="3">
        <v>45824</v>
      </c>
      <c r="B168" s="19" t="s">
        <v>2011</v>
      </c>
      <c r="C168" s="19" t="s">
        <v>18</v>
      </c>
      <c r="D168" s="19" t="s">
        <v>1347</v>
      </c>
      <c r="E168" s="4">
        <v>0.9</v>
      </c>
      <c r="F168" s="42">
        <v>2.4500000000000002</v>
      </c>
      <c r="G168" s="45">
        <v>249</v>
      </c>
      <c r="H168" s="22">
        <v>2.2000000000000002</v>
      </c>
      <c r="I168" s="6">
        <f t="shared" si="2"/>
        <v>1207.8990000000003</v>
      </c>
      <c r="J168" s="6" t="s">
        <v>1972</v>
      </c>
      <c r="K168" s="17"/>
    </row>
    <row r="169" spans="1:11" ht="13.95" customHeight="1" x14ac:dyDescent="0.3">
      <c r="A169" s="3">
        <v>45825</v>
      </c>
      <c r="B169" s="19" t="s">
        <v>2011</v>
      </c>
      <c r="C169" s="19" t="s">
        <v>20</v>
      </c>
      <c r="D169" s="19" t="s">
        <v>1347</v>
      </c>
      <c r="E169" s="4">
        <v>0.9</v>
      </c>
      <c r="F169" s="42">
        <v>2.4</v>
      </c>
      <c r="G169" s="45">
        <v>249</v>
      </c>
      <c r="H169" s="22">
        <v>2.2000000000000002</v>
      </c>
      <c r="I169" s="6">
        <f t="shared" si="2"/>
        <v>1183.2479999999998</v>
      </c>
      <c r="J169" s="6" t="s">
        <v>754</v>
      </c>
      <c r="K169" s="17"/>
    </row>
    <row r="170" spans="1:11" ht="13.95" customHeight="1" x14ac:dyDescent="0.3">
      <c r="A170" s="3">
        <v>45826</v>
      </c>
      <c r="B170" s="19" t="s">
        <v>2011</v>
      </c>
      <c r="C170" s="19" t="s">
        <v>5</v>
      </c>
      <c r="D170" s="19" t="s">
        <v>1347</v>
      </c>
      <c r="E170" s="4">
        <v>0.9</v>
      </c>
      <c r="F170" s="42">
        <v>2.4</v>
      </c>
      <c r="G170" s="45">
        <v>249</v>
      </c>
      <c r="H170" s="22">
        <v>2.2000000000000002</v>
      </c>
      <c r="I170" s="6">
        <f t="shared" si="2"/>
        <v>1183.2479999999998</v>
      </c>
      <c r="J170" s="6" t="s">
        <v>754</v>
      </c>
      <c r="K170" s="17"/>
    </row>
    <row r="171" spans="1:11" ht="13.95" customHeight="1" x14ac:dyDescent="0.3">
      <c r="A171" s="3">
        <v>45827</v>
      </c>
      <c r="B171" s="19" t="s">
        <v>2011</v>
      </c>
      <c r="C171" s="19" t="s">
        <v>8</v>
      </c>
      <c r="D171" s="19" t="s">
        <v>1347</v>
      </c>
      <c r="E171" s="4">
        <v>0.95</v>
      </c>
      <c r="F171" s="42">
        <v>2.5499999999999998</v>
      </c>
      <c r="G171" s="45">
        <v>249</v>
      </c>
      <c r="H171" s="22">
        <v>2.2000000000000002</v>
      </c>
      <c r="I171" s="6">
        <f t="shared" si="2"/>
        <v>1327.0454999999997</v>
      </c>
      <c r="J171" s="6" t="s">
        <v>339</v>
      </c>
      <c r="K171" s="17"/>
    </row>
    <row r="172" spans="1:11" ht="13.95" customHeight="1" x14ac:dyDescent="0.3">
      <c r="A172" s="3">
        <v>45828</v>
      </c>
      <c r="B172" s="19" t="s">
        <v>2011</v>
      </c>
      <c r="C172" s="19" t="s">
        <v>11</v>
      </c>
      <c r="D172" s="19" t="s">
        <v>14</v>
      </c>
      <c r="E172" s="4">
        <v>1</v>
      </c>
      <c r="F172" s="42">
        <v>3</v>
      </c>
      <c r="G172" s="45">
        <v>249</v>
      </c>
      <c r="H172" s="22">
        <v>2.2000000000000002</v>
      </c>
      <c r="I172" s="6">
        <f t="shared" si="2"/>
        <v>1643.4</v>
      </c>
      <c r="J172" s="6" t="s">
        <v>1797</v>
      </c>
      <c r="K172" s="17"/>
    </row>
    <row r="173" spans="1:11" ht="13.95" customHeight="1" x14ac:dyDescent="0.3">
      <c r="A173" s="3">
        <v>45829</v>
      </c>
      <c r="B173" s="19" t="s">
        <v>2011</v>
      </c>
      <c r="C173" s="19" t="s">
        <v>13</v>
      </c>
      <c r="D173" s="19" t="s">
        <v>14</v>
      </c>
      <c r="E173" s="4">
        <v>1</v>
      </c>
      <c r="F173" s="42">
        <v>3.7</v>
      </c>
      <c r="G173" s="45">
        <v>249</v>
      </c>
      <c r="H173" s="22">
        <v>2.2000000000000002</v>
      </c>
      <c r="I173" s="6">
        <f t="shared" si="2"/>
        <v>2026.8600000000004</v>
      </c>
      <c r="J173" s="6" t="s">
        <v>1973</v>
      </c>
      <c r="K173" s="17"/>
    </row>
    <row r="174" spans="1:11" ht="13.95" customHeight="1" x14ac:dyDescent="0.3">
      <c r="A174" s="3">
        <v>45830</v>
      </c>
      <c r="B174" s="19" t="s">
        <v>2011</v>
      </c>
      <c r="C174" s="19" t="s">
        <v>16</v>
      </c>
      <c r="D174" s="19" t="s">
        <v>14</v>
      </c>
      <c r="E174" s="4">
        <v>1</v>
      </c>
      <c r="F174" s="42">
        <v>3.25</v>
      </c>
      <c r="G174" s="45">
        <v>249</v>
      </c>
      <c r="H174" s="22">
        <v>2.2000000000000002</v>
      </c>
      <c r="I174" s="6">
        <f t="shared" si="2"/>
        <v>1780.3500000000001</v>
      </c>
      <c r="J174" s="6" t="s">
        <v>139</v>
      </c>
      <c r="K174" s="17"/>
    </row>
    <row r="175" spans="1:11" ht="13.95" customHeight="1" x14ac:dyDescent="0.3">
      <c r="A175" s="3">
        <v>45831</v>
      </c>
      <c r="B175" s="19" t="s">
        <v>2011</v>
      </c>
      <c r="C175" s="19" t="s">
        <v>18</v>
      </c>
      <c r="D175" s="19" t="s">
        <v>1347</v>
      </c>
      <c r="E175" s="4">
        <v>0.95</v>
      </c>
      <c r="F175" s="42">
        <v>2.5499999999999998</v>
      </c>
      <c r="G175" s="45">
        <v>249</v>
      </c>
      <c r="H175" s="22">
        <v>2.2000000000000002</v>
      </c>
      <c r="I175" s="6">
        <f t="shared" si="2"/>
        <v>1327.0454999999997</v>
      </c>
      <c r="J175" s="6" t="s">
        <v>589</v>
      </c>
      <c r="K175" s="17"/>
    </row>
    <row r="176" spans="1:11" ht="13.95" customHeight="1" x14ac:dyDescent="0.3">
      <c r="A176" s="3">
        <v>45832</v>
      </c>
      <c r="B176" s="19" t="s">
        <v>2011</v>
      </c>
      <c r="C176" s="19" t="s">
        <v>20</v>
      </c>
      <c r="D176" s="19" t="s">
        <v>1347</v>
      </c>
      <c r="E176" s="4">
        <v>0.95</v>
      </c>
      <c r="F176" s="42">
        <v>2.5</v>
      </c>
      <c r="G176" s="45">
        <v>249</v>
      </c>
      <c r="H176" s="22">
        <v>2.2000000000000002</v>
      </c>
      <c r="I176" s="6">
        <f t="shared" si="2"/>
        <v>1301.0250000000001</v>
      </c>
      <c r="J176" s="6" t="s">
        <v>589</v>
      </c>
      <c r="K176" s="17"/>
    </row>
    <row r="177" spans="1:11" ht="13.95" customHeight="1" x14ac:dyDescent="0.3">
      <c r="A177" s="3">
        <v>45833</v>
      </c>
      <c r="B177" s="19" t="s">
        <v>2011</v>
      </c>
      <c r="C177" s="19" t="s">
        <v>5</v>
      </c>
      <c r="D177" s="19" t="s">
        <v>1347</v>
      </c>
      <c r="E177" s="4">
        <v>1</v>
      </c>
      <c r="F177" s="42">
        <v>2.6</v>
      </c>
      <c r="G177" s="45">
        <v>249</v>
      </c>
      <c r="H177" s="22">
        <v>2.2000000000000002</v>
      </c>
      <c r="I177" s="6">
        <f t="shared" si="2"/>
        <v>1424.28</v>
      </c>
      <c r="J177" s="6" t="s">
        <v>1609</v>
      </c>
      <c r="K177" s="17"/>
    </row>
    <row r="178" spans="1:11" ht="13.95" customHeight="1" x14ac:dyDescent="0.3">
      <c r="A178" s="3">
        <v>45834</v>
      </c>
      <c r="B178" s="19" t="s">
        <v>2011</v>
      </c>
      <c r="C178" s="19" t="s">
        <v>8</v>
      </c>
      <c r="D178" s="19" t="s">
        <v>1347</v>
      </c>
      <c r="E178" s="4">
        <v>1</v>
      </c>
      <c r="F178" s="42">
        <v>2.65</v>
      </c>
      <c r="G178" s="45">
        <v>249</v>
      </c>
      <c r="H178" s="22">
        <v>2.2000000000000002</v>
      </c>
      <c r="I178" s="6">
        <f t="shared" si="2"/>
        <v>1451.67</v>
      </c>
      <c r="J178" s="6" t="s">
        <v>1609</v>
      </c>
      <c r="K178" s="17"/>
    </row>
    <row r="179" spans="1:11" ht="13.95" customHeight="1" x14ac:dyDescent="0.3">
      <c r="A179" s="3">
        <v>45835</v>
      </c>
      <c r="B179" s="19" t="s">
        <v>2011</v>
      </c>
      <c r="C179" s="19" t="s">
        <v>11</v>
      </c>
      <c r="D179" s="19" t="s">
        <v>14</v>
      </c>
      <c r="E179" s="4">
        <v>1</v>
      </c>
      <c r="F179" s="42">
        <v>3.15</v>
      </c>
      <c r="G179" s="45">
        <v>249</v>
      </c>
      <c r="H179" s="22">
        <v>2.2000000000000002</v>
      </c>
      <c r="I179" s="6">
        <f t="shared" si="2"/>
        <v>1725.5700000000002</v>
      </c>
      <c r="J179" s="6" t="s">
        <v>97</v>
      </c>
      <c r="K179" s="17"/>
    </row>
    <row r="180" spans="1:11" ht="13.95" customHeight="1" x14ac:dyDescent="0.3">
      <c r="A180" s="3">
        <v>45836</v>
      </c>
      <c r="B180" s="19" t="s">
        <v>2011</v>
      </c>
      <c r="C180" s="19" t="s">
        <v>13</v>
      </c>
      <c r="D180" s="19" t="s">
        <v>995</v>
      </c>
      <c r="E180" s="4">
        <v>1</v>
      </c>
      <c r="F180" s="42">
        <v>3.75</v>
      </c>
      <c r="G180" s="45">
        <v>249</v>
      </c>
      <c r="H180" s="22">
        <v>2.2000000000000002</v>
      </c>
      <c r="I180" s="6">
        <f t="shared" si="2"/>
        <v>2054.25</v>
      </c>
      <c r="J180" s="6" t="s">
        <v>1896</v>
      </c>
      <c r="K180" s="17"/>
    </row>
    <row r="181" spans="1:11" ht="13.95" customHeight="1" x14ac:dyDescent="0.3">
      <c r="A181" s="3">
        <v>45837</v>
      </c>
      <c r="B181" s="19" t="s">
        <v>2011</v>
      </c>
      <c r="C181" s="19" t="s">
        <v>16</v>
      </c>
      <c r="D181" s="19" t="s">
        <v>14</v>
      </c>
      <c r="E181" s="4">
        <v>1</v>
      </c>
      <c r="F181" s="42">
        <v>3.3</v>
      </c>
      <c r="G181" s="45">
        <v>249</v>
      </c>
      <c r="H181" s="22">
        <v>2.2000000000000002</v>
      </c>
      <c r="I181" s="6">
        <f t="shared" si="2"/>
        <v>1807.74</v>
      </c>
      <c r="J181" s="6" t="s">
        <v>69</v>
      </c>
      <c r="K181" s="17"/>
    </row>
    <row r="182" spans="1:11" ht="13.95" customHeight="1" x14ac:dyDescent="0.3">
      <c r="A182" s="3">
        <v>45838</v>
      </c>
      <c r="B182" s="19" t="s">
        <v>2011</v>
      </c>
      <c r="C182" s="19" t="s">
        <v>18</v>
      </c>
      <c r="D182" s="19" t="s">
        <v>1347</v>
      </c>
      <c r="E182" s="4">
        <v>1</v>
      </c>
      <c r="F182" s="42">
        <v>2.75</v>
      </c>
      <c r="G182" s="45">
        <v>249</v>
      </c>
      <c r="H182" s="22">
        <v>2.2000000000000002</v>
      </c>
      <c r="I182" s="6">
        <f t="shared" si="2"/>
        <v>1506.45</v>
      </c>
      <c r="J182" s="6" t="s">
        <v>1686</v>
      </c>
      <c r="K182" s="17"/>
    </row>
    <row r="183" spans="1:11" ht="13.95" customHeight="1" x14ac:dyDescent="0.3">
      <c r="A183" s="3">
        <v>45839</v>
      </c>
      <c r="B183" s="19" t="s">
        <v>2011</v>
      </c>
      <c r="C183" s="19" t="s">
        <v>20</v>
      </c>
      <c r="D183" s="19" t="s">
        <v>1347</v>
      </c>
      <c r="E183" s="4">
        <v>0.95</v>
      </c>
      <c r="F183" s="42">
        <v>2.65</v>
      </c>
      <c r="G183" s="45">
        <v>249</v>
      </c>
      <c r="H183" s="22">
        <v>2.2999999999999998</v>
      </c>
      <c r="I183" s="6">
        <f t="shared" si="2"/>
        <v>1441.7722499999998</v>
      </c>
      <c r="J183" s="6" t="s">
        <v>1974</v>
      </c>
      <c r="K183" s="17"/>
    </row>
    <row r="184" spans="1:11" ht="13.95" customHeight="1" x14ac:dyDescent="0.3">
      <c r="A184" s="3">
        <v>45840</v>
      </c>
      <c r="B184" s="19" t="s">
        <v>2011</v>
      </c>
      <c r="C184" s="19" t="s">
        <v>5</v>
      </c>
      <c r="D184" s="19" t="s">
        <v>1347</v>
      </c>
      <c r="E184" s="4">
        <v>0.95</v>
      </c>
      <c r="F184" s="42">
        <v>2.6</v>
      </c>
      <c r="G184" s="45">
        <v>249</v>
      </c>
      <c r="H184" s="22">
        <v>2.2999999999999998</v>
      </c>
      <c r="I184" s="6">
        <f t="shared" si="2"/>
        <v>1414.5689999999997</v>
      </c>
      <c r="J184" s="6" t="s">
        <v>1975</v>
      </c>
      <c r="K184" s="17"/>
    </row>
    <row r="185" spans="1:11" ht="13.95" customHeight="1" x14ac:dyDescent="0.3">
      <c r="A185" s="3">
        <v>45841</v>
      </c>
      <c r="B185" s="19" t="s">
        <v>2011</v>
      </c>
      <c r="C185" s="19" t="s">
        <v>8</v>
      </c>
      <c r="D185" s="19" t="s">
        <v>1347</v>
      </c>
      <c r="E185" s="4">
        <v>1</v>
      </c>
      <c r="F185" s="42">
        <v>2.75</v>
      </c>
      <c r="G185" s="45">
        <v>249</v>
      </c>
      <c r="H185" s="22">
        <v>2.2999999999999998</v>
      </c>
      <c r="I185" s="6">
        <f t="shared" si="2"/>
        <v>1574.925</v>
      </c>
      <c r="J185" s="6" t="s">
        <v>67</v>
      </c>
      <c r="K185" s="17"/>
    </row>
    <row r="186" spans="1:11" ht="13.95" customHeight="1" x14ac:dyDescent="0.3">
      <c r="A186" s="3">
        <v>45842</v>
      </c>
      <c r="B186" s="19" t="s">
        <v>2011</v>
      </c>
      <c r="C186" s="19" t="s">
        <v>11</v>
      </c>
      <c r="D186" s="19" t="s">
        <v>829</v>
      </c>
      <c r="E186" s="4">
        <v>1</v>
      </c>
      <c r="F186" s="42">
        <v>3.1</v>
      </c>
      <c r="G186" s="45">
        <v>249</v>
      </c>
      <c r="H186" s="22">
        <v>2.2999999999999998</v>
      </c>
      <c r="I186" s="6">
        <f t="shared" si="2"/>
        <v>1775.37</v>
      </c>
      <c r="J186" s="6" t="s">
        <v>1971</v>
      </c>
      <c r="K186" s="17"/>
    </row>
    <row r="187" spans="1:11" ht="13.95" customHeight="1" x14ac:dyDescent="0.3">
      <c r="A187" s="3">
        <v>45843</v>
      </c>
      <c r="B187" s="19" t="s">
        <v>2011</v>
      </c>
      <c r="C187" s="19" t="s">
        <v>13</v>
      </c>
      <c r="D187" s="19" t="s">
        <v>829</v>
      </c>
      <c r="E187" s="4">
        <v>1</v>
      </c>
      <c r="F187" s="42">
        <v>3.8</v>
      </c>
      <c r="G187" s="45">
        <v>249</v>
      </c>
      <c r="H187" s="22">
        <v>2.2999999999999998</v>
      </c>
      <c r="I187" s="6">
        <f t="shared" si="2"/>
        <v>2176.2599999999998</v>
      </c>
      <c r="J187" s="6" t="s">
        <v>1976</v>
      </c>
      <c r="K187" s="17"/>
    </row>
    <row r="188" spans="1:11" ht="13.95" customHeight="1" x14ac:dyDescent="0.3">
      <c r="A188" s="3">
        <v>45844</v>
      </c>
      <c r="B188" s="19" t="s">
        <v>2011</v>
      </c>
      <c r="C188" s="19" t="s">
        <v>16</v>
      </c>
      <c r="D188" s="19" t="s">
        <v>829</v>
      </c>
      <c r="E188" s="4">
        <v>1</v>
      </c>
      <c r="F188" s="42">
        <v>3.3</v>
      </c>
      <c r="G188" s="45">
        <v>249</v>
      </c>
      <c r="H188" s="22">
        <v>2.2999999999999998</v>
      </c>
      <c r="I188" s="6">
        <f t="shared" si="2"/>
        <v>1889.9099999999996</v>
      </c>
      <c r="J188" s="6" t="s">
        <v>1977</v>
      </c>
      <c r="K188" s="17"/>
    </row>
    <row r="189" spans="1:11" ht="13.95" customHeight="1" x14ac:dyDescent="0.3">
      <c r="A189" s="3">
        <v>45845</v>
      </c>
      <c r="B189" s="19" t="s">
        <v>2011</v>
      </c>
      <c r="C189" s="19" t="s">
        <v>18</v>
      </c>
      <c r="D189" s="19" t="s">
        <v>1347</v>
      </c>
      <c r="E189" s="4">
        <v>1</v>
      </c>
      <c r="F189" s="42">
        <v>2.75</v>
      </c>
      <c r="G189" s="45">
        <v>249</v>
      </c>
      <c r="H189" s="22">
        <v>2.2999999999999998</v>
      </c>
      <c r="I189" s="6">
        <f t="shared" si="2"/>
        <v>1574.925</v>
      </c>
      <c r="J189" s="6" t="s">
        <v>1932</v>
      </c>
      <c r="K189" s="17"/>
    </row>
    <row r="190" spans="1:11" ht="13.95" customHeight="1" x14ac:dyDescent="0.3">
      <c r="A190" s="3">
        <v>45846</v>
      </c>
      <c r="B190" s="19" t="s">
        <v>2011</v>
      </c>
      <c r="C190" s="19" t="s">
        <v>20</v>
      </c>
      <c r="D190" s="19" t="s">
        <v>1347</v>
      </c>
      <c r="E190" s="4">
        <v>1</v>
      </c>
      <c r="F190" s="42">
        <v>2.7</v>
      </c>
      <c r="G190" s="45">
        <v>249</v>
      </c>
      <c r="H190" s="22">
        <v>2.2999999999999998</v>
      </c>
      <c r="I190" s="6">
        <f t="shared" si="2"/>
        <v>1546.29</v>
      </c>
      <c r="J190" s="6" t="s">
        <v>717</v>
      </c>
      <c r="K190" s="17"/>
    </row>
    <row r="191" spans="1:11" ht="13.95" customHeight="1" x14ac:dyDescent="0.3">
      <c r="A191" s="3">
        <v>45847</v>
      </c>
      <c r="B191" s="19" t="s">
        <v>2011</v>
      </c>
      <c r="C191" s="19" t="s">
        <v>5</v>
      </c>
      <c r="D191" s="19" t="s">
        <v>1347</v>
      </c>
      <c r="E191" s="4">
        <v>1</v>
      </c>
      <c r="F191" s="42">
        <v>2.7</v>
      </c>
      <c r="G191" s="45">
        <v>249</v>
      </c>
      <c r="H191" s="22">
        <v>2.2999999999999998</v>
      </c>
      <c r="I191" s="6">
        <f t="shared" si="2"/>
        <v>1546.29</v>
      </c>
      <c r="J191" s="6" t="s">
        <v>717</v>
      </c>
      <c r="K191" s="17"/>
    </row>
    <row r="192" spans="1:11" ht="13.95" customHeight="1" x14ac:dyDescent="0.3">
      <c r="A192" s="3">
        <v>45848</v>
      </c>
      <c r="B192" s="19" t="s">
        <v>2011</v>
      </c>
      <c r="C192" s="19" t="s">
        <v>8</v>
      </c>
      <c r="D192" s="19" t="s">
        <v>1347</v>
      </c>
      <c r="E192" s="4">
        <v>1</v>
      </c>
      <c r="F192" s="42">
        <v>2.85</v>
      </c>
      <c r="G192" s="45">
        <v>249</v>
      </c>
      <c r="H192" s="22">
        <v>2.2999999999999998</v>
      </c>
      <c r="I192" s="6">
        <f t="shared" si="2"/>
        <v>1632.1949999999997</v>
      </c>
      <c r="J192" s="6" t="s">
        <v>339</v>
      </c>
      <c r="K192" s="17"/>
    </row>
    <row r="193" spans="1:11" ht="13.95" customHeight="1" x14ac:dyDescent="0.3">
      <c r="A193" s="3">
        <v>45849</v>
      </c>
      <c r="B193" s="19" t="s">
        <v>2011</v>
      </c>
      <c r="C193" s="19" t="s">
        <v>11</v>
      </c>
      <c r="D193" s="19" t="s">
        <v>829</v>
      </c>
      <c r="E193" s="4">
        <v>1</v>
      </c>
      <c r="F193" s="42">
        <v>3.2</v>
      </c>
      <c r="G193" s="45">
        <v>249</v>
      </c>
      <c r="H193" s="22">
        <v>2.2999999999999998</v>
      </c>
      <c r="I193" s="6">
        <f t="shared" si="2"/>
        <v>1832.64</v>
      </c>
      <c r="J193" s="6" t="s">
        <v>97</v>
      </c>
      <c r="K193" s="17"/>
    </row>
    <row r="194" spans="1:11" ht="13.95" customHeight="1" x14ac:dyDescent="0.3">
      <c r="A194" s="3">
        <v>45850</v>
      </c>
      <c r="B194" s="19" t="s">
        <v>2011</v>
      </c>
      <c r="C194" s="19" t="s">
        <v>13</v>
      </c>
      <c r="D194" s="19" t="s">
        <v>829</v>
      </c>
      <c r="E194" s="4">
        <v>1</v>
      </c>
      <c r="F194" s="42">
        <v>3.85</v>
      </c>
      <c r="G194" s="45">
        <v>249</v>
      </c>
      <c r="H194" s="22">
        <v>2.2999999999999998</v>
      </c>
      <c r="I194" s="6">
        <f t="shared" ref="I194:I257" si="3">(G194*E194)*F194*H194</f>
        <v>2204.895</v>
      </c>
      <c r="J194" s="6" t="s">
        <v>1541</v>
      </c>
      <c r="K194" s="17"/>
    </row>
    <row r="195" spans="1:11" ht="13.95" customHeight="1" x14ac:dyDescent="0.3">
      <c r="A195" s="3">
        <v>45851</v>
      </c>
      <c r="B195" s="19" t="s">
        <v>2011</v>
      </c>
      <c r="C195" s="19" t="s">
        <v>16</v>
      </c>
      <c r="D195" s="19" t="s">
        <v>829</v>
      </c>
      <c r="E195" s="4">
        <v>1</v>
      </c>
      <c r="F195" s="42">
        <v>3.4</v>
      </c>
      <c r="G195" s="45">
        <v>249</v>
      </c>
      <c r="H195" s="22">
        <v>2.2999999999999998</v>
      </c>
      <c r="I195" s="6">
        <f t="shared" si="3"/>
        <v>1947.1799999999998</v>
      </c>
      <c r="J195" s="6" t="s">
        <v>69</v>
      </c>
      <c r="K195" s="17"/>
    </row>
    <row r="196" spans="1:11" ht="13.95" customHeight="1" x14ac:dyDescent="0.3">
      <c r="A196" s="3">
        <v>45852</v>
      </c>
      <c r="B196" s="19" t="s">
        <v>2011</v>
      </c>
      <c r="C196" s="19" t="s">
        <v>18</v>
      </c>
      <c r="D196" s="19" t="s">
        <v>1347</v>
      </c>
      <c r="E196" s="4">
        <v>1</v>
      </c>
      <c r="F196" s="42">
        <v>2.8</v>
      </c>
      <c r="G196" s="45">
        <v>249</v>
      </c>
      <c r="H196" s="22">
        <v>2.2999999999999998</v>
      </c>
      <c r="I196" s="6">
        <f t="shared" si="3"/>
        <v>1603.5599999999997</v>
      </c>
      <c r="J196" s="6" t="s">
        <v>1978</v>
      </c>
      <c r="K196" s="17"/>
    </row>
    <row r="197" spans="1:11" ht="13.95" customHeight="1" x14ac:dyDescent="0.3">
      <c r="A197" s="3">
        <v>45853</v>
      </c>
      <c r="B197" s="19" t="s">
        <v>2011</v>
      </c>
      <c r="C197" s="19" t="s">
        <v>20</v>
      </c>
      <c r="D197" s="19" t="s">
        <v>1347</v>
      </c>
      <c r="E197" s="4">
        <v>1</v>
      </c>
      <c r="F197" s="42">
        <v>2.75</v>
      </c>
      <c r="G197" s="45">
        <v>249</v>
      </c>
      <c r="H197" s="22">
        <v>2.2999999999999998</v>
      </c>
      <c r="I197" s="6">
        <f t="shared" si="3"/>
        <v>1574.925</v>
      </c>
      <c r="J197" s="6" t="s">
        <v>717</v>
      </c>
      <c r="K197" s="17"/>
    </row>
    <row r="198" spans="1:11" ht="13.95" customHeight="1" x14ac:dyDescent="0.3">
      <c r="A198" s="3">
        <v>45854</v>
      </c>
      <c r="B198" s="19" t="s">
        <v>2011</v>
      </c>
      <c r="C198" s="19" t="s">
        <v>5</v>
      </c>
      <c r="D198" s="19" t="s">
        <v>1347</v>
      </c>
      <c r="E198" s="4">
        <v>1</v>
      </c>
      <c r="F198" s="42">
        <v>2.75</v>
      </c>
      <c r="G198" s="45">
        <v>249</v>
      </c>
      <c r="H198" s="22">
        <v>2.2999999999999998</v>
      </c>
      <c r="I198" s="6">
        <f t="shared" si="3"/>
        <v>1574.925</v>
      </c>
      <c r="J198" s="6" t="s">
        <v>717</v>
      </c>
      <c r="K198" s="17"/>
    </row>
    <row r="199" spans="1:11" ht="13.95" customHeight="1" x14ac:dyDescent="0.3">
      <c r="A199" s="3">
        <v>45855</v>
      </c>
      <c r="B199" s="19" t="s">
        <v>2011</v>
      </c>
      <c r="C199" s="19" t="s">
        <v>8</v>
      </c>
      <c r="D199" s="19" t="s">
        <v>1347</v>
      </c>
      <c r="E199" s="4">
        <v>1</v>
      </c>
      <c r="F199" s="42">
        <v>2.9</v>
      </c>
      <c r="G199" s="45">
        <v>249</v>
      </c>
      <c r="H199" s="22">
        <v>2.2999999999999998</v>
      </c>
      <c r="I199" s="6">
        <f t="shared" si="3"/>
        <v>1660.83</v>
      </c>
      <c r="J199" s="6" t="s">
        <v>531</v>
      </c>
      <c r="K199" s="17"/>
    </row>
    <row r="200" spans="1:11" ht="13.95" customHeight="1" x14ac:dyDescent="0.3">
      <c r="A200" s="3">
        <v>45856</v>
      </c>
      <c r="B200" s="19" t="s">
        <v>2011</v>
      </c>
      <c r="C200" s="19" t="s">
        <v>11</v>
      </c>
      <c r="D200" s="19" t="s">
        <v>829</v>
      </c>
      <c r="E200" s="4">
        <v>1</v>
      </c>
      <c r="F200" s="42">
        <v>3.3</v>
      </c>
      <c r="G200" s="45">
        <v>249</v>
      </c>
      <c r="H200" s="22">
        <v>2.2999999999999998</v>
      </c>
      <c r="I200" s="6">
        <f t="shared" si="3"/>
        <v>1889.9099999999996</v>
      </c>
      <c r="J200" s="6" t="s">
        <v>97</v>
      </c>
      <c r="K200" s="17"/>
    </row>
    <row r="201" spans="1:11" ht="13.95" customHeight="1" x14ac:dyDescent="0.3">
      <c r="A201" s="3">
        <v>45857</v>
      </c>
      <c r="B201" s="19" t="s">
        <v>2011</v>
      </c>
      <c r="C201" s="19" t="s">
        <v>13</v>
      </c>
      <c r="D201" s="19" t="s">
        <v>829</v>
      </c>
      <c r="E201" s="4">
        <v>1</v>
      </c>
      <c r="F201" s="42">
        <v>3.9</v>
      </c>
      <c r="G201" s="45">
        <v>249</v>
      </c>
      <c r="H201" s="22">
        <v>2.2999999999999998</v>
      </c>
      <c r="I201" s="6">
        <f t="shared" si="3"/>
        <v>2233.5299999999997</v>
      </c>
      <c r="J201" s="6" t="s">
        <v>1346</v>
      </c>
      <c r="K201" s="17"/>
    </row>
    <row r="202" spans="1:11" ht="13.95" customHeight="1" x14ac:dyDescent="0.3">
      <c r="A202" s="3">
        <v>45858</v>
      </c>
      <c r="B202" s="19" t="s">
        <v>2011</v>
      </c>
      <c r="C202" s="19" t="s">
        <v>16</v>
      </c>
      <c r="D202" s="19" t="s">
        <v>829</v>
      </c>
      <c r="E202" s="4">
        <v>1</v>
      </c>
      <c r="F202" s="42">
        <v>3.45</v>
      </c>
      <c r="G202" s="45">
        <v>249</v>
      </c>
      <c r="H202" s="22">
        <v>2.2999999999999998</v>
      </c>
      <c r="I202" s="6">
        <f t="shared" si="3"/>
        <v>1975.8150000000001</v>
      </c>
      <c r="J202" s="6" t="s">
        <v>69</v>
      </c>
      <c r="K202" s="17"/>
    </row>
    <row r="203" spans="1:11" ht="13.95" customHeight="1" x14ac:dyDescent="0.3">
      <c r="A203" s="3">
        <v>45859</v>
      </c>
      <c r="B203" s="19" t="s">
        <v>2011</v>
      </c>
      <c r="C203" s="19" t="s">
        <v>18</v>
      </c>
      <c r="D203" s="19" t="s">
        <v>1347</v>
      </c>
      <c r="E203" s="4">
        <v>1</v>
      </c>
      <c r="F203" s="42">
        <v>2.85</v>
      </c>
      <c r="G203" s="45">
        <v>249</v>
      </c>
      <c r="H203" s="22">
        <v>2.2999999999999998</v>
      </c>
      <c r="I203" s="6">
        <f t="shared" si="3"/>
        <v>1632.1949999999997</v>
      </c>
      <c r="J203" s="6" t="s">
        <v>1979</v>
      </c>
      <c r="K203" s="17"/>
    </row>
    <row r="204" spans="1:11" ht="13.95" customHeight="1" x14ac:dyDescent="0.3">
      <c r="A204" s="3">
        <v>45860</v>
      </c>
      <c r="B204" s="19" t="s">
        <v>2011</v>
      </c>
      <c r="C204" s="19" t="s">
        <v>20</v>
      </c>
      <c r="D204" s="19" t="s">
        <v>1347</v>
      </c>
      <c r="E204" s="4">
        <v>1</v>
      </c>
      <c r="F204" s="42">
        <v>2.8</v>
      </c>
      <c r="G204" s="45">
        <v>249</v>
      </c>
      <c r="H204" s="22">
        <v>2.2999999999999998</v>
      </c>
      <c r="I204" s="6">
        <f t="shared" si="3"/>
        <v>1603.5599999999997</v>
      </c>
      <c r="J204" s="6" t="s">
        <v>717</v>
      </c>
      <c r="K204" s="17"/>
    </row>
    <row r="205" spans="1:11" ht="13.95" customHeight="1" x14ac:dyDescent="0.3">
      <c r="A205" s="3">
        <v>45861</v>
      </c>
      <c r="B205" s="19" t="s">
        <v>2011</v>
      </c>
      <c r="C205" s="19" t="s">
        <v>5</v>
      </c>
      <c r="D205" s="19" t="s">
        <v>1347</v>
      </c>
      <c r="E205" s="4">
        <v>1</v>
      </c>
      <c r="F205" s="42">
        <v>2.8</v>
      </c>
      <c r="G205" s="45">
        <v>249</v>
      </c>
      <c r="H205" s="22">
        <v>2.2999999999999998</v>
      </c>
      <c r="I205" s="6">
        <f t="shared" si="3"/>
        <v>1603.5599999999997</v>
      </c>
      <c r="J205" s="6" t="s">
        <v>717</v>
      </c>
      <c r="K205" s="17"/>
    </row>
    <row r="206" spans="1:11" ht="13.95" customHeight="1" x14ac:dyDescent="0.3">
      <c r="A206" s="3">
        <v>45862</v>
      </c>
      <c r="B206" s="19" t="s">
        <v>2011</v>
      </c>
      <c r="C206" s="19" t="s">
        <v>8</v>
      </c>
      <c r="D206" s="19" t="s">
        <v>994</v>
      </c>
      <c r="E206" s="4">
        <v>1</v>
      </c>
      <c r="F206" s="42">
        <v>3.1</v>
      </c>
      <c r="G206" s="45">
        <v>249</v>
      </c>
      <c r="H206" s="22">
        <v>2.2999999999999998</v>
      </c>
      <c r="I206" s="6">
        <f t="shared" si="3"/>
        <v>1775.37</v>
      </c>
      <c r="J206" s="6" t="s">
        <v>1451</v>
      </c>
      <c r="K206" s="17"/>
    </row>
    <row r="207" spans="1:11" ht="13.95" customHeight="1" x14ac:dyDescent="0.3">
      <c r="A207" s="3">
        <v>45863</v>
      </c>
      <c r="B207" s="19" t="s">
        <v>2011</v>
      </c>
      <c r="C207" s="19" t="s">
        <v>11</v>
      </c>
      <c r="D207" s="19" t="s">
        <v>1010</v>
      </c>
      <c r="E207" s="4">
        <v>1</v>
      </c>
      <c r="F207" s="42">
        <v>3.65</v>
      </c>
      <c r="G207" s="45">
        <v>249</v>
      </c>
      <c r="H207" s="22">
        <v>2.2999999999999998</v>
      </c>
      <c r="I207" s="6">
        <f t="shared" si="3"/>
        <v>2090.355</v>
      </c>
      <c r="J207" s="6" t="s">
        <v>1980</v>
      </c>
      <c r="K207" s="17"/>
    </row>
    <row r="208" spans="1:11" ht="13.95" customHeight="1" x14ac:dyDescent="0.3">
      <c r="A208" s="3">
        <v>45864</v>
      </c>
      <c r="B208" s="19" t="s">
        <v>2011</v>
      </c>
      <c r="C208" s="19" t="s">
        <v>13</v>
      </c>
      <c r="D208" s="19" t="s">
        <v>829</v>
      </c>
      <c r="E208" s="4">
        <v>1</v>
      </c>
      <c r="F208" s="42">
        <v>3.95</v>
      </c>
      <c r="G208" s="45">
        <v>249</v>
      </c>
      <c r="H208" s="22">
        <v>2.2999999999999998</v>
      </c>
      <c r="I208" s="6">
        <f t="shared" si="3"/>
        <v>2262.165</v>
      </c>
      <c r="J208" s="6" t="s">
        <v>1981</v>
      </c>
      <c r="K208" s="17"/>
    </row>
    <row r="209" spans="1:11" ht="13.95" customHeight="1" x14ac:dyDescent="0.3">
      <c r="A209" s="3">
        <v>45865</v>
      </c>
      <c r="B209" s="19" t="s">
        <v>2011</v>
      </c>
      <c r="C209" s="19" t="s">
        <v>16</v>
      </c>
      <c r="D209" s="19" t="s">
        <v>829</v>
      </c>
      <c r="E209" s="4">
        <v>1</v>
      </c>
      <c r="F209" s="42">
        <v>3.5</v>
      </c>
      <c r="G209" s="45">
        <v>249</v>
      </c>
      <c r="H209" s="22">
        <v>2.2999999999999998</v>
      </c>
      <c r="I209" s="6">
        <f t="shared" si="3"/>
        <v>2004.4499999999998</v>
      </c>
      <c r="J209" s="6" t="s">
        <v>69</v>
      </c>
      <c r="K209" s="17"/>
    </row>
    <row r="210" spans="1:11" ht="13.95" customHeight="1" x14ac:dyDescent="0.3">
      <c r="A210" s="3">
        <v>45866</v>
      </c>
      <c r="B210" s="19" t="s">
        <v>2011</v>
      </c>
      <c r="C210" s="19" t="s">
        <v>18</v>
      </c>
      <c r="D210" s="19" t="s">
        <v>1347</v>
      </c>
      <c r="E210" s="4">
        <v>1</v>
      </c>
      <c r="F210" s="42">
        <v>2.9</v>
      </c>
      <c r="G210" s="45">
        <v>249</v>
      </c>
      <c r="H210" s="22">
        <v>2.2999999999999998</v>
      </c>
      <c r="I210" s="6">
        <f t="shared" si="3"/>
        <v>1660.83</v>
      </c>
      <c r="J210" s="6" t="s">
        <v>99</v>
      </c>
      <c r="K210" s="17"/>
    </row>
    <row r="211" spans="1:11" ht="13.95" customHeight="1" x14ac:dyDescent="0.3">
      <c r="A211" s="3">
        <v>45867</v>
      </c>
      <c r="B211" s="19" t="s">
        <v>2011</v>
      </c>
      <c r="C211" s="19" t="s">
        <v>20</v>
      </c>
      <c r="D211" s="19" t="s">
        <v>1347</v>
      </c>
      <c r="E211" s="4">
        <v>1</v>
      </c>
      <c r="F211" s="42">
        <v>2.85</v>
      </c>
      <c r="G211" s="45">
        <v>249</v>
      </c>
      <c r="H211" s="22">
        <v>2.2999999999999998</v>
      </c>
      <c r="I211" s="6">
        <f t="shared" si="3"/>
        <v>1632.1949999999997</v>
      </c>
      <c r="J211" s="6" t="s">
        <v>99</v>
      </c>
      <c r="K211" s="17"/>
    </row>
    <row r="212" spans="1:11" ht="13.95" customHeight="1" x14ac:dyDescent="0.3">
      <c r="A212" s="3">
        <v>45868</v>
      </c>
      <c r="B212" s="19" t="s">
        <v>2011</v>
      </c>
      <c r="C212" s="19" t="s">
        <v>5</v>
      </c>
      <c r="D212" s="19" t="s">
        <v>1347</v>
      </c>
      <c r="E212" s="4">
        <v>1</v>
      </c>
      <c r="F212" s="42">
        <v>2.85</v>
      </c>
      <c r="G212" s="45">
        <v>249</v>
      </c>
      <c r="H212" s="22">
        <v>2.2999999999999998</v>
      </c>
      <c r="I212" s="6">
        <f t="shared" si="3"/>
        <v>1632.1949999999997</v>
      </c>
      <c r="J212" s="6" t="s">
        <v>99</v>
      </c>
      <c r="K212" s="17"/>
    </row>
    <row r="213" spans="1:11" ht="13.95" customHeight="1" x14ac:dyDescent="0.3">
      <c r="A213" s="3">
        <v>45869</v>
      </c>
      <c r="B213" s="19" t="s">
        <v>2011</v>
      </c>
      <c r="C213" s="19" t="s">
        <v>8</v>
      </c>
      <c r="D213" s="19" t="s">
        <v>1538</v>
      </c>
      <c r="E213" s="4">
        <v>1</v>
      </c>
      <c r="F213" s="42">
        <v>2.95</v>
      </c>
      <c r="G213" s="45">
        <v>249</v>
      </c>
      <c r="H213" s="22">
        <v>2.2999999999999998</v>
      </c>
      <c r="I213" s="6">
        <f t="shared" si="3"/>
        <v>1689.4649999999999</v>
      </c>
      <c r="J213" s="6" t="s">
        <v>1982</v>
      </c>
      <c r="K213" s="17"/>
    </row>
    <row r="214" spans="1:11" ht="13.95" customHeight="1" x14ac:dyDescent="0.3">
      <c r="A214" s="3">
        <v>45870</v>
      </c>
      <c r="B214" s="19" t="s">
        <v>2011</v>
      </c>
      <c r="C214" s="19" t="s">
        <v>11</v>
      </c>
      <c r="D214" s="19" t="s">
        <v>1347</v>
      </c>
      <c r="E214" s="4">
        <v>1</v>
      </c>
      <c r="F214" s="42">
        <v>3.15</v>
      </c>
      <c r="G214" s="45">
        <v>249</v>
      </c>
      <c r="H214" s="22">
        <v>2.4</v>
      </c>
      <c r="I214" s="6">
        <f t="shared" si="3"/>
        <v>1882.44</v>
      </c>
      <c r="J214" s="6" t="s">
        <v>1385</v>
      </c>
      <c r="K214" s="17"/>
    </row>
    <row r="215" spans="1:11" ht="13.95" customHeight="1" x14ac:dyDescent="0.3">
      <c r="A215" s="3">
        <v>45871</v>
      </c>
      <c r="B215" s="19" t="s">
        <v>2011</v>
      </c>
      <c r="C215" s="19" t="s">
        <v>13</v>
      </c>
      <c r="D215" s="19" t="s">
        <v>829</v>
      </c>
      <c r="E215" s="4">
        <v>1</v>
      </c>
      <c r="F215" s="42">
        <v>3.95</v>
      </c>
      <c r="G215" s="45">
        <v>249</v>
      </c>
      <c r="H215" s="22">
        <v>2.4</v>
      </c>
      <c r="I215" s="6">
        <f t="shared" si="3"/>
        <v>2360.52</v>
      </c>
      <c r="J215" s="6" t="s">
        <v>1525</v>
      </c>
      <c r="K215" s="17"/>
    </row>
    <row r="216" spans="1:11" ht="13.95" customHeight="1" x14ac:dyDescent="0.3">
      <c r="A216" s="3">
        <v>45872</v>
      </c>
      <c r="B216" s="19" t="s">
        <v>2011</v>
      </c>
      <c r="C216" s="19" t="s">
        <v>16</v>
      </c>
      <c r="D216" s="19" t="s">
        <v>829</v>
      </c>
      <c r="E216" s="4">
        <v>1</v>
      </c>
      <c r="F216" s="42">
        <v>3.45</v>
      </c>
      <c r="G216" s="45">
        <v>249</v>
      </c>
      <c r="H216" s="22">
        <v>2.4</v>
      </c>
      <c r="I216" s="6">
        <f t="shared" si="3"/>
        <v>2061.7200000000003</v>
      </c>
      <c r="J216" s="6" t="s">
        <v>1893</v>
      </c>
      <c r="K216" s="17"/>
    </row>
    <row r="217" spans="1:11" ht="13.95" customHeight="1" x14ac:dyDescent="0.3">
      <c r="A217" s="3">
        <v>45873</v>
      </c>
      <c r="B217" s="19" t="s">
        <v>2011</v>
      </c>
      <c r="C217" s="19" t="s">
        <v>18</v>
      </c>
      <c r="D217" s="19" t="s">
        <v>1347</v>
      </c>
      <c r="E217" s="4">
        <v>1</v>
      </c>
      <c r="F217" s="42">
        <v>2.9</v>
      </c>
      <c r="G217" s="45">
        <v>249</v>
      </c>
      <c r="H217" s="22">
        <v>2.4</v>
      </c>
      <c r="I217" s="6">
        <f t="shared" si="3"/>
        <v>1733.04</v>
      </c>
      <c r="J217" s="6" t="s">
        <v>1983</v>
      </c>
      <c r="K217" s="17"/>
    </row>
    <row r="218" spans="1:11" ht="13.95" customHeight="1" x14ac:dyDescent="0.3">
      <c r="A218" s="3">
        <v>45874</v>
      </c>
      <c r="B218" s="19" t="s">
        <v>2011</v>
      </c>
      <c r="C218" s="19" t="s">
        <v>20</v>
      </c>
      <c r="D218" s="19" t="s">
        <v>1347</v>
      </c>
      <c r="E218" s="4">
        <v>1</v>
      </c>
      <c r="F218" s="42">
        <v>2.85</v>
      </c>
      <c r="G218" s="45">
        <v>249</v>
      </c>
      <c r="H218" s="22">
        <v>2.4</v>
      </c>
      <c r="I218" s="6">
        <f t="shared" si="3"/>
        <v>1703.1599999999999</v>
      </c>
      <c r="J218" s="6" t="s">
        <v>1983</v>
      </c>
      <c r="K218" s="17"/>
    </row>
    <row r="219" spans="1:11" ht="13.95" customHeight="1" x14ac:dyDescent="0.3">
      <c r="A219" s="3">
        <v>45875</v>
      </c>
      <c r="B219" s="19" t="s">
        <v>2011</v>
      </c>
      <c r="C219" s="19" t="s">
        <v>5</v>
      </c>
      <c r="D219" s="19" t="s">
        <v>1347</v>
      </c>
      <c r="E219" s="4">
        <v>1</v>
      </c>
      <c r="F219" s="42">
        <v>2.85</v>
      </c>
      <c r="G219" s="45">
        <v>249</v>
      </c>
      <c r="H219" s="22">
        <v>2.4</v>
      </c>
      <c r="I219" s="6">
        <f t="shared" si="3"/>
        <v>1703.1599999999999</v>
      </c>
      <c r="J219" s="6" t="s">
        <v>717</v>
      </c>
      <c r="K219" s="17"/>
    </row>
    <row r="220" spans="1:11" ht="13.95" customHeight="1" x14ac:dyDescent="0.3">
      <c r="A220" s="3">
        <v>45876</v>
      </c>
      <c r="B220" s="19" t="s">
        <v>2011</v>
      </c>
      <c r="C220" s="19" t="s">
        <v>8</v>
      </c>
      <c r="D220" s="19" t="s">
        <v>1347</v>
      </c>
      <c r="E220" s="4">
        <v>1</v>
      </c>
      <c r="F220" s="42">
        <v>3</v>
      </c>
      <c r="G220" s="45">
        <v>249</v>
      </c>
      <c r="H220" s="22">
        <v>2.4</v>
      </c>
      <c r="I220" s="6">
        <f t="shared" si="3"/>
        <v>1792.8</v>
      </c>
      <c r="J220" s="6" t="s">
        <v>82</v>
      </c>
      <c r="K220" s="17"/>
    </row>
    <row r="221" spans="1:11" ht="13.95" customHeight="1" x14ac:dyDescent="0.3">
      <c r="A221" s="3">
        <v>45877</v>
      </c>
      <c r="B221" s="19" t="s">
        <v>2011</v>
      </c>
      <c r="C221" s="19" t="s">
        <v>11</v>
      </c>
      <c r="D221" s="19" t="s">
        <v>829</v>
      </c>
      <c r="E221" s="4">
        <v>1</v>
      </c>
      <c r="F221" s="42">
        <v>3.3</v>
      </c>
      <c r="G221" s="45">
        <v>249</v>
      </c>
      <c r="H221" s="22">
        <v>2.4</v>
      </c>
      <c r="I221" s="6">
        <f t="shared" si="3"/>
        <v>1972.0799999999997</v>
      </c>
      <c r="J221" s="6" t="s">
        <v>531</v>
      </c>
      <c r="K221" s="17"/>
    </row>
    <row r="222" spans="1:11" ht="13.95" customHeight="1" x14ac:dyDescent="0.3">
      <c r="A222" s="3">
        <v>45878</v>
      </c>
      <c r="B222" s="19" t="s">
        <v>2011</v>
      </c>
      <c r="C222" s="19" t="s">
        <v>13</v>
      </c>
      <c r="D222" s="19" t="s">
        <v>829</v>
      </c>
      <c r="E222" s="4">
        <v>1</v>
      </c>
      <c r="F222" s="42">
        <v>4.0999999999999996</v>
      </c>
      <c r="G222" s="45">
        <v>249</v>
      </c>
      <c r="H222" s="22">
        <v>2.4</v>
      </c>
      <c r="I222" s="6">
        <f t="shared" si="3"/>
        <v>2450.1599999999994</v>
      </c>
      <c r="J222" s="6" t="s">
        <v>1984</v>
      </c>
      <c r="K222" s="17"/>
    </row>
    <row r="223" spans="1:11" ht="13.95" customHeight="1" x14ac:dyDescent="0.3">
      <c r="A223" s="3">
        <v>45879</v>
      </c>
      <c r="B223" s="19" t="s">
        <v>2011</v>
      </c>
      <c r="C223" s="19" t="s">
        <v>16</v>
      </c>
      <c r="D223" s="19" t="s">
        <v>829</v>
      </c>
      <c r="E223" s="4">
        <v>1</v>
      </c>
      <c r="F223" s="42">
        <v>3.55</v>
      </c>
      <c r="G223" s="45">
        <v>249</v>
      </c>
      <c r="H223" s="22">
        <v>2.4</v>
      </c>
      <c r="I223" s="6">
        <f t="shared" si="3"/>
        <v>2121.4799999999996</v>
      </c>
      <c r="J223" s="6" t="s">
        <v>238</v>
      </c>
      <c r="K223" s="17"/>
    </row>
    <row r="224" spans="1:11" ht="13.95" customHeight="1" x14ac:dyDescent="0.3">
      <c r="A224" s="3">
        <v>45880</v>
      </c>
      <c r="B224" s="19" t="s">
        <v>2011</v>
      </c>
      <c r="C224" s="19" t="s">
        <v>18</v>
      </c>
      <c r="D224" s="19" t="s">
        <v>1347</v>
      </c>
      <c r="E224" s="4">
        <v>1</v>
      </c>
      <c r="F224" s="42">
        <v>2.95</v>
      </c>
      <c r="G224" s="45">
        <v>249</v>
      </c>
      <c r="H224" s="22">
        <v>2.4</v>
      </c>
      <c r="I224" s="6">
        <f t="shared" si="3"/>
        <v>1762.92</v>
      </c>
      <c r="J224" s="6" t="s">
        <v>717</v>
      </c>
      <c r="K224" s="17"/>
    </row>
    <row r="225" spans="1:11" ht="13.95" customHeight="1" x14ac:dyDescent="0.3">
      <c r="A225" s="3">
        <v>45881</v>
      </c>
      <c r="B225" s="19" t="s">
        <v>2011</v>
      </c>
      <c r="C225" s="19" t="s">
        <v>20</v>
      </c>
      <c r="D225" s="19" t="s">
        <v>994</v>
      </c>
      <c r="E225" s="4">
        <v>1</v>
      </c>
      <c r="F225" s="42">
        <v>3.25</v>
      </c>
      <c r="G225" s="45">
        <v>249</v>
      </c>
      <c r="H225" s="22">
        <v>2.4</v>
      </c>
      <c r="I225" s="6">
        <f t="shared" si="3"/>
        <v>1942.1999999999998</v>
      </c>
      <c r="J225" s="6" t="s">
        <v>1453</v>
      </c>
      <c r="K225" s="17"/>
    </row>
    <row r="226" spans="1:11" ht="13.95" customHeight="1" x14ac:dyDescent="0.3">
      <c r="A226" s="3">
        <v>45882</v>
      </c>
      <c r="B226" s="19" t="s">
        <v>2011</v>
      </c>
      <c r="C226" s="19" t="s">
        <v>5</v>
      </c>
      <c r="D226" s="19" t="s">
        <v>850</v>
      </c>
      <c r="E226" s="4">
        <v>1</v>
      </c>
      <c r="F226" s="42">
        <v>3.85</v>
      </c>
      <c r="G226" s="45">
        <v>249</v>
      </c>
      <c r="H226" s="22">
        <v>2.4</v>
      </c>
      <c r="I226" s="6">
        <f t="shared" si="3"/>
        <v>2300.7599999999998</v>
      </c>
      <c r="J226" s="6" t="s">
        <v>1985</v>
      </c>
      <c r="K226" s="17"/>
    </row>
    <row r="227" spans="1:11" ht="13.95" customHeight="1" x14ac:dyDescent="0.3">
      <c r="A227" s="3">
        <v>45883</v>
      </c>
      <c r="B227" s="19" t="s">
        <v>2011</v>
      </c>
      <c r="C227" s="19" t="s">
        <v>8</v>
      </c>
      <c r="D227" s="19" t="s">
        <v>1347</v>
      </c>
      <c r="E227" s="4">
        <v>1</v>
      </c>
      <c r="F227" s="42">
        <v>3</v>
      </c>
      <c r="G227" s="45">
        <v>249</v>
      </c>
      <c r="H227" s="22">
        <v>2.4</v>
      </c>
      <c r="I227" s="6">
        <f t="shared" si="3"/>
        <v>1792.8</v>
      </c>
      <c r="J227" s="6" t="s">
        <v>589</v>
      </c>
      <c r="K227" s="17"/>
    </row>
    <row r="228" spans="1:11" ht="13.95" customHeight="1" x14ac:dyDescent="0.3">
      <c r="A228" s="3">
        <v>45884</v>
      </c>
      <c r="B228" s="19" t="s">
        <v>2011</v>
      </c>
      <c r="C228" s="19" t="s">
        <v>11</v>
      </c>
      <c r="D228" s="19" t="s">
        <v>829</v>
      </c>
      <c r="E228" s="4">
        <v>1</v>
      </c>
      <c r="F228" s="42">
        <v>3.4</v>
      </c>
      <c r="G228" s="45">
        <v>249</v>
      </c>
      <c r="H228" s="22">
        <v>2.4</v>
      </c>
      <c r="I228" s="6">
        <f t="shared" si="3"/>
        <v>2031.84</v>
      </c>
      <c r="J228" s="6" t="s">
        <v>1463</v>
      </c>
      <c r="K228" s="17"/>
    </row>
    <row r="229" spans="1:11" ht="13.95" customHeight="1" x14ac:dyDescent="0.3">
      <c r="A229" s="3">
        <v>45885</v>
      </c>
      <c r="B229" s="19" t="s">
        <v>2011</v>
      </c>
      <c r="C229" s="19" t="s">
        <v>13</v>
      </c>
      <c r="D229" s="19" t="s">
        <v>829</v>
      </c>
      <c r="E229" s="4">
        <v>1</v>
      </c>
      <c r="F229" s="42">
        <v>4</v>
      </c>
      <c r="G229" s="45">
        <v>249</v>
      </c>
      <c r="H229" s="22">
        <v>2.4</v>
      </c>
      <c r="I229" s="6">
        <f t="shared" si="3"/>
        <v>2390.4</v>
      </c>
      <c r="J229" s="6" t="s">
        <v>1464</v>
      </c>
      <c r="K229" s="17"/>
    </row>
    <row r="230" spans="1:11" ht="13.95" customHeight="1" x14ac:dyDescent="0.3">
      <c r="A230" s="3">
        <v>45886</v>
      </c>
      <c r="B230" s="19" t="s">
        <v>2011</v>
      </c>
      <c r="C230" s="19" t="s">
        <v>16</v>
      </c>
      <c r="D230" s="19" t="s">
        <v>829</v>
      </c>
      <c r="E230" s="4">
        <v>1</v>
      </c>
      <c r="F230" s="42">
        <v>3.5</v>
      </c>
      <c r="G230" s="45">
        <v>249</v>
      </c>
      <c r="H230" s="22">
        <v>2.4</v>
      </c>
      <c r="I230" s="6">
        <f t="shared" si="3"/>
        <v>2091.6</v>
      </c>
      <c r="J230" s="6" t="s">
        <v>238</v>
      </c>
      <c r="K230" s="17"/>
    </row>
    <row r="231" spans="1:11" ht="13.95" customHeight="1" x14ac:dyDescent="0.3">
      <c r="A231" s="3">
        <v>45887</v>
      </c>
      <c r="B231" s="19" t="s">
        <v>2011</v>
      </c>
      <c r="C231" s="19" t="s">
        <v>18</v>
      </c>
      <c r="D231" s="19" t="s">
        <v>1347</v>
      </c>
      <c r="E231" s="4">
        <v>1</v>
      </c>
      <c r="F231" s="42">
        <v>2.95</v>
      </c>
      <c r="G231" s="45">
        <v>249</v>
      </c>
      <c r="H231" s="22">
        <v>2.4</v>
      </c>
      <c r="I231" s="6">
        <f t="shared" si="3"/>
        <v>1762.92</v>
      </c>
      <c r="J231" s="6" t="s">
        <v>1796</v>
      </c>
      <c r="K231" s="17"/>
    </row>
    <row r="232" spans="1:11" ht="13.95" customHeight="1" x14ac:dyDescent="0.3">
      <c r="A232" s="3">
        <v>45888</v>
      </c>
      <c r="B232" s="19" t="s">
        <v>2011</v>
      </c>
      <c r="C232" s="19" t="s">
        <v>20</v>
      </c>
      <c r="D232" s="19" t="s">
        <v>1347</v>
      </c>
      <c r="E232" s="4">
        <v>1</v>
      </c>
      <c r="F232" s="42">
        <v>2.9</v>
      </c>
      <c r="G232" s="45">
        <v>249</v>
      </c>
      <c r="H232" s="22">
        <v>2.4</v>
      </c>
      <c r="I232" s="6">
        <f t="shared" si="3"/>
        <v>1733.04</v>
      </c>
      <c r="J232" s="6" t="s">
        <v>1796</v>
      </c>
      <c r="K232" s="17"/>
    </row>
    <row r="233" spans="1:11" ht="13.95" customHeight="1" x14ac:dyDescent="0.3">
      <c r="A233" s="3">
        <v>45889</v>
      </c>
      <c r="B233" s="19" t="s">
        <v>2011</v>
      </c>
      <c r="C233" s="19" t="s">
        <v>5</v>
      </c>
      <c r="D233" s="19" t="s">
        <v>1347</v>
      </c>
      <c r="E233" s="4">
        <v>1</v>
      </c>
      <c r="F233" s="42">
        <v>2.9</v>
      </c>
      <c r="G233" s="45">
        <v>249</v>
      </c>
      <c r="H233" s="22">
        <v>2.4</v>
      </c>
      <c r="I233" s="6">
        <f t="shared" si="3"/>
        <v>1733.04</v>
      </c>
      <c r="J233" s="6" t="s">
        <v>1796</v>
      </c>
      <c r="K233" s="17"/>
    </row>
    <row r="234" spans="1:11" ht="13.95" customHeight="1" x14ac:dyDescent="0.3">
      <c r="A234" s="3">
        <v>45890</v>
      </c>
      <c r="B234" s="19" t="s">
        <v>2011</v>
      </c>
      <c r="C234" s="19" t="s">
        <v>8</v>
      </c>
      <c r="D234" s="19" t="s">
        <v>1347</v>
      </c>
      <c r="E234" s="4">
        <v>1</v>
      </c>
      <c r="F234" s="42">
        <v>3.05</v>
      </c>
      <c r="G234" s="45">
        <v>249</v>
      </c>
      <c r="H234" s="22">
        <v>2.4</v>
      </c>
      <c r="I234" s="6">
        <f t="shared" si="3"/>
        <v>1822.6799999999998</v>
      </c>
      <c r="J234" s="6" t="s">
        <v>1449</v>
      </c>
      <c r="K234" s="17"/>
    </row>
    <row r="235" spans="1:11" ht="13.95" customHeight="1" x14ac:dyDescent="0.3">
      <c r="A235" s="3">
        <v>45891</v>
      </c>
      <c r="B235" s="19" t="s">
        <v>2011</v>
      </c>
      <c r="C235" s="19" t="s">
        <v>11</v>
      </c>
      <c r="D235" s="19" t="s">
        <v>829</v>
      </c>
      <c r="E235" s="4">
        <v>1</v>
      </c>
      <c r="F235" s="42">
        <v>3.45</v>
      </c>
      <c r="G235" s="45">
        <v>249</v>
      </c>
      <c r="H235" s="22">
        <v>2.4</v>
      </c>
      <c r="I235" s="6">
        <f t="shared" si="3"/>
        <v>2061.7200000000003</v>
      </c>
      <c r="J235" s="6" t="s">
        <v>1971</v>
      </c>
      <c r="K235" s="17"/>
    </row>
    <row r="236" spans="1:11" ht="13.95" customHeight="1" x14ac:dyDescent="0.3">
      <c r="A236" s="3">
        <v>45892</v>
      </c>
      <c r="B236" s="19" t="s">
        <v>2011</v>
      </c>
      <c r="C236" s="19" t="s">
        <v>13</v>
      </c>
      <c r="D236" s="19" t="s">
        <v>829</v>
      </c>
      <c r="E236" s="4">
        <v>1</v>
      </c>
      <c r="F236" s="42">
        <v>4.05</v>
      </c>
      <c r="G236" s="45">
        <v>249</v>
      </c>
      <c r="H236" s="22">
        <v>2.4</v>
      </c>
      <c r="I236" s="6">
        <f t="shared" si="3"/>
        <v>2420.2799999999997</v>
      </c>
      <c r="J236" s="6" t="s">
        <v>1700</v>
      </c>
      <c r="K236" s="17"/>
    </row>
    <row r="237" spans="1:11" ht="13.95" customHeight="1" x14ac:dyDescent="0.3">
      <c r="A237" s="3">
        <v>45893</v>
      </c>
      <c r="B237" s="19" t="s">
        <v>2011</v>
      </c>
      <c r="C237" s="19" t="s">
        <v>16</v>
      </c>
      <c r="D237" s="19" t="s">
        <v>829</v>
      </c>
      <c r="E237" s="4">
        <v>1</v>
      </c>
      <c r="F237" s="42">
        <v>3.6</v>
      </c>
      <c r="G237" s="45">
        <v>249</v>
      </c>
      <c r="H237" s="22">
        <v>2.4</v>
      </c>
      <c r="I237" s="6">
        <f t="shared" si="3"/>
        <v>2151.3599999999997</v>
      </c>
      <c r="J237" s="6" t="s">
        <v>69</v>
      </c>
      <c r="K237" s="17"/>
    </row>
    <row r="238" spans="1:11" ht="13.95" customHeight="1" x14ac:dyDescent="0.3">
      <c r="A238" s="3">
        <v>45894</v>
      </c>
      <c r="B238" s="19" t="s">
        <v>2011</v>
      </c>
      <c r="C238" s="19" t="s">
        <v>18</v>
      </c>
      <c r="D238" s="19" t="s">
        <v>1347</v>
      </c>
      <c r="E238" s="4">
        <v>1</v>
      </c>
      <c r="F238" s="42">
        <v>3</v>
      </c>
      <c r="G238" s="45">
        <v>249</v>
      </c>
      <c r="H238" s="22">
        <v>2.4</v>
      </c>
      <c r="I238" s="6">
        <f t="shared" si="3"/>
        <v>1792.8</v>
      </c>
      <c r="J238" s="6" t="s">
        <v>1696</v>
      </c>
      <c r="K238" s="17"/>
    </row>
    <row r="239" spans="1:11" ht="13.95" customHeight="1" x14ac:dyDescent="0.3">
      <c r="A239" s="3">
        <v>45895</v>
      </c>
      <c r="B239" s="19" t="s">
        <v>2011</v>
      </c>
      <c r="C239" s="19" t="s">
        <v>20</v>
      </c>
      <c r="D239" s="19" t="s">
        <v>1347</v>
      </c>
      <c r="E239" s="4">
        <v>1</v>
      </c>
      <c r="F239" s="42">
        <v>2.95</v>
      </c>
      <c r="G239" s="45">
        <v>249</v>
      </c>
      <c r="H239" s="22">
        <v>2.4</v>
      </c>
      <c r="I239" s="6">
        <f t="shared" si="3"/>
        <v>1762.92</v>
      </c>
      <c r="J239" s="6" t="s">
        <v>717</v>
      </c>
      <c r="K239" s="17"/>
    </row>
    <row r="240" spans="1:11" ht="13.95" customHeight="1" x14ac:dyDescent="0.3">
      <c r="A240" s="3">
        <v>45896</v>
      </c>
      <c r="B240" s="19" t="s">
        <v>2011</v>
      </c>
      <c r="C240" s="19" t="s">
        <v>5</v>
      </c>
      <c r="D240" s="19" t="s">
        <v>1347</v>
      </c>
      <c r="E240" s="4">
        <v>1</v>
      </c>
      <c r="F240" s="42">
        <v>2.95</v>
      </c>
      <c r="G240" s="45">
        <v>249</v>
      </c>
      <c r="H240" s="22">
        <v>2.4</v>
      </c>
      <c r="I240" s="6">
        <f t="shared" si="3"/>
        <v>1762.92</v>
      </c>
      <c r="J240" s="6" t="s">
        <v>717</v>
      </c>
      <c r="K240" s="17"/>
    </row>
    <row r="241" spans="1:11" ht="13.95" customHeight="1" x14ac:dyDescent="0.3">
      <c r="A241" s="3">
        <v>45897</v>
      </c>
      <c r="B241" s="19" t="s">
        <v>2011</v>
      </c>
      <c r="C241" s="19" t="s">
        <v>8</v>
      </c>
      <c r="D241" s="19" t="s">
        <v>1347</v>
      </c>
      <c r="E241" s="4">
        <v>1</v>
      </c>
      <c r="F241" s="42">
        <v>3.1</v>
      </c>
      <c r="G241" s="45">
        <v>249</v>
      </c>
      <c r="H241" s="22">
        <v>2.4</v>
      </c>
      <c r="I241" s="6">
        <f t="shared" si="3"/>
        <v>1852.56</v>
      </c>
      <c r="J241" s="6" t="s">
        <v>717</v>
      </c>
      <c r="K241" s="17"/>
    </row>
    <row r="242" spans="1:11" ht="13.95" customHeight="1" x14ac:dyDescent="0.3">
      <c r="A242" s="3">
        <v>45898</v>
      </c>
      <c r="B242" s="19" t="s">
        <v>2011</v>
      </c>
      <c r="C242" s="19" t="s">
        <v>11</v>
      </c>
      <c r="D242" s="19" t="s">
        <v>14</v>
      </c>
      <c r="E242" s="4">
        <v>1</v>
      </c>
      <c r="F242" s="42">
        <v>3.5</v>
      </c>
      <c r="G242" s="45">
        <v>249</v>
      </c>
      <c r="H242" s="22">
        <v>2.4</v>
      </c>
      <c r="I242" s="6">
        <f t="shared" si="3"/>
        <v>2091.6</v>
      </c>
      <c r="J242" s="6" t="s">
        <v>480</v>
      </c>
      <c r="K242" s="17"/>
    </row>
    <row r="243" spans="1:11" ht="13.95" customHeight="1" x14ac:dyDescent="0.3">
      <c r="A243" s="3">
        <v>45899</v>
      </c>
      <c r="B243" s="19" t="s">
        <v>2011</v>
      </c>
      <c r="C243" s="19" t="s">
        <v>13</v>
      </c>
      <c r="D243" s="19" t="s">
        <v>14</v>
      </c>
      <c r="E243" s="4">
        <v>1</v>
      </c>
      <c r="F243" s="42">
        <v>4.1500000000000004</v>
      </c>
      <c r="G243" s="45">
        <v>249</v>
      </c>
      <c r="H243" s="22">
        <v>2.4</v>
      </c>
      <c r="I243" s="6">
        <f t="shared" si="3"/>
        <v>2480.0400000000004</v>
      </c>
      <c r="J243" s="6" t="s">
        <v>1981</v>
      </c>
      <c r="K243" s="17"/>
    </row>
    <row r="244" spans="1:11" ht="13.95" customHeight="1" x14ac:dyDescent="0.3">
      <c r="A244" s="3">
        <v>45900</v>
      </c>
      <c r="B244" s="19" t="s">
        <v>2011</v>
      </c>
      <c r="C244" s="19" t="s">
        <v>16</v>
      </c>
      <c r="D244" s="19" t="s">
        <v>14</v>
      </c>
      <c r="E244" s="4">
        <v>1</v>
      </c>
      <c r="F244" s="42">
        <v>3.7</v>
      </c>
      <c r="G244" s="45">
        <v>249</v>
      </c>
      <c r="H244" s="22">
        <v>2.4</v>
      </c>
      <c r="I244" s="6">
        <f t="shared" si="3"/>
        <v>2211.12</v>
      </c>
      <c r="J244" s="6" t="s">
        <v>1897</v>
      </c>
      <c r="K244" s="17"/>
    </row>
    <row r="245" spans="1:11" ht="13.95" customHeight="1" x14ac:dyDescent="0.3">
      <c r="A245" s="3">
        <v>45901</v>
      </c>
      <c r="B245" s="19" t="s">
        <v>2011</v>
      </c>
      <c r="C245" s="19" t="s">
        <v>18</v>
      </c>
      <c r="D245" s="19" t="s">
        <v>1545</v>
      </c>
      <c r="E245" s="4">
        <v>0.8</v>
      </c>
      <c r="F245" s="42">
        <v>2.75</v>
      </c>
      <c r="G245" s="45">
        <v>249</v>
      </c>
      <c r="H245" s="22">
        <v>2.1</v>
      </c>
      <c r="I245" s="6">
        <f t="shared" si="3"/>
        <v>1150.3800000000001</v>
      </c>
      <c r="J245" s="6" t="s">
        <v>1986</v>
      </c>
      <c r="K245" s="17"/>
    </row>
    <row r="246" spans="1:11" ht="13.95" customHeight="1" x14ac:dyDescent="0.3">
      <c r="A246" s="3">
        <v>45902</v>
      </c>
      <c r="B246" s="19" t="s">
        <v>2011</v>
      </c>
      <c r="C246" s="19" t="s">
        <v>20</v>
      </c>
      <c r="D246" s="19" t="s">
        <v>1340</v>
      </c>
      <c r="E246" s="4">
        <v>0.65</v>
      </c>
      <c r="F246" s="42">
        <v>2.2999999999999998</v>
      </c>
      <c r="G246" s="45">
        <v>249</v>
      </c>
      <c r="H246" s="22">
        <v>2.1</v>
      </c>
      <c r="I246" s="6">
        <f t="shared" si="3"/>
        <v>781.73549999999989</v>
      </c>
      <c r="J246" s="6" t="s">
        <v>1987</v>
      </c>
      <c r="K246" s="17"/>
    </row>
    <row r="247" spans="1:11" ht="13.95" customHeight="1" x14ac:dyDescent="0.3">
      <c r="A247" s="3">
        <v>45903</v>
      </c>
      <c r="B247" s="19" t="s">
        <v>2011</v>
      </c>
      <c r="C247" s="19" t="s">
        <v>5</v>
      </c>
      <c r="D247" s="19" t="s">
        <v>1340</v>
      </c>
      <c r="E247" s="4">
        <v>0.6</v>
      </c>
      <c r="F247" s="42">
        <v>2.25</v>
      </c>
      <c r="G247" s="45">
        <v>249</v>
      </c>
      <c r="H247" s="22">
        <v>2.1</v>
      </c>
      <c r="I247" s="6">
        <f t="shared" si="3"/>
        <v>705.91500000000008</v>
      </c>
      <c r="J247" s="6" t="s">
        <v>603</v>
      </c>
      <c r="K247" s="17"/>
    </row>
    <row r="248" spans="1:11" ht="13.95" customHeight="1" x14ac:dyDescent="0.3">
      <c r="A248" s="3">
        <v>45904</v>
      </c>
      <c r="B248" s="19" t="s">
        <v>2011</v>
      </c>
      <c r="C248" s="19" t="s">
        <v>8</v>
      </c>
      <c r="D248" s="19" t="s">
        <v>1263</v>
      </c>
      <c r="E248" s="4">
        <v>0.75</v>
      </c>
      <c r="F248" s="42">
        <v>2.4500000000000002</v>
      </c>
      <c r="G248" s="45">
        <v>249</v>
      </c>
      <c r="H248" s="22">
        <v>2.1</v>
      </c>
      <c r="I248" s="6">
        <f t="shared" si="3"/>
        <v>960.82875000000013</v>
      </c>
      <c r="J248" s="6" t="s">
        <v>1824</v>
      </c>
      <c r="K248" s="17"/>
    </row>
    <row r="249" spans="1:11" ht="13.95" customHeight="1" x14ac:dyDescent="0.3">
      <c r="A249" s="3">
        <v>45905</v>
      </c>
      <c r="B249" s="19" t="s">
        <v>2011</v>
      </c>
      <c r="C249" s="19" t="s">
        <v>11</v>
      </c>
      <c r="D249" s="19" t="s">
        <v>14</v>
      </c>
      <c r="E249" s="4">
        <v>0.7</v>
      </c>
      <c r="F249" s="42">
        <v>2.65</v>
      </c>
      <c r="G249" s="45">
        <v>249</v>
      </c>
      <c r="H249" s="22">
        <v>2.1</v>
      </c>
      <c r="I249" s="6">
        <f t="shared" si="3"/>
        <v>969.97949999999992</v>
      </c>
      <c r="J249" s="6" t="s">
        <v>390</v>
      </c>
      <c r="K249" s="17"/>
    </row>
    <row r="250" spans="1:11" ht="13.95" customHeight="1" x14ac:dyDescent="0.3">
      <c r="A250" s="3">
        <v>45906</v>
      </c>
      <c r="B250" s="19" t="s">
        <v>2011</v>
      </c>
      <c r="C250" s="19" t="s">
        <v>13</v>
      </c>
      <c r="D250" s="19" t="s">
        <v>14</v>
      </c>
      <c r="E250" s="4">
        <v>0.9</v>
      </c>
      <c r="F250" s="42">
        <v>3.5</v>
      </c>
      <c r="G250" s="45">
        <v>249</v>
      </c>
      <c r="H250" s="22">
        <v>2.1</v>
      </c>
      <c r="I250" s="6">
        <f t="shared" si="3"/>
        <v>1647.1350000000002</v>
      </c>
      <c r="J250" s="6" t="s">
        <v>1525</v>
      </c>
      <c r="K250" s="17"/>
    </row>
    <row r="251" spans="1:11" ht="13.95" customHeight="1" x14ac:dyDescent="0.3">
      <c r="A251" s="3">
        <v>45907</v>
      </c>
      <c r="B251" s="19" t="s">
        <v>2011</v>
      </c>
      <c r="C251" s="19" t="s">
        <v>16</v>
      </c>
      <c r="D251" s="19" t="s">
        <v>14</v>
      </c>
      <c r="E251" s="4">
        <v>0.8</v>
      </c>
      <c r="F251" s="42">
        <v>2.9</v>
      </c>
      <c r="G251" s="45">
        <v>249</v>
      </c>
      <c r="H251" s="22">
        <v>2.1</v>
      </c>
      <c r="I251" s="6">
        <f t="shared" si="3"/>
        <v>1213.1280000000002</v>
      </c>
      <c r="J251" s="6" t="s">
        <v>238</v>
      </c>
      <c r="K251" s="17"/>
    </row>
    <row r="252" spans="1:11" ht="13.95" customHeight="1" x14ac:dyDescent="0.3">
      <c r="A252" s="3">
        <v>45908</v>
      </c>
      <c r="B252" s="19" t="s">
        <v>2011</v>
      </c>
      <c r="C252" s="19" t="s">
        <v>18</v>
      </c>
      <c r="D252" s="19" t="s">
        <v>1340</v>
      </c>
      <c r="E252" s="4">
        <v>0.55000000000000004</v>
      </c>
      <c r="F252" s="42">
        <v>2.2000000000000002</v>
      </c>
      <c r="G252" s="45">
        <v>249</v>
      </c>
      <c r="H252" s="22">
        <v>2.1</v>
      </c>
      <c r="I252" s="6">
        <f t="shared" si="3"/>
        <v>632.70900000000017</v>
      </c>
      <c r="J252" s="6" t="s">
        <v>150</v>
      </c>
      <c r="K252" s="17"/>
    </row>
    <row r="253" spans="1:11" ht="13.95" customHeight="1" x14ac:dyDescent="0.3">
      <c r="A253" s="3">
        <v>45909</v>
      </c>
      <c r="B253" s="19" t="s">
        <v>2011</v>
      </c>
      <c r="C253" s="19" t="s">
        <v>20</v>
      </c>
      <c r="D253" s="19" t="s">
        <v>1340</v>
      </c>
      <c r="E253" s="4">
        <v>0.5</v>
      </c>
      <c r="F253" s="42">
        <v>2.15</v>
      </c>
      <c r="G253" s="45">
        <v>249</v>
      </c>
      <c r="H253" s="22">
        <v>2.1</v>
      </c>
      <c r="I253" s="6">
        <f t="shared" si="3"/>
        <v>562.11750000000006</v>
      </c>
      <c r="J253" s="6" t="s">
        <v>150</v>
      </c>
      <c r="K253" s="17"/>
    </row>
    <row r="254" spans="1:11" ht="13.95" customHeight="1" x14ac:dyDescent="0.3">
      <c r="A254" s="3">
        <v>45910</v>
      </c>
      <c r="B254" s="19" t="s">
        <v>2011</v>
      </c>
      <c r="C254" s="19" t="s">
        <v>5</v>
      </c>
      <c r="D254" s="19" t="s">
        <v>1340</v>
      </c>
      <c r="E254" s="4">
        <v>0.55000000000000004</v>
      </c>
      <c r="F254" s="42">
        <v>2.2000000000000002</v>
      </c>
      <c r="G254" s="45">
        <v>249</v>
      </c>
      <c r="H254" s="22">
        <v>2.1</v>
      </c>
      <c r="I254" s="6">
        <f t="shared" si="3"/>
        <v>632.70900000000017</v>
      </c>
      <c r="J254" s="6" t="s">
        <v>1988</v>
      </c>
      <c r="K254" s="17"/>
    </row>
    <row r="255" spans="1:11" ht="13.95" customHeight="1" x14ac:dyDescent="0.3">
      <c r="A255" s="3">
        <v>45758</v>
      </c>
      <c r="B255" s="19" t="s">
        <v>2011</v>
      </c>
      <c r="C255" s="19" t="s">
        <v>8</v>
      </c>
      <c r="D255" s="19" t="s">
        <v>1263</v>
      </c>
      <c r="E255" s="4">
        <v>0.7</v>
      </c>
      <c r="F255" s="42">
        <v>2.5</v>
      </c>
      <c r="G255" s="45">
        <v>249</v>
      </c>
      <c r="H255" s="22">
        <v>2.1</v>
      </c>
      <c r="I255" s="6">
        <f t="shared" si="3"/>
        <v>915.07499999999993</v>
      </c>
      <c r="J255" s="6" t="s">
        <v>1989</v>
      </c>
      <c r="K255" s="17"/>
    </row>
    <row r="256" spans="1:11" ht="13.95" customHeight="1" x14ac:dyDescent="0.3">
      <c r="A256" s="3">
        <v>45912</v>
      </c>
      <c r="B256" s="19" t="s">
        <v>2011</v>
      </c>
      <c r="C256" s="19" t="s">
        <v>11</v>
      </c>
      <c r="D256" s="19" t="s">
        <v>14</v>
      </c>
      <c r="E256" s="4">
        <v>0.75</v>
      </c>
      <c r="F256" s="42">
        <v>2.7</v>
      </c>
      <c r="G256" s="45">
        <v>249</v>
      </c>
      <c r="H256" s="22">
        <v>2.1</v>
      </c>
      <c r="I256" s="6">
        <f t="shared" si="3"/>
        <v>1058.8725000000002</v>
      </c>
      <c r="J256" s="6" t="s">
        <v>97</v>
      </c>
      <c r="K256" s="17"/>
    </row>
    <row r="257" spans="1:11" ht="13.95" customHeight="1" x14ac:dyDescent="0.3">
      <c r="A257" s="3">
        <v>45913</v>
      </c>
      <c r="B257" s="19" t="s">
        <v>2011</v>
      </c>
      <c r="C257" s="19" t="s">
        <v>13</v>
      </c>
      <c r="D257" s="19" t="s">
        <v>14</v>
      </c>
      <c r="E257" s="4">
        <v>0.85</v>
      </c>
      <c r="F257" s="42">
        <v>3.6</v>
      </c>
      <c r="G257" s="45">
        <v>249</v>
      </c>
      <c r="H257" s="22">
        <v>2.1</v>
      </c>
      <c r="I257" s="6">
        <f t="shared" si="3"/>
        <v>1600.0740000000001</v>
      </c>
      <c r="J257" s="6" t="s">
        <v>1910</v>
      </c>
      <c r="K257" s="17"/>
    </row>
    <row r="258" spans="1:11" ht="13.95" customHeight="1" x14ac:dyDescent="0.3">
      <c r="A258" s="3">
        <v>45914</v>
      </c>
      <c r="B258" s="19" t="s">
        <v>2011</v>
      </c>
      <c r="C258" s="19" t="s">
        <v>16</v>
      </c>
      <c r="D258" s="19" t="s">
        <v>14</v>
      </c>
      <c r="E258" s="4">
        <v>0.75</v>
      </c>
      <c r="F258" s="42">
        <v>2.95</v>
      </c>
      <c r="G258" s="45">
        <v>249</v>
      </c>
      <c r="H258" s="22">
        <v>2.1</v>
      </c>
      <c r="I258" s="6">
        <f t="shared" ref="I258:I321" si="4">(G258*E258)*F258*H258</f>
        <v>1156.91625</v>
      </c>
      <c r="J258" s="6" t="s">
        <v>69</v>
      </c>
      <c r="K258" s="17"/>
    </row>
    <row r="259" spans="1:11" ht="13.95" customHeight="1" x14ac:dyDescent="0.3">
      <c r="A259" s="3">
        <v>45915</v>
      </c>
      <c r="B259" s="19" t="s">
        <v>2011</v>
      </c>
      <c r="C259" s="19" t="s">
        <v>18</v>
      </c>
      <c r="D259" s="19" t="s">
        <v>1259</v>
      </c>
      <c r="E259" s="4">
        <v>0.5</v>
      </c>
      <c r="F259" s="42">
        <v>2.15</v>
      </c>
      <c r="G259" s="45">
        <v>249</v>
      </c>
      <c r="H259" s="22">
        <v>2.1</v>
      </c>
      <c r="I259" s="6">
        <f t="shared" si="4"/>
        <v>562.11750000000006</v>
      </c>
      <c r="J259" s="6" t="s">
        <v>1990</v>
      </c>
      <c r="K259" s="17"/>
    </row>
    <row r="260" spans="1:11" ht="13.95" customHeight="1" x14ac:dyDescent="0.3">
      <c r="A260" s="3">
        <v>45916</v>
      </c>
      <c r="B260" s="19" t="s">
        <v>2011</v>
      </c>
      <c r="C260" s="19" t="s">
        <v>20</v>
      </c>
      <c r="D260" s="19" t="s">
        <v>1259</v>
      </c>
      <c r="E260" s="4">
        <v>0.45</v>
      </c>
      <c r="F260" s="42">
        <v>2.1</v>
      </c>
      <c r="G260" s="45">
        <v>249</v>
      </c>
      <c r="H260" s="22">
        <v>2.1</v>
      </c>
      <c r="I260" s="6">
        <f t="shared" si="4"/>
        <v>494.14050000000003</v>
      </c>
      <c r="J260" s="6" t="s">
        <v>150</v>
      </c>
      <c r="K260" s="17"/>
    </row>
    <row r="261" spans="1:11" ht="13.95" customHeight="1" x14ac:dyDescent="0.3">
      <c r="A261" s="3">
        <v>45917</v>
      </c>
      <c r="B261" s="19" t="s">
        <v>2011</v>
      </c>
      <c r="C261" s="19" t="s">
        <v>5</v>
      </c>
      <c r="D261" s="19" t="s">
        <v>1259</v>
      </c>
      <c r="E261" s="4">
        <v>0.5</v>
      </c>
      <c r="F261" s="42">
        <v>2.15</v>
      </c>
      <c r="G261" s="45">
        <v>249</v>
      </c>
      <c r="H261" s="22">
        <v>2.1</v>
      </c>
      <c r="I261" s="6">
        <f t="shared" si="4"/>
        <v>562.11750000000006</v>
      </c>
      <c r="J261" s="6" t="s">
        <v>150</v>
      </c>
      <c r="K261" s="17"/>
    </row>
    <row r="262" spans="1:11" ht="13.95" customHeight="1" x14ac:dyDescent="0.3">
      <c r="A262" s="3">
        <v>45918</v>
      </c>
      <c r="B262" s="19" t="s">
        <v>2011</v>
      </c>
      <c r="C262" s="19" t="s">
        <v>8</v>
      </c>
      <c r="D262" s="19" t="s">
        <v>1263</v>
      </c>
      <c r="E262" s="4">
        <v>0.65</v>
      </c>
      <c r="F262" s="42">
        <v>2.4</v>
      </c>
      <c r="G262" s="45">
        <v>249</v>
      </c>
      <c r="H262" s="22">
        <v>2.1</v>
      </c>
      <c r="I262" s="6">
        <f t="shared" si="4"/>
        <v>815.72400000000005</v>
      </c>
      <c r="J262" s="6" t="s">
        <v>1991</v>
      </c>
      <c r="K262" s="17"/>
    </row>
    <row r="263" spans="1:11" ht="13.95" customHeight="1" x14ac:dyDescent="0.3">
      <c r="A263" s="3">
        <v>45919</v>
      </c>
      <c r="B263" s="19" t="s">
        <v>2011</v>
      </c>
      <c r="C263" s="19" t="s">
        <v>11</v>
      </c>
      <c r="D263" s="19" t="s">
        <v>14</v>
      </c>
      <c r="E263" s="4">
        <v>0.7</v>
      </c>
      <c r="F263" s="42">
        <v>2.6</v>
      </c>
      <c r="G263" s="45">
        <v>249</v>
      </c>
      <c r="H263" s="22">
        <v>2.1</v>
      </c>
      <c r="I263" s="6">
        <f t="shared" si="4"/>
        <v>951.67799999999988</v>
      </c>
      <c r="J263" s="6" t="s">
        <v>97</v>
      </c>
      <c r="K263" s="17"/>
    </row>
    <row r="264" spans="1:11" ht="13.95" customHeight="1" x14ac:dyDescent="0.3">
      <c r="A264" s="3">
        <v>45920</v>
      </c>
      <c r="B264" s="19" t="s">
        <v>2011</v>
      </c>
      <c r="C264" s="19" t="s">
        <v>13</v>
      </c>
      <c r="D264" s="19" t="s">
        <v>14</v>
      </c>
      <c r="E264" s="4">
        <v>0.8</v>
      </c>
      <c r="F264" s="42">
        <v>3.45</v>
      </c>
      <c r="G264" s="45">
        <v>249</v>
      </c>
      <c r="H264" s="22">
        <v>2.1</v>
      </c>
      <c r="I264" s="6">
        <f t="shared" si="4"/>
        <v>1443.2040000000004</v>
      </c>
      <c r="J264" s="6" t="s">
        <v>1992</v>
      </c>
      <c r="K264" s="17"/>
    </row>
    <row r="265" spans="1:11" ht="13.95" customHeight="1" x14ac:dyDescent="0.3">
      <c r="A265" s="3">
        <v>45921</v>
      </c>
      <c r="B265" s="19" t="s">
        <v>2011</v>
      </c>
      <c r="C265" s="19" t="s">
        <v>16</v>
      </c>
      <c r="D265" s="19" t="s">
        <v>14</v>
      </c>
      <c r="E265" s="4">
        <v>0.75</v>
      </c>
      <c r="F265" s="42">
        <v>2.9</v>
      </c>
      <c r="G265" s="45">
        <v>249</v>
      </c>
      <c r="H265" s="22">
        <v>2.1</v>
      </c>
      <c r="I265" s="6">
        <f t="shared" si="4"/>
        <v>1137.3074999999999</v>
      </c>
      <c r="J265" s="6" t="s">
        <v>69</v>
      </c>
      <c r="K265" s="17"/>
    </row>
    <row r="266" spans="1:11" ht="13.95" customHeight="1" x14ac:dyDescent="0.3">
      <c r="A266" s="3">
        <v>45922</v>
      </c>
      <c r="B266" s="19" t="s">
        <v>2011</v>
      </c>
      <c r="C266" s="19" t="s">
        <v>18</v>
      </c>
      <c r="D266" s="19" t="s">
        <v>1259</v>
      </c>
      <c r="E266" s="4">
        <v>0.45</v>
      </c>
      <c r="F266" s="42">
        <v>2.1</v>
      </c>
      <c r="G266" s="45">
        <v>249</v>
      </c>
      <c r="H266" s="22">
        <v>2.1</v>
      </c>
      <c r="I266" s="6">
        <f t="shared" si="4"/>
        <v>494.14050000000003</v>
      </c>
      <c r="J266" s="6" t="s">
        <v>1832</v>
      </c>
      <c r="K266" s="17"/>
    </row>
    <row r="267" spans="1:11" ht="13.95" customHeight="1" x14ac:dyDescent="0.3">
      <c r="A267" s="3">
        <v>45923</v>
      </c>
      <c r="B267" s="19" t="s">
        <v>2011</v>
      </c>
      <c r="C267" s="19" t="s">
        <v>20</v>
      </c>
      <c r="D267" s="19" t="s">
        <v>1259</v>
      </c>
      <c r="E267" s="4">
        <v>0.4</v>
      </c>
      <c r="F267" s="42">
        <v>2.0499999999999998</v>
      </c>
      <c r="G267" s="45">
        <v>249</v>
      </c>
      <c r="H267" s="22">
        <v>2.1</v>
      </c>
      <c r="I267" s="6">
        <f t="shared" si="4"/>
        <v>428.77800000000002</v>
      </c>
      <c r="J267" s="6" t="s">
        <v>150</v>
      </c>
      <c r="K267" s="17"/>
    </row>
    <row r="268" spans="1:11" ht="13.95" customHeight="1" x14ac:dyDescent="0.3">
      <c r="A268" s="3">
        <v>45924</v>
      </c>
      <c r="B268" s="19" t="s">
        <v>2011</v>
      </c>
      <c r="C268" s="19" t="s">
        <v>5</v>
      </c>
      <c r="D268" s="19" t="s">
        <v>1259</v>
      </c>
      <c r="E268" s="4">
        <v>0.45</v>
      </c>
      <c r="F268" s="42">
        <v>2.1</v>
      </c>
      <c r="G268" s="45">
        <v>249</v>
      </c>
      <c r="H268" s="22">
        <v>2.1</v>
      </c>
      <c r="I268" s="6">
        <f t="shared" si="4"/>
        <v>494.14050000000003</v>
      </c>
      <c r="J268" s="6" t="s">
        <v>150</v>
      </c>
      <c r="K268" s="17"/>
    </row>
    <row r="269" spans="1:11" ht="13.95" customHeight="1" x14ac:dyDescent="0.3">
      <c r="A269" s="3">
        <v>45925</v>
      </c>
      <c r="B269" s="19" t="s">
        <v>2011</v>
      </c>
      <c r="C269" s="19" t="s">
        <v>8</v>
      </c>
      <c r="D269" s="19" t="s">
        <v>1263</v>
      </c>
      <c r="E269" s="4">
        <v>0.6</v>
      </c>
      <c r="F269" s="42">
        <v>2.35</v>
      </c>
      <c r="G269" s="45">
        <v>249</v>
      </c>
      <c r="H269" s="22">
        <v>2.1</v>
      </c>
      <c r="I269" s="6">
        <f t="shared" si="4"/>
        <v>737.2890000000001</v>
      </c>
      <c r="J269" s="6" t="s">
        <v>1993</v>
      </c>
      <c r="K269" s="17"/>
    </row>
    <row r="270" spans="1:11" ht="13.95" customHeight="1" x14ac:dyDescent="0.3">
      <c r="A270" s="3">
        <v>45926</v>
      </c>
      <c r="B270" s="19" t="s">
        <v>2011</v>
      </c>
      <c r="C270" s="19" t="s">
        <v>11</v>
      </c>
      <c r="D270" s="19" t="s">
        <v>14</v>
      </c>
      <c r="E270" s="4">
        <v>0.65</v>
      </c>
      <c r="F270" s="42">
        <v>2.65</v>
      </c>
      <c r="G270" s="45">
        <v>249</v>
      </c>
      <c r="H270" s="22">
        <v>2.1</v>
      </c>
      <c r="I270" s="6">
        <f t="shared" si="4"/>
        <v>900.69524999999999</v>
      </c>
      <c r="J270" s="6" t="s">
        <v>97</v>
      </c>
      <c r="K270" s="17"/>
    </row>
    <row r="271" spans="1:11" ht="13.95" customHeight="1" x14ac:dyDescent="0.3">
      <c r="A271" s="3">
        <v>45927</v>
      </c>
      <c r="B271" s="19" t="s">
        <v>2011</v>
      </c>
      <c r="C271" s="19" t="s">
        <v>13</v>
      </c>
      <c r="D271" s="19" t="s">
        <v>14</v>
      </c>
      <c r="E271" s="4">
        <v>0.82</v>
      </c>
      <c r="F271" s="42">
        <v>3.4</v>
      </c>
      <c r="G271" s="45">
        <v>249</v>
      </c>
      <c r="H271" s="22">
        <v>2.1</v>
      </c>
      <c r="I271" s="6">
        <f t="shared" si="4"/>
        <v>1457.8451999999997</v>
      </c>
      <c r="J271" s="6" t="s">
        <v>1535</v>
      </c>
      <c r="K271" s="17"/>
    </row>
    <row r="272" spans="1:11" ht="13.95" customHeight="1" x14ac:dyDescent="0.3">
      <c r="A272" s="3">
        <v>45928</v>
      </c>
      <c r="B272" s="19" t="s">
        <v>2011</v>
      </c>
      <c r="C272" s="19" t="s">
        <v>16</v>
      </c>
      <c r="D272" s="19" t="s">
        <v>14</v>
      </c>
      <c r="E272" s="4">
        <v>0.75</v>
      </c>
      <c r="F272" s="42">
        <v>2.9</v>
      </c>
      <c r="G272" s="45">
        <v>249</v>
      </c>
      <c r="H272" s="22">
        <v>2.1</v>
      </c>
      <c r="I272" s="6">
        <f t="shared" si="4"/>
        <v>1137.3074999999999</v>
      </c>
      <c r="J272" s="6" t="s">
        <v>69</v>
      </c>
      <c r="K272" s="17"/>
    </row>
    <row r="273" spans="1:11" ht="13.95" customHeight="1" x14ac:dyDescent="0.3">
      <c r="A273" s="3">
        <v>45929</v>
      </c>
      <c r="B273" s="19" t="s">
        <v>2011</v>
      </c>
      <c r="C273" s="19" t="s">
        <v>18</v>
      </c>
      <c r="D273" s="19" t="s">
        <v>1259</v>
      </c>
      <c r="E273" s="4">
        <v>0.45</v>
      </c>
      <c r="F273" s="42">
        <v>2.0499999999999998</v>
      </c>
      <c r="G273" s="45">
        <v>249</v>
      </c>
      <c r="H273" s="22">
        <v>2.1</v>
      </c>
      <c r="I273" s="6">
        <f t="shared" si="4"/>
        <v>482.37524999999999</v>
      </c>
      <c r="J273" s="6" t="s">
        <v>99</v>
      </c>
      <c r="K273" s="17"/>
    </row>
    <row r="274" spans="1:11" ht="13.95" customHeight="1" x14ac:dyDescent="0.3">
      <c r="A274" s="3">
        <v>45930</v>
      </c>
      <c r="B274" s="19" t="s">
        <v>2011</v>
      </c>
      <c r="C274" s="19" t="s">
        <v>20</v>
      </c>
      <c r="D274" s="19" t="s">
        <v>1259</v>
      </c>
      <c r="E274" s="4">
        <v>0.48</v>
      </c>
      <c r="F274" s="42">
        <v>2.1</v>
      </c>
      <c r="G274" s="45">
        <v>249</v>
      </c>
      <c r="H274" s="22">
        <v>2.1</v>
      </c>
      <c r="I274" s="6">
        <f t="shared" si="4"/>
        <v>527.08320000000003</v>
      </c>
      <c r="J274" s="6" t="s">
        <v>70</v>
      </c>
      <c r="K274" s="17"/>
    </row>
    <row r="275" spans="1:11" ht="13.95" customHeight="1" x14ac:dyDescent="0.3">
      <c r="A275" s="3">
        <v>45931</v>
      </c>
      <c r="B275" s="19" t="s">
        <v>2011</v>
      </c>
      <c r="C275" s="19" t="s">
        <v>5</v>
      </c>
      <c r="D275" s="19" t="s">
        <v>1259</v>
      </c>
      <c r="E275" s="4">
        <v>0.55000000000000004</v>
      </c>
      <c r="F275" s="42">
        <v>2.15</v>
      </c>
      <c r="G275" s="45">
        <v>249</v>
      </c>
      <c r="H275" s="22">
        <v>2.1</v>
      </c>
      <c r="I275" s="6">
        <f t="shared" si="4"/>
        <v>618.32925000000012</v>
      </c>
      <c r="J275" s="6" t="s">
        <v>1994</v>
      </c>
      <c r="K275" s="17"/>
    </row>
    <row r="276" spans="1:11" ht="13.95" customHeight="1" x14ac:dyDescent="0.3">
      <c r="A276" s="3">
        <v>45932</v>
      </c>
      <c r="B276" s="19" t="s">
        <v>2011</v>
      </c>
      <c r="C276" s="19" t="s">
        <v>8</v>
      </c>
      <c r="D276" s="19" t="s">
        <v>1263</v>
      </c>
      <c r="E276" s="4">
        <v>0.7</v>
      </c>
      <c r="F276" s="42">
        <v>2.4</v>
      </c>
      <c r="G276" s="45">
        <v>249</v>
      </c>
      <c r="H276" s="22">
        <v>2.1</v>
      </c>
      <c r="I276" s="6">
        <f t="shared" si="4"/>
        <v>878.47199999999987</v>
      </c>
      <c r="J276" s="6" t="s">
        <v>1814</v>
      </c>
      <c r="K276" s="17"/>
    </row>
    <row r="277" spans="1:11" ht="13.95" customHeight="1" x14ac:dyDescent="0.3">
      <c r="A277" s="3">
        <v>45933</v>
      </c>
      <c r="B277" s="19" t="s">
        <v>2011</v>
      </c>
      <c r="C277" s="19" t="s">
        <v>11</v>
      </c>
      <c r="D277" s="19" t="s">
        <v>14</v>
      </c>
      <c r="E277" s="4">
        <v>0.75</v>
      </c>
      <c r="F277" s="42">
        <v>2.6</v>
      </c>
      <c r="G277" s="45">
        <v>249</v>
      </c>
      <c r="H277" s="22">
        <v>2.1</v>
      </c>
      <c r="I277" s="6">
        <f t="shared" si="4"/>
        <v>1019.6550000000001</v>
      </c>
      <c r="J277" s="6" t="s">
        <v>390</v>
      </c>
      <c r="K277" s="17"/>
    </row>
    <row r="278" spans="1:11" ht="13.95" customHeight="1" x14ac:dyDescent="0.3">
      <c r="A278" s="3">
        <v>45934</v>
      </c>
      <c r="B278" s="19" t="s">
        <v>2011</v>
      </c>
      <c r="C278" s="19" t="s">
        <v>13</v>
      </c>
      <c r="D278" s="19" t="s">
        <v>14</v>
      </c>
      <c r="E278" s="4">
        <v>0.9</v>
      </c>
      <c r="F278" s="42">
        <v>3.45</v>
      </c>
      <c r="G278" s="45">
        <v>249</v>
      </c>
      <c r="H278" s="22">
        <v>2.1</v>
      </c>
      <c r="I278" s="6">
        <f t="shared" si="4"/>
        <v>1623.6045000000001</v>
      </c>
      <c r="J278" s="6" t="s">
        <v>1525</v>
      </c>
      <c r="K278" s="17"/>
    </row>
    <row r="279" spans="1:11" ht="13.95" customHeight="1" x14ac:dyDescent="0.3">
      <c r="A279" s="3">
        <v>45935</v>
      </c>
      <c r="B279" s="19" t="s">
        <v>2011</v>
      </c>
      <c r="C279" s="19" t="s">
        <v>16</v>
      </c>
      <c r="D279" s="19" t="s">
        <v>14</v>
      </c>
      <c r="E279" s="4">
        <v>0.8</v>
      </c>
      <c r="F279" s="42">
        <v>2.85</v>
      </c>
      <c r="G279" s="45">
        <v>249</v>
      </c>
      <c r="H279" s="22">
        <v>2.1</v>
      </c>
      <c r="I279" s="6">
        <f t="shared" si="4"/>
        <v>1192.2120000000002</v>
      </c>
      <c r="J279" s="6" t="s">
        <v>238</v>
      </c>
      <c r="K279" s="17"/>
    </row>
    <row r="280" spans="1:11" ht="13.95" customHeight="1" x14ac:dyDescent="0.3">
      <c r="A280" s="3">
        <v>45936</v>
      </c>
      <c r="B280" s="19" t="s">
        <v>2011</v>
      </c>
      <c r="C280" s="19" t="s">
        <v>18</v>
      </c>
      <c r="D280" s="19" t="s">
        <v>1259</v>
      </c>
      <c r="E280" s="4">
        <v>0.5</v>
      </c>
      <c r="F280" s="42">
        <v>2.1</v>
      </c>
      <c r="G280" s="45">
        <v>249</v>
      </c>
      <c r="H280" s="22">
        <v>2.1</v>
      </c>
      <c r="I280" s="6">
        <f t="shared" si="4"/>
        <v>549.04499999999996</v>
      </c>
      <c r="J280" s="6" t="s">
        <v>150</v>
      </c>
      <c r="K280" s="17"/>
    </row>
    <row r="281" spans="1:11" ht="13.95" customHeight="1" x14ac:dyDescent="0.3">
      <c r="A281" s="3">
        <v>45937</v>
      </c>
      <c r="B281" s="19" t="s">
        <v>2011</v>
      </c>
      <c r="C281" s="19" t="s">
        <v>20</v>
      </c>
      <c r="D281" s="19" t="s">
        <v>1259</v>
      </c>
      <c r="E281" s="4">
        <v>0.45</v>
      </c>
      <c r="F281" s="42">
        <v>2.0499999999999998</v>
      </c>
      <c r="G281" s="45">
        <v>249</v>
      </c>
      <c r="H281" s="22">
        <v>2.1</v>
      </c>
      <c r="I281" s="6">
        <f t="shared" si="4"/>
        <v>482.37524999999999</v>
      </c>
      <c r="J281" s="6" t="s">
        <v>150</v>
      </c>
      <c r="K281" s="17"/>
    </row>
    <row r="282" spans="1:11" ht="13.95" customHeight="1" x14ac:dyDescent="0.3">
      <c r="A282" s="3">
        <v>45938</v>
      </c>
      <c r="B282" s="19" t="s">
        <v>2011</v>
      </c>
      <c r="C282" s="19" t="s">
        <v>5</v>
      </c>
      <c r="D282" s="19" t="s">
        <v>1259</v>
      </c>
      <c r="E282" s="4">
        <v>0.5</v>
      </c>
      <c r="F282" s="42">
        <v>2.1</v>
      </c>
      <c r="G282" s="45">
        <v>249</v>
      </c>
      <c r="H282" s="22">
        <v>2.1</v>
      </c>
      <c r="I282" s="6">
        <f t="shared" si="4"/>
        <v>549.04499999999996</v>
      </c>
      <c r="J282" s="6" t="s">
        <v>150</v>
      </c>
      <c r="K282" s="17"/>
    </row>
    <row r="283" spans="1:11" ht="13.95" customHeight="1" x14ac:dyDescent="0.3">
      <c r="A283" s="3">
        <v>45939</v>
      </c>
      <c r="B283" s="19" t="s">
        <v>2011</v>
      </c>
      <c r="C283" s="19" t="s">
        <v>8</v>
      </c>
      <c r="D283" s="19" t="s">
        <v>1263</v>
      </c>
      <c r="E283" s="4">
        <v>0.75</v>
      </c>
      <c r="F283" s="42">
        <v>2.4500000000000002</v>
      </c>
      <c r="G283" s="45">
        <v>249</v>
      </c>
      <c r="H283" s="22">
        <v>2.1</v>
      </c>
      <c r="I283" s="6">
        <f t="shared" si="4"/>
        <v>960.82875000000013</v>
      </c>
      <c r="J283" s="6" t="s">
        <v>1995</v>
      </c>
      <c r="K283" s="17"/>
    </row>
    <row r="284" spans="1:11" ht="13.95" customHeight="1" x14ac:dyDescent="0.3">
      <c r="A284" s="3">
        <v>45940</v>
      </c>
      <c r="B284" s="19" t="s">
        <v>2011</v>
      </c>
      <c r="C284" s="19" t="s">
        <v>11</v>
      </c>
      <c r="D284" s="19" t="s">
        <v>14</v>
      </c>
      <c r="E284" s="4">
        <v>0.75</v>
      </c>
      <c r="F284" s="42">
        <v>2.65</v>
      </c>
      <c r="G284" s="45">
        <v>249</v>
      </c>
      <c r="H284" s="22">
        <v>2.1</v>
      </c>
      <c r="I284" s="6">
        <f t="shared" si="4"/>
        <v>1039.2637500000001</v>
      </c>
      <c r="J284" s="6" t="s">
        <v>97</v>
      </c>
      <c r="K284" s="17"/>
    </row>
    <row r="285" spans="1:11" ht="13.95" customHeight="1" x14ac:dyDescent="0.3">
      <c r="A285" s="3">
        <v>45941</v>
      </c>
      <c r="B285" s="19" t="s">
        <v>2011</v>
      </c>
      <c r="C285" s="19" t="s">
        <v>13</v>
      </c>
      <c r="D285" s="19" t="s">
        <v>14</v>
      </c>
      <c r="E285" s="4">
        <v>0.95</v>
      </c>
      <c r="F285" s="42">
        <v>3.55</v>
      </c>
      <c r="G285" s="45">
        <v>249</v>
      </c>
      <c r="H285" s="22">
        <v>2.1</v>
      </c>
      <c r="I285" s="6">
        <f t="shared" si="4"/>
        <v>1763.4802499999998</v>
      </c>
      <c r="J285" s="6" t="s">
        <v>1996</v>
      </c>
      <c r="K285" s="17"/>
    </row>
    <row r="286" spans="1:11" ht="13.95" customHeight="1" x14ac:dyDescent="0.3">
      <c r="A286" s="3">
        <v>45942</v>
      </c>
      <c r="B286" s="19" t="s">
        <v>2011</v>
      </c>
      <c r="C286" s="19" t="s">
        <v>16</v>
      </c>
      <c r="D286" s="19" t="s">
        <v>14</v>
      </c>
      <c r="E286" s="4">
        <v>0.85</v>
      </c>
      <c r="F286" s="42">
        <v>2.9</v>
      </c>
      <c r="G286" s="45">
        <v>249</v>
      </c>
      <c r="H286" s="22">
        <v>2.1</v>
      </c>
      <c r="I286" s="6">
        <f t="shared" si="4"/>
        <v>1288.9485</v>
      </c>
      <c r="J286" s="6" t="s">
        <v>69</v>
      </c>
      <c r="K286" s="17"/>
    </row>
    <row r="287" spans="1:11" ht="13.95" customHeight="1" x14ac:dyDescent="0.3">
      <c r="A287" s="3">
        <v>45943</v>
      </c>
      <c r="B287" s="19" t="s">
        <v>2011</v>
      </c>
      <c r="C287" s="19" t="s">
        <v>18</v>
      </c>
      <c r="D287" s="19" t="s">
        <v>1259</v>
      </c>
      <c r="E287" s="4">
        <v>0.55000000000000004</v>
      </c>
      <c r="F287" s="42">
        <v>2.15</v>
      </c>
      <c r="G287" s="45">
        <v>249</v>
      </c>
      <c r="H287" s="22">
        <v>2.1</v>
      </c>
      <c r="I287" s="6">
        <f t="shared" si="4"/>
        <v>618.32925000000012</v>
      </c>
      <c r="J287" s="6" t="s">
        <v>70</v>
      </c>
      <c r="K287" s="17"/>
    </row>
    <row r="288" spans="1:11" ht="13.95" customHeight="1" x14ac:dyDescent="0.3">
      <c r="A288" s="3">
        <v>45944</v>
      </c>
      <c r="B288" s="19" t="s">
        <v>2011</v>
      </c>
      <c r="C288" s="19" t="s">
        <v>20</v>
      </c>
      <c r="D288" s="19" t="s">
        <v>994</v>
      </c>
      <c r="E288" s="4">
        <v>0.7</v>
      </c>
      <c r="F288" s="42">
        <v>2.35</v>
      </c>
      <c r="G288" s="45">
        <v>249</v>
      </c>
      <c r="H288" s="22">
        <v>2.1</v>
      </c>
      <c r="I288" s="6">
        <f t="shared" si="4"/>
        <v>860.17049999999995</v>
      </c>
      <c r="J288" s="6" t="s">
        <v>1706</v>
      </c>
      <c r="K288" s="17"/>
    </row>
    <row r="289" spans="1:11" ht="13.95" customHeight="1" x14ac:dyDescent="0.3">
      <c r="A289" s="3">
        <v>45945</v>
      </c>
      <c r="B289" s="19" t="s">
        <v>2011</v>
      </c>
      <c r="C289" s="19" t="s">
        <v>5</v>
      </c>
      <c r="D289" s="19" t="s">
        <v>865</v>
      </c>
      <c r="E289" s="4">
        <v>0.85</v>
      </c>
      <c r="F289" s="42">
        <v>2.8</v>
      </c>
      <c r="G289" s="45">
        <v>249</v>
      </c>
      <c r="H289" s="22">
        <v>2.1</v>
      </c>
      <c r="I289" s="6">
        <f t="shared" si="4"/>
        <v>1244.502</v>
      </c>
      <c r="J289" s="6" t="s">
        <v>1928</v>
      </c>
      <c r="K289" s="17"/>
    </row>
    <row r="290" spans="1:11" ht="13.95" customHeight="1" x14ac:dyDescent="0.3">
      <c r="A290" s="3">
        <v>45946</v>
      </c>
      <c r="B290" s="19" t="s">
        <v>2011</v>
      </c>
      <c r="C290" s="19" t="s">
        <v>8</v>
      </c>
      <c r="D290" s="19" t="s">
        <v>1817</v>
      </c>
      <c r="E290" s="4">
        <v>0.6</v>
      </c>
      <c r="F290" s="42">
        <v>2.2000000000000002</v>
      </c>
      <c r="G290" s="45">
        <v>249</v>
      </c>
      <c r="H290" s="22">
        <v>2.1</v>
      </c>
      <c r="I290" s="6">
        <f t="shared" si="4"/>
        <v>690.22800000000018</v>
      </c>
      <c r="J290" s="6" t="s">
        <v>150</v>
      </c>
      <c r="K290" s="17"/>
    </row>
    <row r="291" spans="1:11" ht="13.95" customHeight="1" x14ac:dyDescent="0.3">
      <c r="A291" s="3">
        <v>45947</v>
      </c>
      <c r="B291" s="19" t="s">
        <v>2011</v>
      </c>
      <c r="C291" s="19" t="s">
        <v>11</v>
      </c>
      <c r="D291" s="19" t="s">
        <v>1434</v>
      </c>
      <c r="E291" s="4">
        <v>0.75</v>
      </c>
      <c r="F291" s="42">
        <v>2.5499999999999998</v>
      </c>
      <c r="G291" s="45">
        <v>249</v>
      </c>
      <c r="H291" s="22">
        <v>2.1</v>
      </c>
      <c r="I291" s="6">
        <f t="shared" si="4"/>
        <v>1000.04625</v>
      </c>
      <c r="J291" s="6" t="s">
        <v>1818</v>
      </c>
      <c r="K291" s="17"/>
    </row>
    <row r="292" spans="1:11" ht="13.95" customHeight="1" x14ac:dyDescent="0.3">
      <c r="A292" s="3">
        <v>45948</v>
      </c>
      <c r="B292" s="19" t="s">
        <v>2011</v>
      </c>
      <c r="C292" s="19" t="s">
        <v>13</v>
      </c>
      <c r="D292" s="19" t="s">
        <v>1434</v>
      </c>
      <c r="E292" s="4">
        <v>0.95</v>
      </c>
      <c r="F292" s="42">
        <v>3.3</v>
      </c>
      <c r="G292" s="45">
        <v>249</v>
      </c>
      <c r="H292" s="22">
        <v>2.1</v>
      </c>
      <c r="I292" s="6">
        <f t="shared" si="4"/>
        <v>1639.2914999999998</v>
      </c>
      <c r="J292" s="6" t="s">
        <v>1691</v>
      </c>
      <c r="K292" s="17"/>
    </row>
    <row r="293" spans="1:11" ht="13.95" customHeight="1" x14ac:dyDescent="0.3">
      <c r="A293" s="3">
        <v>45949</v>
      </c>
      <c r="B293" s="19" t="s">
        <v>2011</v>
      </c>
      <c r="C293" s="19" t="s">
        <v>16</v>
      </c>
      <c r="D293" s="19" t="s">
        <v>1434</v>
      </c>
      <c r="E293" s="4">
        <v>0.9</v>
      </c>
      <c r="F293" s="42">
        <v>2.85</v>
      </c>
      <c r="G293" s="45">
        <v>249</v>
      </c>
      <c r="H293" s="22">
        <v>2.1</v>
      </c>
      <c r="I293" s="6">
        <f t="shared" si="4"/>
        <v>1341.2385000000002</v>
      </c>
      <c r="J293" s="6" t="s">
        <v>1911</v>
      </c>
      <c r="K293" s="17"/>
    </row>
    <row r="294" spans="1:11" ht="13.95" customHeight="1" x14ac:dyDescent="0.3">
      <c r="A294" s="3">
        <v>45950</v>
      </c>
      <c r="B294" s="19" t="s">
        <v>2011</v>
      </c>
      <c r="C294" s="19" t="s">
        <v>18</v>
      </c>
      <c r="D294" s="19" t="s">
        <v>1434</v>
      </c>
      <c r="E294" s="4">
        <v>0.85</v>
      </c>
      <c r="F294" s="42">
        <v>2.5499999999999998</v>
      </c>
      <c r="G294" s="45">
        <v>249</v>
      </c>
      <c r="H294" s="22">
        <v>2.1</v>
      </c>
      <c r="I294" s="6">
        <f t="shared" si="4"/>
        <v>1133.3857499999999</v>
      </c>
      <c r="J294" s="6" t="s">
        <v>1997</v>
      </c>
      <c r="K294" s="17"/>
    </row>
    <row r="295" spans="1:11" ht="13.95" customHeight="1" x14ac:dyDescent="0.3">
      <c r="A295" s="3">
        <v>45951</v>
      </c>
      <c r="B295" s="19" t="s">
        <v>2011</v>
      </c>
      <c r="C295" s="19" t="s">
        <v>20</v>
      </c>
      <c r="D295" s="19" t="s">
        <v>1434</v>
      </c>
      <c r="E295" s="4">
        <v>0.85</v>
      </c>
      <c r="F295" s="42">
        <v>2.5</v>
      </c>
      <c r="G295" s="45">
        <v>249</v>
      </c>
      <c r="H295" s="22">
        <v>2.1</v>
      </c>
      <c r="I295" s="6">
        <f t="shared" si="4"/>
        <v>1111.1625000000001</v>
      </c>
      <c r="J295" s="6" t="s">
        <v>717</v>
      </c>
      <c r="K295" s="17"/>
    </row>
    <row r="296" spans="1:11" ht="13.95" customHeight="1" x14ac:dyDescent="0.3">
      <c r="A296" s="3">
        <v>45952</v>
      </c>
      <c r="B296" s="19" t="s">
        <v>2011</v>
      </c>
      <c r="C296" s="19" t="s">
        <v>5</v>
      </c>
      <c r="D296" s="19" t="s">
        <v>1434</v>
      </c>
      <c r="E296" s="4">
        <v>0.85</v>
      </c>
      <c r="F296" s="42">
        <v>2.5</v>
      </c>
      <c r="G296" s="45">
        <v>249</v>
      </c>
      <c r="H296" s="22">
        <v>2.1</v>
      </c>
      <c r="I296" s="6">
        <f t="shared" si="4"/>
        <v>1111.1625000000001</v>
      </c>
      <c r="J296" s="6" t="s">
        <v>717</v>
      </c>
      <c r="K296" s="17"/>
    </row>
    <row r="297" spans="1:11" ht="13.95" customHeight="1" x14ac:dyDescent="0.3">
      <c r="A297" s="3">
        <v>45953</v>
      </c>
      <c r="B297" s="19" t="s">
        <v>2011</v>
      </c>
      <c r="C297" s="19" t="s">
        <v>8</v>
      </c>
      <c r="D297" s="19" t="s">
        <v>1263</v>
      </c>
      <c r="E297" s="4">
        <v>0.8</v>
      </c>
      <c r="F297" s="42">
        <v>2.5499999999999998</v>
      </c>
      <c r="G297" s="45">
        <v>249</v>
      </c>
      <c r="H297" s="22">
        <v>2.1</v>
      </c>
      <c r="I297" s="6">
        <f t="shared" si="4"/>
        <v>1066.7160000000001</v>
      </c>
      <c r="J297" s="6" t="s">
        <v>1998</v>
      </c>
      <c r="K297" s="17"/>
    </row>
    <row r="298" spans="1:11" ht="13.95" customHeight="1" x14ac:dyDescent="0.3">
      <c r="A298" s="3">
        <v>45954</v>
      </c>
      <c r="B298" s="19" t="s">
        <v>2011</v>
      </c>
      <c r="C298" s="19" t="s">
        <v>11</v>
      </c>
      <c r="D298" s="19" t="s">
        <v>14</v>
      </c>
      <c r="E298" s="4">
        <v>0.9</v>
      </c>
      <c r="F298" s="42">
        <v>2.8</v>
      </c>
      <c r="G298" s="45">
        <v>249</v>
      </c>
      <c r="H298" s="22">
        <v>2.1</v>
      </c>
      <c r="I298" s="6">
        <f t="shared" si="4"/>
        <v>1317.7079999999999</v>
      </c>
      <c r="J298" s="6" t="s">
        <v>1369</v>
      </c>
      <c r="K298" s="17"/>
    </row>
    <row r="299" spans="1:11" ht="13.95" customHeight="1" x14ac:dyDescent="0.3">
      <c r="A299" s="3">
        <v>45955</v>
      </c>
      <c r="B299" s="19" t="s">
        <v>2011</v>
      </c>
      <c r="C299" s="19" t="s">
        <v>13</v>
      </c>
      <c r="D299" s="19" t="s">
        <v>14</v>
      </c>
      <c r="E299" s="4">
        <v>1</v>
      </c>
      <c r="F299" s="42">
        <v>3.6</v>
      </c>
      <c r="G299" s="45">
        <v>249</v>
      </c>
      <c r="H299" s="22">
        <v>2.1</v>
      </c>
      <c r="I299" s="6">
        <f t="shared" si="4"/>
        <v>1882.44</v>
      </c>
      <c r="J299" s="6" t="s">
        <v>1531</v>
      </c>
      <c r="K299" s="17"/>
    </row>
    <row r="300" spans="1:11" ht="13.95" customHeight="1" x14ac:dyDescent="0.3">
      <c r="A300" s="3">
        <v>45956</v>
      </c>
      <c r="B300" s="19" t="s">
        <v>2011</v>
      </c>
      <c r="C300" s="19" t="s">
        <v>16</v>
      </c>
      <c r="D300" s="19" t="s">
        <v>14</v>
      </c>
      <c r="E300" s="4">
        <v>0.95</v>
      </c>
      <c r="F300" s="42">
        <v>3.05</v>
      </c>
      <c r="G300" s="45">
        <v>249</v>
      </c>
      <c r="H300" s="22">
        <v>2.1</v>
      </c>
      <c r="I300" s="6">
        <f t="shared" si="4"/>
        <v>1515.1027499999998</v>
      </c>
      <c r="J300" s="6" t="s">
        <v>69</v>
      </c>
      <c r="K300" s="17"/>
    </row>
    <row r="301" spans="1:11" ht="13.95" customHeight="1" x14ac:dyDescent="0.3">
      <c r="A301" s="3">
        <v>45957</v>
      </c>
      <c r="B301" s="19" t="s">
        <v>2011</v>
      </c>
      <c r="C301" s="19" t="s">
        <v>18</v>
      </c>
      <c r="D301" s="19" t="s">
        <v>1259</v>
      </c>
      <c r="E301" s="4">
        <v>0.6</v>
      </c>
      <c r="F301" s="42">
        <v>2.2000000000000002</v>
      </c>
      <c r="G301" s="45">
        <v>249</v>
      </c>
      <c r="H301" s="22">
        <v>2.1</v>
      </c>
      <c r="I301" s="6">
        <f t="shared" si="4"/>
        <v>690.22800000000018</v>
      </c>
      <c r="J301" s="6" t="s">
        <v>1840</v>
      </c>
      <c r="K301" s="17"/>
    </row>
    <row r="302" spans="1:11" ht="13.95" customHeight="1" x14ac:dyDescent="0.3">
      <c r="A302" s="3">
        <v>45958</v>
      </c>
      <c r="B302" s="19" t="s">
        <v>2011</v>
      </c>
      <c r="C302" s="19" t="s">
        <v>20</v>
      </c>
      <c r="D302" s="19" t="s">
        <v>1259</v>
      </c>
      <c r="E302" s="4">
        <v>0.55000000000000004</v>
      </c>
      <c r="F302" s="42">
        <v>2.1</v>
      </c>
      <c r="G302" s="45">
        <v>249</v>
      </c>
      <c r="H302" s="22">
        <v>2.1</v>
      </c>
      <c r="I302" s="6">
        <f t="shared" si="4"/>
        <v>603.94950000000006</v>
      </c>
      <c r="J302" s="6" t="s">
        <v>150</v>
      </c>
      <c r="K302" s="17"/>
    </row>
    <row r="303" spans="1:11" ht="13.95" customHeight="1" x14ac:dyDescent="0.3">
      <c r="A303" s="3">
        <v>45959</v>
      </c>
      <c r="B303" s="19" t="s">
        <v>2011</v>
      </c>
      <c r="C303" s="19" t="s">
        <v>5</v>
      </c>
      <c r="D303" s="19" t="s">
        <v>1259</v>
      </c>
      <c r="E303" s="4">
        <v>0.5</v>
      </c>
      <c r="F303" s="42">
        <v>2.1</v>
      </c>
      <c r="G303" s="45">
        <v>249</v>
      </c>
      <c r="H303" s="22">
        <v>2.1</v>
      </c>
      <c r="I303" s="6">
        <f t="shared" si="4"/>
        <v>549.04499999999996</v>
      </c>
      <c r="J303" s="6" t="s">
        <v>150</v>
      </c>
      <c r="K303" s="17"/>
    </row>
    <row r="304" spans="1:11" ht="13.95" customHeight="1" x14ac:dyDescent="0.3">
      <c r="A304" s="3">
        <v>45960</v>
      </c>
      <c r="B304" s="19" t="s">
        <v>2011</v>
      </c>
      <c r="C304" s="19" t="s">
        <v>8</v>
      </c>
      <c r="D304" s="19" t="s">
        <v>1820</v>
      </c>
      <c r="E304" s="4">
        <v>0.65</v>
      </c>
      <c r="F304" s="42">
        <v>2.2999999999999998</v>
      </c>
      <c r="G304" s="45">
        <v>249</v>
      </c>
      <c r="H304" s="22">
        <v>2.1</v>
      </c>
      <c r="I304" s="6">
        <f t="shared" si="4"/>
        <v>781.73549999999989</v>
      </c>
      <c r="J304" s="6" t="s">
        <v>1821</v>
      </c>
      <c r="K304" s="17"/>
    </row>
    <row r="305" spans="1:11" ht="13.95" customHeight="1" x14ac:dyDescent="0.3">
      <c r="A305" s="3">
        <v>45961</v>
      </c>
      <c r="B305" s="19" t="s">
        <v>2011</v>
      </c>
      <c r="C305" s="19" t="s">
        <v>11</v>
      </c>
      <c r="D305" s="19" t="s">
        <v>867</v>
      </c>
      <c r="E305" s="4">
        <v>0.85</v>
      </c>
      <c r="F305" s="42">
        <v>3.1</v>
      </c>
      <c r="G305" s="45">
        <v>249</v>
      </c>
      <c r="H305" s="22">
        <v>2.1</v>
      </c>
      <c r="I305" s="6">
        <f t="shared" si="4"/>
        <v>1377.8415</v>
      </c>
      <c r="J305" s="6" t="s">
        <v>1554</v>
      </c>
      <c r="K305" s="17"/>
    </row>
    <row r="306" spans="1:11" ht="13.95" customHeight="1" x14ac:dyDescent="0.3">
      <c r="A306" s="3">
        <v>45962</v>
      </c>
      <c r="B306" s="19" t="s">
        <v>2011</v>
      </c>
      <c r="C306" s="19" t="s">
        <v>13</v>
      </c>
      <c r="D306" s="19" t="s">
        <v>1619</v>
      </c>
      <c r="E306" s="4">
        <v>0.7</v>
      </c>
      <c r="F306" s="42">
        <v>2.7</v>
      </c>
      <c r="G306" s="45">
        <v>249</v>
      </c>
      <c r="H306" s="22">
        <v>2</v>
      </c>
      <c r="I306" s="6">
        <f t="shared" si="4"/>
        <v>941.21999999999991</v>
      </c>
      <c r="J306" s="6" t="s">
        <v>1620</v>
      </c>
      <c r="K306" s="17"/>
    </row>
    <row r="307" spans="1:11" ht="13.95" customHeight="1" x14ac:dyDescent="0.3">
      <c r="A307" s="3">
        <v>45963</v>
      </c>
      <c r="B307" s="19" t="s">
        <v>2011</v>
      </c>
      <c r="C307" s="19" t="s">
        <v>16</v>
      </c>
      <c r="D307" s="19" t="s">
        <v>14</v>
      </c>
      <c r="E307" s="4">
        <v>0.55000000000000004</v>
      </c>
      <c r="F307" s="42">
        <v>2.35</v>
      </c>
      <c r="G307" s="45">
        <v>249</v>
      </c>
      <c r="H307" s="22">
        <v>2</v>
      </c>
      <c r="I307" s="6">
        <f t="shared" si="4"/>
        <v>643.66500000000008</v>
      </c>
      <c r="J307" s="6" t="s">
        <v>1999</v>
      </c>
      <c r="K307" s="17"/>
    </row>
    <row r="308" spans="1:11" ht="13.95" customHeight="1" x14ac:dyDescent="0.3">
      <c r="A308" s="3">
        <v>45964</v>
      </c>
      <c r="B308" s="19" t="s">
        <v>2011</v>
      </c>
      <c r="C308" s="19" t="s">
        <v>18</v>
      </c>
      <c r="D308" s="19" t="s">
        <v>1259</v>
      </c>
      <c r="E308" s="4">
        <v>0.4</v>
      </c>
      <c r="F308" s="42">
        <v>2</v>
      </c>
      <c r="G308" s="45">
        <v>249</v>
      </c>
      <c r="H308" s="22">
        <v>2</v>
      </c>
      <c r="I308" s="6">
        <f t="shared" si="4"/>
        <v>398.40000000000003</v>
      </c>
      <c r="J308" s="6" t="s">
        <v>1994</v>
      </c>
      <c r="K308" s="17"/>
    </row>
    <row r="309" spans="1:11" ht="13.95" customHeight="1" x14ac:dyDescent="0.3">
      <c r="A309" s="3">
        <v>45965</v>
      </c>
      <c r="B309" s="19" t="s">
        <v>2011</v>
      </c>
      <c r="C309" s="19" t="s">
        <v>20</v>
      </c>
      <c r="D309" s="19" t="s">
        <v>1925</v>
      </c>
      <c r="E309" s="4">
        <v>0.65</v>
      </c>
      <c r="F309" s="42">
        <v>2.25</v>
      </c>
      <c r="G309" s="45">
        <v>249</v>
      </c>
      <c r="H309" s="22">
        <v>2</v>
      </c>
      <c r="I309" s="6">
        <f t="shared" si="4"/>
        <v>728.32499999999993</v>
      </c>
      <c r="J309" s="6" t="s">
        <v>2000</v>
      </c>
      <c r="K309" s="17"/>
    </row>
    <row r="310" spans="1:11" ht="13.95" customHeight="1" x14ac:dyDescent="0.3">
      <c r="A310" s="3">
        <v>45966</v>
      </c>
      <c r="B310" s="19" t="s">
        <v>2011</v>
      </c>
      <c r="C310" s="19" t="s">
        <v>5</v>
      </c>
      <c r="D310" s="19" t="s">
        <v>1925</v>
      </c>
      <c r="E310" s="4">
        <v>0.7</v>
      </c>
      <c r="F310" s="42">
        <v>2.25</v>
      </c>
      <c r="G310" s="45">
        <v>249</v>
      </c>
      <c r="H310" s="22">
        <v>2</v>
      </c>
      <c r="I310" s="6">
        <f t="shared" si="4"/>
        <v>784.34999999999991</v>
      </c>
      <c r="J310" s="6" t="s">
        <v>2000</v>
      </c>
      <c r="K310" s="17"/>
    </row>
    <row r="311" spans="1:11" ht="13.95" customHeight="1" x14ac:dyDescent="0.3">
      <c r="A311" s="3">
        <v>45967</v>
      </c>
      <c r="B311" s="19" t="s">
        <v>2011</v>
      </c>
      <c r="C311" s="19" t="s">
        <v>8</v>
      </c>
      <c r="D311" s="19" t="s">
        <v>1925</v>
      </c>
      <c r="E311" s="4">
        <v>0.65</v>
      </c>
      <c r="F311" s="42">
        <v>2.2999999999999998</v>
      </c>
      <c r="G311" s="45">
        <v>249</v>
      </c>
      <c r="H311" s="22">
        <v>2</v>
      </c>
      <c r="I311" s="6">
        <f t="shared" si="4"/>
        <v>744.50999999999988</v>
      </c>
      <c r="J311" s="6" t="s">
        <v>1377</v>
      </c>
      <c r="K311" s="17"/>
    </row>
    <row r="312" spans="1:11" ht="13.95" customHeight="1" x14ac:dyDescent="0.3">
      <c r="A312" s="3">
        <v>45968</v>
      </c>
      <c r="B312" s="19" t="s">
        <v>2011</v>
      </c>
      <c r="C312" s="19" t="s">
        <v>11</v>
      </c>
      <c r="D312" s="19" t="s">
        <v>14</v>
      </c>
      <c r="E312" s="4">
        <v>0.6</v>
      </c>
      <c r="F312" s="42">
        <v>2.4500000000000002</v>
      </c>
      <c r="G312" s="45">
        <v>249</v>
      </c>
      <c r="H312" s="22">
        <v>2</v>
      </c>
      <c r="I312" s="6">
        <f t="shared" si="4"/>
        <v>732.06000000000006</v>
      </c>
      <c r="J312" s="6" t="s">
        <v>390</v>
      </c>
      <c r="K312" s="17"/>
    </row>
    <row r="313" spans="1:11" ht="13.95" customHeight="1" x14ac:dyDescent="0.3">
      <c r="A313" s="3">
        <v>45969</v>
      </c>
      <c r="B313" s="19" t="s">
        <v>2011</v>
      </c>
      <c r="C313" s="19" t="s">
        <v>13</v>
      </c>
      <c r="D313" s="19" t="s">
        <v>14</v>
      </c>
      <c r="E313" s="4">
        <v>0.8</v>
      </c>
      <c r="F313" s="42">
        <v>3.25</v>
      </c>
      <c r="G313" s="45">
        <v>249</v>
      </c>
      <c r="H313" s="22">
        <v>2</v>
      </c>
      <c r="I313" s="6">
        <f t="shared" si="4"/>
        <v>1294.8000000000002</v>
      </c>
      <c r="J313" s="6" t="s">
        <v>1918</v>
      </c>
      <c r="K313" s="17"/>
    </row>
    <row r="314" spans="1:11" ht="13.95" customHeight="1" x14ac:dyDescent="0.3">
      <c r="A314" s="3">
        <v>45970</v>
      </c>
      <c r="B314" s="19" t="s">
        <v>2011</v>
      </c>
      <c r="C314" s="19" t="s">
        <v>16</v>
      </c>
      <c r="D314" s="19" t="s">
        <v>14</v>
      </c>
      <c r="E314" s="4">
        <v>0.65</v>
      </c>
      <c r="F314" s="42">
        <v>2.6</v>
      </c>
      <c r="G314" s="45">
        <v>249</v>
      </c>
      <c r="H314" s="22">
        <v>2</v>
      </c>
      <c r="I314" s="6">
        <f t="shared" si="4"/>
        <v>841.62</v>
      </c>
      <c r="J314" s="6" t="s">
        <v>238</v>
      </c>
      <c r="K314" s="17"/>
    </row>
    <row r="315" spans="1:11" ht="13.95" customHeight="1" x14ac:dyDescent="0.3">
      <c r="A315" s="3">
        <v>45971</v>
      </c>
      <c r="B315" s="19" t="s">
        <v>2011</v>
      </c>
      <c r="C315" s="19" t="s">
        <v>18</v>
      </c>
      <c r="D315" s="19" t="s">
        <v>1259</v>
      </c>
      <c r="E315" s="4">
        <v>0.35</v>
      </c>
      <c r="F315" s="42">
        <v>1.95</v>
      </c>
      <c r="G315" s="45">
        <v>249</v>
      </c>
      <c r="H315" s="22">
        <v>2</v>
      </c>
      <c r="I315" s="6">
        <f t="shared" si="4"/>
        <v>339.88499999999993</v>
      </c>
      <c r="J315" s="6" t="s">
        <v>150</v>
      </c>
      <c r="K315" s="17"/>
    </row>
    <row r="316" spans="1:11" ht="13.95" customHeight="1" x14ac:dyDescent="0.3">
      <c r="A316" s="3">
        <v>45972</v>
      </c>
      <c r="B316" s="19" t="s">
        <v>2011</v>
      </c>
      <c r="C316" s="19" t="s">
        <v>20</v>
      </c>
      <c r="D316" s="19" t="s">
        <v>1259</v>
      </c>
      <c r="E316" s="4">
        <v>0.35</v>
      </c>
      <c r="F316" s="42">
        <v>1.95</v>
      </c>
      <c r="G316" s="45">
        <v>249</v>
      </c>
      <c r="H316" s="22">
        <v>2</v>
      </c>
      <c r="I316" s="6">
        <f t="shared" si="4"/>
        <v>339.88499999999993</v>
      </c>
      <c r="J316" s="6" t="s">
        <v>150</v>
      </c>
      <c r="K316" s="17"/>
    </row>
    <row r="317" spans="1:11" ht="13.95" customHeight="1" x14ac:dyDescent="0.3">
      <c r="A317" s="3">
        <v>45973</v>
      </c>
      <c r="B317" s="19" t="s">
        <v>2011</v>
      </c>
      <c r="C317" s="19" t="s">
        <v>5</v>
      </c>
      <c r="D317" s="19" t="s">
        <v>1259</v>
      </c>
      <c r="E317" s="4">
        <v>0.4</v>
      </c>
      <c r="F317" s="42">
        <v>2</v>
      </c>
      <c r="G317" s="45">
        <v>249</v>
      </c>
      <c r="H317" s="22">
        <v>2</v>
      </c>
      <c r="I317" s="6">
        <f t="shared" si="4"/>
        <v>398.40000000000003</v>
      </c>
      <c r="J317" s="6" t="s">
        <v>150</v>
      </c>
      <c r="K317" s="17"/>
    </row>
    <row r="318" spans="1:11" ht="13.95" customHeight="1" x14ac:dyDescent="0.3">
      <c r="A318" s="3">
        <v>45974</v>
      </c>
      <c r="B318" s="19" t="s">
        <v>2011</v>
      </c>
      <c r="C318" s="19" t="s">
        <v>8</v>
      </c>
      <c r="D318" s="19" t="s">
        <v>1925</v>
      </c>
      <c r="E318" s="4">
        <v>0.75</v>
      </c>
      <c r="F318" s="42">
        <v>2.4500000000000002</v>
      </c>
      <c r="G318" s="45">
        <v>249</v>
      </c>
      <c r="H318" s="22">
        <v>2</v>
      </c>
      <c r="I318" s="6">
        <f t="shared" si="4"/>
        <v>915.07500000000005</v>
      </c>
      <c r="J318" s="6" t="s">
        <v>1714</v>
      </c>
      <c r="K318" s="17"/>
    </row>
    <row r="319" spans="1:11" ht="13.95" customHeight="1" x14ac:dyDescent="0.3">
      <c r="A319" s="3">
        <v>45975</v>
      </c>
      <c r="B319" s="19" t="s">
        <v>2011</v>
      </c>
      <c r="C319" s="19" t="s">
        <v>11</v>
      </c>
      <c r="D319" s="19" t="s">
        <v>14</v>
      </c>
      <c r="E319" s="4">
        <v>0.65</v>
      </c>
      <c r="F319" s="42">
        <v>2.5</v>
      </c>
      <c r="G319" s="45">
        <v>249</v>
      </c>
      <c r="H319" s="22">
        <v>2</v>
      </c>
      <c r="I319" s="6">
        <f t="shared" si="4"/>
        <v>809.25</v>
      </c>
      <c r="J319" s="6" t="s">
        <v>97</v>
      </c>
      <c r="K319" s="17"/>
    </row>
    <row r="320" spans="1:11" ht="13.95" customHeight="1" x14ac:dyDescent="0.3">
      <c r="A320" s="3">
        <v>45976</v>
      </c>
      <c r="B320" s="19" t="s">
        <v>2011</v>
      </c>
      <c r="C320" s="19" t="s">
        <v>13</v>
      </c>
      <c r="D320" s="19" t="s">
        <v>14</v>
      </c>
      <c r="E320" s="4">
        <v>0.85</v>
      </c>
      <c r="F320" s="42">
        <v>3.35</v>
      </c>
      <c r="G320" s="45">
        <v>249</v>
      </c>
      <c r="H320" s="22">
        <v>2</v>
      </c>
      <c r="I320" s="6">
        <f t="shared" si="4"/>
        <v>1418.0550000000001</v>
      </c>
      <c r="J320" s="6" t="s">
        <v>1715</v>
      </c>
      <c r="K320" s="17"/>
    </row>
    <row r="321" spans="1:11" ht="13.95" customHeight="1" x14ac:dyDescent="0.3">
      <c r="A321" s="3">
        <v>45977</v>
      </c>
      <c r="B321" s="19" t="s">
        <v>2011</v>
      </c>
      <c r="C321" s="19" t="s">
        <v>16</v>
      </c>
      <c r="D321" s="19" t="s">
        <v>14</v>
      </c>
      <c r="E321" s="4">
        <v>0.7</v>
      </c>
      <c r="F321" s="42">
        <v>2.7</v>
      </c>
      <c r="G321" s="45">
        <v>249</v>
      </c>
      <c r="H321" s="22">
        <v>2</v>
      </c>
      <c r="I321" s="6">
        <f t="shared" si="4"/>
        <v>941.21999999999991</v>
      </c>
      <c r="J321" s="6" t="s">
        <v>69</v>
      </c>
      <c r="K321" s="17"/>
    </row>
    <row r="322" spans="1:11" ht="13.95" customHeight="1" x14ac:dyDescent="0.3">
      <c r="A322" s="3">
        <v>45978</v>
      </c>
      <c r="B322" s="19" t="s">
        <v>2011</v>
      </c>
      <c r="C322" s="19" t="s">
        <v>18</v>
      </c>
      <c r="D322" s="19" t="s">
        <v>1259</v>
      </c>
      <c r="E322" s="4">
        <v>0.35</v>
      </c>
      <c r="F322" s="42">
        <v>1.95</v>
      </c>
      <c r="G322" s="45">
        <v>249</v>
      </c>
      <c r="H322" s="22">
        <v>2</v>
      </c>
      <c r="I322" s="6">
        <f t="shared" ref="I322:I350" si="5">(G322*E322)*F322*H322</f>
        <v>339.88499999999993</v>
      </c>
      <c r="J322" s="6" t="s">
        <v>150</v>
      </c>
      <c r="K322" s="17"/>
    </row>
    <row r="323" spans="1:11" ht="13.95" customHeight="1" x14ac:dyDescent="0.3">
      <c r="A323" s="3">
        <v>45979</v>
      </c>
      <c r="B323" s="19" t="s">
        <v>2011</v>
      </c>
      <c r="C323" s="19" t="s">
        <v>20</v>
      </c>
      <c r="D323" s="19" t="s">
        <v>1259</v>
      </c>
      <c r="E323" s="4">
        <v>0.35</v>
      </c>
      <c r="F323" s="42">
        <v>1.95</v>
      </c>
      <c r="G323" s="45">
        <v>249</v>
      </c>
      <c r="H323" s="22">
        <v>2</v>
      </c>
      <c r="I323" s="6">
        <f t="shared" si="5"/>
        <v>339.88499999999993</v>
      </c>
      <c r="J323" s="6" t="s">
        <v>150</v>
      </c>
      <c r="K323" s="17"/>
    </row>
    <row r="324" spans="1:11" ht="13.95" customHeight="1" x14ac:dyDescent="0.3">
      <c r="A324" s="3">
        <v>45980</v>
      </c>
      <c r="B324" s="19" t="s">
        <v>2011</v>
      </c>
      <c r="C324" s="19" t="s">
        <v>5</v>
      </c>
      <c r="D324" s="19" t="s">
        <v>1259</v>
      </c>
      <c r="E324" s="4">
        <v>0.4</v>
      </c>
      <c r="F324" s="42">
        <v>2</v>
      </c>
      <c r="G324" s="45">
        <v>249</v>
      </c>
      <c r="H324" s="22">
        <v>2</v>
      </c>
      <c r="I324" s="6">
        <f t="shared" si="5"/>
        <v>398.40000000000003</v>
      </c>
      <c r="J324" s="6" t="s">
        <v>150</v>
      </c>
      <c r="K324" s="17"/>
    </row>
    <row r="325" spans="1:11" ht="13.95" customHeight="1" x14ac:dyDescent="0.3">
      <c r="A325" s="3">
        <v>45981</v>
      </c>
      <c r="B325" s="19" t="s">
        <v>2011</v>
      </c>
      <c r="C325" s="19" t="s">
        <v>8</v>
      </c>
      <c r="D325" s="19" t="s">
        <v>1925</v>
      </c>
      <c r="E325" s="4">
        <v>0.7</v>
      </c>
      <c r="F325" s="42">
        <v>2.4</v>
      </c>
      <c r="G325" s="45">
        <v>249</v>
      </c>
      <c r="H325" s="22">
        <v>2</v>
      </c>
      <c r="I325" s="6">
        <f t="shared" si="5"/>
        <v>836.63999999999987</v>
      </c>
      <c r="J325" s="6" t="s">
        <v>2001</v>
      </c>
      <c r="K325" s="17"/>
    </row>
    <row r="326" spans="1:11" ht="13.95" customHeight="1" x14ac:dyDescent="0.3">
      <c r="A326" s="3">
        <v>45982</v>
      </c>
      <c r="B326" s="19" t="s">
        <v>2011</v>
      </c>
      <c r="C326" s="19" t="s">
        <v>11</v>
      </c>
      <c r="D326" s="19" t="s">
        <v>14</v>
      </c>
      <c r="E326" s="4">
        <v>0.65</v>
      </c>
      <c r="F326" s="42">
        <v>2.5</v>
      </c>
      <c r="G326" s="45">
        <v>249</v>
      </c>
      <c r="H326" s="22">
        <v>2</v>
      </c>
      <c r="I326" s="6">
        <f t="shared" si="5"/>
        <v>809.25</v>
      </c>
      <c r="J326" s="6" t="s">
        <v>97</v>
      </c>
      <c r="K326" s="17"/>
    </row>
    <row r="327" spans="1:11" ht="13.95" customHeight="1" x14ac:dyDescent="0.3">
      <c r="A327" s="3">
        <v>45983</v>
      </c>
      <c r="B327" s="19" t="s">
        <v>2011</v>
      </c>
      <c r="C327" s="19" t="s">
        <v>13</v>
      </c>
      <c r="D327" s="19" t="s">
        <v>14</v>
      </c>
      <c r="E327" s="4">
        <v>0.85</v>
      </c>
      <c r="F327" s="42">
        <v>3.3</v>
      </c>
      <c r="G327" s="45">
        <v>249</v>
      </c>
      <c r="H327" s="22">
        <v>2</v>
      </c>
      <c r="I327" s="6">
        <f t="shared" si="5"/>
        <v>1396.8899999999999</v>
      </c>
      <c r="J327" s="6" t="s">
        <v>2002</v>
      </c>
      <c r="K327" s="17"/>
    </row>
    <row r="328" spans="1:11" ht="13.95" customHeight="1" x14ac:dyDescent="0.3">
      <c r="A328" s="3">
        <v>45984</v>
      </c>
      <c r="B328" s="19" t="s">
        <v>2011</v>
      </c>
      <c r="C328" s="19" t="s">
        <v>16</v>
      </c>
      <c r="D328" s="19" t="s">
        <v>14</v>
      </c>
      <c r="E328" s="4">
        <v>0.7</v>
      </c>
      <c r="F328" s="42">
        <v>2.65</v>
      </c>
      <c r="G328" s="45">
        <v>249</v>
      </c>
      <c r="H328" s="22">
        <v>2</v>
      </c>
      <c r="I328" s="6">
        <f t="shared" si="5"/>
        <v>923.78999999999985</v>
      </c>
      <c r="J328" s="6" t="s">
        <v>69</v>
      </c>
      <c r="K328" s="17"/>
    </row>
    <row r="329" spans="1:11" ht="13.95" customHeight="1" x14ac:dyDescent="0.3">
      <c r="A329" s="3">
        <v>45985</v>
      </c>
      <c r="B329" s="19" t="s">
        <v>2011</v>
      </c>
      <c r="C329" s="19" t="s">
        <v>18</v>
      </c>
      <c r="D329" s="19" t="s">
        <v>1259</v>
      </c>
      <c r="E329" s="4">
        <v>0.4</v>
      </c>
      <c r="F329" s="42">
        <v>2</v>
      </c>
      <c r="G329" s="45">
        <v>249</v>
      </c>
      <c r="H329" s="22">
        <v>2</v>
      </c>
      <c r="I329" s="6">
        <f t="shared" si="5"/>
        <v>398.40000000000003</v>
      </c>
      <c r="J329" s="6" t="s">
        <v>2003</v>
      </c>
      <c r="K329" s="17"/>
    </row>
    <row r="330" spans="1:11" ht="13.95" customHeight="1" x14ac:dyDescent="0.3">
      <c r="A330" s="3">
        <v>45986</v>
      </c>
      <c r="B330" s="19" t="s">
        <v>2011</v>
      </c>
      <c r="C330" s="19" t="s">
        <v>20</v>
      </c>
      <c r="D330" s="19" t="s">
        <v>1259</v>
      </c>
      <c r="E330" s="4">
        <v>0.4</v>
      </c>
      <c r="F330" s="42">
        <v>2</v>
      </c>
      <c r="G330" s="45">
        <v>249</v>
      </c>
      <c r="H330" s="22">
        <v>2</v>
      </c>
      <c r="I330" s="6">
        <f t="shared" si="5"/>
        <v>398.40000000000003</v>
      </c>
      <c r="J330" s="6" t="s">
        <v>150</v>
      </c>
      <c r="K330" s="17"/>
    </row>
    <row r="331" spans="1:11" ht="13.95" customHeight="1" x14ac:dyDescent="0.3">
      <c r="A331" s="3">
        <v>45987</v>
      </c>
      <c r="B331" s="19" t="s">
        <v>2011</v>
      </c>
      <c r="C331" s="19" t="s">
        <v>5</v>
      </c>
      <c r="D331" s="19" t="s">
        <v>1259</v>
      </c>
      <c r="E331" s="4">
        <v>0.45</v>
      </c>
      <c r="F331" s="42">
        <v>2.0499999999999998</v>
      </c>
      <c r="G331" s="45">
        <v>249</v>
      </c>
      <c r="H331" s="22">
        <v>2</v>
      </c>
      <c r="I331" s="6">
        <f t="shared" si="5"/>
        <v>459.40499999999997</v>
      </c>
      <c r="J331" s="6" t="s">
        <v>150</v>
      </c>
      <c r="K331" s="17"/>
    </row>
    <row r="332" spans="1:11" ht="13.95" customHeight="1" x14ac:dyDescent="0.3">
      <c r="A332" s="3">
        <v>45988</v>
      </c>
      <c r="B332" s="19" t="s">
        <v>2011</v>
      </c>
      <c r="C332" s="19" t="s">
        <v>8</v>
      </c>
      <c r="D332" s="19" t="s">
        <v>1925</v>
      </c>
      <c r="E332" s="4">
        <v>0.65</v>
      </c>
      <c r="F332" s="42">
        <v>2.35</v>
      </c>
      <c r="G332" s="45">
        <v>249</v>
      </c>
      <c r="H332" s="22">
        <v>2</v>
      </c>
      <c r="I332" s="6">
        <f t="shared" si="5"/>
        <v>760.69500000000005</v>
      </c>
      <c r="J332" s="6" t="s">
        <v>2004</v>
      </c>
      <c r="K332" s="17"/>
    </row>
    <row r="333" spans="1:11" ht="13.95" customHeight="1" x14ac:dyDescent="0.3">
      <c r="A333" s="3">
        <v>45989</v>
      </c>
      <c r="B333" s="19" t="s">
        <v>2011</v>
      </c>
      <c r="C333" s="19" t="s">
        <v>11</v>
      </c>
      <c r="D333" s="19" t="s">
        <v>14</v>
      </c>
      <c r="E333" s="4">
        <v>0.7</v>
      </c>
      <c r="F333" s="42">
        <v>2.6</v>
      </c>
      <c r="G333" s="45">
        <v>249</v>
      </c>
      <c r="H333" s="22">
        <v>2</v>
      </c>
      <c r="I333" s="6">
        <f t="shared" si="5"/>
        <v>906.3599999999999</v>
      </c>
      <c r="J333" s="6" t="s">
        <v>1124</v>
      </c>
      <c r="K333" s="17"/>
    </row>
    <row r="334" spans="1:11" ht="13.95" customHeight="1" x14ac:dyDescent="0.3">
      <c r="A334" s="3">
        <v>45990</v>
      </c>
      <c r="B334" s="19" t="s">
        <v>2011</v>
      </c>
      <c r="C334" s="19" t="s">
        <v>13</v>
      </c>
      <c r="D334" s="19" t="s">
        <v>14</v>
      </c>
      <c r="E334" s="4">
        <v>0.9</v>
      </c>
      <c r="F334" s="42">
        <v>3.45</v>
      </c>
      <c r="G334" s="45">
        <v>249</v>
      </c>
      <c r="H334" s="22">
        <v>2</v>
      </c>
      <c r="I334" s="6">
        <f t="shared" si="5"/>
        <v>1546.29</v>
      </c>
      <c r="J334" s="6" t="s">
        <v>1531</v>
      </c>
      <c r="K334" s="17"/>
    </row>
    <row r="335" spans="1:11" ht="13.95" customHeight="1" x14ac:dyDescent="0.3">
      <c r="A335" s="3">
        <v>45991</v>
      </c>
      <c r="B335" s="19" t="s">
        <v>2011</v>
      </c>
      <c r="C335" s="19" t="s">
        <v>16</v>
      </c>
      <c r="D335" s="19" t="s">
        <v>14</v>
      </c>
      <c r="E335" s="4">
        <v>0.7</v>
      </c>
      <c r="F335" s="42">
        <v>2.75</v>
      </c>
      <c r="G335" s="45">
        <v>249</v>
      </c>
      <c r="H335" s="22">
        <v>2</v>
      </c>
      <c r="I335" s="6">
        <f t="shared" si="5"/>
        <v>958.64999999999986</v>
      </c>
      <c r="J335" s="6" t="s">
        <v>2005</v>
      </c>
      <c r="K335" s="17"/>
    </row>
    <row r="336" spans="1:11" ht="13.95" customHeight="1" x14ac:dyDescent="0.3">
      <c r="A336" s="3">
        <v>45992</v>
      </c>
      <c r="B336" s="19" t="s">
        <v>2011</v>
      </c>
      <c r="C336" s="19" t="s">
        <v>18</v>
      </c>
      <c r="D336" s="19" t="s">
        <v>1259</v>
      </c>
      <c r="E336" s="4">
        <v>0.4</v>
      </c>
      <c r="F336" s="42">
        <v>2.0499999999999998</v>
      </c>
      <c r="G336" s="45">
        <v>249</v>
      </c>
      <c r="H336" s="22">
        <v>2.1</v>
      </c>
      <c r="I336" s="6">
        <f t="shared" si="5"/>
        <v>428.77800000000002</v>
      </c>
      <c r="J336" s="6" t="s">
        <v>1628</v>
      </c>
      <c r="K336" s="17"/>
    </row>
    <row r="337" spans="1:11" ht="13.95" customHeight="1" x14ac:dyDescent="0.3">
      <c r="A337" s="3">
        <v>45997</v>
      </c>
      <c r="B337" s="19" t="s">
        <v>2011</v>
      </c>
      <c r="C337" s="19" t="s">
        <v>13</v>
      </c>
      <c r="D337" s="19" t="s">
        <v>14</v>
      </c>
      <c r="E337" s="4">
        <v>0.75</v>
      </c>
      <c r="F337" s="42">
        <v>3.15</v>
      </c>
      <c r="G337" s="45">
        <v>249</v>
      </c>
      <c r="H337" s="22">
        <v>2.1</v>
      </c>
      <c r="I337" s="6">
        <f t="shared" si="5"/>
        <v>1235.3512499999999</v>
      </c>
      <c r="J337" s="6" t="s">
        <v>2006</v>
      </c>
      <c r="K337" s="17"/>
    </row>
    <row r="338" spans="1:11" ht="13.95" customHeight="1" x14ac:dyDescent="0.3">
      <c r="A338" s="3">
        <v>46004</v>
      </c>
      <c r="B338" s="19" t="s">
        <v>2011</v>
      </c>
      <c r="C338" s="19" t="s">
        <v>13</v>
      </c>
      <c r="D338" s="19" t="s">
        <v>14</v>
      </c>
      <c r="E338" s="4">
        <v>0.8</v>
      </c>
      <c r="F338" s="42">
        <v>3.25</v>
      </c>
      <c r="G338" s="45">
        <v>249</v>
      </c>
      <c r="H338" s="22">
        <v>2.1</v>
      </c>
      <c r="I338" s="6">
        <f t="shared" si="5"/>
        <v>1359.5400000000002</v>
      </c>
      <c r="J338" s="6" t="s">
        <v>1918</v>
      </c>
      <c r="K338" s="17"/>
    </row>
    <row r="339" spans="1:11" ht="13.95" customHeight="1" x14ac:dyDescent="0.3">
      <c r="A339" s="3">
        <v>46011</v>
      </c>
      <c r="B339" s="19" t="s">
        <v>2011</v>
      </c>
      <c r="C339" s="19" t="s">
        <v>13</v>
      </c>
      <c r="D339" s="19" t="s">
        <v>658</v>
      </c>
      <c r="E339" s="4">
        <v>0.85</v>
      </c>
      <c r="F339" s="42">
        <v>2.85</v>
      </c>
      <c r="G339" s="45">
        <v>249</v>
      </c>
      <c r="H339" s="22">
        <v>2.1</v>
      </c>
      <c r="I339" s="6">
        <f t="shared" si="5"/>
        <v>1266.72525</v>
      </c>
      <c r="J339" s="6" t="s">
        <v>2007</v>
      </c>
      <c r="K339" s="17"/>
    </row>
    <row r="340" spans="1:11" ht="13.95" customHeight="1" x14ac:dyDescent="0.3">
      <c r="A340" s="3">
        <v>46012</v>
      </c>
      <c r="B340" s="19" t="s">
        <v>2011</v>
      </c>
      <c r="C340" s="19" t="s">
        <v>16</v>
      </c>
      <c r="D340" s="19" t="s">
        <v>658</v>
      </c>
      <c r="E340" s="4">
        <v>0.75</v>
      </c>
      <c r="F340" s="42">
        <v>2.65</v>
      </c>
      <c r="G340" s="45">
        <v>249</v>
      </c>
      <c r="H340" s="22">
        <v>2.1</v>
      </c>
      <c r="I340" s="6">
        <f t="shared" si="5"/>
        <v>1039.2637500000001</v>
      </c>
      <c r="J340" s="6" t="s">
        <v>2008</v>
      </c>
      <c r="K340" s="17"/>
    </row>
    <row r="341" spans="1:11" ht="13.95" customHeight="1" x14ac:dyDescent="0.3">
      <c r="A341" s="3">
        <v>46013</v>
      </c>
      <c r="B341" s="19" t="s">
        <v>2011</v>
      </c>
      <c r="C341" s="19" t="s">
        <v>18</v>
      </c>
      <c r="D341" s="19" t="s">
        <v>658</v>
      </c>
      <c r="E341" s="4">
        <v>0.65</v>
      </c>
      <c r="F341" s="42">
        <v>2.35</v>
      </c>
      <c r="G341" s="45">
        <v>249</v>
      </c>
      <c r="H341" s="22">
        <v>2.1</v>
      </c>
      <c r="I341" s="6">
        <f t="shared" si="5"/>
        <v>798.72975000000008</v>
      </c>
      <c r="J341" s="6" t="s">
        <v>1796</v>
      </c>
      <c r="K341" s="17"/>
    </row>
    <row r="342" spans="1:11" ht="13.95" customHeight="1" x14ac:dyDescent="0.3">
      <c r="A342" s="3">
        <v>46014</v>
      </c>
      <c r="B342" s="19" t="s">
        <v>2011</v>
      </c>
      <c r="C342" s="19" t="s">
        <v>20</v>
      </c>
      <c r="D342" s="19" t="s">
        <v>658</v>
      </c>
      <c r="E342" s="4">
        <v>0.75</v>
      </c>
      <c r="F342" s="42">
        <v>2.4500000000000002</v>
      </c>
      <c r="G342" s="45">
        <v>249</v>
      </c>
      <c r="H342" s="22">
        <v>2.1</v>
      </c>
      <c r="I342" s="6">
        <f t="shared" si="5"/>
        <v>960.82875000000013</v>
      </c>
      <c r="J342" s="6" t="s">
        <v>514</v>
      </c>
      <c r="K342" s="17"/>
    </row>
    <row r="343" spans="1:11" ht="13.95" customHeight="1" x14ac:dyDescent="0.3">
      <c r="A343" s="3">
        <v>46015</v>
      </c>
      <c r="B343" s="19" t="s">
        <v>2011</v>
      </c>
      <c r="C343" s="19" t="s">
        <v>5</v>
      </c>
      <c r="D343" s="19" t="s">
        <v>662</v>
      </c>
      <c r="E343" s="4">
        <v>0.9</v>
      </c>
      <c r="F343" s="42">
        <v>3.45</v>
      </c>
      <c r="G343" s="45">
        <v>249</v>
      </c>
      <c r="H343" s="22">
        <v>2.1</v>
      </c>
      <c r="I343" s="6">
        <f t="shared" si="5"/>
        <v>1623.6045000000001</v>
      </c>
      <c r="J343" s="6" t="s">
        <v>2009</v>
      </c>
      <c r="K343" s="17"/>
    </row>
    <row r="344" spans="1:11" ht="13.95" customHeight="1" x14ac:dyDescent="0.3">
      <c r="A344" s="3">
        <v>46016</v>
      </c>
      <c r="B344" s="19" t="s">
        <v>2011</v>
      </c>
      <c r="C344" s="19" t="s">
        <v>8</v>
      </c>
      <c r="D344" s="19" t="s">
        <v>299</v>
      </c>
      <c r="E344" s="4">
        <v>0.85</v>
      </c>
      <c r="F344" s="42">
        <v>2.9</v>
      </c>
      <c r="G344" s="45">
        <v>249</v>
      </c>
      <c r="H344" s="22">
        <v>2.1</v>
      </c>
      <c r="I344" s="6">
        <f t="shared" si="5"/>
        <v>1288.9485</v>
      </c>
      <c r="J344" s="6" t="s">
        <v>1834</v>
      </c>
      <c r="K344" s="17"/>
    </row>
    <row r="345" spans="1:11" ht="13.95" customHeight="1" x14ac:dyDescent="0.3">
      <c r="A345" s="3">
        <v>46017</v>
      </c>
      <c r="B345" s="19" t="s">
        <v>2011</v>
      </c>
      <c r="C345" s="19" t="s">
        <v>11</v>
      </c>
      <c r="D345" s="19" t="s">
        <v>1564</v>
      </c>
      <c r="E345" s="4">
        <v>0.9</v>
      </c>
      <c r="F345" s="42">
        <v>2.75</v>
      </c>
      <c r="G345" s="45">
        <v>249</v>
      </c>
      <c r="H345" s="22">
        <v>2.1</v>
      </c>
      <c r="I345" s="6">
        <f t="shared" si="5"/>
        <v>1294.1775</v>
      </c>
      <c r="J345" s="6" t="s">
        <v>1463</v>
      </c>
      <c r="K345" s="17"/>
    </row>
    <row r="346" spans="1:11" ht="13.95" customHeight="1" x14ac:dyDescent="0.3">
      <c r="A346" s="3">
        <v>46018</v>
      </c>
      <c r="B346" s="19" t="s">
        <v>2011</v>
      </c>
      <c r="C346" s="19" t="s">
        <v>13</v>
      </c>
      <c r="D346" s="19" t="s">
        <v>1564</v>
      </c>
      <c r="E346" s="4">
        <v>0.95</v>
      </c>
      <c r="F346" s="42">
        <v>3.35</v>
      </c>
      <c r="G346" s="45">
        <v>249</v>
      </c>
      <c r="H346" s="22">
        <v>2.1</v>
      </c>
      <c r="I346" s="6">
        <f t="shared" si="5"/>
        <v>1664.12925</v>
      </c>
      <c r="J346" s="6" t="s">
        <v>1572</v>
      </c>
      <c r="K346" s="17"/>
    </row>
    <row r="347" spans="1:11" ht="13.95" customHeight="1" x14ac:dyDescent="0.3">
      <c r="A347" s="3">
        <v>46019</v>
      </c>
      <c r="B347" s="19" t="s">
        <v>2011</v>
      </c>
      <c r="C347" s="19" t="s">
        <v>16</v>
      </c>
      <c r="D347" s="19" t="s">
        <v>1564</v>
      </c>
      <c r="E347" s="4">
        <v>0.9</v>
      </c>
      <c r="F347" s="42">
        <v>2.95</v>
      </c>
      <c r="G347" s="45">
        <v>249</v>
      </c>
      <c r="H347" s="22">
        <v>2.1</v>
      </c>
      <c r="I347" s="6">
        <f t="shared" si="5"/>
        <v>1388.2995000000001</v>
      </c>
      <c r="J347" s="6" t="s">
        <v>238</v>
      </c>
      <c r="K347" s="17"/>
    </row>
    <row r="348" spans="1:11" ht="13.95" customHeight="1" x14ac:dyDescent="0.3">
      <c r="A348" s="3">
        <v>46020</v>
      </c>
      <c r="B348" s="19" t="s">
        <v>2011</v>
      </c>
      <c r="C348" s="19" t="s">
        <v>18</v>
      </c>
      <c r="D348" s="19" t="s">
        <v>1565</v>
      </c>
      <c r="E348" s="4">
        <v>0.95</v>
      </c>
      <c r="F348" s="42">
        <v>2.8</v>
      </c>
      <c r="G348" s="45">
        <v>249</v>
      </c>
      <c r="H348" s="22">
        <v>2.1</v>
      </c>
      <c r="I348" s="6">
        <f t="shared" si="5"/>
        <v>1390.914</v>
      </c>
      <c r="J348" s="6" t="s">
        <v>531</v>
      </c>
      <c r="K348" s="17"/>
    </row>
    <row r="349" spans="1:11" ht="13.95" customHeight="1" x14ac:dyDescent="0.3">
      <c r="A349" s="3">
        <v>46021</v>
      </c>
      <c r="B349" s="19" t="s">
        <v>2011</v>
      </c>
      <c r="C349" s="19" t="s">
        <v>20</v>
      </c>
      <c r="D349" s="19" t="s">
        <v>1565</v>
      </c>
      <c r="E349" s="4">
        <v>1</v>
      </c>
      <c r="F349" s="42">
        <v>3.15</v>
      </c>
      <c r="G349" s="45">
        <v>249</v>
      </c>
      <c r="H349" s="22">
        <v>2.1</v>
      </c>
      <c r="I349" s="6">
        <f t="shared" si="5"/>
        <v>1647.1350000000002</v>
      </c>
      <c r="J349" s="6" t="s">
        <v>1763</v>
      </c>
      <c r="K349" s="17"/>
    </row>
    <row r="350" spans="1:11" ht="13.95" customHeight="1" x14ac:dyDescent="0.3">
      <c r="A350" s="3">
        <v>46022</v>
      </c>
      <c r="B350" s="19" t="s">
        <v>2011</v>
      </c>
      <c r="C350" s="19" t="s">
        <v>5</v>
      </c>
      <c r="D350" s="19" t="s">
        <v>1567</v>
      </c>
      <c r="E350" s="4">
        <v>1</v>
      </c>
      <c r="F350" s="42">
        <v>4.2</v>
      </c>
      <c r="G350" s="45">
        <v>249</v>
      </c>
      <c r="H350" s="22">
        <v>2.1</v>
      </c>
      <c r="I350" s="6">
        <f t="shared" si="5"/>
        <v>2196.1799999999998</v>
      </c>
      <c r="J350" s="6" t="s">
        <v>2010</v>
      </c>
      <c r="K350" s="1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F3491-8FDE-4CED-BC0A-BA50D03F828B}">
  <sheetPr>
    <tabColor theme="8" tint="-0.249977111117893"/>
  </sheetPr>
  <dimension ref="A1:L410"/>
  <sheetViews>
    <sheetView topLeftCell="A371" workbookViewId="0">
      <selection activeCell="A387" sqref="A387"/>
    </sheetView>
  </sheetViews>
  <sheetFormatPr baseColWidth="10" defaultRowHeight="14.4" x14ac:dyDescent="0.3"/>
  <cols>
    <col min="1" max="1" width="14" customWidth="1"/>
    <col min="2" max="2" width="25.109375" customWidth="1"/>
    <col min="3" max="3" width="9.44140625" customWidth="1"/>
    <col min="4" max="4" width="15.6640625" customWidth="1"/>
    <col min="9" max="9" width="11.5546875" style="46"/>
    <col min="10" max="10" width="33" bestFit="1" customWidth="1"/>
  </cols>
  <sheetData>
    <row r="1" spans="1:12" ht="28.2" thickBot="1" x14ac:dyDescent="0.35">
      <c r="A1" s="1" t="s">
        <v>333</v>
      </c>
      <c r="B1" s="1" t="s">
        <v>1637</v>
      </c>
      <c r="C1" s="34" t="s">
        <v>0</v>
      </c>
      <c r="D1" s="34" t="s">
        <v>1</v>
      </c>
      <c r="E1" s="37" t="s">
        <v>2</v>
      </c>
      <c r="F1" s="41" t="s">
        <v>3</v>
      </c>
      <c r="G1" s="47" t="s">
        <v>359</v>
      </c>
      <c r="H1" s="35" t="s">
        <v>360</v>
      </c>
      <c r="I1" s="47" t="s">
        <v>361</v>
      </c>
      <c r="J1" s="27" t="s">
        <v>4</v>
      </c>
      <c r="K1">
        <v>395</v>
      </c>
      <c r="L1">
        <v>2.2000000000000002</v>
      </c>
    </row>
    <row r="2" spans="1:12" ht="13.95" customHeight="1" x14ac:dyDescent="0.3">
      <c r="A2" s="3">
        <v>45658</v>
      </c>
      <c r="B2" s="3" t="s">
        <v>1922</v>
      </c>
      <c r="C2" s="19" t="s">
        <v>5</v>
      </c>
      <c r="D2" s="19" t="s">
        <v>735</v>
      </c>
      <c r="E2" s="4">
        <v>0.9</v>
      </c>
      <c r="F2" s="42">
        <v>2.4500000000000002</v>
      </c>
      <c r="G2" s="45">
        <v>1915</v>
      </c>
      <c r="H2" s="22">
        <v>2.2000000000000002</v>
      </c>
      <c r="I2" s="6">
        <f t="shared" ref="I2:I65" si="0">(G2*E2)*F2*H2</f>
        <v>9289.6650000000027</v>
      </c>
      <c r="J2" s="6" t="s">
        <v>1839</v>
      </c>
      <c r="K2" s="17"/>
    </row>
    <row r="3" spans="1:12" ht="13.95" customHeight="1" x14ac:dyDescent="0.3">
      <c r="A3" s="3">
        <v>45659</v>
      </c>
      <c r="B3" s="3" t="s">
        <v>1922</v>
      </c>
      <c r="C3" s="19" t="s">
        <v>8</v>
      </c>
      <c r="D3" s="19" t="s">
        <v>1259</v>
      </c>
      <c r="E3" s="4">
        <v>0.45</v>
      </c>
      <c r="F3" s="42">
        <v>1.85</v>
      </c>
      <c r="G3" s="45">
        <v>725</v>
      </c>
      <c r="H3" s="22">
        <v>2.2000000000000002</v>
      </c>
      <c r="I3" s="6">
        <f t="shared" si="0"/>
        <v>1327.8375000000001</v>
      </c>
      <c r="J3" s="6" t="s">
        <v>1840</v>
      </c>
      <c r="K3" s="17"/>
    </row>
    <row r="4" spans="1:12" ht="13.95" customHeight="1" x14ac:dyDescent="0.3">
      <c r="A4" s="3">
        <v>45660</v>
      </c>
      <c r="B4" s="3" t="s">
        <v>1922</v>
      </c>
      <c r="C4" s="19" t="s">
        <v>11</v>
      </c>
      <c r="D4" s="19" t="s">
        <v>14</v>
      </c>
      <c r="E4" s="4">
        <v>0.55000000000000004</v>
      </c>
      <c r="F4" s="42">
        <v>2.0499999999999998</v>
      </c>
      <c r="G4" s="45">
        <v>980</v>
      </c>
      <c r="H4" s="22">
        <v>2.2000000000000002</v>
      </c>
      <c r="I4" s="6">
        <f t="shared" si="0"/>
        <v>2430.89</v>
      </c>
      <c r="J4" s="6" t="s">
        <v>91</v>
      </c>
      <c r="K4" s="17"/>
    </row>
    <row r="5" spans="1:12" ht="13.95" customHeight="1" x14ac:dyDescent="0.3">
      <c r="A5" s="3">
        <v>45661</v>
      </c>
      <c r="B5" s="3" t="s">
        <v>1922</v>
      </c>
      <c r="C5" s="19" t="s">
        <v>13</v>
      </c>
      <c r="D5" s="19" t="s">
        <v>14</v>
      </c>
      <c r="E5" s="4">
        <v>0.7</v>
      </c>
      <c r="F5" s="42">
        <v>2.35</v>
      </c>
      <c r="G5" s="45">
        <v>1430</v>
      </c>
      <c r="H5" s="22">
        <v>2.2000000000000002</v>
      </c>
      <c r="I5" s="6">
        <f t="shared" si="0"/>
        <v>5175.17</v>
      </c>
      <c r="J5" s="6" t="s">
        <v>1572</v>
      </c>
      <c r="K5" s="17"/>
    </row>
    <row r="6" spans="1:12" ht="13.95" customHeight="1" x14ac:dyDescent="0.3">
      <c r="A6" s="3">
        <v>45662</v>
      </c>
      <c r="B6" s="3" t="s">
        <v>1922</v>
      </c>
      <c r="C6" s="19" t="s">
        <v>16</v>
      </c>
      <c r="D6" s="19" t="s">
        <v>14</v>
      </c>
      <c r="E6" s="4">
        <v>0.6</v>
      </c>
      <c r="F6" s="42">
        <v>2.15</v>
      </c>
      <c r="G6" s="45">
        <v>1120</v>
      </c>
      <c r="H6" s="22">
        <v>2.2000000000000002</v>
      </c>
      <c r="I6" s="6">
        <f t="shared" si="0"/>
        <v>3178.56</v>
      </c>
      <c r="J6" s="6" t="s">
        <v>139</v>
      </c>
      <c r="K6" s="17"/>
    </row>
    <row r="7" spans="1:12" ht="13.95" customHeight="1" x14ac:dyDescent="0.3">
      <c r="A7" s="3">
        <v>45663</v>
      </c>
      <c r="B7" s="3" t="s">
        <v>1922</v>
      </c>
      <c r="C7" s="19" t="s">
        <v>18</v>
      </c>
      <c r="D7" s="19" t="s">
        <v>1259</v>
      </c>
      <c r="E7" s="4">
        <v>0.35</v>
      </c>
      <c r="F7" s="42">
        <v>1.75</v>
      </c>
      <c r="G7" s="45">
        <v>530</v>
      </c>
      <c r="H7" s="22">
        <v>2.2000000000000002</v>
      </c>
      <c r="I7" s="6">
        <f t="shared" si="0"/>
        <v>714.17500000000007</v>
      </c>
      <c r="J7" s="6" t="s">
        <v>150</v>
      </c>
      <c r="K7" s="17"/>
    </row>
    <row r="8" spans="1:12" ht="13.95" customHeight="1" x14ac:dyDescent="0.3">
      <c r="A8" s="3">
        <v>45664</v>
      </c>
      <c r="B8" s="3" t="s">
        <v>1922</v>
      </c>
      <c r="C8" s="19" t="s">
        <v>20</v>
      </c>
      <c r="D8" s="19" t="s">
        <v>1259</v>
      </c>
      <c r="E8" s="4">
        <v>0.3</v>
      </c>
      <c r="F8" s="42">
        <v>1.7</v>
      </c>
      <c r="G8" s="45">
        <v>445</v>
      </c>
      <c r="H8" s="22">
        <v>2.2000000000000002</v>
      </c>
      <c r="I8" s="6">
        <f t="shared" si="0"/>
        <v>499.29</v>
      </c>
      <c r="J8" s="6" t="s">
        <v>150</v>
      </c>
      <c r="K8" s="17"/>
    </row>
    <row r="9" spans="1:12" ht="13.95" customHeight="1" x14ac:dyDescent="0.3">
      <c r="A9" s="3">
        <v>45665</v>
      </c>
      <c r="B9" s="3" t="s">
        <v>1922</v>
      </c>
      <c r="C9" s="19" t="s">
        <v>5</v>
      </c>
      <c r="D9" s="19" t="s">
        <v>1259</v>
      </c>
      <c r="E9" s="4">
        <v>0.35</v>
      </c>
      <c r="F9" s="42">
        <v>1.75</v>
      </c>
      <c r="G9" s="45">
        <v>530</v>
      </c>
      <c r="H9" s="22">
        <v>2.2000000000000002</v>
      </c>
      <c r="I9" s="6">
        <f t="shared" si="0"/>
        <v>714.17500000000007</v>
      </c>
      <c r="J9" s="6" t="s">
        <v>71</v>
      </c>
      <c r="K9" s="17"/>
    </row>
    <row r="10" spans="1:12" ht="13.95" customHeight="1" x14ac:dyDescent="0.3">
      <c r="A10" s="3">
        <v>45666</v>
      </c>
      <c r="B10" s="3" t="s">
        <v>1922</v>
      </c>
      <c r="C10" s="19" t="s">
        <v>8</v>
      </c>
      <c r="D10" s="19" t="s">
        <v>1263</v>
      </c>
      <c r="E10" s="4">
        <v>0.55000000000000004</v>
      </c>
      <c r="F10" s="42">
        <v>1.95</v>
      </c>
      <c r="G10" s="45">
        <v>930</v>
      </c>
      <c r="H10" s="22">
        <v>2.2000000000000002</v>
      </c>
      <c r="I10" s="6">
        <f t="shared" si="0"/>
        <v>2194.3350000000005</v>
      </c>
      <c r="J10" s="6" t="s">
        <v>1841</v>
      </c>
      <c r="K10" s="17"/>
    </row>
    <row r="11" spans="1:12" ht="13.95" customHeight="1" x14ac:dyDescent="0.3">
      <c r="A11" s="3">
        <v>45667</v>
      </c>
      <c r="B11" s="3" t="s">
        <v>1922</v>
      </c>
      <c r="C11" s="19" t="s">
        <v>11</v>
      </c>
      <c r="D11" s="19" t="s">
        <v>14</v>
      </c>
      <c r="E11" s="4">
        <v>0.65</v>
      </c>
      <c r="F11" s="42">
        <v>2.1</v>
      </c>
      <c r="G11" s="45">
        <v>1185</v>
      </c>
      <c r="H11" s="22">
        <v>2.2000000000000002</v>
      </c>
      <c r="I11" s="6">
        <f t="shared" si="0"/>
        <v>3558.5550000000003</v>
      </c>
      <c r="J11" s="6" t="s">
        <v>1684</v>
      </c>
      <c r="K11" s="17"/>
    </row>
    <row r="12" spans="1:12" ht="13.95" customHeight="1" x14ac:dyDescent="0.3">
      <c r="A12" s="3">
        <v>45668</v>
      </c>
      <c r="B12" s="3" t="s">
        <v>1922</v>
      </c>
      <c r="C12" s="19" t="s">
        <v>13</v>
      </c>
      <c r="D12" s="19" t="s">
        <v>14</v>
      </c>
      <c r="E12" s="4">
        <v>0.8</v>
      </c>
      <c r="F12" s="42">
        <v>2.5</v>
      </c>
      <c r="G12" s="45">
        <v>1740</v>
      </c>
      <c r="H12" s="22">
        <v>2.2000000000000002</v>
      </c>
      <c r="I12" s="6">
        <f t="shared" si="0"/>
        <v>7656.0000000000009</v>
      </c>
      <c r="J12" s="6" t="s">
        <v>1713</v>
      </c>
      <c r="K12" s="17"/>
    </row>
    <row r="13" spans="1:12" ht="13.95" customHeight="1" x14ac:dyDescent="0.3">
      <c r="A13" s="3">
        <v>45669</v>
      </c>
      <c r="B13" s="3" t="s">
        <v>1922</v>
      </c>
      <c r="C13" s="19" t="s">
        <v>16</v>
      </c>
      <c r="D13" s="19" t="s">
        <v>14</v>
      </c>
      <c r="E13" s="4">
        <v>0.7</v>
      </c>
      <c r="F13" s="42">
        <v>2.2000000000000002</v>
      </c>
      <c r="G13" s="45">
        <v>1340</v>
      </c>
      <c r="H13" s="22">
        <v>2.2000000000000002</v>
      </c>
      <c r="I13" s="6">
        <f t="shared" si="0"/>
        <v>4539.92</v>
      </c>
      <c r="J13" s="6" t="s">
        <v>149</v>
      </c>
      <c r="K13" s="17"/>
    </row>
    <row r="14" spans="1:12" ht="13.95" customHeight="1" x14ac:dyDescent="0.3">
      <c r="A14" s="3">
        <v>45670</v>
      </c>
      <c r="B14" s="3" t="s">
        <v>1922</v>
      </c>
      <c r="C14" s="19" t="s">
        <v>18</v>
      </c>
      <c r="D14" s="19" t="s">
        <v>1259</v>
      </c>
      <c r="E14" s="4">
        <v>0.35</v>
      </c>
      <c r="F14" s="42">
        <v>1.75</v>
      </c>
      <c r="G14" s="45">
        <v>530</v>
      </c>
      <c r="H14" s="22">
        <v>2.2000000000000002</v>
      </c>
      <c r="I14" s="6">
        <f t="shared" si="0"/>
        <v>714.17500000000007</v>
      </c>
      <c r="J14" s="6" t="s">
        <v>70</v>
      </c>
      <c r="K14" s="17"/>
    </row>
    <row r="15" spans="1:12" ht="13.95" customHeight="1" x14ac:dyDescent="0.3">
      <c r="A15" s="3">
        <v>45671</v>
      </c>
      <c r="B15" s="3" t="s">
        <v>1922</v>
      </c>
      <c r="C15" s="19" t="s">
        <v>20</v>
      </c>
      <c r="D15" s="19" t="s">
        <v>1269</v>
      </c>
      <c r="E15" s="4">
        <v>0.6</v>
      </c>
      <c r="F15" s="42">
        <v>2.15</v>
      </c>
      <c r="G15" s="45">
        <v>1120</v>
      </c>
      <c r="H15" s="22">
        <v>2.2000000000000002</v>
      </c>
      <c r="I15" s="6">
        <f t="shared" si="0"/>
        <v>3178.56</v>
      </c>
      <c r="J15" s="6" t="s">
        <v>1842</v>
      </c>
      <c r="K15" s="17"/>
    </row>
    <row r="16" spans="1:12" ht="13.95" customHeight="1" x14ac:dyDescent="0.3">
      <c r="A16" s="3">
        <v>45672</v>
      </c>
      <c r="B16" s="3" t="s">
        <v>1922</v>
      </c>
      <c r="C16" s="19" t="s">
        <v>5</v>
      </c>
      <c r="D16" s="19" t="s">
        <v>1259</v>
      </c>
      <c r="E16" s="4">
        <v>0.35</v>
      </c>
      <c r="F16" s="42">
        <v>1.75</v>
      </c>
      <c r="G16" s="45">
        <v>530</v>
      </c>
      <c r="H16" s="22">
        <v>2.2000000000000002</v>
      </c>
      <c r="I16" s="6">
        <f t="shared" si="0"/>
        <v>714.17500000000007</v>
      </c>
      <c r="J16" s="6" t="s">
        <v>150</v>
      </c>
      <c r="K16" s="17"/>
    </row>
    <row r="17" spans="1:11" ht="13.95" customHeight="1" x14ac:dyDescent="0.3">
      <c r="A17" s="3">
        <v>45673</v>
      </c>
      <c r="B17" s="3" t="s">
        <v>1922</v>
      </c>
      <c r="C17" s="19" t="s">
        <v>8</v>
      </c>
      <c r="D17" s="19" t="s">
        <v>1259</v>
      </c>
      <c r="E17" s="4">
        <v>0.3</v>
      </c>
      <c r="F17" s="42">
        <v>1.75</v>
      </c>
      <c r="G17" s="45">
        <v>455</v>
      </c>
      <c r="H17" s="22">
        <v>2.2000000000000002</v>
      </c>
      <c r="I17" s="6">
        <f t="shared" si="0"/>
        <v>525.52500000000009</v>
      </c>
      <c r="J17" s="6" t="s">
        <v>150</v>
      </c>
      <c r="K17" s="17"/>
    </row>
    <row r="18" spans="1:11" ht="13.95" customHeight="1" x14ac:dyDescent="0.3">
      <c r="A18" s="3">
        <v>45674</v>
      </c>
      <c r="B18" s="3" t="s">
        <v>1922</v>
      </c>
      <c r="C18" s="19" t="s">
        <v>11</v>
      </c>
      <c r="D18" s="19" t="s">
        <v>14</v>
      </c>
      <c r="E18" s="4">
        <v>0.5</v>
      </c>
      <c r="F18" s="42">
        <v>2.0499999999999998</v>
      </c>
      <c r="G18" s="45">
        <v>890</v>
      </c>
      <c r="H18" s="22">
        <v>2.2000000000000002</v>
      </c>
      <c r="I18" s="6">
        <f t="shared" si="0"/>
        <v>2006.9499999999998</v>
      </c>
      <c r="J18" s="6" t="s">
        <v>97</v>
      </c>
      <c r="K18" s="17"/>
    </row>
    <row r="19" spans="1:11" ht="13.95" customHeight="1" x14ac:dyDescent="0.3">
      <c r="A19" s="3">
        <v>45675</v>
      </c>
      <c r="B19" s="3" t="s">
        <v>1922</v>
      </c>
      <c r="C19" s="19" t="s">
        <v>13</v>
      </c>
      <c r="D19" s="19" t="s">
        <v>14</v>
      </c>
      <c r="E19" s="4">
        <v>0.75</v>
      </c>
      <c r="F19" s="42">
        <v>2.4500000000000002</v>
      </c>
      <c r="G19" s="45">
        <v>1595</v>
      </c>
      <c r="H19" s="22">
        <v>2.2000000000000002</v>
      </c>
      <c r="I19" s="6">
        <f t="shared" si="0"/>
        <v>6447.7875000000004</v>
      </c>
      <c r="J19" s="6" t="s">
        <v>1843</v>
      </c>
      <c r="K19" s="17"/>
    </row>
    <row r="20" spans="1:11" ht="13.95" customHeight="1" x14ac:dyDescent="0.3">
      <c r="A20" s="3">
        <v>45676</v>
      </c>
      <c r="B20" s="3" t="s">
        <v>1922</v>
      </c>
      <c r="C20" s="19" t="s">
        <v>16</v>
      </c>
      <c r="D20" s="19" t="s">
        <v>14</v>
      </c>
      <c r="E20" s="4">
        <v>0.65</v>
      </c>
      <c r="F20" s="42">
        <v>2.2000000000000002</v>
      </c>
      <c r="G20" s="45">
        <v>1245</v>
      </c>
      <c r="H20" s="22">
        <v>2.2000000000000002</v>
      </c>
      <c r="I20" s="6">
        <f t="shared" si="0"/>
        <v>3916.7700000000004</v>
      </c>
      <c r="J20" s="6" t="s">
        <v>149</v>
      </c>
      <c r="K20" s="17"/>
    </row>
    <row r="21" spans="1:11" ht="13.95" customHeight="1" x14ac:dyDescent="0.3">
      <c r="A21" s="3">
        <v>45677</v>
      </c>
      <c r="B21" s="3" t="s">
        <v>1922</v>
      </c>
      <c r="C21" s="19" t="s">
        <v>18</v>
      </c>
      <c r="D21" s="19" t="s">
        <v>1259</v>
      </c>
      <c r="E21" s="4">
        <v>0.3</v>
      </c>
      <c r="F21" s="42">
        <v>1.7</v>
      </c>
      <c r="G21" s="45">
        <v>445</v>
      </c>
      <c r="H21" s="22">
        <v>2.2000000000000002</v>
      </c>
      <c r="I21" s="6">
        <f t="shared" si="0"/>
        <v>499.29</v>
      </c>
      <c r="J21" s="6" t="s">
        <v>150</v>
      </c>
      <c r="K21" s="17"/>
    </row>
    <row r="22" spans="1:11" ht="13.95" customHeight="1" x14ac:dyDescent="0.3">
      <c r="A22" s="3">
        <v>45678</v>
      </c>
      <c r="B22" s="3" t="s">
        <v>1922</v>
      </c>
      <c r="C22" s="19" t="s">
        <v>20</v>
      </c>
      <c r="D22" s="19" t="s">
        <v>1259</v>
      </c>
      <c r="E22" s="4">
        <v>0.28000000000000003</v>
      </c>
      <c r="F22" s="42">
        <v>1.7</v>
      </c>
      <c r="G22" s="45">
        <v>415</v>
      </c>
      <c r="H22" s="22">
        <v>2.2000000000000002</v>
      </c>
      <c r="I22" s="6">
        <f t="shared" si="0"/>
        <v>434.58800000000008</v>
      </c>
      <c r="J22" s="6" t="s">
        <v>1472</v>
      </c>
      <c r="K22" s="17"/>
    </row>
    <row r="23" spans="1:11" ht="13.95" customHeight="1" x14ac:dyDescent="0.3">
      <c r="A23" s="3">
        <v>45679</v>
      </c>
      <c r="B23" s="3" t="s">
        <v>1922</v>
      </c>
      <c r="C23" s="19" t="s">
        <v>5</v>
      </c>
      <c r="D23" s="19" t="s">
        <v>1259</v>
      </c>
      <c r="E23" s="4">
        <v>0.3</v>
      </c>
      <c r="F23" s="42">
        <v>1.7</v>
      </c>
      <c r="G23" s="45">
        <v>445</v>
      </c>
      <c r="H23" s="22">
        <v>2.2000000000000002</v>
      </c>
      <c r="I23" s="6">
        <f t="shared" si="0"/>
        <v>499.29</v>
      </c>
      <c r="J23" s="6" t="s">
        <v>150</v>
      </c>
      <c r="K23" s="17"/>
    </row>
    <row r="24" spans="1:11" ht="13.95" customHeight="1" x14ac:dyDescent="0.3">
      <c r="A24" s="3">
        <v>45680</v>
      </c>
      <c r="B24" s="3" t="s">
        <v>1922</v>
      </c>
      <c r="C24" s="19" t="s">
        <v>8</v>
      </c>
      <c r="D24" s="19" t="s">
        <v>1844</v>
      </c>
      <c r="E24" s="4">
        <v>0.45</v>
      </c>
      <c r="F24" s="42">
        <v>1.85</v>
      </c>
      <c r="G24" s="45">
        <v>725</v>
      </c>
      <c r="H24" s="22">
        <v>2.2000000000000002</v>
      </c>
      <c r="I24" s="6">
        <f t="shared" si="0"/>
        <v>1327.8375000000001</v>
      </c>
      <c r="J24" s="6" t="s">
        <v>1845</v>
      </c>
      <c r="K24" s="17"/>
    </row>
    <row r="25" spans="1:11" ht="13.95" customHeight="1" x14ac:dyDescent="0.3">
      <c r="A25" s="3">
        <v>45681</v>
      </c>
      <c r="B25" s="3" t="s">
        <v>1922</v>
      </c>
      <c r="C25" s="19" t="s">
        <v>11</v>
      </c>
      <c r="D25" s="19" t="s">
        <v>658</v>
      </c>
      <c r="E25" s="4">
        <v>0.65</v>
      </c>
      <c r="F25" s="42">
        <v>2.2000000000000002</v>
      </c>
      <c r="G25" s="45">
        <v>1245</v>
      </c>
      <c r="H25" s="22">
        <v>2.2000000000000002</v>
      </c>
      <c r="I25" s="6">
        <f t="shared" si="0"/>
        <v>3916.7700000000004</v>
      </c>
      <c r="J25" s="6" t="s">
        <v>1733</v>
      </c>
      <c r="K25" s="17"/>
    </row>
    <row r="26" spans="1:11" ht="13.95" customHeight="1" x14ac:dyDescent="0.3">
      <c r="A26" s="3">
        <v>45682</v>
      </c>
      <c r="B26" s="3" t="s">
        <v>1922</v>
      </c>
      <c r="C26" s="19" t="s">
        <v>13</v>
      </c>
      <c r="D26" s="19" t="s">
        <v>658</v>
      </c>
      <c r="E26" s="4">
        <v>0.85</v>
      </c>
      <c r="F26" s="42">
        <v>2.6</v>
      </c>
      <c r="G26" s="45">
        <v>1920</v>
      </c>
      <c r="H26" s="22">
        <v>2.2000000000000002</v>
      </c>
      <c r="I26" s="6">
        <f t="shared" si="0"/>
        <v>9335.0400000000009</v>
      </c>
      <c r="J26" s="6" t="s">
        <v>1323</v>
      </c>
      <c r="K26" s="17"/>
    </row>
    <row r="27" spans="1:11" ht="13.95" customHeight="1" x14ac:dyDescent="0.3">
      <c r="A27" s="3">
        <v>45683</v>
      </c>
      <c r="B27" s="3" t="s">
        <v>1922</v>
      </c>
      <c r="C27" s="19" t="s">
        <v>16</v>
      </c>
      <c r="D27" s="19" t="s">
        <v>658</v>
      </c>
      <c r="E27" s="4">
        <v>0.8</v>
      </c>
      <c r="F27" s="42">
        <v>2.35</v>
      </c>
      <c r="G27" s="45">
        <v>1635</v>
      </c>
      <c r="H27" s="22">
        <v>2.2000000000000002</v>
      </c>
      <c r="I27" s="6">
        <f t="shared" si="0"/>
        <v>6762.3600000000006</v>
      </c>
      <c r="J27" s="6" t="s">
        <v>1275</v>
      </c>
      <c r="K27" s="17"/>
    </row>
    <row r="28" spans="1:11" ht="13.95" customHeight="1" x14ac:dyDescent="0.3">
      <c r="A28" s="3">
        <v>45684</v>
      </c>
      <c r="B28" s="3" t="s">
        <v>1922</v>
      </c>
      <c r="C28" s="19" t="s">
        <v>18</v>
      </c>
      <c r="D28" s="19" t="s">
        <v>658</v>
      </c>
      <c r="E28" s="4">
        <v>0.75</v>
      </c>
      <c r="F28" s="42">
        <v>2.2000000000000002</v>
      </c>
      <c r="G28" s="45">
        <v>1435</v>
      </c>
      <c r="H28" s="22">
        <v>2.2000000000000002</v>
      </c>
      <c r="I28" s="6">
        <f t="shared" si="0"/>
        <v>5209.05</v>
      </c>
      <c r="J28" s="6" t="s">
        <v>1846</v>
      </c>
      <c r="K28" s="17"/>
    </row>
    <row r="29" spans="1:11" ht="13.95" customHeight="1" x14ac:dyDescent="0.3">
      <c r="A29" s="3">
        <v>45685</v>
      </c>
      <c r="B29" s="3" t="s">
        <v>1922</v>
      </c>
      <c r="C29" s="19" t="s">
        <v>20</v>
      </c>
      <c r="D29" s="19" t="s">
        <v>658</v>
      </c>
      <c r="E29" s="4">
        <v>0.7</v>
      </c>
      <c r="F29" s="42">
        <v>2.15</v>
      </c>
      <c r="G29" s="45">
        <v>1310</v>
      </c>
      <c r="H29" s="22">
        <v>2.2000000000000002</v>
      </c>
      <c r="I29" s="6">
        <f t="shared" si="0"/>
        <v>4337.41</v>
      </c>
      <c r="J29" s="6" t="s">
        <v>1846</v>
      </c>
      <c r="K29" s="17"/>
    </row>
    <row r="30" spans="1:11" ht="13.95" customHeight="1" x14ac:dyDescent="0.3">
      <c r="A30" s="3">
        <v>45686</v>
      </c>
      <c r="B30" s="3" t="s">
        <v>1922</v>
      </c>
      <c r="C30" s="19" t="s">
        <v>5</v>
      </c>
      <c r="D30" s="19" t="s">
        <v>658</v>
      </c>
      <c r="E30" s="4">
        <v>0.7</v>
      </c>
      <c r="F30" s="42">
        <v>2.15</v>
      </c>
      <c r="G30" s="45">
        <v>1310</v>
      </c>
      <c r="H30" s="22">
        <v>2.2000000000000002</v>
      </c>
      <c r="I30" s="6">
        <f t="shared" si="0"/>
        <v>4337.41</v>
      </c>
      <c r="J30" s="6" t="s">
        <v>1846</v>
      </c>
      <c r="K30" s="17"/>
    </row>
    <row r="31" spans="1:11" ht="13.95" customHeight="1" x14ac:dyDescent="0.3">
      <c r="A31" s="3">
        <v>45687</v>
      </c>
      <c r="B31" s="3" t="s">
        <v>1922</v>
      </c>
      <c r="C31" s="19" t="s">
        <v>8</v>
      </c>
      <c r="D31" s="19" t="s">
        <v>658</v>
      </c>
      <c r="E31" s="4">
        <v>0.75</v>
      </c>
      <c r="F31" s="42">
        <v>2.2000000000000002</v>
      </c>
      <c r="G31" s="45">
        <v>1435</v>
      </c>
      <c r="H31" s="22">
        <v>2.2000000000000002</v>
      </c>
      <c r="I31" s="6">
        <f t="shared" si="0"/>
        <v>5209.05</v>
      </c>
      <c r="J31" s="6" t="s">
        <v>339</v>
      </c>
      <c r="K31" s="17"/>
    </row>
    <row r="32" spans="1:11" ht="13.95" customHeight="1" x14ac:dyDescent="0.3">
      <c r="A32" s="3">
        <v>45688</v>
      </c>
      <c r="B32" s="3" t="s">
        <v>1922</v>
      </c>
      <c r="C32" s="19" t="s">
        <v>11</v>
      </c>
      <c r="D32" s="19" t="s">
        <v>658</v>
      </c>
      <c r="E32" s="4">
        <v>0.85</v>
      </c>
      <c r="F32" s="42">
        <v>2.35</v>
      </c>
      <c r="G32" s="45">
        <v>1740</v>
      </c>
      <c r="H32" s="22">
        <v>2.2000000000000002</v>
      </c>
      <c r="I32" s="6">
        <f t="shared" si="0"/>
        <v>7646.4300000000012</v>
      </c>
      <c r="J32" s="6" t="s">
        <v>99</v>
      </c>
      <c r="K32" s="17"/>
    </row>
    <row r="33" spans="1:11" ht="13.95" customHeight="1" x14ac:dyDescent="0.3">
      <c r="A33" s="3">
        <v>45689</v>
      </c>
      <c r="B33" s="3" t="s">
        <v>1922</v>
      </c>
      <c r="C33" s="19" t="s">
        <v>13</v>
      </c>
      <c r="D33" s="19" t="s">
        <v>1491</v>
      </c>
      <c r="E33" s="4">
        <v>0.9</v>
      </c>
      <c r="F33" s="42">
        <v>2.65</v>
      </c>
      <c r="G33" s="45">
        <v>2070</v>
      </c>
      <c r="H33" s="22">
        <v>2.2000000000000002</v>
      </c>
      <c r="I33" s="6">
        <f t="shared" si="0"/>
        <v>10861.29</v>
      </c>
      <c r="J33" s="6" t="s">
        <v>1847</v>
      </c>
      <c r="K33" s="17"/>
    </row>
    <row r="34" spans="1:11" ht="13.95" customHeight="1" x14ac:dyDescent="0.3">
      <c r="A34" s="3">
        <v>45690</v>
      </c>
      <c r="B34" s="3" t="s">
        <v>1922</v>
      </c>
      <c r="C34" s="19" t="s">
        <v>16</v>
      </c>
      <c r="D34" s="19" t="s">
        <v>1491</v>
      </c>
      <c r="E34" s="4">
        <v>0.8</v>
      </c>
      <c r="F34" s="42">
        <v>2.35</v>
      </c>
      <c r="G34" s="45">
        <v>1635</v>
      </c>
      <c r="H34" s="22">
        <v>2.2000000000000002</v>
      </c>
      <c r="I34" s="6">
        <f t="shared" si="0"/>
        <v>6762.3600000000006</v>
      </c>
      <c r="J34" s="6" t="s">
        <v>1647</v>
      </c>
      <c r="K34" s="17"/>
    </row>
    <row r="35" spans="1:11" ht="13.95" customHeight="1" x14ac:dyDescent="0.3">
      <c r="A35" s="3">
        <v>45691</v>
      </c>
      <c r="B35" s="3" t="s">
        <v>1922</v>
      </c>
      <c r="C35" s="19" t="s">
        <v>18</v>
      </c>
      <c r="D35" s="19" t="s">
        <v>1259</v>
      </c>
      <c r="E35" s="4">
        <v>0.4</v>
      </c>
      <c r="F35" s="42">
        <v>1.8</v>
      </c>
      <c r="G35" s="45">
        <v>625</v>
      </c>
      <c r="H35" s="22">
        <v>2.2000000000000002</v>
      </c>
      <c r="I35" s="6">
        <f t="shared" si="0"/>
        <v>990.00000000000011</v>
      </c>
      <c r="J35" s="6" t="s">
        <v>1639</v>
      </c>
      <c r="K35" s="17"/>
    </row>
    <row r="36" spans="1:11" ht="13.95" customHeight="1" x14ac:dyDescent="0.3">
      <c r="A36" s="3">
        <v>45692</v>
      </c>
      <c r="B36" s="3" t="s">
        <v>1922</v>
      </c>
      <c r="C36" s="19" t="s">
        <v>20</v>
      </c>
      <c r="D36" s="19" t="s">
        <v>1259</v>
      </c>
      <c r="E36" s="4">
        <v>0.35</v>
      </c>
      <c r="F36" s="42">
        <v>1.75</v>
      </c>
      <c r="G36" s="45">
        <v>530</v>
      </c>
      <c r="H36" s="22">
        <v>2.2000000000000002</v>
      </c>
      <c r="I36" s="6">
        <f t="shared" si="0"/>
        <v>714.17500000000007</v>
      </c>
      <c r="J36" s="6" t="s">
        <v>150</v>
      </c>
      <c r="K36" s="17"/>
    </row>
    <row r="37" spans="1:11" ht="13.95" customHeight="1" x14ac:dyDescent="0.3">
      <c r="A37" s="3">
        <v>45693</v>
      </c>
      <c r="B37" s="3" t="s">
        <v>1922</v>
      </c>
      <c r="C37" s="19" t="s">
        <v>5</v>
      </c>
      <c r="D37" s="19" t="s">
        <v>1259</v>
      </c>
      <c r="E37" s="4">
        <v>0.35</v>
      </c>
      <c r="F37" s="42">
        <v>1.75</v>
      </c>
      <c r="G37" s="45">
        <v>530</v>
      </c>
      <c r="H37" s="22">
        <v>2.2000000000000002</v>
      </c>
      <c r="I37" s="6">
        <f t="shared" si="0"/>
        <v>714.17500000000007</v>
      </c>
      <c r="J37" s="6" t="s">
        <v>150</v>
      </c>
      <c r="K37" s="17"/>
    </row>
    <row r="38" spans="1:11" ht="13.95" customHeight="1" x14ac:dyDescent="0.3">
      <c r="A38" s="3">
        <v>45694</v>
      </c>
      <c r="B38" s="3" t="s">
        <v>1922</v>
      </c>
      <c r="C38" s="19" t="s">
        <v>8</v>
      </c>
      <c r="D38" s="19" t="s">
        <v>1263</v>
      </c>
      <c r="E38" s="4">
        <v>0.5</v>
      </c>
      <c r="F38" s="42">
        <v>1.95</v>
      </c>
      <c r="G38" s="45">
        <v>845</v>
      </c>
      <c r="H38" s="22">
        <v>2.2000000000000002</v>
      </c>
      <c r="I38" s="6">
        <f t="shared" si="0"/>
        <v>1812.5250000000001</v>
      </c>
      <c r="J38" s="6" t="s">
        <v>1848</v>
      </c>
      <c r="K38" s="17"/>
    </row>
    <row r="39" spans="1:11" ht="13.95" customHeight="1" x14ac:dyDescent="0.3">
      <c r="A39" s="3">
        <v>45695</v>
      </c>
      <c r="B39" s="3" t="s">
        <v>1922</v>
      </c>
      <c r="C39" s="19" t="s">
        <v>11</v>
      </c>
      <c r="D39" s="19" t="s">
        <v>14</v>
      </c>
      <c r="E39" s="4">
        <v>0.55000000000000004</v>
      </c>
      <c r="F39" s="42">
        <v>2.0499999999999998</v>
      </c>
      <c r="G39" s="45">
        <v>980</v>
      </c>
      <c r="H39" s="22">
        <v>2.2000000000000002</v>
      </c>
      <c r="I39" s="6">
        <f t="shared" si="0"/>
        <v>2430.89</v>
      </c>
      <c r="J39" s="6" t="s">
        <v>1124</v>
      </c>
      <c r="K39" s="17"/>
    </row>
    <row r="40" spans="1:11" ht="13.95" customHeight="1" x14ac:dyDescent="0.3">
      <c r="A40" s="3">
        <v>45696</v>
      </c>
      <c r="B40" s="3" t="s">
        <v>1922</v>
      </c>
      <c r="C40" s="19" t="s">
        <v>13</v>
      </c>
      <c r="D40" s="19" t="s">
        <v>14</v>
      </c>
      <c r="E40" s="4">
        <v>0.75</v>
      </c>
      <c r="F40" s="42">
        <v>2.4500000000000002</v>
      </c>
      <c r="G40" s="45">
        <v>1595</v>
      </c>
      <c r="H40" s="22">
        <v>2.2000000000000002</v>
      </c>
      <c r="I40" s="6">
        <f t="shared" si="0"/>
        <v>6447.7875000000004</v>
      </c>
      <c r="J40" s="6" t="s">
        <v>1849</v>
      </c>
      <c r="K40" s="17"/>
    </row>
    <row r="41" spans="1:11" ht="13.95" customHeight="1" x14ac:dyDescent="0.3">
      <c r="A41" s="3">
        <v>45697</v>
      </c>
      <c r="B41" s="3" t="s">
        <v>1922</v>
      </c>
      <c r="C41" s="19" t="s">
        <v>16</v>
      </c>
      <c r="D41" s="19" t="s">
        <v>14</v>
      </c>
      <c r="E41" s="4">
        <v>0.6</v>
      </c>
      <c r="F41" s="42">
        <v>2.15</v>
      </c>
      <c r="G41" s="45">
        <v>1120</v>
      </c>
      <c r="H41" s="22">
        <v>2.2000000000000002</v>
      </c>
      <c r="I41" s="6">
        <f t="shared" si="0"/>
        <v>3178.56</v>
      </c>
      <c r="J41" s="6" t="s">
        <v>139</v>
      </c>
      <c r="K41" s="17"/>
    </row>
    <row r="42" spans="1:11" ht="13.95" customHeight="1" x14ac:dyDescent="0.3">
      <c r="A42" s="3">
        <v>45698</v>
      </c>
      <c r="B42" s="3" t="s">
        <v>1922</v>
      </c>
      <c r="C42" s="19" t="s">
        <v>18</v>
      </c>
      <c r="D42" s="19" t="s">
        <v>1259</v>
      </c>
      <c r="E42" s="4">
        <v>0.35</v>
      </c>
      <c r="F42" s="42">
        <v>1.75</v>
      </c>
      <c r="G42" s="45">
        <v>530</v>
      </c>
      <c r="H42" s="22">
        <v>2.2000000000000002</v>
      </c>
      <c r="I42" s="6">
        <f t="shared" si="0"/>
        <v>714.17500000000007</v>
      </c>
      <c r="J42" s="6" t="s">
        <v>150</v>
      </c>
      <c r="K42" s="17"/>
    </row>
    <row r="43" spans="1:11" ht="13.95" customHeight="1" x14ac:dyDescent="0.3">
      <c r="A43" s="3">
        <v>45699</v>
      </c>
      <c r="B43" s="3" t="s">
        <v>1922</v>
      </c>
      <c r="C43" s="19" t="s">
        <v>20</v>
      </c>
      <c r="D43" s="19" t="s">
        <v>1259</v>
      </c>
      <c r="E43" s="4">
        <v>0.32</v>
      </c>
      <c r="F43" s="42">
        <v>1.7</v>
      </c>
      <c r="G43" s="45">
        <v>470</v>
      </c>
      <c r="H43" s="22">
        <v>2.2000000000000002</v>
      </c>
      <c r="I43" s="6">
        <f t="shared" si="0"/>
        <v>562.49600000000009</v>
      </c>
      <c r="J43" s="6" t="s">
        <v>1472</v>
      </c>
      <c r="K43" s="17"/>
    </row>
    <row r="44" spans="1:11" ht="13.95" customHeight="1" x14ac:dyDescent="0.3">
      <c r="A44" s="3">
        <v>45700</v>
      </c>
      <c r="B44" s="3" t="s">
        <v>1922</v>
      </c>
      <c r="C44" s="19" t="s">
        <v>5</v>
      </c>
      <c r="D44" s="19" t="s">
        <v>1259</v>
      </c>
      <c r="E44" s="4">
        <v>0.35</v>
      </c>
      <c r="F44" s="42">
        <v>1.75</v>
      </c>
      <c r="G44" s="45">
        <v>530</v>
      </c>
      <c r="H44" s="22">
        <v>2.2000000000000002</v>
      </c>
      <c r="I44" s="6">
        <f t="shared" si="0"/>
        <v>714.17500000000007</v>
      </c>
      <c r="J44" s="6" t="s">
        <v>150</v>
      </c>
      <c r="K44" s="17"/>
    </row>
    <row r="45" spans="1:11" ht="13.95" customHeight="1" x14ac:dyDescent="0.3">
      <c r="A45" s="3">
        <v>45701</v>
      </c>
      <c r="B45" s="3" t="s">
        <v>1922</v>
      </c>
      <c r="C45" s="19" t="s">
        <v>8</v>
      </c>
      <c r="D45" s="19" t="s">
        <v>1741</v>
      </c>
      <c r="E45" s="4">
        <v>0.45</v>
      </c>
      <c r="F45" s="42">
        <v>1.9</v>
      </c>
      <c r="G45" s="45">
        <v>745</v>
      </c>
      <c r="H45" s="22">
        <v>2.2000000000000002</v>
      </c>
      <c r="I45" s="6">
        <f t="shared" si="0"/>
        <v>1401.3450000000003</v>
      </c>
      <c r="J45" s="6" t="s">
        <v>1653</v>
      </c>
      <c r="K45" s="17"/>
    </row>
    <row r="46" spans="1:11" ht="13.95" customHeight="1" x14ac:dyDescent="0.3">
      <c r="A46" s="3">
        <v>45702</v>
      </c>
      <c r="B46" s="3" t="s">
        <v>1922</v>
      </c>
      <c r="C46" s="19" t="s">
        <v>11</v>
      </c>
      <c r="D46" s="19" t="s">
        <v>557</v>
      </c>
      <c r="E46" s="4">
        <v>0.7</v>
      </c>
      <c r="F46" s="42">
        <v>2.35</v>
      </c>
      <c r="G46" s="45">
        <v>1430</v>
      </c>
      <c r="H46" s="22">
        <v>2.2000000000000002</v>
      </c>
      <c r="I46" s="6">
        <f t="shared" si="0"/>
        <v>5175.17</v>
      </c>
      <c r="J46" s="6" t="s">
        <v>1478</v>
      </c>
      <c r="K46" s="17"/>
    </row>
    <row r="47" spans="1:11" ht="13.95" customHeight="1" x14ac:dyDescent="0.3">
      <c r="A47" s="3">
        <v>45703</v>
      </c>
      <c r="B47" s="3" t="s">
        <v>1922</v>
      </c>
      <c r="C47" s="19" t="s">
        <v>13</v>
      </c>
      <c r="D47" s="19" t="s">
        <v>14</v>
      </c>
      <c r="E47" s="4">
        <v>0.8</v>
      </c>
      <c r="F47" s="42">
        <v>2.5499999999999998</v>
      </c>
      <c r="G47" s="45">
        <v>1770</v>
      </c>
      <c r="H47" s="22">
        <v>2.2000000000000002</v>
      </c>
      <c r="I47" s="6">
        <f t="shared" si="0"/>
        <v>7943.76</v>
      </c>
      <c r="J47" s="6" t="s">
        <v>1850</v>
      </c>
      <c r="K47" s="17"/>
    </row>
    <row r="48" spans="1:11" ht="13.95" customHeight="1" x14ac:dyDescent="0.3">
      <c r="A48" s="3">
        <v>45704</v>
      </c>
      <c r="B48" s="3" t="s">
        <v>1922</v>
      </c>
      <c r="C48" s="19" t="s">
        <v>16</v>
      </c>
      <c r="D48" s="19" t="s">
        <v>14</v>
      </c>
      <c r="E48" s="4">
        <v>0.65</v>
      </c>
      <c r="F48" s="42">
        <v>2.2000000000000002</v>
      </c>
      <c r="G48" s="45">
        <v>1245</v>
      </c>
      <c r="H48" s="22">
        <v>2.2000000000000002</v>
      </c>
      <c r="I48" s="6">
        <f t="shared" si="0"/>
        <v>3916.7700000000004</v>
      </c>
      <c r="J48" s="6" t="s">
        <v>149</v>
      </c>
      <c r="K48" s="17"/>
    </row>
    <row r="49" spans="1:11" ht="13.95" customHeight="1" x14ac:dyDescent="0.3">
      <c r="A49" s="3">
        <v>45705</v>
      </c>
      <c r="B49" s="3" t="s">
        <v>1922</v>
      </c>
      <c r="C49" s="19" t="s">
        <v>18</v>
      </c>
      <c r="D49" s="19" t="s">
        <v>1259</v>
      </c>
      <c r="E49" s="4">
        <v>0.35</v>
      </c>
      <c r="F49" s="42">
        <v>1.75</v>
      </c>
      <c r="G49" s="45">
        <v>530</v>
      </c>
      <c r="H49" s="22">
        <v>2.2000000000000002</v>
      </c>
      <c r="I49" s="6">
        <f t="shared" si="0"/>
        <v>714.17500000000007</v>
      </c>
      <c r="J49" s="6" t="s">
        <v>1851</v>
      </c>
      <c r="K49" s="17"/>
    </row>
    <row r="50" spans="1:11" ht="13.95" customHeight="1" x14ac:dyDescent="0.3">
      <c r="A50" s="3">
        <v>45706</v>
      </c>
      <c r="B50" s="3" t="s">
        <v>1922</v>
      </c>
      <c r="C50" s="19" t="s">
        <v>20</v>
      </c>
      <c r="D50" s="19" t="s">
        <v>1259</v>
      </c>
      <c r="E50" s="4">
        <v>0.32</v>
      </c>
      <c r="F50" s="42">
        <v>1.7</v>
      </c>
      <c r="G50" s="45">
        <v>470</v>
      </c>
      <c r="H50" s="22">
        <v>2.2000000000000002</v>
      </c>
      <c r="I50" s="6">
        <f t="shared" si="0"/>
        <v>562.49600000000009</v>
      </c>
      <c r="J50" s="6" t="s">
        <v>150</v>
      </c>
      <c r="K50" s="17"/>
    </row>
    <row r="51" spans="1:11" ht="13.95" customHeight="1" x14ac:dyDescent="0.3">
      <c r="A51" s="3">
        <v>45707</v>
      </c>
      <c r="B51" s="3" t="s">
        <v>1922</v>
      </c>
      <c r="C51" s="19" t="s">
        <v>5</v>
      </c>
      <c r="D51" s="19" t="s">
        <v>1259</v>
      </c>
      <c r="E51" s="4">
        <v>0.35</v>
      </c>
      <c r="F51" s="42">
        <v>1.75</v>
      </c>
      <c r="G51" s="45">
        <v>530</v>
      </c>
      <c r="H51" s="22">
        <v>2.2000000000000002</v>
      </c>
      <c r="I51" s="6">
        <f t="shared" si="0"/>
        <v>714.17500000000007</v>
      </c>
      <c r="J51" s="6" t="s">
        <v>150</v>
      </c>
      <c r="K51" s="17"/>
    </row>
    <row r="52" spans="1:11" ht="13.95" customHeight="1" x14ac:dyDescent="0.3">
      <c r="A52" s="3">
        <v>45708</v>
      </c>
      <c r="B52" s="3" t="s">
        <v>1922</v>
      </c>
      <c r="C52" s="19" t="s">
        <v>8</v>
      </c>
      <c r="D52" s="19" t="s">
        <v>1263</v>
      </c>
      <c r="E52" s="4">
        <v>0.55000000000000004</v>
      </c>
      <c r="F52" s="42">
        <v>1.95</v>
      </c>
      <c r="G52" s="45">
        <v>930</v>
      </c>
      <c r="H52" s="22">
        <v>2.2000000000000002</v>
      </c>
      <c r="I52" s="6">
        <f t="shared" si="0"/>
        <v>2194.3350000000005</v>
      </c>
      <c r="J52" s="6" t="s">
        <v>1852</v>
      </c>
      <c r="K52" s="17"/>
    </row>
    <row r="53" spans="1:11" ht="13.95" customHeight="1" x14ac:dyDescent="0.3">
      <c r="A53" s="3">
        <v>45709</v>
      </c>
      <c r="B53" s="3" t="s">
        <v>1922</v>
      </c>
      <c r="C53" s="19" t="s">
        <v>11</v>
      </c>
      <c r="D53" s="19" t="s">
        <v>14</v>
      </c>
      <c r="E53" s="4">
        <v>0.6</v>
      </c>
      <c r="F53" s="42">
        <v>2.1</v>
      </c>
      <c r="G53" s="45">
        <v>1095</v>
      </c>
      <c r="H53" s="22">
        <v>2.2000000000000002</v>
      </c>
      <c r="I53" s="6">
        <f t="shared" si="0"/>
        <v>3035.34</v>
      </c>
      <c r="J53" s="6" t="s">
        <v>97</v>
      </c>
      <c r="K53" s="17"/>
    </row>
    <row r="54" spans="1:11" ht="13.95" customHeight="1" x14ac:dyDescent="0.3">
      <c r="A54" s="3">
        <v>45710</v>
      </c>
      <c r="B54" s="3" t="s">
        <v>1922</v>
      </c>
      <c r="C54" s="19" t="s">
        <v>13</v>
      </c>
      <c r="D54" s="19" t="s">
        <v>14</v>
      </c>
      <c r="E54" s="4">
        <v>0.75</v>
      </c>
      <c r="F54" s="42">
        <v>2.4500000000000002</v>
      </c>
      <c r="G54" s="45">
        <v>1595</v>
      </c>
      <c r="H54" s="22">
        <v>2.2000000000000002</v>
      </c>
      <c r="I54" s="6">
        <f t="shared" si="0"/>
        <v>6447.7875000000004</v>
      </c>
      <c r="J54" s="6" t="s">
        <v>1572</v>
      </c>
      <c r="K54" s="17"/>
    </row>
    <row r="55" spans="1:11" ht="13.95" customHeight="1" x14ac:dyDescent="0.3">
      <c r="A55" s="3">
        <v>45711</v>
      </c>
      <c r="B55" s="3" t="s">
        <v>1922</v>
      </c>
      <c r="C55" s="19" t="s">
        <v>16</v>
      </c>
      <c r="D55" s="19" t="s">
        <v>14</v>
      </c>
      <c r="E55" s="4">
        <v>0.65</v>
      </c>
      <c r="F55" s="42">
        <v>2.2000000000000002</v>
      </c>
      <c r="G55" s="45">
        <v>1245</v>
      </c>
      <c r="H55" s="22">
        <v>2.2000000000000002</v>
      </c>
      <c r="I55" s="6">
        <f t="shared" si="0"/>
        <v>3916.7700000000004</v>
      </c>
      <c r="J55" s="6" t="s">
        <v>149</v>
      </c>
      <c r="K55" s="17"/>
    </row>
    <row r="56" spans="1:11" ht="13.95" customHeight="1" x14ac:dyDescent="0.3">
      <c r="A56" s="3">
        <v>45712</v>
      </c>
      <c r="B56" s="3" t="s">
        <v>1922</v>
      </c>
      <c r="C56" s="19" t="s">
        <v>18</v>
      </c>
      <c r="D56" s="19" t="s">
        <v>1259</v>
      </c>
      <c r="E56" s="4">
        <v>0.3</v>
      </c>
      <c r="F56" s="42">
        <v>1.7</v>
      </c>
      <c r="G56" s="45">
        <v>445</v>
      </c>
      <c r="H56" s="22">
        <v>2.2000000000000002</v>
      </c>
      <c r="I56" s="6">
        <f t="shared" si="0"/>
        <v>499.29</v>
      </c>
      <c r="J56" s="6" t="s">
        <v>150</v>
      </c>
      <c r="K56" s="17"/>
    </row>
    <row r="57" spans="1:11" ht="13.95" customHeight="1" x14ac:dyDescent="0.3">
      <c r="A57" s="3">
        <v>45713</v>
      </c>
      <c r="B57" s="3" t="s">
        <v>1922</v>
      </c>
      <c r="C57" s="19" t="s">
        <v>20</v>
      </c>
      <c r="D57" s="19" t="s">
        <v>1259</v>
      </c>
      <c r="E57" s="4">
        <v>0.3</v>
      </c>
      <c r="F57" s="42">
        <v>1.7</v>
      </c>
      <c r="G57" s="45">
        <v>445</v>
      </c>
      <c r="H57" s="22">
        <v>2.2000000000000002</v>
      </c>
      <c r="I57" s="6">
        <f t="shared" si="0"/>
        <v>499.29</v>
      </c>
      <c r="J57" s="6" t="s">
        <v>150</v>
      </c>
      <c r="K57" s="17"/>
    </row>
    <row r="58" spans="1:11" ht="13.95" customHeight="1" x14ac:dyDescent="0.3">
      <c r="A58" s="3">
        <v>45714</v>
      </c>
      <c r="B58" s="3" t="s">
        <v>1922</v>
      </c>
      <c r="C58" s="19" t="s">
        <v>5</v>
      </c>
      <c r="D58" s="19" t="s">
        <v>1259</v>
      </c>
      <c r="E58" s="4">
        <v>0.32</v>
      </c>
      <c r="F58" s="42">
        <v>1.75</v>
      </c>
      <c r="G58" s="45">
        <v>485</v>
      </c>
      <c r="H58" s="22">
        <v>2.2000000000000002</v>
      </c>
      <c r="I58" s="6">
        <f t="shared" si="0"/>
        <v>597.5200000000001</v>
      </c>
      <c r="J58" s="6" t="s">
        <v>150</v>
      </c>
      <c r="K58" s="17"/>
    </row>
    <row r="59" spans="1:11" ht="13.95" customHeight="1" x14ac:dyDescent="0.3">
      <c r="A59" s="3">
        <v>45715</v>
      </c>
      <c r="B59" s="3" t="s">
        <v>1922</v>
      </c>
      <c r="C59" s="19" t="s">
        <v>8</v>
      </c>
      <c r="D59" s="19" t="s">
        <v>44</v>
      </c>
      <c r="E59" s="4">
        <v>0.45</v>
      </c>
      <c r="F59" s="42">
        <v>1.9</v>
      </c>
      <c r="G59" s="45">
        <v>745</v>
      </c>
      <c r="H59" s="22">
        <v>2.2000000000000002</v>
      </c>
      <c r="I59" s="6">
        <f t="shared" si="0"/>
        <v>1401.3450000000003</v>
      </c>
      <c r="J59" s="6" t="s">
        <v>1500</v>
      </c>
      <c r="K59" s="17"/>
    </row>
    <row r="60" spans="1:11" ht="13.95" customHeight="1" x14ac:dyDescent="0.3">
      <c r="A60" s="3">
        <v>45716</v>
      </c>
      <c r="B60" s="3" t="s">
        <v>1922</v>
      </c>
      <c r="C60" s="19" t="s">
        <v>11</v>
      </c>
      <c r="D60" s="19" t="s">
        <v>1417</v>
      </c>
      <c r="E60" s="4">
        <v>0.6</v>
      </c>
      <c r="F60" s="42">
        <v>2.2000000000000002</v>
      </c>
      <c r="G60" s="45">
        <v>1145</v>
      </c>
      <c r="H60" s="22">
        <v>2.2000000000000002</v>
      </c>
      <c r="I60" s="6">
        <f t="shared" si="0"/>
        <v>3325.0800000000004</v>
      </c>
      <c r="J60" s="6" t="s">
        <v>1853</v>
      </c>
      <c r="K60" s="17"/>
    </row>
    <row r="61" spans="1:11" ht="13.95" customHeight="1" x14ac:dyDescent="0.3">
      <c r="A61" s="3">
        <v>45717</v>
      </c>
      <c r="B61" s="3" t="s">
        <v>1922</v>
      </c>
      <c r="C61" s="19" t="s">
        <v>13</v>
      </c>
      <c r="D61" s="19" t="s">
        <v>708</v>
      </c>
      <c r="E61" s="4">
        <v>0.65</v>
      </c>
      <c r="F61" s="42">
        <v>2.6</v>
      </c>
      <c r="G61" s="45">
        <v>1475</v>
      </c>
      <c r="H61" s="22">
        <v>2.2000000000000002</v>
      </c>
      <c r="I61" s="6">
        <f t="shared" si="0"/>
        <v>5484.05</v>
      </c>
      <c r="J61" s="6" t="s">
        <v>1854</v>
      </c>
      <c r="K61" s="17"/>
    </row>
    <row r="62" spans="1:11" ht="13.95" customHeight="1" x14ac:dyDescent="0.3">
      <c r="A62" s="3">
        <v>45718</v>
      </c>
      <c r="B62" s="3" t="s">
        <v>1922</v>
      </c>
      <c r="C62" s="19" t="s">
        <v>16</v>
      </c>
      <c r="D62" s="19" t="s">
        <v>76</v>
      </c>
      <c r="E62" s="4">
        <v>0.55000000000000004</v>
      </c>
      <c r="F62" s="42">
        <v>2.2000000000000002</v>
      </c>
      <c r="G62" s="45">
        <v>1065</v>
      </c>
      <c r="H62" s="22">
        <v>2.2000000000000002</v>
      </c>
      <c r="I62" s="6">
        <f t="shared" si="0"/>
        <v>2835.0300000000007</v>
      </c>
      <c r="J62" s="6" t="s">
        <v>1855</v>
      </c>
      <c r="K62" s="17"/>
    </row>
    <row r="63" spans="1:11" ht="13.95" customHeight="1" x14ac:dyDescent="0.3">
      <c r="A63" s="3">
        <v>45719</v>
      </c>
      <c r="B63" s="3" t="s">
        <v>1922</v>
      </c>
      <c r="C63" s="19" t="s">
        <v>18</v>
      </c>
      <c r="D63" s="19" t="s">
        <v>76</v>
      </c>
      <c r="E63" s="4">
        <v>0.35</v>
      </c>
      <c r="F63" s="42">
        <v>1.8</v>
      </c>
      <c r="G63" s="45">
        <v>545</v>
      </c>
      <c r="H63" s="22">
        <v>2.2000000000000002</v>
      </c>
      <c r="I63" s="6">
        <f t="shared" si="0"/>
        <v>755.37000000000012</v>
      </c>
      <c r="J63" s="6" t="s">
        <v>1297</v>
      </c>
      <c r="K63" s="17"/>
    </row>
    <row r="64" spans="1:11" ht="13.95" customHeight="1" x14ac:dyDescent="0.3">
      <c r="A64" s="3">
        <v>45720</v>
      </c>
      <c r="B64" s="3" t="s">
        <v>1922</v>
      </c>
      <c r="C64" s="19" t="s">
        <v>20</v>
      </c>
      <c r="D64" s="19" t="s">
        <v>76</v>
      </c>
      <c r="E64" s="4">
        <v>0.3</v>
      </c>
      <c r="F64" s="42">
        <v>1.75</v>
      </c>
      <c r="G64" s="45">
        <v>460</v>
      </c>
      <c r="H64" s="22">
        <v>2.2000000000000002</v>
      </c>
      <c r="I64" s="6">
        <f t="shared" si="0"/>
        <v>531.30000000000007</v>
      </c>
      <c r="J64" s="6" t="s">
        <v>1297</v>
      </c>
      <c r="K64" s="17"/>
    </row>
    <row r="65" spans="1:11" ht="13.95" customHeight="1" x14ac:dyDescent="0.3">
      <c r="A65" s="3">
        <v>45721</v>
      </c>
      <c r="B65" s="3" t="s">
        <v>1922</v>
      </c>
      <c r="C65" s="19" t="s">
        <v>5</v>
      </c>
      <c r="D65" s="19" t="s">
        <v>76</v>
      </c>
      <c r="E65" s="4">
        <v>0.35</v>
      </c>
      <c r="F65" s="42">
        <v>1.8</v>
      </c>
      <c r="G65" s="45">
        <v>545</v>
      </c>
      <c r="H65" s="22">
        <v>2.2000000000000002</v>
      </c>
      <c r="I65" s="6">
        <f t="shared" si="0"/>
        <v>755.37000000000012</v>
      </c>
      <c r="J65" s="6" t="s">
        <v>71</v>
      </c>
      <c r="K65" s="17"/>
    </row>
    <row r="66" spans="1:11" ht="13.95" customHeight="1" x14ac:dyDescent="0.3">
      <c r="A66" s="3">
        <v>45722</v>
      </c>
      <c r="B66" s="3" t="s">
        <v>1922</v>
      </c>
      <c r="C66" s="19" t="s">
        <v>8</v>
      </c>
      <c r="D66" s="19" t="s">
        <v>1263</v>
      </c>
      <c r="E66" s="4">
        <v>0.5</v>
      </c>
      <c r="F66" s="42">
        <v>1.95</v>
      </c>
      <c r="G66" s="45">
        <v>845</v>
      </c>
      <c r="H66" s="22">
        <v>2.2000000000000002</v>
      </c>
      <c r="I66" s="6">
        <f t="shared" ref="I66:I129" si="1">(G66*E66)*F66*H66</f>
        <v>1812.5250000000001</v>
      </c>
      <c r="J66" s="6" t="s">
        <v>1856</v>
      </c>
      <c r="K66" s="17"/>
    </row>
    <row r="67" spans="1:11" ht="13.95" customHeight="1" x14ac:dyDescent="0.3">
      <c r="A67" s="3">
        <v>45723</v>
      </c>
      <c r="B67" s="3" t="s">
        <v>1922</v>
      </c>
      <c r="C67" s="19" t="s">
        <v>11</v>
      </c>
      <c r="D67" s="19" t="s">
        <v>14</v>
      </c>
      <c r="E67" s="4">
        <v>0.6</v>
      </c>
      <c r="F67" s="42">
        <v>2.2999999999999998</v>
      </c>
      <c r="G67" s="45">
        <v>1200</v>
      </c>
      <c r="H67" s="22">
        <v>2.2000000000000002</v>
      </c>
      <c r="I67" s="6">
        <f t="shared" si="1"/>
        <v>3643.2</v>
      </c>
      <c r="J67" s="6" t="s">
        <v>1302</v>
      </c>
      <c r="K67" s="17"/>
    </row>
    <row r="68" spans="1:11" ht="13.95" customHeight="1" x14ac:dyDescent="0.3">
      <c r="A68" s="3">
        <v>45724</v>
      </c>
      <c r="B68" s="3" t="s">
        <v>1922</v>
      </c>
      <c r="C68" s="19" t="s">
        <v>13</v>
      </c>
      <c r="D68" s="19" t="s">
        <v>850</v>
      </c>
      <c r="E68" s="4">
        <v>0.85</v>
      </c>
      <c r="F68" s="42">
        <v>2.75</v>
      </c>
      <c r="G68" s="45">
        <v>2030</v>
      </c>
      <c r="H68" s="22">
        <v>2.2000000000000002</v>
      </c>
      <c r="I68" s="6">
        <f t="shared" si="1"/>
        <v>10439.275000000001</v>
      </c>
      <c r="J68" s="6" t="s">
        <v>1857</v>
      </c>
      <c r="K68" s="17"/>
    </row>
    <row r="69" spans="1:11" ht="13.95" customHeight="1" x14ac:dyDescent="0.3">
      <c r="A69" s="3">
        <v>45725</v>
      </c>
      <c r="B69" s="3" t="s">
        <v>1922</v>
      </c>
      <c r="C69" s="19" t="s">
        <v>16</v>
      </c>
      <c r="D69" s="19" t="s">
        <v>76</v>
      </c>
      <c r="E69" s="4">
        <v>0.7</v>
      </c>
      <c r="F69" s="42">
        <v>2.2999999999999998</v>
      </c>
      <c r="G69" s="45">
        <v>1400</v>
      </c>
      <c r="H69" s="22">
        <v>2.2000000000000002</v>
      </c>
      <c r="I69" s="6">
        <f t="shared" si="1"/>
        <v>4958.7999999999993</v>
      </c>
      <c r="J69" s="6" t="s">
        <v>139</v>
      </c>
      <c r="K69" s="17"/>
    </row>
    <row r="70" spans="1:11" ht="13.95" customHeight="1" x14ac:dyDescent="0.3">
      <c r="A70" s="3">
        <v>45726</v>
      </c>
      <c r="B70" s="3" t="s">
        <v>1922</v>
      </c>
      <c r="C70" s="19" t="s">
        <v>18</v>
      </c>
      <c r="D70" s="19" t="s">
        <v>76</v>
      </c>
      <c r="E70" s="4">
        <v>0.35</v>
      </c>
      <c r="F70" s="42">
        <v>1.8</v>
      </c>
      <c r="G70" s="45">
        <v>545</v>
      </c>
      <c r="H70" s="22">
        <v>2.2000000000000002</v>
      </c>
      <c r="I70" s="6">
        <f t="shared" si="1"/>
        <v>755.37000000000012</v>
      </c>
      <c r="J70" s="6" t="s">
        <v>150</v>
      </c>
      <c r="K70" s="17"/>
    </row>
    <row r="71" spans="1:11" ht="13.95" customHeight="1" x14ac:dyDescent="0.3">
      <c r="A71" s="3">
        <v>45727</v>
      </c>
      <c r="B71" s="3" t="s">
        <v>1922</v>
      </c>
      <c r="C71" s="19" t="s">
        <v>20</v>
      </c>
      <c r="D71" s="19" t="s">
        <v>76</v>
      </c>
      <c r="E71" s="4">
        <v>0.3</v>
      </c>
      <c r="F71" s="42">
        <v>1.75</v>
      </c>
      <c r="G71" s="45">
        <v>460</v>
      </c>
      <c r="H71" s="22">
        <v>2.2000000000000002</v>
      </c>
      <c r="I71" s="6">
        <f t="shared" si="1"/>
        <v>531.30000000000007</v>
      </c>
      <c r="J71" s="6" t="s">
        <v>150</v>
      </c>
      <c r="K71" s="17"/>
    </row>
    <row r="72" spans="1:11" ht="13.95" customHeight="1" x14ac:dyDescent="0.3">
      <c r="A72" s="3">
        <v>45728</v>
      </c>
      <c r="B72" s="3" t="s">
        <v>1922</v>
      </c>
      <c r="C72" s="19" t="s">
        <v>5</v>
      </c>
      <c r="D72" s="19" t="s">
        <v>76</v>
      </c>
      <c r="E72" s="4">
        <v>0.35</v>
      </c>
      <c r="F72" s="42">
        <v>1.8</v>
      </c>
      <c r="G72" s="45">
        <v>545</v>
      </c>
      <c r="H72" s="22">
        <v>2.2000000000000002</v>
      </c>
      <c r="I72" s="6">
        <f t="shared" si="1"/>
        <v>755.37000000000012</v>
      </c>
      <c r="J72" s="6" t="s">
        <v>150</v>
      </c>
      <c r="K72" s="17"/>
    </row>
    <row r="73" spans="1:11" ht="13.95" customHeight="1" x14ac:dyDescent="0.3">
      <c r="A73" s="3">
        <v>45729</v>
      </c>
      <c r="B73" s="3" t="s">
        <v>1922</v>
      </c>
      <c r="C73" s="19" t="s">
        <v>8</v>
      </c>
      <c r="D73" s="19" t="s">
        <v>76</v>
      </c>
      <c r="E73" s="4">
        <v>0.4</v>
      </c>
      <c r="F73" s="42">
        <v>1.9</v>
      </c>
      <c r="G73" s="45">
        <v>660</v>
      </c>
      <c r="H73" s="22">
        <v>2.2000000000000002</v>
      </c>
      <c r="I73" s="6">
        <f t="shared" si="1"/>
        <v>1103.52</v>
      </c>
      <c r="J73" s="6" t="s">
        <v>483</v>
      </c>
      <c r="K73" s="17"/>
    </row>
    <row r="74" spans="1:11" ht="13.95" customHeight="1" x14ac:dyDescent="0.3">
      <c r="A74" s="3">
        <v>45730</v>
      </c>
      <c r="B74" s="3" t="s">
        <v>1922</v>
      </c>
      <c r="C74" s="19" t="s">
        <v>11</v>
      </c>
      <c r="D74" s="19" t="s">
        <v>14</v>
      </c>
      <c r="E74" s="4">
        <v>0.55000000000000004</v>
      </c>
      <c r="F74" s="42">
        <v>2.2999999999999998</v>
      </c>
      <c r="G74" s="45">
        <v>1100</v>
      </c>
      <c r="H74" s="22">
        <v>2.2000000000000002</v>
      </c>
      <c r="I74" s="6">
        <f t="shared" si="1"/>
        <v>3061.3</v>
      </c>
      <c r="J74" s="6" t="s">
        <v>97</v>
      </c>
      <c r="K74" s="17"/>
    </row>
    <row r="75" spans="1:11" ht="13.95" customHeight="1" x14ac:dyDescent="0.3">
      <c r="A75" s="3">
        <v>45731</v>
      </c>
      <c r="B75" s="3" t="s">
        <v>1922</v>
      </c>
      <c r="C75" s="19" t="s">
        <v>13</v>
      </c>
      <c r="D75" s="19" t="s">
        <v>76</v>
      </c>
      <c r="E75" s="4">
        <v>0.75</v>
      </c>
      <c r="F75" s="42">
        <v>2.65</v>
      </c>
      <c r="G75" s="45">
        <v>1730</v>
      </c>
      <c r="H75" s="22">
        <v>2.2000000000000002</v>
      </c>
      <c r="I75" s="6">
        <f t="shared" si="1"/>
        <v>7564.4250000000002</v>
      </c>
      <c r="J75" s="6" t="s">
        <v>1858</v>
      </c>
      <c r="K75" s="17"/>
    </row>
    <row r="76" spans="1:11" ht="13.95" customHeight="1" x14ac:dyDescent="0.3">
      <c r="A76" s="3">
        <v>45732</v>
      </c>
      <c r="B76" s="3" t="s">
        <v>1922</v>
      </c>
      <c r="C76" s="19" t="s">
        <v>16</v>
      </c>
      <c r="D76" s="19" t="s">
        <v>76</v>
      </c>
      <c r="E76" s="4">
        <v>0.6</v>
      </c>
      <c r="F76" s="42">
        <v>2.25</v>
      </c>
      <c r="G76" s="45">
        <v>1175</v>
      </c>
      <c r="H76" s="22">
        <v>2.2000000000000002</v>
      </c>
      <c r="I76" s="6">
        <f t="shared" si="1"/>
        <v>3489.7500000000005</v>
      </c>
      <c r="J76" s="6" t="s">
        <v>149</v>
      </c>
      <c r="K76" s="17"/>
    </row>
    <row r="77" spans="1:11" ht="13.95" customHeight="1" x14ac:dyDescent="0.3">
      <c r="A77" s="3">
        <v>45733</v>
      </c>
      <c r="B77" s="3" t="s">
        <v>1922</v>
      </c>
      <c r="C77" s="19" t="s">
        <v>18</v>
      </c>
      <c r="D77" s="19" t="s">
        <v>76</v>
      </c>
      <c r="E77" s="4">
        <v>0.35</v>
      </c>
      <c r="F77" s="42">
        <v>1.8</v>
      </c>
      <c r="G77" s="45">
        <v>545</v>
      </c>
      <c r="H77" s="22">
        <v>2.2000000000000002</v>
      </c>
      <c r="I77" s="6">
        <f t="shared" si="1"/>
        <v>755.37000000000012</v>
      </c>
      <c r="J77" s="6" t="s">
        <v>150</v>
      </c>
      <c r="K77" s="17"/>
    </row>
    <row r="78" spans="1:11" ht="13.95" customHeight="1" x14ac:dyDescent="0.3">
      <c r="A78" s="3">
        <v>45734</v>
      </c>
      <c r="B78" s="3" t="s">
        <v>1922</v>
      </c>
      <c r="C78" s="19" t="s">
        <v>20</v>
      </c>
      <c r="D78" s="19" t="s">
        <v>76</v>
      </c>
      <c r="E78" s="4">
        <v>0.3</v>
      </c>
      <c r="F78" s="42">
        <v>1.75</v>
      </c>
      <c r="G78" s="45">
        <v>460</v>
      </c>
      <c r="H78" s="22">
        <v>2.2000000000000002</v>
      </c>
      <c r="I78" s="6">
        <f t="shared" si="1"/>
        <v>531.30000000000007</v>
      </c>
      <c r="J78" s="6" t="s">
        <v>150</v>
      </c>
      <c r="K78" s="17"/>
    </row>
    <row r="79" spans="1:11" ht="13.95" customHeight="1" x14ac:dyDescent="0.3">
      <c r="A79" s="3">
        <v>45735</v>
      </c>
      <c r="B79" s="3" t="s">
        <v>1922</v>
      </c>
      <c r="C79" s="19" t="s">
        <v>5</v>
      </c>
      <c r="D79" s="19" t="s">
        <v>994</v>
      </c>
      <c r="E79" s="4">
        <v>0.5</v>
      </c>
      <c r="F79" s="42">
        <v>2.1</v>
      </c>
      <c r="G79" s="45">
        <v>910</v>
      </c>
      <c r="H79" s="22">
        <v>2.2000000000000002</v>
      </c>
      <c r="I79" s="6">
        <f t="shared" si="1"/>
        <v>2102.1000000000004</v>
      </c>
      <c r="J79" s="6" t="s">
        <v>1466</v>
      </c>
      <c r="K79" s="17"/>
    </row>
    <row r="80" spans="1:11" ht="13.95" customHeight="1" x14ac:dyDescent="0.3">
      <c r="A80" s="3">
        <v>45736</v>
      </c>
      <c r="B80" s="3" t="s">
        <v>1922</v>
      </c>
      <c r="C80" s="19" t="s">
        <v>8</v>
      </c>
      <c r="D80" s="19" t="s">
        <v>383</v>
      </c>
      <c r="E80" s="4">
        <v>0.7</v>
      </c>
      <c r="F80" s="42">
        <v>2.4500000000000002</v>
      </c>
      <c r="G80" s="45">
        <v>1490</v>
      </c>
      <c r="H80" s="22">
        <v>2.2000000000000002</v>
      </c>
      <c r="I80" s="6">
        <f t="shared" si="1"/>
        <v>5621.7700000000013</v>
      </c>
      <c r="J80" s="6" t="s">
        <v>1859</v>
      </c>
      <c r="K80" s="17"/>
    </row>
    <row r="81" spans="1:11" ht="13.95" customHeight="1" x14ac:dyDescent="0.3">
      <c r="A81" s="3">
        <v>45737</v>
      </c>
      <c r="B81" s="3" t="s">
        <v>1922</v>
      </c>
      <c r="C81" s="19" t="s">
        <v>11</v>
      </c>
      <c r="D81" s="19" t="s">
        <v>14</v>
      </c>
      <c r="E81" s="4">
        <v>0.65</v>
      </c>
      <c r="F81" s="42">
        <v>2.35</v>
      </c>
      <c r="G81" s="45">
        <v>1325</v>
      </c>
      <c r="H81" s="22">
        <v>2.2000000000000002</v>
      </c>
      <c r="I81" s="6">
        <f t="shared" si="1"/>
        <v>4452.6625000000004</v>
      </c>
      <c r="J81" s="6" t="s">
        <v>97</v>
      </c>
      <c r="K81" s="17"/>
    </row>
    <row r="82" spans="1:11" ht="13.95" customHeight="1" x14ac:dyDescent="0.3">
      <c r="A82" s="3">
        <v>45738</v>
      </c>
      <c r="B82" s="3" t="s">
        <v>1922</v>
      </c>
      <c r="C82" s="19" t="s">
        <v>13</v>
      </c>
      <c r="D82" s="19" t="s">
        <v>76</v>
      </c>
      <c r="E82" s="4">
        <v>0.8</v>
      </c>
      <c r="F82" s="42">
        <v>2.7</v>
      </c>
      <c r="G82" s="45">
        <v>1875</v>
      </c>
      <c r="H82" s="22">
        <v>2.2000000000000002</v>
      </c>
      <c r="I82" s="6">
        <f t="shared" si="1"/>
        <v>8910.0000000000018</v>
      </c>
      <c r="J82" s="6" t="s">
        <v>1860</v>
      </c>
      <c r="K82" s="17"/>
    </row>
    <row r="83" spans="1:11" ht="13.95" customHeight="1" x14ac:dyDescent="0.3">
      <c r="A83" s="3">
        <v>45739</v>
      </c>
      <c r="B83" s="3" t="s">
        <v>1922</v>
      </c>
      <c r="C83" s="19" t="s">
        <v>16</v>
      </c>
      <c r="D83" s="19" t="s">
        <v>76</v>
      </c>
      <c r="E83" s="4">
        <v>0.7</v>
      </c>
      <c r="F83" s="42">
        <v>2.2999999999999998</v>
      </c>
      <c r="G83" s="45">
        <v>1400</v>
      </c>
      <c r="H83" s="22">
        <v>2.2000000000000002</v>
      </c>
      <c r="I83" s="6">
        <f t="shared" si="1"/>
        <v>4958.7999999999993</v>
      </c>
      <c r="J83" s="6" t="s">
        <v>149</v>
      </c>
      <c r="K83" s="17"/>
    </row>
    <row r="84" spans="1:11" ht="13.95" customHeight="1" x14ac:dyDescent="0.3">
      <c r="A84" s="3">
        <v>45740</v>
      </c>
      <c r="B84" s="3" t="s">
        <v>1922</v>
      </c>
      <c r="C84" s="19" t="s">
        <v>18</v>
      </c>
      <c r="D84" s="19" t="s">
        <v>76</v>
      </c>
      <c r="E84" s="4">
        <v>0.35</v>
      </c>
      <c r="F84" s="42">
        <v>1.85</v>
      </c>
      <c r="G84" s="45">
        <v>560</v>
      </c>
      <c r="H84" s="22">
        <v>2.2000000000000002</v>
      </c>
      <c r="I84" s="6">
        <f t="shared" si="1"/>
        <v>797.72000000000014</v>
      </c>
      <c r="J84" s="6" t="s">
        <v>150</v>
      </c>
      <c r="K84" s="17"/>
    </row>
    <row r="85" spans="1:11" ht="13.95" customHeight="1" x14ac:dyDescent="0.3">
      <c r="A85" s="3">
        <v>45741</v>
      </c>
      <c r="B85" s="3" t="s">
        <v>1922</v>
      </c>
      <c r="C85" s="19" t="s">
        <v>20</v>
      </c>
      <c r="D85" s="19" t="s">
        <v>76</v>
      </c>
      <c r="E85" s="4">
        <v>0.35</v>
      </c>
      <c r="F85" s="42">
        <v>1.8</v>
      </c>
      <c r="G85" s="45">
        <v>545</v>
      </c>
      <c r="H85" s="22">
        <v>2.2000000000000002</v>
      </c>
      <c r="I85" s="6">
        <f t="shared" si="1"/>
        <v>755.37000000000012</v>
      </c>
      <c r="J85" s="6" t="s">
        <v>150</v>
      </c>
      <c r="K85" s="17"/>
    </row>
    <row r="86" spans="1:11" ht="13.95" customHeight="1" x14ac:dyDescent="0.3">
      <c r="A86" s="3">
        <v>45742</v>
      </c>
      <c r="B86" s="3" t="s">
        <v>1922</v>
      </c>
      <c r="C86" s="19" t="s">
        <v>5</v>
      </c>
      <c r="D86" s="19" t="s">
        <v>76</v>
      </c>
      <c r="E86" s="4">
        <v>0.4</v>
      </c>
      <c r="F86" s="42">
        <v>1.9</v>
      </c>
      <c r="G86" s="45">
        <v>660</v>
      </c>
      <c r="H86" s="22">
        <v>2.2000000000000002</v>
      </c>
      <c r="I86" s="6">
        <f t="shared" si="1"/>
        <v>1103.52</v>
      </c>
      <c r="J86" s="6" t="s">
        <v>1440</v>
      </c>
      <c r="K86" s="17"/>
    </row>
    <row r="87" spans="1:11" ht="13.95" customHeight="1" x14ac:dyDescent="0.3">
      <c r="A87" s="3">
        <v>45743</v>
      </c>
      <c r="B87" s="3" t="s">
        <v>1922</v>
      </c>
      <c r="C87" s="19" t="s">
        <v>8</v>
      </c>
      <c r="D87" s="19" t="s">
        <v>1760</v>
      </c>
      <c r="E87" s="4">
        <v>0.6</v>
      </c>
      <c r="F87" s="42">
        <v>2.2000000000000002</v>
      </c>
      <c r="G87" s="45">
        <v>1145</v>
      </c>
      <c r="H87" s="22">
        <v>2.2000000000000002</v>
      </c>
      <c r="I87" s="6">
        <f t="shared" si="1"/>
        <v>3325.0800000000004</v>
      </c>
      <c r="J87" s="6" t="s">
        <v>1488</v>
      </c>
      <c r="K87" s="17"/>
    </row>
    <row r="88" spans="1:11" ht="13.95" customHeight="1" x14ac:dyDescent="0.3">
      <c r="A88" s="3">
        <v>45744</v>
      </c>
      <c r="B88" s="3" t="s">
        <v>1922</v>
      </c>
      <c r="C88" s="19" t="s">
        <v>11</v>
      </c>
      <c r="D88" s="19" t="s">
        <v>1310</v>
      </c>
      <c r="E88" s="4">
        <v>0.85</v>
      </c>
      <c r="F88" s="42">
        <v>2.8</v>
      </c>
      <c r="G88" s="45">
        <v>2070</v>
      </c>
      <c r="H88" s="22">
        <v>2.2000000000000002</v>
      </c>
      <c r="I88" s="6">
        <f t="shared" si="1"/>
        <v>10838.52</v>
      </c>
      <c r="J88" s="6" t="s">
        <v>1861</v>
      </c>
      <c r="K88" s="17"/>
    </row>
    <row r="89" spans="1:11" ht="13.95" customHeight="1" x14ac:dyDescent="0.3">
      <c r="A89" s="3">
        <v>45745</v>
      </c>
      <c r="B89" s="3" t="s">
        <v>1922</v>
      </c>
      <c r="C89" s="19" t="s">
        <v>13</v>
      </c>
      <c r="D89" s="19" t="s">
        <v>904</v>
      </c>
      <c r="E89" s="4">
        <v>0.9</v>
      </c>
      <c r="F89" s="42">
        <v>2.9</v>
      </c>
      <c r="G89" s="45">
        <v>2270</v>
      </c>
      <c r="H89" s="22">
        <v>2.2000000000000002</v>
      </c>
      <c r="I89" s="6">
        <f t="shared" si="1"/>
        <v>13034.34</v>
      </c>
      <c r="J89" s="6" t="s">
        <v>1763</v>
      </c>
      <c r="K89" s="17"/>
    </row>
    <row r="90" spans="1:11" ht="13.95" customHeight="1" x14ac:dyDescent="0.3">
      <c r="A90" s="3">
        <v>45746</v>
      </c>
      <c r="B90" s="3" t="s">
        <v>1922</v>
      </c>
      <c r="C90" s="19" t="s">
        <v>16</v>
      </c>
      <c r="D90" s="19" t="s">
        <v>574</v>
      </c>
      <c r="E90" s="4">
        <v>1</v>
      </c>
      <c r="F90" s="42">
        <v>3.15</v>
      </c>
      <c r="G90" s="45">
        <v>2735</v>
      </c>
      <c r="H90" s="22">
        <v>2.2000000000000002</v>
      </c>
      <c r="I90" s="6">
        <f t="shared" si="1"/>
        <v>18953.550000000003</v>
      </c>
      <c r="J90" s="6" t="s">
        <v>1775</v>
      </c>
      <c r="K90" s="17"/>
    </row>
    <row r="91" spans="1:11" ht="13.95" customHeight="1" x14ac:dyDescent="0.3">
      <c r="A91" s="3">
        <v>45747</v>
      </c>
      <c r="B91" s="3" t="s">
        <v>1922</v>
      </c>
      <c r="C91" s="19" t="s">
        <v>18</v>
      </c>
      <c r="D91" s="19" t="s">
        <v>574</v>
      </c>
      <c r="E91" s="4">
        <v>0.95</v>
      </c>
      <c r="F91" s="42">
        <v>2.8</v>
      </c>
      <c r="G91" s="45">
        <v>2315</v>
      </c>
      <c r="H91" s="22">
        <v>2.2000000000000002</v>
      </c>
      <c r="I91" s="6">
        <f t="shared" si="1"/>
        <v>13547.380000000001</v>
      </c>
      <c r="J91" s="6" t="s">
        <v>1862</v>
      </c>
      <c r="K91" s="17"/>
    </row>
    <row r="92" spans="1:11" ht="13.95" customHeight="1" x14ac:dyDescent="0.3">
      <c r="A92" s="3">
        <v>45748</v>
      </c>
      <c r="B92" s="3" t="s">
        <v>1922</v>
      </c>
      <c r="C92" s="19" t="s">
        <v>20</v>
      </c>
      <c r="D92" s="19" t="s">
        <v>1314</v>
      </c>
      <c r="E92" s="4">
        <v>0.65</v>
      </c>
      <c r="F92" s="42">
        <v>2.1</v>
      </c>
      <c r="G92" s="45">
        <v>1185</v>
      </c>
      <c r="H92" s="22">
        <v>2.2000000000000002</v>
      </c>
      <c r="I92" s="6">
        <f t="shared" si="1"/>
        <v>3558.5550000000003</v>
      </c>
      <c r="J92" s="6" t="s">
        <v>1863</v>
      </c>
      <c r="K92" s="17"/>
    </row>
    <row r="93" spans="1:11" ht="13.95" customHeight="1" x14ac:dyDescent="0.3">
      <c r="A93" s="3">
        <v>45749</v>
      </c>
      <c r="B93" s="3" t="s">
        <v>1922</v>
      </c>
      <c r="C93" s="19" t="s">
        <v>5</v>
      </c>
      <c r="D93" s="19" t="s">
        <v>1259</v>
      </c>
      <c r="E93" s="4">
        <v>0.5</v>
      </c>
      <c r="F93" s="42">
        <v>1.85</v>
      </c>
      <c r="G93" s="45">
        <v>805</v>
      </c>
      <c r="H93" s="22">
        <v>2.2000000000000002</v>
      </c>
      <c r="I93" s="6">
        <f t="shared" si="1"/>
        <v>1638.1750000000002</v>
      </c>
      <c r="J93" s="6" t="s">
        <v>150</v>
      </c>
      <c r="K93" s="17"/>
    </row>
    <row r="94" spans="1:11" ht="13.95" customHeight="1" x14ac:dyDescent="0.3">
      <c r="A94" s="3">
        <v>45750</v>
      </c>
      <c r="B94" s="3" t="s">
        <v>1922</v>
      </c>
      <c r="C94" s="19" t="s">
        <v>8</v>
      </c>
      <c r="D94" s="19" t="s">
        <v>1263</v>
      </c>
      <c r="E94" s="4">
        <v>0.65</v>
      </c>
      <c r="F94" s="42">
        <v>2.0499999999999998</v>
      </c>
      <c r="G94" s="45">
        <v>1155</v>
      </c>
      <c r="H94" s="22">
        <v>2.2000000000000002</v>
      </c>
      <c r="I94" s="6">
        <f t="shared" si="1"/>
        <v>3385.8825000000002</v>
      </c>
      <c r="J94" s="6" t="s">
        <v>1864</v>
      </c>
      <c r="K94" s="17"/>
    </row>
    <row r="95" spans="1:11" ht="13.95" customHeight="1" x14ac:dyDescent="0.3">
      <c r="A95" s="3">
        <v>45751</v>
      </c>
      <c r="B95" s="3" t="s">
        <v>1922</v>
      </c>
      <c r="C95" s="19" t="s">
        <v>11</v>
      </c>
      <c r="D95" s="19" t="s">
        <v>14</v>
      </c>
      <c r="E95" s="4">
        <v>0.75</v>
      </c>
      <c r="F95" s="42">
        <v>2.25</v>
      </c>
      <c r="G95" s="45">
        <v>1465</v>
      </c>
      <c r="H95" s="22">
        <v>2.2000000000000002</v>
      </c>
      <c r="I95" s="6">
        <f t="shared" si="1"/>
        <v>5438.8125</v>
      </c>
      <c r="J95" s="6" t="s">
        <v>282</v>
      </c>
      <c r="K95" s="17"/>
    </row>
    <row r="96" spans="1:11" ht="13.95" customHeight="1" x14ac:dyDescent="0.3">
      <c r="A96" s="3">
        <v>45752</v>
      </c>
      <c r="B96" s="3" t="s">
        <v>1922</v>
      </c>
      <c r="C96" s="19" t="s">
        <v>13</v>
      </c>
      <c r="D96" s="19" t="s">
        <v>14</v>
      </c>
      <c r="E96" s="4">
        <v>0.85</v>
      </c>
      <c r="F96" s="42">
        <v>2.5499999999999998</v>
      </c>
      <c r="G96" s="45">
        <v>1885</v>
      </c>
      <c r="H96" s="22">
        <v>2.2000000000000002</v>
      </c>
      <c r="I96" s="6">
        <f t="shared" si="1"/>
        <v>8988.6224999999995</v>
      </c>
      <c r="J96" s="6" t="s">
        <v>1346</v>
      </c>
      <c r="K96" s="17"/>
    </row>
    <row r="97" spans="1:11" ht="13.95" customHeight="1" x14ac:dyDescent="0.3">
      <c r="A97" s="3">
        <v>45753</v>
      </c>
      <c r="B97" s="3" t="s">
        <v>1922</v>
      </c>
      <c r="C97" s="19" t="s">
        <v>16</v>
      </c>
      <c r="D97" s="19" t="s">
        <v>14</v>
      </c>
      <c r="E97" s="4">
        <v>0.75</v>
      </c>
      <c r="F97" s="42">
        <v>2.25</v>
      </c>
      <c r="G97" s="45">
        <v>1465</v>
      </c>
      <c r="H97" s="22">
        <v>2.2000000000000002</v>
      </c>
      <c r="I97" s="6">
        <f t="shared" si="1"/>
        <v>5438.8125</v>
      </c>
      <c r="J97" s="6" t="s">
        <v>139</v>
      </c>
      <c r="K97" s="17"/>
    </row>
    <row r="98" spans="1:11" ht="13.95" customHeight="1" x14ac:dyDescent="0.3">
      <c r="A98" s="3">
        <v>45754</v>
      </c>
      <c r="B98" s="3" t="s">
        <v>1922</v>
      </c>
      <c r="C98" s="19" t="s">
        <v>18</v>
      </c>
      <c r="D98" s="19" t="s">
        <v>1259</v>
      </c>
      <c r="E98" s="4">
        <v>0.45</v>
      </c>
      <c r="F98" s="42">
        <v>1.8</v>
      </c>
      <c r="G98" s="45">
        <v>705</v>
      </c>
      <c r="H98" s="22">
        <v>2.2000000000000002</v>
      </c>
      <c r="I98" s="6">
        <f t="shared" si="1"/>
        <v>1256.3100000000002</v>
      </c>
      <c r="J98" s="6" t="s">
        <v>150</v>
      </c>
      <c r="K98" s="17"/>
    </row>
    <row r="99" spans="1:11" ht="13.95" customHeight="1" x14ac:dyDescent="0.3">
      <c r="A99" s="3">
        <v>45755</v>
      </c>
      <c r="B99" s="3" t="s">
        <v>1922</v>
      </c>
      <c r="C99" s="19" t="s">
        <v>20</v>
      </c>
      <c r="D99" s="19" t="s">
        <v>994</v>
      </c>
      <c r="E99" s="4">
        <v>0.6</v>
      </c>
      <c r="F99" s="42">
        <v>2.1</v>
      </c>
      <c r="G99" s="45">
        <v>1095</v>
      </c>
      <c r="H99" s="22">
        <v>2.2000000000000002</v>
      </c>
      <c r="I99" s="6">
        <f t="shared" si="1"/>
        <v>3035.34</v>
      </c>
      <c r="J99" s="6" t="s">
        <v>1510</v>
      </c>
      <c r="K99" s="17"/>
    </row>
    <row r="100" spans="1:11" ht="13.95" customHeight="1" x14ac:dyDescent="0.3">
      <c r="A100" s="3">
        <v>45756</v>
      </c>
      <c r="B100" s="3" t="s">
        <v>1922</v>
      </c>
      <c r="C100" s="19" t="s">
        <v>5</v>
      </c>
      <c r="D100" s="19" t="s">
        <v>1112</v>
      </c>
      <c r="E100" s="4">
        <v>0.8</v>
      </c>
      <c r="F100" s="42">
        <v>2.35</v>
      </c>
      <c r="G100" s="45">
        <v>1635</v>
      </c>
      <c r="H100" s="22">
        <v>2.2000000000000002</v>
      </c>
      <c r="I100" s="6">
        <f t="shared" si="1"/>
        <v>6762.3600000000006</v>
      </c>
      <c r="J100" s="6" t="s">
        <v>1865</v>
      </c>
      <c r="K100" s="17"/>
    </row>
    <row r="101" spans="1:11" ht="13.95" customHeight="1" x14ac:dyDescent="0.3">
      <c r="A101" s="3">
        <v>45757</v>
      </c>
      <c r="B101" s="3" t="s">
        <v>1922</v>
      </c>
      <c r="C101" s="19" t="s">
        <v>8</v>
      </c>
      <c r="D101" s="19" t="s">
        <v>44</v>
      </c>
      <c r="E101" s="4">
        <v>0.55000000000000004</v>
      </c>
      <c r="F101" s="42">
        <v>1.95</v>
      </c>
      <c r="G101" s="45">
        <v>930</v>
      </c>
      <c r="H101" s="22">
        <v>2.2000000000000002</v>
      </c>
      <c r="I101" s="6">
        <f t="shared" si="1"/>
        <v>2194.3350000000005</v>
      </c>
      <c r="J101" s="6" t="s">
        <v>1866</v>
      </c>
      <c r="K101" s="17"/>
    </row>
    <row r="102" spans="1:11" ht="13.95" customHeight="1" x14ac:dyDescent="0.3">
      <c r="A102" s="3">
        <v>45758</v>
      </c>
      <c r="B102" s="3" t="s">
        <v>1922</v>
      </c>
      <c r="C102" s="19" t="s">
        <v>11</v>
      </c>
      <c r="D102" s="19" t="s">
        <v>14</v>
      </c>
      <c r="E102" s="4">
        <v>0.7</v>
      </c>
      <c r="F102" s="42">
        <v>2.2000000000000002</v>
      </c>
      <c r="G102" s="45">
        <v>1340</v>
      </c>
      <c r="H102" s="22">
        <v>2.2000000000000002</v>
      </c>
      <c r="I102" s="6">
        <f t="shared" si="1"/>
        <v>4539.92</v>
      </c>
      <c r="J102" s="6" t="s">
        <v>97</v>
      </c>
      <c r="K102" s="17"/>
    </row>
    <row r="103" spans="1:11" ht="13.95" customHeight="1" x14ac:dyDescent="0.3">
      <c r="A103" s="3">
        <v>45759</v>
      </c>
      <c r="B103" s="3" t="s">
        <v>1922</v>
      </c>
      <c r="C103" s="19" t="s">
        <v>13</v>
      </c>
      <c r="D103" s="19" t="s">
        <v>14</v>
      </c>
      <c r="E103" s="4">
        <v>0.85</v>
      </c>
      <c r="F103" s="42">
        <v>2.6</v>
      </c>
      <c r="G103" s="45">
        <v>1920</v>
      </c>
      <c r="H103" s="22">
        <v>2.2000000000000002</v>
      </c>
      <c r="I103" s="6">
        <f t="shared" si="1"/>
        <v>9335.0400000000009</v>
      </c>
      <c r="J103" s="6" t="s">
        <v>1464</v>
      </c>
      <c r="K103" s="17"/>
    </row>
    <row r="104" spans="1:11" ht="13.95" customHeight="1" x14ac:dyDescent="0.3">
      <c r="A104" s="3">
        <v>45760</v>
      </c>
      <c r="B104" s="3" t="s">
        <v>1922</v>
      </c>
      <c r="C104" s="19" t="s">
        <v>16</v>
      </c>
      <c r="D104" s="19" t="s">
        <v>14</v>
      </c>
      <c r="E104" s="4">
        <v>0.75</v>
      </c>
      <c r="F104" s="42">
        <v>2.2999999999999998</v>
      </c>
      <c r="G104" s="45">
        <v>1500</v>
      </c>
      <c r="H104" s="22">
        <v>2.2000000000000002</v>
      </c>
      <c r="I104" s="6">
        <f t="shared" si="1"/>
        <v>5692.5000000000009</v>
      </c>
      <c r="J104" s="6" t="s">
        <v>149</v>
      </c>
      <c r="K104" s="17"/>
    </row>
    <row r="105" spans="1:11" ht="13.95" customHeight="1" x14ac:dyDescent="0.3">
      <c r="A105" s="3">
        <v>45761</v>
      </c>
      <c r="B105" s="3" t="s">
        <v>1922</v>
      </c>
      <c r="C105" s="19" t="s">
        <v>18</v>
      </c>
      <c r="D105" s="19" t="s">
        <v>1867</v>
      </c>
      <c r="E105" s="4">
        <v>0.7</v>
      </c>
      <c r="F105" s="42">
        <v>2.15</v>
      </c>
      <c r="G105" s="45">
        <v>1310</v>
      </c>
      <c r="H105" s="22">
        <v>2.2000000000000002</v>
      </c>
      <c r="I105" s="6">
        <f t="shared" si="1"/>
        <v>4337.41</v>
      </c>
      <c r="J105" s="6" t="s">
        <v>1402</v>
      </c>
      <c r="K105" s="17"/>
    </row>
    <row r="106" spans="1:11" ht="13.95" customHeight="1" x14ac:dyDescent="0.3">
      <c r="A106" s="3">
        <v>45762</v>
      </c>
      <c r="B106" s="3" t="s">
        <v>1922</v>
      </c>
      <c r="C106" s="19" t="s">
        <v>20</v>
      </c>
      <c r="D106" s="19" t="s">
        <v>1867</v>
      </c>
      <c r="E106" s="4">
        <v>0.75</v>
      </c>
      <c r="F106" s="42">
        <v>2.2000000000000002</v>
      </c>
      <c r="G106" s="45">
        <v>1435</v>
      </c>
      <c r="H106" s="22">
        <v>2.2000000000000002</v>
      </c>
      <c r="I106" s="6">
        <f t="shared" si="1"/>
        <v>5209.05</v>
      </c>
      <c r="J106" s="6" t="s">
        <v>1868</v>
      </c>
      <c r="K106" s="17"/>
    </row>
    <row r="107" spans="1:11" ht="13.95" customHeight="1" x14ac:dyDescent="0.3">
      <c r="A107" s="3">
        <v>45763</v>
      </c>
      <c r="B107" s="3" t="s">
        <v>1922</v>
      </c>
      <c r="C107" s="19" t="s">
        <v>5</v>
      </c>
      <c r="D107" s="19" t="s">
        <v>1867</v>
      </c>
      <c r="E107" s="4">
        <v>0.75</v>
      </c>
      <c r="F107" s="42">
        <v>2.2000000000000002</v>
      </c>
      <c r="G107" s="45">
        <v>1435</v>
      </c>
      <c r="H107" s="22">
        <v>2.2000000000000002</v>
      </c>
      <c r="I107" s="6">
        <f t="shared" si="1"/>
        <v>5209.05</v>
      </c>
      <c r="J107" s="6" t="s">
        <v>1869</v>
      </c>
      <c r="K107" s="17"/>
    </row>
    <row r="108" spans="1:11" ht="13.95" customHeight="1" x14ac:dyDescent="0.3">
      <c r="A108" s="3">
        <v>45764</v>
      </c>
      <c r="B108" s="3" t="s">
        <v>1922</v>
      </c>
      <c r="C108" s="19" t="s">
        <v>8</v>
      </c>
      <c r="D108" s="19" t="s">
        <v>1867</v>
      </c>
      <c r="E108" s="4">
        <v>0.8</v>
      </c>
      <c r="F108" s="42">
        <v>2.2999999999999998</v>
      </c>
      <c r="G108" s="45">
        <v>1600</v>
      </c>
      <c r="H108" s="22">
        <v>2.2000000000000002</v>
      </c>
      <c r="I108" s="6">
        <f t="shared" si="1"/>
        <v>6476.8</v>
      </c>
      <c r="J108" s="6" t="s">
        <v>1870</v>
      </c>
      <c r="K108" s="17"/>
    </row>
    <row r="109" spans="1:11" ht="13.95" customHeight="1" x14ac:dyDescent="0.3">
      <c r="A109" s="3">
        <v>45765</v>
      </c>
      <c r="B109" s="3" t="s">
        <v>1922</v>
      </c>
      <c r="C109" s="19" t="s">
        <v>11</v>
      </c>
      <c r="D109" s="19" t="s">
        <v>1564</v>
      </c>
      <c r="E109" s="4">
        <v>0.85</v>
      </c>
      <c r="F109" s="42">
        <v>2.4</v>
      </c>
      <c r="G109" s="45">
        <v>1775</v>
      </c>
      <c r="H109" s="22">
        <v>2.2000000000000002</v>
      </c>
      <c r="I109" s="6">
        <f t="shared" si="1"/>
        <v>7966.2000000000007</v>
      </c>
      <c r="J109" s="6" t="s">
        <v>1463</v>
      </c>
      <c r="K109" s="17"/>
    </row>
    <row r="110" spans="1:11" ht="13.95" customHeight="1" x14ac:dyDescent="0.3">
      <c r="A110" s="3">
        <v>45766</v>
      </c>
      <c r="B110" s="3" t="s">
        <v>1922</v>
      </c>
      <c r="C110" s="19" t="s">
        <v>13</v>
      </c>
      <c r="D110" s="19" t="s">
        <v>1564</v>
      </c>
      <c r="E110" s="4">
        <v>0.95</v>
      </c>
      <c r="F110" s="42">
        <v>2.75</v>
      </c>
      <c r="G110" s="45">
        <v>2265</v>
      </c>
      <c r="H110" s="22">
        <v>2.2000000000000002</v>
      </c>
      <c r="I110" s="6">
        <f t="shared" si="1"/>
        <v>13018.087500000001</v>
      </c>
      <c r="J110" s="6" t="s">
        <v>1871</v>
      </c>
      <c r="K110" s="17"/>
    </row>
    <row r="111" spans="1:11" ht="13.95" customHeight="1" x14ac:dyDescent="0.3">
      <c r="A111" s="3">
        <v>45767</v>
      </c>
      <c r="B111" s="3" t="s">
        <v>1922</v>
      </c>
      <c r="C111" s="19" t="s">
        <v>16</v>
      </c>
      <c r="D111" s="19" t="s">
        <v>1564</v>
      </c>
      <c r="E111" s="4">
        <v>0.9</v>
      </c>
      <c r="F111" s="42">
        <v>2.5</v>
      </c>
      <c r="G111" s="45">
        <v>1955</v>
      </c>
      <c r="H111" s="22">
        <v>2.2000000000000002</v>
      </c>
      <c r="I111" s="6">
        <f t="shared" si="1"/>
        <v>9677.25</v>
      </c>
      <c r="J111" s="6" t="s">
        <v>1872</v>
      </c>
      <c r="K111" s="17"/>
    </row>
    <row r="112" spans="1:11" ht="13.95" customHeight="1" x14ac:dyDescent="0.3">
      <c r="A112" s="3">
        <v>45768</v>
      </c>
      <c r="B112" s="3" t="s">
        <v>1922</v>
      </c>
      <c r="C112" s="19" t="s">
        <v>18</v>
      </c>
      <c r="D112" s="19" t="s">
        <v>1867</v>
      </c>
      <c r="E112" s="4">
        <v>0.8</v>
      </c>
      <c r="F112" s="42">
        <v>2.2999999999999998</v>
      </c>
      <c r="G112" s="45">
        <v>1600</v>
      </c>
      <c r="H112" s="22">
        <v>2.2000000000000002</v>
      </c>
      <c r="I112" s="6">
        <f t="shared" si="1"/>
        <v>6476.8</v>
      </c>
      <c r="J112" s="6" t="s">
        <v>1873</v>
      </c>
      <c r="K112" s="17"/>
    </row>
    <row r="113" spans="1:11" ht="13.95" customHeight="1" x14ac:dyDescent="0.3">
      <c r="A113" s="3">
        <v>45769</v>
      </c>
      <c r="B113" s="3" t="s">
        <v>1922</v>
      </c>
      <c r="C113" s="19" t="s">
        <v>20</v>
      </c>
      <c r="D113" s="19" t="s">
        <v>1867</v>
      </c>
      <c r="E113" s="4">
        <v>0.75</v>
      </c>
      <c r="F113" s="42">
        <v>2.2000000000000002</v>
      </c>
      <c r="G113" s="45">
        <v>1435</v>
      </c>
      <c r="H113" s="22">
        <v>2.2000000000000002</v>
      </c>
      <c r="I113" s="6">
        <f t="shared" si="1"/>
        <v>5209.05</v>
      </c>
      <c r="J113" s="6" t="s">
        <v>1840</v>
      </c>
      <c r="K113" s="17"/>
    </row>
    <row r="114" spans="1:11" ht="13.95" customHeight="1" x14ac:dyDescent="0.3">
      <c r="A114" s="3">
        <v>45770</v>
      </c>
      <c r="B114" s="3" t="s">
        <v>1922</v>
      </c>
      <c r="C114" s="19" t="s">
        <v>5</v>
      </c>
      <c r="D114" s="19" t="s">
        <v>1259</v>
      </c>
      <c r="E114" s="4">
        <v>0.5</v>
      </c>
      <c r="F114" s="42">
        <v>1.85</v>
      </c>
      <c r="G114" s="45">
        <v>805</v>
      </c>
      <c r="H114" s="22">
        <v>2.2000000000000002</v>
      </c>
      <c r="I114" s="6">
        <f t="shared" si="1"/>
        <v>1638.1750000000002</v>
      </c>
      <c r="J114" s="6" t="s">
        <v>150</v>
      </c>
      <c r="K114" s="17"/>
    </row>
    <row r="115" spans="1:11" ht="13.95" customHeight="1" x14ac:dyDescent="0.3">
      <c r="A115" s="3">
        <v>45771</v>
      </c>
      <c r="B115" s="3" t="s">
        <v>1922</v>
      </c>
      <c r="C115" s="19" t="s">
        <v>8</v>
      </c>
      <c r="D115" s="19" t="s">
        <v>1263</v>
      </c>
      <c r="E115" s="4">
        <v>0.65</v>
      </c>
      <c r="F115" s="42">
        <v>2.1</v>
      </c>
      <c r="G115" s="45">
        <v>1185</v>
      </c>
      <c r="H115" s="22">
        <v>2.2000000000000002</v>
      </c>
      <c r="I115" s="6">
        <f t="shared" si="1"/>
        <v>3558.5550000000003</v>
      </c>
      <c r="J115" s="6" t="s">
        <v>1874</v>
      </c>
      <c r="K115" s="17"/>
    </row>
    <row r="116" spans="1:11" ht="13.95" customHeight="1" x14ac:dyDescent="0.3">
      <c r="A116" s="3">
        <v>45772</v>
      </c>
      <c r="B116" s="3" t="s">
        <v>1922</v>
      </c>
      <c r="C116" s="19" t="s">
        <v>11</v>
      </c>
      <c r="D116" s="19" t="s">
        <v>14</v>
      </c>
      <c r="E116" s="4">
        <v>0.7</v>
      </c>
      <c r="F116" s="42">
        <v>2.25</v>
      </c>
      <c r="G116" s="45">
        <v>1370</v>
      </c>
      <c r="H116" s="22">
        <v>2.2000000000000002</v>
      </c>
      <c r="I116" s="6">
        <f t="shared" si="1"/>
        <v>4747.0499999999993</v>
      </c>
      <c r="J116" s="6" t="s">
        <v>97</v>
      </c>
      <c r="K116" s="17"/>
    </row>
    <row r="117" spans="1:11" ht="13.95" customHeight="1" x14ac:dyDescent="0.3">
      <c r="A117" s="3">
        <v>45773</v>
      </c>
      <c r="B117" s="3" t="s">
        <v>1922</v>
      </c>
      <c r="C117" s="19" t="s">
        <v>13</v>
      </c>
      <c r="D117" s="19" t="s">
        <v>14</v>
      </c>
      <c r="E117" s="4">
        <v>0.88</v>
      </c>
      <c r="F117" s="42">
        <v>2.65</v>
      </c>
      <c r="G117" s="45">
        <v>2025</v>
      </c>
      <c r="H117" s="22">
        <v>2.2000000000000002</v>
      </c>
      <c r="I117" s="6">
        <f t="shared" si="1"/>
        <v>10389.060000000001</v>
      </c>
      <c r="J117" s="6" t="s">
        <v>1875</v>
      </c>
      <c r="K117" s="17"/>
    </row>
    <row r="118" spans="1:11" ht="13.95" customHeight="1" x14ac:dyDescent="0.3">
      <c r="A118" s="3">
        <v>45774</v>
      </c>
      <c r="B118" s="3" t="s">
        <v>1922</v>
      </c>
      <c r="C118" s="19" t="s">
        <v>16</v>
      </c>
      <c r="D118" s="19" t="s">
        <v>14</v>
      </c>
      <c r="E118" s="4">
        <v>0.75</v>
      </c>
      <c r="F118" s="42">
        <v>2.35</v>
      </c>
      <c r="G118" s="45">
        <v>1530</v>
      </c>
      <c r="H118" s="22">
        <v>2.2000000000000002</v>
      </c>
      <c r="I118" s="6">
        <f t="shared" si="1"/>
        <v>5932.5750000000007</v>
      </c>
      <c r="J118" s="6" t="s">
        <v>139</v>
      </c>
      <c r="K118" s="17"/>
    </row>
    <row r="119" spans="1:11" ht="13.95" customHeight="1" x14ac:dyDescent="0.3">
      <c r="A119" s="3">
        <v>45775</v>
      </c>
      <c r="B119" s="3" t="s">
        <v>1922</v>
      </c>
      <c r="C119" s="19" t="s">
        <v>18</v>
      </c>
      <c r="D119" s="19" t="s">
        <v>1259</v>
      </c>
      <c r="E119" s="4">
        <v>0.45</v>
      </c>
      <c r="F119" s="42">
        <v>1.8</v>
      </c>
      <c r="G119" s="45">
        <v>705</v>
      </c>
      <c r="H119" s="22">
        <v>2.2000000000000002</v>
      </c>
      <c r="I119" s="6">
        <f t="shared" si="1"/>
        <v>1256.3100000000002</v>
      </c>
      <c r="J119" s="6" t="s">
        <v>99</v>
      </c>
      <c r="K119" s="17"/>
    </row>
    <row r="120" spans="1:11" ht="13.95" customHeight="1" x14ac:dyDescent="0.3">
      <c r="A120" s="3">
        <v>45776</v>
      </c>
      <c r="B120" s="3" t="s">
        <v>1922</v>
      </c>
      <c r="C120" s="19" t="s">
        <v>20</v>
      </c>
      <c r="D120" s="19" t="s">
        <v>1259</v>
      </c>
      <c r="E120" s="4">
        <v>0.45</v>
      </c>
      <c r="F120" s="42">
        <v>1.8</v>
      </c>
      <c r="G120" s="45">
        <v>705</v>
      </c>
      <c r="H120" s="22">
        <v>2.2000000000000002</v>
      </c>
      <c r="I120" s="6">
        <f t="shared" si="1"/>
        <v>1256.3100000000002</v>
      </c>
      <c r="J120" s="6" t="s">
        <v>99</v>
      </c>
      <c r="K120" s="17"/>
    </row>
    <row r="121" spans="1:11" ht="13.95" customHeight="1" x14ac:dyDescent="0.3">
      <c r="A121" s="3">
        <v>45777</v>
      </c>
      <c r="B121" s="3" t="s">
        <v>1922</v>
      </c>
      <c r="C121" s="19" t="s">
        <v>5</v>
      </c>
      <c r="D121" s="19" t="s">
        <v>994</v>
      </c>
      <c r="E121" s="4">
        <v>0.65</v>
      </c>
      <c r="F121" s="42">
        <v>2.15</v>
      </c>
      <c r="G121" s="45">
        <v>1215</v>
      </c>
      <c r="H121" s="22">
        <v>2.2000000000000002</v>
      </c>
      <c r="I121" s="6">
        <f t="shared" si="1"/>
        <v>3735.5174999999999</v>
      </c>
      <c r="J121" s="6" t="s">
        <v>1438</v>
      </c>
      <c r="K121" s="17"/>
    </row>
    <row r="122" spans="1:11" ht="13.95" customHeight="1" x14ac:dyDescent="0.3">
      <c r="A122" s="3">
        <v>45778</v>
      </c>
      <c r="B122" s="3" t="s">
        <v>1922</v>
      </c>
      <c r="C122" s="19" t="s">
        <v>8</v>
      </c>
      <c r="D122" s="19" t="s">
        <v>742</v>
      </c>
      <c r="E122" s="4">
        <v>0.8</v>
      </c>
      <c r="F122" s="42">
        <v>2.4500000000000002</v>
      </c>
      <c r="G122" s="45">
        <v>1705</v>
      </c>
      <c r="H122" s="22">
        <v>2.2000000000000002</v>
      </c>
      <c r="I122" s="6">
        <f t="shared" si="1"/>
        <v>7351.9600000000009</v>
      </c>
      <c r="J122" s="6" t="s">
        <v>1876</v>
      </c>
      <c r="K122" s="17"/>
    </row>
    <row r="123" spans="1:11" ht="13.95" customHeight="1" x14ac:dyDescent="0.3">
      <c r="A123" s="3">
        <v>45779</v>
      </c>
      <c r="B123" s="3" t="s">
        <v>1922</v>
      </c>
      <c r="C123" s="19" t="s">
        <v>11</v>
      </c>
      <c r="D123" s="19" t="s">
        <v>1518</v>
      </c>
      <c r="E123" s="4">
        <v>0.7</v>
      </c>
      <c r="F123" s="42">
        <v>2.2000000000000002</v>
      </c>
      <c r="G123" s="45">
        <v>1340</v>
      </c>
      <c r="H123" s="22">
        <v>2.2000000000000002</v>
      </c>
      <c r="I123" s="6">
        <f t="shared" si="1"/>
        <v>4539.92</v>
      </c>
      <c r="J123" s="6" t="s">
        <v>91</v>
      </c>
      <c r="K123" s="17"/>
    </row>
    <row r="124" spans="1:11" ht="13.95" customHeight="1" x14ac:dyDescent="0.3">
      <c r="A124" s="3">
        <v>45780</v>
      </c>
      <c r="B124" s="3" t="s">
        <v>1922</v>
      </c>
      <c r="C124" s="19" t="s">
        <v>13</v>
      </c>
      <c r="D124" s="19" t="s">
        <v>14</v>
      </c>
      <c r="E124" s="4">
        <v>0.9</v>
      </c>
      <c r="F124" s="42">
        <v>2.75</v>
      </c>
      <c r="G124" s="45">
        <v>2150</v>
      </c>
      <c r="H124" s="22">
        <v>2.2000000000000002</v>
      </c>
      <c r="I124" s="6">
        <f t="shared" si="1"/>
        <v>11706.750000000002</v>
      </c>
      <c r="J124" s="6" t="s">
        <v>1346</v>
      </c>
      <c r="K124" s="17"/>
    </row>
    <row r="125" spans="1:11" ht="13.95" customHeight="1" x14ac:dyDescent="0.3">
      <c r="A125" s="3">
        <v>45781</v>
      </c>
      <c r="B125" s="3" t="s">
        <v>1922</v>
      </c>
      <c r="C125" s="19" t="s">
        <v>16</v>
      </c>
      <c r="D125" s="19" t="s">
        <v>14</v>
      </c>
      <c r="E125" s="4">
        <v>0.75</v>
      </c>
      <c r="F125" s="42">
        <v>2.2999999999999998</v>
      </c>
      <c r="G125" s="45">
        <v>1500</v>
      </c>
      <c r="H125" s="22">
        <v>2.2000000000000002</v>
      </c>
      <c r="I125" s="6">
        <f t="shared" si="1"/>
        <v>5692.5000000000009</v>
      </c>
      <c r="J125" s="6" t="s">
        <v>139</v>
      </c>
      <c r="K125" s="17"/>
    </row>
    <row r="126" spans="1:11" ht="13.95" customHeight="1" x14ac:dyDescent="0.3">
      <c r="A126" s="3">
        <v>45782</v>
      </c>
      <c r="B126" s="3" t="s">
        <v>1922</v>
      </c>
      <c r="C126" s="19" t="s">
        <v>18</v>
      </c>
      <c r="D126" s="19" t="s">
        <v>1340</v>
      </c>
      <c r="E126" s="4">
        <v>0.65</v>
      </c>
      <c r="F126" s="42">
        <v>2</v>
      </c>
      <c r="G126" s="45">
        <v>1130</v>
      </c>
      <c r="H126" s="22">
        <v>2.2000000000000002</v>
      </c>
      <c r="I126" s="6">
        <f t="shared" si="1"/>
        <v>3231.8</v>
      </c>
      <c r="J126" s="6" t="s">
        <v>1877</v>
      </c>
      <c r="K126" s="17"/>
    </row>
    <row r="127" spans="1:11" ht="13.95" customHeight="1" x14ac:dyDescent="0.3">
      <c r="A127" s="3">
        <v>45783</v>
      </c>
      <c r="B127" s="3" t="s">
        <v>1922</v>
      </c>
      <c r="C127" s="19" t="s">
        <v>20</v>
      </c>
      <c r="D127" s="19" t="s">
        <v>1340</v>
      </c>
      <c r="E127" s="4">
        <v>0.68</v>
      </c>
      <c r="F127" s="42">
        <v>2.0499999999999998</v>
      </c>
      <c r="G127" s="45">
        <v>1210</v>
      </c>
      <c r="H127" s="22">
        <v>2.2000000000000002</v>
      </c>
      <c r="I127" s="6">
        <f t="shared" si="1"/>
        <v>3710.8280000000004</v>
      </c>
      <c r="J127" s="6" t="s">
        <v>1877</v>
      </c>
      <c r="K127" s="17"/>
    </row>
    <row r="128" spans="1:11" ht="13.95" customHeight="1" x14ac:dyDescent="0.3">
      <c r="A128" s="3">
        <v>45784</v>
      </c>
      <c r="B128" s="3" t="s">
        <v>1922</v>
      </c>
      <c r="C128" s="19" t="s">
        <v>5</v>
      </c>
      <c r="D128" s="19" t="s">
        <v>1340</v>
      </c>
      <c r="E128" s="4">
        <v>0.7</v>
      </c>
      <c r="F128" s="42">
        <v>2.0499999999999998</v>
      </c>
      <c r="G128" s="45">
        <v>1250</v>
      </c>
      <c r="H128" s="22">
        <v>2.2000000000000002</v>
      </c>
      <c r="I128" s="6">
        <f t="shared" si="1"/>
        <v>3946.25</v>
      </c>
      <c r="J128" s="6" t="s">
        <v>1866</v>
      </c>
      <c r="K128" s="17"/>
    </row>
    <row r="129" spans="1:11" ht="13.95" customHeight="1" x14ac:dyDescent="0.3">
      <c r="A129" s="3">
        <v>45785</v>
      </c>
      <c r="B129" s="3" t="s">
        <v>1922</v>
      </c>
      <c r="C129" s="19" t="s">
        <v>8</v>
      </c>
      <c r="D129" s="19" t="s">
        <v>1340</v>
      </c>
      <c r="E129" s="4">
        <v>0.65</v>
      </c>
      <c r="F129" s="42">
        <v>2</v>
      </c>
      <c r="G129" s="45">
        <v>1130</v>
      </c>
      <c r="H129" s="22">
        <v>2.2000000000000002</v>
      </c>
      <c r="I129" s="6">
        <f t="shared" si="1"/>
        <v>3231.8</v>
      </c>
      <c r="J129" s="6" t="s">
        <v>1878</v>
      </c>
      <c r="K129" s="17"/>
    </row>
    <row r="130" spans="1:11" ht="13.95" customHeight="1" x14ac:dyDescent="0.3">
      <c r="A130" s="3">
        <v>45786</v>
      </c>
      <c r="B130" s="3" t="s">
        <v>1922</v>
      </c>
      <c r="C130" s="19" t="s">
        <v>11</v>
      </c>
      <c r="D130" s="19" t="s">
        <v>14</v>
      </c>
      <c r="E130" s="4">
        <v>0.75</v>
      </c>
      <c r="F130" s="42">
        <v>2.2999999999999998</v>
      </c>
      <c r="G130" s="45">
        <v>1500</v>
      </c>
      <c r="H130" s="22">
        <v>2.2000000000000002</v>
      </c>
      <c r="I130" s="6">
        <f t="shared" ref="I130:I193" si="2">(G130*E130)*F130*H130</f>
        <v>5692.5000000000009</v>
      </c>
      <c r="J130" s="6" t="s">
        <v>97</v>
      </c>
      <c r="K130" s="17"/>
    </row>
    <row r="131" spans="1:11" ht="13.95" customHeight="1" x14ac:dyDescent="0.3">
      <c r="A131" s="3">
        <v>45787</v>
      </c>
      <c r="B131" s="3" t="s">
        <v>1922</v>
      </c>
      <c r="C131" s="19" t="s">
        <v>13</v>
      </c>
      <c r="D131" s="19" t="s">
        <v>14</v>
      </c>
      <c r="E131" s="4">
        <v>0.95</v>
      </c>
      <c r="F131" s="42">
        <v>2.85</v>
      </c>
      <c r="G131" s="45">
        <v>2350</v>
      </c>
      <c r="H131" s="22">
        <v>2.2000000000000002</v>
      </c>
      <c r="I131" s="6">
        <f t="shared" si="2"/>
        <v>13997.775000000001</v>
      </c>
      <c r="J131" s="6" t="s">
        <v>1879</v>
      </c>
      <c r="K131" s="17"/>
    </row>
    <row r="132" spans="1:11" ht="13.95" customHeight="1" x14ac:dyDescent="0.3">
      <c r="A132" s="3">
        <v>46002</v>
      </c>
      <c r="B132" s="3" t="s">
        <v>1922</v>
      </c>
      <c r="C132" s="19" t="s">
        <v>16</v>
      </c>
      <c r="D132" s="19" t="s">
        <v>14</v>
      </c>
      <c r="E132" s="4">
        <v>0.8</v>
      </c>
      <c r="F132" s="42">
        <v>2.4</v>
      </c>
      <c r="G132" s="45">
        <v>1670</v>
      </c>
      <c r="H132" s="22">
        <v>2.2000000000000002</v>
      </c>
      <c r="I132" s="6">
        <f t="shared" si="2"/>
        <v>7054.0800000000008</v>
      </c>
      <c r="J132" s="6" t="s">
        <v>1880</v>
      </c>
      <c r="K132" s="17"/>
    </row>
    <row r="133" spans="1:11" ht="13.95" customHeight="1" x14ac:dyDescent="0.3">
      <c r="A133" s="3">
        <v>45789</v>
      </c>
      <c r="B133" s="3" t="s">
        <v>1922</v>
      </c>
      <c r="C133" s="19" t="s">
        <v>18</v>
      </c>
      <c r="D133" s="19" t="s">
        <v>1340</v>
      </c>
      <c r="E133" s="4">
        <v>0.6</v>
      </c>
      <c r="F133" s="42">
        <v>1.95</v>
      </c>
      <c r="G133" s="45">
        <v>1015</v>
      </c>
      <c r="H133" s="22">
        <v>2.2000000000000002</v>
      </c>
      <c r="I133" s="6">
        <f t="shared" si="2"/>
        <v>2612.61</v>
      </c>
      <c r="J133" s="6" t="s">
        <v>70</v>
      </c>
      <c r="K133" s="17"/>
    </row>
    <row r="134" spans="1:11" ht="13.95" customHeight="1" x14ac:dyDescent="0.3">
      <c r="A134" s="3">
        <v>45790</v>
      </c>
      <c r="B134" s="3" t="s">
        <v>1922</v>
      </c>
      <c r="C134" s="19" t="s">
        <v>20</v>
      </c>
      <c r="D134" s="19" t="s">
        <v>1340</v>
      </c>
      <c r="E134" s="4">
        <v>0.6</v>
      </c>
      <c r="F134" s="42">
        <v>1.95</v>
      </c>
      <c r="G134" s="45">
        <v>1015</v>
      </c>
      <c r="H134" s="22">
        <v>2.2000000000000002</v>
      </c>
      <c r="I134" s="6">
        <f t="shared" si="2"/>
        <v>2612.61</v>
      </c>
      <c r="J134" s="6" t="s">
        <v>717</v>
      </c>
      <c r="K134" s="17"/>
    </row>
    <row r="135" spans="1:11" ht="13.95" customHeight="1" x14ac:dyDescent="0.3">
      <c r="A135" s="3">
        <v>45791</v>
      </c>
      <c r="B135" s="3" t="s">
        <v>1922</v>
      </c>
      <c r="C135" s="19" t="s">
        <v>5</v>
      </c>
      <c r="D135" s="19" t="s">
        <v>1340</v>
      </c>
      <c r="E135" s="4">
        <v>0.65</v>
      </c>
      <c r="F135" s="42">
        <v>2.0499999999999998</v>
      </c>
      <c r="G135" s="45">
        <v>1155</v>
      </c>
      <c r="H135" s="22">
        <v>2.2000000000000002</v>
      </c>
      <c r="I135" s="6">
        <f t="shared" si="2"/>
        <v>3385.8825000000002</v>
      </c>
      <c r="J135" s="6" t="s">
        <v>71</v>
      </c>
      <c r="K135" s="17"/>
    </row>
    <row r="136" spans="1:11" ht="13.95" customHeight="1" x14ac:dyDescent="0.3">
      <c r="A136" s="3">
        <v>45792</v>
      </c>
      <c r="B136" s="3" t="s">
        <v>1922</v>
      </c>
      <c r="C136" s="19" t="s">
        <v>8</v>
      </c>
      <c r="D136" s="19" t="s">
        <v>1263</v>
      </c>
      <c r="E136" s="4">
        <v>0.75</v>
      </c>
      <c r="F136" s="42">
        <v>2.2000000000000002</v>
      </c>
      <c r="G136" s="45">
        <v>1435</v>
      </c>
      <c r="H136" s="22">
        <v>2.2000000000000002</v>
      </c>
      <c r="I136" s="6">
        <f t="shared" si="2"/>
        <v>5209.05</v>
      </c>
      <c r="J136" s="6" t="s">
        <v>1814</v>
      </c>
      <c r="K136" s="17"/>
    </row>
    <row r="137" spans="1:11" ht="13.95" customHeight="1" x14ac:dyDescent="0.3">
      <c r="A137" s="3">
        <v>45793</v>
      </c>
      <c r="B137" s="3" t="s">
        <v>1922</v>
      </c>
      <c r="C137" s="19" t="s">
        <v>11</v>
      </c>
      <c r="D137" s="19" t="s">
        <v>14</v>
      </c>
      <c r="E137" s="4">
        <v>0.8</v>
      </c>
      <c r="F137" s="42">
        <v>2.4</v>
      </c>
      <c r="G137" s="45">
        <v>1670</v>
      </c>
      <c r="H137" s="22">
        <v>2.2000000000000002</v>
      </c>
      <c r="I137" s="6">
        <f t="shared" si="2"/>
        <v>7054.0800000000008</v>
      </c>
      <c r="J137" s="6" t="s">
        <v>1124</v>
      </c>
      <c r="K137" s="17"/>
    </row>
    <row r="138" spans="1:11" ht="13.95" customHeight="1" x14ac:dyDescent="0.3">
      <c r="A138" s="3">
        <v>45794</v>
      </c>
      <c r="B138" s="3" t="s">
        <v>1922</v>
      </c>
      <c r="C138" s="19" t="s">
        <v>13</v>
      </c>
      <c r="D138" s="19" t="s">
        <v>14</v>
      </c>
      <c r="E138" s="4">
        <v>1</v>
      </c>
      <c r="F138" s="42">
        <v>3</v>
      </c>
      <c r="G138" s="45">
        <v>2605</v>
      </c>
      <c r="H138" s="22">
        <v>2.2000000000000002</v>
      </c>
      <c r="I138" s="6">
        <f t="shared" si="2"/>
        <v>17193</v>
      </c>
      <c r="J138" s="6" t="s">
        <v>1881</v>
      </c>
      <c r="K138" s="17"/>
    </row>
    <row r="139" spans="1:11" ht="13.95" customHeight="1" x14ac:dyDescent="0.3">
      <c r="A139" s="3">
        <v>45795</v>
      </c>
      <c r="B139" s="3" t="s">
        <v>1922</v>
      </c>
      <c r="C139" s="19" t="s">
        <v>16</v>
      </c>
      <c r="D139" s="19" t="s">
        <v>14</v>
      </c>
      <c r="E139" s="4">
        <v>0.9</v>
      </c>
      <c r="F139" s="42">
        <v>2.5499999999999998</v>
      </c>
      <c r="G139" s="45">
        <v>1995</v>
      </c>
      <c r="H139" s="22">
        <v>2.2000000000000002</v>
      </c>
      <c r="I139" s="6">
        <f t="shared" si="2"/>
        <v>10072.754999999999</v>
      </c>
      <c r="J139" s="6" t="s">
        <v>1882</v>
      </c>
      <c r="K139" s="17"/>
    </row>
    <row r="140" spans="1:11" ht="13.95" customHeight="1" x14ac:dyDescent="0.3">
      <c r="A140" s="3">
        <v>45796</v>
      </c>
      <c r="B140" s="3" t="s">
        <v>1922</v>
      </c>
      <c r="C140" s="19" t="s">
        <v>18</v>
      </c>
      <c r="D140" s="19" t="s">
        <v>1340</v>
      </c>
      <c r="E140" s="4">
        <v>0.65</v>
      </c>
      <c r="F140" s="42">
        <v>2</v>
      </c>
      <c r="G140" s="45">
        <v>1130</v>
      </c>
      <c r="H140" s="22">
        <v>2.2000000000000002</v>
      </c>
      <c r="I140" s="6">
        <f t="shared" si="2"/>
        <v>3231.8</v>
      </c>
      <c r="J140" s="6" t="s">
        <v>603</v>
      </c>
      <c r="K140" s="17"/>
    </row>
    <row r="141" spans="1:11" ht="13.95" customHeight="1" x14ac:dyDescent="0.3">
      <c r="A141" s="3">
        <v>45797</v>
      </c>
      <c r="B141" s="3" t="s">
        <v>1922</v>
      </c>
      <c r="C141" s="19" t="s">
        <v>20</v>
      </c>
      <c r="D141" s="19" t="s">
        <v>1340</v>
      </c>
      <c r="E141" s="4">
        <v>0.62</v>
      </c>
      <c r="F141" s="42">
        <v>1.95</v>
      </c>
      <c r="G141" s="45">
        <v>1050</v>
      </c>
      <c r="H141" s="22">
        <v>2.2000000000000002</v>
      </c>
      <c r="I141" s="6">
        <f t="shared" si="2"/>
        <v>2792.7900000000004</v>
      </c>
      <c r="J141" s="6" t="s">
        <v>603</v>
      </c>
      <c r="K141" s="17"/>
    </row>
    <row r="142" spans="1:11" ht="13.95" customHeight="1" x14ac:dyDescent="0.3">
      <c r="A142" s="3">
        <v>45798</v>
      </c>
      <c r="B142" s="3" t="s">
        <v>1922</v>
      </c>
      <c r="C142" s="19" t="s">
        <v>5</v>
      </c>
      <c r="D142" s="19" t="s">
        <v>1340</v>
      </c>
      <c r="E142" s="4">
        <v>0.65</v>
      </c>
      <c r="F142" s="42">
        <v>2</v>
      </c>
      <c r="G142" s="45">
        <v>1130</v>
      </c>
      <c r="H142" s="22">
        <v>2.2000000000000002</v>
      </c>
      <c r="I142" s="6">
        <f t="shared" si="2"/>
        <v>3231.8</v>
      </c>
      <c r="J142" s="6" t="s">
        <v>71</v>
      </c>
      <c r="K142" s="17"/>
    </row>
    <row r="143" spans="1:11" ht="13.95" customHeight="1" x14ac:dyDescent="0.3">
      <c r="A143" s="3">
        <v>45799</v>
      </c>
      <c r="B143" s="3" t="s">
        <v>1922</v>
      </c>
      <c r="C143" s="19" t="s">
        <v>8</v>
      </c>
      <c r="D143" s="19" t="s">
        <v>1263</v>
      </c>
      <c r="E143" s="4">
        <v>0.78</v>
      </c>
      <c r="F143" s="42">
        <v>2.25</v>
      </c>
      <c r="G143" s="45">
        <v>1525</v>
      </c>
      <c r="H143" s="22">
        <v>2.2000000000000002</v>
      </c>
      <c r="I143" s="6">
        <f t="shared" si="2"/>
        <v>5888.0250000000005</v>
      </c>
      <c r="J143" s="6" t="s">
        <v>1815</v>
      </c>
      <c r="K143" s="17"/>
    </row>
    <row r="144" spans="1:11" ht="13.95" customHeight="1" x14ac:dyDescent="0.3">
      <c r="A144" s="3">
        <v>45800</v>
      </c>
      <c r="B144" s="3" t="s">
        <v>1922</v>
      </c>
      <c r="C144" s="19" t="s">
        <v>11</v>
      </c>
      <c r="D144" s="19" t="s">
        <v>14</v>
      </c>
      <c r="E144" s="4">
        <v>0.85</v>
      </c>
      <c r="F144" s="42">
        <v>2.4500000000000002</v>
      </c>
      <c r="G144" s="45">
        <v>1810</v>
      </c>
      <c r="H144" s="22">
        <v>2.2000000000000002</v>
      </c>
      <c r="I144" s="6">
        <f t="shared" si="2"/>
        <v>8292.5150000000012</v>
      </c>
      <c r="J144" s="6" t="s">
        <v>97</v>
      </c>
      <c r="K144" s="17"/>
    </row>
    <row r="145" spans="1:11" ht="13.95" customHeight="1" x14ac:dyDescent="0.3">
      <c r="A145" s="3">
        <v>45801</v>
      </c>
      <c r="B145" s="3" t="s">
        <v>1922</v>
      </c>
      <c r="C145" s="19" t="s">
        <v>13</v>
      </c>
      <c r="D145" s="19" t="s">
        <v>14</v>
      </c>
      <c r="E145" s="4">
        <v>1</v>
      </c>
      <c r="F145" s="42">
        <v>3.1</v>
      </c>
      <c r="G145" s="45">
        <v>2695</v>
      </c>
      <c r="H145" s="22">
        <v>2.2000000000000002</v>
      </c>
      <c r="I145" s="6">
        <f t="shared" si="2"/>
        <v>18379.900000000001</v>
      </c>
      <c r="J145" s="6" t="s">
        <v>1435</v>
      </c>
      <c r="K145" s="17"/>
    </row>
    <row r="146" spans="1:11" ht="13.95" customHeight="1" x14ac:dyDescent="0.3">
      <c r="A146" s="3">
        <v>45802</v>
      </c>
      <c r="B146" s="3" t="s">
        <v>1922</v>
      </c>
      <c r="C146" s="19" t="s">
        <v>16</v>
      </c>
      <c r="D146" s="19" t="s">
        <v>14</v>
      </c>
      <c r="E146" s="4">
        <v>0.95</v>
      </c>
      <c r="F146" s="42">
        <v>2.65</v>
      </c>
      <c r="G146" s="45">
        <v>2185</v>
      </c>
      <c r="H146" s="22">
        <v>2.2000000000000002</v>
      </c>
      <c r="I146" s="6">
        <f t="shared" si="2"/>
        <v>12101.622500000001</v>
      </c>
      <c r="J146" s="6" t="s">
        <v>149</v>
      </c>
      <c r="K146" s="17"/>
    </row>
    <row r="147" spans="1:11" ht="13.95" customHeight="1" x14ac:dyDescent="0.3">
      <c r="A147" s="3">
        <v>45803</v>
      </c>
      <c r="B147" s="3" t="s">
        <v>1922</v>
      </c>
      <c r="C147" s="19" t="s">
        <v>18</v>
      </c>
      <c r="D147" s="19" t="s">
        <v>1340</v>
      </c>
      <c r="E147" s="4">
        <v>0.7</v>
      </c>
      <c r="F147" s="42">
        <v>2.1</v>
      </c>
      <c r="G147" s="45">
        <v>1275</v>
      </c>
      <c r="H147" s="22">
        <v>2.2000000000000002</v>
      </c>
      <c r="I147" s="6">
        <f t="shared" si="2"/>
        <v>4123.3500000000004</v>
      </c>
      <c r="J147" s="6" t="s">
        <v>1883</v>
      </c>
      <c r="K147" s="17"/>
    </row>
    <row r="148" spans="1:11" ht="13.95" customHeight="1" x14ac:dyDescent="0.3">
      <c r="A148" s="3">
        <v>45804</v>
      </c>
      <c r="B148" s="3" t="s">
        <v>1922</v>
      </c>
      <c r="C148" s="19" t="s">
        <v>20</v>
      </c>
      <c r="D148" s="19" t="s">
        <v>1340</v>
      </c>
      <c r="E148" s="4">
        <v>0.7</v>
      </c>
      <c r="F148" s="42">
        <v>2.0499999999999998</v>
      </c>
      <c r="G148" s="45">
        <v>1250</v>
      </c>
      <c r="H148" s="22">
        <v>2.2000000000000002</v>
      </c>
      <c r="I148" s="6">
        <f t="shared" si="2"/>
        <v>3946.25</v>
      </c>
      <c r="J148" s="6" t="s">
        <v>717</v>
      </c>
      <c r="K148" s="17"/>
    </row>
    <row r="149" spans="1:11" ht="13.95" customHeight="1" x14ac:dyDescent="0.3">
      <c r="A149" s="3">
        <v>45805</v>
      </c>
      <c r="B149" s="3" t="s">
        <v>1922</v>
      </c>
      <c r="C149" s="19" t="s">
        <v>5</v>
      </c>
      <c r="D149" s="19" t="s">
        <v>1340</v>
      </c>
      <c r="E149" s="4">
        <v>0.75</v>
      </c>
      <c r="F149" s="42">
        <v>2.1</v>
      </c>
      <c r="G149" s="45">
        <v>1365</v>
      </c>
      <c r="H149" s="22">
        <v>2.2000000000000002</v>
      </c>
      <c r="I149" s="6">
        <f t="shared" si="2"/>
        <v>4729.7250000000004</v>
      </c>
      <c r="J149" s="6" t="s">
        <v>71</v>
      </c>
      <c r="K149" s="17"/>
    </row>
    <row r="150" spans="1:11" ht="13.95" customHeight="1" x14ac:dyDescent="0.3">
      <c r="A150" s="3">
        <v>45806</v>
      </c>
      <c r="B150" s="3" t="s">
        <v>1922</v>
      </c>
      <c r="C150" s="19" t="s">
        <v>8</v>
      </c>
      <c r="D150" s="19" t="s">
        <v>1340</v>
      </c>
      <c r="E150" s="4">
        <v>0.78</v>
      </c>
      <c r="F150" s="42">
        <v>2.15</v>
      </c>
      <c r="G150" s="45">
        <v>1455</v>
      </c>
      <c r="H150" s="22">
        <v>2.2000000000000002</v>
      </c>
      <c r="I150" s="6">
        <f t="shared" si="2"/>
        <v>5368.0770000000011</v>
      </c>
      <c r="J150" s="6" t="s">
        <v>82</v>
      </c>
      <c r="K150" s="17"/>
    </row>
    <row r="151" spans="1:11" ht="13.95" customHeight="1" x14ac:dyDescent="0.3">
      <c r="A151" s="3">
        <v>45807</v>
      </c>
      <c r="B151" s="3" t="s">
        <v>1922</v>
      </c>
      <c r="C151" s="19" t="s">
        <v>11</v>
      </c>
      <c r="D151" s="19" t="s">
        <v>14</v>
      </c>
      <c r="E151" s="4">
        <v>0.85</v>
      </c>
      <c r="F151" s="42">
        <v>2.4500000000000002</v>
      </c>
      <c r="G151" s="45">
        <v>1810</v>
      </c>
      <c r="H151" s="22">
        <v>2.2000000000000002</v>
      </c>
      <c r="I151" s="6">
        <f t="shared" si="2"/>
        <v>8292.5150000000012</v>
      </c>
      <c r="J151" s="6" t="s">
        <v>97</v>
      </c>
      <c r="K151" s="17"/>
    </row>
    <row r="152" spans="1:11" ht="13.95" customHeight="1" x14ac:dyDescent="0.3">
      <c r="A152" s="3">
        <v>45808</v>
      </c>
      <c r="B152" s="3" t="s">
        <v>1922</v>
      </c>
      <c r="C152" s="19" t="s">
        <v>13</v>
      </c>
      <c r="D152" s="19" t="s">
        <v>14</v>
      </c>
      <c r="E152" s="4">
        <v>1</v>
      </c>
      <c r="F152" s="42">
        <v>3.15</v>
      </c>
      <c r="G152" s="45">
        <v>2740</v>
      </c>
      <c r="H152" s="22">
        <v>2.2000000000000002</v>
      </c>
      <c r="I152" s="6">
        <f t="shared" si="2"/>
        <v>18988.2</v>
      </c>
      <c r="J152" s="6" t="s">
        <v>1346</v>
      </c>
      <c r="K152" s="17"/>
    </row>
    <row r="153" spans="1:11" ht="13.95" customHeight="1" x14ac:dyDescent="0.3">
      <c r="A153" s="3">
        <v>45809</v>
      </c>
      <c r="B153" s="3" t="s">
        <v>1922</v>
      </c>
      <c r="C153" s="19" t="s">
        <v>16</v>
      </c>
      <c r="D153" s="19" t="s">
        <v>14</v>
      </c>
      <c r="E153" s="4">
        <v>0.85</v>
      </c>
      <c r="F153" s="42">
        <v>2.4</v>
      </c>
      <c r="G153" s="45">
        <v>1850</v>
      </c>
      <c r="H153" s="22">
        <v>2.2000000000000002</v>
      </c>
      <c r="I153" s="6">
        <f t="shared" si="2"/>
        <v>8302.8000000000011</v>
      </c>
      <c r="J153" s="6" t="s">
        <v>139</v>
      </c>
      <c r="K153" s="17"/>
    </row>
    <row r="154" spans="1:11" ht="13.95" customHeight="1" x14ac:dyDescent="0.3">
      <c r="A154" s="3">
        <v>45810</v>
      </c>
      <c r="B154" s="3" t="s">
        <v>1922</v>
      </c>
      <c r="C154" s="19" t="s">
        <v>18</v>
      </c>
      <c r="D154" s="19" t="s">
        <v>1340</v>
      </c>
      <c r="E154" s="4">
        <v>0.75</v>
      </c>
      <c r="F154" s="42">
        <v>2.1</v>
      </c>
      <c r="G154" s="45">
        <v>1430</v>
      </c>
      <c r="H154" s="22">
        <v>2.2000000000000002</v>
      </c>
      <c r="I154" s="6">
        <f t="shared" si="2"/>
        <v>4954.9500000000007</v>
      </c>
      <c r="J154" s="6" t="s">
        <v>1884</v>
      </c>
      <c r="K154" s="17"/>
    </row>
    <row r="155" spans="1:11" ht="13.95" customHeight="1" x14ac:dyDescent="0.3">
      <c r="A155" s="3">
        <v>45811</v>
      </c>
      <c r="B155" s="3" t="s">
        <v>1922</v>
      </c>
      <c r="C155" s="19" t="s">
        <v>20</v>
      </c>
      <c r="D155" s="19" t="s">
        <v>1340</v>
      </c>
      <c r="E155" s="4">
        <v>0.7</v>
      </c>
      <c r="F155" s="42">
        <v>2.0499999999999998</v>
      </c>
      <c r="G155" s="45">
        <v>1305</v>
      </c>
      <c r="H155" s="22">
        <v>2.2000000000000002</v>
      </c>
      <c r="I155" s="6">
        <f t="shared" si="2"/>
        <v>4119.8849999999993</v>
      </c>
      <c r="J155" s="6" t="s">
        <v>717</v>
      </c>
      <c r="K155" s="17"/>
    </row>
    <row r="156" spans="1:11" ht="13.95" customHeight="1" x14ac:dyDescent="0.3">
      <c r="A156" s="3">
        <v>45812</v>
      </c>
      <c r="B156" s="3" t="s">
        <v>1922</v>
      </c>
      <c r="C156" s="19" t="s">
        <v>5</v>
      </c>
      <c r="D156" s="19" t="s">
        <v>1340</v>
      </c>
      <c r="E156" s="4">
        <v>0.75</v>
      </c>
      <c r="F156" s="42">
        <v>2.1</v>
      </c>
      <c r="G156" s="45">
        <v>1430</v>
      </c>
      <c r="H156" s="22">
        <v>2.2000000000000002</v>
      </c>
      <c r="I156" s="6">
        <f t="shared" si="2"/>
        <v>4954.9500000000007</v>
      </c>
      <c r="J156" s="6" t="s">
        <v>1440</v>
      </c>
      <c r="K156" s="17"/>
    </row>
    <row r="157" spans="1:11" ht="13.95" customHeight="1" x14ac:dyDescent="0.3">
      <c r="A157" s="3">
        <v>45813</v>
      </c>
      <c r="B157" s="3" t="s">
        <v>1922</v>
      </c>
      <c r="C157" s="19" t="s">
        <v>8</v>
      </c>
      <c r="D157" s="19" t="s">
        <v>1072</v>
      </c>
      <c r="E157" s="4">
        <v>0.85</v>
      </c>
      <c r="F157" s="42">
        <v>2.4500000000000002</v>
      </c>
      <c r="G157" s="45">
        <v>1890</v>
      </c>
      <c r="H157" s="22">
        <v>2.2000000000000002</v>
      </c>
      <c r="I157" s="6">
        <f t="shared" si="2"/>
        <v>8659.0350000000017</v>
      </c>
      <c r="J157" s="6" t="s">
        <v>1763</v>
      </c>
      <c r="K157" s="17"/>
    </row>
    <row r="158" spans="1:11" ht="13.95" customHeight="1" x14ac:dyDescent="0.3">
      <c r="A158" s="3">
        <v>45814</v>
      </c>
      <c r="B158" s="3" t="s">
        <v>1922</v>
      </c>
      <c r="C158" s="19" t="s">
        <v>11</v>
      </c>
      <c r="D158" s="19" t="s">
        <v>1142</v>
      </c>
      <c r="E158" s="4">
        <v>1</v>
      </c>
      <c r="F158" s="42">
        <v>3.1</v>
      </c>
      <c r="G158" s="45">
        <v>2815</v>
      </c>
      <c r="H158" s="22">
        <v>2.2000000000000002</v>
      </c>
      <c r="I158" s="6">
        <f t="shared" si="2"/>
        <v>19198.300000000003</v>
      </c>
      <c r="J158" s="6" t="s">
        <v>1885</v>
      </c>
      <c r="K158" s="17"/>
    </row>
    <row r="159" spans="1:11" ht="13.95" customHeight="1" x14ac:dyDescent="0.3">
      <c r="A159" s="3">
        <v>45815</v>
      </c>
      <c r="B159" s="3" t="s">
        <v>1922</v>
      </c>
      <c r="C159" s="19" t="s">
        <v>13</v>
      </c>
      <c r="D159" s="19" t="s">
        <v>1142</v>
      </c>
      <c r="E159" s="4">
        <v>1</v>
      </c>
      <c r="F159" s="42">
        <v>3.2</v>
      </c>
      <c r="G159" s="45">
        <v>2910</v>
      </c>
      <c r="H159" s="22">
        <v>2.2000000000000002</v>
      </c>
      <c r="I159" s="6">
        <f t="shared" si="2"/>
        <v>20486.400000000001</v>
      </c>
      <c r="J159" s="6" t="s">
        <v>1886</v>
      </c>
      <c r="K159" s="17"/>
    </row>
    <row r="160" spans="1:11" ht="13.95" customHeight="1" x14ac:dyDescent="0.3">
      <c r="A160" s="3">
        <v>45816</v>
      </c>
      <c r="B160" s="3" t="s">
        <v>1922</v>
      </c>
      <c r="C160" s="19" t="s">
        <v>16</v>
      </c>
      <c r="D160" s="19" t="s">
        <v>1344</v>
      </c>
      <c r="E160" s="4">
        <v>1</v>
      </c>
      <c r="F160" s="42">
        <v>2.75</v>
      </c>
      <c r="G160" s="45">
        <v>2500</v>
      </c>
      <c r="H160" s="22">
        <v>2.2000000000000002</v>
      </c>
      <c r="I160" s="6">
        <f t="shared" si="2"/>
        <v>15125.000000000002</v>
      </c>
      <c r="J160" s="6" t="s">
        <v>750</v>
      </c>
      <c r="K160" s="17"/>
    </row>
    <row r="161" spans="1:11" ht="13.95" customHeight="1" x14ac:dyDescent="0.3">
      <c r="A161" s="3">
        <v>45817</v>
      </c>
      <c r="B161" s="3" t="s">
        <v>1922</v>
      </c>
      <c r="C161" s="19" t="s">
        <v>18</v>
      </c>
      <c r="D161" s="19" t="s">
        <v>1340</v>
      </c>
      <c r="E161" s="4">
        <v>0.8</v>
      </c>
      <c r="F161" s="42">
        <v>2.2000000000000002</v>
      </c>
      <c r="G161" s="45">
        <v>1600</v>
      </c>
      <c r="H161" s="22">
        <v>2.2000000000000002</v>
      </c>
      <c r="I161" s="6">
        <f t="shared" si="2"/>
        <v>6195.2000000000007</v>
      </c>
      <c r="J161" s="6" t="s">
        <v>1794</v>
      </c>
      <c r="K161" s="17"/>
    </row>
    <row r="162" spans="1:11" ht="13.95" customHeight="1" x14ac:dyDescent="0.3">
      <c r="A162" s="3">
        <v>45818</v>
      </c>
      <c r="B162" s="3" t="s">
        <v>1922</v>
      </c>
      <c r="C162" s="19" t="s">
        <v>20</v>
      </c>
      <c r="D162" s="19" t="s">
        <v>1340</v>
      </c>
      <c r="E162" s="4">
        <v>0.8</v>
      </c>
      <c r="F162" s="42">
        <v>2.15</v>
      </c>
      <c r="G162" s="45">
        <v>1565</v>
      </c>
      <c r="H162" s="22">
        <v>2.2000000000000002</v>
      </c>
      <c r="I162" s="6">
        <f t="shared" si="2"/>
        <v>5921.96</v>
      </c>
      <c r="J162" s="6" t="s">
        <v>717</v>
      </c>
      <c r="K162" s="17"/>
    </row>
    <row r="163" spans="1:11" ht="13.95" customHeight="1" x14ac:dyDescent="0.3">
      <c r="A163" s="3">
        <v>45819</v>
      </c>
      <c r="B163" s="3" t="s">
        <v>1922</v>
      </c>
      <c r="C163" s="19" t="s">
        <v>5</v>
      </c>
      <c r="D163" s="19" t="s">
        <v>1340</v>
      </c>
      <c r="E163" s="4">
        <v>0.8</v>
      </c>
      <c r="F163" s="42">
        <v>2.15</v>
      </c>
      <c r="G163" s="45">
        <v>1565</v>
      </c>
      <c r="H163" s="22">
        <v>2.2000000000000002</v>
      </c>
      <c r="I163" s="6">
        <f t="shared" si="2"/>
        <v>5921.96</v>
      </c>
      <c r="J163" s="6" t="s">
        <v>717</v>
      </c>
      <c r="K163" s="17"/>
    </row>
    <row r="164" spans="1:11" ht="13.95" customHeight="1" x14ac:dyDescent="0.3">
      <c r="A164" s="3">
        <v>45820</v>
      </c>
      <c r="B164" s="3" t="s">
        <v>1922</v>
      </c>
      <c r="C164" s="19" t="s">
        <v>8</v>
      </c>
      <c r="D164" s="19" t="s">
        <v>1340</v>
      </c>
      <c r="E164" s="4">
        <v>0.85</v>
      </c>
      <c r="F164" s="42">
        <v>2.25</v>
      </c>
      <c r="G164" s="45">
        <v>1735</v>
      </c>
      <c r="H164" s="22">
        <v>2.2000000000000002</v>
      </c>
      <c r="I164" s="6">
        <f t="shared" si="2"/>
        <v>7300.0125000000007</v>
      </c>
      <c r="J164" s="6" t="s">
        <v>67</v>
      </c>
      <c r="K164" s="17"/>
    </row>
    <row r="165" spans="1:11" ht="13.95" customHeight="1" x14ac:dyDescent="0.3">
      <c r="A165" s="3">
        <v>45821</v>
      </c>
      <c r="B165" s="3" t="s">
        <v>1922</v>
      </c>
      <c r="C165" s="19" t="s">
        <v>11</v>
      </c>
      <c r="D165" s="19" t="s">
        <v>14</v>
      </c>
      <c r="E165" s="4">
        <v>0.9</v>
      </c>
      <c r="F165" s="42">
        <v>2.5</v>
      </c>
      <c r="G165" s="45">
        <v>2045</v>
      </c>
      <c r="H165" s="22">
        <v>2.2000000000000002</v>
      </c>
      <c r="I165" s="6">
        <f t="shared" si="2"/>
        <v>10122.75</v>
      </c>
      <c r="J165" s="6" t="s">
        <v>1124</v>
      </c>
      <c r="K165" s="17"/>
    </row>
    <row r="166" spans="1:11" ht="13.95" customHeight="1" x14ac:dyDescent="0.3">
      <c r="A166" s="3">
        <v>45822</v>
      </c>
      <c r="B166" s="3" t="s">
        <v>1922</v>
      </c>
      <c r="C166" s="19" t="s">
        <v>13</v>
      </c>
      <c r="D166" s="19" t="s">
        <v>14</v>
      </c>
      <c r="E166" s="4">
        <v>1</v>
      </c>
      <c r="F166" s="42">
        <v>3.15</v>
      </c>
      <c r="G166" s="45">
        <v>2860</v>
      </c>
      <c r="H166" s="22">
        <v>2.2000000000000002</v>
      </c>
      <c r="I166" s="6">
        <f t="shared" si="2"/>
        <v>19819.800000000003</v>
      </c>
      <c r="J166" s="6" t="s">
        <v>1346</v>
      </c>
      <c r="K166" s="17"/>
    </row>
    <row r="167" spans="1:11" ht="13.95" customHeight="1" x14ac:dyDescent="0.3">
      <c r="A167" s="3">
        <v>45823</v>
      </c>
      <c r="B167" s="3" t="s">
        <v>1922</v>
      </c>
      <c r="C167" s="19" t="s">
        <v>16</v>
      </c>
      <c r="D167" s="19" t="s">
        <v>14</v>
      </c>
      <c r="E167" s="4">
        <v>1</v>
      </c>
      <c r="F167" s="42">
        <v>2.7</v>
      </c>
      <c r="G167" s="45">
        <v>2455</v>
      </c>
      <c r="H167" s="22">
        <v>2.2000000000000002</v>
      </c>
      <c r="I167" s="6">
        <f t="shared" si="2"/>
        <v>14582.7</v>
      </c>
      <c r="J167" s="6" t="s">
        <v>139</v>
      </c>
      <c r="K167" s="17"/>
    </row>
    <row r="168" spans="1:11" ht="13.95" customHeight="1" x14ac:dyDescent="0.3">
      <c r="A168" s="3">
        <v>45824</v>
      </c>
      <c r="B168" s="3" t="s">
        <v>1922</v>
      </c>
      <c r="C168" s="19" t="s">
        <v>18</v>
      </c>
      <c r="D168" s="19" t="s">
        <v>1347</v>
      </c>
      <c r="E168" s="4">
        <v>0.9</v>
      </c>
      <c r="F168" s="42">
        <v>2.35</v>
      </c>
      <c r="G168" s="45">
        <v>1920</v>
      </c>
      <c r="H168" s="22">
        <v>2.2000000000000002</v>
      </c>
      <c r="I168" s="6">
        <f t="shared" si="2"/>
        <v>8933.76</v>
      </c>
      <c r="J168" s="6" t="s">
        <v>449</v>
      </c>
      <c r="K168" s="17"/>
    </row>
    <row r="169" spans="1:11" ht="13.95" customHeight="1" x14ac:dyDescent="0.3">
      <c r="A169" s="3">
        <v>45825</v>
      </c>
      <c r="B169" s="3" t="s">
        <v>1922</v>
      </c>
      <c r="C169" s="19" t="s">
        <v>20</v>
      </c>
      <c r="D169" s="19" t="s">
        <v>1347</v>
      </c>
      <c r="E169" s="4">
        <v>0.9</v>
      </c>
      <c r="F169" s="42">
        <v>2.2999999999999998</v>
      </c>
      <c r="G169" s="45">
        <v>1880</v>
      </c>
      <c r="H169" s="22">
        <v>2.2000000000000002</v>
      </c>
      <c r="I169" s="6">
        <f t="shared" si="2"/>
        <v>8561.52</v>
      </c>
      <c r="J169" s="6" t="s">
        <v>1887</v>
      </c>
      <c r="K169" s="17"/>
    </row>
    <row r="170" spans="1:11" ht="13.95" customHeight="1" x14ac:dyDescent="0.3">
      <c r="A170" s="3">
        <v>45826</v>
      </c>
      <c r="B170" s="3" t="s">
        <v>1922</v>
      </c>
      <c r="C170" s="19" t="s">
        <v>5</v>
      </c>
      <c r="D170" s="19" t="s">
        <v>1347</v>
      </c>
      <c r="E170" s="4">
        <v>0.9</v>
      </c>
      <c r="F170" s="42">
        <v>2.2999999999999998</v>
      </c>
      <c r="G170" s="45">
        <v>1880</v>
      </c>
      <c r="H170" s="22">
        <v>2.2000000000000002</v>
      </c>
      <c r="I170" s="6">
        <f t="shared" si="2"/>
        <v>8561.52</v>
      </c>
      <c r="J170" s="6" t="s">
        <v>1887</v>
      </c>
      <c r="K170" s="17"/>
    </row>
    <row r="171" spans="1:11" ht="13.95" customHeight="1" x14ac:dyDescent="0.3">
      <c r="A171" s="3">
        <v>45827</v>
      </c>
      <c r="B171" s="3" t="s">
        <v>1922</v>
      </c>
      <c r="C171" s="19" t="s">
        <v>8</v>
      </c>
      <c r="D171" s="19" t="s">
        <v>1347</v>
      </c>
      <c r="E171" s="4">
        <v>0.95</v>
      </c>
      <c r="F171" s="42">
        <v>2.4</v>
      </c>
      <c r="G171" s="45">
        <v>2070</v>
      </c>
      <c r="H171" s="22">
        <v>2.2000000000000002</v>
      </c>
      <c r="I171" s="6">
        <f t="shared" si="2"/>
        <v>10383.119999999999</v>
      </c>
      <c r="J171" s="6" t="s">
        <v>589</v>
      </c>
      <c r="K171" s="17"/>
    </row>
    <row r="172" spans="1:11" ht="13.95" customHeight="1" x14ac:dyDescent="0.3">
      <c r="A172" s="3">
        <v>45828</v>
      </c>
      <c r="B172" s="3" t="s">
        <v>1922</v>
      </c>
      <c r="C172" s="19" t="s">
        <v>11</v>
      </c>
      <c r="D172" s="19" t="s">
        <v>14</v>
      </c>
      <c r="E172" s="4">
        <v>1</v>
      </c>
      <c r="F172" s="42">
        <v>2.7</v>
      </c>
      <c r="G172" s="45">
        <v>2455</v>
      </c>
      <c r="H172" s="22">
        <v>2.2000000000000002</v>
      </c>
      <c r="I172" s="6">
        <f t="shared" si="2"/>
        <v>14582.7</v>
      </c>
      <c r="J172" s="6" t="s">
        <v>1684</v>
      </c>
      <c r="K172" s="17"/>
    </row>
    <row r="173" spans="1:11" ht="13.95" customHeight="1" x14ac:dyDescent="0.3">
      <c r="A173" s="3">
        <v>45829</v>
      </c>
      <c r="B173" s="3" t="s">
        <v>1922</v>
      </c>
      <c r="C173" s="19" t="s">
        <v>13</v>
      </c>
      <c r="D173" s="19" t="s">
        <v>14</v>
      </c>
      <c r="E173" s="4">
        <v>1</v>
      </c>
      <c r="F173" s="42">
        <v>3.25</v>
      </c>
      <c r="G173" s="45">
        <v>2955</v>
      </c>
      <c r="H173" s="22">
        <v>2.2000000000000002</v>
      </c>
      <c r="I173" s="6">
        <f t="shared" si="2"/>
        <v>21128.25</v>
      </c>
      <c r="J173" s="6" t="s">
        <v>1888</v>
      </c>
      <c r="K173" s="17"/>
    </row>
    <row r="174" spans="1:11" ht="13.95" customHeight="1" x14ac:dyDescent="0.3">
      <c r="A174" s="3">
        <v>45830</v>
      </c>
      <c r="B174" s="3" t="s">
        <v>1922</v>
      </c>
      <c r="C174" s="19" t="s">
        <v>16</v>
      </c>
      <c r="D174" s="19" t="s">
        <v>14</v>
      </c>
      <c r="E174" s="4">
        <v>1</v>
      </c>
      <c r="F174" s="42">
        <v>2.8</v>
      </c>
      <c r="G174" s="45">
        <v>2545</v>
      </c>
      <c r="H174" s="22">
        <v>2.2000000000000002</v>
      </c>
      <c r="I174" s="6">
        <f t="shared" si="2"/>
        <v>15677.2</v>
      </c>
      <c r="J174" s="6" t="s">
        <v>149</v>
      </c>
      <c r="K174" s="17"/>
    </row>
    <row r="175" spans="1:11" ht="13.95" customHeight="1" x14ac:dyDescent="0.3">
      <c r="A175" s="3">
        <v>45831</v>
      </c>
      <c r="B175" s="3" t="s">
        <v>1922</v>
      </c>
      <c r="C175" s="19" t="s">
        <v>18</v>
      </c>
      <c r="D175" s="19" t="s">
        <v>1347</v>
      </c>
      <c r="E175" s="4">
        <v>0.95</v>
      </c>
      <c r="F175" s="42">
        <v>2.4</v>
      </c>
      <c r="G175" s="45">
        <v>2070</v>
      </c>
      <c r="H175" s="22">
        <v>2.2000000000000002</v>
      </c>
      <c r="I175" s="6">
        <f t="shared" si="2"/>
        <v>10383.119999999999</v>
      </c>
      <c r="J175" s="6" t="s">
        <v>1889</v>
      </c>
      <c r="K175" s="17"/>
    </row>
    <row r="176" spans="1:11" ht="13.95" customHeight="1" x14ac:dyDescent="0.3">
      <c r="A176" s="3">
        <v>45832</v>
      </c>
      <c r="B176" s="3" t="s">
        <v>1922</v>
      </c>
      <c r="C176" s="19" t="s">
        <v>20</v>
      </c>
      <c r="D176" s="19" t="s">
        <v>1347</v>
      </c>
      <c r="E176" s="4">
        <v>0.95</v>
      </c>
      <c r="F176" s="42">
        <v>2.35</v>
      </c>
      <c r="G176" s="45">
        <v>2030</v>
      </c>
      <c r="H176" s="22">
        <v>2.2000000000000002</v>
      </c>
      <c r="I176" s="6">
        <f t="shared" si="2"/>
        <v>9970.3450000000012</v>
      </c>
      <c r="J176" s="6" t="s">
        <v>1889</v>
      </c>
      <c r="K176" s="17"/>
    </row>
    <row r="177" spans="1:11" ht="13.95" customHeight="1" x14ac:dyDescent="0.3">
      <c r="A177" s="3">
        <v>45833</v>
      </c>
      <c r="B177" s="3" t="s">
        <v>1922</v>
      </c>
      <c r="C177" s="19" t="s">
        <v>5</v>
      </c>
      <c r="D177" s="19" t="s">
        <v>1347</v>
      </c>
      <c r="E177" s="4">
        <v>1</v>
      </c>
      <c r="F177" s="42">
        <v>2.4500000000000002</v>
      </c>
      <c r="G177" s="45">
        <v>2225</v>
      </c>
      <c r="H177" s="22">
        <v>2.2000000000000002</v>
      </c>
      <c r="I177" s="6">
        <f t="shared" si="2"/>
        <v>11992.750000000002</v>
      </c>
      <c r="J177" s="6" t="s">
        <v>1609</v>
      </c>
      <c r="K177" s="17"/>
    </row>
    <row r="178" spans="1:11" ht="13.95" customHeight="1" x14ac:dyDescent="0.3">
      <c r="A178" s="3">
        <v>45834</v>
      </c>
      <c r="B178" s="3" t="s">
        <v>1922</v>
      </c>
      <c r="C178" s="19" t="s">
        <v>8</v>
      </c>
      <c r="D178" s="19" t="s">
        <v>1347</v>
      </c>
      <c r="E178" s="4">
        <v>1</v>
      </c>
      <c r="F178" s="42">
        <v>2.5</v>
      </c>
      <c r="G178" s="45">
        <v>2270</v>
      </c>
      <c r="H178" s="22">
        <v>2.2000000000000002</v>
      </c>
      <c r="I178" s="6">
        <f t="shared" si="2"/>
        <v>12485.000000000002</v>
      </c>
      <c r="J178" s="6" t="s">
        <v>1609</v>
      </c>
      <c r="K178" s="17"/>
    </row>
    <row r="179" spans="1:11" ht="13.95" customHeight="1" x14ac:dyDescent="0.3">
      <c r="A179" s="3">
        <v>45835</v>
      </c>
      <c r="B179" s="3" t="s">
        <v>1922</v>
      </c>
      <c r="C179" s="19" t="s">
        <v>11</v>
      </c>
      <c r="D179" s="19" t="s">
        <v>14</v>
      </c>
      <c r="E179" s="4">
        <v>1</v>
      </c>
      <c r="F179" s="42">
        <v>2.75</v>
      </c>
      <c r="G179" s="45">
        <v>2500</v>
      </c>
      <c r="H179" s="22">
        <v>2.2000000000000002</v>
      </c>
      <c r="I179" s="6">
        <f t="shared" si="2"/>
        <v>15125.000000000002</v>
      </c>
      <c r="J179" s="6" t="s">
        <v>97</v>
      </c>
      <c r="K179" s="17"/>
    </row>
    <row r="180" spans="1:11" ht="13.95" customHeight="1" x14ac:dyDescent="0.3">
      <c r="A180" s="3">
        <v>45836</v>
      </c>
      <c r="B180" s="3" t="s">
        <v>1922</v>
      </c>
      <c r="C180" s="19" t="s">
        <v>13</v>
      </c>
      <c r="D180" s="19" t="s">
        <v>995</v>
      </c>
      <c r="E180" s="4">
        <v>1</v>
      </c>
      <c r="F180" s="42">
        <v>3.35</v>
      </c>
      <c r="G180" s="45">
        <v>3045</v>
      </c>
      <c r="H180" s="22">
        <v>2.2000000000000002</v>
      </c>
      <c r="I180" s="6">
        <f t="shared" si="2"/>
        <v>22441.65</v>
      </c>
      <c r="J180" s="6" t="s">
        <v>1890</v>
      </c>
      <c r="K180" s="17"/>
    </row>
    <row r="181" spans="1:11" ht="13.95" customHeight="1" x14ac:dyDescent="0.3">
      <c r="A181" s="3">
        <v>45837</v>
      </c>
      <c r="B181" s="3" t="s">
        <v>1922</v>
      </c>
      <c r="C181" s="19" t="s">
        <v>16</v>
      </c>
      <c r="D181" s="19" t="s">
        <v>14</v>
      </c>
      <c r="E181" s="4">
        <v>1</v>
      </c>
      <c r="F181" s="42">
        <v>2.9</v>
      </c>
      <c r="G181" s="45">
        <v>2635</v>
      </c>
      <c r="H181" s="22">
        <v>2.2000000000000002</v>
      </c>
      <c r="I181" s="6">
        <f t="shared" si="2"/>
        <v>16811.300000000003</v>
      </c>
      <c r="J181" s="6" t="s">
        <v>149</v>
      </c>
      <c r="K181" s="17"/>
    </row>
    <row r="182" spans="1:11" ht="13.95" customHeight="1" x14ac:dyDescent="0.3">
      <c r="A182" s="3">
        <v>45838</v>
      </c>
      <c r="B182" s="3" t="s">
        <v>1922</v>
      </c>
      <c r="C182" s="19" t="s">
        <v>18</v>
      </c>
      <c r="D182" s="19" t="s">
        <v>1347</v>
      </c>
      <c r="E182" s="4">
        <v>1</v>
      </c>
      <c r="F182" s="42">
        <v>2.5499999999999998</v>
      </c>
      <c r="G182" s="45">
        <v>2315</v>
      </c>
      <c r="H182" s="22">
        <v>2.2000000000000002</v>
      </c>
      <c r="I182" s="6">
        <f t="shared" si="2"/>
        <v>12987.150000000001</v>
      </c>
      <c r="J182" s="6" t="s">
        <v>1686</v>
      </c>
      <c r="K182" s="17"/>
    </row>
    <row r="183" spans="1:11" ht="13.95" customHeight="1" x14ac:dyDescent="0.3">
      <c r="A183" s="3">
        <v>45809</v>
      </c>
      <c r="B183" s="3" t="s">
        <v>1922</v>
      </c>
      <c r="C183" s="19" t="s">
        <v>16</v>
      </c>
      <c r="D183" s="19" t="s">
        <v>14</v>
      </c>
      <c r="E183" s="4">
        <v>0.85</v>
      </c>
      <c r="F183" s="42">
        <v>2.4</v>
      </c>
      <c r="G183" s="45">
        <v>1850</v>
      </c>
      <c r="H183" s="22">
        <v>2.2999999999999998</v>
      </c>
      <c r="I183" s="6">
        <f t="shared" si="2"/>
        <v>8680.1999999999989</v>
      </c>
      <c r="J183" s="6" t="s">
        <v>139</v>
      </c>
      <c r="K183" s="17"/>
    </row>
    <row r="184" spans="1:11" ht="13.95" customHeight="1" x14ac:dyDescent="0.3">
      <c r="A184" s="3">
        <v>45810</v>
      </c>
      <c r="B184" s="3" t="s">
        <v>1922</v>
      </c>
      <c r="C184" s="19" t="s">
        <v>18</v>
      </c>
      <c r="D184" s="19" t="s">
        <v>1340</v>
      </c>
      <c r="E184" s="4">
        <v>0.75</v>
      </c>
      <c r="F184" s="42">
        <v>2.1</v>
      </c>
      <c r="G184" s="45">
        <v>1430</v>
      </c>
      <c r="H184" s="22">
        <v>2.2999999999999998</v>
      </c>
      <c r="I184" s="6">
        <f t="shared" si="2"/>
        <v>5180.1749999999993</v>
      </c>
      <c r="J184" s="6" t="s">
        <v>1884</v>
      </c>
      <c r="K184" s="17"/>
    </row>
    <row r="185" spans="1:11" ht="13.95" customHeight="1" x14ac:dyDescent="0.3">
      <c r="A185" s="3">
        <v>45811</v>
      </c>
      <c r="B185" s="3" t="s">
        <v>1922</v>
      </c>
      <c r="C185" s="19" t="s">
        <v>20</v>
      </c>
      <c r="D185" s="19" t="s">
        <v>1340</v>
      </c>
      <c r="E185" s="4">
        <v>0.7</v>
      </c>
      <c r="F185" s="42">
        <v>2.0499999999999998</v>
      </c>
      <c r="G185" s="45">
        <v>1305</v>
      </c>
      <c r="H185" s="22">
        <v>2.2999999999999998</v>
      </c>
      <c r="I185" s="6">
        <f t="shared" si="2"/>
        <v>4307.1524999999983</v>
      </c>
      <c r="J185" s="6" t="s">
        <v>717</v>
      </c>
      <c r="K185" s="17"/>
    </row>
    <row r="186" spans="1:11" ht="13.95" customHeight="1" x14ac:dyDescent="0.3">
      <c r="A186" s="3">
        <v>45812</v>
      </c>
      <c r="B186" s="3" t="s">
        <v>1922</v>
      </c>
      <c r="C186" s="19" t="s">
        <v>5</v>
      </c>
      <c r="D186" s="19" t="s">
        <v>1340</v>
      </c>
      <c r="E186" s="4">
        <v>0.75</v>
      </c>
      <c r="F186" s="42">
        <v>2.1</v>
      </c>
      <c r="G186" s="45">
        <v>1430</v>
      </c>
      <c r="H186" s="22">
        <v>2.2999999999999998</v>
      </c>
      <c r="I186" s="6">
        <f t="shared" si="2"/>
        <v>5180.1749999999993</v>
      </c>
      <c r="J186" s="6" t="s">
        <v>1440</v>
      </c>
      <c r="K186" s="17"/>
    </row>
    <row r="187" spans="1:11" ht="13.95" customHeight="1" x14ac:dyDescent="0.3">
      <c r="A187" s="3">
        <v>45813</v>
      </c>
      <c r="B187" s="3" t="s">
        <v>1922</v>
      </c>
      <c r="C187" s="19" t="s">
        <v>8</v>
      </c>
      <c r="D187" s="19" t="s">
        <v>1072</v>
      </c>
      <c r="E187" s="4">
        <v>0.85</v>
      </c>
      <c r="F187" s="42">
        <v>2.4500000000000002</v>
      </c>
      <c r="G187" s="45">
        <v>1890</v>
      </c>
      <c r="H187" s="22">
        <v>2.2999999999999998</v>
      </c>
      <c r="I187" s="6">
        <f t="shared" si="2"/>
        <v>9052.6275000000005</v>
      </c>
      <c r="J187" s="6" t="s">
        <v>1763</v>
      </c>
      <c r="K187" s="17"/>
    </row>
    <row r="188" spans="1:11" ht="13.95" customHeight="1" x14ac:dyDescent="0.3">
      <c r="A188" s="3">
        <v>45814</v>
      </c>
      <c r="B188" s="3" t="s">
        <v>1922</v>
      </c>
      <c r="C188" s="19" t="s">
        <v>11</v>
      </c>
      <c r="D188" s="19" t="s">
        <v>1142</v>
      </c>
      <c r="E188" s="4">
        <v>1</v>
      </c>
      <c r="F188" s="42">
        <v>3.1</v>
      </c>
      <c r="G188" s="45">
        <v>2815</v>
      </c>
      <c r="H188" s="22">
        <v>2.2999999999999998</v>
      </c>
      <c r="I188" s="6">
        <f t="shared" si="2"/>
        <v>20070.949999999997</v>
      </c>
      <c r="J188" s="6" t="s">
        <v>1885</v>
      </c>
      <c r="K188" s="17"/>
    </row>
    <row r="189" spans="1:11" ht="13.95" customHeight="1" x14ac:dyDescent="0.3">
      <c r="A189" s="3">
        <v>45815</v>
      </c>
      <c r="B189" s="3" t="s">
        <v>1922</v>
      </c>
      <c r="C189" s="19" t="s">
        <v>13</v>
      </c>
      <c r="D189" s="19" t="s">
        <v>1142</v>
      </c>
      <c r="E189" s="4">
        <v>1</v>
      </c>
      <c r="F189" s="42">
        <v>3.2</v>
      </c>
      <c r="G189" s="45">
        <v>2910</v>
      </c>
      <c r="H189" s="22">
        <v>2.2999999999999998</v>
      </c>
      <c r="I189" s="6">
        <f t="shared" si="2"/>
        <v>21417.599999999999</v>
      </c>
      <c r="J189" s="6" t="s">
        <v>1886</v>
      </c>
      <c r="K189" s="17"/>
    </row>
    <row r="190" spans="1:11" ht="13.95" customHeight="1" x14ac:dyDescent="0.3">
      <c r="A190" s="3">
        <v>45816</v>
      </c>
      <c r="B190" s="3" t="s">
        <v>1922</v>
      </c>
      <c r="C190" s="19" t="s">
        <v>16</v>
      </c>
      <c r="D190" s="19" t="s">
        <v>1344</v>
      </c>
      <c r="E190" s="4">
        <v>1</v>
      </c>
      <c r="F190" s="42">
        <v>2.75</v>
      </c>
      <c r="G190" s="45">
        <v>2500</v>
      </c>
      <c r="H190" s="22">
        <v>2.2999999999999998</v>
      </c>
      <c r="I190" s="6">
        <f t="shared" si="2"/>
        <v>15812.499999999998</v>
      </c>
      <c r="J190" s="6" t="s">
        <v>750</v>
      </c>
      <c r="K190" s="17"/>
    </row>
    <row r="191" spans="1:11" ht="13.95" customHeight="1" x14ac:dyDescent="0.3">
      <c r="A191" s="3">
        <v>45817</v>
      </c>
      <c r="B191" s="3" t="s">
        <v>1922</v>
      </c>
      <c r="C191" s="19" t="s">
        <v>18</v>
      </c>
      <c r="D191" s="19" t="s">
        <v>1340</v>
      </c>
      <c r="E191" s="4">
        <v>0.8</v>
      </c>
      <c r="F191" s="42">
        <v>2.2000000000000002</v>
      </c>
      <c r="G191" s="45">
        <v>1600</v>
      </c>
      <c r="H191" s="22">
        <v>2.2999999999999998</v>
      </c>
      <c r="I191" s="6">
        <f t="shared" si="2"/>
        <v>6476.7999999999993</v>
      </c>
      <c r="J191" s="6" t="s">
        <v>1794</v>
      </c>
      <c r="K191" s="17"/>
    </row>
    <row r="192" spans="1:11" ht="13.95" customHeight="1" x14ac:dyDescent="0.3">
      <c r="A192" s="3">
        <v>45818</v>
      </c>
      <c r="B192" s="3" t="s">
        <v>1922</v>
      </c>
      <c r="C192" s="19" t="s">
        <v>20</v>
      </c>
      <c r="D192" s="19" t="s">
        <v>1340</v>
      </c>
      <c r="E192" s="4">
        <v>0.8</v>
      </c>
      <c r="F192" s="42">
        <v>2.15</v>
      </c>
      <c r="G192" s="45">
        <v>1565</v>
      </c>
      <c r="H192" s="22">
        <v>2.2999999999999998</v>
      </c>
      <c r="I192" s="6">
        <f t="shared" si="2"/>
        <v>6191.1399999999985</v>
      </c>
      <c r="J192" s="6" t="s">
        <v>717</v>
      </c>
      <c r="K192" s="17"/>
    </row>
    <row r="193" spans="1:11" ht="13.95" customHeight="1" x14ac:dyDescent="0.3">
      <c r="A193" s="3">
        <v>45819</v>
      </c>
      <c r="B193" s="3" t="s">
        <v>1922</v>
      </c>
      <c r="C193" s="19" t="s">
        <v>5</v>
      </c>
      <c r="D193" s="19" t="s">
        <v>1340</v>
      </c>
      <c r="E193" s="4">
        <v>0.8</v>
      </c>
      <c r="F193" s="42">
        <v>2.15</v>
      </c>
      <c r="G193" s="45">
        <v>1565</v>
      </c>
      <c r="H193" s="22">
        <v>2.2999999999999998</v>
      </c>
      <c r="I193" s="6">
        <f t="shared" si="2"/>
        <v>6191.1399999999985</v>
      </c>
      <c r="J193" s="6" t="s">
        <v>717</v>
      </c>
      <c r="K193" s="17"/>
    </row>
    <row r="194" spans="1:11" ht="13.95" customHeight="1" x14ac:dyDescent="0.3">
      <c r="A194" s="3">
        <v>45820</v>
      </c>
      <c r="B194" s="3" t="s">
        <v>1922</v>
      </c>
      <c r="C194" s="19" t="s">
        <v>8</v>
      </c>
      <c r="D194" s="19" t="s">
        <v>1340</v>
      </c>
      <c r="E194" s="4">
        <v>0.85</v>
      </c>
      <c r="F194" s="42">
        <v>2.25</v>
      </c>
      <c r="G194" s="45">
        <v>1735</v>
      </c>
      <c r="H194" s="22">
        <v>2.2999999999999998</v>
      </c>
      <c r="I194" s="6">
        <f t="shared" ref="I194:I257" si="3">(G194*E194)*F194*H194</f>
        <v>7631.8312499999993</v>
      </c>
      <c r="J194" s="6" t="s">
        <v>67</v>
      </c>
      <c r="K194" s="17"/>
    </row>
    <row r="195" spans="1:11" ht="13.95" customHeight="1" x14ac:dyDescent="0.3">
      <c r="A195" s="3">
        <v>45821</v>
      </c>
      <c r="B195" s="3" t="s">
        <v>1922</v>
      </c>
      <c r="C195" s="19" t="s">
        <v>11</v>
      </c>
      <c r="D195" s="19" t="s">
        <v>14</v>
      </c>
      <c r="E195" s="4">
        <v>0.9</v>
      </c>
      <c r="F195" s="42">
        <v>2.5</v>
      </c>
      <c r="G195" s="45">
        <v>2045</v>
      </c>
      <c r="H195" s="22">
        <v>2.2999999999999998</v>
      </c>
      <c r="I195" s="6">
        <f t="shared" si="3"/>
        <v>10582.875</v>
      </c>
      <c r="J195" s="6" t="s">
        <v>1124</v>
      </c>
      <c r="K195" s="17"/>
    </row>
    <row r="196" spans="1:11" ht="13.95" customHeight="1" x14ac:dyDescent="0.3">
      <c r="A196" s="3">
        <v>45822</v>
      </c>
      <c r="B196" s="3" t="s">
        <v>1922</v>
      </c>
      <c r="C196" s="19" t="s">
        <v>13</v>
      </c>
      <c r="D196" s="19" t="s">
        <v>14</v>
      </c>
      <c r="E196" s="4">
        <v>1</v>
      </c>
      <c r="F196" s="42">
        <v>3.15</v>
      </c>
      <c r="G196" s="45">
        <v>2860</v>
      </c>
      <c r="H196" s="22">
        <v>2.2999999999999998</v>
      </c>
      <c r="I196" s="6">
        <f t="shared" si="3"/>
        <v>20720.699999999997</v>
      </c>
      <c r="J196" s="6" t="s">
        <v>1346</v>
      </c>
      <c r="K196" s="17"/>
    </row>
    <row r="197" spans="1:11" ht="13.95" customHeight="1" x14ac:dyDescent="0.3">
      <c r="A197" s="3">
        <v>45823</v>
      </c>
      <c r="B197" s="3" t="s">
        <v>1922</v>
      </c>
      <c r="C197" s="19" t="s">
        <v>16</v>
      </c>
      <c r="D197" s="19" t="s">
        <v>14</v>
      </c>
      <c r="E197" s="4">
        <v>1</v>
      </c>
      <c r="F197" s="42">
        <v>2.7</v>
      </c>
      <c r="G197" s="45">
        <v>2455</v>
      </c>
      <c r="H197" s="22">
        <v>2.2999999999999998</v>
      </c>
      <c r="I197" s="6">
        <f t="shared" si="3"/>
        <v>15245.55</v>
      </c>
      <c r="J197" s="6" t="s">
        <v>139</v>
      </c>
      <c r="K197" s="17"/>
    </row>
    <row r="198" spans="1:11" ht="13.95" customHeight="1" x14ac:dyDescent="0.3">
      <c r="A198" s="3">
        <v>45824</v>
      </c>
      <c r="B198" s="3" t="s">
        <v>1922</v>
      </c>
      <c r="C198" s="19" t="s">
        <v>18</v>
      </c>
      <c r="D198" s="19" t="s">
        <v>1347</v>
      </c>
      <c r="E198" s="4">
        <v>0.9</v>
      </c>
      <c r="F198" s="42">
        <v>2.35</v>
      </c>
      <c r="G198" s="45">
        <v>1920</v>
      </c>
      <c r="H198" s="22">
        <v>2.2999999999999998</v>
      </c>
      <c r="I198" s="6">
        <f t="shared" si="3"/>
        <v>9339.84</v>
      </c>
      <c r="J198" s="6" t="s">
        <v>449</v>
      </c>
      <c r="K198" s="17"/>
    </row>
    <row r="199" spans="1:11" ht="13.95" customHeight="1" x14ac:dyDescent="0.3">
      <c r="A199" s="3">
        <v>45825</v>
      </c>
      <c r="B199" s="3" t="s">
        <v>1922</v>
      </c>
      <c r="C199" s="19" t="s">
        <v>20</v>
      </c>
      <c r="D199" s="19" t="s">
        <v>1347</v>
      </c>
      <c r="E199" s="4">
        <v>0.9</v>
      </c>
      <c r="F199" s="42">
        <v>2.2999999999999998</v>
      </c>
      <c r="G199" s="45">
        <v>1880</v>
      </c>
      <c r="H199" s="22">
        <v>2.2999999999999998</v>
      </c>
      <c r="I199" s="6">
        <f t="shared" si="3"/>
        <v>8950.6799999999985</v>
      </c>
      <c r="J199" s="6" t="s">
        <v>1887</v>
      </c>
      <c r="K199" s="17"/>
    </row>
    <row r="200" spans="1:11" ht="13.95" customHeight="1" x14ac:dyDescent="0.3">
      <c r="A200" s="3">
        <v>45826</v>
      </c>
      <c r="B200" s="3" t="s">
        <v>1922</v>
      </c>
      <c r="C200" s="19" t="s">
        <v>5</v>
      </c>
      <c r="D200" s="19" t="s">
        <v>1347</v>
      </c>
      <c r="E200" s="4">
        <v>0.9</v>
      </c>
      <c r="F200" s="42">
        <v>2.2999999999999998</v>
      </c>
      <c r="G200" s="45">
        <v>1880</v>
      </c>
      <c r="H200" s="22">
        <v>2.2999999999999998</v>
      </c>
      <c r="I200" s="6">
        <f t="shared" si="3"/>
        <v>8950.6799999999985</v>
      </c>
      <c r="J200" s="6" t="s">
        <v>1887</v>
      </c>
      <c r="K200" s="17"/>
    </row>
    <row r="201" spans="1:11" ht="13.95" customHeight="1" x14ac:dyDescent="0.3">
      <c r="A201" s="3">
        <v>45827</v>
      </c>
      <c r="B201" s="3" t="s">
        <v>1922</v>
      </c>
      <c r="C201" s="19" t="s">
        <v>8</v>
      </c>
      <c r="D201" s="19" t="s">
        <v>1347</v>
      </c>
      <c r="E201" s="4">
        <v>0.95</v>
      </c>
      <c r="F201" s="42">
        <v>2.4</v>
      </c>
      <c r="G201" s="45">
        <v>2070</v>
      </c>
      <c r="H201" s="22">
        <v>2.2999999999999998</v>
      </c>
      <c r="I201" s="6">
        <f t="shared" si="3"/>
        <v>10855.079999999998</v>
      </c>
      <c r="J201" s="6" t="s">
        <v>589</v>
      </c>
      <c r="K201" s="17"/>
    </row>
    <row r="202" spans="1:11" ht="13.95" customHeight="1" x14ac:dyDescent="0.3">
      <c r="A202" s="3">
        <v>45828</v>
      </c>
      <c r="B202" s="3" t="s">
        <v>1922</v>
      </c>
      <c r="C202" s="19" t="s">
        <v>11</v>
      </c>
      <c r="D202" s="19" t="s">
        <v>14</v>
      </c>
      <c r="E202" s="4">
        <v>1</v>
      </c>
      <c r="F202" s="42">
        <v>2.7</v>
      </c>
      <c r="G202" s="45">
        <v>2455</v>
      </c>
      <c r="H202" s="22">
        <v>2.2999999999999998</v>
      </c>
      <c r="I202" s="6">
        <f t="shared" si="3"/>
        <v>15245.55</v>
      </c>
      <c r="J202" s="6" t="s">
        <v>1684</v>
      </c>
      <c r="K202" s="17"/>
    </row>
    <row r="203" spans="1:11" ht="13.95" customHeight="1" x14ac:dyDescent="0.3">
      <c r="A203" s="3">
        <v>45829</v>
      </c>
      <c r="B203" s="3" t="s">
        <v>1922</v>
      </c>
      <c r="C203" s="19" t="s">
        <v>13</v>
      </c>
      <c r="D203" s="19" t="s">
        <v>14</v>
      </c>
      <c r="E203" s="4">
        <v>1</v>
      </c>
      <c r="F203" s="42">
        <v>3.25</v>
      </c>
      <c r="G203" s="45">
        <v>2955</v>
      </c>
      <c r="H203" s="22">
        <v>2.2999999999999998</v>
      </c>
      <c r="I203" s="6">
        <f t="shared" si="3"/>
        <v>22088.625</v>
      </c>
      <c r="J203" s="6" t="s">
        <v>1888</v>
      </c>
      <c r="K203" s="17"/>
    </row>
    <row r="204" spans="1:11" ht="13.95" customHeight="1" x14ac:dyDescent="0.3">
      <c r="A204" s="3">
        <v>45830</v>
      </c>
      <c r="B204" s="3" t="s">
        <v>1922</v>
      </c>
      <c r="C204" s="19" t="s">
        <v>16</v>
      </c>
      <c r="D204" s="19" t="s">
        <v>14</v>
      </c>
      <c r="E204" s="4">
        <v>1</v>
      </c>
      <c r="F204" s="42">
        <v>2.8</v>
      </c>
      <c r="G204" s="45">
        <v>2545</v>
      </c>
      <c r="H204" s="22">
        <v>2.2999999999999998</v>
      </c>
      <c r="I204" s="6">
        <f t="shared" si="3"/>
        <v>16389.8</v>
      </c>
      <c r="J204" s="6" t="s">
        <v>149</v>
      </c>
      <c r="K204" s="17"/>
    </row>
    <row r="205" spans="1:11" ht="13.95" customHeight="1" x14ac:dyDescent="0.3">
      <c r="A205" s="3">
        <v>45831</v>
      </c>
      <c r="B205" s="3" t="s">
        <v>1922</v>
      </c>
      <c r="C205" s="19" t="s">
        <v>18</v>
      </c>
      <c r="D205" s="19" t="s">
        <v>1347</v>
      </c>
      <c r="E205" s="4">
        <v>0.95</v>
      </c>
      <c r="F205" s="42">
        <v>2.4</v>
      </c>
      <c r="G205" s="45">
        <v>2070</v>
      </c>
      <c r="H205" s="22">
        <v>2.2999999999999998</v>
      </c>
      <c r="I205" s="6">
        <f t="shared" si="3"/>
        <v>10855.079999999998</v>
      </c>
      <c r="J205" s="6" t="s">
        <v>1889</v>
      </c>
      <c r="K205" s="17"/>
    </row>
    <row r="206" spans="1:11" ht="13.95" customHeight="1" x14ac:dyDescent="0.3">
      <c r="A206" s="3">
        <v>45832</v>
      </c>
      <c r="B206" s="3" t="s">
        <v>1922</v>
      </c>
      <c r="C206" s="19" t="s">
        <v>20</v>
      </c>
      <c r="D206" s="19" t="s">
        <v>1347</v>
      </c>
      <c r="E206" s="4">
        <v>0.95</v>
      </c>
      <c r="F206" s="42">
        <v>2.35</v>
      </c>
      <c r="G206" s="45">
        <v>2030</v>
      </c>
      <c r="H206" s="22">
        <v>2.2999999999999998</v>
      </c>
      <c r="I206" s="6">
        <f t="shared" si="3"/>
        <v>10423.5425</v>
      </c>
      <c r="J206" s="6" t="s">
        <v>1889</v>
      </c>
      <c r="K206" s="17"/>
    </row>
    <row r="207" spans="1:11" ht="13.95" customHeight="1" x14ac:dyDescent="0.3">
      <c r="A207" s="3">
        <v>45833</v>
      </c>
      <c r="B207" s="3" t="s">
        <v>1922</v>
      </c>
      <c r="C207" s="19" t="s">
        <v>5</v>
      </c>
      <c r="D207" s="19" t="s">
        <v>1347</v>
      </c>
      <c r="E207" s="4">
        <v>1</v>
      </c>
      <c r="F207" s="42">
        <v>2.4500000000000002</v>
      </c>
      <c r="G207" s="45">
        <v>2225</v>
      </c>
      <c r="H207" s="22">
        <v>2.2999999999999998</v>
      </c>
      <c r="I207" s="6">
        <f t="shared" si="3"/>
        <v>12537.874999999998</v>
      </c>
      <c r="J207" s="6" t="s">
        <v>1609</v>
      </c>
      <c r="K207" s="17"/>
    </row>
    <row r="208" spans="1:11" ht="13.95" customHeight="1" x14ac:dyDescent="0.3">
      <c r="A208" s="3">
        <v>45834</v>
      </c>
      <c r="B208" s="3" t="s">
        <v>1922</v>
      </c>
      <c r="C208" s="19" t="s">
        <v>8</v>
      </c>
      <c r="D208" s="19" t="s">
        <v>1347</v>
      </c>
      <c r="E208" s="4">
        <v>1</v>
      </c>
      <c r="F208" s="42">
        <v>2.5</v>
      </c>
      <c r="G208" s="45">
        <v>2270</v>
      </c>
      <c r="H208" s="22">
        <v>2.2999999999999998</v>
      </c>
      <c r="I208" s="6">
        <f t="shared" si="3"/>
        <v>13052.499999999998</v>
      </c>
      <c r="J208" s="6" t="s">
        <v>1609</v>
      </c>
      <c r="K208" s="17"/>
    </row>
    <row r="209" spans="1:11" ht="13.95" customHeight="1" x14ac:dyDescent="0.3">
      <c r="A209" s="3">
        <v>45835</v>
      </c>
      <c r="B209" s="3" t="s">
        <v>1922</v>
      </c>
      <c r="C209" s="19" t="s">
        <v>11</v>
      </c>
      <c r="D209" s="19" t="s">
        <v>14</v>
      </c>
      <c r="E209" s="4">
        <v>1</v>
      </c>
      <c r="F209" s="42">
        <v>2.75</v>
      </c>
      <c r="G209" s="45">
        <v>2500</v>
      </c>
      <c r="H209" s="22">
        <v>2.2999999999999998</v>
      </c>
      <c r="I209" s="6">
        <f t="shared" si="3"/>
        <v>15812.499999999998</v>
      </c>
      <c r="J209" s="6" t="s">
        <v>97</v>
      </c>
      <c r="K209" s="17"/>
    </row>
    <row r="210" spans="1:11" ht="13.95" customHeight="1" x14ac:dyDescent="0.3">
      <c r="A210" s="3">
        <v>45836</v>
      </c>
      <c r="B210" s="3" t="s">
        <v>1922</v>
      </c>
      <c r="C210" s="19" t="s">
        <v>13</v>
      </c>
      <c r="D210" s="19" t="s">
        <v>995</v>
      </c>
      <c r="E210" s="4">
        <v>1</v>
      </c>
      <c r="F210" s="42">
        <v>3.35</v>
      </c>
      <c r="G210" s="45">
        <v>3045</v>
      </c>
      <c r="H210" s="22">
        <v>2.2999999999999998</v>
      </c>
      <c r="I210" s="6">
        <f t="shared" si="3"/>
        <v>23461.724999999999</v>
      </c>
      <c r="J210" s="6" t="s">
        <v>1890</v>
      </c>
      <c r="K210" s="17"/>
    </row>
    <row r="211" spans="1:11" ht="13.95" customHeight="1" x14ac:dyDescent="0.3">
      <c r="A211" s="3">
        <v>45837</v>
      </c>
      <c r="B211" s="3" t="s">
        <v>1922</v>
      </c>
      <c r="C211" s="19" t="s">
        <v>16</v>
      </c>
      <c r="D211" s="19" t="s">
        <v>14</v>
      </c>
      <c r="E211" s="4">
        <v>1</v>
      </c>
      <c r="F211" s="42">
        <v>2.9</v>
      </c>
      <c r="G211" s="45">
        <v>2635</v>
      </c>
      <c r="H211" s="22">
        <v>2.2999999999999998</v>
      </c>
      <c r="I211" s="6">
        <f t="shared" si="3"/>
        <v>17575.449999999997</v>
      </c>
      <c r="J211" s="6" t="s">
        <v>149</v>
      </c>
      <c r="K211" s="17"/>
    </row>
    <row r="212" spans="1:11" ht="13.95" customHeight="1" x14ac:dyDescent="0.3">
      <c r="A212" s="3">
        <v>45838</v>
      </c>
      <c r="B212" s="3" t="s">
        <v>1922</v>
      </c>
      <c r="C212" s="19" t="s">
        <v>18</v>
      </c>
      <c r="D212" s="19" t="s">
        <v>1347</v>
      </c>
      <c r="E212" s="4">
        <v>1</v>
      </c>
      <c r="F212" s="42">
        <v>2.5499999999999998</v>
      </c>
      <c r="G212" s="45">
        <v>2315</v>
      </c>
      <c r="H212" s="22">
        <v>2.2999999999999998</v>
      </c>
      <c r="I212" s="6">
        <f t="shared" si="3"/>
        <v>13577.474999999999</v>
      </c>
      <c r="J212" s="6" t="s">
        <v>1686</v>
      </c>
      <c r="K212" s="17"/>
    </row>
    <row r="213" spans="1:11" ht="13.95" customHeight="1" x14ac:dyDescent="0.3">
      <c r="A213" s="3">
        <v>45839</v>
      </c>
      <c r="B213" s="3" t="s">
        <v>1922</v>
      </c>
      <c r="C213" s="19" t="s">
        <v>20</v>
      </c>
      <c r="D213" s="19" t="s">
        <v>1347</v>
      </c>
      <c r="E213" s="4">
        <v>0.95</v>
      </c>
      <c r="F213" s="42">
        <v>2.4500000000000002</v>
      </c>
      <c r="G213" s="45">
        <v>2210</v>
      </c>
      <c r="H213" s="22">
        <v>2.4</v>
      </c>
      <c r="I213" s="6">
        <f t="shared" si="3"/>
        <v>12345.060000000001</v>
      </c>
      <c r="J213" s="6" t="s">
        <v>589</v>
      </c>
      <c r="K213" s="17"/>
    </row>
    <row r="214" spans="1:11" ht="13.95" customHeight="1" x14ac:dyDescent="0.3">
      <c r="A214" s="3">
        <v>45840</v>
      </c>
      <c r="B214" s="3" t="s">
        <v>1922</v>
      </c>
      <c r="C214" s="19" t="s">
        <v>5</v>
      </c>
      <c r="D214" s="19" t="s">
        <v>1347</v>
      </c>
      <c r="E214" s="4">
        <v>0.95</v>
      </c>
      <c r="F214" s="42">
        <v>2.4</v>
      </c>
      <c r="G214" s="45">
        <v>2165</v>
      </c>
      <c r="H214" s="22">
        <v>2.4</v>
      </c>
      <c r="I214" s="6">
        <f t="shared" si="3"/>
        <v>11846.88</v>
      </c>
      <c r="J214" s="6" t="s">
        <v>717</v>
      </c>
      <c r="K214" s="17"/>
    </row>
    <row r="215" spans="1:11" ht="13.95" customHeight="1" x14ac:dyDescent="0.3">
      <c r="A215" s="3">
        <v>45841</v>
      </c>
      <c r="B215" s="3" t="s">
        <v>1922</v>
      </c>
      <c r="C215" s="19" t="s">
        <v>8</v>
      </c>
      <c r="D215" s="19" t="s">
        <v>1347</v>
      </c>
      <c r="E215" s="4">
        <v>1</v>
      </c>
      <c r="F215" s="42">
        <v>2.5</v>
      </c>
      <c r="G215" s="45">
        <v>2370</v>
      </c>
      <c r="H215" s="22">
        <v>2.4</v>
      </c>
      <c r="I215" s="6">
        <f t="shared" si="3"/>
        <v>14220</v>
      </c>
      <c r="J215" s="6" t="s">
        <v>67</v>
      </c>
      <c r="K215" s="17"/>
    </row>
    <row r="216" spans="1:11" ht="13.95" customHeight="1" x14ac:dyDescent="0.3">
      <c r="A216" s="3">
        <v>45842</v>
      </c>
      <c r="B216" s="3" t="s">
        <v>1922</v>
      </c>
      <c r="C216" s="19" t="s">
        <v>11</v>
      </c>
      <c r="D216" s="19" t="s">
        <v>829</v>
      </c>
      <c r="E216" s="4">
        <v>1</v>
      </c>
      <c r="F216" s="42">
        <v>2.8</v>
      </c>
      <c r="G216" s="45">
        <v>2655</v>
      </c>
      <c r="H216" s="22">
        <v>2.4</v>
      </c>
      <c r="I216" s="6">
        <f t="shared" si="3"/>
        <v>17841.599999999999</v>
      </c>
      <c r="J216" s="6" t="s">
        <v>1684</v>
      </c>
      <c r="K216" s="17"/>
    </row>
    <row r="217" spans="1:11" ht="13.95" customHeight="1" x14ac:dyDescent="0.3">
      <c r="A217" s="3">
        <v>45843</v>
      </c>
      <c r="B217" s="3" t="s">
        <v>1922</v>
      </c>
      <c r="C217" s="19" t="s">
        <v>13</v>
      </c>
      <c r="D217" s="19" t="s">
        <v>829</v>
      </c>
      <c r="E217" s="4">
        <v>1</v>
      </c>
      <c r="F217" s="42">
        <v>3.45</v>
      </c>
      <c r="G217" s="45">
        <v>3270</v>
      </c>
      <c r="H217" s="22">
        <v>2.4</v>
      </c>
      <c r="I217" s="6">
        <f t="shared" si="3"/>
        <v>27075.599999999999</v>
      </c>
      <c r="J217" s="6" t="s">
        <v>1346</v>
      </c>
      <c r="K217" s="17"/>
    </row>
    <row r="218" spans="1:11" ht="13.95" customHeight="1" x14ac:dyDescent="0.3">
      <c r="A218" s="3">
        <v>45844</v>
      </c>
      <c r="B218" s="3" t="s">
        <v>1922</v>
      </c>
      <c r="C218" s="19" t="s">
        <v>16</v>
      </c>
      <c r="D218" s="19" t="s">
        <v>829</v>
      </c>
      <c r="E218" s="4">
        <v>1</v>
      </c>
      <c r="F218" s="42">
        <v>2.95</v>
      </c>
      <c r="G218" s="45">
        <v>2795</v>
      </c>
      <c r="H218" s="22">
        <v>2.4</v>
      </c>
      <c r="I218" s="6">
        <f t="shared" si="3"/>
        <v>19788.599999999999</v>
      </c>
      <c r="J218" s="6" t="s">
        <v>1352</v>
      </c>
      <c r="K218" s="17"/>
    </row>
    <row r="219" spans="1:11" ht="13.95" customHeight="1" x14ac:dyDescent="0.3">
      <c r="A219" s="3">
        <v>45845</v>
      </c>
      <c r="B219" s="3" t="s">
        <v>1922</v>
      </c>
      <c r="C219" s="19" t="s">
        <v>18</v>
      </c>
      <c r="D219" s="19" t="s">
        <v>1347</v>
      </c>
      <c r="E219" s="4">
        <v>1</v>
      </c>
      <c r="F219" s="42">
        <v>2.5</v>
      </c>
      <c r="G219" s="45">
        <v>2370</v>
      </c>
      <c r="H219" s="22">
        <v>2.4</v>
      </c>
      <c r="I219" s="6">
        <f t="shared" si="3"/>
        <v>14220</v>
      </c>
      <c r="J219" s="6" t="s">
        <v>1846</v>
      </c>
      <c r="K219" s="17"/>
    </row>
    <row r="220" spans="1:11" ht="13.95" customHeight="1" x14ac:dyDescent="0.3">
      <c r="A220" s="3">
        <v>45846</v>
      </c>
      <c r="B220" s="3" t="s">
        <v>1922</v>
      </c>
      <c r="C220" s="19" t="s">
        <v>20</v>
      </c>
      <c r="D220" s="19" t="s">
        <v>1347</v>
      </c>
      <c r="E220" s="4">
        <v>1</v>
      </c>
      <c r="F220" s="42">
        <v>2.4500000000000002</v>
      </c>
      <c r="G220" s="45">
        <v>2320</v>
      </c>
      <c r="H220" s="22">
        <v>2.4</v>
      </c>
      <c r="I220" s="6">
        <f t="shared" si="3"/>
        <v>13641.6</v>
      </c>
      <c r="J220" s="6" t="s">
        <v>1846</v>
      </c>
      <c r="K220" s="17"/>
    </row>
    <row r="221" spans="1:11" ht="13.95" customHeight="1" x14ac:dyDescent="0.3">
      <c r="A221" s="3">
        <v>45847</v>
      </c>
      <c r="B221" s="3" t="s">
        <v>1922</v>
      </c>
      <c r="C221" s="19" t="s">
        <v>5</v>
      </c>
      <c r="D221" s="19" t="s">
        <v>1347</v>
      </c>
      <c r="E221" s="4">
        <v>1</v>
      </c>
      <c r="F221" s="42">
        <v>2.4500000000000002</v>
      </c>
      <c r="G221" s="45">
        <v>2320</v>
      </c>
      <c r="H221" s="22">
        <v>2.4</v>
      </c>
      <c r="I221" s="6">
        <f t="shared" si="3"/>
        <v>13641.6</v>
      </c>
      <c r="J221" s="6" t="s">
        <v>1846</v>
      </c>
      <c r="K221" s="17"/>
    </row>
    <row r="222" spans="1:11" ht="13.95" customHeight="1" x14ac:dyDescent="0.3">
      <c r="A222" s="3">
        <v>45848</v>
      </c>
      <c r="B222" s="3" t="s">
        <v>1922</v>
      </c>
      <c r="C222" s="19" t="s">
        <v>8</v>
      </c>
      <c r="D222" s="19" t="s">
        <v>1347</v>
      </c>
      <c r="E222" s="4">
        <v>1</v>
      </c>
      <c r="F222" s="42">
        <v>2.5499999999999998</v>
      </c>
      <c r="G222" s="45">
        <v>2415</v>
      </c>
      <c r="H222" s="22">
        <v>2.4</v>
      </c>
      <c r="I222" s="6">
        <f t="shared" si="3"/>
        <v>14779.8</v>
      </c>
      <c r="J222" s="6" t="s">
        <v>339</v>
      </c>
      <c r="K222" s="17"/>
    </row>
    <row r="223" spans="1:11" ht="13.95" customHeight="1" x14ac:dyDescent="0.3">
      <c r="A223" s="3">
        <v>45849</v>
      </c>
      <c r="B223" s="3" t="s">
        <v>1922</v>
      </c>
      <c r="C223" s="19" t="s">
        <v>11</v>
      </c>
      <c r="D223" s="19" t="s">
        <v>829</v>
      </c>
      <c r="E223" s="4">
        <v>1</v>
      </c>
      <c r="F223" s="42">
        <v>2.85</v>
      </c>
      <c r="G223" s="45">
        <v>2700</v>
      </c>
      <c r="H223" s="22">
        <v>2.4</v>
      </c>
      <c r="I223" s="6">
        <f t="shared" si="3"/>
        <v>18468</v>
      </c>
      <c r="J223" s="6" t="s">
        <v>97</v>
      </c>
      <c r="K223" s="17"/>
    </row>
    <row r="224" spans="1:11" ht="13.95" customHeight="1" x14ac:dyDescent="0.3">
      <c r="A224" s="3">
        <v>45850</v>
      </c>
      <c r="B224" s="3" t="s">
        <v>1922</v>
      </c>
      <c r="C224" s="19" t="s">
        <v>13</v>
      </c>
      <c r="D224" s="19" t="s">
        <v>829</v>
      </c>
      <c r="E224" s="4">
        <v>1</v>
      </c>
      <c r="F224" s="42">
        <v>3.5</v>
      </c>
      <c r="G224" s="45">
        <v>3320</v>
      </c>
      <c r="H224" s="22">
        <v>2.4</v>
      </c>
      <c r="I224" s="6">
        <f t="shared" si="3"/>
        <v>27888</v>
      </c>
      <c r="J224" s="6" t="s">
        <v>1891</v>
      </c>
      <c r="K224" s="17"/>
    </row>
    <row r="225" spans="1:11" ht="13.95" customHeight="1" x14ac:dyDescent="0.3">
      <c r="A225" s="3">
        <v>45851</v>
      </c>
      <c r="B225" s="3" t="s">
        <v>1922</v>
      </c>
      <c r="C225" s="19" t="s">
        <v>16</v>
      </c>
      <c r="D225" s="19" t="s">
        <v>829</v>
      </c>
      <c r="E225" s="4">
        <v>1</v>
      </c>
      <c r="F225" s="42">
        <v>3</v>
      </c>
      <c r="G225" s="45">
        <v>2845</v>
      </c>
      <c r="H225" s="22">
        <v>2.4</v>
      </c>
      <c r="I225" s="6">
        <f t="shared" si="3"/>
        <v>20484</v>
      </c>
      <c r="J225" s="6" t="s">
        <v>149</v>
      </c>
      <c r="K225" s="17"/>
    </row>
    <row r="226" spans="1:11" ht="13.95" customHeight="1" x14ac:dyDescent="0.3">
      <c r="A226" s="3">
        <v>45852</v>
      </c>
      <c r="B226" s="3" t="s">
        <v>1922</v>
      </c>
      <c r="C226" s="19" t="s">
        <v>18</v>
      </c>
      <c r="D226" s="19" t="s">
        <v>1347</v>
      </c>
      <c r="E226" s="4">
        <v>1</v>
      </c>
      <c r="F226" s="42">
        <v>2.5</v>
      </c>
      <c r="G226" s="45">
        <v>2370</v>
      </c>
      <c r="H226" s="22">
        <v>2.4</v>
      </c>
      <c r="I226" s="6">
        <f t="shared" si="3"/>
        <v>14220</v>
      </c>
      <c r="J226" s="6" t="s">
        <v>717</v>
      </c>
      <c r="K226" s="17"/>
    </row>
    <row r="227" spans="1:11" ht="13.95" customHeight="1" x14ac:dyDescent="0.3">
      <c r="A227" s="3">
        <v>45853</v>
      </c>
      <c r="B227" s="3" t="s">
        <v>1922</v>
      </c>
      <c r="C227" s="19" t="s">
        <v>20</v>
      </c>
      <c r="D227" s="19" t="s">
        <v>1347</v>
      </c>
      <c r="E227" s="4">
        <v>1</v>
      </c>
      <c r="F227" s="42">
        <v>2.4500000000000002</v>
      </c>
      <c r="G227" s="45">
        <v>2320</v>
      </c>
      <c r="H227" s="22">
        <v>2.4</v>
      </c>
      <c r="I227" s="6">
        <f t="shared" si="3"/>
        <v>13641.6</v>
      </c>
      <c r="J227" s="6" t="s">
        <v>717</v>
      </c>
      <c r="K227" s="17"/>
    </row>
    <row r="228" spans="1:11" ht="13.95" customHeight="1" x14ac:dyDescent="0.3">
      <c r="A228" s="3">
        <v>45854</v>
      </c>
      <c r="B228" s="3" t="s">
        <v>1922</v>
      </c>
      <c r="C228" s="19" t="s">
        <v>5</v>
      </c>
      <c r="D228" s="19" t="s">
        <v>1347</v>
      </c>
      <c r="E228" s="4">
        <v>1</v>
      </c>
      <c r="F228" s="42">
        <v>2.4500000000000002</v>
      </c>
      <c r="G228" s="45">
        <v>2320</v>
      </c>
      <c r="H228" s="22">
        <v>2.4</v>
      </c>
      <c r="I228" s="6">
        <f t="shared" si="3"/>
        <v>13641.6</v>
      </c>
      <c r="J228" s="6" t="s">
        <v>717</v>
      </c>
      <c r="K228" s="17"/>
    </row>
    <row r="229" spans="1:11" ht="13.95" customHeight="1" x14ac:dyDescent="0.3">
      <c r="A229" s="3">
        <v>45855</v>
      </c>
      <c r="B229" s="3" t="s">
        <v>1922</v>
      </c>
      <c r="C229" s="19" t="s">
        <v>8</v>
      </c>
      <c r="D229" s="19" t="s">
        <v>1347</v>
      </c>
      <c r="E229" s="4">
        <v>1</v>
      </c>
      <c r="F229" s="42">
        <v>2.5499999999999998</v>
      </c>
      <c r="G229" s="45">
        <v>2415</v>
      </c>
      <c r="H229" s="22">
        <v>2.4</v>
      </c>
      <c r="I229" s="6">
        <f t="shared" si="3"/>
        <v>14779.8</v>
      </c>
      <c r="J229" s="6" t="s">
        <v>1838</v>
      </c>
      <c r="K229" s="17"/>
    </row>
    <row r="230" spans="1:11" ht="13.95" customHeight="1" x14ac:dyDescent="0.3">
      <c r="A230" s="3">
        <v>45856</v>
      </c>
      <c r="B230" s="3" t="s">
        <v>1922</v>
      </c>
      <c r="C230" s="19" t="s">
        <v>11</v>
      </c>
      <c r="D230" s="19" t="s">
        <v>829</v>
      </c>
      <c r="E230" s="4">
        <v>1</v>
      </c>
      <c r="F230" s="42">
        <v>2.9</v>
      </c>
      <c r="G230" s="45">
        <v>2750</v>
      </c>
      <c r="H230" s="22">
        <v>2.4</v>
      </c>
      <c r="I230" s="6">
        <f t="shared" si="3"/>
        <v>19140</v>
      </c>
      <c r="J230" s="6" t="s">
        <v>97</v>
      </c>
      <c r="K230" s="17"/>
    </row>
    <row r="231" spans="1:11" ht="13.95" customHeight="1" x14ac:dyDescent="0.3">
      <c r="A231" s="3">
        <v>45857</v>
      </c>
      <c r="B231" s="3" t="s">
        <v>1922</v>
      </c>
      <c r="C231" s="19" t="s">
        <v>13</v>
      </c>
      <c r="D231" s="19" t="s">
        <v>829</v>
      </c>
      <c r="E231" s="4">
        <v>1</v>
      </c>
      <c r="F231" s="42">
        <v>3.55</v>
      </c>
      <c r="G231" s="45">
        <v>3365</v>
      </c>
      <c r="H231" s="22">
        <v>2.4</v>
      </c>
      <c r="I231" s="6">
        <f t="shared" si="3"/>
        <v>28669.8</v>
      </c>
      <c r="J231" s="6" t="s">
        <v>1346</v>
      </c>
      <c r="K231" s="17"/>
    </row>
    <row r="232" spans="1:11" ht="13.95" customHeight="1" x14ac:dyDescent="0.3">
      <c r="A232" s="3">
        <v>45858</v>
      </c>
      <c r="B232" s="3" t="s">
        <v>1922</v>
      </c>
      <c r="C232" s="19" t="s">
        <v>16</v>
      </c>
      <c r="D232" s="19" t="s">
        <v>829</v>
      </c>
      <c r="E232" s="4">
        <v>1</v>
      </c>
      <c r="F232" s="42">
        <v>3.05</v>
      </c>
      <c r="G232" s="45">
        <v>2890</v>
      </c>
      <c r="H232" s="22">
        <v>2.4</v>
      </c>
      <c r="I232" s="6">
        <f t="shared" si="3"/>
        <v>21154.799999999999</v>
      </c>
      <c r="J232" s="6" t="s">
        <v>149</v>
      </c>
      <c r="K232" s="17"/>
    </row>
    <row r="233" spans="1:11" ht="13.95" customHeight="1" x14ac:dyDescent="0.3">
      <c r="A233" s="3">
        <v>45859</v>
      </c>
      <c r="B233" s="3" t="s">
        <v>1922</v>
      </c>
      <c r="C233" s="19" t="s">
        <v>18</v>
      </c>
      <c r="D233" s="19" t="s">
        <v>1347</v>
      </c>
      <c r="E233" s="4">
        <v>1</v>
      </c>
      <c r="F233" s="42">
        <v>2.5499999999999998</v>
      </c>
      <c r="G233" s="45">
        <v>2415</v>
      </c>
      <c r="H233" s="22">
        <v>2.4</v>
      </c>
      <c r="I233" s="6">
        <f t="shared" si="3"/>
        <v>14779.8</v>
      </c>
      <c r="J233" s="6" t="s">
        <v>1685</v>
      </c>
      <c r="K233" s="17"/>
    </row>
    <row r="234" spans="1:11" ht="13.95" customHeight="1" x14ac:dyDescent="0.3">
      <c r="A234" s="3">
        <v>45860</v>
      </c>
      <c r="B234" s="3" t="s">
        <v>1922</v>
      </c>
      <c r="C234" s="19" t="s">
        <v>20</v>
      </c>
      <c r="D234" s="19" t="s">
        <v>1347</v>
      </c>
      <c r="E234" s="4">
        <v>1</v>
      </c>
      <c r="F234" s="42">
        <v>2.5</v>
      </c>
      <c r="G234" s="45">
        <v>2370</v>
      </c>
      <c r="H234" s="22">
        <v>2.4</v>
      </c>
      <c r="I234" s="6">
        <f t="shared" si="3"/>
        <v>14220</v>
      </c>
      <c r="J234" s="6" t="s">
        <v>1685</v>
      </c>
      <c r="K234" s="17"/>
    </row>
    <row r="235" spans="1:11" ht="13.95" customHeight="1" x14ac:dyDescent="0.3">
      <c r="A235" s="3">
        <v>45861</v>
      </c>
      <c r="B235" s="3" t="s">
        <v>1922</v>
      </c>
      <c r="C235" s="19" t="s">
        <v>5</v>
      </c>
      <c r="D235" s="19" t="s">
        <v>1347</v>
      </c>
      <c r="E235" s="4">
        <v>1</v>
      </c>
      <c r="F235" s="42">
        <v>2.5</v>
      </c>
      <c r="G235" s="45">
        <v>2370</v>
      </c>
      <c r="H235" s="22">
        <v>2.4</v>
      </c>
      <c r="I235" s="6">
        <f t="shared" si="3"/>
        <v>14220</v>
      </c>
      <c r="J235" s="6" t="s">
        <v>1449</v>
      </c>
      <c r="K235" s="17"/>
    </row>
    <row r="236" spans="1:11" ht="13.95" customHeight="1" x14ac:dyDescent="0.3">
      <c r="A236" s="3">
        <v>45862</v>
      </c>
      <c r="B236" s="3" t="s">
        <v>1922</v>
      </c>
      <c r="C236" s="19" t="s">
        <v>8</v>
      </c>
      <c r="D236" s="19" t="s">
        <v>994</v>
      </c>
      <c r="E236" s="4">
        <v>1</v>
      </c>
      <c r="F236" s="42">
        <v>2.75</v>
      </c>
      <c r="G236" s="45">
        <v>2605</v>
      </c>
      <c r="H236" s="22">
        <v>2.4</v>
      </c>
      <c r="I236" s="6">
        <f t="shared" si="3"/>
        <v>17193</v>
      </c>
      <c r="J236" s="6" t="s">
        <v>1451</v>
      </c>
      <c r="K236" s="17"/>
    </row>
    <row r="237" spans="1:11" ht="13.95" customHeight="1" x14ac:dyDescent="0.3">
      <c r="A237" s="3">
        <v>45863</v>
      </c>
      <c r="B237" s="3" t="s">
        <v>1922</v>
      </c>
      <c r="C237" s="19" t="s">
        <v>11</v>
      </c>
      <c r="D237" s="19" t="s">
        <v>1010</v>
      </c>
      <c r="E237" s="4">
        <v>1</v>
      </c>
      <c r="F237" s="42">
        <v>3.3</v>
      </c>
      <c r="G237" s="45">
        <v>3130</v>
      </c>
      <c r="H237" s="22">
        <v>2.4</v>
      </c>
      <c r="I237" s="6">
        <f t="shared" si="3"/>
        <v>24789.599999999999</v>
      </c>
      <c r="J237" s="6" t="s">
        <v>1699</v>
      </c>
      <c r="K237" s="17"/>
    </row>
    <row r="238" spans="1:11" ht="13.95" customHeight="1" x14ac:dyDescent="0.3">
      <c r="A238" s="3">
        <v>45864</v>
      </c>
      <c r="B238" s="3" t="s">
        <v>1922</v>
      </c>
      <c r="C238" s="19" t="s">
        <v>13</v>
      </c>
      <c r="D238" s="19" t="s">
        <v>829</v>
      </c>
      <c r="E238" s="4">
        <v>1</v>
      </c>
      <c r="F238" s="42">
        <v>3.65</v>
      </c>
      <c r="G238" s="45">
        <v>3460</v>
      </c>
      <c r="H238" s="22">
        <v>2.4</v>
      </c>
      <c r="I238" s="6">
        <f t="shared" si="3"/>
        <v>30309.599999999999</v>
      </c>
      <c r="J238" s="6" t="s">
        <v>1568</v>
      </c>
      <c r="K238" s="17"/>
    </row>
    <row r="239" spans="1:11" ht="13.95" customHeight="1" x14ac:dyDescent="0.3">
      <c r="A239" s="3">
        <v>45865</v>
      </c>
      <c r="B239" s="3" t="s">
        <v>1922</v>
      </c>
      <c r="C239" s="19" t="s">
        <v>16</v>
      </c>
      <c r="D239" s="19" t="s">
        <v>829</v>
      </c>
      <c r="E239" s="4">
        <v>1</v>
      </c>
      <c r="F239" s="42">
        <v>3.1</v>
      </c>
      <c r="G239" s="45">
        <v>2940</v>
      </c>
      <c r="H239" s="22">
        <v>2.4</v>
      </c>
      <c r="I239" s="6">
        <f t="shared" si="3"/>
        <v>21873.599999999999</v>
      </c>
      <c r="J239" s="6" t="s">
        <v>149</v>
      </c>
      <c r="K239" s="17"/>
    </row>
    <row r="240" spans="1:11" ht="13.95" customHeight="1" x14ac:dyDescent="0.3">
      <c r="A240" s="3">
        <v>45866</v>
      </c>
      <c r="B240" s="3" t="s">
        <v>1922</v>
      </c>
      <c r="C240" s="19" t="s">
        <v>18</v>
      </c>
      <c r="D240" s="19" t="s">
        <v>1347</v>
      </c>
      <c r="E240" s="4">
        <v>1</v>
      </c>
      <c r="F240" s="42">
        <v>2.6</v>
      </c>
      <c r="G240" s="45">
        <v>2465</v>
      </c>
      <c r="H240" s="22">
        <v>2.4</v>
      </c>
      <c r="I240" s="6">
        <f t="shared" si="3"/>
        <v>15381.599999999999</v>
      </c>
      <c r="J240" s="6" t="s">
        <v>589</v>
      </c>
      <c r="K240" s="17"/>
    </row>
    <row r="241" spans="1:11" ht="13.95" customHeight="1" x14ac:dyDescent="0.3">
      <c r="A241" s="3">
        <v>45867</v>
      </c>
      <c r="B241" s="3" t="s">
        <v>1922</v>
      </c>
      <c r="C241" s="19" t="s">
        <v>20</v>
      </c>
      <c r="D241" s="19" t="s">
        <v>1347</v>
      </c>
      <c r="E241" s="4">
        <v>1</v>
      </c>
      <c r="F241" s="42">
        <v>2.5499999999999998</v>
      </c>
      <c r="G241" s="45">
        <v>2415</v>
      </c>
      <c r="H241" s="22">
        <v>2.4</v>
      </c>
      <c r="I241" s="6">
        <f t="shared" si="3"/>
        <v>14779.8</v>
      </c>
      <c r="J241" s="6" t="s">
        <v>589</v>
      </c>
      <c r="K241" s="17"/>
    </row>
    <row r="242" spans="1:11" ht="13.95" customHeight="1" x14ac:dyDescent="0.3">
      <c r="A242" s="3">
        <v>45868</v>
      </c>
      <c r="B242" s="3" t="s">
        <v>1922</v>
      </c>
      <c r="C242" s="19" t="s">
        <v>5</v>
      </c>
      <c r="D242" s="19" t="s">
        <v>1347</v>
      </c>
      <c r="E242" s="4">
        <v>1</v>
      </c>
      <c r="F242" s="42">
        <v>2.5499999999999998</v>
      </c>
      <c r="G242" s="45">
        <v>2415</v>
      </c>
      <c r="H242" s="22">
        <v>2.4</v>
      </c>
      <c r="I242" s="6">
        <f t="shared" si="3"/>
        <v>14779.8</v>
      </c>
      <c r="J242" s="6" t="s">
        <v>589</v>
      </c>
      <c r="K242" s="17"/>
    </row>
    <row r="243" spans="1:11" ht="13.95" customHeight="1" x14ac:dyDescent="0.3">
      <c r="A243" s="3">
        <v>45869</v>
      </c>
      <c r="B243" s="3" t="s">
        <v>1922</v>
      </c>
      <c r="C243" s="19" t="s">
        <v>8</v>
      </c>
      <c r="D243" s="19" t="s">
        <v>1538</v>
      </c>
      <c r="E243" s="4">
        <v>1</v>
      </c>
      <c r="F243" s="42">
        <v>2.65</v>
      </c>
      <c r="G243" s="45">
        <v>2510</v>
      </c>
      <c r="H243" s="22">
        <v>2.4</v>
      </c>
      <c r="I243" s="6">
        <f t="shared" si="3"/>
        <v>15963.599999999999</v>
      </c>
      <c r="J243" s="6" t="s">
        <v>1892</v>
      </c>
      <c r="K243" s="17"/>
    </row>
    <row r="244" spans="1:11" ht="13.95" customHeight="1" x14ac:dyDescent="0.3">
      <c r="A244" s="3">
        <v>45870</v>
      </c>
      <c r="B244" s="3" t="s">
        <v>1922</v>
      </c>
      <c r="C244" s="19" t="s">
        <v>11</v>
      </c>
      <c r="D244" s="19" t="s">
        <v>1347</v>
      </c>
      <c r="E244" s="4">
        <v>1</v>
      </c>
      <c r="F244" s="42">
        <v>2.8</v>
      </c>
      <c r="G244" s="45">
        <v>2765</v>
      </c>
      <c r="H244" s="22">
        <v>2.5</v>
      </c>
      <c r="I244" s="6">
        <f t="shared" si="3"/>
        <v>19354.999999999996</v>
      </c>
      <c r="J244" s="6" t="s">
        <v>1385</v>
      </c>
      <c r="K244" s="17"/>
    </row>
    <row r="245" spans="1:11" ht="13.95" customHeight="1" x14ac:dyDescent="0.3">
      <c r="A245" s="3">
        <v>45871</v>
      </c>
      <c r="B245" s="3" t="s">
        <v>1922</v>
      </c>
      <c r="C245" s="19" t="s">
        <v>13</v>
      </c>
      <c r="D245" s="19" t="s">
        <v>829</v>
      </c>
      <c r="E245" s="4">
        <v>1</v>
      </c>
      <c r="F245" s="42">
        <v>3.5</v>
      </c>
      <c r="G245" s="45">
        <v>3455</v>
      </c>
      <c r="H245" s="22">
        <v>2.5</v>
      </c>
      <c r="I245" s="6">
        <f t="shared" si="3"/>
        <v>30231.25</v>
      </c>
      <c r="J245" s="6" t="s">
        <v>1346</v>
      </c>
      <c r="K245" s="17"/>
    </row>
    <row r="246" spans="1:11" ht="13.95" customHeight="1" x14ac:dyDescent="0.3">
      <c r="A246" s="3">
        <v>45872</v>
      </c>
      <c r="B246" s="3" t="s">
        <v>1922</v>
      </c>
      <c r="C246" s="19" t="s">
        <v>16</v>
      </c>
      <c r="D246" s="19" t="s">
        <v>829</v>
      </c>
      <c r="E246" s="4">
        <v>1</v>
      </c>
      <c r="F246" s="42">
        <v>3.1</v>
      </c>
      <c r="G246" s="45">
        <v>3060</v>
      </c>
      <c r="H246" s="22">
        <v>2.5</v>
      </c>
      <c r="I246" s="6">
        <f t="shared" si="3"/>
        <v>23715</v>
      </c>
      <c r="J246" s="6" t="s">
        <v>1893</v>
      </c>
      <c r="K246" s="17"/>
    </row>
    <row r="247" spans="1:11" ht="13.95" customHeight="1" x14ac:dyDescent="0.3">
      <c r="A247" s="3">
        <v>45873</v>
      </c>
      <c r="B247" s="3" t="s">
        <v>1922</v>
      </c>
      <c r="C247" s="19" t="s">
        <v>18</v>
      </c>
      <c r="D247" s="19" t="s">
        <v>1347</v>
      </c>
      <c r="E247" s="4">
        <v>1</v>
      </c>
      <c r="F247" s="42">
        <v>2.65</v>
      </c>
      <c r="G247" s="45">
        <v>2615</v>
      </c>
      <c r="H247" s="22">
        <v>2.5</v>
      </c>
      <c r="I247" s="6">
        <f t="shared" si="3"/>
        <v>17324.375</v>
      </c>
      <c r="J247" s="6" t="s">
        <v>1708</v>
      </c>
      <c r="K247" s="17"/>
    </row>
    <row r="248" spans="1:11" ht="13.95" customHeight="1" x14ac:dyDescent="0.3">
      <c r="A248" s="3">
        <v>45874</v>
      </c>
      <c r="B248" s="3" t="s">
        <v>1922</v>
      </c>
      <c r="C248" s="19" t="s">
        <v>20</v>
      </c>
      <c r="D248" s="19" t="s">
        <v>1347</v>
      </c>
      <c r="E248" s="4">
        <v>1</v>
      </c>
      <c r="F248" s="42">
        <v>2.6</v>
      </c>
      <c r="G248" s="45">
        <v>2565</v>
      </c>
      <c r="H248" s="22">
        <v>2.5</v>
      </c>
      <c r="I248" s="6">
        <f t="shared" si="3"/>
        <v>16672.5</v>
      </c>
      <c r="J248" s="6" t="s">
        <v>1708</v>
      </c>
      <c r="K248" s="17"/>
    </row>
    <row r="249" spans="1:11" ht="13.95" customHeight="1" x14ac:dyDescent="0.3">
      <c r="A249" s="3">
        <v>45875</v>
      </c>
      <c r="B249" s="3" t="s">
        <v>1922</v>
      </c>
      <c r="C249" s="19" t="s">
        <v>5</v>
      </c>
      <c r="D249" s="19" t="s">
        <v>1347</v>
      </c>
      <c r="E249" s="4">
        <v>1</v>
      </c>
      <c r="F249" s="42">
        <v>2.6</v>
      </c>
      <c r="G249" s="45">
        <v>2565</v>
      </c>
      <c r="H249" s="22">
        <v>2.5</v>
      </c>
      <c r="I249" s="6">
        <f t="shared" si="3"/>
        <v>16672.5</v>
      </c>
      <c r="J249" s="6" t="s">
        <v>1708</v>
      </c>
      <c r="K249" s="17"/>
    </row>
    <row r="250" spans="1:11" ht="13.95" customHeight="1" x14ac:dyDescent="0.3">
      <c r="A250" s="3">
        <v>45876</v>
      </c>
      <c r="B250" s="3" t="s">
        <v>1922</v>
      </c>
      <c r="C250" s="19" t="s">
        <v>8</v>
      </c>
      <c r="D250" s="19" t="s">
        <v>1347</v>
      </c>
      <c r="E250" s="4">
        <v>1</v>
      </c>
      <c r="F250" s="42">
        <v>2.7</v>
      </c>
      <c r="G250" s="45">
        <v>2665</v>
      </c>
      <c r="H250" s="22">
        <v>2.5</v>
      </c>
      <c r="I250" s="6">
        <f t="shared" si="3"/>
        <v>17988.750000000004</v>
      </c>
      <c r="J250" s="6" t="s">
        <v>82</v>
      </c>
      <c r="K250" s="17"/>
    </row>
    <row r="251" spans="1:11" ht="13.95" customHeight="1" x14ac:dyDescent="0.3">
      <c r="A251" s="3">
        <v>45877</v>
      </c>
      <c r="B251" s="3" t="s">
        <v>1922</v>
      </c>
      <c r="C251" s="19" t="s">
        <v>11</v>
      </c>
      <c r="D251" s="19" t="s">
        <v>829</v>
      </c>
      <c r="E251" s="4">
        <v>1</v>
      </c>
      <c r="F251" s="42">
        <v>2.9</v>
      </c>
      <c r="G251" s="45">
        <v>2865</v>
      </c>
      <c r="H251" s="22">
        <v>2.5</v>
      </c>
      <c r="I251" s="6">
        <f t="shared" si="3"/>
        <v>20771.25</v>
      </c>
      <c r="J251" s="6" t="s">
        <v>531</v>
      </c>
      <c r="K251" s="17"/>
    </row>
    <row r="252" spans="1:11" ht="13.95" customHeight="1" x14ac:dyDescent="0.3">
      <c r="A252" s="3">
        <v>45878</v>
      </c>
      <c r="B252" s="3" t="s">
        <v>1922</v>
      </c>
      <c r="C252" s="19" t="s">
        <v>13</v>
      </c>
      <c r="D252" s="19" t="s">
        <v>829</v>
      </c>
      <c r="E252" s="4">
        <v>1</v>
      </c>
      <c r="F252" s="42">
        <v>3.6</v>
      </c>
      <c r="G252" s="45">
        <v>3555</v>
      </c>
      <c r="H252" s="22">
        <v>2.5</v>
      </c>
      <c r="I252" s="6">
        <f t="shared" si="3"/>
        <v>31995</v>
      </c>
      <c r="J252" s="6" t="s">
        <v>1894</v>
      </c>
      <c r="K252" s="17"/>
    </row>
    <row r="253" spans="1:11" ht="13.95" customHeight="1" x14ac:dyDescent="0.3">
      <c r="A253" s="3">
        <v>45879</v>
      </c>
      <c r="B253" s="3" t="s">
        <v>1922</v>
      </c>
      <c r="C253" s="19" t="s">
        <v>16</v>
      </c>
      <c r="D253" s="19" t="s">
        <v>829</v>
      </c>
      <c r="E253" s="4">
        <v>1</v>
      </c>
      <c r="F253" s="42">
        <v>3.2</v>
      </c>
      <c r="G253" s="45">
        <v>3160</v>
      </c>
      <c r="H253" s="22">
        <v>2.5</v>
      </c>
      <c r="I253" s="6">
        <f t="shared" si="3"/>
        <v>25280</v>
      </c>
      <c r="J253" s="6" t="s">
        <v>139</v>
      </c>
      <c r="K253" s="17"/>
    </row>
    <row r="254" spans="1:11" ht="13.95" customHeight="1" x14ac:dyDescent="0.3">
      <c r="A254" s="3">
        <v>45880</v>
      </c>
      <c r="B254" s="3" t="s">
        <v>1922</v>
      </c>
      <c r="C254" s="19" t="s">
        <v>18</v>
      </c>
      <c r="D254" s="19" t="s">
        <v>1347</v>
      </c>
      <c r="E254" s="4">
        <v>1</v>
      </c>
      <c r="F254" s="42">
        <v>2.65</v>
      </c>
      <c r="G254" s="45">
        <v>2615</v>
      </c>
      <c r="H254" s="22">
        <v>2.5</v>
      </c>
      <c r="I254" s="6">
        <f t="shared" si="3"/>
        <v>17324.375</v>
      </c>
      <c r="J254" s="6" t="s">
        <v>717</v>
      </c>
      <c r="K254" s="17"/>
    </row>
    <row r="255" spans="1:11" ht="13.95" customHeight="1" x14ac:dyDescent="0.3">
      <c r="A255" s="3">
        <v>45881</v>
      </c>
      <c r="B255" s="3" t="s">
        <v>1922</v>
      </c>
      <c r="C255" s="19" t="s">
        <v>20</v>
      </c>
      <c r="D255" s="19" t="s">
        <v>994</v>
      </c>
      <c r="E255" s="4">
        <v>1</v>
      </c>
      <c r="F255" s="42">
        <v>2.9</v>
      </c>
      <c r="G255" s="45">
        <v>2865</v>
      </c>
      <c r="H255" s="22">
        <v>2.5</v>
      </c>
      <c r="I255" s="6">
        <f t="shared" si="3"/>
        <v>20771.25</v>
      </c>
      <c r="J255" s="6" t="s">
        <v>1453</v>
      </c>
      <c r="K255" s="17"/>
    </row>
    <row r="256" spans="1:11" ht="13.95" customHeight="1" x14ac:dyDescent="0.3">
      <c r="A256" s="3">
        <v>45882</v>
      </c>
      <c r="B256" s="3" t="s">
        <v>1922</v>
      </c>
      <c r="C256" s="19" t="s">
        <v>5</v>
      </c>
      <c r="D256" s="19" t="s">
        <v>850</v>
      </c>
      <c r="E256" s="4">
        <v>1</v>
      </c>
      <c r="F256" s="42">
        <v>3.5</v>
      </c>
      <c r="G256" s="45">
        <v>3455</v>
      </c>
      <c r="H256" s="22">
        <v>2.5</v>
      </c>
      <c r="I256" s="6">
        <f t="shared" si="3"/>
        <v>30231.25</v>
      </c>
      <c r="J256" s="6" t="s">
        <v>1699</v>
      </c>
      <c r="K256" s="17"/>
    </row>
    <row r="257" spans="1:11" ht="13.95" customHeight="1" x14ac:dyDescent="0.3">
      <c r="A257" s="3">
        <v>45883</v>
      </c>
      <c r="B257" s="3" t="s">
        <v>1922</v>
      </c>
      <c r="C257" s="19" t="s">
        <v>8</v>
      </c>
      <c r="D257" s="19" t="s">
        <v>1347</v>
      </c>
      <c r="E257" s="4">
        <v>1</v>
      </c>
      <c r="F257" s="42">
        <v>2.75</v>
      </c>
      <c r="G257" s="45">
        <v>2715</v>
      </c>
      <c r="H257" s="22">
        <v>2.5</v>
      </c>
      <c r="I257" s="6">
        <f t="shared" si="3"/>
        <v>18665.625</v>
      </c>
      <c r="J257" s="6" t="s">
        <v>589</v>
      </c>
      <c r="K257" s="17"/>
    </row>
    <row r="258" spans="1:11" ht="13.95" customHeight="1" x14ac:dyDescent="0.3">
      <c r="A258" s="3">
        <v>45884</v>
      </c>
      <c r="B258" s="3" t="s">
        <v>1922</v>
      </c>
      <c r="C258" s="19" t="s">
        <v>11</v>
      </c>
      <c r="D258" s="19" t="s">
        <v>829</v>
      </c>
      <c r="E258" s="4">
        <v>1</v>
      </c>
      <c r="F258" s="42">
        <v>3</v>
      </c>
      <c r="G258" s="45">
        <v>2960</v>
      </c>
      <c r="H258" s="22">
        <v>2.5</v>
      </c>
      <c r="I258" s="6">
        <f t="shared" ref="I258:I321" si="4">(G258*E258)*F258*H258</f>
        <v>22200</v>
      </c>
      <c r="J258" s="6" t="s">
        <v>1463</v>
      </c>
      <c r="K258" s="17"/>
    </row>
    <row r="259" spans="1:11" ht="13.95" customHeight="1" x14ac:dyDescent="0.3">
      <c r="A259" s="3">
        <v>45885</v>
      </c>
      <c r="B259" s="3" t="s">
        <v>1922</v>
      </c>
      <c r="C259" s="19" t="s">
        <v>13</v>
      </c>
      <c r="D259" s="19" t="s">
        <v>829</v>
      </c>
      <c r="E259" s="4">
        <v>1</v>
      </c>
      <c r="F259" s="42">
        <v>3.55</v>
      </c>
      <c r="G259" s="45">
        <v>3505</v>
      </c>
      <c r="H259" s="22">
        <v>2.5</v>
      </c>
      <c r="I259" s="6">
        <f t="shared" si="4"/>
        <v>31106.875</v>
      </c>
      <c r="J259" s="6" t="s">
        <v>1572</v>
      </c>
      <c r="K259" s="17"/>
    </row>
    <row r="260" spans="1:11" ht="13.95" customHeight="1" x14ac:dyDescent="0.3">
      <c r="A260" s="3">
        <v>45886</v>
      </c>
      <c r="B260" s="3" t="s">
        <v>1922</v>
      </c>
      <c r="C260" s="19" t="s">
        <v>16</v>
      </c>
      <c r="D260" s="19" t="s">
        <v>829</v>
      </c>
      <c r="E260" s="4">
        <v>1</v>
      </c>
      <c r="F260" s="42">
        <v>3.2</v>
      </c>
      <c r="G260" s="45">
        <v>3160</v>
      </c>
      <c r="H260" s="22">
        <v>2.5</v>
      </c>
      <c r="I260" s="6">
        <f t="shared" si="4"/>
        <v>25280</v>
      </c>
      <c r="J260" s="6" t="s">
        <v>139</v>
      </c>
      <c r="K260" s="17"/>
    </row>
    <row r="261" spans="1:11" ht="13.95" customHeight="1" x14ac:dyDescent="0.3">
      <c r="A261" s="3">
        <v>45887</v>
      </c>
      <c r="B261" s="3" t="s">
        <v>1922</v>
      </c>
      <c r="C261" s="19" t="s">
        <v>18</v>
      </c>
      <c r="D261" s="19" t="s">
        <v>1347</v>
      </c>
      <c r="E261" s="4">
        <v>1</v>
      </c>
      <c r="F261" s="42">
        <v>2.7</v>
      </c>
      <c r="G261" s="45">
        <v>2665</v>
      </c>
      <c r="H261" s="22">
        <v>2.5</v>
      </c>
      <c r="I261" s="6">
        <f t="shared" si="4"/>
        <v>17988.750000000004</v>
      </c>
      <c r="J261" s="6" t="s">
        <v>1670</v>
      </c>
      <c r="K261" s="17"/>
    </row>
    <row r="262" spans="1:11" ht="13.95" customHeight="1" x14ac:dyDescent="0.3">
      <c r="A262" s="3">
        <v>45888</v>
      </c>
      <c r="B262" s="3" t="s">
        <v>1922</v>
      </c>
      <c r="C262" s="19" t="s">
        <v>20</v>
      </c>
      <c r="D262" s="19" t="s">
        <v>1347</v>
      </c>
      <c r="E262" s="4">
        <v>1</v>
      </c>
      <c r="F262" s="42">
        <v>2.65</v>
      </c>
      <c r="G262" s="45">
        <v>2615</v>
      </c>
      <c r="H262" s="22">
        <v>2.5</v>
      </c>
      <c r="I262" s="6">
        <f t="shared" si="4"/>
        <v>17324.375</v>
      </c>
      <c r="J262" s="6" t="s">
        <v>1670</v>
      </c>
      <c r="K262" s="17"/>
    </row>
    <row r="263" spans="1:11" ht="13.95" customHeight="1" x14ac:dyDescent="0.3">
      <c r="A263" s="3">
        <v>45889</v>
      </c>
      <c r="B263" s="3" t="s">
        <v>1922</v>
      </c>
      <c r="C263" s="19" t="s">
        <v>5</v>
      </c>
      <c r="D263" s="19" t="s">
        <v>1347</v>
      </c>
      <c r="E263" s="4">
        <v>1</v>
      </c>
      <c r="F263" s="42">
        <v>2.65</v>
      </c>
      <c r="G263" s="45">
        <v>2615</v>
      </c>
      <c r="H263" s="22">
        <v>2.5</v>
      </c>
      <c r="I263" s="6">
        <f t="shared" si="4"/>
        <v>17324.375</v>
      </c>
      <c r="J263" s="6" t="s">
        <v>1670</v>
      </c>
      <c r="K263" s="17"/>
    </row>
    <row r="264" spans="1:11" ht="13.95" customHeight="1" x14ac:dyDescent="0.3">
      <c r="A264" s="3">
        <v>45890</v>
      </c>
      <c r="B264" s="3" t="s">
        <v>1922</v>
      </c>
      <c r="C264" s="19" t="s">
        <v>8</v>
      </c>
      <c r="D264" s="19" t="s">
        <v>1347</v>
      </c>
      <c r="E264" s="4">
        <v>1</v>
      </c>
      <c r="F264" s="42">
        <v>2.7</v>
      </c>
      <c r="G264" s="45">
        <v>2665</v>
      </c>
      <c r="H264" s="22">
        <v>2.5</v>
      </c>
      <c r="I264" s="6">
        <f t="shared" si="4"/>
        <v>17988.750000000004</v>
      </c>
      <c r="J264" s="6" t="s">
        <v>1449</v>
      </c>
      <c r="K264" s="17"/>
    </row>
    <row r="265" spans="1:11" ht="13.95" customHeight="1" x14ac:dyDescent="0.3">
      <c r="A265" s="3">
        <v>45891</v>
      </c>
      <c r="B265" s="3" t="s">
        <v>1922</v>
      </c>
      <c r="C265" s="19" t="s">
        <v>11</v>
      </c>
      <c r="D265" s="19" t="s">
        <v>829</v>
      </c>
      <c r="E265" s="4">
        <v>1</v>
      </c>
      <c r="F265" s="42">
        <v>3.05</v>
      </c>
      <c r="G265" s="45">
        <v>3010</v>
      </c>
      <c r="H265" s="22">
        <v>2.5</v>
      </c>
      <c r="I265" s="6">
        <f t="shared" si="4"/>
        <v>22951.25</v>
      </c>
      <c r="J265" s="6" t="s">
        <v>97</v>
      </c>
      <c r="K265" s="17"/>
    </row>
    <row r="266" spans="1:11" ht="13.95" customHeight="1" x14ac:dyDescent="0.3">
      <c r="A266" s="3">
        <v>45892</v>
      </c>
      <c r="B266" s="3" t="s">
        <v>1922</v>
      </c>
      <c r="C266" s="19" t="s">
        <v>13</v>
      </c>
      <c r="D266" s="19" t="s">
        <v>829</v>
      </c>
      <c r="E266" s="4">
        <v>1</v>
      </c>
      <c r="F266" s="42">
        <v>3.6</v>
      </c>
      <c r="G266" s="45">
        <v>3555</v>
      </c>
      <c r="H266" s="22">
        <v>2.5</v>
      </c>
      <c r="I266" s="6">
        <f t="shared" si="4"/>
        <v>31995</v>
      </c>
      <c r="J266" s="6" t="s">
        <v>1895</v>
      </c>
      <c r="K266" s="17"/>
    </row>
    <row r="267" spans="1:11" ht="13.95" customHeight="1" x14ac:dyDescent="0.3">
      <c r="A267" s="3">
        <v>45893</v>
      </c>
      <c r="B267" s="3" t="s">
        <v>1922</v>
      </c>
      <c r="C267" s="19" t="s">
        <v>16</v>
      </c>
      <c r="D267" s="19" t="s">
        <v>829</v>
      </c>
      <c r="E267" s="4">
        <v>1</v>
      </c>
      <c r="F267" s="42">
        <v>3.25</v>
      </c>
      <c r="G267" s="45">
        <v>3210</v>
      </c>
      <c r="H267" s="22">
        <v>2.5</v>
      </c>
      <c r="I267" s="6">
        <f t="shared" si="4"/>
        <v>26081.25</v>
      </c>
      <c r="J267" s="6" t="s">
        <v>149</v>
      </c>
      <c r="K267" s="17"/>
    </row>
    <row r="268" spans="1:11" ht="13.95" customHeight="1" x14ac:dyDescent="0.3">
      <c r="A268" s="3">
        <v>45894</v>
      </c>
      <c r="B268" s="3" t="s">
        <v>1922</v>
      </c>
      <c r="C268" s="19" t="s">
        <v>18</v>
      </c>
      <c r="D268" s="19" t="s">
        <v>1347</v>
      </c>
      <c r="E268" s="4">
        <v>1</v>
      </c>
      <c r="F268" s="42">
        <v>2.75</v>
      </c>
      <c r="G268" s="45">
        <v>2715</v>
      </c>
      <c r="H268" s="22">
        <v>2.5</v>
      </c>
      <c r="I268" s="6">
        <f t="shared" si="4"/>
        <v>18665.625</v>
      </c>
      <c r="J268" s="6" t="s">
        <v>1696</v>
      </c>
      <c r="K268" s="17"/>
    </row>
    <row r="269" spans="1:11" ht="13.95" customHeight="1" x14ac:dyDescent="0.3">
      <c r="A269" s="3">
        <v>45895</v>
      </c>
      <c r="B269" s="3" t="s">
        <v>1922</v>
      </c>
      <c r="C269" s="19" t="s">
        <v>20</v>
      </c>
      <c r="D269" s="19" t="s">
        <v>1347</v>
      </c>
      <c r="E269" s="4">
        <v>1</v>
      </c>
      <c r="F269" s="42">
        <v>2.7</v>
      </c>
      <c r="G269" s="45">
        <v>2665</v>
      </c>
      <c r="H269" s="22">
        <v>2.5</v>
      </c>
      <c r="I269" s="6">
        <f t="shared" si="4"/>
        <v>17988.750000000004</v>
      </c>
      <c r="J269" s="6" t="s">
        <v>717</v>
      </c>
      <c r="K269" s="17"/>
    </row>
    <row r="270" spans="1:11" ht="13.95" customHeight="1" x14ac:dyDescent="0.3">
      <c r="A270" s="3">
        <v>45896</v>
      </c>
      <c r="B270" s="3" t="s">
        <v>1922</v>
      </c>
      <c r="C270" s="19" t="s">
        <v>5</v>
      </c>
      <c r="D270" s="19" t="s">
        <v>1347</v>
      </c>
      <c r="E270" s="4">
        <v>1</v>
      </c>
      <c r="F270" s="42">
        <v>2.65</v>
      </c>
      <c r="G270" s="45">
        <v>2615</v>
      </c>
      <c r="H270" s="22">
        <v>2.5</v>
      </c>
      <c r="I270" s="6">
        <f t="shared" si="4"/>
        <v>17324.375</v>
      </c>
      <c r="J270" s="6" t="s">
        <v>717</v>
      </c>
      <c r="K270" s="17"/>
    </row>
    <row r="271" spans="1:11" ht="13.95" customHeight="1" x14ac:dyDescent="0.3">
      <c r="A271" s="3">
        <v>45897</v>
      </c>
      <c r="B271" s="3" t="s">
        <v>1922</v>
      </c>
      <c r="C271" s="19" t="s">
        <v>8</v>
      </c>
      <c r="D271" s="19" t="s">
        <v>1347</v>
      </c>
      <c r="E271" s="4">
        <v>1</v>
      </c>
      <c r="F271" s="42">
        <v>2.75</v>
      </c>
      <c r="G271" s="45">
        <v>2715</v>
      </c>
      <c r="H271" s="22">
        <v>2.5</v>
      </c>
      <c r="I271" s="6">
        <f t="shared" si="4"/>
        <v>18665.625</v>
      </c>
      <c r="J271" s="6" t="s">
        <v>717</v>
      </c>
      <c r="K271" s="17"/>
    </row>
    <row r="272" spans="1:11" ht="13.95" customHeight="1" x14ac:dyDescent="0.3">
      <c r="A272" s="3">
        <v>45898</v>
      </c>
      <c r="B272" s="3" t="s">
        <v>1922</v>
      </c>
      <c r="C272" s="19" t="s">
        <v>11</v>
      </c>
      <c r="D272" s="19" t="s">
        <v>14</v>
      </c>
      <c r="E272" s="4">
        <v>1</v>
      </c>
      <c r="F272" s="42">
        <v>3.1</v>
      </c>
      <c r="G272" s="45">
        <v>3060</v>
      </c>
      <c r="H272" s="22">
        <v>2.5</v>
      </c>
      <c r="I272" s="6">
        <f t="shared" si="4"/>
        <v>23715</v>
      </c>
      <c r="J272" s="6" t="s">
        <v>480</v>
      </c>
      <c r="K272" s="17"/>
    </row>
    <row r="273" spans="1:11" ht="13.95" customHeight="1" x14ac:dyDescent="0.3">
      <c r="A273" s="3">
        <v>45899</v>
      </c>
      <c r="B273" s="3" t="s">
        <v>1922</v>
      </c>
      <c r="C273" s="19" t="s">
        <v>13</v>
      </c>
      <c r="D273" s="19" t="s">
        <v>14</v>
      </c>
      <c r="E273" s="4">
        <v>1</v>
      </c>
      <c r="F273" s="42">
        <v>3.7</v>
      </c>
      <c r="G273" s="45">
        <v>3655</v>
      </c>
      <c r="H273" s="22">
        <v>2.5</v>
      </c>
      <c r="I273" s="6">
        <f t="shared" si="4"/>
        <v>33808.75</v>
      </c>
      <c r="J273" s="6" t="s">
        <v>1896</v>
      </c>
      <c r="K273" s="17"/>
    </row>
    <row r="274" spans="1:11" ht="13.95" customHeight="1" x14ac:dyDescent="0.3">
      <c r="A274" s="3">
        <v>45900</v>
      </c>
      <c r="B274" s="3" t="s">
        <v>1922</v>
      </c>
      <c r="C274" s="19" t="s">
        <v>16</v>
      </c>
      <c r="D274" s="19" t="s">
        <v>14</v>
      </c>
      <c r="E274" s="4">
        <v>1</v>
      </c>
      <c r="F274" s="42">
        <v>3.3</v>
      </c>
      <c r="G274" s="45">
        <v>3260</v>
      </c>
      <c r="H274" s="22">
        <v>2.5</v>
      </c>
      <c r="I274" s="6">
        <f t="shared" si="4"/>
        <v>26895</v>
      </c>
      <c r="J274" s="6" t="s">
        <v>1897</v>
      </c>
      <c r="K274" s="17"/>
    </row>
    <row r="275" spans="1:11" ht="13.95" customHeight="1" x14ac:dyDescent="0.3">
      <c r="A275" s="3">
        <v>45901</v>
      </c>
      <c r="B275" s="3" t="s">
        <v>1922</v>
      </c>
      <c r="C275" s="19" t="s">
        <v>18</v>
      </c>
      <c r="D275" s="19" t="s">
        <v>1545</v>
      </c>
      <c r="E275" s="4">
        <v>0.85</v>
      </c>
      <c r="F275" s="42">
        <v>2.4</v>
      </c>
      <c r="G275" s="45">
        <v>1695</v>
      </c>
      <c r="H275" s="22">
        <v>2.2000000000000002</v>
      </c>
      <c r="I275" s="6">
        <f t="shared" si="4"/>
        <v>7607.16</v>
      </c>
      <c r="J275" s="6" t="s">
        <v>1898</v>
      </c>
      <c r="K275" s="17"/>
    </row>
    <row r="276" spans="1:11" ht="13.95" customHeight="1" x14ac:dyDescent="0.3">
      <c r="A276" s="3">
        <v>45902</v>
      </c>
      <c r="B276" s="3" t="s">
        <v>1922</v>
      </c>
      <c r="C276" s="19" t="s">
        <v>20</v>
      </c>
      <c r="D276" s="19" t="s">
        <v>1340</v>
      </c>
      <c r="E276" s="4">
        <v>0.75</v>
      </c>
      <c r="F276" s="42">
        <v>2.2000000000000002</v>
      </c>
      <c r="G276" s="45">
        <v>1370</v>
      </c>
      <c r="H276" s="22">
        <v>2.2000000000000002</v>
      </c>
      <c r="I276" s="6">
        <f t="shared" si="4"/>
        <v>4973.1000000000004</v>
      </c>
      <c r="J276" s="6" t="s">
        <v>1899</v>
      </c>
      <c r="K276" s="17"/>
    </row>
    <row r="277" spans="1:11" ht="13.95" customHeight="1" x14ac:dyDescent="0.3">
      <c r="A277" s="3">
        <v>45903</v>
      </c>
      <c r="B277" s="3" t="s">
        <v>1922</v>
      </c>
      <c r="C277" s="19" t="s">
        <v>5</v>
      </c>
      <c r="D277" s="19" t="s">
        <v>1340</v>
      </c>
      <c r="E277" s="4">
        <v>0.7</v>
      </c>
      <c r="F277" s="42">
        <v>2.15</v>
      </c>
      <c r="G277" s="45">
        <v>1250</v>
      </c>
      <c r="H277" s="22">
        <v>2.2000000000000002</v>
      </c>
      <c r="I277" s="6">
        <f t="shared" si="4"/>
        <v>4138.75</v>
      </c>
      <c r="J277" s="6" t="s">
        <v>603</v>
      </c>
      <c r="K277" s="17"/>
    </row>
    <row r="278" spans="1:11" ht="13.95" customHeight="1" x14ac:dyDescent="0.3">
      <c r="A278" s="3">
        <v>45904</v>
      </c>
      <c r="B278" s="3" t="s">
        <v>1922</v>
      </c>
      <c r="C278" s="19" t="s">
        <v>8</v>
      </c>
      <c r="D278" s="19" t="s">
        <v>1263</v>
      </c>
      <c r="E278" s="4">
        <v>0.78</v>
      </c>
      <c r="F278" s="42">
        <v>2.25</v>
      </c>
      <c r="G278" s="45">
        <v>1455</v>
      </c>
      <c r="H278" s="22">
        <v>2.2000000000000002</v>
      </c>
      <c r="I278" s="6">
        <f t="shared" si="4"/>
        <v>5617.755000000001</v>
      </c>
      <c r="J278" s="6" t="s">
        <v>1900</v>
      </c>
      <c r="K278" s="17"/>
    </row>
    <row r="279" spans="1:11" ht="13.95" customHeight="1" x14ac:dyDescent="0.3">
      <c r="A279" s="3">
        <v>45905</v>
      </c>
      <c r="B279" s="3" t="s">
        <v>1922</v>
      </c>
      <c r="C279" s="19" t="s">
        <v>11</v>
      </c>
      <c r="D279" s="19" t="s">
        <v>14</v>
      </c>
      <c r="E279" s="4">
        <v>0.8</v>
      </c>
      <c r="F279" s="42">
        <v>2.4500000000000002</v>
      </c>
      <c r="G279" s="45">
        <v>1625</v>
      </c>
      <c r="H279" s="22">
        <v>2.2000000000000002</v>
      </c>
      <c r="I279" s="6">
        <f t="shared" si="4"/>
        <v>7007.0000000000018</v>
      </c>
      <c r="J279" s="6" t="s">
        <v>282</v>
      </c>
      <c r="K279" s="17"/>
    </row>
    <row r="280" spans="1:11" ht="13.95" customHeight="1" x14ac:dyDescent="0.3">
      <c r="A280" s="3">
        <v>45906</v>
      </c>
      <c r="B280" s="3" t="s">
        <v>1922</v>
      </c>
      <c r="C280" s="19" t="s">
        <v>13</v>
      </c>
      <c r="D280" s="19" t="s">
        <v>14</v>
      </c>
      <c r="E280" s="4">
        <v>0.95</v>
      </c>
      <c r="F280" s="42">
        <v>3.1</v>
      </c>
      <c r="G280" s="45">
        <v>2445</v>
      </c>
      <c r="H280" s="22">
        <v>2.2000000000000002</v>
      </c>
      <c r="I280" s="6">
        <f t="shared" si="4"/>
        <v>15841.155000000002</v>
      </c>
      <c r="J280" s="6" t="s">
        <v>1346</v>
      </c>
      <c r="K280" s="17"/>
    </row>
    <row r="281" spans="1:11" ht="13.95" customHeight="1" x14ac:dyDescent="0.3">
      <c r="A281" s="3">
        <v>45907</v>
      </c>
      <c r="B281" s="3" t="s">
        <v>1922</v>
      </c>
      <c r="C281" s="19" t="s">
        <v>16</v>
      </c>
      <c r="D281" s="19" t="s">
        <v>14</v>
      </c>
      <c r="E281" s="4">
        <v>0.85</v>
      </c>
      <c r="F281" s="42">
        <v>2.6</v>
      </c>
      <c r="G281" s="45">
        <v>1835</v>
      </c>
      <c r="H281" s="22">
        <v>2.2000000000000002</v>
      </c>
      <c r="I281" s="6">
        <f t="shared" si="4"/>
        <v>8921.7700000000023</v>
      </c>
      <c r="J281" s="6" t="s">
        <v>139</v>
      </c>
      <c r="K281" s="17"/>
    </row>
    <row r="282" spans="1:11" ht="13.95" customHeight="1" x14ac:dyDescent="0.3">
      <c r="A282" s="3">
        <v>45908</v>
      </c>
      <c r="B282" s="3" t="s">
        <v>1922</v>
      </c>
      <c r="C282" s="19" t="s">
        <v>18</v>
      </c>
      <c r="D282" s="19" t="s">
        <v>1340</v>
      </c>
      <c r="E282" s="4">
        <v>0.65</v>
      </c>
      <c r="F282" s="42">
        <v>2.1</v>
      </c>
      <c r="G282" s="45">
        <v>1130</v>
      </c>
      <c r="H282" s="22">
        <v>2.2000000000000002</v>
      </c>
      <c r="I282" s="6">
        <f t="shared" si="4"/>
        <v>3393.3900000000003</v>
      </c>
      <c r="J282" s="6" t="s">
        <v>150</v>
      </c>
      <c r="K282" s="17"/>
    </row>
    <row r="283" spans="1:11" ht="13.95" customHeight="1" x14ac:dyDescent="0.3">
      <c r="A283" s="3">
        <v>45909</v>
      </c>
      <c r="B283" s="3" t="s">
        <v>1922</v>
      </c>
      <c r="C283" s="19" t="s">
        <v>20</v>
      </c>
      <c r="D283" s="19" t="s">
        <v>1340</v>
      </c>
      <c r="E283" s="4">
        <v>0.6</v>
      </c>
      <c r="F283" s="42">
        <v>2.0499999999999998</v>
      </c>
      <c r="G283" s="45">
        <v>1020</v>
      </c>
      <c r="H283" s="22">
        <v>2.2000000000000002</v>
      </c>
      <c r="I283" s="6">
        <f t="shared" si="4"/>
        <v>2760.12</v>
      </c>
      <c r="J283" s="6" t="s">
        <v>150</v>
      </c>
      <c r="K283" s="17"/>
    </row>
    <row r="284" spans="1:11" ht="13.95" customHeight="1" x14ac:dyDescent="0.3">
      <c r="A284" s="3">
        <v>45910</v>
      </c>
      <c r="B284" s="3" t="s">
        <v>1922</v>
      </c>
      <c r="C284" s="19" t="s">
        <v>5</v>
      </c>
      <c r="D284" s="19" t="s">
        <v>1340</v>
      </c>
      <c r="E284" s="4">
        <v>0.62</v>
      </c>
      <c r="F284" s="42">
        <v>2.1</v>
      </c>
      <c r="G284" s="45">
        <v>1080</v>
      </c>
      <c r="H284" s="22">
        <v>2.2000000000000002</v>
      </c>
      <c r="I284" s="6">
        <f t="shared" si="4"/>
        <v>3093.5520000000006</v>
      </c>
      <c r="J284" s="6" t="s">
        <v>71</v>
      </c>
      <c r="K284" s="17"/>
    </row>
    <row r="285" spans="1:11" ht="13.95" customHeight="1" x14ac:dyDescent="0.3">
      <c r="A285" s="3">
        <v>45911</v>
      </c>
      <c r="B285" s="3" t="s">
        <v>1922</v>
      </c>
      <c r="C285" s="19" t="s">
        <v>8</v>
      </c>
      <c r="D285" s="19" t="s">
        <v>1263</v>
      </c>
      <c r="E285" s="4">
        <v>0.75</v>
      </c>
      <c r="F285" s="42">
        <v>2.2999999999999998</v>
      </c>
      <c r="G285" s="45">
        <v>1430</v>
      </c>
      <c r="H285" s="22">
        <v>2.2000000000000002</v>
      </c>
      <c r="I285" s="6">
        <f t="shared" si="4"/>
        <v>5426.85</v>
      </c>
      <c r="J285" s="6" t="s">
        <v>1901</v>
      </c>
      <c r="K285" s="17"/>
    </row>
    <row r="286" spans="1:11" ht="13.95" customHeight="1" x14ac:dyDescent="0.3">
      <c r="A286" s="3">
        <v>45912</v>
      </c>
      <c r="B286" s="3" t="s">
        <v>1922</v>
      </c>
      <c r="C286" s="19" t="s">
        <v>11</v>
      </c>
      <c r="D286" s="19" t="s">
        <v>14</v>
      </c>
      <c r="E286" s="4">
        <v>0.8</v>
      </c>
      <c r="F286" s="42">
        <v>2.5</v>
      </c>
      <c r="G286" s="45">
        <v>1660</v>
      </c>
      <c r="H286" s="22">
        <v>2.2000000000000002</v>
      </c>
      <c r="I286" s="6">
        <f t="shared" si="4"/>
        <v>7304.0000000000009</v>
      </c>
      <c r="J286" s="6" t="s">
        <v>97</v>
      </c>
      <c r="K286" s="17"/>
    </row>
    <row r="287" spans="1:11" ht="13.95" customHeight="1" x14ac:dyDescent="0.3">
      <c r="A287" s="3">
        <v>45913</v>
      </c>
      <c r="B287" s="3" t="s">
        <v>1922</v>
      </c>
      <c r="C287" s="19" t="s">
        <v>13</v>
      </c>
      <c r="D287" s="19" t="s">
        <v>14</v>
      </c>
      <c r="E287" s="4">
        <v>0.92</v>
      </c>
      <c r="F287" s="42">
        <v>3.15</v>
      </c>
      <c r="G287" s="45">
        <v>2400</v>
      </c>
      <c r="H287" s="22">
        <v>2.2000000000000002</v>
      </c>
      <c r="I287" s="6">
        <f t="shared" si="4"/>
        <v>15301.44</v>
      </c>
      <c r="J287" s="6" t="s">
        <v>1902</v>
      </c>
      <c r="K287" s="17"/>
    </row>
    <row r="288" spans="1:11" ht="13.95" customHeight="1" x14ac:dyDescent="0.3">
      <c r="A288" s="3">
        <v>45914</v>
      </c>
      <c r="B288" s="3" t="s">
        <v>1922</v>
      </c>
      <c r="C288" s="19" t="s">
        <v>16</v>
      </c>
      <c r="D288" s="19" t="s">
        <v>14</v>
      </c>
      <c r="E288" s="4">
        <v>0.8</v>
      </c>
      <c r="F288" s="42">
        <v>2.65</v>
      </c>
      <c r="G288" s="45">
        <v>1760</v>
      </c>
      <c r="H288" s="22">
        <v>2.2000000000000002</v>
      </c>
      <c r="I288" s="6">
        <f t="shared" si="4"/>
        <v>8208.64</v>
      </c>
      <c r="J288" s="6" t="s">
        <v>149</v>
      </c>
      <c r="K288" s="17"/>
    </row>
    <row r="289" spans="1:11" ht="13.95" customHeight="1" x14ac:dyDescent="0.3">
      <c r="A289" s="3">
        <v>45915</v>
      </c>
      <c r="B289" s="3" t="s">
        <v>1922</v>
      </c>
      <c r="C289" s="19" t="s">
        <v>18</v>
      </c>
      <c r="D289" s="19" t="s">
        <v>1259</v>
      </c>
      <c r="E289" s="4">
        <v>0.6</v>
      </c>
      <c r="F289" s="42">
        <v>2.0499999999999998</v>
      </c>
      <c r="G289" s="45">
        <v>1020</v>
      </c>
      <c r="H289" s="22">
        <v>2.2000000000000002</v>
      </c>
      <c r="I289" s="6">
        <f t="shared" si="4"/>
        <v>2760.12</v>
      </c>
      <c r="J289" s="6" t="s">
        <v>1903</v>
      </c>
      <c r="K289" s="17"/>
    </row>
    <row r="290" spans="1:11" ht="13.95" customHeight="1" x14ac:dyDescent="0.3">
      <c r="A290" s="3">
        <v>45916</v>
      </c>
      <c r="B290" s="3" t="s">
        <v>1922</v>
      </c>
      <c r="C290" s="19" t="s">
        <v>20</v>
      </c>
      <c r="D290" s="19" t="s">
        <v>1259</v>
      </c>
      <c r="E290" s="4">
        <v>0.57999999999999996</v>
      </c>
      <c r="F290" s="42">
        <v>2.0499999999999998</v>
      </c>
      <c r="G290" s="45">
        <v>985</v>
      </c>
      <c r="H290" s="22">
        <v>2.2000000000000002</v>
      </c>
      <c r="I290" s="6">
        <f t="shared" si="4"/>
        <v>2576.5629999999996</v>
      </c>
      <c r="J290" s="6" t="s">
        <v>150</v>
      </c>
      <c r="K290" s="17"/>
    </row>
    <row r="291" spans="1:11" ht="13.95" customHeight="1" x14ac:dyDescent="0.3">
      <c r="A291" s="3">
        <v>45917</v>
      </c>
      <c r="B291" s="3" t="s">
        <v>1922</v>
      </c>
      <c r="C291" s="19" t="s">
        <v>5</v>
      </c>
      <c r="D291" s="19" t="s">
        <v>1259</v>
      </c>
      <c r="E291" s="4">
        <v>0.6</v>
      </c>
      <c r="F291" s="42">
        <v>2.1</v>
      </c>
      <c r="G291" s="45">
        <v>1045</v>
      </c>
      <c r="H291" s="22">
        <v>2.2000000000000002</v>
      </c>
      <c r="I291" s="6">
        <f t="shared" si="4"/>
        <v>2896.7400000000002</v>
      </c>
      <c r="J291" s="6" t="s">
        <v>150</v>
      </c>
      <c r="K291" s="17"/>
    </row>
    <row r="292" spans="1:11" ht="13.95" customHeight="1" x14ac:dyDescent="0.3">
      <c r="A292" s="3">
        <v>45918</v>
      </c>
      <c r="B292" s="3" t="s">
        <v>1922</v>
      </c>
      <c r="C292" s="19" t="s">
        <v>8</v>
      </c>
      <c r="D292" s="19" t="s">
        <v>1263</v>
      </c>
      <c r="E292" s="4">
        <v>0.7</v>
      </c>
      <c r="F292" s="42">
        <v>2.25</v>
      </c>
      <c r="G292" s="45">
        <v>1305</v>
      </c>
      <c r="H292" s="22">
        <v>2.2000000000000002</v>
      </c>
      <c r="I292" s="6">
        <f t="shared" si="4"/>
        <v>4521.8249999999998</v>
      </c>
      <c r="J292" s="6" t="s">
        <v>1904</v>
      </c>
      <c r="K292" s="17"/>
    </row>
    <row r="293" spans="1:11" ht="13.95" customHeight="1" x14ac:dyDescent="0.3">
      <c r="A293" s="3">
        <v>45919</v>
      </c>
      <c r="B293" s="3" t="s">
        <v>1922</v>
      </c>
      <c r="C293" s="19" t="s">
        <v>11</v>
      </c>
      <c r="D293" s="19" t="s">
        <v>14</v>
      </c>
      <c r="E293" s="4">
        <v>0.75</v>
      </c>
      <c r="F293" s="42">
        <v>2.4</v>
      </c>
      <c r="G293" s="45">
        <v>1495</v>
      </c>
      <c r="H293" s="22">
        <v>2.2000000000000002</v>
      </c>
      <c r="I293" s="6">
        <f t="shared" si="4"/>
        <v>5920.2000000000007</v>
      </c>
      <c r="J293" s="6" t="s">
        <v>97</v>
      </c>
      <c r="K293" s="17"/>
    </row>
    <row r="294" spans="1:11" ht="13.95" customHeight="1" x14ac:dyDescent="0.3">
      <c r="A294" s="3">
        <v>45920</v>
      </c>
      <c r="B294" s="3" t="s">
        <v>1922</v>
      </c>
      <c r="C294" s="19" t="s">
        <v>13</v>
      </c>
      <c r="D294" s="19" t="s">
        <v>14</v>
      </c>
      <c r="E294" s="4">
        <v>0.88</v>
      </c>
      <c r="F294" s="42">
        <v>3.05</v>
      </c>
      <c r="G294" s="45">
        <v>2230</v>
      </c>
      <c r="H294" s="22">
        <v>2.2000000000000002</v>
      </c>
      <c r="I294" s="6">
        <f t="shared" si="4"/>
        <v>13167.704</v>
      </c>
      <c r="J294" s="6" t="s">
        <v>1905</v>
      </c>
      <c r="K294" s="17"/>
    </row>
    <row r="295" spans="1:11" ht="13.95" customHeight="1" x14ac:dyDescent="0.3">
      <c r="A295" s="3">
        <v>45921</v>
      </c>
      <c r="B295" s="3" t="s">
        <v>1922</v>
      </c>
      <c r="C295" s="19" t="s">
        <v>16</v>
      </c>
      <c r="D295" s="19" t="s">
        <v>14</v>
      </c>
      <c r="E295" s="4">
        <v>0.8</v>
      </c>
      <c r="F295" s="42">
        <v>2.6</v>
      </c>
      <c r="G295" s="45">
        <v>1725</v>
      </c>
      <c r="H295" s="22">
        <v>2.2000000000000002</v>
      </c>
      <c r="I295" s="6">
        <f t="shared" si="4"/>
        <v>7893.6</v>
      </c>
      <c r="J295" s="6" t="s">
        <v>149</v>
      </c>
      <c r="K295" s="17"/>
    </row>
    <row r="296" spans="1:11" ht="13.95" customHeight="1" x14ac:dyDescent="0.3">
      <c r="A296" s="3">
        <v>45922</v>
      </c>
      <c r="B296" s="3" t="s">
        <v>1922</v>
      </c>
      <c r="C296" s="19" t="s">
        <v>18</v>
      </c>
      <c r="D296" s="19" t="s">
        <v>1259</v>
      </c>
      <c r="E296" s="4">
        <v>0.55000000000000004</v>
      </c>
      <c r="F296" s="42">
        <v>2</v>
      </c>
      <c r="G296" s="45">
        <v>910</v>
      </c>
      <c r="H296" s="22">
        <v>2.2000000000000002</v>
      </c>
      <c r="I296" s="6">
        <f t="shared" si="4"/>
        <v>2202.2000000000003</v>
      </c>
      <c r="J296" s="6" t="s">
        <v>603</v>
      </c>
      <c r="K296" s="17"/>
    </row>
    <row r="297" spans="1:11" ht="13.95" customHeight="1" x14ac:dyDescent="0.3">
      <c r="A297" s="3">
        <v>45923</v>
      </c>
      <c r="B297" s="3" t="s">
        <v>1922</v>
      </c>
      <c r="C297" s="19" t="s">
        <v>20</v>
      </c>
      <c r="D297" s="19" t="s">
        <v>1259</v>
      </c>
      <c r="E297" s="4">
        <v>0.5</v>
      </c>
      <c r="F297" s="42">
        <v>1.95</v>
      </c>
      <c r="G297" s="45">
        <v>810</v>
      </c>
      <c r="H297" s="22">
        <v>2.2000000000000002</v>
      </c>
      <c r="I297" s="6">
        <f t="shared" si="4"/>
        <v>1737.45</v>
      </c>
      <c r="J297" s="6" t="s">
        <v>150</v>
      </c>
      <c r="K297" s="17"/>
    </row>
    <row r="298" spans="1:11" ht="13.95" customHeight="1" x14ac:dyDescent="0.3">
      <c r="A298" s="3">
        <v>45924</v>
      </c>
      <c r="B298" s="3" t="s">
        <v>1922</v>
      </c>
      <c r="C298" s="19" t="s">
        <v>5</v>
      </c>
      <c r="D298" s="19" t="s">
        <v>1259</v>
      </c>
      <c r="E298" s="4">
        <v>0.52</v>
      </c>
      <c r="F298" s="42">
        <v>2</v>
      </c>
      <c r="G298" s="45">
        <v>860</v>
      </c>
      <c r="H298" s="22">
        <v>2.2000000000000002</v>
      </c>
      <c r="I298" s="6">
        <f t="shared" si="4"/>
        <v>1967.68</v>
      </c>
      <c r="J298" s="6" t="s">
        <v>150</v>
      </c>
      <c r="K298" s="17"/>
    </row>
    <row r="299" spans="1:11" ht="13.95" customHeight="1" x14ac:dyDescent="0.3">
      <c r="A299" s="3">
        <v>45925</v>
      </c>
      <c r="B299" s="3" t="s">
        <v>1922</v>
      </c>
      <c r="C299" s="19" t="s">
        <v>8</v>
      </c>
      <c r="D299" s="19" t="s">
        <v>1263</v>
      </c>
      <c r="E299" s="4">
        <v>0.68</v>
      </c>
      <c r="F299" s="42">
        <v>2.2000000000000002</v>
      </c>
      <c r="G299" s="45">
        <v>1245</v>
      </c>
      <c r="H299" s="22">
        <v>2.2000000000000002</v>
      </c>
      <c r="I299" s="6">
        <f t="shared" si="4"/>
        <v>4097.5440000000008</v>
      </c>
      <c r="J299" s="6" t="s">
        <v>1906</v>
      </c>
      <c r="K299" s="17"/>
    </row>
    <row r="300" spans="1:11" ht="13.95" customHeight="1" x14ac:dyDescent="0.3">
      <c r="A300" s="3">
        <v>45926</v>
      </c>
      <c r="B300" s="3" t="s">
        <v>1922</v>
      </c>
      <c r="C300" s="19" t="s">
        <v>11</v>
      </c>
      <c r="D300" s="19" t="s">
        <v>14</v>
      </c>
      <c r="E300" s="4">
        <v>0.72</v>
      </c>
      <c r="F300" s="42">
        <v>2.4</v>
      </c>
      <c r="G300" s="45">
        <v>1435</v>
      </c>
      <c r="H300" s="22">
        <v>2.2000000000000002</v>
      </c>
      <c r="I300" s="6">
        <f t="shared" si="4"/>
        <v>5455.2960000000003</v>
      </c>
      <c r="J300" s="6" t="s">
        <v>97</v>
      </c>
      <c r="K300" s="17"/>
    </row>
    <row r="301" spans="1:11" ht="13.95" customHeight="1" x14ac:dyDescent="0.3">
      <c r="A301" s="3">
        <v>45927</v>
      </c>
      <c r="B301" s="3" t="s">
        <v>1922</v>
      </c>
      <c r="C301" s="19" t="s">
        <v>13</v>
      </c>
      <c r="D301" s="19" t="s">
        <v>14</v>
      </c>
      <c r="E301" s="4">
        <v>0.85</v>
      </c>
      <c r="F301" s="42">
        <v>3</v>
      </c>
      <c r="G301" s="45">
        <v>2115</v>
      </c>
      <c r="H301" s="22">
        <v>2.2000000000000002</v>
      </c>
      <c r="I301" s="6">
        <f t="shared" si="4"/>
        <v>11865.150000000001</v>
      </c>
      <c r="J301" s="6" t="s">
        <v>1713</v>
      </c>
      <c r="K301" s="17"/>
    </row>
    <row r="302" spans="1:11" ht="13.95" customHeight="1" x14ac:dyDescent="0.3">
      <c r="A302" s="3">
        <v>45928</v>
      </c>
      <c r="B302" s="3" t="s">
        <v>1922</v>
      </c>
      <c r="C302" s="19" t="s">
        <v>16</v>
      </c>
      <c r="D302" s="19" t="s">
        <v>14</v>
      </c>
      <c r="E302" s="4">
        <v>0.78</v>
      </c>
      <c r="F302" s="42">
        <v>2.6</v>
      </c>
      <c r="G302" s="45">
        <v>1685</v>
      </c>
      <c r="H302" s="22">
        <v>2.2000000000000002</v>
      </c>
      <c r="I302" s="6">
        <f t="shared" si="4"/>
        <v>7517.7960000000003</v>
      </c>
      <c r="J302" s="6" t="s">
        <v>149</v>
      </c>
      <c r="K302" s="17"/>
    </row>
    <row r="303" spans="1:11" ht="13.95" customHeight="1" x14ac:dyDescent="0.3">
      <c r="A303" s="3">
        <v>45929</v>
      </c>
      <c r="B303" s="3" t="s">
        <v>1922</v>
      </c>
      <c r="C303" s="19" t="s">
        <v>18</v>
      </c>
      <c r="D303" s="19" t="s">
        <v>1259</v>
      </c>
      <c r="E303" s="4">
        <v>0.55000000000000004</v>
      </c>
      <c r="F303" s="42">
        <v>2</v>
      </c>
      <c r="G303" s="45">
        <v>910</v>
      </c>
      <c r="H303" s="22">
        <v>2.2000000000000002</v>
      </c>
      <c r="I303" s="6">
        <f t="shared" si="4"/>
        <v>2202.2000000000003</v>
      </c>
      <c r="J303" s="6" t="s">
        <v>99</v>
      </c>
      <c r="K303" s="17"/>
    </row>
    <row r="304" spans="1:11" ht="13.95" customHeight="1" x14ac:dyDescent="0.3">
      <c r="A304" s="3">
        <v>45930</v>
      </c>
      <c r="B304" s="3" t="s">
        <v>1922</v>
      </c>
      <c r="C304" s="19" t="s">
        <v>20</v>
      </c>
      <c r="D304" s="19" t="s">
        <v>1259</v>
      </c>
      <c r="E304" s="4">
        <v>0.57999999999999996</v>
      </c>
      <c r="F304" s="42">
        <v>2.0499999999999998</v>
      </c>
      <c r="G304" s="45">
        <v>985</v>
      </c>
      <c r="H304" s="22">
        <v>2.2000000000000002</v>
      </c>
      <c r="I304" s="6">
        <f t="shared" si="4"/>
        <v>2576.5629999999996</v>
      </c>
      <c r="J304" s="6" t="s">
        <v>70</v>
      </c>
      <c r="K304" s="17"/>
    </row>
    <row r="305" spans="1:11" ht="13.95" customHeight="1" x14ac:dyDescent="0.3">
      <c r="A305" s="3">
        <v>45901</v>
      </c>
      <c r="B305" s="3" t="s">
        <v>1922</v>
      </c>
      <c r="C305" s="19" t="s">
        <v>18</v>
      </c>
      <c r="D305" s="19" t="s">
        <v>1545</v>
      </c>
      <c r="E305" s="4">
        <v>0.85</v>
      </c>
      <c r="F305" s="42">
        <v>2.4</v>
      </c>
      <c r="G305" s="45">
        <v>1695</v>
      </c>
      <c r="H305" s="22">
        <v>2.2000000000000002</v>
      </c>
      <c r="I305" s="6">
        <f t="shared" si="4"/>
        <v>7607.16</v>
      </c>
      <c r="J305" s="6" t="s">
        <v>1898</v>
      </c>
      <c r="K305" s="17"/>
    </row>
    <row r="306" spans="1:11" ht="13.95" customHeight="1" x14ac:dyDescent="0.3">
      <c r="A306" s="3">
        <v>45902</v>
      </c>
      <c r="B306" s="3" t="s">
        <v>1922</v>
      </c>
      <c r="C306" s="19" t="s">
        <v>20</v>
      </c>
      <c r="D306" s="19" t="s">
        <v>1340</v>
      </c>
      <c r="E306" s="4">
        <v>0.75</v>
      </c>
      <c r="F306" s="42">
        <v>2.2000000000000002</v>
      </c>
      <c r="G306" s="45">
        <v>1370</v>
      </c>
      <c r="H306" s="22">
        <v>2.2000000000000002</v>
      </c>
      <c r="I306" s="6">
        <f t="shared" si="4"/>
        <v>4973.1000000000004</v>
      </c>
      <c r="J306" s="6" t="s">
        <v>1899</v>
      </c>
      <c r="K306" s="17"/>
    </row>
    <row r="307" spans="1:11" ht="13.95" customHeight="1" x14ac:dyDescent="0.3">
      <c r="A307" s="3">
        <v>45903</v>
      </c>
      <c r="B307" s="3" t="s">
        <v>1922</v>
      </c>
      <c r="C307" s="19" t="s">
        <v>5</v>
      </c>
      <c r="D307" s="19" t="s">
        <v>1340</v>
      </c>
      <c r="E307" s="4">
        <v>0.7</v>
      </c>
      <c r="F307" s="42">
        <v>2.15</v>
      </c>
      <c r="G307" s="45">
        <v>1250</v>
      </c>
      <c r="H307" s="22">
        <v>2.2000000000000002</v>
      </c>
      <c r="I307" s="6">
        <f t="shared" si="4"/>
        <v>4138.75</v>
      </c>
      <c r="J307" s="6" t="s">
        <v>603</v>
      </c>
      <c r="K307" s="17"/>
    </row>
    <row r="308" spans="1:11" ht="13.95" customHeight="1" x14ac:dyDescent="0.3">
      <c r="A308" s="3">
        <v>45904</v>
      </c>
      <c r="B308" s="3" t="s">
        <v>1922</v>
      </c>
      <c r="C308" s="19" t="s">
        <v>8</v>
      </c>
      <c r="D308" s="19" t="s">
        <v>1263</v>
      </c>
      <c r="E308" s="4">
        <v>0.78</v>
      </c>
      <c r="F308" s="42">
        <v>2.25</v>
      </c>
      <c r="G308" s="45">
        <v>1455</v>
      </c>
      <c r="H308" s="22">
        <v>2.2000000000000002</v>
      </c>
      <c r="I308" s="6">
        <f t="shared" si="4"/>
        <v>5617.755000000001</v>
      </c>
      <c r="J308" s="6" t="s">
        <v>1900</v>
      </c>
      <c r="K308" s="17"/>
    </row>
    <row r="309" spans="1:11" ht="13.95" customHeight="1" x14ac:dyDescent="0.3">
      <c r="A309" s="3">
        <v>45905</v>
      </c>
      <c r="B309" s="3" t="s">
        <v>1922</v>
      </c>
      <c r="C309" s="19" t="s">
        <v>11</v>
      </c>
      <c r="D309" s="19" t="s">
        <v>14</v>
      </c>
      <c r="E309" s="4">
        <v>0.8</v>
      </c>
      <c r="F309" s="42">
        <v>2.4500000000000002</v>
      </c>
      <c r="G309" s="45">
        <v>1625</v>
      </c>
      <c r="H309" s="22">
        <v>2.2000000000000002</v>
      </c>
      <c r="I309" s="6">
        <f t="shared" si="4"/>
        <v>7007.0000000000018</v>
      </c>
      <c r="J309" s="6" t="s">
        <v>282</v>
      </c>
      <c r="K309" s="17"/>
    </row>
    <row r="310" spans="1:11" ht="13.95" customHeight="1" x14ac:dyDescent="0.3">
      <c r="A310" s="3">
        <v>45906</v>
      </c>
      <c r="B310" s="3" t="s">
        <v>1922</v>
      </c>
      <c r="C310" s="19" t="s">
        <v>13</v>
      </c>
      <c r="D310" s="19" t="s">
        <v>14</v>
      </c>
      <c r="E310" s="4">
        <v>0.95</v>
      </c>
      <c r="F310" s="42">
        <v>3.1</v>
      </c>
      <c r="G310" s="45">
        <v>2445</v>
      </c>
      <c r="H310" s="22">
        <v>2.2000000000000002</v>
      </c>
      <c r="I310" s="6">
        <f t="shared" si="4"/>
        <v>15841.155000000002</v>
      </c>
      <c r="J310" s="6" t="s">
        <v>1346</v>
      </c>
      <c r="K310" s="17"/>
    </row>
    <row r="311" spans="1:11" ht="13.95" customHeight="1" x14ac:dyDescent="0.3">
      <c r="A311" s="3">
        <v>45907</v>
      </c>
      <c r="B311" s="3" t="s">
        <v>1922</v>
      </c>
      <c r="C311" s="19" t="s">
        <v>16</v>
      </c>
      <c r="D311" s="19" t="s">
        <v>14</v>
      </c>
      <c r="E311" s="4">
        <v>0.85</v>
      </c>
      <c r="F311" s="42">
        <v>2.6</v>
      </c>
      <c r="G311" s="45">
        <v>1835</v>
      </c>
      <c r="H311" s="22">
        <v>2.2000000000000002</v>
      </c>
      <c r="I311" s="6">
        <f t="shared" si="4"/>
        <v>8921.7700000000023</v>
      </c>
      <c r="J311" s="6" t="s">
        <v>139</v>
      </c>
      <c r="K311" s="17"/>
    </row>
    <row r="312" spans="1:11" ht="13.95" customHeight="1" x14ac:dyDescent="0.3">
      <c r="A312" s="3">
        <v>45908</v>
      </c>
      <c r="B312" s="3" t="s">
        <v>1922</v>
      </c>
      <c r="C312" s="19" t="s">
        <v>18</v>
      </c>
      <c r="D312" s="19" t="s">
        <v>1340</v>
      </c>
      <c r="E312" s="4">
        <v>0.65</v>
      </c>
      <c r="F312" s="42">
        <v>2.1</v>
      </c>
      <c r="G312" s="45">
        <v>1130</v>
      </c>
      <c r="H312" s="22">
        <v>2.2000000000000002</v>
      </c>
      <c r="I312" s="6">
        <f t="shared" si="4"/>
        <v>3393.3900000000003</v>
      </c>
      <c r="J312" s="6" t="s">
        <v>150</v>
      </c>
      <c r="K312" s="17"/>
    </row>
    <row r="313" spans="1:11" ht="13.95" customHeight="1" x14ac:dyDescent="0.3">
      <c r="A313" s="3">
        <v>45909</v>
      </c>
      <c r="B313" s="3" t="s">
        <v>1922</v>
      </c>
      <c r="C313" s="19" t="s">
        <v>20</v>
      </c>
      <c r="D313" s="19" t="s">
        <v>1340</v>
      </c>
      <c r="E313" s="4">
        <v>0.6</v>
      </c>
      <c r="F313" s="42">
        <v>2.0499999999999998</v>
      </c>
      <c r="G313" s="45">
        <v>1020</v>
      </c>
      <c r="H313" s="22">
        <v>2.2000000000000002</v>
      </c>
      <c r="I313" s="6">
        <f t="shared" si="4"/>
        <v>2760.12</v>
      </c>
      <c r="J313" s="6" t="s">
        <v>150</v>
      </c>
      <c r="K313" s="17"/>
    </row>
    <row r="314" spans="1:11" ht="13.95" customHeight="1" x14ac:dyDescent="0.3">
      <c r="A314" s="3">
        <v>45910</v>
      </c>
      <c r="B314" s="3" t="s">
        <v>1922</v>
      </c>
      <c r="C314" s="19" t="s">
        <v>5</v>
      </c>
      <c r="D314" s="19" t="s">
        <v>1340</v>
      </c>
      <c r="E314" s="4">
        <v>0.62</v>
      </c>
      <c r="F314" s="42">
        <v>2.1</v>
      </c>
      <c r="G314" s="45">
        <v>1080</v>
      </c>
      <c r="H314" s="22">
        <v>2.2000000000000002</v>
      </c>
      <c r="I314" s="6">
        <f t="shared" si="4"/>
        <v>3093.5520000000006</v>
      </c>
      <c r="J314" s="6" t="s">
        <v>71</v>
      </c>
      <c r="K314" s="17"/>
    </row>
    <row r="315" spans="1:11" ht="13.95" customHeight="1" x14ac:dyDescent="0.3">
      <c r="A315" s="3">
        <v>45911</v>
      </c>
      <c r="B315" s="3" t="s">
        <v>1922</v>
      </c>
      <c r="C315" s="19" t="s">
        <v>8</v>
      </c>
      <c r="D315" s="19" t="s">
        <v>1263</v>
      </c>
      <c r="E315" s="4">
        <v>0.75</v>
      </c>
      <c r="F315" s="42">
        <v>2.2999999999999998</v>
      </c>
      <c r="G315" s="45">
        <v>1430</v>
      </c>
      <c r="H315" s="22">
        <v>2.2000000000000002</v>
      </c>
      <c r="I315" s="6">
        <f t="shared" si="4"/>
        <v>5426.85</v>
      </c>
      <c r="J315" s="6" t="s">
        <v>1901</v>
      </c>
      <c r="K315" s="17"/>
    </row>
    <row r="316" spans="1:11" ht="13.95" customHeight="1" x14ac:dyDescent="0.3">
      <c r="A316" s="3">
        <v>45912</v>
      </c>
      <c r="B316" s="3" t="s">
        <v>1922</v>
      </c>
      <c r="C316" s="19" t="s">
        <v>11</v>
      </c>
      <c r="D316" s="19" t="s">
        <v>14</v>
      </c>
      <c r="E316" s="4">
        <v>0.8</v>
      </c>
      <c r="F316" s="42">
        <v>2.5</v>
      </c>
      <c r="G316" s="45">
        <v>1660</v>
      </c>
      <c r="H316" s="22">
        <v>2.2000000000000002</v>
      </c>
      <c r="I316" s="6">
        <f t="shared" si="4"/>
        <v>7304.0000000000009</v>
      </c>
      <c r="J316" s="6" t="s">
        <v>97</v>
      </c>
      <c r="K316" s="17"/>
    </row>
    <row r="317" spans="1:11" ht="13.95" customHeight="1" x14ac:dyDescent="0.3">
      <c r="A317" s="3">
        <v>45913</v>
      </c>
      <c r="B317" s="3" t="s">
        <v>1922</v>
      </c>
      <c r="C317" s="19" t="s">
        <v>13</v>
      </c>
      <c r="D317" s="19" t="s">
        <v>14</v>
      </c>
      <c r="E317" s="4">
        <v>0.92</v>
      </c>
      <c r="F317" s="42">
        <v>3.15</v>
      </c>
      <c r="G317" s="45">
        <v>2400</v>
      </c>
      <c r="H317" s="22">
        <v>2.2000000000000002</v>
      </c>
      <c r="I317" s="6">
        <f t="shared" si="4"/>
        <v>15301.44</v>
      </c>
      <c r="J317" s="6" t="s">
        <v>1902</v>
      </c>
      <c r="K317" s="17"/>
    </row>
    <row r="318" spans="1:11" ht="13.95" customHeight="1" x14ac:dyDescent="0.3">
      <c r="A318" s="3">
        <v>45914</v>
      </c>
      <c r="B318" s="3" t="s">
        <v>1922</v>
      </c>
      <c r="C318" s="19" t="s">
        <v>16</v>
      </c>
      <c r="D318" s="19" t="s">
        <v>14</v>
      </c>
      <c r="E318" s="4">
        <v>0.8</v>
      </c>
      <c r="F318" s="42">
        <v>2.65</v>
      </c>
      <c r="G318" s="45">
        <v>1760</v>
      </c>
      <c r="H318" s="22">
        <v>2.2000000000000002</v>
      </c>
      <c r="I318" s="6">
        <f t="shared" si="4"/>
        <v>8208.64</v>
      </c>
      <c r="J318" s="6" t="s">
        <v>149</v>
      </c>
      <c r="K318" s="17"/>
    </row>
    <row r="319" spans="1:11" ht="13.95" customHeight="1" x14ac:dyDescent="0.3">
      <c r="A319" s="3">
        <v>45915</v>
      </c>
      <c r="B319" s="3" t="s">
        <v>1922</v>
      </c>
      <c r="C319" s="19" t="s">
        <v>18</v>
      </c>
      <c r="D319" s="19" t="s">
        <v>1259</v>
      </c>
      <c r="E319" s="4">
        <v>0.6</v>
      </c>
      <c r="F319" s="42">
        <v>2.0499999999999998</v>
      </c>
      <c r="G319" s="45">
        <v>1020</v>
      </c>
      <c r="H319" s="22">
        <v>2.2000000000000002</v>
      </c>
      <c r="I319" s="6">
        <f t="shared" si="4"/>
        <v>2760.12</v>
      </c>
      <c r="J319" s="6" t="s">
        <v>1903</v>
      </c>
      <c r="K319" s="17"/>
    </row>
    <row r="320" spans="1:11" ht="13.95" customHeight="1" x14ac:dyDescent="0.3">
      <c r="A320" s="3">
        <v>45916</v>
      </c>
      <c r="B320" s="3" t="s">
        <v>1922</v>
      </c>
      <c r="C320" s="19" t="s">
        <v>20</v>
      </c>
      <c r="D320" s="19" t="s">
        <v>1259</v>
      </c>
      <c r="E320" s="4">
        <v>0.57999999999999996</v>
      </c>
      <c r="F320" s="42">
        <v>2.0499999999999998</v>
      </c>
      <c r="G320" s="45">
        <v>985</v>
      </c>
      <c r="H320" s="22">
        <v>2.2000000000000002</v>
      </c>
      <c r="I320" s="6">
        <f t="shared" si="4"/>
        <v>2576.5629999999996</v>
      </c>
      <c r="J320" s="6" t="s">
        <v>150</v>
      </c>
      <c r="K320" s="17"/>
    </row>
    <row r="321" spans="1:11" ht="13.95" customHeight="1" x14ac:dyDescent="0.3">
      <c r="A321" s="3">
        <v>45917</v>
      </c>
      <c r="B321" s="3" t="s">
        <v>1922</v>
      </c>
      <c r="C321" s="19" t="s">
        <v>5</v>
      </c>
      <c r="D321" s="19" t="s">
        <v>1259</v>
      </c>
      <c r="E321" s="4">
        <v>0.6</v>
      </c>
      <c r="F321" s="42">
        <v>2.1</v>
      </c>
      <c r="G321" s="45">
        <v>1045</v>
      </c>
      <c r="H321" s="22">
        <v>2.2000000000000002</v>
      </c>
      <c r="I321" s="6">
        <f t="shared" si="4"/>
        <v>2896.7400000000002</v>
      </c>
      <c r="J321" s="6" t="s">
        <v>150</v>
      </c>
      <c r="K321" s="17"/>
    </row>
    <row r="322" spans="1:11" ht="13.95" customHeight="1" x14ac:dyDescent="0.3">
      <c r="A322" s="3">
        <v>45918</v>
      </c>
      <c r="B322" s="3" t="s">
        <v>1922</v>
      </c>
      <c r="C322" s="19" t="s">
        <v>8</v>
      </c>
      <c r="D322" s="19" t="s">
        <v>1263</v>
      </c>
      <c r="E322" s="4">
        <v>0.7</v>
      </c>
      <c r="F322" s="42">
        <v>2.25</v>
      </c>
      <c r="G322" s="45">
        <v>1305</v>
      </c>
      <c r="H322" s="22">
        <v>2.2000000000000002</v>
      </c>
      <c r="I322" s="6">
        <f t="shared" ref="I322:I385" si="5">(G322*E322)*F322*H322</f>
        <v>4521.8249999999998</v>
      </c>
      <c r="J322" s="6" t="s">
        <v>1904</v>
      </c>
      <c r="K322" s="17"/>
    </row>
    <row r="323" spans="1:11" ht="13.95" customHeight="1" x14ac:dyDescent="0.3">
      <c r="A323" s="3">
        <v>45919</v>
      </c>
      <c r="B323" s="3" t="s">
        <v>1922</v>
      </c>
      <c r="C323" s="19" t="s">
        <v>11</v>
      </c>
      <c r="D323" s="19" t="s">
        <v>14</v>
      </c>
      <c r="E323" s="4">
        <v>0.75</v>
      </c>
      <c r="F323" s="42">
        <v>2.4</v>
      </c>
      <c r="G323" s="45">
        <v>1495</v>
      </c>
      <c r="H323" s="22">
        <v>2.2000000000000002</v>
      </c>
      <c r="I323" s="6">
        <f t="shared" si="5"/>
        <v>5920.2000000000007</v>
      </c>
      <c r="J323" s="6" t="s">
        <v>97</v>
      </c>
      <c r="K323" s="17"/>
    </row>
    <row r="324" spans="1:11" ht="13.95" customHeight="1" x14ac:dyDescent="0.3">
      <c r="A324" s="3">
        <v>45920</v>
      </c>
      <c r="B324" s="3" t="s">
        <v>1922</v>
      </c>
      <c r="C324" s="19" t="s">
        <v>13</v>
      </c>
      <c r="D324" s="19" t="s">
        <v>14</v>
      </c>
      <c r="E324" s="4">
        <v>0.88</v>
      </c>
      <c r="F324" s="42">
        <v>3.05</v>
      </c>
      <c r="G324" s="45">
        <v>2230</v>
      </c>
      <c r="H324" s="22">
        <v>2.2000000000000002</v>
      </c>
      <c r="I324" s="6">
        <f t="shared" si="5"/>
        <v>13167.704</v>
      </c>
      <c r="J324" s="6" t="s">
        <v>1905</v>
      </c>
      <c r="K324" s="17"/>
    </row>
    <row r="325" spans="1:11" ht="13.95" customHeight="1" x14ac:dyDescent="0.3">
      <c r="A325" s="3">
        <v>45921</v>
      </c>
      <c r="B325" s="3" t="s">
        <v>1922</v>
      </c>
      <c r="C325" s="19" t="s">
        <v>16</v>
      </c>
      <c r="D325" s="19" t="s">
        <v>14</v>
      </c>
      <c r="E325" s="4">
        <v>0.8</v>
      </c>
      <c r="F325" s="42">
        <v>2.6</v>
      </c>
      <c r="G325" s="45">
        <v>1725</v>
      </c>
      <c r="H325" s="22">
        <v>2.2000000000000002</v>
      </c>
      <c r="I325" s="6">
        <f t="shared" si="5"/>
        <v>7893.6</v>
      </c>
      <c r="J325" s="6" t="s">
        <v>149</v>
      </c>
      <c r="K325" s="17"/>
    </row>
    <row r="326" spans="1:11" ht="13.95" customHeight="1" x14ac:dyDescent="0.3">
      <c r="A326" s="3">
        <v>45922</v>
      </c>
      <c r="B326" s="3" t="s">
        <v>1922</v>
      </c>
      <c r="C326" s="19" t="s">
        <v>18</v>
      </c>
      <c r="D326" s="19" t="s">
        <v>1259</v>
      </c>
      <c r="E326" s="4">
        <v>0.55000000000000004</v>
      </c>
      <c r="F326" s="42">
        <v>2</v>
      </c>
      <c r="G326" s="45">
        <v>910</v>
      </c>
      <c r="H326" s="22">
        <v>2.2000000000000002</v>
      </c>
      <c r="I326" s="6">
        <f t="shared" si="5"/>
        <v>2202.2000000000003</v>
      </c>
      <c r="J326" s="6" t="s">
        <v>603</v>
      </c>
      <c r="K326" s="17"/>
    </row>
    <row r="327" spans="1:11" ht="13.95" customHeight="1" x14ac:dyDescent="0.3">
      <c r="A327" s="3">
        <v>45923</v>
      </c>
      <c r="B327" s="3" t="s">
        <v>1922</v>
      </c>
      <c r="C327" s="19" t="s">
        <v>20</v>
      </c>
      <c r="D327" s="19" t="s">
        <v>1259</v>
      </c>
      <c r="E327" s="4">
        <v>0.5</v>
      </c>
      <c r="F327" s="42">
        <v>1.95</v>
      </c>
      <c r="G327" s="45">
        <v>810</v>
      </c>
      <c r="H327" s="22">
        <v>2.2000000000000002</v>
      </c>
      <c r="I327" s="6">
        <f t="shared" si="5"/>
        <v>1737.45</v>
      </c>
      <c r="J327" s="6" t="s">
        <v>150</v>
      </c>
      <c r="K327" s="17"/>
    </row>
    <row r="328" spans="1:11" ht="13.95" customHeight="1" x14ac:dyDescent="0.3">
      <c r="A328" s="3">
        <v>45924</v>
      </c>
      <c r="B328" s="3" t="s">
        <v>1922</v>
      </c>
      <c r="C328" s="19" t="s">
        <v>5</v>
      </c>
      <c r="D328" s="19" t="s">
        <v>1259</v>
      </c>
      <c r="E328" s="4">
        <v>0.52</v>
      </c>
      <c r="F328" s="42">
        <v>2</v>
      </c>
      <c r="G328" s="45">
        <v>860</v>
      </c>
      <c r="H328" s="22">
        <v>2.2000000000000002</v>
      </c>
      <c r="I328" s="6">
        <f t="shared" si="5"/>
        <v>1967.68</v>
      </c>
      <c r="J328" s="6" t="s">
        <v>150</v>
      </c>
      <c r="K328" s="17"/>
    </row>
    <row r="329" spans="1:11" ht="13.95" customHeight="1" x14ac:dyDescent="0.3">
      <c r="A329" s="3">
        <v>45925</v>
      </c>
      <c r="B329" s="3" t="s">
        <v>1922</v>
      </c>
      <c r="C329" s="19" t="s">
        <v>8</v>
      </c>
      <c r="D329" s="19" t="s">
        <v>1263</v>
      </c>
      <c r="E329" s="4">
        <v>0.68</v>
      </c>
      <c r="F329" s="42">
        <v>2.2000000000000002</v>
      </c>
      <c r="G329" s="45">
        <v>1245</v>
      </c>
      <c r="H329" s="22">
        <v>2.2000000000000002</v>
      </c>
      <c r="I329" s="6">
        <f t="shared" si="5"/>
        <v>4097.5440000000008</v>
      </c>
      <c r="J329" s="6" t="s">
        <v>1906</v>
      </c>
      <c r="K329" s="17"/>
    </row>
    <row r="330" spans="1:11" ht="13.95" customHeight="1" x14ac:dyDescent="0.3">
      <c r="A330" s="3">
        <v>45926</v>
      </c>
      <c r="B330" s="3" t="s">
        <v>1922</v>
      </c>
      <c r="C330" s="19" t="s">
        <v>11</v>
      </c>
      <c r="D330" s="19" t="s">
        <v>14</v>
      </c>
      <c r="E330" s="4">
        <v>0.72</v>
      </c>
      <c r="F330" s="42">
        <v>2.4</v>
      </c>
      <c r="G330" s="45">
        <v>1435</v>
      </c>
      <c r="H330" s="22">
        <v>2.2000000000000002</v>
      </c>
      <c r="I330" s="6">
        <f t="shared" si="5"/>
        <v>5455.2960000000003</v>
      </c>
      <c r="J330" s="6" t="s">
        <v>97</v>
      </c>
      <c r="K330" s="17"/>
    </row>
    <row r="331" spans="1:11" ht="13.95" customHeight="1" x14ac:dyDescent="0.3">
      <c r="A331" s="3">
        <v>45927</v>
      </c>
      <c r="B331" s="3" t="s">
        <v>1922</v>
      </c>
      <c r="C331" s="19" t="s">
        <v>13</v>
      </c>
      <c r="D331" s="19" t="s">
        <v>14</v>
      </c>
      <c r="E331" s="4">
        <v>0.85</v>
      </c>
      <c r="F331" s="42">
        <v>3</v>
      </c>
      <c r="G331" s="45">
        <v>2115</v>
      </c>
      <c r="H331" s="22">
        <v>2.2000000000000002</v>
      </c>
      <c r="I331" s="6">
        <f t="shared" si="5"/>
        <v>11865.150000000001</v>
      </c>
      <c r="J331" s="6" t="s">
        <v>1713</v>
      </c>
      <c r="K331" s="17"/>
    </row>
    <row r="332" spans="1:11" ht="13.95" customHeight="1" x14ac:dyDescent="0.3">
      <c r="A332" s="3">
        <v>45928</v>
      </c>
      <c r="B332" s="3" t="s">
        <v>1922</v>
      </c>
      <c r="C332" s="19" t="s">
        <v>16</v>
      </c>
      <c r="D332" s="19" t="s">
        <v>14</v>
      </c>
      <c r="E332" s="4">
        <v>0.78</v>
      </c>
      <c r="F332" s="42">
        <v>2.6</v>
      </c>
      <c r="G332" s="45">
        <v>1685</v>
      </c>
      <c r="H332" s="22">
        <v>2.2000000000000002</v>
      </c>
      <c r="I332" s="6">
        <f t="shared" si="5"/>
        <v>7517.7960000000003</v>
      </c>
      <c r="J332" s="6" t="s">
        <v>149</v>
      </c>
      <c r="K332" s="17"/>
    </row>
    <row r="333" spans="1:11" ht="13.95" customHeight="1" x14ac:dyDescent="0.3">
      <c r="A333" s="3">
        <v>45929</v>
      </c>
      <c r="B333" s="3" t="s">
        <v>1922</v>
      </c>
      <c r="C333" s="19" t="s">
        <v>18</v>
      </c>
      <c r="D333" s="19" t="s">
        <v>1259</v>
      </c>
      <c r="E333" s="4">
        <v>0.55000000000000004</v>
      </c>
      <c r="F333" s="42">
        <v>2</v>
      </c>
      <c r="G333" s="45">
        <v>910</v>
      </c>
      <c r="H333" s="22">
        <v>2.2000000000000002</v>
      </c>
      <c r="I333" s="6">
        <f t="shared" si="5"/>
        <v>2202.2000000000003</v>
      </c>
      <c r="J333" s="6" t="s">
        <v>99</v>
      </c>
      <c r="K333" s="17"/>
    </row>
    <row r="334" spans="1:11" ht="13.95" customHeight="1" x14ac:dyDescent="0.3">
      <c r="A334" s="3">
        <v>45930</v>
      </c>
      <c r="B334" s="3" t="s">
        <v>1922</v>
      </c>
      <c r="C334" s="19" t="s">
        <v>20</v>
      </c>
      <c r="D334" s="19" t="s">
        <v>1259</v>
      </c>
      <c r="E334" s="4">
        <v>0.57999999999999996</v>
      </c>
      <c r="F334" s="42">
        <v>2.0499999999999998</v>
      </c>
      <c r="G334" s="45">
        <v>985</v>
      </c>
      <c r="H334" s="22">
        <v>2.2000000000000002</v>
      </c>
      <c r="I334" s="6">
        <f t="shared" si="5"/>
        <v>2576.5629999999996</v>
      </c>
      <c r="J334" s="6" t="s">
        <v>70</v>
      </c>
      <c r="K334" s="17"/>
    </row>
    <row r="335" spans="1:11" ht="13.95" customHeight="1" x14ac:dyDescent="0.3">
      <c r="A335" s="3">
        <v>45931</v>
      </c>
      <c r="B335" s="3" t="s">
        <v>1922</v>
      </c>
      <c r="C335" s="19" t="s">
        <v>5</v>
      </c>
      <c r="D335" s="19" t="s">
        <v>1259</v>
      </c>
      <c r="E335" s="4">
        <v>0.55000000000000004</v>
      </c>
      <c r="F335" s="42">
        <v>2.0499999999999998</v>
      </c>
      <c r="G335" s="45">
        <v>935</v>
      </c>
      <c r="H335" s="22">
        <v>2.1</v>
      </c>
      <c r="I335" s="6">
        <f t="shared" si="5"/>
        <v>2213.8462499999996</v>
      </c>
      <c r="J335" s="6" t="s">
        <v>1907</v>
      </c>
      <c r="K335" s="17"/>
    </row>
    <row r="336" spans="1:11" ht="13.95" customHeight="1" x14ac:dyDescent="0.3">
      <c r="A336" s="3">
        <v>45932</v>
      </c>
      <c r="B336" s="3" t="s">
        <v>1922</v>
      </c>
      <c r="C336" s="19" t="s">
        <v>8</v>
      </c>
      <c r="D336" s="19" t="s">
        <v>1263</v>
      </c>
      <c r="E336" s="4">
        <v>0.65</v>
      </c>
      <c r="F336" s="42">
        <v>2.2000000000000002</v>
      </c>
      <c r="G336" s="45">
        <v>1185</v>
      </c>
      <c r="H336" s="22">
        <v>2.1</v>
      </c>
      <c r="I336" s="6">
        <f t="shared" si="5"/>
        <v>3558.5550000000007</v>
      </c>
      <c r="J336" s="6" t="s">
        <v>1908</v>
      </c>
      <c r="K336" s="17"/>
    </row>
    <row r="337" spans="1:11" ht="13.95" customHeight="1" x14ac:dyDescent="0.3">
      <c r="A337" s="3">
        <v>45933</v>
      </c>
      <c r="B337" s="3" t="s">
        <v>1922</v>
      </c>
      <c r="C337" s="19" t="s">
        <v>11</v>
      </c>
      <c r="D337" s="19" t="s">
        <v>14</v>
      </c>
      <c r="E337" s="4">
        <v>0.72</v>
      </c>
      <c r="F337" s="42">
        <v>2.35</v>
      </c>
      <c r="G337" s="45">
        <v>1405</v>
      </c>
      <c r="H337" s="22">
        <v>2.1</v>
      </c>
      <c r="I337" s="6">
        <f t="shared" si="5"/>
        <v>4992.2460000000001</v>
      </c>
      <c r="J337" s="6" t="s">
        <v>282</v>
      </c>
      <c r="K337" s="17"/>
    </row>
    <row r="338" spans="1:11" ht="13.95" customHeight="1" x14ac:dyDescent="0.3">
      <c r="A338" s="3">
        <v>45934</v>
      </c>
      <c r="B338" s="3" t="s">
        <v>1922</v>
      </c>
      <c r="C338" s="19" t="s">
        <v>13</v>
      </c>
      <c r="D338" s="19" t="s">
        <v>14</v>
      </c>
      <c r="E338" s="4">
        <v>0.88</v>
      </c>
      <c r="F338" s="42">
        <v>3</v>
      </c>
      <c r="G338" s="45">
        <v>2190</v>
      </c>
      <c r="H338" s="22">
        <v>2.1</v>
      </c>
      <c r="I338" s="6">
        <f t="shared" si="5"/>
        <v>12141.36</v>
      </c>
      <c r="J338" s="6" t="s">
        <v>1346</v>
      </c>
      <c r="K338" s="17"/>
    </row>
    <row r="339" spans="1:11" ht="13.95" customHeight="1" x14ac:dyDescent="0.3">
      <c r="A339" s="3">
        <v>45935</v>
      </c>
      <c r="B339" s="3" t="s">
        <v>1922</v>
      </c>
      <c r="C339" s="19" t="s">
        <v>16</v>
      </c>
      <c r="D339" s="19" t="s">
        <v>14</v>
      </c>
      <c r="E339" s="4">
        <v>0.78</v>
      </c>
      <c r="F339" s="42">
        <v>2.5499999999999998</v>
      </c>
      <c r="G339" s="45">
        <v>1650</v>
      </c>
      <c r="H339" s="22">
        <v>2.1</v>
      </c>
      <c r="I339" s="6">
        <f t="shared" si="5"/>
        <v>6891.8850000000002</v>
      </c>
      <c r="J339" s="6" t="s">
        <v>139</v>
      </c>
      <c r="K339" s="17"/>
    </row>
    <row r="340" spans="1:11" ht="13.95" customHeight="1" x14ac:dyDescent="0.3">
      <c r="A340" s="3">
        <v>45936</v>
      </c>
      <c r="B340" s="3" t="s">
        <v>1922</v>
      </c>
      <c r="C340" s="19" t="s">
        <v>18</v>
      </c>
      <c r="D340" s="19" t="s">
        <v>1259</v>
      </c>
      <c r="E340" s="4">
        <v>0.5</v>
      </c>
      <c r="F340" s="42">
        <v>1.95</v>
      </c>
      <c r="G340" s="45">
        <v>810</v>
      </c>
      <c r="H340" s="22">
        <v>2.1</v>
      </c>
      <c r="I340" s="6">
        <f t="shared" si="5"/>
        <v>1658.4750000000001</v>
      </c>
      <c r="J340" s="6" t="s">
        <v>150</v>
      </c>
      <c r="K340" s="17"/>
    </row>
    <row r="341" spans="1:11" ht="13.95" customHeight="1" x14ac:dyDescent="0.3">
      <c r="A341" s="3">
        <v>45937</v>
      </c>
      <c r="B341" s="3" t="s">
        <v>1922</v>
      </c>
      <c r="C341" s="19" t="s">
        <v>20</v>
      </c>
      <c r="D341" s="19" t="s">
        <v>1259</v>
      </c>
      <c r="E341" s="4">
        <v>0.48</v>
      </c>
      <c r="F341" s="42">
        <v>1.9</v>
      </c>
      <c r="G341" s="45">
        <v>755</v>
      </c>
      <c r="H341" s="22">
        <v>2.1</v>
      </c>
      <c r="I341" s="6">
        <f t="shared" si="5"/>
        <v>1445.9759999999999</v>
      </c>
      <c r="J341" s="6" t="s">
        <v>150</v>
      </c>
      <c r="K341" s="17"/>
    </row>
    <row r="342" spans="1:11" ht="13.95" customHeight="1" x14ac:dyDescent="0.3">
      <c r="A342" s="3">
        <v>45938</v>
      </c>
      <c r="B342" s="3" t="s">
        <v>1922</v>
      </c>
      <c r="C342" s="19" t="s">
        <v>5</v>
      </c>
      <c r="D342" s="19" t="s">
        <v>1259</v>
      </c>
      <c r="E342" s="4">
        <v>0.5</v>
      </c>
      <c r="F342" s="42">
        <v>1.95</v>
      </c>
      <c r="G342" s="45">
        <v>810</v>
      </c>
      <c r="H342" s="22">
        <v>2.1</v>
      </c>
      <c r="I342" s="6">
        <f t="shared" si="5"/>
        <v>1658.4750000000001</v>
      </c>
      <c r="J342" s="6" t="s">
        <v>150</v>
      </c>
      <c r="K342" s="17"/>
    </row>
    <row r="343" spans="1:11" ht="13.95" customHeight="1" x14ac:dyDescent="0.3">
      <c r="A343" s="3">
        <v>45939</v>
      </c>
      <c r="B343" s="3" t="s">
        <v>1922</v>
      </c>
      <c r="C343" s="19" t="s">
        <v>8</v>
      </c>
      <c r="D343" s="19" t="s">
        <v>1263</v>
      </c>
      <c r="E343" s="4">
        <v>0.68</v>
      </c>
      <c r="F343" s="42">
        <v>2.2000000000000002</v>
      </c>
      <c r="G343" s="45">
        <v>1245</v>
      </c>
      <c r="H343" s="22">
        <v>2.1</v>
      </c>
      <c r="I343" s="6">
        <f t="shared" si="5"/>
        <v>3911.2920000000008</v>
      </c>
      <c r="J343" s="6" t="s">
        <v>1909</v>
      </c>
      <c r="K343" s="17"/>
    </row>
    <row r="344" spans="1:11" ht="13.95" customHeight="1" x14ac:dyDescent="0.3">
      <c r="A344" s="3">
        <v>45940</v>
      </c>
      <c r="B344" s="3" t="s">
        <v>1922</v>
      </c>
      <c r="C344" s="19" t="s">
        <v>11</v>
      </c>
      <c r="D344" s="19" t="s">
        <v>14</v>
      </c>
      <c r="E344" s="4">
        <v>0.75</v>
      </c>
      <c r="F344" s="42">
        <v>2.4</v>
      </c>
      <c r="G344" s="45">
        <v>1495</v>
      </c>
      <c r="H344" s="22">
        <v>2.1</v>
      </c>
      <c r="I344" s="6">
        <f t="shared" si="5"/>
        <v>5651.1</v>
      </c>
      <c r="J344" s="6" t="s">
        <v>97</v>
      </c>
      <c r="K344" s="17"/>
    </row>
    <row r="345" spans="1:11" ht="13.95" customHeight="1" x14ac:dyDescent="0.3">
      <c r="A345" s="3">
        <v>45941</v>
      </c>
      <c r="B345" s="3" t="s">
        <v>1922</v>
      </c>
      <c r="C345" s="19" t="s">
        <v>13</v>
      </c>
      <c r="D345" s="19" t="s">
        <v>14</v>
      </c>
      <c r="E345" s="4">
        <v>0.92</v>
      </c>
      <c r="F345" s="42">
        <v>3.05</v>
      </c>
      <c r="G345" s="45">
        <v>2330</v>
      </c>
      <c r="H345" s="22">
        <v>2.1</v>
      </c>
      <c r="I345" s="6">
        <f t="shared" si="5"/>
        <v>13729.758</v>
      </c>
      <c r="J345" s="6" t="s">
        <v>1910</v>
      </c>
      <c r="K345" s="17"/>
    </row>
    <row r="346" spans="1:11" ht="13.95" customHeight="1" x14ac:dyDescent="0.3">
      <c r="A346" s="3">
        <v>45942</v>
      </c>
      <c r="B346" s="3" t="s">
        <v>1922</v>
      </c>
      <c r="C346" s="19" t="s">
        <v>16</v>
      </c>
      <c r="D346" s="19" t="s">
        <v>14</v>
      </c>
      <c r="E346" s="4">
        <v>0.8</v>
      </c>
      <c r="F346" s="42">
        <v>2.5499999999999998</v>
      </c>
      <c r="G346" s="45">
        <v>1695</v>
      </c>
      <c r="H346" s="22">
        <v>2.1</v>
      </c>
      <c r="I346" s="6">
        <f t="shared" si="5"/>
        <v>7261.38</v>
      </c>
      <c r="J346" s="6" t="s">
        <v>149</v>
      </c>
      <c r="K346" s="17"/>
    </row>
    <row r="347" spans="1:11" ht="13.95" customHeight="1" x14ac:dyDescent="0.3">
      <c r="A347" s="3">
        <v>45943</v>
      </c>
      <c r="B347" s="3" t="s">
        <v>1922</v>
      </c>
      <c r="C347" s="19" t="s">
        <v>18</v>
      </c>
      <c r="D347" s="19" t="s">
        <v>1259</v>
      </c>
      <c r="E347" s="4">
        <v>0.55000000000000004</v>
      </c>
      <c r="F347" s="42">
        <v>2</v>
      </c>
      <c r="G347" s="45">
        <v>910</v>
      </c>
      <c r="H347" s="22">
        <v>2.1</v>
      </c>
      <c r="I347" s="6">
        <f t="shared" si="5"/>
        <v>2102.1000000000004</v>
      </c>
      <c r="J347" s="6" t="s">
        <v>70</v>
      </c>
      <c r="K347" s="17"/>
    </row>
    <row r="348" spans="1:11" ht="13.95" customHeight="1" x14ac:dyDescent="0.3">
      <c r="A348" s="3">
        <v>45944</v>
      </c>
      <c r="B348" s="3" t="s">
        <v>1922</v>
      </c>
      <c r="C348" s="19" t="s">
        <v>20</v>
      </c>
      <c r="D348" s="19" t="s">
        <v>994</v>
      </c>
      <c r="E348" s="4">
        <v>0.7</v>
      </c>
      <c r="F348" s="42">
        <v>2.15</v>
      </c>
      <c r="G348" s="45">
        <v>1250</v>
      </c>
      <c r="H348" s="22">
        <v>2.1</v>
      </c>
      <c r="I348" s="6">
        <f t="shared" si="5"/>
        <v>3950.625</v>
      </c>
      <c r="J348" s="6" t="s">
        <v>1706</v>
      </c>
      <c r="K348" s="17"/>
    </row>
    <row r="349" spans="1:11" ht="13.95" customHeight="1" x14ac:dyDescent="0.3">
      <c r="A349" s="3">
        <v>45945</v>
      </c>
      <c r="B349" s="3" t="s">
        <v>1922</v>
      </c>
      <c r="C349" s="19" t="s">
        <v>5</v>
      </c>
      <c r="D349" s="19" t="s">
        <v>865</v>
      </c>
      <c r="E349" s="4">
        <v>0.85</v>
      </c>
      <c r="F349" s="42">
        <v>2.5499999999999998</v>
      </c>
      <c r="G349" s="45">
        <v>1800</v>
      </c>
      <c r="H349" s="22">
        <v>2.1</v>
      </c>
      <c r="I349" s="6">
        <f t="shared" si="5"/>
        <v>8193.15</v>
      </c>
      <c r="J349" s="6" t="s">
        <v>1876</v>
      </c>
      <c r="K349" s="17"/>
    </row>
    <row r="350" spans="1:11" ht="13.95" customHeight="1" x14ac:dyDescent="0.3">
      <c r="A350" s="3">
        <v>45946</v>
      </c>
      <c r="B350" s="3" t="s">
        <v>1922</v>
      </c>
      <c r="C350" s="19" t="s">
        <v>8</v>
      </c>
      <c r="D350" s="19" t="s">
        <v>1817</v>
      </c>
      <c r="E350" s="4">
        <v>0.65</v>
      </c>
      <c r="F350" s="42">
        <v>2.1</v>
      </c>
      <c r="G350" s="45">
        <v>1135</v>
      </c>
      <c r="H350" s="22">
        <v>2.1</v>
      </c>
      <c r="I350" s="6">
        <f t="shared" si="5"/>
        <v>3253.4775000000004</v>
      </c>
      <c r="J350" s="6" t="s">
        <v>150</v>
      </c>
      <c r="K350" s="17"/>
    </row>
    <row r="351" spans="1:11" ht="13.95" customHeight="1" x14ac:dyDescent="0.3">
      <c r="A351" s="3">
        <v>45947</v>
      </c>
      <c r="B351" s="3" t="s">
        <v>1922</v>
      </c>
      <c r="C351" s="19" t="s">
        <v>11</v>
      </c>
      <c r="D351" s="19" t="s">
        <v>1434</v>
      </c>
      <c r="E351" s="4">
        <v>0.75</v>
      </c>
      <c r="F351" s="42">
        <v>2.35</v>
      </c>
      <c r="G351" s="45">
        <v>1465</v>
      </c>
      <c r="H351" s="22">
        <v>2.1</v>
      </c>
      <c r="I351" s="6">
        <f t="shared" si="5"/>
        <v>5422.3312500000002</v>
      </c>
      <c r="J351" s="6" t="s">
        <v>1818</v>
      </c>
      <c r="K351" s="17"/>
    </row>
    <row r="352" spans="1:11" ht="13.95" customHeight="1" x14ac:dyDescent="0.3">
      <c r="A352" s="3">
        <v>45948</v>
      </c>
      <c r="B352" s="3" t="s">
        <v>1922</v>
      </c>
      <c r="C352" s="19" t="s">
        <v>13</v>
      </c>
      <c r="D352" s="19" t="s">
        <v>1434</v>
      </c>
      <c r="E352" s="4">
        <v>0.95</v>
      </c>
      <c r="F352" s="42">
        <v>3.1</v>
      </c>
      <c r="G352" s="45">
        <v>2445</v>
      </c>
      <c r="H352" s="22">
        <v>2.1</v>
      </c>
      <c r="I352" s="6">
        <f t="shared" si="5"/>
        <v>15121.102500000003</v>
      </c>
      <c r="J352" s="6" t="s">
        <v>1691</v>
      </c>
      <c r="K352" s="17"/>
    </row>
    <row r="353" spans="1:11" ht="13.95" customHeight="1" x14ac:dyDescent="0.3">
      <c r="A353" s="3">
        <v>45949</v>
      </c>
      <c r="B353" s="3" t="s">
        <v>1922</v>
      </c>
      <c r="C353" s="19" t="s">
        <v>16</v>
      </c>
      <c r="D353" s="19" t="s">
        <v>1434</v>
      </c>
      <c r="E353" s="4">
        <v>0.9</v>
      </c>
      <c r="F353" s="42">
        <v>2.65</v>
      </c>
      <c r="G353" s="45">
        <v>1980</v>
      </c>
      <c r="H353" s="22">
        <v>2.1</v>
      </c>
      <c r="I353" s="6">
        <f t="shared" si="5"/>
        <v>9916.83</v>
      </c>
      <c r="J353" s="6" t="s">
        <v>1911</v>
      </c>
      <c r="K353" s="17"/>
    </row>
    <row r="354" spans="1:11" ht="13.95" customHeight="1" x14ac:dyDescent="0.3">
      <c r="A354" s="3">
        <v>45950</v>
      </c>
      <c r="B354" s="3" t="s">
        <v>1922</v>
      </c>
      <c r="C354" s="19" t="s">
        <v>18</v>
      </c>
      <c r="D354" s="19" t="s">
        <v>1434</v>
      </c>
      <c r="E354" s="4">
        <v>0.85</v>
      </c>
      <c r="F354" s="42">
        <v>2.35</v>
      </c>
      <c r="G354" s="45">
        <v>1660</v>
      </c>
      <c r="H354" s="22">
        <v>2.1</v>
      </c>
      <c r="I354" s="6">
        <f t="shared" si="5"/>
        <v>6963.2849999999999</v>
      </c>
      <c r="J354" s="6" t="s">
        <v>1912</v>
      </c>
      <c r="K354" s="17"/>
    </row>
    <row r="355" spans="1:11" ht="13.95" customHeight="1" x14ac:dyDescent="0.3">
      <c r="A355" s="3">
        <v>45951</v>
      </c>
      <c r="B355" s="3" t="s">
        <v>1922</v>
      </c>
      <c r="C355" s="19" t="s">
        <v>20</v>
      </c>
      <c r="D355" s="19" t="s">
        <v>1434</v>
      </c>
      <c r="E355" s="4">
        <v>0.82</v>
      </c>
      <c r="F355" s="42">
        <v>2.2999999999999998</v>
      </c>
      <c r="G355" s="45">
        <v>1565</v>
      </c>
      <c r="H355" s="22">
        <v>2.1</v>
      </c>
      <c r="I355" s="6">
        <f t="shared" si="5"/>
        <v>6198.3389999999999</v>
      </c>
      <c r="J355" s="6" t="s">
        <v>1912</v>
      </c>
      <c r="K355" s="17"/>
    </row>
    <row r="356" spans="1:11" ht="13.95" customHeight="1" x14ac:dyDescent="0.3">
      <c r="A356" s="3">
        <v>45952</v>
      </c>
      <c r="B356" s="3" t="s">
        <v>1922</v>
      </c>
      <c r="C356" s="19" t="s">
        <v>5</v>
      </c>
      <c r="D356" s="19" t="s">
        <v>1434</v>
      </c>
      <c r="E356" s="4">
        <v>0.85</v>
      </c>
      <c r="F356" s="42">
        <v>2.2999999999999998</v>
      </c>
      <c r="G356" s="45">
        <v>1625</v>
      </c>
      <c r="H356" s="22">
        <v>2.1</v>
      </c>
      <c r="I356" s="6">
        <f t="shared" si="5"/>
        <v>6671.4374999999991</v>
      </c>
      <c r="J356" s="6" t="s">
        <v>1912</v>
      </c>
      <c r="K356" s="17"/>
    </row>
    <row r="357" spans="1:11" ht="13.95" customHeight="1" x14ac:dyDescent="0.3">
      <c r="A357" s="3">
        <v>45953</v>
      </c>
      <c r="B357" s="3" t="s">
        <v>1922</v>
      </c>
      <c r="C357" s="19" t="s">
        <v>8</v>
      </c>
      <c r="D357" s="19" t="s">
        <v>1263</v>
      </c>
      <c r="E357" s="4">
        <v>0.8</v>
      </c>
      <c r="F357" s="42">
        <v>2.2999999999999998</v>
      </c>
      <c r="G357" s="45">
        <v>1530</v>
      </c>
      <c r="H357" s="22">
        <v>2.1</v>
      </c>
      <c r="I357" s="6">
        <f t="shared" si="5"/>
        <v>5911.92</v>
      </c>
      <c r="J357" s="6" t="s">
        <v>1913</v>
      </c>
      <c r="K357" s="17"/>
    </row>
    <row r="358" spans="1:11" ht="13.95" customHeight="1" x14ac:dyDescent="0.3">
      <c r="A358" s="3">
        <v>45954</v>
      </c>
      <c r="B358" s="3" t="s">
        <v>1922</v>
      </c>
      <c r="C358" s="19" t="s">
        <v>11</v>
      </c>
      <c r="D358" s="19" t="s">
        <v>14</v>
      </c>
      <c r="E358" s="4">
        <v>0.88</v>
      </c>
      <c r="F358" s="42">
        <v>2.5499999999999998</v>
      </c>
      <c r="G358" s="45">
        <v>1860</v>
      </c>
      <c r="H358" s="22">
        <v>2.1</v>
      </c>
      <c r="I358" s="6">
        <f t="shared" si="5"/>
        <v>8765.0639999999985</v>
      </c>
      <c r="J358" s="6" t="s">
        <v>1369</v>
      </c>
      <c r="K358" s="17"/>
    </row>
    <row r="359" spans="1:11" ht="13.95" customHeight="1" x14ac:dyDescent="0.3">
      <c r="A359" s="3">
        <v>45955</v>
      </c>
      <c r="B359" s="3" t="s">
        <v>1922</v>
      </c>
      <c r="C359" s="19" t="s">
        <v>13</v>
      </c>
      <c r="D359" s="19" t="s">
        <v>14</v>
      </c>
      <c r="E359" s="4">
        <v>1</v>
      </c>
      <c r="F359" s="42">
        <v>3.2</v>
      </c>
      <c r="G359" s="45">
        <v>2655</v>
      </c>
      <c r="H359" s="22">
        <v>2.1</v>
      </c>
      <c r="I359" s="6">
        <f t="shared" si="5"/>
        <v>17841.600000000002</v>
      </c>
      <c r="J359" s="6" t="s">
        <v>1715</v>
      </c>
      <c r="K359" s="17"/>
    </row>
    <row r="360" spans="1:11" ht="13.95" customHeight="1" x14ac:dyDescent="0.3">
      <c r="A360" s="3">
        <v>45956</v>
      </c>
      <c r="B360" s="3" t="s">
        <v>1922</v>
      </c>
      <c r="C360" s="19" t="s">
        <v>16</v>
      </c>
      <c r="D360" s="19" t="s">
        <v>14</v>
      </c>
      <c r="E360" s="4">
        <v>0.95</v>
      </c>
      <c r="F360" s="42">
        <v>2.75</v>
      </c>
      <c r="G360" s="45">
        <v>2170</v>
      </c>
      <c r="H360" s="22">
        <v>2.1</v>
      </c>
      <c r="I360" s="6">
        <f t="shared" si="5"/>
        <v>11905.1625</v>
      </c>
      <c r="J360" s="6" t="s">
        <v>149</v>
      </c>
      <c r="K360" s="17"/>
    </row>
    <row r="361" spans="1:11" ht="13.95" customHeight="1" x14ac:dyDescent="0.3">
      <c r="A361" s="3">
        <v>45957</v>
      </c>
      <c r="B361" s="3" t="s">
        <v>1922</v>
      </c>
      <c r="C361" s="19" t="s">
        <v>18</v>
      </c>
      <c r="D361" s="19" t="s">
        <v>1259</v>
      </c>
      <c r="E361" s="4">
        <v>0.6</v>
      </c>
      <c r="F361" s="42">
        <v>2</v>
      </c>
      <c r="G361" s="45">
        <v>995</v>
      </c>
      <c r="H361" s="22">
        <v>2.1</v>
      </c>
      <c r="I361" s="6">
        <f t="shared" si="5"/>
        <v>2507.4</v>
      </c>
      <c r="J361" s="6" t="s">
        <v>1371</v>
      </c>
      <c r="K361" s="17"/>
    </row>
    <row r="362" spans="1:11" ht="13.95" customHeight="1" x14ac:dyDescent="0.3">
      <c r="A362" s="3">
        <v>45958</v>
      </c>
      <c r="B362" s="3" t="s">
        <v>1922</v>
      </c>
      <c r="C362" s="19" t="s">
        <v>20</v>
      </c>
      <c r="D362" s="19" t="s">
        <v>1259</v>
      </c>
      <c r="E362" s="4">
        <v>0.55000000000000004</v>
      </c>
      <c r="F362" s="42">
        <v>1.95</v>
      </c>
      <c r="G362" s="45">
        <v>890</v>
      </c>
      <c r="H362" s="22">
        <v>2.1</v>
      </c>
      <c r="I362" s="6">
        <f t="shared" si="5"/>
        <v>2004.5025000000003</v>
      </c>
      <c r="J362" s="6" t="s">
        <v>150</v>
      </c>
      <c r="K362" s="17"/>
    </row>
    <row r="363" spans="1:11" ht="13.95" customHeight="1" x14ac:dyDescent="0.3">
      <c r="A363" s="3">
        <v>45959</v>
      </c>
      <c r="B363" s="3" t="s">
        <v>1922</v>
      </c>
      <c r="C363" s="19" t="s">
        <v>5</v>
      </c>
      <c r="D363" s="19" t="s">
        <v>1259</v>
      </c>
      <c r="E363" s="4">
        <v>0.52</v>
      </c>
      <c r="F363" s="42">
        <v>1.95</v>
      </c>
      <c r="G363" s="45">
        <v>840</v>
      </c>
      <c r="H363" s="22">
        <v>2.1</v>
      </c>
      <c r="I363" s="6">
        <f t="shared" si="5"/>
        <v>1788.6960000000001</v>
      </c>
      <c r="J363" s="6" t="s">
        <v>150</v>
      </c>
      <c r="K363" s="17"/>
    </row>
    <row r="364" spans="1:11" ht="13.95" customHeight="1" x14ac:dyDescent="0.3">
      <c r="A364" s="3">
        <v>45960</v>
      </c>
      <c r="B364" s="3" t="s">
        <v>1922</v>
      </c>
      <c r="C364" s="19" t="s">
        <v>8</v>
      </c>
      <c r="D364" s="19" t="s">
        <v>1820</v>
      </c>
      <c r="E364" s="4">
        <v>0.6</v>
      </c>
      <c r="F364" s="42">
        <v>2.15</v>
      </c>
      <c r="G364" s="45">
        <v>1070</v>
      </c>
      <c r="H364" s="22">
        <v>2.1</v>
      </c>
      <c r="I364" s="6">
        <f t="shared" si="5"/>
        <v>2898.63</v>
      </c>
      <c r="J364" s="6" t="s">
        <v>1821</v>
      </c>
      <c r="K364" s="17"/>
    </row>
    <row r="365" spans="1:11" ht="13.95" customHeight="1" x14ac:dyDescent="0.3">
      <c r="A365" s="3">
        <v>45961</v>
      </c>
      <c r="B365" s="3" t="s">
        <v>1922</v>
      </c>
      <c r="C365" s="19" t="s">
        <v>11</v>
      </c>
      <c r="D365" s="19" t="s">
        <v>867</v>
      </c>
      <c r="E365" s="4">
        <v>0.8</v>
      </c>
      <c r="F365" s="42">
        <v>2.85</v>
      </c>
      <c r="G365" s="45">
        <v>1895</v>
      </c>
      <c r="H365" s="22">
        <v>2.1</v>
      </c>
      <c r="I365" s="6">
        <f t="shared" si="5"/>
        <v>9073.260000000002</v>
      </c>
      <c r="J365" s="6" t="s">
        <v>1372</v>
      </c>
      <c r="K365" s="17"/>
    </row>
    <row r="366" spans="1:11" ht="13.95" customHeight="1" x14ac:dyDescent="0.3">
      <c r="A366" s="3">
        <v>45962</v>
      </c>
      <c r="B366" s="3" t="s">
        <v>1922</v>
      </c>
      <c r="C366" s="19" t="s">
        <v>13</v>
      </c>
      <c r="D366" s="19" t="s">
        <v>1619</v>
      </c>
      <c r="E366" s="4">
        <v>0.7</v>
      </c>
      <c r="F366" s="42">
        <v>2.4</v>
      </c>
      <c r="G366" s="45">
        <v>1330</v>
      </c>
      <c r="H366" s="22">
        <v>2</v>
      </c>
      <c r="I366" s="6">
        <f t="shared" si="5"/>
        <v>4468.7999999999993</v>
      </c>
      <c r="J366" s="6" t="s">
        <v>1620</v>
      </c>
      <c r="K366" s="17"/>
    </row>
    <row r="367" spans="1:11" ht="13.95" customHeight="1" x14ac:dyDescent="0.3">
      <c r="A367" s="3">
        <v>45963</v>
      </c>
      <c r="B367" s="3" t="s">
        <v>1922</v>
      </c>
      <c r="C367" s="19" t="s">
        <v>16</v>
      </c>
      <c r="D367" s="19" t="s">
        <v>14</v>
      </c>
      <c r="E367" s="4">
        <v>0.55000000000000004</v>
      </c>
      <c r="F367" s="42">
        <v>2.1</v>
      </c>
      <c r="G367" s="45">
        <v>910</v>
      </c>
      <c r="H367" s="22">
        <v>2</v>
      </c>
      <c r="I367" s="6">
        <f t="shared" si="5"/>
        <v>2102.1000000000004</v>
      </c>
      <c r="J367" s="6" t="s">
        <v>1469</v>
      </c>
      <c r="K367" s="17"/>
    </row>
    <row r="368" spans="1:11" ht="13.95" customHeight="1" x14ac:dyDescent="0.3">
      <c r="A368" s="3">
        <v>45964</v>
      </c>
      <c r="B368" s="3" t="s">
        <v>1922</v>
      </c>
      <c r="C368" s="19" t="s">
        <v>18</v>
      </c>
      <c r="D368" s="19" t="s">
        <v>1259</v>
      </c>
      <c r="E368" s="4">
        <v>0.4</v>
      </c>
      <c r="F368" s="42">
        <v>1.85</v>
      </c>
      <c r="G368" s="45">
        <v>585</v>
      </c>
      <c r="H368" s="22">
        <v>2</v>
      </c>
      <c r="I368" s="6">
        <f t="shared" si="5"/>
        <v>865.80000000000007</v>
      </c>
      <c r="J368" s="6" t="s">
        <v>1813</v>
      </c>
      <c r="K368" s="17"/>
    </row>
    <row r="369" spans="1:11" ht="13.95" customHeight="1" x14ac:dyDescent="0.3">
      <c r="A369" s="3">
        <v>45965</v>
      </c>
      <c r="B369" s="3" t="s">
        <v>1922</v>
      </c>
      <c r="C369" s="19" t="s">
        <v>20</v>
      </c>
      <c r="D369" s="19" t="s">
        <v>1259</v>
      </c>
      <c r="E369" s="4">
        <v>0.35</v>
      </c>
      <c r="F369" s="42">
        <v>1.8</v>
      </c>
      <c r="G369" s="45">
        <v>500</v>
      </c>
      <c r="H369" s="22">
        <v>2</v>
      </c>
      <c r="I369" s="6">
        <f t="shared" si="5"/>
        <v>630</v>
      </c>
      <c r="J369" s="6" t="s">
        <v>1472</v>
      </c>
      <c r="K369" s="17"/>
    </row>
    <row r="370" spans="1:11" ht="13.95" customHeight="1" x14ac:dyDescent="0.3">
      <c r="A370" s="3">
        <v>45966</v>
      </c>
      <c r="B370" s="3" t="s">
        <v>1922</v>
      </c>
      <c r="C370" s="19" t="s">
        <v>5</v>
      </c>
      <c r="D370" s="19" t="s">
        <v>1259</v>
      </c>
      <c r="E370" s="4">
        <v>0.38</v>
      </c>
      <c r="F370" s="42">
        <v>1.8</v>
      </c>
      <c r="G370" s="45">
        <v>540</v>
      </c>
      <c r="H370" s="22">
        <v>2</v>
      </c>
      <c r="I370" s="6">
        <f t="shared" si="5"/>
        <v>738.72</v>
      </c>
      <c r="J370" s="6" t="s">
        <v>150</v>
      </c>
      <c r="K370" s="17"/>
    </row>
    <row r="371" spans="1:11" ht="13.95" customHeight="1" x14ac:dyDescent="0.3">
      <c r="A371" s="3">
        <v>45967</v>
      </c>
      <c r="B371" s="3" t="s">
        <v>1922</v>
      </c>
      <c r="C371" s="19" t="s">
        <v>8</v>
      </c>
      <c r="D371" s="19" t="s">
        <v>1263</v>
      </c>
      <c r="E371" s="4">
        <v>0.6</v>
      </c>
      <c r="F371" s="42">
        <v>2.15</v>
      </c>
      <c r="G371" s="45">
        <v>1020</v>
      </c>
      <c r="H371" s="22">
        <v>2</v>
      </c>
      <c r="I371" s="6">
        <f t="shared" si="5"/>
        <v>2631.6</v>
      </c>
      <c r="J371" s="6" t="s">
        <v>1864</v>
      </c>
      <c r="K371" s="17"/>
    </row>
    <row r="372" spans="1:11" ht="13.95" customHeight="1" x14ac:dyDescent="0.3">
      <c r="A372" s="3">
        <v>45968</v>
      </c>
      <c r="B372" s="3" t="s">
        <v>1922</v>
      </c>
      <c r="C372" s="19" t="s">
        <v>11</v>
      </c>
      <c r="D372" s="19" t="s">
        <v>14</v>
      </c>
      <c r="E372" s="4">
        <v>0.65</v>
      </c>
      <c r="F372" s="42">
        <v>2.2999999999999998</v>
      </c>
      <c r="G372" s="45">
        <v>1180</v>
      </c>
      <c r="H372" s="22">
        <v>2</v>
      </c>
      <c r="I372" s="6">
        <f t="shared" si="5"/>
        <v>3528.2</v>
      </c>
      <c r="J372" s="6" t="s">
        <v>1124</v>
      </c>
      <c r="K372" s="17"/>
    </row>
    <row r="373" spans="1:11" ht="13.95" customHeight="1" x14ac:dyDescent="0.3">
      <c r="A373" s="3">
        <v>45969</v>
      </c>
      <c r="B373" s="3" t="s">
        <v>1922</v>
      </c>
      <c r="C373" s="19" t="s">
        <v>13</v>
      </c>
      <c r="D373" s="19" t="s">
        <v>14</v>
      </c>
      <c r="E373" s="4">
        <v>0.8</v>
      </c>
      <c r="F373" s="42">
        <v>2.85</v>
      </c>
      <c r="G373" s="45">
        <v>1800</v>
      </c>
      <c r="H373" s="22">
        <v>2</v>
      </c>
      <c r="I373" s="6">
        <f t="shared" si="5"/>
        <v>8208</v>
      </c>
      <c r="J373" s="6" t="s">
        <v>1572</v>
      </c>
      <c r="K373" s="17"/>
    </row>
    <row r="374" spans="1:11" ht="13.95" customHeight="1" x14ac:dyDescent="0.3">
      <c r="A374" s="3">
        <v>45970</v>
      </c>
      <c r="B374" s="3" t="s">
        <v>1922</v>
      </c>
      <c r="C374" s="19" t="s">
        <v>16</v>
      </c>
      <c r="D374" s="19" t="s">
        <v>14</v>
      </c>
      <c r="E374" s="4">
        <v>0.65</v>
      </c>
      <c r="F374" s="42">
        <v>2.25</v>
      </c>
      <c r="G374" s="45">
        <v>1155</v>
      </c>
      <c r="H374" s="22">
        <v>2</v>
      </c>
      <c r="I374" s="6">
        <f t="shared" si="5"/>
        <v>3378.375</v>
      </c>
      <c r="J374" s="6" t="s">
        <v>139</v>
      </c>
      <c r="K374" s="17"/>
    </row>
    <row r="375" spans="1:11" ht="13.95" customHeight="1" x14ac:dyDescent="0.3">
      <c r="A375" s="3">
        <v>45971</v>
      </c>
      <c r="B375" s="3" t="s">
        <v>1922</v>
      </c>
      <c r="C375" s="19" t="s">
        <v>18</v>
      </c>
      <c r="D375" s="19" t="s">
        <v>1259</v>
      </c>
      <c r="E375" s="4">
        <v>0.35</v>
      </c>
      <c r="F375" s="42">
        <v>1.8</v>
      </c>
      <c r="G375" s="45">
        <v>500</v>
      </c>
      <c r="H375" s="22">
        <v>2</v>
      </c>
      <c r="I375" s="6">
        <f t="shared" si="5"/>
        <v>630</v>
      </c>
      <c r="J375" s="6" t="s">
        <v>150</v>
      </c>
      <c r="K375" s="17"/>
    </row>
    <row r="376" spans="1:11" ht="13.95" customHeight="1" x14ac:dyDescent="0.3">
      <c r="A376" s="3">
        <v>45972</v>
      </c>
      <c r="B376" s="3" t="s">
        <v>1922</v>
      </c>
      <c r="C376" s="19" t="s">
        <v>20</v>
      </c>
      <c r="D376" s="19" t="s">
        <v>1259</v>
      </c>
      <c r="E376" s="4">
        <v>0.32</v>
      </c>
      <c r="F376" s="42">
        <v>1.75</v>
      </c>
      <c r="G376" s="45">
        <v>445</v>
      </c>
      <c r="H376" s="22">
        <v>2</v>
      </c>
      <c r="I376" s="6">
        <f t="shared" si="5"/>
        <v>498.40000000000003</v>
      </c>
      <c r="J376" s="6" t="s">
        <v>150</v>
      </c>
      <c r="K376" s="17"/>
    </row>
    <row r="377" spans="1:11" ht="13.95" customHeight="1" x14ac:dyDescent="0.3">
      <c r="A377" s="3">
        <v>45973</v>
      </c>
      <c r="B377" s="3" t="s">
        <v>1922</v>
      </c>
      <c r="C377" s="19" t="s">
        <v>5</v>
      </c>
      <c r="D377" s="19" t="s">
        <v>1259</v>
      </c>
      <c r="E377" s="4">
        <v>0.35</v>
      </c>
      <c r="F377" s="42">
        <v>1.8</v>
      </c>
      <c r="G377" s="45">
        <v>500</v>
      </c>
      <c r="H377" s="22">
        <v>2</v>
      </c>
      <c r="I377" s="6">
        <f t="shared" si="5"/>
        <v>630</v>
      </c>
      <c r="J377" s="6" t="s">
        <v>150</v>
      </c>
      <c r="K377" s="17"/>
    </row>
    <row r="378" spans="1:11" ht="13.95" customHeight="1" x14ac:dyDescent="0.3">
      <c r="A378" s="3">
        <v>45974</v>
      </c>
      <c r="B378" s="3" t="s">
        <v>1922</v>
      </c>
      <c r="C378" s="19" t="s">
        <v>8</v>
      </c>
      <c r="D378" s="19" t="s">
        <v>1263</v>
      </c>
      <c r="E378" s="4">
        <v>0.65</v>
      </c>
      <c r="F378" s="42">
        <v>2.2000000000000002</v>
      </c>
      <c r="G378" s="45">
        <v>1130</v>
      </c>
      <c r="H378" s="22">
        <v>2</v>
      </c>
      <c r="I378" s="6">
        <f t="shared" si="5"/>
        <v>3231.8</v>
      </c>
      <c r="J378" s="6" t="s">
        <v>1714</v>
      </c>
      <c r="K378" s="17"/>
    </row>
    <row r="379" spans="1:11" ht="13.95" customHeight="1" x14ac:dyDescent="0.3">
      <c r="A379" s="3">
        <v>45975</v>
      </c>
      <c r="B379" s="3" t="s">
        <v>1922</v>
      </c>
      <c r="C379" s="19" t="s">
        <v>11</v>
      </c>
      <c r="D379" s="19" t="s">
        <v>14</v>
      </c>
      <c r="E379" s="4">
        <v>0.7</v>
      </c>
      <c r="F379" s="42">
        <v>2.4</v>
      </c>
      <c r="G379" s="45">
        <v>1330</v>
      </c>
      <c r="H379" s="22">
        <v>2</v>
      </c>
      <c r="I379" s="6">
        <f t="shared" si="5"/>
        <v>4468.7999999999993</v>
      </c>
      <c r="J379" s="6" t="s">
        <v>97</v>
      </c>
      <c r="K379" s="17"/>
    </row>
    <row r="380" spans="1:11" ht="13.95" customHeight="1" x14ac:dyDescent="0.3">
      <c r="A380" s="3">
        <v>45976</v>
      </c>
      <c r="B380" s="3" t="s">
        <v>1922</v>
      </c>
      <c r="C380" s="19" t="s">
        <v>13</v>
      </c>
      <c r="D380" s="19" t="s">
        <v>14</v>
      </c>
      <c r="E380" s="4">
        <v>0.85</v>
      </c>
      <c r="F380" s="42">
        <v>2.9</v>
      </c>
      <c r="G380" s="45">
        <v>1950</v>
      </c>
      <c r="H380" s="22">
        <v>2</v>
      </c>
      <c r="I380" s="6">
        <f t="shared" si="5"/>
        <v>9613.5</v>
      </c>
      <c r="J380" s="6" t="s">
        <v>1719</v>
      </c>
      <c r="K380" s="17"/>
    </row>
    <row r="381" spans="1:11" ht="13.95" customHeight="1" x14ac:dyDescent="0.3">
      <c r="A381" s="3">
        <v>45977</v>
      </c>
      <c r="B381" s="3" t="s">
        <v>1922</v>
      </c>
      <c r="C381" s="19" t="s">
        <v>16</v>
      </c>
      <c r="D381" s="19" t="s">
        <v>14</v>
      </c>
      <c r="E381" s="4">
        <v>0.7</v>
      </c>
      <c r="F381" s="42">
        <v>2.2999999999999998</v>
      </c>
      <c r="G381" s="45">
        <v>1275</v>
      </c>
      <c r="H381" s="22">
        <v>2</v>
      </c>
      <c r="I381" s="6">
        <f t="shared" si="5"/>
        <v>4105.5</v>
      </c>
      <c r="J381" s="6" t="s">
        <v>149</v>
      </c>
      <c r="K381" s="17"/>
    </row>
    <row r="382" spans="1:11" ht="13.95" customHeight="1" x14ac:dyDescent="0.3">
      <c r="A382" s="3">
        <v>45978</v>
      </c>
      <c r="B382" s="3" t="s">
        <v>1922</v>
      </c>
      <c r="C382" s="19" t="s">
        <v>18</v>
      </c>
      <c r="D382" s="19" t="s">
        <v>1259</v>
      </c>
      <c r="E382" s="4">
        <v>0.35</v>
      </c>
      <c r="F382" s="42">
        <v>1.8</v>
      </c>
      <c r="G382" s="45">
        <v>500</v>
      </c>
      <c r="H382" s="22">
        <v>2</v>
      </c>
      <c r="I382" s="6">
        <f t="shared" si="5"/>
        <v>630</v>
      </c>
      <c r="J382" s="6" t="s">
        <v>150</v>
      </c>
      <c r="K382" s="17"/>
    </row>
    <row r="383" spans="1:11" ht="13.95" customHeight="1" x14ac:dyDescent="0.3">
      <c r="A383" s="3">
        <v>45979</v>
      </c>
      <c r="B383" s="3" t="s">
        <v>1922</v>
      </c>
      <c r="C383" s="19" t="s">
        <v>20</v>
      </c>
      <c r="D383" s="19" t="s">
        <v>1259</v>
      </c>
      <c r="E383" s="4">
        <v>0.3</v>
      </c>
      <c r="F383" s="42">
        <v>1.75</v>
      </c>
      <c r="G383" s="45">
        <v>415</v>
      </c>
      <c r="H383" s="22">
        <v>2</v>
      </c>
      <c r="I383" s="6">
        <f t="shared" si="5"/>
        <v>435.75</v>
      </c>
      <c r="J383" s="6" t="s">
        <v>1914</v>
      </c>
      <c r="K383" s="17"/>
    </row>
    <row r="384" spans="1:11" ht="13.95" customHeight="1" x14ac:dyDescent="0.3">
      <c r="A384" s="3">
        <v>45980</v>
      </c>
      <c r="B384" s="3" t="s">
        <v>1922</v>
      </c>
      <c r="C384" s="19" t="s">
        <v>5</v>
      </c>
      <c r="D384" s="19" t="s">
        <v>1259</v>
      </c>
      <c r="E384" s="4">
        <v>0.32</v>
      </c>
      <c r="F384" s="42">
        <v>1.8</v>
      </c>
      <c r="G384" s="45">
        <v>455</v>
      </c>
      <c r="H384" s="22">
        <v>2</v>
      </c>
      <c r="I384" s="6">
        <f t="shared" si="5"/>
        <v>524.16</v>
      </c>
      <c r="J384" s="6" t="s">
        <v>150</v>
      </c>
      <c r="K384" s="17"/>
    </row>
    <row r="385" spans="1:11" ht="13.95" customHeight="1" x14ac:dyDescent="0.3">
      <c r="A385" s="3">
        <v>45981</v>
      </c>
      <c r="B385" s="3" t="s">
        <v>1922</v>
      </c>
      <c r="C385" s="19" t="s">
        <v>8</v>
      </c>
      <c r="D385" s="19" t="s">
        <v>1263</v>
      </c>
      <c r="E385" s="4">
        <v>0.55000000000000004</v>
      </c>
      <c r="F385" s="42">
        <v>2.1</v>
      </c>
      <c r="G385" s="45">
        <v>915</v>
      </c>
      <c r="H385" s="22">
        <v>2</v>
      </c>
      <c r="I385" s="6">
        <f t="shared" si="5"/>
        <v>2113.6500000000005</v>
      </c>
      <c r="J385" s="6" t="s">
        <v>1915</v>
      </c>
      <c r="K385" s="17"/>
    </row>
    <row r="386" spans="1:11" ht="13.95" customHeight="1" x14ac:dyDescent="0.3">
      <c r="A386" s="3">
        <v>45982</v>
      </c>
      <c r="B386" s="3" t="s">
        <v>1922</v>
      </c>
      <c r="C386" s="19" t="s">
        <v>11</v>
      </c>
      <c r="D386" s="19" t="s">
        <v>14</v>
      </c>
      <c r="E386" s="4">
        <v>0.6</v>
      </c>
      <c r="F386" s="42">
        <v>2.35</v>
      </c>
      <c r="G386" s="45">
        <v>1115</v>
      </c>
      <c r="H386" s="22">
        <v>2</v>
      </c>
      <c r="I386" s="6">
        <f t="shared" ref="I386:I410" si="6">(G386*E386)*F386*H386</f>
        <v>3144.3</v>
      </c>
      <c r="J386" s="6" t="s">
        <v>97</v>
      </c>
      <c r="K386" s="17"/>
    </row>
    <row r="387" spans="1:11" ht="13.95" customHeight="1" x14ac:dyDescent="0.3">
      <c r="A387" s="3">
        <v>45983</v>
      </c>
      <c r="B387" s="3" t="s">
        <v>1922</v>
      </c>
      <c r="C387" s="19" t="s">
        <v>13</v>
      </c>
      <c r="D387" s="19" t="s">
        <v>14</v>
      </c>
      <c r="E387" s="4">
        <v>0.8</v>
      </c>
      <c r="F387" s="42">
        <v>2.8</v>
      </c>
      <c r="G387" s="45">
        <v>1770</v>
      </c>
      <c r="H387" s="22">
        <v>2</v>
      </c>
      <c r="I387" s="6">
        <f t="shared" si="6"/>
        <v>7929.5999999999995</v>
      </c>
      <c r="J387" s="6" t="s">
        <v>1916</v>
      </c>
      <c r="K387" s="17"/>
    </row>
    <row r="388" spans="1:11" ht="13.95" customHeight="1" x14ac:dyDescent="0.3">
      <c r="A388" s="3">
        <v>45984</v>
      </c>
      <c r="B388" s="3" t="s">
        <v>1922</v>
      </c>
      <c r="C388" s="19" t="s">
        <v>16</v>
      </c>
      <c r="D388" s="19" t="s">
        <v>14</v>
      </c>
      <c r="E388" s="4">
        <v>0.65</v>
      </c>
      <c r="F388" s="42">
        <v>2.25</v>
      </c>
      <c r="G388" s="45">
        <v>1155</v>
      </c>
      <c r="H388" s="22">
        <v>2</v>
      </c>
      <c r="I388" s="6">
        <f t="shared" si="6"/>
        <v>3378.375</v>
      </c>
      <c r="J388" s="6" t="s">
        <v>149</v>
      </c>
      <c r="K388" s="17"/>
    </row>
    <row r="389" spans="1:11" ht="13.95" customHeight="1" x14ac:dyDescent="0.3">
      <c r="A389" s="3">
        <v>45985</v>
      </c>
      <c r="B389" s="3" t="s">
        <v>1922</v>
      </c>
      <c r="C389" s="19" t="s">
        <v>18</v>
      </c>
      <c r="D389" s="19" t="s">
        <v>1259</v>
      </c>
      <c r="E389" s="4">
        <v>0.35</v>
      </c>
      <c r="F389" s="42">
        <v>1.8</v>
      </c>
      <c r="G389" s="45">
        <v>500</v>
      </c>
      <c r="H389" s="22">
        <v>2</v>
      </c>
      <c r="I389" s="6">
        <f t="shared" si="6"/>
        <v>630</v>
      </c>
      <c r="J389" s="6" t="s">
        <v>150</v>
      </c>
      <c r="K389" s="17"/>
    </row>
    <row r="390" spans="1:11" ht="13.95" customHeight="1" x14ac:dyDescent="0.3">
      <c r="A390" s="3">
        <v>45986</v>
      </c>
      <c r="B390" s="3" t="s">
        <v>1922</v>
      </c>
      <c r="C390" s="19" t="s">
        <v>20</v>
      </c>
      <c r="D390" s="19" t="s">
        <v>1259</v>
      </c>
      <c r="E390" s="4">
        <v>0.32</v>
      </c>
      <c r="F390" s="42">
        <v>1.8</v>
      </c>
      <c r="G390" s="45">
        <v>455</v>
      </c>
      <c r="H390" s="22">
        <v>2</v>
      </c>
      <c r="I390" s="6">
        <f t="shared" si="6"/>
        <v>524.16</v>
      </c>
      <c r="J390" s="6" t="s">
        <v>150</v>
      </c>
      <c r="K390" s="17"/>
    </row>
    <row r="391" spans="1:11" ht="13.95" customHeight="1" x14ac:dyDescent="0.3">
      <c r="A391" s="3">
        <v>45987</v>
      </c>
      <c r="B391" s="3" t="s">
        <v>1922</v>
      </c>
      <c r="C391" s="19" t="s">
        <v>5</v>
      </c>
      <c r="D391" s="19" t="s">
        <v>1259</v>
      </c>
      <c r="E391" s="4">
        <v>0.35</v>
      </c>
      <c r="F391" s="42">
        <v>1.85</v>
      </c>
      <c r="G391" s="45">
        <v>510</v>
      </c>
      <c r="H391" s="22">
        <v>2</v>
      </c>
      <c r="I391" s="6">
        <f t="shared" si="6"/>
        <v>660.45</v>
      </c>
      <c r="J391" s="6" t="s">
        <v>150</v>
      </c>
      <c r="K391" s="17"/>
    </row>
    <row r="392" spans="1:11" ht="13.95" customHeight="1" x14ac:dyDescent="0.3">
      <c r="A392" s="3">
        <v>45988</v>
      </c>
      <c r="B392" s="3" t="s">
        <v>1922</v>
      </c>
      <c r="C392" s="19" t="s">
        <v>8</v>
      </c>
      <c r="D392" s="19" t="s">
        <v>1263</v>
      </c>
      <c r="E392" s="4">
        <v>0.6</v>
      </c>
      <c r="F392" s="42">
        <v>2.15</v>
      </c>
      <c r="G392" s="45">
        <v>1020</v>
      </c>
      <c r="H392" s="22">
        <v>2</v>
      </c>
      <c r="I392" s="6">
        <f t="shared" si="6"/>
        <v>2631.6</v>
      </c>
      <c r="J392" s="6" t="s">
        <v>1410</v>
      </c>
      <c r="K392" s="17"/>
    </row>
    <row r="393" spans="1:11" ht="13.95" customHeight="1" x14ac:dyDescent="0.3">
      <c r="A393" s="3">
        <v>45989</v>
      </c>
      <c r="B393" s="3" t="s">
        <v>1922</v>
      </c>
      <c r="C393" s="19" t="s">
        <v>11</v>
      </c>
      <c r="D393" s="19" t="s">
        <v>14</v>
      </c>
      <c r="E393" s="4">
        <v>0.68</v>
      </c>
      <c r="F393" s="42">
        <v>2.4</v>
      </c>
      <c r="G393" s="45">
        <v>1290</v>
      </c>
      <c r="H393" s="22">
        <v>2</v>
      </c>
      <c r="I393" s="6">
        <f t="shared" si="6"/>
        <v>4210.5600000000004</v>
      </c>
      <c r="J393" s="6" t="s">
        <v>97</v>
      </c>
      <c r="K393" s="17"/>
    </row>
    <row r="394" spans="1:11" ht="13.95" customHeight="1" x14ac:dyDescent="0.3">
      <c r="A394" s="3">
        <v>45990</v>
      </c>
      <c r="B394" s="3" t="s">
        <v>1922</v>
      </c>
      <c r="C394" s="19" t="s">
        <v>13</v>
      </c>
      <c r="D394" s="19" t="s">
        <v>14</v>
      </c>
      <c r="E394" s="4">
        <v>0.82</v>
      </c>
      <c r="F394" s="42">
        <v>2.95</v>
      </c>
      <c r="G394" s="45">
        <v>1915</v>
      </c>
      <c r="H394" s="22">
        <v>2</v>
      </c>
      <c r="I394" s="6">
        <f t="shared" si="6"/>
        <v>9264.77</v>
      </c>
      <c r="J394" s="6" t="s">
        <v>1679</v>
      </c>
      <c r="K394" s="17"/>
    </row>
    <row r="395" spans="1:11" ht="13.95" customHeight="1" x14ac:dyDescent="0.3">
      <c r="A395" s="3">
        <v>45991</v>
      </c>
      <c r="B395" s="3" t="s">
        <v>1922</v>
      </c>
      <c r="C395" s="19" t="s">
        <v>16</v>
      </c>
      <c r="D395" s="19" t="s">
        <v>14</v>
      </c>
      <c r="E395" s="4">
        <v>0.65</v>
      </c>
      <c r="F395" s="42">
        <v>2.2999999999999998</v>
      </c>
      <c r="G395" s="45">
        <v>1185</v>
      </c>
      <c r="H395" s="22">
        <v>2</v>
      </c>
      <c r="I395" s="6">
        <f t="shared" si="6"/>
        <v>3543.1499999999996</v>
      </c>
      <c r="J395" s="6" t="s">
        <v>1717</v>
      </c>
      <c r="K395" s="17"/>
    </row>
    <row r="396" spans="1:11" ht="13.95" customHeight="1" x14ac:dyDescent="0.3">
      <c r="A396" s="3">
        <v>45992</v>
      </c>
      <c r="B396" s="3" t="s">
        <v>1922</v>
      </c>
      <c r="C396" s="19" t="s">
        <v>18</v>
      </c>
      <c r="D396" s="19" t="s">
        <v>1259</v>
      </c>
      <c r="E396" s="4">
        <v>0.35</v>
      </c>
      <c r="F396" s="42">
        <v>1.8</v>
      </c>
      <c r="G396" s="45">
        <v>550</v>
      </c>
      <c r="H396" s="22">
        <v>2.2000000000000002</v>
      </c>
      <c r="I396" s="6">
        <f t="shared" si="6"/>
        <v>762.30000000000007</v>
      </c>
      <c r="J396" s="6" t="s">
        <v>1628</v>
      </c>
      <c r="K396" s="17"/>
    </row>
    <row r="397" spans="1:11" ht="13.95" customHeight="1" x14ac:dyDescent="0.3">
      <c r="A397" s="3">
        <v>45997</v>
      </c>
      <c r="B397" s="3" t="s">
        <v>1922</v>
      </c>
      <c r="C397" s="19" t="s">
        <v>13</v>
      </c>
      <c r="D397" s="19" t="s">
        <v>14</v>
      </c>
      <c r="E397" s="4">
        <v>0.7</v>
      </c>
      <c r="F397" s="42">
        <v>2.65</v>
      </c>
      <c r="G397" s="45">
        <v>1610</v>
      </c>
      <c r="H397" s="22">
        <v>2.2000000000000002</v>
      </c>
      <c r="I397" s="6">
        <f t="shared" si="6"/>
        <v>6570.41</v>
      </c>
      <c r="J397" s="6" t="s">
        <v>1917</v>
      </c>
      <c r="K397" s="17"/>
    </row>
    <row r="398" spans="1:11" ht="13.95" customHeight="1" x14ac:dyDescent="0.3">
      <c r="A398" s="3">
        <v>46004</v>
      </c>
      <c r="B398" s="3" t="s">
        <v>1922</v>
      </c>
      <c r="C398" s="19" t="s">
        <v>13</v>
      </c>
      <c r="D398" s="19" t="s">
        <v>14</v>
      </c>
      <c r="E398" s="4">
        <v>0.75</v>
      </c>
      <c r="F398" s="42">
        <v>2.7</v>
      </c>
      <c r="G398" s="45">
        <v>1760</v>
      </c>
      <c r="H398" s="22">
        <v>2.2000000000000002</v>
      </c>
      <c r="I398" s="6">
        <f t="shared" si="6"/>
        <v>7840.800000000002</v>
      </c>
      <c r="J398" s="6" t="s">
        <v>1918</v>
      </c>
      <c r="K398" s="17"/>
    </row>
    <row r="399" spans="1:11" ht="13.95" customHeight="1" x14ac:dyDescent="0.3">
      <c r="A399" s="3">
        <v>46011</v>
      </c>
      <c r="B399" s="3" t="s">
        <v>1922</v>
      </c>
      <c r="C399" s="19" t="s">
        <v>13</v>
      </c>
      <c r="D399" s="19" t="s">
        <v>658</v>
      </c>
      <c r="E399" s="4">
        <v>0.8</v>
      </c>
      <c r="F399" s="42">
        <v>2.4500000000000002</v>
      </c>
      <c r="G399" s="45">
        <v>1700</v>
      </c>
      <c r="H399" s="22">
        <v>2.2000000000000002</v>
      </c>
      <c r="I399" s="6">
        <f t="shared" si="6"/>
        <v>7330.4000000000015</v>
      </c>
      <c r="J399" s="6" t="s">
        <v>1919</v>
      </c>
      <c r="K399" s="17"/>
    </row>
    <row r="400" spans="1:11" ht="13.95" customHeight="1" x14ac:dyDescent="0.3">
      <c r="A400" s="3">
        <v>46012</v>
      </c>
      <c r="B400" s="3" t="s">
        <v>1922</v>
      </c>
      <c r="C400" s="19" t="s">
        <v>16</v>
      </c>
      <c r="D400" s="19" t="s">
        <v>658</v>
      </c>
      <c r="E400" s="4">
        <v>0.7</v>
      </c>
      <c r="F400" s="42">
        <v>2.2999999999999998</v>
      </c>
      <c r="G400" s="45">
        <v>1400</v>
      </c>
      <c r="H400" s="22">
        <v>2.2000000000000002</v>
      </c>
      <c r="I400" s="6">
        <f t="shared" si="6"/>
        <v>4958.7999999999993</v>
      </c>
      <c r="J400" s="6" t="s">
        <v>1275</v>
      </c>
      <c r="K400" s="17"/>
    </row>
    <row r="401" spans="1:11" ht="13.95" customHeight="1" x14ac:dyDescent="0.3">
      <c r="A401" s="3">
        <v>46013</v>
      </c>
      <c r="B401" s="3" t="s">
        <v>1922</v>
      </c>
      <c r="C401" s="19" t="s">
        <v>18</v>
      </c>
      <c r="D401" s="19" t="s">
        <v>658</v>
      </c>
      <c r="E401" s="4">
        <v>0.65</v>
      </c>
      <c r="F401" s="42">
        <v>2.15</v>
      </c>
      <c r="G401" s="45">
        <v>1215</v>
      </c>
      <c r="H401" s="22">
        <v>2.2000000000000002</v>
      </c>
      <c r="I401" s="6">
        <f t="shared" si="6"/>
        <v>3735.5174999999999</v>
      </c>
      <c r="J401" s="6" t="s">
        <v>1868</v>
      </c>
      <c r="K401" s="17"/>
    </row>
    <row r="402" spans="1:11" ht="13.95" customHeight="1" x14ac:dyDescent="0.3">
      <c r="A402" s="3">
        <v>46014</v>
      </c>
      <c r="B402" s="3" t="s">
        <v>1922</v>
      </c>
      <c r="C402" s="19" t="s">
        <v>20</v>
      </c>
      <c r="D402" s="19" t="s">
        <v>658</v>
      </c>
      <c r="E402" s="4">
        <v>0.7</v>
      </c>
      <c r="F402" s="42">
        <v>2.25</v>
      </c>
      <c r="G402" s="45">
        <v>1370</v>
      </c>
      <c r="H402" s="22">
        <v>2.2000000000000002</v>
      </c>
      <c r="I402" s="6">
        <f t="shared" si="6"/>
        <v>4747.0499999999993</v>
      </c>
      <c r="J402" s="6" t="s">
        <v>514</v>
      </c>
      <c r="K402" s="17"/>
    </row>
    <row r="403" spans="1:11" ht="13.95" customHeight="1" x14ac:dyDescent="0.3">
      <c r="A403" s="3">
        <v>46015</v>
      </c>
      <c r="B403" s="3" t="s">
        <v>1922</v>
      </c>
      <c r="C403" s="19" t="s">
        <v>5</v>
      </c>
      <c r="D403" s="19" t="s">
        <v>662</v>
      </c>
      <c r="E403" s="4">
        <v>0.85</v>
      </c>
      <c r="F403" s="42">
        <v>3</v>
      </c>
      <c r="G403" s="45">
        <v>2215</v>
      </c>
      <c r="H403" s="22">
        <v>2.2000000000000002</v>
      </c>
      <c r="I403" s="6">
        <f t="shared" si="6"/>
        <v>12426.150000000001</v>
      </c>
      <c r="J403" s="6" t="s">
        <v>1243</v>
      </c>
      <c r="K403" s="17"/>
    </row>
    <row r="404" spans="1:11" ht="13.95" customHeight="1" x14ac:dyDescent="0.3">
      <c r="A404" s="3">
        <v>46016</v>
      </c>
      <c r="B404" s="3" t="s">
        <v>1922</v>
      </c>
      <c r="C404" s="19" t="s">
        <v>8</v>
      </c>
      <c r="D404" s="19" t="s">
        <v>299</v>
      </c>
      <c r="E404" s="4">
        <v>0.8</v>
      </c>
      <c r="F404" s="42">
        <v>2.65</v>
      </c>
      <c r="G404" s="45">
        <v>1845</v>
      </c>
      <c r="H404" s="22">
        <v>2.2000000000000002</v>
      </c>
      <c r="I404" s="6">
        <f t="shared" si="6"/>
        <v>8605.0800000000017</v>
      </c>
      <c r="J404" s="6" t="s">
        <v>1920</v>
      </c>
      <c r="K404" s="17"/>
    </row>
    <row r="405" spans="1:11" ht="13.95" customHeight="1" x14ac:dyDescent="0.3">
      <c r="A405" s="3">
        <v>46017</v>
      </c>
      <c r="B405" s="3" t="s">
        <v>1922</v>
      </c>
      <c r="C405" s="19" t="s">
        <v>11</v>
      </c>
      <c r="D405" s="19" t="s">
        <v>1564</v>
      </c>
      <c r="E405" s="4">
        <v>0.85</v>
      </c>
      <c r="F405" s="42">
        <v>2.5</v>
      </c>
      <c r="G405" s="45">
        <v>1845</v>
      </c>
      <c r="H405" s="22">
        <v>2.2000000000000002</v>
      </c>
      <c r="I405" s="6">
        <f t="shared" si="6"/>
        <v>8625.375</v>
      </c>
      <c r="J405" s="6" t="s">
        <v>1463</v>
      </c>
      <c r="K405" s="17"/>
    </row>
    <row r="406" spans="1:11" ht="13.95" customHeight="1" x14ac:dyDescent="0.3">
      <c r="A406" s="3">
        <v>46018</v>
      </c>
      <c r="B406" s="3" t="s">
        <v>1922</v>
      </c>
      <c r="C406" s="19" t="s">
        <v>13</v>
      </c>
      <c r="D406" s="19" t="s">
        <v>1564</v>
      </c>
      <c r="E406" s="4">
        <v>0.95</v>
      </c>
      <c r="F406" s="42">
        <v>2.95</v>
      </c>
      <c r="G406" s="45">
        <v>2440</v>
      </c>
      <c r="H406" s="22">
        <v>2.2000000000000002</v>
      </c>
      <c r="I406" s="6">
        <f t="shared" si="6"/>
        <v>15043.820000000002</v>
      </c>
      <c r="J406" s="6" t="s">
        <v>1346</v>
      </c>
      <c r="K406" s="17"/>
    </row>
    <row r="407" spans="1:11" ht="13.95" customHeight="1" x14ac:dyDescent="0.3">
      <c r="A407" s="3">
        <v>46019</v>
      </c>
      <c r="B407" s="3" t="s">
        <v>1922</v>
      </c>
      <c r="C407" s="19" t="s">
        <v>16</v>
      </c>
      <c r="D407" s="19" t="s">
        <v>1564</v>
      </c>
      <c r="E407" s="4">
        <v>0.9</v>
      </c>
      <c r="F407" s="42">
        <v>2.65</v>
      </c>
      <c r="G407" s="45">
        <v>2070</v>
      </c>
      <c r="H407" s="22">
        <v>2.2000000000000002</v>
      </c>
      <c r="I407" s="6">
        <f t="shared" si="6"/>
        <v>10861.29</v>
      </c>
      <c r="J407" s="6" t="s">
        <v>1275</v>
      </c>
      <c r="K407" s="17"/>
    </row>
    <row r="408" spans="1:11" ht="13.95" customHeight="1" x14ac:dyDescent="0.3">
      <c r="A408" s="3">
        <v>46020</v>
      </c>
      <c r="B408" s="3" t="s">
        <v>1922</v>
      </c>
      <c r="C408" s="19" t="s">
        <v>18</v>
      </c>
      <c r="D408" s="19" t="s">
        <v>1565</v>
      </c>
      <c r="E408" s="4">
        <v>0.95</v>
      </c>
      <c r="F408" s="42">
        <v>2.5499999999999998</v>
      </c>
      <c r="G408" s="45">
        <v>2110</v>
      </c>
      <c r="H408" s="22">
        <v>2.2000000000000002</v>
      </c>
      <c r="I408" s="6">
        <f t="shared" si="6"/>
        <v>11245.244999999999</v>
      </c>
      <c r="J408" s="6" t="s">
        <v>531</v>
      </c>
      <c r="K408" s="17"/>
    </row>
    <row r="409" spans="1:11" ht="13.95" customHeight="1" x14ac:dyDescent="0.3">
      <c r="A409" s="3">
        <v>46021</v>
      </c>
      <c r="B409" s="3" t="s">
        <v>1922</v>
      </c>
      <c r="C409" s="19" t="s">
        <v>20</v>
      </c>
      <c r="D409" s="19" t="s">
        <v>1565</v>
      </c>
      <c r="E409" s="4">
        <v>1</v>
      </c>
      <c r="F409" s="42">
        <v>2.85</v>
      </c>
      <c r="G409" s="45">
        <v>2475</v>
      </c>
      <c r="H409" s="22">
        <v>2.2000000000000002</v>
      </c>
      <c r="I409" s="6">
        <f t="shared" si="6"/>
        <v>15518.250000000002</v>
      </c>
      <c r="J409" s="6" t="s">
        <v>1763</v>
      </c>
      <c r="K409" s="17"/>
    </row>
    <row r="410" spans="1:11" ht="13.95" customHeight="1" x14ac:dyDescent="0.3">
      <c r="A410" s="3">
        <v>46022</v>
      </c>
      <c r="B410" s="3" t="s">
        <v>1922</v>
      </c>
      <c r="C410" s="19" t="s">
        <v>5</v>
      </c>
      <c r="D410" s="19" t="s">
        <v>1567</v>
      </c>
      <c r="E410" s="4">
        <v>1</v>
      </c>
      <c r="F410" s="42">
        <v>3.65</v>
      </c>
      <c r="G410" s="45">
        <v>3170</v>
      </c>
      <c r="H410" s="22">
        <v>2.2000000000000002</v>
      </c>
      <c r="I410" s="6">
        <f t="shared" si="6"/>
        <v>25455.100000000002</v>
      </c>
      <c r="J410" s="6" t="s">
        <v>1921</v>
      </c>
      <c r="K410" s="1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D048-B5FD-4852-A651-239FD27E1E99}">
  <sheetPr>
    <tabColor rgb="FFFFFF00"/>
  </sheetPr>
  <dimension ref="A1:L321"/>
  <sheetViews>
    <sheetView topLeftCell="A295" workbookViewId="0">
      <selection activeCell="G323" sqref="G323"/>
    </sheetView>
  </sheetViews>
  <sheetFormatPr baseColWidth="10" defaultRowHeight="14.4" x14ac:dyDescent="0.3"/>
  <cols>
    <col min="1" max="1" width="13.109375" bestFit="1" customWidth="1"/>
    <col min="2" max="2" width="30.109375" bestFit="1" customWidth="1"/>
    <col min="4" max="4" width="14" bestFit="1" customWidth="1"/>
    <col min="10" max="10" width="31.77734375" bestFit="1" customWidth="1"/>
  </cols>
  <sheetData>
    <row r="1" spans="1:12" ht="28.2" thickBot="1" x14ac:dyDescent="0.35">
      <c r="A1" s="1" t="s">
        <v>333</v>
      </c>
      <c r="B1" s="1" t="s">
        <v>670</v>
      </c>
      <c r="C1" s="34" t="s">
        <v>0</v>
      </c>
      <c r="D1" s="34" t="s">
        <v>1</v>
      </c>
      <c r="E1" s="37" t="s">
        <v>2</v>
      </c>
      <c r="F1" s="43" t="s">
        <v>3</v>
      </c>
      <c r="G1" s="47" t="s">
        <v>359</v>
      </c>
      <c r="H1" s="35" t="s">
        <v>360</v>
      </c>
      <c r="I1" s="47" t="s">
        <v>361</v>
      </c>
      <c r="J1" s="25" t="s">
        <v>4</v>
      </c>
      <c r="K1">
        <v>320</v>
      </c>
      <c r="L1">
        <v>2.2000000000000002</v>
      </c>
    </row>
    <row r="2" spans="1:12" ht="13.95" customHeight="1" x14ac:dyDescent="0.3">
      <c r="A2" s="3">
        <v>45658</v>
      </c>
      <c r="B2" s="19" t="s">
        <v>2285</v>
      </c>
      <c r="C2" s="19" t="s">
        <v>5</v>
      </c>
      <c r="D2" s="19" t="s">
        <v>735</v>
      </c>
      <c r="E2" s="4">
        <v>0.95</v>
      </c>
      <c r="F2" s="42">
        <v>3.8</v>
      </c>
      <c r="G2" s="45">
        <v>320</v>
      </c>
      <c r="H2" s="22">
        <v>2.2000000000000002</v>
      </c>
      <c r="I2" s="6">
        <f t="shared" ref="I2:I65" si="0">(G2*E2)*F2*H2</f>
        <v>2541.4400000000005</v>
      </c>
      <c r="J2" s="6" t="s">
        <v>2190</v>
      </c>
      <c r="K2" s="17"/>
    </row>
    <row r="3" spans="1:12" ht="13.95" customHeight="1" x14ac:dyDescent="0.3">
      <c r="A3" s="3">
        <v>45659</v>
      </c>
      <c r="B3" s="19" t="s">
        <v>2285</v>
      </c>
      <c r="C3" s="19" t="s">
        <v>8</v>
      </c>
      <c r="D3" s="19" t="s">
        <v>2176</v>
      </c>
      <c r="E3" s="4">
        <v>0.6</v>
      </c>
      <c r="F3" s="42">
        <v>2.4</v>
      </c>
      <c r="G3" s="45">
        <v>320</v>
      </c>
      <c r="H3" s="22">
        <v>2.2000000000000002</v>
      </c>
      <c r="I3" s="6">
        <f t="shared" si="0"/>
        <v>1013.76</v>
      </c>
      <c r="J3" s="6" t="s">
        <v>1639</v>
      </c>
      <c r="K3" s="17"/>
    </row>
    <row r="4" spans="1:12" ht="13.95" customHeight="1" x14ac:dyDescent="0.3">
      <c r="A4" s="3">
        <v>45660</v>
      </c>
      <c r="B4" s="19" t="s">
        <v>2285</v>
      </c>
      <c r="C4" s="19" t="s">
        <v>11</v>
      </c>
      <c r="D4" s="19" t="s">
        <v>736</v>
      </c>
      <c r="E4" s="4">
        <v>0.5</v>
      </c>
      <c r="F4" s="42">
        <v>2.2000000000000002</v>
      </c>
      <c r="G4" s="45">
        <v>320</v>
      </c>
      <c r="H4" s="22">
        <v>2.2000000000000002</v>
      </c>
      <c r="I4" s="6">
        <f t="shared" si="0"/>
        <v>774.40000000000009</v>
      </c>
      <c r="J4" s="6" t="s">
        <v>70</v>
      </c>
      <c r="K4" s="17"/>
    </row>
    <row r="5" spans="1:12" ht="13.95" customHeight="1" x14ac:dyDescent="0.3">
      <c r="A5" s="3">
        <v>45661</v>
      </c>
      <c r="B5" s="19" t="s">
        <v>2285</v>
      </c>
      <c r="C5" s="19" t="s">
        <v>13</v>
      </c>
      <c r="D5" s="19" t="s">
        <v>14</v>
      </c>
      <c r="E5" s="4">
        <v>0.55000000000000004</v>
      </c>
      <c r="F5" s="42">
        <v>3.1</v>
      </c>
      <c r="G5" s="45">
        <v>320</v>
      </c>
      <c r="H5" s="22">
        <v>2.2000000000000002</v>
      </c>
      <c r="I5" s="6">
        <f t="shared" si="0"/>
        <v>1200.3200000000002</v>
      </c>
      <c r="J5" s="6" t="s">
        <v>2177</v>
      </c>
      <c r="K5" s="17"/>
    </row>
    <row r="6" spans="1:12" ht="13.95" customHeight="1" x14ac:dyDescent="0.3">
      <c r="A6" s="3">
        <v>45662</v>
      </c>
      <c r="B6" s="19" t="s">
        <v>2285</v>
      </c>
      <c r="C6" s="19" t="s">
        <v>16</v>
      </c>
      <c r="D6" s="19" t="s">
        <v>14</v>
      </c>
      <c r="E6" s="4">
        <v>0.5</v>
      </c>
      <c r="F6" s="42">
        <v>2.8</v>
      </c>
      <c r="G6" s="45">
        <v>320</v>
      </c>
      <c r="H6" s="22">
        <v>2.2000000000000002</v>
      </c>
      <c r="I6" s="6">
        <f t="shared" si="0"/>
        <v>985.60000000000014</v>
      </c>
      <c r="J6" s="6" t="s">
        <v>238</v>
      </c>
      <c r="K6" s="17"/>
    </row>
    <row r="7" spans="1:12" ht="13.95" customHeight="1" x14ac:dyDescent="0.3">
      <c r="A7" s="3">
        <v>45663</v>
      </c>
      <c r="B7" s="19" t="s">
        <v>2285</v>
      </c>
      <c r="C7" s="19" t="s">
        <v>18</v>
      </c>
      <c r="D7" s="19" t="s">
        <v>2178</v>
      </c>
      <c r="E7" s="4">
        <v>0.45</v>
      </c>
      <c r="F7" s="42">
        <v>2.1</v>
      </c>
      <c r="G7" s="45">
        <v>320</v>
      </c>
      <c r="H7" s="22">
        <v>2.2000000000000002</v>
      </c>
      <c r="I7" s="6">
        <f t="shared" si="0"/>
        <v>665.28000000000009</v>
      </c>
      <c r="J7" s="6" t="s">
        <v>2179</v>
      </c>
      <c r="K7" s="17"/>
    </row>
    <row r="8" spans="1:12" ht="13.95" customHeight="1" x14ac:dyDescent="0.3">
      <c r="A8" s="3">
        <v>45664</v>
      </c>
      <c r="B8" s="19" t="s">
        <v>2285</v>
      </c>
      <c r="C8" s="19" t="s">
        <v>20</v>
      </c>
      <c r="D8" s="19" t="s">
        <v>2178</v>
      </c>
      <c r="E8" s="4">
        <v>0.45</v>
      </c>
      <c r="F8" s="42">
        <v>2.1</v>
      </c>
      <c r="G8" s="45">
        <v>320</v>
      </c>
      <c r="H8" s="22">
        <v>2.2000000000000002</v>
      </c>
      <c r="I8" s="6">
        <f t="shared" si="0"/>
        <v>665.28000000000009</v>
      </c>
      <c r="J8" s="6" t="s">
        <v>2180</v>
      </c>
      <c r="K8" s="17"/>
    </row>
    <row r="9" spans="1:12" ht="13.95" customHeight="1" x14ac:dyDescent="0.3">
      <c r="A9" s="3">
        <v>45665</v>
      </c>
      <c r="B9" s="19" t="s">
        <v>2285</v>
      </c>
      <c r="C9" s="19" t="s">
        <v>5</v>
      </c>
      <c r="D9" s="19" t="s">
        <v>2178</v>
      </c>
      <c r="E9" s="4">
        <v>0.45</v>
      </c>
      <c r="F9" s="42">
        <v>2.1</v>
      </c>
      <c r="G9" s="45">
        <v>320</v>
      </c>
      <c r="H9" s="22">
        <v>2.2000000000000002</v>
      </c>
      <c r="I9" s="6">
        <f t="shared" si="0"/>
        <v>665.28000000000009</v>
      </c>
      <c r="J9" s="6" t="s">
        <v>717</v>
      </c>
      <c r="K9" s="17"/>
    </row>
    <row r="10" spans="1:12" ht="13.95" customHeight="1" x14ac:dyDescent="0.3">
      <c r="A10" s="3">
        <v>45666</v>
      </c>
      <c r="B10" s="19" t="s">
        <v>2285</v>
      </c>
      <c r="C10" s="19" t="s">
        <v>8</v>
      </c>
      <c r="D10" s="19" t="s">
        <v>1263</v>
      </c>
      <c r="E10" s="4">
        <v>0.65</v>
      </c>
      <c r="F10" s="42">
        <v>2.2999999999999998</v>
      </c>
      <c r="G10" s="45">
        <v>320</v>
      </c>
      <c r="H10" s="22">
        <v>2.2000000000000002</v>
      </c>
      <c r="I10" s="6">
        <f t="shared" si="0"/>
        <v>1052.48</v>
      </c>
      <c r="J10" s="6" t="s">
        <v>2191</v>
      </c>
      <c r="K10" s="17"/>
    </row>
    <row r="11" spans="1:12" ht="13.95" customHeight="1" x14ac:dyDescent="0.3">
      <c r="A11" s="3">
        <v>45667</v>
      </c>
      <c r="B11" s="19" t="s">
        <v>2285</v>
      </c>
      <c r="C11" s="19" t="s">
        <v>11</v>
      </c>
      <c r="D11" s="19" t="s">
        <v>1263</v>
      </c>
      <c r="E11" s="4">
        <v>0.7</v>
      </c>
      <c r="F11" s="42">
        <v>2.35</v>
      </c>
      <c r="G11" s="45">
        <v>320</v>
      </c>
      <c r="H11" s="22">
        <v>2.2000000000000002</v>
      </c>
      <c r="I11" s="6">
        <f t="shared" si="0"/>
        <v>1158.0800000000002</v>
      </c>
      <c r="J11" s="6" t="s">
        <v>2181</v>
      </c>
      <c r="K11" s="17"/>
    </row>
    <row r="12" spans="1:12" ht="13.95" customHeight="1" x14ac:dyDescent="0.3">
      <c r="A12" s="3">
        <v>45668</v>
      </c>
      <c r="B12" s="19" t="s">
        <v>2285</v>
      </c>
      <c r="C12" s="19" t="s">
        <v>13</v>
      </c>
      <c r="D12" s="19" t="s">
        <v>14</v>
      </c>
      <c r="E12" s="4">
        <v>0.65</v>
      </c>
      <c r="F12" s="42">
        <v>3.2</v>
      </c>
      <c r="G12" s="45">
        <v>320</v>
      </c>
      <c r="H12" s="22">
        <v>2.2000000000000002</v>
      </c>
      <c r="I12" s="6">
        <f t="shared" si="0"/>
        <v>1464.3200000000002</v>
      </c>
      <c r="J12" s="6" t="s">
        <v>2182</v>
      </c>
      <c r="K12" s="17"/>
    </row>
    <row r="13" spans="1:12" ht="13.95" customHeight="1" x14ac:dyDescent="0.3">
      <c r="A13" s="3">
        <v>45669</v>
      </c>
      <c r="B13" s="19" t="s">
        <v>2285</v>
      </c>
      <c r="C13" s="19" t="s">
        <v>16</v>
      </c>
      <c r="D13" s="19" t="s">
        <v>14</v>
      </c>
      <c r="E13" s="4">
        <v>0.6</v>
      </c>
      <c r="F13" s="42">
        <v>2.9</v>
      </c>
      <c r="G13" s="45">
        <v>320</v>
      </c>
      <c r="H13" s="22">
        <v>2.2000000000000002</v>
      </c>
      <c r="I13" s="6">
        <f t="shared" si="0"/>
        <v>1224.96</v>
      </c>
      <c r="J13" s="6" t="s">
        <v>69</v>
      </c>
      <c r="K13" s="17"/>
    </row>
    <row r="14" spans="1:12" ht="13.95" customHeight="1" x14ac:dyDescent="0.3">
      <c r="A14" s="3">
        <v>45670</v>
      </c>
      <c r="B14" s="19" t="s">
        <v>2285</v>
      </c>
      <c r="C14" s="19" t="s">
        <v>18</v>
      </c>
      <c r="D14" s="19" t="s">
        <v>736</v>
      </c>
      <c r="E14" s="4">
        <v>0.45</v>
      </c>
      <c r="F14" s="42">
        <v>2.1</v>
      </c>
      <c r="G14" s="45">
        <v>320</v>
      </c>
      <c r="H14" s="22">
        <v>2.2000000000000002</v>
      </c>
      <c r="I14" s="6">
        <f t="shared" si="0"/>
        <v>665.28000000000009</v>
      </c>
      <c r="J14" s="6" t="s">
        <v>2183</v>
      </c>
      <c r="K14" s="17"/>
    </row>
    <row r="15" spans="1:12" ht="13.95" customHeight="1" x14ac:dyDescent="0.3">
      <c r="A15" s="3">
        <v>45671</v>
      </c>
      <c r="B15" s="19" t="s">
        <v>2285</v>
      </c>
      <c r="C15" s="19" t="s">
        <v>20</v>
      </c>
      <c r="D15" s="19" t="s">
        <v>1269</v>
      </c>
      <c r="E15" s="4">
        <v>0.75</v>
      </c>
      <c r="F15" s="42">
        <v>3.2</v>
      </c>
      <c r="G15" s="45">
        <v>320</v>
      </c>
      <c r="H15" s="22">
        <v>2.2000000000000002</v>
      </c>
      <c r="I15" s="6">
        <f t="shared" si="0"/>
        <v>1689.6000000000001</v>
      </c>
      <c r="J15" s="6" t="s">
        <v>2192</v>
      </c>
      <c r="K15" s="17"/>
    </row>
    <row r="16" spans="1:12" ht="13.95" customHeight="1" x14ac:dyDescent="0.3">
      <c r="A16" s="3">
        <v>45672</v>
      </c>
      <c r="B16" s="19" t="s">
        <v>2285</v>
      </c>
      <c r="C16" s="19" t="s">
        <v>5</v>
      </c>
      <c r="D16" s="19" t="s">
        <v>736</v>
      </c>
      <c r="E16" s="4">
        <v>0.5</v>
      </c>
      <c r="F16" s="42">
        <v>2.15</v>
      </c>
      <c r="G16" s="45">
        <v>320</v>
      </c>
      <c r="H16" s="22">
        <v>2.2000000000000002</v>
      </c>
      <c r="I16" s="6">
        <f t="shared" si="0"/>
        <v>756.80000000000007</v>
      </c>
      <c r="J16" s="6" t="s">
        <v>88</v>
      </c>
      <c r="K16" s="17"/>
    </row>
    <row r="17" spans="1:11" ht="13.95" customHeight="1" x14ac:dyDescent="0.3">
      <c r="A17" s="3">
        <v>45673</v>
      </c>
      <c r="B17" s="19" t="s">
        <v>2285</v>
      </c>
      <c r="C17" s="19" t="s">
        <v>8</v>
      </c>
      <c r="D17" s="19" t="s">
        <v>736</v>
      </c>
      <c r="E17" s="4">
        <v>0.5</v>
      </c>
      <c r="F17" s="42">
        <v>2.15</v>
      </c>
      <c r="G17" s="45">
        <v>320</v>
      </c>
      <c r="H17" s="22">
        <v>2.2000000000000002</v>
      </c>
      <c r="I17" s="6">
        <f t="shared" si="0"/>
        <v>756.80000000000007</v>
      </c>
      <c r="J17" s="6" t="s">
        <v>88</v>
      </c>
      <c r="K17" s="17"/>
    </row>
    <row r="18" spans="1:11" ht="13.95" customHeight="1" x14ac:dyDescent="0.3">
      <c r="A18" s="3">
        <v>45674</v>
      </c>
      <c r="B18" s="19" t="s">
        <v>2285</v>
      </c>
      <c r="C18" s="19" t="s">
        <v>11</v>
      </c>
      <c r="D18" s="19" t="s">
        <v>14</v>
      </c>
      <c r="E18" s="4">
        <v>0.55000000000000004</v>
      </c>
      <c r="F18" s="42">
        <v>2.4</v>
      </c>
      <c r="G18" s="45">
        <v>320</v>
      </c>
      <c r="H18" s="22">
        <v>2.2000000000000002</v>
      </c>
      <c r="I18" s="6">
        <f t="shared" si="0"/>
        <v>929.28</v>
      </c>
      <c r="J18" s="6" t="s">
        <v>67</v>
      </c>
      <c r="K18" s="17"/>
    </row>
    <row r="19" spans="1:11" ht="13.95" customHeight="1" x14ac:dyDescent="0.3">
      <c r="A19" s="3">
        <v>45675</v>
      </c>
      <c r="B19" s="19" t="s">
        <v>2285</v>
      </c>
      <c r="C19" s="19" t="s">
        <v>13</v>
      </c>
      <c r="D19" s="19" t="s">
        <v>14</v>
      </c>
      <c r="E19" s="4">
        <v>0.65</v>
      </c>
      <c r="F19" s="42">
        <v>3.15</v>
      </c>
      <c r="G19" s="45">
        <v>320</v>
      </c>
      <c r="H19" s="22">
        <v>2.2000000000000002</v>
      </c>
      <c r="I19" s="6">
        <f t="shared" si="0"/>
        <v>1441.44</v>
      </c>
      <c r="J19" s="6" t="s">
        <v>2184</v>
      </c>
      <c r="K19" s="17"/>
    </row>
    <row r="20" spans="1:11" ht="13.95" customHeight="1" x14ac:dyDescent="0.3">
      <c r="A20" s="3">
        <v>45676</v>
      </c>
      <c r="B20" s="19" t="s">
        <v>2285</v>
      </c>
      <c r="C20" s="19" t="s">
        <v>16</v>
      </c>
      <c r="D20" s="19" t="s">
        <v>14</v>
      </c>
      <c r="E20" s="4">
        <v>0.6</v>
      </c>
      <c r="F20" s="42">
        <v>2.85</v>
      </c>
      <c r="G20" s="45">
        <v>320</v>
      </c>
      <c r="H20" s="22">
        <v>2.2000000000000002</v>
      </c>
      <c r="I20" s="6">
        <f t="shared" si="0"/>
        <v>1203.8400000000001</v>
      </c>
      <c r="J20" s="6" t="s">
        <v>69</v>
      </c>
      <c r="K20" s="17"/>
    </row>
    <row r="21" spans="1:11" ht="13.95" customHeight="1" x14ac:dyDescent="0.3">
      <c r="A21" s="3">
        <v>45677</v>
      </c>
      <c r="B21" s="19" t="s">
        <v>2285</v>
      </c>
      <c r="C21" s="19" t="s">
        <v>18</v>
      </c>
      <c r="D21" s="19" t="s">
        <v>2178</v>
      </c>
      <c r="E21" s="4">
        <v>0.45</v>
      </c>
      <c r="F21" s="42">
        <v>2.1</v>
      </c>
      <c r="G21" s="45">
        <v>320</v>
      </c>
      <c r="H21" s="22">
        <v>2.2000000000000002</v>
      </c>
      <c r="I21" s="6">
        <f t="shared" si="0"/>
        <v>665.28000000000009</v>
      </c>
      <c r="J21" s="6" t="s">
        <v>2185</v>
      </c>
      <c r="K21" s="17"/>
    </row>
    <row r="22" spans="1:11" ht="13.95" customHeight="1" x14ac:dyDescent="0.3">
      <c r="A22" s="3">
        <v>45678</v>
      </c>
      <c r="B22" s="19" t="s">
        <v>2285</v>
      </c>
      <c r="C22" s="19" t="s">
        <v>20</v>
      </c>
      <c r="D22" s="19" t="s">
        <v>2178</v>
      </c>
      <c r="E22" s="4">
        <v>0.45</v>
      </c>
      <c r="F22" s="42">
        <v>2.1</v>
      </c>
      <c r="G22" s="45">
        <v>320</v>
      </c>
      <c r="H22" s="22">
        <v>2.2000000000000002</v>
      </c>
      <c r="I22" s="6">
        <f t="shared" si="0"/>
        <v>665.28000000000009</v>
      </c>
      <c r="J22" s="6" t="s">
        <v>88</v>
      </c>
      <c r="K22" s="17"/>
    </row>
    <row r="23" spans="1:11" ht="13.95" customHeight="1" x14ac:dyDescent="0.3">
      <c r="A23" s="3">
        <v>45679</v>
      </c>
      <c r="B23" s="19" t="s">
        <v>2285</v>
      </c>
      <c r="C23" s="19" t="s">
        <v>5</v>
      </c>
      <c r="D23" s="19" t="s">
        <v>2178</v>
      </c>
      <c r="E23" s="4">
        <v>0.5</v>
      </c>
      <c r="F23" s="42">
        <v>2.1</v>
      </c>
      <c r="G23" s="45">
        <v>320</v>
      </c>
      <c r="H23" s="22">
        <v>2.2000000000000002</v>
      </c>
      <c r="I23" s="6">
        <f t="shared" si="0"/>
        <v>739.2</v>
      </c>
      <c r="J23" s="6" t="s">
        <v>88</v>
      </c>
      <c r="K23" s="17"/>
    </row>
    <row r="24" spans="1:11" ht="13.95" customHeight="1" x14ac:dyDescent="0.3">
      <c r="A24" s="3">
        <v>45680</v>
      </c>
      <c r="B24" s="19" t="s">
        <v>2285</v>
      </c>
      <c r="C24" s="19" t="s">
        <v>8</v>
      </c>
      <c r="D24" s="19" t="s">
        <v>1263</v>
      </c>
      <c r="E24" s="4">
        <v>0.7</v>
      </c>
      <c r="F24" s="42">
        <v>2.2999999999999998</v>
      </c>
      <c r="G24" s="45">
        <v>320</v>
      </c>
      <c r="H24" s="22">
        <v>2.2000000000000002</v>
      </c>
      <c r="I24" s="6">
        <f t="shared" si="0"/>
        <v>1133.44</v>
      </c>
      <c r="J24" s="6" t="s">
        <v>1814</v>
      </c>
      <c r="K24" s="17"/>
    </row>
    <row r="25" spans="1:11" ht="13.95" customHeight="1" x14ac:dyDescent="0.3">
      <c r="A25" s="3">
        <v>45681</v>
      </c>
      <c r="B25" s="19" t="s">
        <v>2285</v>
      </c>
      <c r="C25" s="19" t="s">
        <v>11</v>
      </c>
      <c r="D25" s="19" t="s">
        <v>1263</v>
      </c>
      <c r="E25" s="4">
        <v>0.75</v>
      </c>
      <c r="F25" s="42">
        <v>2.4</v>
      </c>
      <c r="G25" s="45">
        <v>320</v>
      </c>
      <c r="H25" s="22">
        <v>2.2000000000000002</v>
      </c>
      <c r="I25" s="6">
        <f t="shared" si="0"/>
        <v>1267.2</v>
      </c>
      <c r="J25" s="6" t="s">
        <v>2186</v>
      </c>
      <c r="K25" s="17"/>
    </row>
    <row r="26" spans="1:11" ht="13.95" customHeight="1" x14ac:dyDescent="0.3">
      <c r="A26" s="3">
        <v>45682</v>
      </c>
      <c r="B26" s="19" t="s">
        <v>2285</v>
      </c>
      <c r="C26" s="19" t="s">
        <v>13</v>
      </c>
      <c r="D26" s="19" t="s">
        <v>14</v>
      </c>
      <c r="E26" s="4">
        <v>0.7</v>
      </c>
      <c r="F26" s="42">
        <v>3.25</v>
      </c>
      <c r="G26" s="45">
        <v>320</v>
      </c>
      <c r="H26" s="22">
        <v>2.2000000000000002</v>
      </c>
      <c r="I26" s="6">
        <f t="shared" si="0"/>
        <v>1601.6000000000001</v>
      </c>
      <c r="J26" s="6" t="s">
        <v>2187</v>
      </c>
      <c r="K26" s="17"/>
    </row>
    <row r="27" spans="1:11" ht="13.95" customHeight="1" x14ac:dyDescent="0.3">
      <c r="A27" s="3">
        <v>45683</v>
      </c>
      <c r="B27" s="19" t="s">
        <v>2285</v>
      </c>
      <c r="C27" s="19" t="s">
        <v>16</v>
      </c>
      <c r="D27" s="19" t="s">
        <v>14</v>
      </c>
      <c r="E27" s="4">
        <v>0.65</v>
      </c>
      <c r="F27" s="42">
        <v>2.9</v>
      </c>
      <c r="G27" s="45">
        <v>320</v>
      </c>
      <c r="H27" s="22">
        <v>2.2000000000000002</v>
      </c>
      <c r="I27" s="6">
        <f t="shared" si="0"/>
        <v>1327.04</v>
      </c>
      <c r="J27" s="6" t="s">
        <v>159</v>
      </c>
      <c r="K27" s="17"/>
    </row>
    <row r="28" spans="1:11" ht="13.95" customHeight="1" x14ac:dyDescent="0.3">
      <c r="A28" s="3">
        <v>45684</v>
      </c>
      <c r="B28" s="19" t="s">
        <v>2285</v>
      </c>
      <c r="C28" s="19" t="s">
        <v>18</v>
      </c>
      <c r="D28" s="19" t="s">
        <v>736</v>
      </c>
      <c r="E28" s="4">
        <v>0.45</v>
      </c>
      <c r="F28" s="42">
        <v>2.1</v>
      </c>
      <c r="G28" s="45">
        <v>320</v>
      </c>
      <c r="H28" s="22">
        <v>2.2000000000000002</v>
      </c>
      <c r="I28" s="6">
        <f t="shared" si="0"/>
        <v>665.28000000000009</v>
      </c>
      <c r="J28" s="6" t="s">
        <v>2188</v>
      </c>
      <c r="K28" s="17"/>
    </row>
    <row r="29" spans="1:11" ht="13.95" customHeight="1" x14ac:dyDescent="0.3">
      <c r="A29" s="3">
        <v>45685</v>
      </c>
      <c r="B29" s="19" t="s">
        <v>2285</v>
      </c>
      <c r="C29" s="19" t="s">
        <v>20</v>
      </c>
      <c r="D29" s="19" t="s">
        <v>736</v>
      </c>
      <c r="E29" s="4">
        <v>0.45</v>
      </c>
      <c r="F29" s="42">
        <v>2.1</v>
      </c>
      <c r="G29" s="45">
        <v>320</v>
      </c>
      <c r="H29" s="22">
        <v>2.2000000000000002</v>
      </c>
      <c r="I29" s="6">
        <f t="shared" si="0"/>
        <v>665.28000000000009</v>
      </c>
      <c r="J29" s="6" t="s">
        <v>88</v>
      </c>
      <c r="K29" s="17"/>
    </row>
    <row r="30" spans="1:11" ht="13.95" customHeight="1" x14ac:dyDescent="0.3">
      <c r="A30" s="3">
        <v>45686</v>
      </c>
      <c r="B30" s="19" t="s">
        <v>2285</v>
      </c>
      <c r="C30" s="19" t="s">
        <v>5</v>
      </c>
      <c r="D30" s="19" t="s">
        <v>736</v>
      </c>
      <c r="E30" s="4">
        <v>0.45</v>
      </c>
      <c r="F30" s="42">
        <v>2.15</v>
      </c>
      <c r="G30" s="45">
        <v>320</v>
      </c>
      <c r="H30" s="22">
        <v>2.2000000000000002</v>
      </c>
      <c r="I30" s="6">
        <f t="shared" si="0"/>
        <v>681.12</v>
      </c>
      <c r="J30" s="6" t="s">
        <v>88</v>
      </c>
      <c r="K30" s="17"/>
    </row>
    <row r="31" spans="1:11" ht="13.95" customHeight="1" x14ac:dyDescent="0.3">
      <c r="A31" s="3">
        <v>45687</v>
      </c>
      <c r="B31" s="19" t="s">
        <v>2285</v>
      </c>
      <c r="C31" s="19" t="s">
        <v>8</v>
      </c>
      <c r="D31" s="19" t="s">
        <v>706</v>
      </c>
      <c r="E31" s="4">
        <v>0.55000000000000004</v>
      </c>
      <c r="F31" s="42">
        <v>2.2999999999999998</v>
      </c>
      <c r="G31" s="45">
        <v>320</v>
      </c>
      <c r="H31" s="22">
        <v>2.2000000000000002</v>
      </c>
      <c r="I31" s="6">
        <f t="shared" si="0"/>
        <v>890.56</v>
      </c>
      <c r="J31" s="6" t="s">
        <v>72</v>
      </c>
      <c r="K31" s="17"/>
    </row>
    <row r="32" spans="1:11" ht="13.95" customHeight="1" x14ac:dyDescent="0.3">
      <c r="A32" s="3">
        <v>45688</v>
      </c>
      <c r="B32" s="19" t="s">
        <v>2285</v>
      </c>
      <c r="C32" s="19" t="s">
        <v>11</v>
      </c>
      <c r="D32" s="19" t="s">
        <v>706</v>
      </c>
      <c r="E32" s="4">
        <v>0.6</v>
      </c>
      <c r="F32" s="42">
        <v>2.4500000000000002</v>
      </c>
      <c r="G32" s="45">
        <v>320</v>
      </c>
      <c r="H32" s="22">
        <v>2.2000000000000002</v>
      </c>
      <c r="I32" s="6">
        <f t="shared" si="0"/>
        <v>1034.8800000000001</v>
      </c>
      <c r="J32" s="6" t="s">
        <v>2189</v>
      </c>
      <c r="K32" s="17"/>
    </row>
    <row r="33" spans="1:11" ht="13.95" customHeight="1" x14ac:dyDescent="0.3">
      <c r="A33" s="3">
        <v>45689</v>
      </c>
      <c r="B33" s="19" t="s">
        <v>2285</v>
      </c>
      <c r="C33" s="19" t="s">
        <v>13</v>
      </c>
      <c r="D33" s="19" t="s">
        <v>14</v>
      </c>
      <c r="E33" s="4">
        <v>0.65</v>
      </c>
      <c r="F33" s="42">
        <v>3.15</v>
      </c>
      <c r="G33" s="45">
        <v>320</v>
      </c>
      <c r="H33" s="22">
        <v>2.2999999999999998</v>
      </c>
      <c r="I33" s="6">
        <f t="shared" si="0"/>
        <v>1506.9599999999998</v>
      </c>
      <c r="J33" s="6" t="s">
        <v>390</v>
      </c>
      <c r="K33" s="17"/>
    </row>
    <row r="34" spans="1:11" ht="13.95" customHeight="1" x14ac:dyDescent="0.3">
      <c r="A34" s="3">
        <v>45690</v>
      </c>
      <c r="B34" s="19" t="s">
        <v>2285</v>
      </c>
      <c r="C34" s="19" t="s">
        <v>16</v>
      </c>
      <c r="D34" s="19" t="s">
        <v>14</v>
      </c>
      <c r="E34" s="4">
        <v>0.6</v>
      </c>
      <c r="F34" s="42">
        <v>2.85</v>
      </c>
      <c r="G34" s="45">
        <v>320</v>
      </c>
      <c r="H34" s="22">
        <v>2.2999999999999998</v>
      </c>
      <c r="I34" s="6">
        <f t="shared" si="0"/>
        <v>1258.56</v>
      </c>
      <c r="J34" s="6" t="s">
        <v>238</v>
      </c>
      <c r="K34" s="17"/>
    </row>
    <row r="35" spans="1:11" ht="13.95" customHeight="1" x14ac:dyDescent="0.3">
      <c r="A35" s="3">
        <v>45691</v>
      </c>
      <c r="B35" s="19" t="s">
        <v>2285</v>
      </c>
      <c r="C35" s="19" t="s">
        <v>18</v>
      </c>
      <c r="D35" s="19" t="s">
        <v>1259</v>
      </c>
      <c r="E35" s="4">
        <v>0.45</v>
      </c>
      <c r="F35" s="42">
        <v>2.1</v>
      </c>
      <c r="G35" s="45">
        <v>320</v>
      </c>
      <c r="H35" s="22">
        <v>2.2999999999999998</v>
      </c>
      <c r="I35" s="6">
        <f t="shared" si="0"/>
        <v>695.52</v>
      </c>
      <c r="J35" s="6" t="s">
        <v>2193</v>
      </c>
      <c r="K35" s="17"/>
    </row>
    <row r="36" spans="1:11" ht="13.95" customHeight="1" x14ac:dyDescent="0.3">
      <c r="A36" s="3">
        <v>45692</v>
      </c>
      <c r="B36" s="19" t="s">
        <v>2285</v>
      </c>
      <c r="C36" s="19" t="s">
        <v>20</v>
      </c>
      <c r="D36" s="19" t="s">
        <v>1259</v>
      </c>
      <c r="E36" s="4">
        <v>0.45</v>
      </c>
      <c r="F36" s="42">
        <v>2.1</v>
      </c>
      <c r="G36" s="45">
        <v>320</v>
      </c>
      <c r="H36" s="22">
        <v>2.2999999999999998</v>
      </c>
      <c r="I36" s="6">
        <f t="shared" si="0"/>
        <v>695.52</v>
      </c>
      <c r="J36" s="6" t="s">
        <v>2194</v>
      </c>
      <c r="K36" s="17"/>
    </row>
    <row r="37" spans="1:11" ht="13.95" customHeight="1" x14ac:dyDescent="0.3">
      <c r="A37" s="3">
        <v>45693</v>
      </c>
      <c r="B37" s="19" t="s">
        <v>2285</v>
      </c>
      <c r="C37" s="19" t="s">
        <v>5</v>
      </c>
      <c r="D37" s="19" t="s">
        <v>1259</v>
      </c>
      <c r="E37" s="4">
        <v>0.5</v>
      </c>
      <c r="F37" s="42">
        <v>2.1</v>
      </c>
      <c r="G37" s="45">
        <v>320</v>
      </c>
      <c r="H37" s="22">
        <v>2.2999999999999998</v>
      </c>
      <c r="I37" s="6">
        <f t="shared" si="0"/>
        <v>772.8</v>
      </c>
      <c r="J37" s="6" t="s">
        <v>717</v>
      </c>
      <c r="K37" s="17"/>
    </row>
    <row r="38" spans="1:11" ht="13.95" customHeight="1" x14ac:dyDescent="0.3">
      <c r="A38" s="3">
        <v>45694</v>
      </c>
      <c r="B38" s="19" t="s">
        <v>2285</v>
      </c>
      <c r="C38" s="19" t="s">
        <v>8</v>
      </c>
      <c r="D38" s="19" t="s">
        <v>1263</v>
      </c>
      <c r="E38" s="4">
        <v>0.7</v>
      </c>
      <c r="F38" s="42">
        <v>2.2999999999999998</v>
      </c>
      <c r="G38" s="45">
        <v>320</v>
      </c>
      <c r="H38" s="22">
        <v>2.2999999999999998</v>
      </c>
      <c r="I38" s="6">
        <f t="shared" si="0"/>
        <v>1184.9599999999998</v>
      </c>
      <c r="J38" s="6" t="s">
        <v>2195</v>
      </c>
      <c r="K38" s="17"/>
    </row>
    <row r="39" spans="1:11" ht="13.95" customHeight="1" x14ac:dyDescent="0.3">
      <c r="A39" s="3">
        <v>45695</v>
      </c>
      <c r="B39" s="19" t="s">
        <v>2285</v>
      </c>
      <c r="C39" s="19" t="s">
        <v>11</v>
      </c>
      <c r="D39" s="19" t="s">
        <v>1263</v>
      </c>
      <c r="E39" s="4">
        <v>0.75</v>
      </c>
      <c r="F39" s="42">
        <v>2.4</v>
      </c>
      <c r="G39" s="45">
        <v>320</v>
      </c>
      <c r="H39" s="22">
        <v>2.2999999999999998</v>
      </c>
      <c r="I39" s="6">
        <f t="shared" si="0"/>
        <v>1324.8</v>
      </c>
      <c r="J39" s="6" t="s">
        <v>2196</v>
      </c>
      <c r="K39" s="17"/>
    </row>
    <row r="40" spans="1:11" ht="13.95" customHeight="1" x14ac:dyDescent="0.3">
      <c r="A40" s="3">
        <v>45696</v>
      </c>
      <c r="B40" s="19" t="s">
        <v>2285</v>
      </c>
      <c r="C40" s="19" t="s">
        <v>13</v>
      </c>
      <c r="D40" s="19" t="s">
        <v>14</v>
      </c>
      <c r="E40" s="4">
        <v>0.7</v>
      </c>
      <c r="F40" s="42">
        <v>3.25</v>
      </c>
      <c r="G40" s="45">
        <v>320</v>
      </c>
      <c r="H40" s="22">
        <v>2.2999999999999998</v>
      </c>
      <c r="I40" s="6">
        <f t="shared" si="0"/>
        <v>1674.3999999999999</v>
      </c>
      <c r="J40" s="6" t="s">
        <v>1399</v>
      </c>
      <c r="K40" s="17"/>
    </row>
    <row r="41" spans="1:11" ht="13.95" customHeight="1" x14ac:dyDescent="0.3">
      <c r="A41" s="3">
        <v>45697</v>
      </c>
      <c r="B41" s="19" t="s">
        <v>2285</v>
      </c>
      <c r="C41" s="19" t="s">
        <v>16</v>
      </c>
      <c r="D41" s="19" t="s">
        <v>14</v>
      </c>
      <c r="E41" s="4">
        <v>0.65</v>
      </c>
      <c r="F41" s="42">
        <v>2.9</v>
      </c>
      <c r="G41" s="45">
        <v>320</v>
      </c>
      <c r="H41" s="22">
        <v>2.2999999999999998</v>
      </c>
      <c r="I41" s="6">
        <f t="shared" si="0"/>
        <v>1387.3599999999997</v>
      </c>
      <c r="J41" s="6" t="s">
        <v>2197</v>
      </c>
      <c r="K41" s="17"/>
    </row>
    <row r="42" spans="1:11" ht="13.95" customHeight="1" x14ac:dyDescent="0.3">
      <c r="A42" s="3">
        <v>45698</v>
      </c>
      <c r="B42" s="19" t="s">
        <v>2285</v>
      </c>
      <c r="C42" s="19" t="s">
        <v>18</v>
      </c>
      <c r="D42" s="19" t="s">
        <v>1259</v>
      </c>
      <c r="E42" s="4">
        <v>0.5</v>
      </c>
      <c r="F42" s="42">
        <v>2.15</v>
      </c>
      <c r="G42" s="45">
        <v>320</v>
      </c>
      <c r="H42" s="22">
        <v>2.2999999999999998</v>
      </c>
      <c r="I42" s="6">
        <f t="shared" si="0"/>
        <v>791.19999999999993</v>
      </c>
      <c r="J42" s="6" t="s">
        <v>150</v>
      </c>
      <c r="K42" s="17"/>
    </row>
    <row r="43" spans="1:11" ht="13.95" customHeight="1" x14ac:dyDescent="0.3">
      <c r="A43" s="3">
        <v>45699</v>
      </c>
      <c r="B43" s="19" t="s">
        <v>2285</v>
      </c>
      <c r="C43" s="19" t="s">
        <v>20</v>
      </c>
      <c r="D43" s="19" t="s">
        <v>1259</v>
      </c>
      <c r="E43" s="4">
        <v>0.5</v>
      </c>
      <c r="F43" s="42">
        <v>2.15</v>
      </c>
      <c r="G43" s="45">
        <v>320</v>
      </c>
      <c r="H43" s="22">
        <v>2.2999999999999998</v>
      </c>
      <c r="I43" s="6">
        <f t="shared" si="0"/>
        <v>791.19999999999993</v>
      </c>
      <c r="J43" s="6" t="s">
        <v>150</v>
      </c>
      <c r="K43" s="17"/>
    </row>
    <row r="44" spans="1:11" ht="13.95" customHeight="1" x14ac:dyDescent="0.3">
      <c r="A44" s="3">
        <v>45700</v>
      </c>
      <c r="B44" s="19" t="s">
        <v>2285</v>
      </c>
      <c r="C44" s="19" t="s">
        <v>5</v>
      </c>
      <c r="D44" s="19" t="s">
        <v>2021</v>
      </c>
      <c r="E44" s="4">
        <v>0.6</v>
      </c>
      <c r="F44" s="42">
        <v>2.25</v>
      </c>
      <c r="G44" s="45">
        <v>320</v>
      </c>
      <c r="H44" s="22">
        <v>2.2999999999999998</v>
      </c>
      <c r="I44" s="6">
        <f t="shared" si="0"/>
        <v>993.59999999999991</v>
      </c>
      <c r="J44" s="6" t="s">
        <v>1498</v>
      </c>
      <c r="K44" s="17"/>
    </row>
    <row r="45" spans="1:11" ht="13.95" customHeight="1" x14ac:dyDescent="0.3">
      <c r="A45" s="3">
        <v>45701</v>
      </c>
      <c r="B45" s="19" t="s">
        <v>2285</v>
      </c>
      <c r="C45" s="19" t="s">
        <v>8</v>
      </c>
      <c r="D45" s="19" t="s">
        <v>2021</v>
      </c>
      <c r="E45" s="4">
        <v>0.7</v>
      </c>
      <c r="F45" s="42">
        <v>2.4</v>
      </c>
      <c r="G45" s="45">
        <v>320</v>
      </c>
      <c r="H45" s="22">
        <v>2.2999999999999998</v>
      </c>
      <c r="I45" s="6">
        <f t="shared" si="0"/>
        <v>1236.48</v>
      </c>
      <c r="J45" s="6" t="s">
        <v>2198</v>
      </c>
      <c r="K45" s="17"/>
    </row>
    <row r="46" spans="1:11" ht="13.95" customHeight="1" x14ac:dyDescent="0.3">
      <c r="A46" s="3">
        <v>45702</v>
      </c>
      <c r="B46" s="19" t="s">
        <v>2285</v>
      </c>
      <c r="C46" s="19" t="s">
        <v>11</v>
      </c>
      <c r="D46" s="19" t="s">
        <v>1939</v>
      </c>
      <c r="E46" s="4">
        <v>0.85</v>
      </c>
      <c r="F46" s="42">
        <v>3.6</v>
      </c>
      <c r="G46" s="45">
        <v>320</v>
      </c>
      <c r="H46" s="22">
        <v>2.2999999999999998</v>
      </c>
      <c r="I46" s="6">
        <f t="shared" si="0"/>
        <v>2252.16</v>
      </c>
      <c r="J46" s="6" t="s">
        <v>2199</v>
      </c>
      <c r="K46" s="17"/>
    </row>
    <row r="47" spans="1:11" ht="13.95" customHeight="1" x14ac:dyDescent="0.3">
      <c r="A47" s="3">
        <v>45703</v>
      </c>
      <c r="B47" s="19" t="s">
        <v>2285</v>
      </c>
      <c r="C47" s="19" t="s">
        <v>13</v>
      </c>
      <c r="D47" s="19" t="s">
        <v>658</v>
      </c>
      <c r="E47" s="4">
        <v>0.85</v>
      </c>
      <c r="F47" s="42">
        <v>3.3</v>
      </c>
      <c r="G47" s="45">
        <v>320</v>
      </c>
      <c r="H47" s="22">
        <v>2.2999999999999998</v>
      </c>
      <c r="I47" s="6">
        <f t="shared" si="0"/>
        <v>2064.4799999999996</v>
      </c>
      <c r="J47" s="6" t="s">
        <v>1402</v>
      </c>
      <c r="K47" s="17"/>
    </row>
    <row r="48" spans="1:11" ht="13.95" customHeight="1" x14ac:dyDescent="0.3">
      <c r="A48" s="3">
        <v>45704</v>
      </c>
      <c r="B48" s="19" t="s">
        <v>2285</v>
      </c>
      <c r="C48" s="19" t="s">
        <v>16</v>
      </c>
      <c r="D48" s="19" t="s">
        <v>658</v>
      </c>
      <c r="E48" s="4">
        <v>0.8</v>
      </c>
      <c r="F48" s="42">
        <v>3.1</v>
      </c>
      <c r="G48" s="45">
        <v>320</v>
      </c>
      <c r="H48" s="22">
        <v>2.2999999999999998</v>
      </c>
      <c r="I48" s="6">
        <f t="shared" si="0"/>
        <v>1825.28</v>
      </c>
      <c r="J48" s="6" t="s">
        <v>1911</v>
      </c>
      <c r="K48" s="17"/>
    </row>
    <row r="49" spans="1:11" ht="13.95" customHeight="1" x14ac:dyDescent="0.3">
      <c r="A49" s="3">
        <v>45705</v>
      </c>
      <c r="B49" s="19" t="s">
        <v>2285</v>
      </c>
      <c r="C49" s="19" t="s">
        <v>18</v>
      </c>
      <c r="D49" s="19" t="s">
        <v>658</v>
      </c>
      <c r="E49" s="4">
        <v>0.75</v>
      </c>
      <c r="F49" s="42">
        <v>2.8</v>
      </c>
      <c r="G49" s="45">
        <v>320</v>
      </c>
      <c r="H49" s="22">
        <v>2.2999999999999998</v>
      </c>
      <c r="I49" s="6">
        <f t="shared" si="0"/>
        <v>1545.6</v>
      </c>
      <c r="J49" s="6" t="s">
        <v>2200</v>
      </c>
      <c r="K49" s="17"/>
    </row>
    <row r="50" spans="1:11" ht="13.95" customHeight="1" x14ac:dyDescent="0.3">
      <c r="A50" s="3">
        <v>45706</v>
      </c>
      <c r="B50" s="19" t="s">
        <v>2285</v>
      </c>
      <c r="C50" s="19" t="s">
        <v>20</v>
      </c>
      <c r="D50" s="19" t="s">
        <v>658</v>
      </c>
      <c r="E50" s="4">
        <v>0.75</v>
      </c>
      <c r="F50" s="42">
        <v>2.8</v>
      </c>
      <c r="G50" s="45">
        <v>320</v>
      </c>
      <c r="H50" s="22">
        <v>2.2999999999999998</v>
      </c>
      <c r="I50" s="6">
        <f t="shared" si="0"/>
        <v>1545.6</v>
      </c>
      <c r="J50" s="6" t="s">
        <v>2200</v>
      </c>
      <c r="K50" s="17"/>
    </row>
    <row r="51" spans="1:11" ht="13.95" customHeight="1" x14ac:dyDescent="0.3">
      <c r="A51" s="3">
        <v>45707</v>
      </c>
      <c r="B51" s="19" t="s">
        <v>2285</v>
      </c>
      <c r="C51" s="19" t="s">
        <v>5</v>
      </c>
      <c r="D51" s="19" t="s">
        <v>658</v>
      </c>
      <c r="E51" s="4">
        <v>0.75</v>
      </c>
      <c r="F51" s="42">
        <v>2.85</v>
      </c>
      <c r="G51" s="45">
        <v>320</v>
      </c>
      <c r="H51" s="22">
        <v>2.2999999999999998</v>
      </c>
      <c r="I51" s="6">
        <f t="shared" si="0"/>
        <v>1573.1999999999998</v>
      </c>
      <c r="J51" s="6" t="s">
        <v>1735</v>
      </c>
      <c r="K51" s="17"/>
    </row>
    <row r="52" spans="1:11" ht="13.95" customHeight="1" x14ac:dyDescent="0.3">
      <c r="A52" s="3">
        <v>45708</v>
      </c>
      <c r="B52" s="19" t="s">
        <v>2285</v>
      </c>
      <c r="C52" s="19" t="s">
        <v>8</v>
      </c>
      <c r="D52" s="19" t="s">
        <v>658</v>
      </c>
      <c r="E52" s="4">
        <v>0.8</v>
      </c>
      <c r="F52" s="42">
        <v>2.9</v>
      </c>
      <c r="G52" s="45">
        <v>320</v>
      </c>
      <c r="H52" s="22">
        <v>2.2999999999999998</v>
      </c>
      <c r="I52" s="6">
        <f t="shared" si="0"/>
        <v>1707.5199999999998</v>
      </c>
      <c r="J52" s="6" t="s">
        <v>2201</v>
      </c>
      <c r="K52" s="17"/>
    </row>
    <row r="53" spans="1:11" ht="13.95" customHeight="1" x14ac:dyDescent="0.3">
      <c r="A53" s="3">
        <v>45709</v>
      </c>
      <c r="B53" s="19" t="s">
        <v>2285</v>
      </c>
      <c r="C53" s="19" t="s">
        <v>11</v>
      </c>
      <c r="D53" s="19" t="s">
        <v>658</v>
      </c>
      <c r="E53" s="4">
        <v>0.85</v>
      </c>
      <c r="F53" s="42">
        <v>3.15</v>
      </c>
      <c r="G53" s="45">
        <v>320</v>
      </c>
      <c r="H53" s="22">
        <v>2.2999999999999998</v>
      </c>
      <c r="I53" s="6">
        <f t="shared" si="0"/>
        <v>1970.6399999999996</v>
      </c>
      <c r="J53" s="6" t="s">
        <v>2202</v>
      </c>
      <c r="K53" s="17"/>
    </row>
    <row r="54" spans="1:11" ht="13.95" customHeight="1" x14ac:dyDescent="0.3">
      <c r="A54" s="3">
        <v>45710</v>
      </c>
      <c r="B54" s="19" t="s">
        <v>2285</v>
      </c>
      <c r="C54" s="19" t="s">
        <v>13</v>
      </c>
      <c r="D54" s="19" t="s">
        <v>658</v>
      </c>
      <c r="E54" s="4">
        <v>0.9</v>
      </c>
      <c r="F54" s="42">
        <v>3.5</v>
      </c>
      <c r="G54" s="45">
        <v>320</v>
      </c>
      <c r="H54" s="22">
        <v>2.2999999999999998</v>
      </c>
      <c r="I54" s="6">
        <f t="shared" si="0"/>
        <v>2318.3999999999996</v>
      </c>
      <c r="J54" s="6" t="s">
        <v>2203</v>
      </c>
      <c r="K54" s="17"/>
    </row>
    <row r="55" spans="1:11" ht="13.95" customHeight="1" x14ac:dyDescent="0.3">
      <c r="A55" s="3">
        <v>45711</v>
      </c>
      <c r="B55" s="19" t="s">
        <v>2285</v>
      </c>
      <c r="C55" s="19" t="s">
        <v>16</v>
      </c>
      <c r="D55" s="19" t="s">
        <v>658</v>
      </c>
      <c r="E55" s="4">
        <v>0.85</v>
      </c>
      <c r="F55" s="42">
        <v>3.1</v>
      </c>
      <c r="G55" s="45">
        <v>320</v>
      </c>
      <c r="H55" s="22">
        <v>2.2999999999999998</v>
      </c>
      <c r="I55" s="6">
        <f t="shared" si="0"/>
        <v>1939.36</v>
      </c>
      <c r="J55" s="6" t="s">
        <v>63</v>
      </c>
      <c r="K55" s="17"/>
    </row>
    <row r="56" spans="1:11" ht="13.95" customHeight="1" x14ac:dyDescent="0.3">
      <c r="A56" s="3">
        <v>45712</v>
      </c>
      <c r="B56" s="19" t="s">
        <v>2285</v>
      </c>
      <c r="C56" s="19" t="s">
        <v>18</v>
      </c>
      <c r="D56" s="19" t="s">
        <v>2139</v>
      </c>
      <c r="E56" s="4">
        <v>0.55000000000000004</v>
      </c>
      <c r="F56" s="42">
        <v>2.2000000000000002</v>
      </c>
      <c r="G56" s="45">
        <v>320</v>
      </c>
      <c r="H56" s="22">
        <v>2.2999999999999998</v>
      </c>
      <c r="I56" s="6">
        <f t="shared" si="0"/>
        <v>890.56000000000006</v>
      </c>
      <c r="J56" s="6" t="s">
        <v>2204</v>
      </c>
      <c r="K56" s="17"/>
    </row>
    <row r="57" spans="1:11" ht="13.95" customHeight="1" x14ac:dyDescent="0.3">
      <c r="A57" s="3">
        <v>45713</v>
      </c>
      <c r="B57" s="19" t="s">
        <v>2285</v>
      </c>
      <c r="C57" s="19" t="s">
        <v>20</v>
      </c>
      <c r="D57" s="19" t="s">
        <v>1259</v>
      </c>
      <c r="E57" s="4">
        <v>0.5</v>
      </c>
      <c r="F57" s="42">
        <v>2.1</v>
      </c>
      <c r="G57" s="45">
        <v>320</v>
      </c>
      <c r="H57" s="22">
        <v>2.2999999999999998</v>
      </c>
      <c r="I57" s="6">
        <f t="shared" si="0"/>
        <v>772.8</v>
      </c>
      <c r="J57" s="6" t="s">
        <v>150</v>
      </c>
      <c r="K57" s="17"/>
    </row>
    <row r="58" spans="1:11" ht="13.95" customHeight="1" x14ac:dyDescent="0.3">
      <c r="A58" s="3">
        <v>45714</v>
      </c>
      <c r="B58" s="19" t="s">
        <v>2285</v>
      </c>
      <c r="C58" s="19" t="s">
        <v>5</v>
      </c>
      <c r="D58" s="19" t="s">
        <v>1259</v>
      </c>
      <c r="E58" s="4">
        <v>0.5</v>
      </c>
      <c r="F58" s="42">
        <v>2.1</v>
      </c>
      <c r="G58" s="45">
        <v>320</v>
      </c>
      <c r="H58" s="22">
        <v>2.2999999999999998</v>
      </c>
      <c r="I58" s="6">
        <f t="shared" si="0"/>
        <v>772.8</v>
      </c>
      <c r="J58" s="6" t="s">
        <v>88</v>
      </c>
      <c r="K58" s="17"/>
    </row>
    <row r="59" spans="1:11" ht="13.95" customHeight="1" x14ac:dyDescent="0.3">
      <c r="A59" s="3">
        <v>45715</v>
      </c>
      <c r="B59" s="19" t="s">
        <v>2285</v>
      </c>
      <c r="C59" s="19" t="s">
        <v>8</v>
      </c>
      <c r="D59" s="19" t="s">
        <v>1259</v>
      </c>
      <c r="E59" s="4">
        <v>0.55000000000000004</v>
      </c>
      <c r="F59" s="42">
        <v>2.2000000000000002</v>
      </c>
      <c r="G59" s="45">
        <v>320</v>
      </c>
      <c r="H59" s="22">
        <v>2.2999999999999998</v>
      </c>
      <c r="I59" s="6">
        <f t="shared" si="0"/>
        <v>890.56000000000006</v>
      </c>
      <c r="J59" s="6" t="s">
        <v>717</v>
      </c>
      <c r="K59" s="17"/>
    </row>
    <row r="60" spans="1:11" ht="13.95" customHeight="1" x14ac:dyDescent="0.3">
      <c r="A60" s="3">
        <v>45716</v>
      </c>
      <c r="B60" s="19" t="s">
        <v>2285</v>
      </c>
      <c r="C60" s="19" t="s">
        <v>11</v>
      </c>
      <c r="D60" s="19" t="s">
        <v>1417</v>
      </c>
      <c r="E60" s="4">
        <v>0.65</v>
      </c>
      <c r="F60" s="42">
        <v>2.5</v>
      </c>
      <c r="G60" s="45">
        <v>320</v>
      </c>
      <c r="H60" s="22">
        <v>2.2999999999999998</v>
      </c>
      <c r="I60" s="6">
        <f t="shared" si="0"/>
        <v>1196</v>
      </c>
      <c r="J60" s="6" t="s">
        <v>2205</v>
      </c>
      <c r="K60" s="17"/>
    </row>
    <row r="61" spans="1:11" ht="13.95" customHeight="1" x14ac:dyDescent="0.3">
      <c r="A61" s="3">
        <v>45717</v>
      </c>
      <c r="B61" s="19" t="s">
        <v>2285</v>
      </c>
      <c r="C61" s="19" t="s">
        <v>13</v>
      </c>
      <c r="D61" s="19" t="s">
        <v>708</v>
      </c>
      <c r="E61" s="4">
        <v>0.6</v>
      </c>
      <c r="F61" s="42">
        <v>3.4</v>
      </c>
      <c r="G61" s="45">
        <v>320</v>
      </c>
      <c r="H61" s="22">
        <v>2.2999999999999998</v>
      </c>
      <c r="I61" s="6">
        <f t="shared" si="0"/>
        <v>1501.4399999999998</v>
      </c>
      <c r="J61" s="6" t="s">
        <v>2206</v>
      </c>
      <c r="K61" s="17"/>
    </row>
    <row r="62" spans="1:11" ht="13.95" customHeight="1" x14ac:dyDescent="0.3">
      <c r="A62" s="3">
        <v>45718</v>
      </c>
      <c r="B62" s="19" t="s">
        <v>2285</v>
      </c>
      <c r="C62" s="19" t="s">
        <v>16</v>
      </c>
      <c r="D62" s="19" t="s">
        <v>76</v>
      </c>
      <c r="E62" s="4">
        <v>0.55000000000000004</v>
      </c>
      <c r="F62" s="42">
        <v>3.1</v>
      </c>
      <c r="G62" s="45">
        <v>320</v>
      </c>
      <c r="H62" s="22">
        <v>2.2999999999999998</v>
      </c>
      <c r="I62" s="6">
        <f t="shared" si="0"/>
        <v>1254.8799999999999</v>
      </c>
      <c r="J62" s="6" t="s">
        <v>2207</v>
      </c>
      <c r="K62" s="17"/>
    </row>
    <row r="63" spans="1:11" ht="13.95" customHeight="1" x14ac:dyDescent="0.3">
      <c r="A63" s="3">
        <v>45719</v>
      </c>
      <c r="B63" s="19" t="s">
        <v>2285</v>
      </c>
      <c r="C63" s="19" t="s">
        <v>18</v>
      </c>
      <c r="D63" s="19" t="s">
        <v>76</v>
      </c>
      <c r="E63" s="4">
        <v>0.4</v>
      </c>
      <c r="F63" s="42">
        <v>2.25</v>
      </c>
      <c r="G63" s="45">
        <v>320</v>
      </c>
      <c r="H63" s="22">
        <v>2.2999999999999998</v>
      </c>
      <c r="I63" s="6">
        <f t="shared" si="0"/>
        <v>662.4</v>
      </c>
      <c r="J63" s="6" t="s">
        <v>2208</v>
      </c>
      <c r="K63" s="17"/>
    </row>
    <row r="64" spans="1:11" ht="13.95" customHeight="1" x14ac:dyDescent="0.3">
      <c r="A64" s="3">
        <v>45720</v>
      </c>
      <c r="B64" s="19" t="s">
        <v>2285</v>
      </c>
      <c r="C64" s="19" t="s">
        <v>20</v>
      </c>
      <c r="D64" s="19" t="s">
        <v>76</v>
      </c>
      <c r="E64" s="4">
        <v>0.4</v>
      </c>
      <c r="F64" s="42">
        <v>2.25</v>
      </c>
      <c r="G64" s="45">
        <v>320</v>
      </c>
      <c r="H64" s="22">
        <v>2.2999999999999998</v>
      </c>
      <c r="I64" s="6">
        <f t="shared" si="0"/>
        <v>662.4</v>
      </c>
      <c r="J64" s="6" t="s">
        <v>2194</v>
      </c>
      <c r="K64" s="17"/>
    </row>
    <row r="65" spans="1:11" ht="13.95" customHeight="1" x14ac:dyDescent="0.3">
      <c r="A65" s="3">
        <v>45721</v>
      </c>
      <c r="B65" s="19" t="s">
        <v>2285</v>
      </c>
      <c r="C65" s="19" t="s">
        <v>5</v>
      </c>
      <c r="D65" s="19" t="s">
        <v>76</v>
      </c>
      <c r="E65" s="4">
        <v>0.4</v>
      </c>
      <c r="F65" s="42">
        <v>2.25</v>
      </c>
      <c r="G65" s="45">
        <v>320</v>
      </c>
      <c r="H65" s="22">
        <v>2.2999999999999998</v>
      </c>
      <c r="I65" s="6">
        <f t="shared" si="0"/>
        <v>662.4</v>
      </c>
      <c r="J65" s="6" t="s">
        <v>2194</v>
      </c>
      <c r="K65" s="17"/>
    </row>
    <row r="66" spans="1:11" ht="13.95" customHeight="1" x14ac:dyDescent="0.3">
      <c r="A66" s="3">
        <v>45722</v>
      </c>
      <c r="B66" s="19" t="s">
        <v>2285</v>
      </c>
      <c r="C66" s="19" t="s">
        <v>8</v>
      </c>
      <c r="D66" s="19" t="s">
        <v>76</v>
      </c>
      <c r="E66" s="4">
        <v>0.45</v>
      </c>
      <c r="F66" s="42">
        <v>2.2999999999999998</v>
      </c>
      <c r="G66" s="45">
        <v>320</v>
      </c>
      <c r="H66" s="22">
        <v>2.2999999999999998</v>
      </c>
      <c r="I66" s="6">
        <f t="shared" ref="I66:I129" si="1">(G66*E66)*F66*H66</f>
        <v>761.75999999999988</v>
      </c>
      <c r="J66" s="6" t="s">
        <v>717</v>
      </c>
      <c r="K66" s="17"/>
    </row>
    <row r="67" spans="1:11" ht="13.95" customHeight="1" x14ac:dyDescent="0.3">
      <c r="A67" s="3">
        <v>45723</v>
      </c>
      <c r="B67" s="19" t="s">
        <v>2285</v>
      </c>
      <c r="C67" s="19" t="s">
        <v>11</v>
      </c>
      <c r="D67" s="19" t="s">
        <v>76</v>
      </c>
      <c r="E67" s="4">
        <v>0.55000000000000004</v>
      </c>
      <c r="F67" s="42">
        <v>2.8</v>
      </c>
      <c r="G67" s="45">
        <v>320</v>
      </c>
      <c r="H67" s="22">
        <v>2.2999999999999998</v>
      </c>
      <c r="I67" s="6">
        <f t="shared" si="1"/>
        <v>1133.4399999999998</v>
      </c>
      <c r="J67" s="6" t="s">
        <v>282</v>
      </c>
      <c r="K67" s="17"/>
    </row>
    <row r="68" spans="1:11" ht="13.95" customHeight="1" x14ac:dyDescent="0.3">
      <c r="A68" s="3">
        <v>45724</v>
      </c>
      <c r="B68" s="19" t="s">
        <v>2285</v>
      </c>
      <c r="C68" s="19" t="s">
        <v>13</v>
      </c>
      <c r="D68" s="19" t="s">
        <v>76</v>
      </c>
      <c r="E68" s="4">
        <v>0.65</v>
      </c>
      <c r="F68" s="42">
        <v>3.5</v>
      </c>
      <c r="G68" s="45">
        <v>320</v>
      </c>
      <c r="H68" s="22">
        <v>2.2999999999999998</v>
      </c>
      <c r="I68" s="6">
        <f t="shared" si="1"/>
        <v>1674.3999999999999</v>
      </c>
      <c r="J68" s="6" t="s">
        <v>2209</v>
      </c>
      <c r="K68" s="17"/>
    </row>
    <row r="69" spans="1:11" ht="13.95" customHeight="1" x14ac:dyDescent="0.3">
      <c r="A69" s="3">
        <v>45725</v>
      </c>
      <c r="B69" s="19" t="s">
        <v>2285</v>
      </c>
      <c r="C69" s="19" t="s">
        <v>16</v>
      </c>
      <c r="D69" s="19" t="s">
        <v>76</v>
      </c>
      <c r="E69" s="4">
        <v>0.6</v>
      </c>
      <c r="F69" s="42">
        <v>3.15</v>
      </c>
      <c r="G69" s="45">
        <v>320</v>
      </c>
      <c r="H69" s="22">
        <v>2.2999999999999998</v>
      </c>
      <c r="I69" s="6">
        <f t="shared" si="1"/>
        <v>1391.0399999999997</v>
      </c>
      <c r="J69" s="6" t="s">
        <v>2210</v>
      </c>
      <c r="K69" s="17"/>
    </row>
    <row r="70" spans="1:11" ht="13.95" customHeight="1" x14ac:dyDescent="0.3">
      <c r="A70" s="3">
        <v>45726</v>
      </c>
      <c r="B70" s="19" t="s">
        <v>2285</v>
      </c>
      <c r="C70" s="19" t="s">
        <v>18</v>
      </c>
      <c r="D70" s="19" t="s">
        <v>76</v>
      </c>
      <c r="E70" s="4">
        <v>0.45</v>
      </c>
      <c r="F70" s="42">
        <v>2.25</v>
      </c>
      <c r="G70" s="45">
        <v>320</v>
      </c>
      <c r="H70" s="22">
        <v>2.2999999999999998</v>
      </c>
      <c r="I70" s="6">
        <f t="shared" si="1"/>
        <v>745.19999999999993</v>
      </c>
      <c r="J70" s="6" t="s">
        <v>88</v>
      </c>
      <c r="K70" s="17"/>
    </row>
    <row r="71" spans="1:11" ht="13.95" customHeight="1" x14ac:dyDescent="0.3">
      <c r="A71" s="3">
        <v>45727</v>
      </c>
      <c r="B71" s="19" t="s">
        <v>2285</v>
      </c>
      <c r="C71" s="19" t="s">
        <v>20</v>
      </c>
      <c r="D71" s="19" t="s">
        <v>76</v>
      </c>
      <c r="E71" s="4">
        <v>0.45</v>
      </c>
      <c r="F71" s="42">
        <v>2.25</v>
      </c>
      <c r="G71" s="45">
        <v>320</v>
      </c>
      <c r="H71" s="22">
        <v>2.2999999999999998</v>
      </c>
      <c r="I71" s="6">
        <f t="shared" si="1"/>
        <v>745.19999999999993</v>
      </c>
      <c r="J71" s="6" t="s">
        <v>88</v>
      </c>
      <c r="K71" s="17"/>
    </row>
    <row r="72" spans="1:11" ht="13.95" customHeight="1" x14ac:dyDescent="0.3">
      <c r="A72" s="3">
        <v>45728</v>
      </c>
      <c r="B72" s="19" t="s">
        <v>2285</v>
      </c>
      <c r="C72" s="19" t="s">
        <v>5</v>
      </c>
      <c r="D72" s="19" t="s">
        <v>76</v>
      </c>
      <c r="E72" s="4">
        <v>0.45</v>
      </c>
      <c r="F72" s="42">
        <v>2.25</v>
      </c>
      <c r="G72" s="45">
        <v>320</v>
      </c>
      <c r="H72" s="22">
        <v>2.2999999999999998</v>
      </c>
      <c r="I72" s="6">
        <f t="shared" si="1"/>
        <v>745.19999999999993</v>
      </c>
      <c r="J72" s="6" t="s">
        <v>88</v>
      </c>
      <c r="K72" s="17"/>
    </row>
    <row r="73" spans="1:11" ht="13.95" customHeight="1" x14ac:dyDescent="0.3">
      <c r="A73" s="3">
        <v>45729</v>
      </c>
      <c r="B73" s="19" t="s">
        <v>2285</v>
      </c>
      <c r="C73" s="19" t="s">
        <v>8</v>
      </c>
      <c r="D73" s="19" t="s">
        <v>76</v>
      </c>
      <c r="E73" s="4">
        <v>0.5</v>
      </c>
      <c r="F73" s="42">
        <v>2.2999999999999998</v>
      </c>
      <c r="G73" s="45">
        <v>320</v>
      </c>
      <c r="H73" s="22">
        <v>2.2999999999999998</v>
      </c>
      <c r="I73" s="6">
        <f t="shared" si="1"/>
        <v>846.4</v>
      </c>
      <c r="J73" s="6" t="s">
        <v>1283</v>
      </c>
      <c r="K73" s="17"/>
    </row>
    <row r="74" spans="1:11" ht="13.95" customHeight="1" x14ac:dyDescent="0.3">
      <c r="A74" s="3">
        <v>45730</v>
      </c>
      <c r="B74" s="19" t="s">
        <v>2285</v>
      </c>
      <c r="C74" s="19" t="s">
        <v>11</v>
      </c>
      <c r="D74" s="19" t="s">
        <v>76</v>
      </c>
      <c r="E74" s="4">
        <v>0.6</v>
      </c>
      <c r="F74" s="42">
        <v>2.9</v>
      </c>
      <c r="G74" s="45">
        <v>320</v>
      </c>
      <c r="H74" s="22">
        <v>2.2999999999999998</v>
      </c>
      <c r="I74" s="6">
        <f t="shared" si="1"/>
        <v>1280.6399999999999</v>
      </c>
      <c r="J74" s="6" t="s">
        <v>91</v>
      </c>
      <c r="K74" s="17"/>
    </row>
    <row r="75" spans="1:11" ht="13.95" customHeight="1" x14ac:dyDescent="0.3">
      <c r="A75" s="3">
        <v>45731</v>
      </c>
      <c r="B75" s="19" t="s">
        <v>2285</v>
      </c>
      <c r="C75" s="19" t="s">
        <v>13</v>
      </c>
      <c r="D75" s="19" t="s">
        <v>76</v>
      </c>
      <c r="E75" s="4">
        <v>0.75</v>
      </c>
      <c r="F75" s="42">
        <v>3.6</v>
      </c>
      <c r="G75" s="45">
        <v>320</v>
      </c>
      <c r="H75" s="22">
        <v>2.2999999999999998</v>
      </c>
      <c r="I75" s="6">
        <f t="shared" si="1"/>
        <v>1987.1999999999998</v>
      </c>
      <c r="J75" s="6" t="s">
        <v>2211</v>
      </c>
      <c r="K75" s="17"/>
    </row>
    <row r="76" spans="1:11" ht="13.95" customHeight="1" x14ac:dyDescent="0.3">
      <c r="A76" s="3">
        <v>45732</v>
      </c>
      <c r="B76" s="19" t="s">
        <v>2285</v>
      </c>
      <c r="C76" s="19" t="s">
        <v>16</v>
      </c>
      <c r="D76" s="19" t="s">
        <v>76</v>
      </c>
      <c r="E76" s="4">
        <v>0.7</v>
      </c>
      <c r="F76" s="42">
        <v>3.2</v>
      </c>
      <c r="G76" s="45">
        <v>320</v>
      </c>
      <c r="H76" s="22">
        <v>2.2999999999999998</v>
      </c>
      <c r="I76" s="6">
        <f t="shared" si="1"/>
        <v>1648.64</v>
      </c>
      <c r="J76" s="6" t="s">
        <v>2207</v>
      </c>
      <c r="K76" s="17"/>
    </row>
    <row r="77" spans="1:11" ht="13.95" customHeight="1" x14ac:dyDescent="0.3">
      <c r="A77" s="3">
        <v>45733</v>
      </c>
      <c r="B77" s="19" t="s">
        <v>2285</v>
      </c>
      <c r="C77" s="19" t="s">
        <v>18</v>
      </c>
      <c r="D77" s="19" t="s">
        <v>76</v>
      </c>
      <c r="E77" s="4">
        <v>0.5</v>
      </c>
      <c r="F77" s="42">
        <v>2.25</v>
      </c>
      <c r="G77" s="45">
        <v>320</v>
      </c>
      <c r="H77" s="22">
        <v>2.2999999999999998</v>
      </c>
      <c r="I77" s="6">
        <f t="shared" si="1"/>
        <v>827.99999999999989</v>
      </c>
      <c r="J77" s="6" t="s">
        <v>88</v>
      </c>
      <c r="K77" s="17"/>
    </row>
    <row r="78" spans="1:11" ht="13.95" customHeight="1" x14ac:dyDescent="0.3">
      <c r="A78" s="3">
        <v>45734</v>
      </c>
      <c r="B78" s="19" t="s">
        <v>2285</v>
      </c>
      <c r="C78" s="19" t="s">
        <v>20</v>
      </c>
      <c r="D78" s="19" t="s">
        <v>76</v>
      </c>
      <c r="E78" s="4">
        <v>0.5</v>
      </c>
      <c r="F78" s="42">
        <v>2.25</v>
      </c>
      <c r="G78" s="45">
        <v>320</v>
      </c>
      <c r="H78" s="22">
        <v>2.2999999999999998</v>
      </c>
      <c r="I78" s="6">
        <f t="shared" si="1"/>
        <v>827.99999999999989</v>
      </c>
      <c r="J78" s="6" t="s">
        <v>88</v>
      </c>
      <c r="K78" s="17"/>
    </row>
    <row r="79" spans="1:11" ht="13.95" customHeight="1" x14ac:dyDescent="0.3">
      <c r="A79" s="3">
        <v>45735</v>
      </c>
      <c r="B79" s="19" t="s">
        <v>2285</v>
      </c>
      <c r="C79" s="19" t="s">
        <v>5</v>
      </c>
      <c r="D79" s="19" t="s">
        <v>76</v>
      </c>
      <c r="E79" s="4">
        <v>0.55000000000000004</v>
      </c>
      <c r="F79" s="42">
        <v>2.2999999999999998</v>
      </c>
      <c r="G79" s="45">
        <v>320</v>
      </c>
      <c r="H79" s="22">
        <v>2.2999999999999998</v>
      </c>
      <c r="I79" s="6">
        <f t="shared" si="1"/>
        <v>931.03999999999985</v>
      </c>
      <c r="J79" s="6" t="s">
        <v>2212</v>
      </c>
      <c r="K79" s="17"/>
    </row>
    <row r="80" spans="1:11" ht="13.95" customHeight="1" x14ac:dyDescent="0.3">
      <c r="A80" s="3">
        <v>45736</v>
      </c>
      <c r="B80" s="19" t="s">
        <v>2285</v>
      </c>
      <c r="C80" s="19" t="s">
        <v>8</v>
      </c>
      <c r="D80" s="19" t="s">
        <v>383</v>
      </c>
      <c r="E80" s="4">
        <v>0.8</v>
      </c>
      <c r="F80" s="42">
        <v>3.7</v>
      </c>
      <c r="G80" s="45">
        <v>320</v>
      </c>
      <c r="H80" s="22">
        <v>2.2999999999999998</v>
      </c>
      <c r="I80" s="6">
        <f t="shared" si="1"/>
        <v>2178.56</v>
      </c>
      <c r="J80" s="6" t="s">
        <v>1980</v>
      </c>
      <c r="K80" s="17"/>
    </row>
    <row r="81" spans="1:11" ht="13.95" customHeight="1" x14ac:dyDescent="0.3">
      <c r="A81" s="3">
        <v>45737</v>
      </c>
      <c r="B81" s="19" t="s">
        <v>2285</v>
      </c>
      <c r="C81" s="19" t="s">
        <v>11</v>
      </c>
      <c r="D81" s="19" t="s">
        <v>76</v>
      </c>
      <c r="E81" s="4">
        <v>0.75</v>
      </c>
      <c r="F81" s="42">
        <v>2.95</v>
      </c>
      <c r="G81" s="45">
        <v>320</v>
      </c>
      <c r="H81" s="22">
        <v>2.2999999999999998</v>
      </c>
      <c r="I81" s="6">
        <f t="shared" si="1"/>
        <v>1628.3999999999999</v>
      </c>
      <c r="J81" s="6" t="s">
        <v>197</v>
      </c>
      <c r="K81" s="17"/>
    </row>
    <row r="82" spans="1:11" ht="13.95" customHeight="1" x14ac:dyDescent="0.3">
      <c r="A82" s="3">
        <v>45738</v>
      </c>
      <c r="B82" s="19" t="s">
        <v>2285</v>
      </c>
      <c r="C82" s="19" t="s">
        <v>13</v>
      </c>
      <c r="D82" s="19" t="s">
        <v>76</v>
      </c>
      <c r="E82" s="4">
        <v>0.85</v>
      </c>
      <c r="F82" s="42">
        <v>3.8</v>
      </c>
      <c r="G82" s="45">
        <v>320</v>
      </c>
      <c r="H82" s="22">
        <v>2.2999999999999998</v>
      </c>
      <c r="I82" s="6">
        <f t="shared" si="1"/>
        <v>2377.2799999999997</v>
      </c>
      <c r="J82" s="6" t="s">
        <v>2213</v>
      </c>
      <c r="K82" s="17"/>
    </row>
    <row r="83" spans="1:11" ht="13.95" customHeight="1" x14ac:dyDescent="0.3">
      <c r="A83" s="3">
        <v>45739</v>
      </c>
      <c r="B83" s="19" t="s">
        <v>2285</v>
      </c>
      <c r="C83" s="19" t="s">
        <v>16</v>
      </c>
      <c r="D83" s="19" t="s">
        <v>76</v>
      </c>
      <c r="E83" s="4">
        <v>0.8</v>
      </c>
      <c r="F83" s="42">
        <v>3.3</v>
      </c>
      <c r="G83" s="45">
        <v>320</v>
      </c>
      <c r="H83" s="22">
        <v>2.2999999999999998</v>
      </c>
      <c r="I83" s="6">
        <f t="shared" si="1"/>
        <v>1943.0399999999997</v>
      </c>
      <c r="J83" s="6" t="s">
        <v>2214</v>
      </c>
      <c r="K83" s="17"/>
    </row>
    <row r="84" spans="1:11" ht="13.95" customHeight="1" x14ac:dyDescent="0.3">
      <c r="A84" s="3">
        <v>45740</v>
      </c>
      <c r="B84" s="19" t="s">
        <v>2285</v>
      </c>
      <c r="C84" s="19" t="s">
        <v>18</v>
      </c>
      <c r="D84" s="19" t="s">
        <v>76</v>
      </c>
      <c r="E84" s="4">
        <v>0.5</v>
      </c>
      <c r="F84" s="42">
        <v>2.25</v>
      </c>
      <c r="G84" s="45">
        <v>320</v>
      </c>
      <c r="H84" s="22">
        <v>2.2999999999999998</v>
      </c>
      <c r="I84" s="6">
        <f t="shared" si="1"/>
        <v>827.99999999999989</v>
      </c>
      <c r="J84" s="6" t="s">
        <v>88</v>
      </c>
      <c r="K84" s="17"/>
    </row>
    <row r="85" spans="1:11" ht="13.95" customHeight="1" x14ac:dyDescent="0.3">
      <c r="A85" s="3">
        <v>45741</v>
      </c>
      <c r="B85" s="19" t="s">
        <v>2285</v>
      </c>
      <c r="C85" s="19" t="s">
        <v>20</v>
      </c>
      <c r="D85" s="19" t="s">
        <v>76</v>
      </c>
      <c r="E85" s="4">
        <v>0.5</v>
      </c>
      <c r="F85" s="42">
        <v>2.25</v>
      </c>
      <c r="G85" s="45">
        <v>320</v>
      </c>
      <c r="H85" s="22">
        <v>2.2999999999999998</v>
      </c>
      <c r="I85" s="6">
        <f t="shared" si="1"/>
        <v>827.99999999999989</v>
      </c>
      <c r="J85" s="6" t="s">
        <v>88</v>
      </c>
      <c r="K85" s="17"/>
    </row>
    <row r="86" spans="1:11" ht="13.95" customHeight="1" x14ac:dyDescent="0.3">
      <c r="A86" s="3">
        <v>45742</v>
      </c>
      <c r="B86" s="19" t="s">
        <v>2285</v>
      </c>
      <c r="C86" s="19" t="s">
        <v>5</v>
      </c>
      <c r="D86" s="19" t="s">
        <v>76</v>
      </c>
      <c r="E86" s="4">
        <v>0.55000000000000004</v>
      </c>
      <c r="F86" s="42">
        <v>3.9</v>
      </c>
      <c r="G86" s="45">
        <v>320</v>
      </c>
      <c r="H86" s="22">
        <v>2.2999999999999998</v>
      </c>
      <c r="I86" s="6">
        <f t="shared" si="1"/>
        <v>1578.7199999999998</v>
      </c>
      <c r="J86" s="6" t="s">
        <v>2215</v>
      </c>
      <c r="K86" s="17"/>
    </row>
    <row r="87" spans="1:11" ht="13.95" customHeight="1" x14ac:dyDescent="0.3">
      <c r="A87" s="3">
        <v>45743</v>
      </c>
      <c r="B87" s="19" t="s">
        <v>2285</v>
      </c>
      <c r="C87" s="19" t="s">
        <v>8</v>
      </c>
      <c r="D87" s="19" t="s">
        <v>76</v>
      </c>
      <c r="E87" s="4">
        <v>0.5</v>
      </c>
      <c r="F87" s="42">
        <v>2.2999999999999998</v>
      </c>
      <c r="G87" s="45">
        <v>320</v>
      </c>
      <c r="H87" s="22">
        <v>2.2999999999999998</v>
      </c>
      <c r="I87" s="6">
        <f t="shared" si="1"/>
        <v>846.4</v>
      </c>
      <c r="J87" s="6" t="s">
        <v>2216</v>
      </c>
      <c r="K87" s="17"/>
    </row>
    <row r="88" spans="1:11" ht="13.95" customHeight="1" x14ac:dyDescent="0.3">
      <c r="A88" s="3">
        <v>45744</v>
      </c>
      <c r="B88" s="19" t="s">
        <v>2285</v>
      </c>
      <c r="C88" s="19" t="s">
        <v>11</v>
      </c>
      <c r="D88" s="19" t="s">
        <v>904</v>
      </c>
      <c r="E88" s="4">
        <v>0.7</v>
      </c>
      <c r="F88" s="42">
        <v>2.8</v>
      </c>
      <c r="G88" s="45">
        <v>320</v>
      </c>
      <c r="H88" s="22">
        <v>2.2999999999999998</v>
      </c>
      <c r="I88" s="6">
        <f t="shared" si="1"/>
        <v>1442.5599999999997</v>
      </c>
      <c r="J88" s="6" t="s">
        <v>1466</v>
      </c>
      <c r="K88" s="17"/>
    </row>
    <row r="89" spans="1:11" ht="13.95" customHeight="1" x14ac:dyDescent="0.3">
      <c r="A89" s="3">
        <v>45745</v>
      </c>
      <c r="B89" s="19" t="s">
        <v>2285</v>
      </c>
      <c r="C89" s="19" t="s">
        <v>13</v>
      </c>
      <c r="D89" s="19" t="s">
        <v>574</v>
      </c>
      <c r="E89" s="4">
        <v>0.95</v>
      </c>
      <c r="F89" s="42">
        <v>4.0999999999999996</v>
      </c>
      <c r="G89" s="45">
        <v>320</v>
      </c>
      <c r="H89" s="22">
        <v>2.2999999999999998</v>
      </c>
      <c r="I89" s="6">
        <f t="shared" si="1"/>
        <v>2866.7199999999993</v>
      </c>
      <c r="J89" s="6" t="s">
        <v>2217</v>
      </c>
      <c r="K89" s="17"/>
    </row>
    <row r="90" spans="1:11" ht="13.95" customHeight="1" x14ac:dyDescent="0.3">
      <c r="A90" s="3">
        <v>45746</v>
      </c>
      <c r="B90" s="19" t="s">
        <v>2285</v>
      </c>
      <c r="C90" s="19" t="s">
        <v>16</v>
      </c>
      <c r="D90" s="19" t="s">
        <v>574</v>
      </c>
      <c r="E90" s="4">
        <v>0.95</v>
      </c>
      <c r="F90" s="42">
        <v>3.9</v>
      </c>
      <c r="G90" s="45">
        <v>320</v>
      </c>
      <c r="H90" s="22">
        <v>2.2999999999999998</v>
      </c>
      <c r="I90" s="6">
        <f t="shared" si="1"/>
        <v>2726.8799999999997</v>
      </c>
      <c r="J90" s="6" t="s">
        <v>2218</v>
      </c>
      <c r="K90" s="17"/>
    </row>
    <row r="91" spans="1:11" ht="13.95" customHeight="1" x14ac:dyDescent="0.3">
      <c r="A91" s="3">
        <v>45747</v>
      </c>
      <c r="B91" s="19" t="s">
        <v>2285</v>
      </c>
      <c r="C91" s="19" t="s">
        <v>18</v>
      </c>
      <c r="D91" s="19" t="s">
        <v>1314</v>
      </c>
      <c r="E91" s="4">
        <v>0.7</v>
      </c>
      <c r="F91" s="42">
        <v>2.5</v>
      </c>
      <c r="G91" s="45">
        <v>320</v>
      </c>
      <c r="H91" s="22">
        <v>2.2999999999999998</v>
      </c>
      <c r="I91" s="6">
        <f t="shared" si="1"/>
        <v>1288</v>
      </c>
      <c r="J91" s="6" t="s">
        <v>2219</v>
      </c>
      <c r="K91" s="17"/>
    </row>
    <row r="92" spans="1:11" ht="13.95" customHeight="1" x14ac:dyDescent="0.3">
      <c r="A92" s="3">
        <v>45748</v>
      </c>
      <c r="B92" s="19" t="s">
        <v>2285</v>
      </c>
      <c r="C92" s="19" t="s">
        <v>20</v>
      </c>
      <c r="D92" s="19" t="s">
        <v>1764</v>
      </c>
      <c r="E92" s="4">
        <v>0.6</v>
      </c>
      <c r="F92" s="42">
        <v>2.4</v>
      </c>
      <c r="G92" s="45">
        <v>320</v>
      </c>
      <c r="H92" s="22">
        <v>2.6</v>
      </c>
      <c r="I92" s="6">
        <f t="shared" si="1"/>
        <v>1198.08</v>
      </c>
      <c r="J92" s="6" t="s">
        <v>2220</v>
      </c>
      <c r="K92" s="17"/>
    </row>
    <row r="93" spans="1:11" ht="13.95" customHeight="1" x14ac:dyDescent="0.3">
      <c r="A93" s="3">
        <v>45749</v>
      </c>
      <c r="B93" s="19" t="s">
        <v>2285</v>
      </c>
      <c r="C93" s="19" t="s">
        <v>5</v>
      </c>
      <c r="D93" s="19" t="s">
        <v>1764</v>
      </c>
      <c r="E93" s="4">
        <v>0.65</v>
      </c>
      <c r="F93" s="42">
        <v>2.4</v>
      </c>
      <c r="G93" s="45">
        <v>320</v>
      </c>
      <c r="H93" s="22">
        <v>2.6</v>
      </c>
      <c r="I93" s="6">
        <f t="shared" si="1"/>
        <v>1297.92</v>
      </c>
      <c r="J93" s="6" t="s">
        <v>717</v>
      </c>
      <c r="K93" s="17"/>
    </row>
    <row r="94" spans="1:11" ht="13.95" customHeight="1" x14ac:dyDescent="0.3">
      <c r="A94" s="3">
        <v>45750</v>
      </c>
      <c r="B94" s="19" t="s">
        <v>2285</v>
      </c>
      <c r="C94" s="19" t="s">
        <v>8</v>
      </c>
      <c r="D94" s="19" t="s">
        <v>1764</v>
      </c>
      <c r="E94" s="4">
        <v>0.7</v>
      </c>
      <c r="F94" s="42">
        <v>2.4500000000000002</v>
      </c>
      <c r="G94" s="45">
        <v>320</v>
      </c>
      <c r="H94" s="22">
        <v>2.6</v>
      </c>
      <c r="I94" s="6">
        <f t="shared" si="1"/>
        <v>1426.8800000000003</v>
      </c>
      <c r="J94" s="6" t="s">
        <v>1331</v>
      </c>
      <c r="K94" s="17"/>
    </row>
    <row r="95" spans="1:11" ht="13.95" customHeight="1" x14ac:dyDescent="0.3">
      <c r="A95" s="3">
        <v>45751</v>
      </c>
      <c r="B95" s="19" t="s">
        <v>2285</v>
      </c>
      <c r="C95" s="19" t="s">
        <v>11</v>
      </c>
      <c r="D95" s="19" t="s">
        <v>1764</v>
      </c>
      <c r="E95" s="4">
        <v>0.75</v>
      </c>
      <c r="F95" s="42">
        <v>2.6</v>
      </c>
      <c r="G95" s="45">
        <v>320</v>
      </c>
      <c r="H95" s="22">
        <v>2.6</v>
      </c>
      <c r="I95" s="6">
        <f t="shared" si="1"/>
        <v>1622.4</v>
      </c>
      <c r="J95" s="6" t="s">
        <v>97</v>
      </c>
      <c r="K95" s="17"/>
    </row>
    <row r="96" spans="1:11" ht="13.95" customHeight="1" x14ac:dyDescent="0.3">
      <c r="A96" s="3">
        <v>45752</v>
      </c>
      <c r="B96" s="19" t="s">
        <v>2285</v>
      </c>
      <c r="C96" s="19" t="s">
        <v>13</v>
      </c>
      <c r="D96" s="19" t="s">
        <v>14</v>
      </c>
      <c r="E96" s="4">
        <v>0.8</v>
      </c>
      <c r="F96" s="42">
        <v>3.35</v>
      </c>
      <c r="G96" s="45">
        <v>320</v>
      </c>
      <c r="H96" s="22">
        <v>2.6</v>
      </c>
      <c r="I96" s="6">
        <f t="shared" si="1"/>
        <v>2229.7600000000002</v>
      </c>
      <c r="J96" s="6" t="s">
        <v>1478</v>
      </c>
      <c r="K96" s="17"/>
    </row>
    <row r="97" spans="1:11" ht="13.95" customHeight="1" x14ac:dyDescent="0.3">
      <c r="A97" s="3">
        <v>45753</v>
      </c>
      <c r="B97" s="19" t="s">
        <v>2285</v>
      </c>
      <c r="C97" s="19" t="s">
        <v>16</v>
      </c>
      <c r="D97" s="19" t="s">
        <v>14</v>
      </c>
      <c r="E97" s="4">
        <v>0.75</v>
      </c>
      <c r="F97" s="42">
        <v>3.1</v>
      </c>
      <c r="G97" s="45">
        <v>320</v>
      </c>
      <c r="H97" s="22">
        <v>2.6</v>
      </c>
      <c r="I97" s="6">
        <f t="shared" si="1"/>
        <v>1934.4</v>
      </c>
      <c r="J97" s="6" t="s">
        <v>238</v>
      </c>
      <c r="K97" s="17"/>
    </row>
    <row r="98" spans="1:11" ht="13.95" customHeight="1" x14ac:dyDescent="0.3">
      <c r="A98" s="3">
        <v>45754</v>
      </c>
      <c r="B98" s="19" t="s">
        <v>2285</v>
      </c>
      <c r="C98" s="19" t="s">
        <v>18</v>
      </c>
      <c r="D98" s="19" t="s">
        <v>1764</v>
      </c>
      <c r="E98" s="4">
        <v>0.7</v>
      </c>
      <c r="F98" s="42">
        <v>2.4500000000000002</v>
      </c>
      <c r="G98" s="45">
        <v>320</v>
      </c>
      <c r="H98" s="22">
        <v>2.6</v>
      </c>
      <c r="I98" s="6">
        <f t="shared" si="1"/>
        <v>1426.8800000000003</v>
      </c>
      <c r="J98" s="6" t="s">
        <v>2194</v>
      </c>
      <c r="K98" s="17"/>
    </row>
    <row r="99" spans="1:11" ht="13.95" customHeight="1" x14ac:dyDescent="0.3">
      <c r="A99" s="3">
        <v>45755</v>
      </c>
      <c r="B99" s="19" t="s">
        <v>2285</v>
      </c>
      <c r="C99" s="19" t="s">
        <v>20</v>
      </c>
      <c r="D99" s="19" t="s">
        <v>1764</v>
      </c>
      <c r="E99" s="4">
        <v>0.75</v>
      </c>
      <c r="F99" s="42">
        <v>2.4500000000000002</v>
      </c>
      <c r="G99" s="45">
        <v>320</v>
      </c>
      <c r="H99" s="22">
        <v>2.6</v>
      </c>
      <c r="I99" s="6">
        <f t="shared" si="1"/>
        <v>1528.8</v>
      </c>
      <c r="J99" s="6" t="s">
        <v>2194</v>
      </c>
      <c r="K99" s="17"/>
    </row>
    <row r="100" spans="1:11" ht="13.95" customHeight="1" x14ac:dyDescent="0.3">
      <c r="A100" s="3">
        <v>45756</v>
      </c>
      <c r="B100" s="19" t="s">
        <v>2285</v>
      </c>
      <c r="C100" s="19" t="s">
        <v>5</v>
      </c>
      <c r="D100" s="19" t="s">
        <v>1112</v>
      </c>
      <c r="E100" s="4">
        <v>0.85</v>
      </c>
      <c r="F100" s="42">
        <v>3.25</v>
      </c>
      <c r="G100" s="45">
        <v>320</v>
      </c>
      <c r="H100" s="22">
        <v>2.6</v>
      </c>
      <c r="I100" s="6">
        <f t="shared" si="1"/>
        <v>2298.4</v>
      </c>
      <c r="J100" s="6" t="s">
        <v>2221</v>
      </c>
      <c r="K100" s="17"/>
    </row>
    <row r="101" spans="1:11" ht="13.95" customHeight="1" x14ac:dyDescent="0.3">
      <c r="A101" s="3">
        <v>45757</v>
      </c>
      <c r="B101" s="19" t="s">
        <v>2285</v>
      </c>
      <c r="C101" s="19" t="s">
        <v>8</v>
      </c>
      <c r="D101" s="19" t="s">
        <v>1764</v>
      </c>
      <c r="E101" s="4">
        <v>0.8</v>
      </c>
      <c r="F101" s="42">
        <v>2.5</v>
      </c>
      <c r="G101" s="45">
        <v>320</v>
      </c>
      <c r="H101" s="22">
        <v>2.6</v>
      </c>
      <c r="I101" s="6">
        <f t="shared" si="1"/>
        <v>1664</v>
      </c>
      <c r="J101" s="6" t="s">
        <v>1401</v>
      </c>
      <c r="K101" s="17"/>
    </row>
    <row r="102" spans="1:11" ht="13.95" customHeight="1" x14ac:dyDescent="0.3">
      <c r="A102" s="3">
        <v>45758</v>
      </c>
      <c r="B102" s="19" t="s">
        <v>2285</v>
      </c>
      <c r="C102" s="19" t="s">
        <v>11</v>
      </c>
      <c r="D102" s="19" t="s">
        <v>658</v>
      </c>
      <c r="E102" s="4">
        <v>0.85</v>
      </c>
      <c r="F102" s="42">
        <v>2.75</v>
      </c>
      <c r="G102" s="45">
        <v>320</v>
      </c>
      <c r="H102" s="22">
        <v>2.6</v>
      </c>
      <c r="I102" s="6">
        <f t="shared" si="1"/>
        <v>1944.8</v>
      </c>
      <c r="J102" s="6" t="s">
        <v>2222</v>
      </c>
      <c r="K102" s="17"/>
    </row>
    <row r="103" spans="1:11" ht="13.95" customHeight="1" x14ac:dyDescent="0.3">
      <c r="A103" s="3">
        <v>45759</v>
      </c>
      <c r="B103" s="19" t="s">
        <v>2285</v>
      </c>
      <c r="C103" s="19" t="s">
        <v>13</v>
      </c>
      <c r="D103" s="19" t="s">
        <v>658</v>
      </c>
      <c r="E103" s="4">
        <v>0.9</v>
      </c>
      <c r="F103" s="42">
        <v>3.6</v>
      </c>
      <c r="G103" s="45">
        <v>320</v>
      </c>
      <c r="H103" s="22">
        <v>2.6</v>
      </c>
      <c r="I103" s="6">
        <f t="shared" si="1"/>
        <v>2695.68</v>
      </c>
      <c r="J103" s="6" t="s">
        <v>2223</v>
      </c>
      <c r="K103" s="17"/>
    </row>
    <row r="104" spans="1:11" ht="13.95" customHeight="1" x14ac:dyDescent="0.3">
      <c r="A104" s="3">
        <v>45760</v>
      </c>
      <c r="B104" s="19" t="s">
        <v>2285</v>
      </c>
      <c r="C104" s="19" t="s">
        <v>16</v>
      </c>
      <c r="D104" s="19" t="s">
        <v>658</v>
      </c>
      <c r="E104" s="4">
        <v>0.9</v>
      </c>
      <c r="F104" s="42">
        <v>3.25</v>
      </c>
      <c r="G104" s="45">
        <v>320</v>
      </c>
      <c r="H104" s="22">
        <v>2.6</v>
      </c>
      <c r="I104" s="6">
        <f t="shared" si="1"/>
        <v>2433.6</v>
      </c>
      <c r="J104" s="6" t="s">
        <v>2197</v>
      </c>
      <c r="K104" s="17"/>
    </row>
    <row r="105" spans="1:11" ht="13.95" customHeight="1" x14ac:dyDescent="0.3">
      <c r="A105" s="3">
        <v>45761</v>
      </c>
      <c r="B105" s="19" t="s">
        <v>2285</v>
      </c>
      <c r="C105" s="19" t="s">
        <v>18</v>
      </c>
      <c r="D105" s="19" t="s">
        <v>658</v>
      </c>
      <c r="E105" s="4">
        <v>0.9</v>
      </c>
      <c r="F105" s="42">
        <v>2.8</v>
      </c>
      <c r="G105" s="45">
        <v>320</v>
      </c>
      <c r="H105" s="22">
        <v>2.6</v>
      </c>
      <c r="I105" s="6">
        <f t="shared" si="1"/>
        <v>2096.64</v>
      </c>
      <c r="J105" s="6" t="s">
        <v>2224</v>
      </c>
      <c r="K105" s="17"/>
    </row>
    <row r="106" spans="1:11" ht="13.95" customHeight="1" x14ac:dyDescent="0.3">
      <c r="A106" s="3">
        <v>45762</v>
      </c>
      <c r="B106" s="19" t="s">
        <v>2285</v>
      </c>
      <c r="C106" s="19" t="s">
        <v>20</v>
      </c>
      <c r="D106" s="19" t="s">
        <v>658</v>
      </c>
      <c r="E106" s="4">
        <v>0.9</v>
      </c>
      <c r="F106" s="42">
        <v>2.8</v>
      </c>
      <c r="G106" s="45">
        <v>320</v>
      </c>
      <c r="H106" s="22">
        <v>2.6</v>
      </c>
      <c r="I106" s="6">
        <f t="shared" si="1"/>
        <v>2096.64</v>
      </c>
      <c r="J106" s="6" t="s">
        <v>2224</v>
      </c>
      <c r="K106" s="17"/>
    </row>
    <row r="107" spans="1:11" ht="13.95" customHeight="1" x14ac:dyDescent="0.3">
      <c r="A107" s="3">
        <v>45763</v>
      </c>
      <c r="B107" s="19" t="s">
        <v>2285</v>
      </c>
      <c r="C107" s="19" t="s">
        <v>5</v>
      </c>
      <c r="D107" s="19" t="s">
        <v>658</v>
      </c>
      <c r="E107" s="4">
        <v>0.95</v>
      </c>
      <c r="F107" s="42">
        <v>2.85</v>
      </c>
      <c r="G107" s="45">
        <v>320</v>
      </c>
      <c r="H107" s="22">
        <v>2.6</v>
      </c>
      <c r="I107" s="6">
        <f t="shared" si="1"/>
        <v>2252.64</v>
      </c>
      <c r="J107" s="6" t="s">
        <v>2225</v>
      </c>
      <c r="K107" s="17"/>
    </row>
    <row r="108" spans="1:11" ht="13.95" customHeight="1" x14ac:dyDescent="0.3">
      <c r="A108" s="3">
        <v>45764</v>
      </c>
      <c r="B108" s="19" t="s">
        <v>2285</v>
      </c>
      <c r="C108" s="19" t="s">
        <v>8</v>
      </c>
      <c r="D108" s="19" t="s">
        <v>658</v>
      </c>
      <c r="E108" s="4">
        <v>0.95</v>
      </c>
      <c r="F108" s="42">
        <v>2.9</v>
      </c>
      <c r="G108" s="45">
        <v>320</v>
      </c>
      <c r="H108" s="22">
        <v>2.6</v>
      </c>
      <c r="I108" s="6">
        <f t="shared" si="1"/>
        <v>2292.1600000000003</v>
      </c>
      <c r="J108" s="6" t="s">
        <v>2201</v>
      </c>
      <c r="K108" s="17"/>
    </row>
    <row r="109" spans="1:11" ht="13.95" customHeight="1" x14ac:dyDescent="0.3">
      <c r="A109" s="3">
        <v>45765</v>
      </c>
      <c r="B109" s="19" t="s">
        <v>2285</v>
      </c>
      <c r="C109" s="19" t="s">
        <v>11</v>
      </c>
      <c r="D109" s="19" t="s">
        <v>658</v>
      </c>
      <c r="E109" s="4">
        <v>0.95</v>
      </c>
      <c r="F109" s="42">
        <v>3.1</v>
      </c>
      <c r="G109" s="45">
        <v>320</v>
      </c>
      <c r="H109" s="22">
        <v>2.6</v>
      </c>
      <c r="I109" s="6">
        <f t="shared" si="1"/>
        <v>2450.2400000000002</v>
      </c>
      <c r="J109" s="6" t="s">
        <v>767</v>
      </c>
      <c r="K109" s="17"/>
    </row>
    <row r="110" spans="1:11" ht="13.95" customHeight="1" x14ac:dyDescent="0.3">
      <c r="A110" s="3">
        <v>45766</v>
      </c>
      <c r="B110" s="19" t="s">
        <v>2285</v>
      </c>
      <c r="C110" s="19" t="s">
        <v>13</v>
      </c>
      <c r="D110" s="19" t="s">
        <v>658</v>
      </c>
      <c r="E110" s="4">
        <v>1</v>
      </c>
      <c r="F110" s="42">
        <v>3.8</v>
      </c>
      <c r="G110" s="45">
        <v>320</v>
      </c>
      <c r="H110" s="22">
        <v>2.6</v>
      </c>
      <c r="I110" s="6">
        <f t="shared" si="1"/>
        <v>3161.6</v>
      </c>
      <c r="J110" s="6" t="s">
        <v>2226</v>
      </c>
      <c r="K110" s="17"/>
    </row>
    <row r="111" spans="1:11" ht="13.95" customHeight="1" x14ac:dyDescent="0.3">
      <c r="A111" s="3">
        <v>45767</v>
      </c>
      <c r="B111" s="19" t="s">
        <v>2285</v>
      </c>
      <c r="C111" s="19" t="s">
        <v>16</v>
      </c>
      <c r="D111" s="19" t="s">
        <v>1774</v>
      </c>
      <c r="E111" s="4">
        <v>1</v>
      </c>
      <c r="F111" s="42">
        <v>4.0999999999999996</v>
      </c>
      <c r="G111" s="45">
        <v>320</v>
      </c>
      <c r="H111" s="22">
        <v>2.6</v>
      </c>
      <c r="I111" s="6">
        <f t="shared" si="1"/>
        <v>3411.2000000000003</v>
      </c>
      <c r="J111" s="6" t="s">
        <v>2227</v>
      </c>
      <c r="K111" s="17"/>
    </row>
    <row r="112" spans="1:11" ht="13.95" customHeight="1" x14ac:dyDescent="0.3">
      <c r="A112" s="3">
        <v>45768</v>
      </c>
      <c r="B112" s="19" t="s">
        <v>2285</v>
      </c>
      <c r="C112" s="19" t="s">
        <v>18</v>
      </c>
      <c r="D112" s="19" t="s">
        <v>658</v>
      </c>
      <c r="E112" s="4">
        <v>0.95</v>
      </c>
      <c r="F112" s="42">
        <v>2.9</v>
      </c>
      <c r="G112" s="45">
        <v>320</v>
      </c>
      <c r="H112" s="22">
        <v>2.6</v>
      </c>
      <c r="I112" s="6">
        <f t="shared" si="1"/>
        <v>2292.1600000000003</v>
      </c>
      <c r="J112" s="6" t="s">
        <v>2228</v>
      </c>
      <c r="K112" s="17"/>
    </row>
    <row r="113" spans="1:11" ht="13.95" customHeight="1" x14ac:dyDescent="0.3">
      <c r="A113" s="3">
        <v>45769</v>
      </c>
      <c r="B113" s="19" t="s">
        <v>2285</v>
      </c>
      <c r="C113" s="19" t="s">
        <v>20</v>
      </c>
      <c r="D113" s="19" t="s">
        <v>658</v>
      </c>
      <c r="E113" s="4">
        <v>0.9</v>
      </c>
      <c r="F113" s="42">
        <v>2.85</v>
      </c>
      <c r="G113" s="45">
        <v>320</v>
      </c>
      <c r="H113" s="22">
        <v>2.6</v>
      </c>
      <c r="I113" s="6">
        <f t="shared" si="1"/>
        <v>2134.0800000000004</v>
      </c>
      <c r="J113" s="6" t="s">
        <v>2194</v>
      </c>
      <c r="K113" s="17"/>
    </row>
    <row r="114" spans="1:11" ht="13.95" customHeight="1" x14ac:dyDescent="0.3">
      <c r="A114" s="3">
        <v>45770</v>
      </c>
      <c r="B114" s="19" t="s">
        <v>2285</v>
      </c>
      <c r="C114" s="19" t="s">
        <v>5</v>
      </c>
      <c r="D114" s="19" t="s">
        <v>658</v>
      </c>
      <c r="E114" s="4">
        <v>0.9</v>
      </c>
      <c r="F114" s="42">
        <v>2.85</v>
      </c>
      <c r="G114" s="45">
        <v>320</v>
      </c>
      <c r="H114" s="22">
        <v>2.6</v>
      </c>
      <c r="I114" s="6">
        <f t="shared" si="1"/>
        <v>2134.0800000000004</v>
      </c>
      <c r="J114" s="6" t="s">
        <v>2194</v>
      </c>
      <c r="K114" s="17"/>
    </row>
    <row r="115" spans="1:11" ht="13.95" customHeight="1" x14ac:dyDescent="0.3">
      <c r="A115" s="3">
        <v>45771</v>
      </c>
      <c r="B115" s="19" t="s">
        <v>2285</v>
      </c>
      <c r="C115" s="19" t="s">
        <v>8</v>
      </c>
      <c r="D115" s="19" t="s">
        <v>658</v>
      </c>
      <c r="E115" s="4">
        <v>0.9</v>
      </c>
      <c r="F115" s="42">
        <v>2.9</v>
      </c>
      <c r="G115" s="45">
        <v>320</v>
      </c>
      <c r="H115" s="22">
        <v>2.6</v>
      </c>
      <c r="I115" s="6">
        <f t="shared" si="1"/>
        <v>2171.52</v>
      </c>
      <c r="J115" s="6" t="s">
        <v>717</v>
      </c>
      <c r="K115" s="17"/>
    </row>
    <row r="116" spans="1:11" ht="13.95" customHeight="1" x14ac:dyDescent="0.3">
      <c r="A116" s="3">
        <v>45772</v>
      </c>
      <c r="B116" s="19" t="s">
        <v>2285</v>
      </c>
      <c r="C116" s="19" t="s">
        <v>11</v>
      </c>
      <c r="D116" s="19" t="s">
        <v>658</v>
      </c>
      <c r="E116" s="4">
        <v>0.85</v>
      </c>
      <c r="F116" s="42">
        <v>3.15</v>
      </c>
      <c r="G116" s="45">
        <v>320</v>
      </c>
      <c r="H116" s="22">
        <v>2.6</v>
      </c>
      <c r="I116" s="6">
        <f t="shared" si="1"/>
        <v>2227.6799999999998</v>
      </c>
      <c r="J116" s="6" t="s">
        <v>97</v>
      </c>
      <c r="K116" s="17"/>
    </row>
    <row r="117" spans="1:11" ht="13.95" customHeight="1" x14ac:dyDescent="0.3">
      <c r="A117" s="3">
        <v>45773</v>
      </c>
      <c r="B117" s="19" t="s">
        <v>2285</v>
      </c>
      <c r="C117" s="19" t="s">
        <v>13</v>
      </c>
      <c r="D117" s="19" t="s">
        <v>14</v>
      </c>
      <c r="E117" s="4">
        <v>0.8</v>
      </c>
      <c r="F117" s="42">
        <v>3.65</v>
      </c>
      <c r="G117" s="45">
        <v>320</v>
      </c>
      <c r="H117" s="22">
        <v>2.6</v>
      </c>
      <c r="I117" s="6">
        <f t="shared" si="1"/>
        <v>2429.44</v>
      </c>
      <c r="J117" s="6" t="s">
        <v>2229</v>
      </c>
      <c r="K117" s="17"/>
    </row>
    <row r="118" spans="1:11" ht="13.95" customHeight="1" x14ac:dyDescent="0.3">
      <c r="A118" s="3">
        <v>45774</v>
      </c>
      <c r="B118" s="19" t="s">
        <v>2285</v>
      </c>
      <c r="C118" s="19" t="s">
        <v>16</v>
      </c>
      <c r="D118" s="19" t="s">
        <v>14</v>
      </c>
      <c r="E118" s="4">
        <v>0.75</v>
      </c>
      <c r="F118" s="42">
        <v>3.2</v>
      </c>
      <c r="G118" s="45">
        <v>320</v>
      </c>
      <c r="H118" s="22">
        <v>2.6</v>
      </c>
      <c r="I118" s="6">
        <f t="shared" si="1"/>
        <v>1996.8000000000002</v>
      </c>
      <c r="J118" s="6" t="s">
        <v>238</v>
      </c>
      <c r="K118" s="17"/>
    </row>
    <row r="119" spans="1:11" ht="13.95" customHeight="1" x14ac:dyDescent="0.3">
      <c r="A119" s="3">
        <v>45775</v>
      </c>
      <c r="B119" s="19" t="s">
        <v>2285</v>
      </c>
      <c r="C119" s="19" t="s">
        <v>18</v>
      </c>
      <c r="D119" s="19" t="s">
        <v>1764</v>
      </c>
      <c r="E119" s="4">
        <v>0.7</v>
      </c>
      <c r="F119" s="42">
        <v>2.5</v>
      </c>
      <c r="G119" s="45">
        <v>320</v>
      </c>
      <c r="H119" s="22">
        <v>2.6</v>
      </c>
      <c r="I119" s="6">
        <f t="shared" si="1"/>
        <v>1456</v>
      </c>
      <c r="J119" s="6" t="s">
        <v>2063</v>
      </c>
      <c r="K119" s="17"/>
    </row>
    <row r="120" spans="1:11" ht="13.95" customHeight="1" x14ac:dyDescent="0.3">
      <c r="A120" s="3">
        <v>45776</v>
      </c>
      <c r="B120" s="19" t="s">
        <v>2285</v>
      </c>
      <c r="C120" s="19" t="s">
        <v>20</v>
      </c>
      <c r="D120" s="19" t="s">
        <v>1764</v>
      </c>
      <c r="E120" s="4">
        <v>0.7</v>
      </c>
      <c r="F120" s="42">
        <v>2.4500000000000002</v>
      </c>
      <c r="G120" s="45">
        <v>320</v>
      </c>
      <c r="H120" s="22">
        <v>2.6</v>
      </c>
      <c r="I120" s="6">
        <f t="shared" si="1"/>
        <v>1426.8800000000003</v>
      </c>
      <c r="J120" s="6" t="s">
        <v>88</v>
      </c>
      <c r="K120" s="17"/>
    </row>
    <row r="121" spans="1:11" ht="13.95" customHeight="1" x14ac:dyDescent="0.3">
      <c r="A121" s="3">
        <v>45777</v>
      </c>
      <c r="B121" s="19" t="s">
        <v>2285</v>
      </c>
      <c r="C121" s="19" t="s">
        <v>5</v>
      </c>
      <c r="D121" s="19" t="s">
        <v>1764</v>
      </c>
      <c r="E121" s="4">
        <v>0.75</v>
      </c>
      <c r="F121" s="42">
        <v>2.6</v>
      </c>
      <c r="G121" s="45">
        <v>320</v>
      </c>
      <c r="H121" s="22">
        <v>2.6</v>
      </c>
      <c r="I121" s="6">
        <f t="shared" si="1"/>
        <v>1622.4</v>
      </c>
      <c r="J121" s="6" t="s">
        <v>1438</v>
      </c>
      <c r="K121" s="17"/>
    </row>
    <row r="122" spans="1:11" ht="13.95" customHeight="1" x14ac:dyDescent="0.3">
      <c r="A122" s="3">
        <v>45778</v>
      </c>
      <c r="B122" s="19" t="s">
        <v>2285</v>
      </c>
      <c r="C122" s="19" t="s">
        <v>8</v>
      </c>
      <c r="D122" s="19" t="s">
        <v>705</v>
      </c>
      <c r="E122" s="4">
        <v>0.9</v>
      </c>
      <c r="F122" s="42">
        <v>3.2</v>
      </c>
      <c r="G122" s="45">
        <v>320</v>
      </c>
      <c r="H122" s="22">
        <v>2.6</v>
      </c>
      <c r="I122" s="6">
        <f t="shared" si="1"/>
        <v>2396.1600000000003</v>
      </c>
      <c r="J122" s="6" t="s">
        <v>2230</v>
      </c>
      <c r="K122" s="17"/>
    </row>
    <row r="123" spans="1:11" ht="13.95" customHeight="1" x14ac:dyDescent="0.3">
      <c r="A123" s="3">
        <v>45779</v>
      </c>
      <c r="B123" s="19" t="s">
        <v>2285</v>
      </c>
      <c r="C123" s="19" t="s">
        <v>11</v>
      </c>
      <c r="D123" s="19" t="s">
        <v>14</v>
      </c>
      <c r="E123" s="4">
        <v>0.85</v>
      </c>
      <c r="F123" s="42">
        <v>2.8</v>
      </c>
      <c r="G123" s="45">
        <v>320</v>
      </c>
      <c r="H123" s="22">
        <v>2.6</v>
      </c>
      <c r="I123" s="6">
        <f t="shared" si="1"/>
        <v>1980.1599999999999</v>
      </c>
      <c r="J123" s="6" t="s">
        <v>1328</v>
      </c>
      <c r="K123" s="17"/>
    </row>
    <row r="124" spans="1:11" ht="13.95" customHeight="1" x14ac:dyDescent="0.3">
      <c r="A124" s="3">
        <v>45780</v>
      </c>
      <c r="B124" s="19" t="s">
        <v>2285</v>
      </c>
      <c r="C124" s="19" t="s">
        <v>13</v>
      </c>
      <c r="D124" s="19" t="s">
        <v>14</v>
      </c>
      <c r="E124" s="4">
        <v>0.8</v>
      </c>
      <c r="F124" s="42">
        <v>3.6</v>
      </c>
      <c r="G124" s="45">
        <v>320</v>
      </c>
      <c r="H124" s="22">
        <v>2.6</v>
      </c>
      <c r="I124" s="6">
        <f t="shared" si="1"/>
        <v>2396.1600000000003</v>
      </c>
      <c r="J124" s="6" t="s">
        <v>1478</v>
      </c>
      <c r="K124" s="17"/>
    </row>
    <row r="125" spans="1:11" ht="13.95" customHeight="1" x14ac:dyDescent="0.3">
      <c r="A125" s="3">
        <v>45781</v>
      </c>
      <c r="B125" s="19" t="s">
        <v>2285</v>
      </c>
      <c r="C125" s="19" t="s">
        <v>16</v>
      </c>
      <c r="D125" s="19" t="s">
        <v>14</v>
      </c>
      <c r="E125" s="4">
        <v>0.75</v>
      </c>
      <c r="F125" s="42">
        <v>3.15</v>
      </c>
      <c r="G125" s="45">
        <v>320</v>
      </c>
      <c r="H125" s="22">
        <v>2.6</v>
      </c>
      <c r="I125" s="6">
        <f t="shared" si="1"/>
        <v>1965.6000000000001</v>
      </c>
      <c r="J125" s="6" t="s">
        <v>238</v>
      </c>
      <c r="K125" s="17"/>
    </row>
    <row r="126" spans="1:11" ht="13.95" customHeight="1" x14ac:dyDescent="0.3">
      <c r="A126" s="3">
        <v>45782</v>
      </c>
      <c r="B126" s="19" t="s">
        <v>2285</v>
      </c>
      <c r="C126" s="19" t="s">
        <v>18</v>
      </c>
      <c r="D126" s="19" t="s">
        <v>9</v>
      </c>
      <c r="E126" s="4">
        <v>0.7</v>
      </c>
      <c r="F126" s="42">
        <v>2.5</v>
      </c>
      <c r="G126" s="45">
        <v>320</v>
      </c>
      <c r="H126" s="22">
        <v>2.6</v>
      </c>
      <c r="I126" s="6">
        <f t="shared" si="1"/>
        <v>1456</v>
      </c>
      <c r="J126" s="6" t="s">
        <v>2194</v>
      </c>
      <c r="K126" s="17"/>
    </row>
    <row r="127" spans="1:11" ht="13.95" customHeight="1" x14ac:dyDescent="0.3">
      <c r="A127" s="3">
        <v>45783</v>
      </c>
      <c r="B127" s="19" t="s">
        <v>2285</v>
      </c>
      <c r="C127" s="19" t="s">
        <v>20</v>
      </c>
      <c r="D127" s="19" t="s">
        <v>9</v>
      </c>
      <c r="E127" s="4">
        <v>0.7</v>
      </c>
      <c r="F127" s="42">
        <v>2.4500000000000002</v>
      </c>
      <c r="G127" s="45">
        <v>320</v>
      </c>
      <c r="H127" s="22">
        <v>2.6</v>
      </c>
      <c r="I127" s="6">
        <f t="shared" si="1"/>
        <v>1426.8800000000003</v>
      </c>
      <c r="J127" s="6" t="s">
        <v>2194</v>
      </c>
      <c r="K127" s="17"/>
    </row>
    <row r="128" spans="1:11" ht="13.95" customHeight="1" x14ac:dyDescent="0.3">
      <c r="A128" s="3">
        <v>45784</v>
      </c>
      <c r="B128" s="19" t="s">
        <v>2285</v>
      </c>
      <c r="C128" s="19" t="s">
        <v>5</v>
      </c>
      <c r="D128" s="19" t="s">
        <v>9</v>
      </c>
      <c r="E128" s="4">
        <v>0.75</v>
      </c>
      <c r="F128" s="42">
        <v>2.5</v>
      </c>
      <c r="G128" s="45">
        <v>320</v>
      </c>
      <c r="H128" s="22">
        <v>2.6</v>
      </c>
      <c r="I128" s="6">
        <f t="shared" si="1"/>
        <v>1560</v>
      </c>
      <c r="J128" s="6" t="s">
        <v>717</v>
      </c>
      <c r="K128" s="17"/>
    </row>
    <row r="129" spans="1:11" ht="13.95" customHeight="1" x14ac:dyDescent="0.3">
      <c r="A129" s="3">
        <v>45785</v>
      </c>
      <c r="B129" s="19" t="s">
        <v>2285</v>
      </c>
      <c r="C129" s="19" t="s">
        <v>8</v>
      </c>
      <c r="D129" s="19" t="s">
        <v>9</v>
      </c>
      <c r="E129" s="4">
        <v>0.8</v>
      </c>
      <c r="F129" s="42">
        <v>2.5499999999999998</v>
      </c>
      <c r="G129" s="45">
        <v>320</v>
      </c>
      <c r="H129" s="22">
        <v>2.6</v>
      </c>
      <c r="I129" s="6">
        <f t="shared" si="1"/>
        <v>1697.28</v>
      </c>
      <c r="J129" s="6" t="s">
        <v>1676</v>
      </c>
      <c r="K129" s="17"/>
    </row>
    <row r="130" spans="1:11" ht="13.95" customHeight="1" x14ac:dyDescent="0.3">
      <c r="A130" s="3">
        <v>45786</v>
      </c>
      <c r="B130" s="19" t="s">
        <v>2285</v>
      </c>
      <c r="C130" s="19" t="s">
        <v>11</v>
      </c>
      <c r="D130" s="19" t="s">
        <v>9</v>
      </c>
      <c r="E130" s="4">
        <v>0.85</v>
      </c>
      <c r="F130" s="42">
        <v>2.75</v>
      </c>
      <c r="G130" s="45">
        <v>320</v>
      </c>
      <c r="H130" s="22">
        <v>2.6</v>
      </c>
      <c r="I130" s="6">
        <f t="shared" ref="I130:I193" si="2">(G130*E130)*F130*H130</f>
        <v>1944.8</v>
      </c>
      <c r="J130" s="6" t="s">
        <v>282</v>
      </c>
      <c r="K130" s="17"/>
    </row>
    <row r="131" spans="1:11" ht="13.95" customHeight="1" x14ac:dyDescent="0.3">
      <c r="A131" s="3">
        <v>45787</v>
      </c>
      <c r="B131" s="19" t="s">
        <v>2285</v>
      </c>
      <c r="C131" s="19" t="s">
        <v>13</v>
      </c>
      <c r="D131" s="19" t="s">
        <v>14</v>
      </c>
      <c r="E131" s="4">
        <v>0.9</v>
      </c>
      <c r="F131" s="42">
        <v>3.7</v>
      </c>
      <c r="G131" s="45">
        <v>320</v>
      </c>
      <c r="H131" s="22">
        <v>2.6</v>
      </c>
      <c r="I131" s="6">
        <f t="shared" si="2"/>
        <v>2770.5600000000004</v>
      </c>
      <c r="J131" s="6" t="s">
        <v>2231</v>
      </c>
      <c r="K131" s="17"/>
    </row>
    <row r="132" spans="1:11" ht="13.95" customHeight="1" x14ac:dyDescent="0.3">
      <c r="A132" s="3">
        <v>45788</v>
      </c>
      <c r="B132" s="19" t="s">
        <v>2285</v>
      </c>
      <c r="C132" s="19" t="s">
        <v>16</v>
      </c>
      <c r="D132" s="19" t="s">
        <v>14</v>
      </c>
      <c r="E132" s="4">
        <v>0.85</v>
      </c>
      <c r="F132" s="42">
        <v>3.3</v>
      </c>
      <c r="G132" s="45">
        <v>320</v>
      </c>
      <c r="H132" s="22">
        <v>2.6</v>
      </c>
      <c r="I132" s="6">
        <f t="shared" si="2"/>
        <v>2333.7599999999998</v>
      </c>
      <c r="J132" s="6" t="s">
        <v>159</v>
      </c>
      <c r="K132" s="17"/>
    </row>
    <row r="133" spans="1:11" ht="13.95" customHeight="1" x14ac:dyDescent="0.3">
      <c r="A133" s="3">
        <v>45789</v>
      </c>
      <c r="B133" s="19" t="s">
        <v>2285</v>
      </c>
      <c r="C133" s="19" t="s">
        <v>18</v>
      </c>
      <c r="D133" s="19" t="s">
        <v>9</v>
      </c>
      <c r="E133" s="4">
        <v>0.75</v>
      </c>
      <c r="F133" s="42">
        <v>2.5</v>
      </c>
      <c r="G133" s="45">
        <v>320</v>
      </c>
      <c r="H133" s="22">
        <v>2.6</v>
      </c>
      <c r="I133" s="6">
        <f t="shared" si="2"/>
        <v>1560</v>
      </c>
      <c r="J133" s="6" t="s">
        <v>88</v>
      </c>
      <c r="K133" s="17"/>
    </row>
    <row r="134" spans="1:11" ht="13.95" customHeight="1" x14ac:dyDescent="0.3">
      <c r="A134" s="3">
        <v>45790</v>
      </c>
      <c r="B134" s="19" t="s">
        <v>2285</v>
      </c>
      <c r="C134" s="19" t="s">
        <v>20</v>
      </c>
      <c r="D134" s="19" t="s">
        <v>9</v>
      </c>
      <c r="E134" s="4">
        <v>0.75</v>
      </c>
      <c r="F134" s="42">
        <v>2.4500000000000002</v>
      </c>
      <c r="G134" s="45">
        <v>320</v>
      </c>
      <c r="H134" s="22">
        <v>2.6</v>
      </c>
      <c r="I134" s="6">
        <f t="shared" si="2"/>
        <v>1528.8</v>
      </c>
      <c r="J134" s="6" t="s">
        <v>88</v>
      </c>
      <c r="K134" s="17"/>
    </row>
    <row r="135" spans="1:11" ht="13.95" customHeight="1" x14ac:dyDescent="0.3">
      <c r="A135" s="3">
        <v>45791</v>
      </c>
      <c r="B135" s="19" t="s">
        <v>2285</v>
      </c>
      <c r="C135" s="19" t="s">
        <v>5</v>
      </c>
      <c r="D135" s="19" t="s">
        <v>9</v>
      </c>
      <c r="E135" s="4">
        <v>0.8</v>
      </c>
      <c r="F135" s="42">
        <v>2.5499999999999998</v>
      </c>
      <c r="G135" s="45">
        <v>320</v>
      </c>
      <c r="H135" s="22">
        <v>2.6</v>
      </c>
      <c r="I135" s="6">
        <f t="shared" si="2"/>
        <v>1697.28</v>
      </c>
      <c r="J135" s="6" t="s">
        <v>717</v>
      </c>
      <c r="K135" s="17"/>
    </row>
    <row r="136" spans="1:11" ht="13.95" customHeight="1" x14ac:dyDescent="0.3">
      <c r="A136" s="3">
        <v>45792</v>
      </c>
      <c r="B136" s="19" t="s">
        <v>2285</v>
      </c>
      <c r="C136" s="19" t="s">
        <v>8</v>
      </c>
      <c r="D136" s="19" t="s">
        <v>9</v>
      </c>
      <c r="E136" s="4">
        <v>0.8</v>
      </c>
      <c r="F136" s="42">
        <v>2.6</v>
      </c>
      <c r="G136" s="45">
        <v>320</v>
      </c>
      <c r="H136" s="22">
        <v>2.6</v>
      </c>
      <c r="I136" s="6">
        <f t="shared" si="2"/>
        <v>1730.5600000000002</v>
      </c>
      <c r="J136" s="6" t="s">
        <v>2232</v>
      </c>
      <c r="K136" s="17"/>
    </row>
    <row r="137" spans="1:11" ht="13.95" customHeight="1" x14ac:dyDescent="0.3">
      <c r="A137" s="3">
        <v>45793</v>
      </c>
      <c r="B137" s="19" t="s">
        <v>2285</v>
      </c>
      <c r="C137" s="19" t="s">
        <v>11</v>
      </c>
      <c r="D137" s="19" t="s">
        <v>9</v>
      </c>
      <c r="E137" s="4">
        <v>0.85</v>
      </c>
      <c r="F137" s="42">
        <v>2.85</v>
      </c>
      <c r="G137" s="45">
        <v>320</v>
      </c>
      <c r="H137" s="22">
        <v>2.6</v>
      </c>
      <c r="I137" s="6">
        <f t="shared" si="2"/>
        <v>2015.5200000000002</v>
      </c>
      <c r="J137" s="6" t="s">
        <v>97</v>
      </c>
      <c r="K137" s="17"/>
    </row>
    <row r="138" spans="1:11" ht="13.95" customHeight="1" x14ac:dyDescent="0.3">
      <c r="A138" s="3">
        <v>45794</v>
      </c>
      <c r="B138" s="19" t="s">
        <v>2285</v>
      </c>
      <c r="C138" s="19" t="s">
        <v>13</v>
      </c>
      <c r="D138" s="19" t="s">
        <v>14</v>
      </c>
      <c r="E138" s="4">
        <v>0.9</v>
      </c>
      <c r="F138" s="42">
        <v>3.8</v>
      </c>
      <c r="G138" s="45">
        <v>320</v>
      </c>
      <c r="H138" s="22">
        <v>2.6</v>
      </c>
      <c r="I138" s="6">
        <f t="shared" si="2"/>
        <v>2845.4399999999996</v>
      </c>
      <c r="J138" s="6" t="s">
        <v>1811</v>
      </c>
      <c r="K138" s="17"/>
    </row>
    <row r="139" spans="1:11" ht="13.95" customHeight="1" x14ac:dyDescent="0.3">
      <c r="A139" s="3">
        <v>45795</v>
      </c>
      <c r="B139" s="19" t="s">
        <v>2285</v>
      </c>
      <c r="C139" s="19" t="s">
        <v>16</v>
      </c>
      <c r="D139" s="19" t="s">
        <v>14</v>
      </c>
      <c r="E139" s="4">
        <v>0.85</v>
      </c>
      <c r="F139" s="42">
        <v>3.35</v>
      </c>
      <c r="G139" s="45">
        <v>320</v>
      </c>
      <c r="H139" s="22">
        <v>2.6</v>
      </c>
      <c r="I139" s="6">
        <f t="shared" si="2"/>
        <v>2369.1200000000003</v>
      </c>
      <c r="J139" s="6" t="s">
        <v>2197</v>
      </c>
      <c r="K139" s="17"/>
    </row>
    <row r="140" spans="1:11" ht="13.95" customHeight="1" x14ac:dyDescent="0.3">
      <c r="A140" s="3">
        <v>45796</v>
      </c>
      <c r="B140" s="19" t="s">
        <v>2285</v>
      </c>
      <c r="C140" s="19" t="s">
        <v>18</v>
      </c>
      <c r="D140" s="19" t="s">
        <v>9</v>
      </c>
      <c r="E140" s="4">
        <v>0.75</v>
      </c>
      <c r="F140" s="42">
        <v>2.5499999999999998</v>
      </c>
      <c r="G140" s="45">
        <v>320</v>
      </c>
      <c r="H140" s="22">
        <v>2.6</v>
      </c>
      <c r="I140" s="6">
        <f t="shared" si="2"/>
        <v>1591.2</v>
      </c>
      <c r="J140" s="6" t="s">
        <v>88</v>
      </c>
      <c r="K140" s="17"/>
    </row>
    <row r="141" spans="1:11" ht="13.95" customHeight="1" x14ac:dyDescent="0.3">
      <c r="A141" s="3">
        <v>45797</v>
      </c>
      <c r="B141" s="19" t="s">
        <v>2285</v>
      </c>
      <c r="C141" s="19" t="s">
        <v>20</v>
      </c>
      <c r="D141" s="19" t="s">
        <v>9</v>
      </c>
      <c r="E141" s="4">
        <v>0.75</v>
      </c>
      <c r="F141" s="42">
        <v>2.5</v>
      </c>
      <c r="G141" s="45">
        <v>320</v>
      </c>
      <c r="H141" s="22">
        <v>2.6</v>
      </c>
      <c r="I141" s="6">
        <f t="shared" si="2"/>
        <v>1560</v>
      </c>
      <c r="J141" s="6" t="s">
        <v>88</v>
      </c>
      <c r="K141" s="17"/>
    </row>
    <row r="142" spans="1:11" ht="13.95" customHeight="1" x14ac:dyDescent="0.3">
      <c r="A142" s="3">
        <v>45798</v>
      </c>
      <c r="B142" s="19" t="s">
        <v>2285</v>
      </c>
      <c r="C142" s="19" t="s">
        <v>5</v>
      </c>
      <c r="D142" s="19" t="s">
        <v>9</v>
      </c>
      <c r="E142" s="4">
        <v>0.8</v>
      </c>
      <c r="F142" s="42">
        <v>2.5499999999999998</v>
      </c>
      <c r="G142" s="45">
        <v>320</v>
      </c>
      <c r="H142" s="22">
        <v>2.6</v>
      </c>
      <c r="I142" s="6">
        <f t="shared" si="2"/>
        <v>1697.28</v>
      </c>
      <c r="J142" s="6" t="s">
        <v>88</v>
      </c>
      <c r="K142" s="17"/>
    </row>
    <row r="143" spans="1:11" ht="13.95" customHeight="1" x14ac:dyDescent="0.3">
      <c r="A143" s="3">
        <v>45799</v>
      </c>
      <c r="B143" s="19" t="s">
        <v>2285</v>
      </c>
      <c r="C143" s="19" t="s">
        <v>8</v>
      </c>
      <c r="D143" s="19" t="s">
        <v>9</v>
      </c>
      <c r="E143" s="4">
        <v>0.85</v>
      </c>
      <c r="F143" s="42">
        <v>2.65</v>
      </c>
      <c r="G143" s="45">
        <v>320</v>
      </c>
      <c r="H143" s="22">
        <v>2.6</v>
      </c>
      <c r="I143" s="6">
        <f t="shared" si="2"/>
        <v>1874.08</v>
      </c>
      <c r="J143" s="6" t="s">
        <v>2233</v>
      </c>
      <c r="K143" s="17"/>
    </row>
    <row r="144" spans="1:11" ht="13.95" customHeight="1" x14ac:dyDescent="0.3">
      <c r="A144" s="3">
        <v>45800</v>
      </c>
      <c r="B144" s="19" t="s">
        <v>2285</v>
      </c>
      <c r="C144" s="19" t="s">
        <v>11</v>
      </c>
      <c r="D144" s="19" t="s">
        <v>9</v>
      </c>
      <c r="E144" s="4">
        <v>0.9</v>
      </c>
      <c r="F144" s="42">
        <v>2.95</v>
      </c>
      <c r="G144" s="45">
        <v>320</v>
      </c>
      <c r="H144" s="22">
        <v>2.6</v>
      </c>
      <c r="I144" s="6">
        <f t="shared" si="2"/>
        <v>2208.96</v>
      </c>
      <c r="J144" s="6" t="s">
        <v>2234</v>
      </c>
      <c r="K144" s="17"/>
    </row>
    <row r="145" spans="1:11" ht="13.95" customHeight="1" x14ac:dyDescent="0.3">
      <c r="A145" s="3">
        <v>45801</v>
      </c>
      <c r="B145" s="19" t="s">
        <v>2285</v>
      </c>
      <c r="C145" s="19" t="s">
        <v>13</v>
      </c>
      <c r="D145" s="19" t="s">
        <v>14</v>
      </c>
      <c r="E145" s="4">
        <v>0.95</v>
      </c>
      <c r="F145" s="42">
        <v>3.9</v>
      </c>
      <c r="G145" s="45">
        <v>320</v>
      </c>
      <c r="H145" s="22">
        <v>2.6</v>
      </c>
      <c r="I145" s="6">
        <f t="shared" si="2"/>
        <v>3082.56</v>
      </c>
      <c r="J145" s="6" t="s">
        <v>2235</v>
      </c>
      <c r="K145" s="17"/>
    </row>
    <row r="146" spans="1:11" ht="13.95" customHeight="1" x14ac:dyDescent="0.3">
      <c r="A146" s="3">
        <v>45802</v>
      </c>
      <c r="B146" s="19" t="s">
        <v>2285</v>
      </c>
      <c r="C146" s="19" t="s">
        <v>16</v>
      </c>
      <c r="D146" s="19" t="s">
        <v>14</v>
      </c>
      <c r="E146" s="4">
        <v>0.95</v>
      </c>
      <c r="F146" s="42">
        <v>3.45</v>
      </c>
      <c r="G146" s="45">
        <v>320</v>
      </c>
      <c r="H146" s="22">
        <v>2.6</v>
      </c>
      <c r="I146" s="6">
        <f t="shared" si="2"/>
        <v>2726.88</v>
      </c>
      <c r="J146" s="6" t="s">
        <v>2236</v>
      </c>
      <c r="K146" s="17"/>
    </row>
    <row r="147" spans="1:11" ht="13.95" customHeight="1" x14ac:dyDescent="0.3">
      <c r="A147" s="3">
        <v>45803</v>
      </c>
      <c r="B147" s="19" t="s">
        <v>2285</v>
      </c>
      <c r="C147" s="19" t="s">
        <v>18</v>
      </c>
      <c r="D147" s="19" t="s">
        <v>9</v>
      </c>
      <c r="E147" s="4">
        <v>0.8</v>
      </c>
      <c r="F147" s="42">
        <v>2.5499999999999998</v>
      </c>
      <c r="G147" s="45">
        <v>320</v>
      </c>
      <c r="H147" s="22">
        <v>2.6</v>
      </c>
      <c r="I147" s="6">
        <f t="shared" si="2"/>
        <v>1697.28</v>
      </c>
      <c r="J147" s="6" t="s">
        <v>460</v>
      </c>
      <c r="K147" s="17"/>
    </row>
    <row r="148" spans="1:11" ht="13.95" customHeight="1" x14ac:dyDescent="0.3">
      <c r="A148" s="3">
        <v>45804</v>
      </c>
      <c r="B148" s="19" t="s">
        <v>2285</v>
      </c>
      <c r="C148" s="19" t="s">
        <v>20</v>
      </c>
      <c r="D148" s="19" t="s">
        <v>9</v>
      </c>
      <c r="E148" s="4">
        <v>0.8</v>
      </c>
      <c r="F148" s="42">
        <v>2.5499999999999998</v>
      </c>
      <c r="G148" s="45">
        <v>320</v>
      </c>
      <c r="H148" s="22">
        <v>2.6</v>
      </c>
      <c r="I148" s="6">
        <f t="shared" si="2"/>
        <v>1697.28</v>
      </c>
      <c r="J148" s="6" t="s">
        <v>88</v>
      </c>
      <c r="K148" s="17"/>
    </row>
    <row r="149" spans="1:11" ht="13.95" customHeight="1" x14ac:dyDescent="0.3">
      <c r="A149" s="3">
        <v>45805</v>
      </c>
      <c r="B149" s="19" t="s">
        <v>2285</v>
      </c>
      <c r="C149" s="19" t="s">
        <v>5</v>
      </c>
      <c r="D149" s="19" t="s">
        <v>9</v>
      </c>
      <c r="E149" s="4">
        <v>0.85</v>
      </c>
      <c r="F149" s="42">
        <v>2.6</v>
      </c>
      <c r="G149" s="45">
        <v>320</v>
      </c>
      <c r="H149" s="22">
        <v>2.6</v>
      </c>
      <c r="I149" s="6">
        <f t="shared" si="2"/>
        <v>1838.7200000000003</v>
      </c>
      <c r="J149" s="6" t="s">
        <v>88</v>
      </c>
      <c r="K149" s="17"/>
    </row>
    <row r="150" spans="1:11" ht="13.95" customHeight="1" x14ac:dyDescent="0.3">
      <c r="A150" s="3">
        <v>45806</v>
      </c>
      <c r="B150" s="19" t="s">
        <v>2285</v>
      </c>
      <c r="C150" s="19" t="s">
        <v>8</v>
      </c>
      <c r="D150" s="19" t="s">
        <v>9</v>
      </c>
      <c r="E150" s="4">
        <v>0.9</v>
      </c>
      <c r="F150" s="42">
        <v>2.75</v>
      </c>
      <c r="G150" s="45">
        <v>320</v>
      </c>
      <c r="H150" s="22">
        <v>2.6</v>
      </c>
      <c r="I150" s="6">
        <f t="shared" si="2"/>
        <v>2059.2000000000003</v>
      </c>
      <c r="J150" s="6" t="s">
        <v>717</v>
      </c>
      <c r="K150" s="17"/>
    </row>
    <row r="151" spans="1:11" ht="13.95" customHeight="1" x14ac:dyDescent="0.3">
      <c r="A151" s="3">
        <v>45807</v>
      </c>
      <c r="B151" s="19" t="s">
        <v>2285</v>
      </c>
      <c r="C151" s="19" t="s">
        <v>11</v>
      </c>
      <c r="D151" s="19" t="s">
        <v>9</v>
      </c>
      <c r="E151" s="4">
        <v>0.95</v>
      </c>
      <c r="F151" s="42">
        <v>3.1</v>
      </c>
      <c r="G151" s="45">
        <v>320</v>
      </c>
      <c r="H151" s="22">
        <v>2.6</v>
      </c>
      <c r="I151" s="6">
        <f t="shared" si="2"/>
        <v>2450.2400000000002</v>
      </c>
      <c r="J151" s="6" t="s">
        <v>67</v>
      </c>
      <c r="K151" s="17"/>
    </row>
    <row r="152" spans="1:11" ht="13.95" customHeight="1" x14ac:dyDescent="0.3">
      <c r="A152" s="3">
        <v>45808</v>
      </c>
      <c r="B152" s="19" t="s">
        <v>2285</v>
      </c>
      <c r="C152" s="19" t="s">
        <v>13</v>
      </c>
      <c r="D152" s="19" t="s">
        <v>14</v>
      </c>
      <c r="E152" s="4">
        <v>1</v>
      </c>
      <c r="F152" s="42">
        <v>4</v>
      </c>
      <c r="G152" s="45">
        <v>320</v>
      </c>
      <c r="H152" s="22">
        <v>2.6</v>
      </c>
      <c r="I152" s="6">
        <f t="shared" si="2"/>
        <v>3328</v>
      </c>
      <c r="J152" s="6" t="s">
        <v>2237</v>
      </c>
      <c r="K152" s="17"/>
    </row>
    <row r="153" spans="1:11" ht="13.95" customHeight="1" x14ac:dyDescent="0.3">
      <c r="A153" s="3">
        <v>45809</v>
      </c>
      <c r="B153" s="19" t="s">
        <v>2285</v>
      </c>
      <c r="C153" s="19" t="s">
        <v>16</v>
      </c>
      <c r="D153" s="19" t="s">
        <v>14</v>
      </c>
      <c r="E153" s="4">
        <v>0.85</v>
      </c>
      <c r="F153" s="42">
        <v>3.3</v>
      </c>
      <c r="G153" s="45">
        <v>320</v>
      </c>
      <c r="H153" s="22">
        <v>2.7</v>
      </c>
      <c r="I153" s="6">
        <f t="shared" si="2"/>
        <v>2423.52</v>
      </c>
      <c r="J153" s="6" t="s">
        <v>238</v>
      </c>
      <c r="K153" s="17"/>
    </row>
    <row r="154" spans="1:11" ht="13.95" customHeight="1" x14ac:dyDescent="0.3">
      <c r="A154" s="3">
        <v>45810</v>
      </c>
      <c r="B154" s="19" t="s">
        <v>2285</v>
      </c>
      <c r="C154" s="19" t="s">
        <v>18</v>
      </c>
      <c r="D154" s="19" t="s">
        <v>9</v>
      </c>
      <c r="E154" s="4">
        <v>0.8</v>
      </c>
      <c r="F154" s="42">
        <v>2.6</v>
      </c>
      <c r="G154" s="45">
        <v>320</v>
      </c>
      <c r="H154" s="22">
        <v>2.7</v>
      </c>
      <c r="I154" s="6">
        <f t="shared" si="2"/>
        <v>1797.1200000000001</v>
      </c>
      <c r="J154" s="6" t="s">
        <v>1605</v>
      </c>
      <c r="K154" s="17"/>
    </row>
    <row r="155" spans="1:11" ht="13.95" customHeight="1" x14ac:dyDescent="0.3">
      <c r="A155" s="3">
        <v>45811</v>
      </c>
      <c r="B155" s="19" t="s">
        <v>2285</v>
      </c>
      <c r="C155" s="19" t="s">
        <v>20</v>
      </c>
      <c r="D155" s="19" t="s">
        <v>9</v>
      </c>
      <c r="E155" s="4">
        <v>0.85</v>
      </c>
      <c r="F155" s="42">
        <v>2.6</v>
      </c>
      <c r="G155" s="45">
        <v>320</v>
      </c>
      <c r="H155" s="22">
        <v>2.7</v>
      </c>
      <c r="I155" s="6">
        <f t="shared" si="2"/>
        <v>1909.4400000000003</v>
      </c>
      <c r="J155" s="6" t="s">
        <v>1605</v>
      </c>
      <c r="K155" s="17"/>
    </row>
    <row r="156" spans="1:11" ht="13.95" customHeight="1" x14ac:dyDescent="0.3">
      <c r="A156" s="3">
        <v>45812</v>
      </c>
      <c r="B156" s="19" t="s">
        <v>2285</v>
      </c>
      <c r="C156" s="19" t="s">
        <v>5</v>
      </c>
      <c r="D156" s="19" t="s">
        <v>9</v>
      </c>
      <c r="E156" s="4">
        <v>0.9</v>
      </c>
      <c r="F156" s="42">
        <v>2.7</v>
      </c>
      <c r="G156" s="45">
        <v>320</v>
      </c>
      <c r="H156" s="22">
        <v>2.7</v>
      </c>
      <c r="I156" s="6">
        <f t="shared" si="2"/>
        <v>2099.52</v>
      </c>
      <c r="J156" s="6" t="s">
        <v>1440</v>
      </c>
      <c r="K156" s="17"/>
    </row>
    <row r="157" spans="1:11" ht="13.95" customHeight="1" x14ac:dyDescent="0.3">
      <c r="A157" s="3">
        <v>45813</v>
      </c>
      <c r="B157" s="19" t="s">
        <v>2285</v>
      </c>
      <c r="C157" s="19" t="s">
        <v>8</v>
      </c>
      <c r="D157" s="19" t="s">
        <v>904</v>
      </c>
      <c r="E157" s="4">
        <v>0.95</v>
      </c>
      <c r="F157" s="42">
        <v>3.1</v>
      </c>
      <c r="G157" s="45">
        <v>320</v>
      </c>
      <c r="H157" s="22">
        <v>2.7</v>
      </c>
      <c r="I157" s="6">
        <f t="shared" si="2"/>
        <v>2544.48</v>
      </c>
      <c r="J157" s="6" t="s">
        <v>2238</v>
      </c>
      <c r="K157" s="17"/>
    </row>
    <row r="158" spans="1:11" ht="13.95" customHeight="1" x14ac:dyDescent="0.3">
      <c r="A158" s="3">
        <v>45814</v>
      </c>
      <c r="B158" s="19" t="s">
        <v>2285</v>
      </c>
      <c r="C158" s="19" t="s">
        <v>11</v>
      </c>
      <c r="D158" s="19" t="s">
        <v>1142</v>
      </c>
      <c r="E158" s="4">
        <v>1</v>
      </c>
      <c r="F158" s="42">
        <v>3.95</v>
      </c>
      <c r="G158" s="45">
        <v>320</v>
      </c>
      <c r="H158" s="22">
        <v>2.7</v>
      </c>
      <c r="I158" s="6">
        <f t="shared" si="2"/>
        <v>3412.8</v>
      </c>
      <c r="J158" s="6" t="s">
        <v>2239</v>
      </c>
      <c r="K158" s="17"/>
    </row>
    <row r="159" spans="1:11" ht="13.95" customHeight="1" x14ac:dyDescent="0.3">
      <c r="A159" s="3">
        <v>45815</v>
      </c>
      <c r="B159" s="19" t="s">
        <v>2285</v>
      </c>
      <c r="C159" s="19" t="s">
        <v>13</v>
      </c>
      <c r="D159" s="19" t="s">
        <v>1142</v>
      </c>
      <c r="E159" s="4">
        <v>1</v>
      </c>
      <c r="F159" s="42">
        <v>4.2</v>
      </c>
      <c r="G159" s="45">
        <v>320</v>
      </c>
      <c r="H159" s="22">
        <v>2.7</v>
      </c>
      <c r="I159" s="6">
        <f t="shared" si="2"/>
        <v>3628.8</v>
      </c>
      <c r="J159" s="6" t="s">
        <v>2240</v>
      </c>
      <c r="K159" s="17"/>
    </row>
    <row r="160" spans="1:11" ht="13.95" customHeight="1" x14ac:dyDescent="0.3">
      <c r="A160" s="3">
        <v>45816</v>
      </c>
      <c r="B160" s="19" t="s">
        <v>2285</v>
      </c>
      <c r="C160" s="19" t="s">
        <v>16</v>
      </c>
      <c r="D160" s="19" t="s">
        <v>1344</v>
      </c>
      <c r="E160" s="4">
        <v>0.95</v>
      </c>
      <c r="F160" s="42">
        <v>3.6</v>
      </c>
      <c r="G160" s="45">
        <v>320</v>
      </c>
      <c r="H160" s="22">
        <v>2.7</v>
      </c>
      <c r="I160" s="6">
        <f t="shared" si="2"/>
        <v>2954.8800000000006</v>
      </c>
      <c r="J160" s="6" t="s">
        <v>576</v>
      </c>
      <c r="K160" s="17"/>
    </row>
    <row r="161" spans="1:11" ht="13.95" customHeight="1" x14ac:dyDescent="0.3">
      <c r="A161" s="3">
        <v>45817</v>
      </c>
      <c r="B161" s="19" t="s">
        <v>2285</v>
      </c>
      <c r="C161" s="19" t="s">
        <v>18</v>
      </c>
      <c r="D161" s="19" t="s">
        <v>9</v>
      </c>
      <c r="E161" s="4">
        <v>0.85</v>
      </c>
      <c r="F161" s="42">
        <v>2.7</v>
      </c>
      <c r="G161" s="45">
        <v>320</v>
      </c>
      <c r="H161" s="22">
        <v>2.7</v>
      </c>
      <c r="I161" s="6">
        <f t="shared" si="2"/>
        <v>1982.8800000000003</v>
      </c>
      <c r="J161" s="6" t="s">
        <v>2241</v>
      </c>
      <c r="K161" s="17"/>
    </row>
    <row r="162" spans="1:11" ht="13.95" customHeight="1" x14ac:dyDescent="0.3">
      <c r="A162" s="3">
        <v>45818</v>
      </c>
      <c r="B162" s="19" t="s">
        <v>2285</v>
      </c>
      <c r="C162" s="19" t="s">
        <v>20</v>
      </c>
      <c r="D162" s="19" t="s">
        <v>9</v>
      </c>
      <c r="E162" s="4">
        <v>0.85</v>
      </c>
      <c r="F162" s="42">
        <v>2.65</v>
      </c>
      <c r="G162" s="45">
        <v>320</v>
      </c>
      <c r="H162" s="22">
        <v>2.7</v>
      </c>
      <c r="I162" s="6">
        <f t="shared" si="2"/>
        <v>1946.16</v>
      </c>
      <c r="J162" s="6" t="s">
        <v>88</v>
      </c>
      <c r="K162" s="17"/>
    </row>
    <row r="163" spans="1:11" ht="13.95" customHeight="1" x14ac:dyDescent="0.3">
      <c r="A163" s="3">
        <v>45819</v>
      </c>
      <c r="B163" s="19" t="s">
        <v>2285</v>
      </c>
      <c r="C163" s="19" t="s">
        <v>5</v>
      </c>
      <c r="D163" s="19" t="s">
        <v>9</v>
      </c>
      <c r="E163" s="4">
        <v>0.9</v>
      </c>
      <c r="F163" s="42">
        <v>2.7</v>
      </c>
      <c r="G163" s="45">
        <v>320</v>
      </c>
      <c r="H163" s="22">
        <v>2.7</v>
      </c>
      <c r="I163" s="6">
        <f t="shared" si="2"/>
        <v>2099.52</v>
      </c>
      <c r="J163" s="6" t="s">
        <v>88</v>
      </c>
      <c r="K163" s="17"/>
    </row>
    <row r="164" spans="1:11" ht="13.95" customHeight="1" x14ac:dyDescent="0.3">
      <c r="A164" s="3">
        <v>45820</v>
      </c>
      <c r="B164" s="19" t="s">
        <v>2285</v>
      </c>
      <c r="C164" s="19" t="s">
        <v>8</v>
      </c>
      <c r="D164" s="19" t="s">
        <v>9</v>
      </c>
      <c r="E164" s="4">
        <v>0.9</v>
      </c>
      <c r="F164" s="42">
        <v>2.8</v>
      </c>
      <c r="G164" s="45">
        <v>320</v>
      </c>
      <c r="H164" s="22">
        <v>2.7</v>
      </c>
      <c r="I164" s="6">
        <f t="shared" si="2"/>
        <v>2177.2800000000002</v>
      </c>
      <c r="J164" s="6" t="s">
        <v>717</v>
      </c>
      <c r="K164" s="17"/>
    </row>
    <row r="165" spans="1:11" ht="13.95" customHeight="1" x14ac:dyDescent="0.3">
      <c r="A165" s="3">
        <v>45821</v>
      </c>
      <c r="B165" s="19" t="s">
        <v>2285</v>
      </c>
      <c r="C165" s="19" t="s">
        <v>11</v>
      </c>
      <c r="D165" s="19" t="s">
        <v>9</v>
      </c>
      <c r="E165" s="4">
        <v>0.95</v>
      </c>
      <c r="F165" s="42">
        <v>3.15</v>
      </c>
      <c r="G165" s="45">
        <v>320</v>
      </c>
      <c r="H165" s="22">
        <v>2.7</v>
      </c>
      <c r="I165" s="6">
        <f t="shared" si="2"/>
        <v>2585.5200000000004</v>
      </c>
      <c r="J165" s="6" t="s">
        <v>97</v>
      </c>
      <c r="K165" s="17"/>
    </row>
    <row r="166" spans="1:11" ht="13.95" customHeight="1" x14ac:dyDescent="0.3">
      <c r="A166" s="3">
        <v>45822</v>
      </c>
      <c r="B166" s="19" t="s">
        <v>2285</v>
      </c>
      <c r="C166" s="19" t="s">
        <v>13</v>
      </c>
      <c r="D166" s="19" t="s">
        <v>14</v>
      </c>
      <c r="E166" s="4">
        <v>1</v>
      </c>
      <c r="F166" s="42">
        <v>3.9</v>
      </c>
      <c r="G166" s="45">
        <v>320</v>
      </c>
      <c r="H166" s="22">
        <v>2.7</v>
      </c>
      <c r="I166" s="6">
        <f t="shared" si="2"/>
        <v>3369.6000000000004</v>
      </c>
      <c r="J166" s="6" t="s">
        <v>2242</v>
      </c>
      <c r="K166" s="17"/>
    </row>
    <row r="167" spans="1:11" ht="13.95" customHeight="1" x14ac:dyDescent="0.3">
      <c r="A167" s="3">
        <v>45823</v>
      </c>
      <c r="B167" s="19" t="s">
        <v>2285</v>
      </c>
      <c r="C167" s="19" t="s">
        <v>16</v>
      </c>
      <c r="D167" s="19" t="s">
        <v>14</v>
      </c>
      <c r="E167" s="4">
        <v>1</v>
      </c>
      <c r="F167" s="42">
        <v>3.45</v>
      </c>
      <c r="G167" s="45">
        <v>320</v>
      </c>
      <c r="H167" s="22">
        <v>2.7</v>
      </c>
      <c r="I167" s="6">
        <f t="shared" si="2"/>
        <v>2980.8</v>
      </c>
      <c r="J167" s="6" t="s">
        <v>2197</v>
      </c>
      <c r="K167" s="17"/>
    </row>
    <row r="168" spans="1:11" ht="13.95" customHeight="1" x14ac:dyDescent="0.3">
      <c r="A168" s="3">
        <v>45824</v>
      </c>
      <c r="B168" s="19" t="s">
        <v>2285</v>
      </c>
      <c r="C168" s="19" t="s">
        <v>18</v>
      </c>
      <c r="D168" s="19" t="s">
        <v>9</v>
      </c>
      <c r="E168" s="4">
        <v>0.9</v>
      </c>
      <c r="F168" s="42">
        <v>2.7</v>
      </c>
      <c r="G168" s="45">
        <v>320</v>
      </c>
      <c r="H168" s="22">
        <v>2.7</v>
      </c>
      <c r="I168" s="6">
        <f t="shared" si="2"/>
        <v>2099.52</v>
      </c>
      <c r="J168" s="6" t="s">
        <v>88</v>
      </c>
      <c r="K168" s="17"/>
    </row>
    <row r="169" spans="1:11" ht="13.95" customHeight="1" x14ac:dyDescent="0.3">
      <c r="A169" s="3">
        <v>45825</v>
      </c>
      <c r="B169" s="19" t="s">
        <v>2285</v>
      </c>
      <c r="C169" s="19" t="s">
        <v>20</v>
      </c>
      <c r="D169" s="19" t="s">
        <v>9</v>
      </c>
      <c r="E169" s="4">
        <v>0.9</v>
      </c>
      <c r="F169" s="42">
        <v>2.7</v>
      </c>
      <c r="G169" s="45">
        <v>320</v>
      </c>
      <c r="H169" s="22">
        <v>2.7</v>
      </c>
      <c r="I169" s="6">
        <f t="shared" si="2"/>
        <v>2099.52</v>
      </c>
      <c r="J169" s="6" t="s">
        <v>88</v>
      </c>
      <c r="K169" s="17"/>
    </row>
    <row r="170" spans="1:11" ht="13.95" customHeight="1" x14ac:dyDescent="0.3">
      <c r="A170" s="3">
        <v>45826</v>
      </c>
      <c r="B170" s="19" t="s">
        <v>2285</v>
      </c>
      <c r="C170" s="19" t="s">
        <v>5</v>
      </c>
      <c r="D170" s="19" t="s">
        <v>9</v>
      </c>
      <c r="E170" s="4">
        <v>0.95</v>
      </c>
      <c r="F170" s="42">
        <v>2.8</v>
      </c>
      <c r="G170" s="45">
        <v>320</v>
      </c>
      <c r="H170" s="22">
        <v>2.7</v>
      </c>
      <c r="I170" s="6">
        <f t="shared" si="2"/>
        <v>2298.2399999999998</v>
      </c>
      <c r="J170" s="6" t="s">
        <v>2201</v>
      </c>
      <c r="K170" s="17"/>
    </row>
    <row r="171" spans="1:11" ht="13.95" customHeight="1" x14ac:dyDescent="0.3">
      <c r="A171" s="3">
        <v>45827</v>
      </c>
      <c r="B171" s="19" t="s">
        <v>2285</v>
      </c>
      <c r="C171" s="19" t="s">
        <v>8</v>
      </c>
      <c r="D171" s="19" t="s">
        <v>9</v>
      </c>
      <c r="E171" s="4">
        <v>0.95</v>
      </c>
      <c r="F171" s="42">
        <v>2.85</v>
      </c>
      <c r="G171" s="45">
        <v>320</v>
      </c>
      <c r="H171" s="22">
        <v>2.7</v>
      </c>
      <c r="I171" s="6">
        <f t="shared" si="2"/>
        <v>2339.2800000000002</v>
      </c>
      <c r="J171" s="6" t="s">
        <v>2201</v>
      </c>
      <c r="K171" s="17"/>
    </row>
    <row r="172" spans="1:11" ht="13.95" customHeight="1" x14ac:dyDescent="0.3">
      <c r="A172" s="3">
        <v>45828</v>
      </c>
      <c r="B172" s="19" t="s">
        <v>2285</v>
      </c>
      <c r="C172" s="19" t="s">
        <v>11</v>
      </c>
      <c r="D172" s="19" t="s">
        <v>9</v>
      </c>
      <c r="E172" s="4">
        <v>1</v>
      </c>
      <c r="F172" s="42">
        <v>3.25</v>
      </c>
      <c r="G172" s="45">
        <v>320</v>
      </c>
      <c r="H172" s="22">
        <v>2.7</v>
      </c>
      <c r="I172" s="6">
        <f t="shared" si="2"/>
        <v>2808</v>
      </c>
      <c r="J172" s="6" t="s">
        <v>97</v>
      </c>
      <c r="K172" s="17"/>
    </row>
    <row r="173" spans="1:11" ht="13.95" customHeight="1" x14ac:dyDescent="0.3">
      <c r="A173" s="3">
        <v>45829</v>
      </c>
      <c r="B173" s="19" t="s">
        <v>2285</v>
      </c>
      <c r="C173" s="19" t="s">
        <v>13</v>
      </c>
      <c r="D173" s="19" t="s">
        <v>14</v>
      </c>
      <c r="E173" s="4">
        <v>1</v>
      </c>
      <c r="F173" s="42">
        <v>4</v>
      </c>
      <c r="G173" s="45">
        <v>320</v>
      </c>
      <c r="H173" s="22">
        <v>2.7</v>
      </c>
      <c r="I173" s="6">
        <f t="shared" si="2"/>
        <v>3456</v>
      </c>
      <c r="J173" s="6" t="s">
        <v>2243</v>
      </c>
      <c r="K173" s="17"/>
    </row>
    <row r="174" spans="1:11" ht="13.95" customHeight="1" x14ac:dyDescent="0.3">
      <c r="A174" s="3">
        <v>45830</v>
      </c>
      <c r="B174" s="19" t="s">
        <v>2285</v>
      </c>
      <c r="C174" s="19" t="s">
        <v>16</v>
      </c>
      <c r="D174" s="19" t="s">
        <v>14</v>
      </c>
      <c r="E174" s="4">
        <v>1</v>
      </c>
      <c r="F174" s="42">
        <v>3.55</v>
      </c>
      <c r="G174" s="45">
        <v>320</v>
      </c>
      <c r="H174" s="22">
        <v>2.7</v>
      </c>
      <c r="I174" s="6">
        <f t="shared" si="2"/>
        <v>3067.2000000000003</v>
      </c>
      <c r="J174" s="6" t="s">
        <v>2236</v>
      </c>
      <c r="K174" s="17"/>
    </row>
    <row r="175" spans="1:11" ht="13.95" customHeight="1" x14ac:dyDescent="0.3">
      <c r="A175" s="3">
        <v>45831</v>
      </c>
      <c r="B175" s="19" t="s">
        <v>2285</v>
      </c>
      <c r="C175" s="19" t="s">
        <v>18</v>
      </c>
      <c r="D175" s="19" t="s">
        <v>9</v>
      </c>
      <c r="E175" s="4">
        <v>0.95</v>
      </c>
      <c r="F175" s="42">
        <v>2.8</v>
      </c>
      <c r="G175" s="45">
        <v>320</v>
      </c>
      <c r="H175" s="22">
        <v>2.7</v>
      </c>
      <c r="I175" s="6">
        <f t="shared" si="2"/>
        <v>2298.2399999999998</v>
      </c>
      <c r="J175" s="6" t="s">
        <v>88</v>
      </c>
      <c r="K175" s="17"/>
    </row>
    <row r="176" spans="1:11" ht="13.95" customHeight="1" x14ac:dyDescent="0.3">
      <c r="A176" s="3">
        <v>45832</v>
      </c>
      <c r="B176" s="19" t="s">
        <v>2285</v>
      </c>
      <c r="C176" s="19" t="s">
        <v>20</v>
      </c>
      <c r="D176" s="19" t="s">
        <v>9</v>
      </c>
      <c r="E176" s="4">
        <v>0.95</v>
      </c>
      <c r="F176" s="42">
        <v>2.8</v>
      </c>
      <c r="G176" s="45">
        <v>320</v>
      </c>
      <c r="H176" s="22">
        <v>2.7</v>
      </c>
      <c r="I176" s="6">
        <f t="shared" si="2"/>
        <v>2298.2399999999998</v>
      </c>
      <c r="J176" s="6" t="s">
        <v>88</v>
      </c>
      <c r="K176" s="17"/>
    </row>
    <row r="177" spans="1:11" ht="13.95" customHeight="1" x14ac:dyDescent="0.3">
      <c r="A177" s="3">
        <v>45833</v>
      </c>
      <c r="B177" s="19" t="s">
        <v>2285</v>
      </c>
      <c r="C177" s="19" t="s">
        <v>5</v>
      </c>
      <c r="D177" s="19" t="s">
        <v>9</v>
      </c>
      <c r="E177" s="4">
        <v>0.98</v>
      </c>
      <c r="F177" s="42">
        <v>2.9</v>
      </c>
      <c r="G177" s="45">
        <v>320</v>
      </c>
      <c r="H177" s="22">
        <v>2.7</v>
      </c>
      <c r="I177" s="6">
        <f t="shared" si="2"/>
        <v>2455.4880000000003</v>
      </c>
      <c r="J177" s="6" t="s">
        <v>2225</v>
      </c>
      <c r="K177" s="17"/>
    </row>
    <row r="178" spans="1:11" ht="13.95" customHeight="1" x14ac:dyDescent="0.3">
      <c r="A178" s="3">
        <v>45834</v>
      </c>
      <c r="B178" s="19" t="s">
        <v>2285</v>
      </c>
      <c r="C178" s="19" t="s">
        <v>8</v>
      </c>
      <c r="D178" s="19" t="s">
        <v>9</v>
      </c>
      <c r="E178" s="4">
        <v>0.98</v>
      </c>
      <c r="F178" s="42">
        <v>2.9</v>
      </c>
      <c r="G178" s="45">
        <v>320</v>
      </c>
      <c r="H178" s="22">
        <v>2.7</v>
      </c>
      <c r="I178" s="6">
        <f t="shared" si="2"/>
        <v>2455.4880000000003</v>
      </c>
      <c r="J178" s="6" t="s">
        <v>717</v>
      </c>
      <c r="K178" s="17"/>
    </row>
    <row r="179" spans="1:11" ht="13.95" customHeight="1" x14ac:dyDescent="0.3">
      <c r="A179" s="3">
        <v>45835</v>
      </c>
      <c r="B179" s="19" t="s">
        <v>2285</v>
      </c>
      <c r="C179" s="19" t="s">
        <v>11</v>
      </c>
      <c r="D179" s="19" t="s">
        <v>9</v>
      </c>
      <c r="E179" s="4">
        <v>1</v>
      </c>
      <c r="F179" s="42">
        <v>3.4</v>
      </c>
      <c r="G179" s="45">
        <v>320</v>
      </c>
      <c r="H179" s="22">
        <v>2.7</v>
      </c>
      <c r="I179" s="6">
        <f t="shared" si="2"/>
        <v>2937.6000000000004</v>
      </c>
      <c r="J179" s="6" t="s">
        <v>2244</v>
      </c>
      <c r="K179" s="17"/>
    </row>
    <row r="180" spans="1:11" ht="13.95" customHeight="1" x14ac:dyDescent="0.3">
      <c r="A180" s="3">
        <v>45836</v>
      </c>
      <c r="B180" s="19" t="s">
        <v>2285</v>
      </c>
      <c r="C180" s="19" t="s">
        <v>13</v>
      </c>
      <c r="D180" s="19" t="s">
        <v>995</v>
      </c>
      <c r="E180" s="4">
        <v>1</v>
      </c>
      <c r="F180" s="42">
        <v>4.1500000000000004</v>
      </c>
      <c r="G180" s="45">
        <v>320</v>
      </c>
      <c r="H180" s="22">
        <v>2.7</v>
      </c>
      <c r="I180" s="6">
        <f t="shared" si="2"/>
        <v>3585.6000000000004</v>
      </c>
      <c r="J180" s="6" t="s">
        <v>2245</v>
      </c>
      <c r="K180" s="17"/>
    </row>
    <row r="181" spans="1:11" ht="13.95" customHeight="1" x14ac:dyDescent="0.3">
      <c r="A181" s="3">
        <v>45837</v>
      </c>
      <c r="B181" s="19" t="s">
        <v>2285</v>
      </c>
      <c r="C181" s="19" t="s">
        <v>16</v>
      </c>
      <c r="D181" s="19" t="s">
        <v>14</v>
      </c>
      <c r="E181" s="4">
        <v>1</v>
      </c>
      <c r="F181" s="42">
        <v>3.6</v>
      </c>
      <c r="G181" s="45">
        <v>320</v>
      </c>
      <c r="H181" s="22">
        <v>2.7</v>
      </c>
      <c r="I181" s="6">
        <f t="shared" si="2"/>
        <v>3110.4</v>
      </c>
      <c r="J181" s="6" t="s">
        <v>69</v>
      </c>
      <c r="K181" s="17"/>
    </row>
    <row r="182" spans="1:11" ht="13.95" customHeight="1" x14ac:dyDescent="0.3">
      <c r="A182" s="3">
        <v>45838</v>
      </c>
      <c r="B182" s="19" t="s">
        <v>2285</v>
      </c>
      <c r="C182" s="19" t="s">
        <v>18</v>
      </c>
      <c r="D182" s="19" t="s">
        <v>9</v>
      </c>
      <c r="E182" s="4">
        <v>0.95</v>
      </c>
      <c r="F182" s="42">
        <v>2.9</v>
      </c>
      <c r="G182" s="45">
        <v>320</v>
      </c>
      <c r="H182" s="22">
        <v>2.7</v>
      </c>
      <c r="I182" s="6">
        <f t="shared" si="2"/>
        <v>2380.3200000000002</v>
      </c>
      <c r="J182" s="6" t="s">
        <v>783</v>
      </c>
      <c r="K182" s="17"/>
    </row>
    <row r="183" spans="1:11" ht="13.95" customHeight="1" x14ac:dyDescent="0.3">
      <c r="A183" s="3">
        <v>45870</v>
      </c>
      <c r="B183" s="19" t="s">
        <v>2285</v>
      </c>
      <c r="C183" s="19" t="s">
        <v>11</v>
      </c>
      <c r="D183" s="19" t="s">
        <v>1347</v>
      </c>
      <c r="E183" s="4">
        <v>1</v>
      </c>
      <c r="F183" s="42">
        <v>3.1</v>
      </c>
      <c r="G183" s="45">
        <v>320</v>
      </c>
      <c r="H183" s="22">
        <v>2.9</v>
      </c>
      <c r="I183" s="6">
        <f t="shared" si="2"/>
        <v>2876.7999999999997</v>
      </c>
      <c r="J183" s="6" t="s">
        <v>67</v>
      </c>
      <c r="K183" s="17"/>
    </row>
    <row r="184" spans="1:11" ht="13.95" customHeight="1" x14ac:dyDescent="0.3">
      <c r="A184" s="3">
        <v>45871</v>
      </c>
      <c r="B184" s="19" t="s">
        <v>2285</v>
      </c>
      <c r="C184" s="19" t="s">
        <v>13</v>
      </c>
      <c r="D184" s="19" t="s">
        <v>14</v>
      </c>
      <c r="E184" s="4">
        <v>1</v>
      </c>
      <c r="F184" s="42">
        <v>3.8</v>
      </c>
      <c r="G184" s="45">
        <v>320</v>
      </c>
      <c r="H184" s="22">
        <v>2.9</v>
      </c>
      <c r="I184" s="6">
        <f t="shared" si="2"/>
        <v>3526.4</v>
      </c>
      <c r="J184" s="6" t="s">
        <v>2246</v>
      </c>
      <c r="K184" s="17"/>
    </row>
    <row r="185" spans="1:11" ht="13.95" customHeight="1" x14ac:dyDescent="0.3">
      <c r="A185" s="3">
        <v>45872</v>
      </c>
      <c r="B185" s="19" t="s">
        <v>2285</v>
      </c>
      <c r="C185" s="19" t="s">
        <v>16</v>
      </c>
      <c r="D185" s="19" t="s">
        <v>14</v>
      </c>
      <c r="E185" s="4">
        <v>1</v>
      </c>
      <c r="F185" s="42">
        <v>3.45</v>
      </c>
      <c r="G185" s="45">
        <v>320</v>
      </c>
      <c r="H185" s="22">
        <v>2.9</v>
      </c>
      <c r="I185" s="6">
        <f t="shared" si="2"/>
        <v>3201.6</v>
      </c>
      <c r="J185" s="6" t="s">
        <v>2197</v>
      </c>
      <c r="K185" s="17"/>
    </row>
    <row r="186" spans="1:11" ht="13.95" customHeight="1" x14ac:dyDescent="0.3">
      <c r="A186" s="3">
        <v>45873</v>
      </c>
      <c r="B186" s="19" t="s">
        <v>2285</v>
      </c>
      <c r="C186" s="19" t="s">
        <v>18</v>
      </c>
      <c r="D186" s="19" t="s">
        <v>1347</v>
      </c>
      <c r="E186" s="4">
        <v>1</v>
      </c>
      <c r="F186" s="42">
        <v>2.9</v>
      </c>
      <c r="G186" s="45">
        <v>320</v>
      </c>
      <c r="H186" s="22">
        <v>2.9</v>
      </c>
      <c r="I186" s="6">
        <f t="shared" si="2"/>
        <v>2691.2</v>
      </c>
      <c r="J186" s="6" t="s">
        <v>2247</v>
      </c>
      <c r="K186" s="17"/>
    </row>
    <row r="187" spans="1:11" ht="13.95" customHeight="1" x14ac:dyDescent="0.3">
      <c r="A187" s="3">
        <v>45874</v>
      </c>
      <c r="B187" s="19" t="s">
        <v>2285</v>
      </c>
      <c r="C187" s="19" t="s">
        <v>20</v>
      </c>
      <c r="D187" s="19" t="s">
        <v>1347</v>
      </c>
      <c r="E187" s="4">
        <v>1</v>
      </c>
      <c r="F187" s="42">
        <v>2.9</v>
      </c>
      <c r="G187" s="45">
        <v>320</v>
      </c>
      <c r="H187" s="22">
        <v>2.9</v>
      </c>
      <c r="I187" s="6">
        <f t="shared" si="2"/>
        <v>2691.2</v>
      </c>
      <c r="J187" s="6" t="s">
        <v>2247</v>
      </c>
      <c r="K187" s="17"/>
    </row>
    <row r="188" spans="1:11" ht="13.95" customHeight="1" x14ac:dyDescent="0.3">
      <c r="A188" s="3">
        <v>45875</v>
      </c>
      <c r="B188" s="19" t="s">
        <v>2285</v>
      </c>
      <c r="C188" s="19" t="s">
        <v>5</v>
      </c>
      <c r="D188" s="19" t="s">
        <v>1347</v>
      </c>
      <c r="E188" s="4">
        <v>1</v>
      </c>
      <c r="F188" s="42">
        <v>2.95</v>
      </c>
      <c r="G188" s="45">
        <v>320</v>
      </c>
      <c r="H188" s="22">
        <v>2.9</v>
      </c>
      <c r="I188" s="6">
        <f t="shared" si="2"/>
        <v>2737.6</v>
      </c>
      <c r="J188" s="6" t="s">
        <v>2248</v>
      </c>
      <c r="K188" s="17"/>
    </row>
    <row r="189" spans="1:11" ht="13.95" customHeight="1" x14ac:dyDescent="0.3">
      <c r="A189" s="3">
        <v>45876</v>
      </c>
      <c r="B189" s="19" t="s">
        <v>2285</v>
      </c>
      <c r="C189" s="19" t="s">
        <v>8</v>
      </c>
      <c r="D189" s="19" t="s">
        <v>1347</v>
      </c>
      <c r="E189" s="4">
        <v>1</v>
      </c>
      <c r="F189" s="42">
        <v>3</v>
      </c>
      <c r="G189" s="45">
        <v>320</v>
      </c>
      <c r="H189" s="22">
        <v>2.9</v>
      </c>
      <c r="I189" s="6">
        <f t="shared" si="2"/>
        <v>2784</v>
      </c>
      <c r="J189" s="6" t="s">
        <v>1670</v>
      </c>
      <c r="K189" s="17"/>
    </row>
    <row r="190" spans="1:11" ht="13.95" customHeight="1" x14ac:dyDescent="0.3">
      <c r="A190" s="3">
        <v>45877</v>
      </c>
      <c r="B190" s="19" t="s">
        <v>2285</v>
      </c>
      <c r="C190" s="19" t="s">
        <v>11</v>
      </c>
      <c r="D190" s="19" t="s">
        <v>1347</v>
      </c>
      <c r="E190" s="4">
        <v>1</v>
      </c>
      <c r="F190" s="42">
        <v>3.25</v>
      </c>
      <c r="G190" s="45">
        <v>320</v>
      </c>
      <c r="H190" s="22">
        <v>2.9</v>
      </c>
      <c r="I190" s="6">
        <f t="shared" si="2"/>
        <v>3016</v>
      </c>
      <c r="J190" s="6" t="s">
        <v>2249</v>
      </c>
      <c r="K190" s="17"/>
    </row>
    <row r="191" spans="1:11" ht="13.95" customHeight="1" x14ac:dyDescent="0.3">
      <c r="A191" s="3">
        <v>45878</v>
      </c>
      <c r="B191" s="19" t="s">
        <v>2285</v>
      </c>
      <c r="C191" s="19" t="s">
        <v>13</v>
      </c>
      <c r="D191" s="19" t="s">
        <v>14</v>
      </c>
      <c r="E191" s="4">
        <v>1</v>
      </c>
      <c r="F191" s="42">
        <v>3.95</v>
      </c>
      <c r="G191" s="45">
        <v>320</v>
      </c>
      <c r="H191" s="22">
        <v>2.9</v>
      </c>
      <c r="I191" s="6">
        <f t="shared" si="2"/>
        <v>3665.6</v>
      </c>
      <c r="J191" s="6" t="s">
        <v>2250</v>
      </c>
      <c r="K191" s="17"/>
    </row>
    <row r="192" spans="1:11" ht="13.95" customHeight="1" x14ac:dyDescent="0.3">
      <c r="A192" s="3">
        <v>45879</v>
      </c>
      <c r="B192" s="19" t="s">
        <v>2285</v>
      </c>
      <c r="C192" s="19" t="s">
        <v>16</v>
      </c>
      <c r="D192" s="19" t="s">
        <v>14</v>
      </c>
      <c r="E192" s="4">
        <v>1</v>
      </c>
      <c r="F192" s="42">
        <v>3.55</v>
      </c>
      <c r="G192" s="45">
        <v>320</v>
      </c>
      <c r="H192" s="22">
        <v>2.9</v>
      </c>
      <c r="I192" s="6">
        <f t="shared" si="2"/>
        <v>3294.4</v>
      </c>
      <c r="J192" s="6" t="s">
        <v>2251</v>
      </c>
      <c r="K192" s="17"/>
    </row>
    <row r="193" spans="1:11" ht="13.95" customHeight="1" x14ac:dyDescent="0.3">
      <c r="A193" s="3">
        <v>45880</v>
      </c>
      <c r="B193" s="19" t="s">
        <v>2285</v>
      </c>
      <c r="C193" s="19" t="s">
        <v>18</v>
      </c>
      <c r="D193" s="19" t="s">
        <v>1347</v>
      </c>
      <c r="E193" s="4">
        <v>1</v>
      </c>
      <c r="F193" s="42">
        <v>2.95</v>
      </c>
      <c r="G193" s="45">
        <v>320</v>
      </c>
      <c r="H193" s="22">
        <v>2.9</v>
      </c>
      <c r="I193" s="6">
        <f t="shared" si="2"/>
        <v>2737.6</v>
      </c>
      <c r="J193" s="6" t="s">
        <v>2252</v>
      </c>
      <c r="K193" s="17"/>
    </row>
    <row r="194" spans="1:11" ht="13.95" customHeight="1" x14ac:dyDescent="0.3">
      <c r="A194" s="3">
        <v>45881</v>
      </c>
      <c r="B194" s="19" t="s">
        <v>2285</v>
      </c>
      <c r="C194" s="19" t="s">
        <v>20</v>
      </c>
      <c r="D194" s="19" t="s">
        <v>994</v>
      </c>
      <c r="E194" s="4">
        <v>1</v>
      </c>
      <c r="F194" s="42">
        <v>3.15</v>
      </c>
      <c r="G194" s="45">
        <v>320</v>
      </c>
      <c r="H194" s="22">
        <v>2.9</v>
      </c>
      <c r="I194" s="6">
        <f t="shared" ref="I194:I257" si="3">(G194*E194)*F194*H194</f>
        <v>2923.2</v>
      </c>
      <c r="J194" s="6" t="s">
        <v>667</v>
      </c>
      <c r="K194" s="17"/>
    </row>
    <row r="195" spans="1:11" ht="13.95" customHeight="1" x14ac:dyDescent="0.3">
      <c r="A195" s="3">
        <v>45882</v>
      </c>
      <c r="B195" s="19" t="s">
        <v>2285</v>
      </c>
      <c r="C195" s="19" t="s">
        <v>5</v>
      </c>
      <c r="D195" s="19" t="s">
        <v>850</v>
      </c>
      <c r="E195" s="4">
        <v>1</v>
      </c>
      <c r="F195" s="42">
        <v>4.0999999999999996</v>
      </c>
      <c r="G195" s="45">
        <v>320</v>
      </c>
      <c r="H195" s="22">
        <v>2.9</v>
      </c>
      <c r="I195" s="6">
        <f t="shared" si="3"/>
        <v>3804.7999999999997</v>
      </c>
      <c r="J195" s="6" t="s">
        <v>2253</v>
      </c>
      <c r="K195" s="17"/>
    </row>
    <row r="196" spans="1:11" ht="13.95" customHeight="1" x14ac:dyDescent="0.3">
      <c r="A196" s="3">
        <v>45883</v>
      </c>
      <c r="B196" s="19" t="s">
        <v>2285</v>
      </c>
      <c r="C196" s="19" t="s">
        <v>8</v>
      </c>
      <c r="D196" s="19" t="s">
        <v>1347</v>
      </c>
      <c r="E196" s="4">
        <v>1</v>
      </c>
      <c r="F196" s="42">
        <v>3</v>
      </c>
      <c r="G196" s="45">
        <v>320</v>
      </c>
      <c r="H196" s="22">
        <v>2.9</v>
      </c>
      <c r="I196" s="6">
        <f t="shared" si="3"/>
        <v>2784</v>
      </c>
      <c r="J196" s="6" t="s">
        <v>828</v>
      </c>
      <c r="K196" s="17"/>
    </row>
    <row r="197" spans="1:11" ht="13.95" customHeight="1" x14ac:dyDescent="0.3">
      <c r="A197" s="3">
        <v>45884</v>
      </c>
      <c r="B197" s="19" t="s">
        <v>2285</v>
      </c>
      <c r="C197" s="19" t="s">
        <v>11</v>
      </c>
      <c r="D197" s="19" t="s">
        <v>1347</v>
      </c>
      <c r="E197" s="4">
        <v>1</v>
      </c>
      <c r="F197" s="42">
        <v>3.3</v>
      </c>
      <c r="G197" s="45">
        <v>320</v>
      </c>
      <c r="H197" s="22">
        <v>2.9</v>
      </c>
      <c r="I197" s="6">
        <f t="shared" si="3"/>
        <v>3062.4</v>
      </c>
      <c r="J197" s="6" t="s">
        <v>2254</v>
      </c>
      <c r="K197" s="17"/>
    </row>
    <row r="198" spans="1:11" ht="13.95" customHeight="1" x14ac:dyDescent="0.3">
      <c r="A198" s="3">
        <v>45885</v>
      </c>
      <c r="B198" s="19" t="s">
        <v>2285</v>
      </c>
      <c r="C198" s="19" t="s">
        <v>13</v>
      </c>
      <c r="D198" s="19" t="s">
        <v>14</v>
      </c>
      <c r="E198" s="4">
        <v>1</v>
      </c>
      <c r="F198" s="42">
        <v>4.2</v>
      </c>
      <c r="G198" s="45">
        <v>320</v>
      </c>
      <c r="H198" s="22">
        <v>2.9</v>
      </c>
      <c r="I198" s="6">
        <f t="shared" si="3"/>
        <v>3897.6</v>
      </c>
      <c r="J198" s="6" t="s">
        <v>1568</v>
      </c>
      <c r="K198" s="17"/>
    </row>
    <row r="199" spans="1:11" ht="13.95" customHeight="1" x14ac:dyDescent="0.3">
      <c r="A199" s="3">
        <v>45886</v>
      </c>
      <c r="B199" s="19" t="s">
        <v>2285</v>
      </c>
      <c r="C199" s="19" t="s">
        <v>16</v>
      </c>
      <c r="D199" s="19" t="s">
        <v>14</v>
      </c>
      <c r="E199" s="4">
        <v>1</v>
      </c>
      <c r="F199" s="42">
        <v>3.6</v>
      </c>
      <c r="G199" s="45">
        <v>320</v>
      </c>
      <c r="H199" s="22">
        <v>2.9</v>
      </c>
      <c r="I199" s="6">
        <f t="shared" si="3"/>
        <v>3340.7999999999997</v>
      </c>
      <c r="J199" s="6" t="s">
        <v>2255</v>
      </c>
      <c r="K199" s="17"/>
    </row>
    <row r="200" spans="1:11" ht="13.95" customHeight="1" x14ac:dyDescent="0.3">
      <c r="A200" s="3">
        <v>45887</v>
      </c>
      <c r="B200" s="19" t="s">
        <v>2285</v>
      </c>
      <c r="C200" s="19" t="s">
        <v>18</v>
      </c>
      <c r="D200" s="19" t="s">
        <v>1347</v>
      </c>
      <c r="E200" s="4">
        <v>1</v>
      </c>
      <c r="F200" s="42">
        <v>2.95</v>
      </c>
      <c r="G200" s="45">
        <v>320</v>
      </c>
      <c r="H200" s="22">
        <v>2.9</v>
      </c>
      <c r="I200" s="6">
        <f t="shared" si="3"/>
        <v>2737.6</v>
      </c>
      <c r="J200" s="6" t="s">
        <v>2256</v>
      </c>
      <c r="K200" s="17"/>
    </row>
    <row r="201" spans="1:11" ht="13.95" customHeight="1" x14ac:dyDescent="0.3">
      <c r="A201" s="3">
        <v>45888</v>
      </c>
      <c r="B201" s="19" t="s">
        <v>2285</v>
      </c>
      <c r="C201" s="19" t="s">
        <v>20</v>
      </c>
      <c r="D201" s="19" t="s">
        <v>1347</v>
      </c>
      <c r="E201" s="4">
        <v>1</v>
      </c>
      <c r="F201" s="42">
        <v>2.95</v>
      </c>
      <c r="G201" s="45">
        <v>320</v>
      </c>
      <c r="H201" s="22">
        <v>2.9</v>
      </c>
      <c r="I201" s="6">
        <f t="shared" si="3"/>
        <v>2737.6</v>
      </c>
      <c r="J201" s="6" t="s">
        <v>2256</v>
      </c>
      <c r="K201" s="17"/>
    </row>
    <row r="202" spans="1:11" ht="13.95" customHeight="1" x14ac:dyDescent="0.3">
      <c r="A202" s="3">
        <v>45889</v>
      </c>
      <c r="B202" s="19" t="s">
        <v>2285</v>
      </c>
      <c r="C202" s="19" t="s">
        <v>5</v>
      </c>
      <c r="D202" s="19" t="s">
        <v>1347</v>
      </c>
      <c r="E202" s="4">
        <v>1</v>
      </c>
      <c r="F202" s="42">
        <v>3</v>
      </c>
      <c r="G202" s="45">
        <v>320</v>
      </c>
      <c r="H202" s="22">
        <v>2.9</v>
      </c>
      <c r="I202" s="6">
        <f t="shared" si="3"/>
        <v>2784</v>
      </c>
      <c r="J202" s="6" t="s">
        <v>828</v>
      </c>
      <c r="K202" s="17"/>
    </row>
    <row r="203" spans="1:11" ht="13.95" customHeight="1" x14ac:dyDescent="0.3">
      <c r="A203" s="3">
        <v>45890</v>
      </c>
      <c r="B203" s="19" t="s">
        <v>2285</v>
      </c>
      <c r="C203" s="19" t="s">
        <v>8</v>
      </c>
      <c r="D203" s="19" t="s">
        <v>1347</v>
      </c>
      <c r="E203" s="4">
        <v>1</v>
      </c>
      <c r="F203" s="42">
        <v>3.05</v>
      </c>
      <c r="G203" s="45">
        <v>320</v>
      </c>
      <c r="H203" s="22">
        <v>2.9</v>
      </c>
      <c r="I203" s="6">
        <f t="shared" si="3"/>
        <v>2830.4</v>
      </c>
      <c r="J203" s="6" t="s">
        <v>828</v>
      </c>
      <c r="K203" s="17"/>
    </row>
    <row r="204" spans="1:11" ht="13.95" customHeight="1" x14ac:dyDescent="0.3">
      <c r="A204" s="3">
        <v>45891</v>
      </c>
      <c r="B204" s="19" t="s">
        <v>2285</v>
      </c>
      <c r="C204" s="19" t="s">
        <v>11</v>
      </c>
      <c r="D204" s="19" t="s">
        <v>1347</v>
      </c>
      <c r="E204" s="4">
        <v>1</v>
      </c>
      <c r="F204" s="42">
        <v>3.3</v>
      </c>
      <c r="G204" s="45">
        <v>320</v>
      </c>
      <c r="H204" s="22">
        <v>2.9</v>
      </c>
      <c r="I204" s="6">
        <f t="shared" si="3"/>
        <v>3062.4</v>
      </c>
      <c r="J204" s="6" t="s">
        <v>97</v>
      </c>
      <c r="K204" s="17"/>
    </row>
    <row r="205" spans="1:11" ht="13.95" customHeight="1" x14ac:dyDescent="0.3">
      <c r="A205" s="3">
        <v>45892</v>
      </c>
      <c r="B205" s="19" t="s">
        <v>2285</v>
      </c>
      <c r="C205" s="19" t="s">
        <v>13</v>
      </c>
      <c r="D205" s="19" t="s">
        <v>14</v>
      </c>
      <c r="E205" s="4">
        <v>1</v>
      </c>
      <c r="F205" s="42">
        <v>4.0999999999999996</v>
      </c>
      <c r="G205" s="45">
        <v>320</v>
      </c>
      <c r="H205" s="22">
        <v>2.9</v>
      </c>
      <c r="I205" s="6">
        <f t="shared" si="3"/>
        <v>3804.7999999999997</v>
      </c>
      <c r="J205" s="6" t="s">
        <v>2257</v>
      </c>
      <c r="K205" s="17"/>
    </row>
    <row r="206" spans="1:11" ht="13.95" customHeight="1" x14ac:dyDescent="0.3">
      <c r="A206" s="3">
        <v>45893</v>
      </c>
      <c r="B206" s="19" t="s">
        <v>2285</v>
      </c>
      <c r="C206" s="19" t="s">
        <v>16</v>
      </c>
      <c r="D206" s="19" t="s">
        <v>14</v>
      </c>
      <c r="E206" s="4">
        <v>1</v>
      </c>
      <c r="F206" s="42">
        <v>3.55</v>
      </c>
      <c r="G206" s="45">
        <v>320</v>
      </c>
      <c r="H206" s="22">
        <v>2.9</v>
      </c>
      <c r="I206" s="6">
        <f t="shared" si="3"/>
        <v>3294.4</v>
      </c>
      <c r="J206" s="6" t="s">
        <v>238</v>
      </c>
      <c r="K206" s="17"/>
    </row>
    <row r="207" spans="1:11" ht="13.95" customHeight="1" x14ac:dyDescent="0.3">
      <c r="A207" s="3">
        <v>45894</v>
      </c>
      <c r="B207" s="19" t="s">
        <v>2285</v>
      </c>
      <c r="C207" s="19" t="s">
        <v>18</v>
      </c>
      <c r="D207" s="19" t="s">
        <v>1347</v>
      </c>
      <c r="E207" s="4">
        <v>1</v>
      </c>
      <c r="F207" s="42">
        <v>2.9</v>
      </c>
      <c r="G207" s="45">
        <v>320</v>
      </c>
      <c r="H207" s="22">
        <v>2.9</v>
      </c>
      <c r="I207" s="6">
        <f t="shared" si="3"/>
        <v>2691.2</v>
      </c>
      <c r="J207" s="6" t="s">
        <v>1670</v>
      </c>
      <c r="K207" s="17"/>
    </row>
    <row r="208" spans="1:11" ht="13.95" customHeight="1" x14ac:dyDescent="0.3">
      <c r="A208" s="3">
        <v>45895</v>
      </c>
      <c r="B208" s="19" t="s">
        <v>2285</v>
      </c>
      <c r="C208" s="19" t="s">
        <v>20</v>
      </c>
      <c r="D208" s="19" t="s">
        <v>1347</v>
      </c>
      <c r="E208" s="4">
        <v>1</v>
      </c>
      <c r="F208" s="42">
        <v>2.9</v>
      </c>
      <c r="G208" s="45">
        <v>320</v>
      </c>
      <c r="H208" s="22">
        <v>2.9</v>
      </c>
      <c r="I208" s="6">
        <f t="shared" si="3"/>
        <v>2691.2</v>
      </c>
      <c r="J208" s="6" t="s">
        <v>1670</v>
      </c>
      <c r="K208" s="17"/>
    </row>
    <row r="209" spans="1:11" ht="13.95" customHeight="1" x14ac:dyDescent="0.3">
      <c r="A209" s="3">
        <v>45896</v>
      </c>
      <c r="B209" s="19" t="s">
        <v>2285</v>
      </c>
      <c r="C209" s="19" t="s">
        <v>5</v>
      </c>
      <c r="D209" s="19" t="s">
        <v>1347</v>
      </c>
      <c r="E209" s="4">
        <v>1</v>
      </c>
      <c r="F209" s="42">
        <v>2.9</v>
      </c>
      <c r="G209" s="45">
        <v>320</v>
      </c>
      <c r="H209" s="22">
        <v>2.9</v>
      </c>
      <c r="I209" s="6">
        <f t="shared" si="3"/>
        <v>2691.2</v>
      </c>
      <c r="J209" s="6" t="s">
        <v>1670</v>
      </c>
      <c r="K209" s="17"/>
    </row>
    <row r="210" spans="1:11" ht="13.95" customHeight="1" x14ac:dyDescent="0.3">
      <c r="A210" s="3">
        <v>45897</v>
      </c>
      <c r="B210" s="19" t="s">
        <v>2285</v>
      </c>
      <c r="C210" s="19" t="s">
        <v>8</v>
      </c>
      <c r="D210" s="19" t="s">
        <v>1347</v>
      </c>
      <c r="E210" s="4">
        <v>1</v>
      </c>
      <c r="F210" s="42">
        <v>3</v>
      </c>
      <c r="G210" s="45">
        <v>320</v>
      </c>
      <c r="H210" s="22">
        <v>2.9</v>
      </c>
      <c r="I210" s="6">
        <f t="shared" si="3"/>
        <v>2784</v>
      </c>
      <c r="J210" s="6" t="s">
        <v>717</v>
      </c>
      <c r="K210" s="17"/>
    </row>
    <row r="211" spans="1:11" ht="13.95" customHeight="1" x14ac:dyDescent="0.3">
      <c r="A211" s="3">
        <v>45898</v>
      </c>
      <c r="B211" s="19" t="s">
        <v>2285</v>
      </c>
      <c r="C211" s="19" t="s">
        <v>11</v>
      </c>
      <c r="D211" s="19" t="s">
        <v>1347</v>
      </c>
      <c r="E211" s="4">
        <v>1</v>
      </c>
      <c r="F211" s="42">
        <v>3.4</v>
      </c>
      <c r="G211" s="45">
        <v>320</v>
      </c>
      <c r="H211" s="22">
        <v>2.9</v>
      </c>
      <c r="I211" s="6">
        <f t="shared" si="3"/>
        <v>3155.2</v>
      </c>
      <c r="J211" s="6" t="s">
        <v>2258</v>
      </c>
      <c r="K211" s="17"/>
    </row>
    <row r="212" spans="1:11" ht="13.95" customHeight="1" x14ac:dyDescent="0.3">
      <c r="A212" s="3">
        <v>45899</v>
      </c>
      <c r="B212" s="19" t="s">
        <v>2285</v>
      </c>
      <c r="C212" s="19" t="s">
        <v>13</v>
      </c>
      <c r="D212" s="19" t="s">
        <v>14</v>
      </c>
      <c r="E212" s="4">
        <v>1</v>
      </c>
      <c r="F212" s="42">
        <v>4.1500000000000004</v>
      </c>
      <c r="G212" s="45">
        <v>320</v>
      </c>
      <c r="H212" s="22">
        <v>2.9</v>
      </c>
      <c r="I212" s="6">
        <f t="shared" si="3"/>
        <v>3851.2</v>
      </c>
      <c r="J212" s="6" t="s">
        <v>2259</v>
      </c>
      <c r="K212" s="17"/>
    </row>
    <row r="213" spans="1:11" ht="13.95" customHeight="1" x14ac:dyDescent="0.3">
      <c r="A213" s="3">
        <v>45900</v>
      </c>
      <c r="B213" s="19" t="s">
        <v>2285</v>
      </c>
      <c r="C213" s="19" t="s">
        <v>16</v>
      </c>
      <c r="D213" s="19" t="s">
        <v>14</v>
      </c>
      <c r="E213" s="4">
        <v>1</v>
      </c>
      <c r="F213" s="42">
        <v>3.65</v>
      </c>
      <c r="G213" s="45">
        <v>320</v>
      </c>
      <c r="H213" s="22">
        <v>2.9</v>
      </c>
      <c r="I213" s="6">
        <f t="shared" si="3"/>
        <v>3387.2</v>
      </c>
      <c r="J213" s="6" t="s">
        <v>63</v>
      </c>
      <c r="K213" s="17"/>
    </row>
    <row r="214" spans="1:11" ht="13.95" customHeight="1" x14ac:dyDescent="0.3">
      <c r="A214" s="3">
        <v>45901</v>
      </c>
      <c r="B214" s="19" t="s">
        <v>2285</v>
      </c>
      <c r="C214" s="19" t="s">
        <v>18</v>
      </c>
      <c r="D214" s="19" t="s">
        <v>1545</v>
      </c>
      <c r="E214" s="4">
        <v>0.9</v>
      </c>
      <c r="F214" s="42">
        <v>2.8</v>
      </c>
      <c r="G214" s="45">
        <v>320</v>
      </c>
      <c r="H214" s="22">
        <v>2.4</v>
      </c>
      <c r="I214" s="6">
        <f t="shared" si="3"/>
        <v>1935.36</v>
      </c>
      <c r="J214" s="6" t="s">
        <v>1494</v>
      </c>
      <c r="K214" s="17"/>
    </row>
    <row r="215" spans="1:11" ht="13.95" customHeight="1" x14ac:dyDescent="0.3">
      <c r="A215" s="3">
        <v>45902</v>
      </c>
      <c r="B215" s="19" t="s">
        <v>2285</v>
      </c>
      <c r="C215" s="19" t="s">
        <v>20</v>
      </c>
      <c r="D215" s="19" t="s">
        <v>44</v>
      </c>
      <c r="E215" s="4">
        <v>0.85</v>
      </c>
      <c r="F215" s="42">
        <v>2.75</v>
      </c>
      <c r="G215" s="45">
        <v>320</v>
      </c>
      <c r="H215" s="22">
        <v>2.4</v>
      </c>
      <c r="I215" s="6">
        <f t="shared" si="3"/>
        <v>1795.2</v>
      </c>
      <c r="J215" s="6" t="s">
        <v>2260</v>
      </c>
      <c r="K215" s="17"/>
    </row>
    <row r="216" spans="1:11" ht="13.95" customHeight="1" x14ac:dyDescent="0.3">
      <c r="A216" s="3">
        <v>45903</v>
      </c>
      <c r="B216" s="19" t="s">
        <v>2285</v>
      </c>
      <c r="C216" s="19" t="s">
        <v>5</v>
      </c>
      <c r="D216" s="19" t="s">
        <v>44</v>
      </c>
      <c r="E216" s="4">
        <v>0.8</v>
      </c>
      <c r="F216" s="42">
        <v>2.75</v>
      </c>
      <c r="G216" s="45">
        <v>320</v>
      </c>
      <c r="H216" s="22">
        <v>2.4</v>
      </c>
      <c r="I216" s="6">
        <f t="shared" si="3"/>
        <v>1689.6</v>
      </c>
      <c r="J216" s="6" t="s">
        <v>717</v>
      </c>
      <c r="K216" s="17"/>
    </row>
    <row r="217" spans="1:11" ht="13.95" customHeight="1" x14ac:dyDescent="0.3">
      <c r="A217" s="3">
        <v>45904</v>
      </c>
      <c r="B217" s="19" t="s">
        <v>2285</v>
      </c>
      <c r="C217" s="19" t="s">
        <v>8</v>
      </c>
      <c r="D217" s="19" t="s">
        <v>44</v>
      </c>
      <c r="E217" s="4">
        <v>0.8</v>
      </c>
      <c r="F217" s="42">
        <v>2.8</v>
      </c>
      <c r="G217" s="45">
        <v>320</v>
      </c>
      <c r="H217" s="22">
        <v>2.4</v>
      </c>
      <c r="I217" s="6">
        <f t="shared" si="3"/>
        <v>1720.32</v>
      </c>
      <c r="J217" s="6" t="s">
        <v>717</v>
      </c>
      <c r="K217" s="17"/>
    </row>
    <row r="218" spans="1:11" ht="13.95" customHeight="1" x14ac:dyDescent="0.3">
      <c r="A218" s="3">
        <v>45905</v>
      </c>
      <c r="B218" s="19" t="s">
        <v>2285</v>
      </c>
      <c r="C218" s="19" t="s">
        <v>11</v>
      </c>
      <c r="D218" s="19" t="s">
        <v>14</v>
      </c>
      <c r="E218" s="4">
        <v>0.85</v>
      </c>
      <c r="F218" s="42">
        <v>3.1</v>
      </c>
      <c r="G218" s="45">
        <v>320</v>
      </c>
      <c r="H218" s="22">
        <v>2.4</v>
      </c>
      <c r="I218" s="6">
        <f t="shared" si="3"/>
        <v>2023.68</v>
      </c>
      <c r="J218" s="6" t="s">
        <v>282</v>
      </c>
      <c r="K218" s="17"/>
    </row>
    <row r="219" spans="1:11" ht="13.95" customHeight="1" x14ac:dyDescent="0.3">
      <c r="A219" s="3">
        <v>45906</v>
      </c>
      <c r="B219" s="19" t="s">
        <v>2285</v>
      </c>
      <c r="C219" s="19" t="s">
        <v>13</v>
      </c>
      <c r="D219" s="19" t="s">
        <v>14</v>
      </c>
      <c r="E219" s="4">
        <v>0.95</v>
      </c>
      <c r="F219" s="42">
        <v>3.75</v>
      </c>
      <c r="G219" s="45">
        <v>320</v>
      </c>
      <c r="H219" s="22">
        <v>2.4</v>
      </c>
      <c r="I219" s="6">
        <f t="shared" si="3"/>
        <v>2736</v>
      </c>
      <c r="J219" s="6" t="s">
        <v>2261</v>
      </c>
      <c r="K219" s="17"/>
    </row>
    <row r="220" spans="1:11" ht="13.95" customHeight="1" x14ac:dyDescent="0.3">
      <c r="A220" s="3">
        <v>45907</v>
      </c>
      <c r="B220" s="19" t="s">
        <v>2285</v>
      </c>
      <c r="C220" s="19" t="s">
        <v>16</v>
      </c>
      <c r="D220" s="19" t="s">
        <v>14</v>
      </c>
      <c r="E220" s="4">
        <v>0.9</v>
      </c>
      <c r="F220" s="42">
        <v>3.35</v>
      </c>
      <c r="G220" s="45">
        <v>320</v>
      </c>
      <c r="H220" s="22">
        <v>2.4</v>
      </c>
      <c r="I220" s="6">
        <f t="shared" si="3"/>
        <v>2315.52</v>
      </c>
      <c r="J220" s="6" t="s">
        <v>238</v>
      </c>
      <c r="K220" s="17"/>
    </row>
    <row r="221" spans="1:11" ht="13.95" customHeight="1" x14ac:dyDescent="0.3">
      <c r="A221" s="3">
        <v>45908</v>
      </c>
      <c r="B221" s="19" t="s">
        <v>2285</v>
      </c>
      <c r="C221" s="19" t="s">
        <v>18</v>
      </c>
      <c r="D221" s="19" t="s">
        <v>9</v>
      </c>
      <c r="E221" s="4">
        <v>0.75</v>
      </c>
      <c r="F221" s="42">
        <v>2.6</v>
      </c>
      <c r="G221" s="45">
        <v>320</v>
      </c>
      <c r="H221" s="22">
        <v>2.4</v>
      </c>
      <c r="I221" s="6">
        <f t="shared" si="3"/>
        <v>1497.6</v>
      </c>
      <c r="J221" s="6" t="s">
        <v>527</v>
      </c>
      <c r="K221" s="17"/>
    </row>
    <row r="222" spans="1:11" ht="13.95" customHeight="1" x14ac:dyDescent="0.3">
      <c r="A222" s="3">
        <v>45909</v>
      </c>
      <c r="B222" s="19" t="s">
        <v>2285</v>
      </c>
      <c r="C222" s="19" t="s">
        <v>20</v>
      </c>
      <c r="D222" s="19" t="s">
        <v>9</v>
      </c>
      <c r="E222" s="4">
        <v>0.75</v>
      </c>
      <c r="F222" s="42">
        <v>2.6</v>
      </c>
      <c r="G222" s="45">
        <v>320</v>
      </c>
      <c r="H222" s="22">
        <v>2.4</v>
      </c>
      <c r="I222" s="6">
        <f t="shared" si="3"/>
        <v>1497.6</v>
      </c>
      <c r="J222" s="6" t="s">
        <v>2194</v>
      </c>
      <c r="K222" s="17"/>
    </row>
    <row r="223" spans="1:11" ht="13.95" customHeight="1" x14ac:dyDescent="0.3">
      <c r="A223" s="3">
        <v>45910</v>
      </c>
      <c r="B223" s="19" t="s">
        <v>2285</v>
      </c>
      <c r="C223" s="19" t="s">
        <v>5</v>
      </c>
      <c r="D223" s="19" t="s">
        <v>9</v>
      </c>
      <c r="E223" s="4">
        <v>0.8</v>
      </c>
      <c r="F223" s="42">
        <v>2.65</v>
      </c>
      <c r="G223" s="45">
        <v>320</v>
      </c>
      <c r="H223" s="22">
        <v>2.4</v>
      </c>
      <c r="I223" s="6">
        <f t="shared" si="3"/>
        <v>1628.1599999999999</v>
      </c>
      <c r="J223" s="6" t="s">
        <v>2194</v>
      </c>
      <c r="K223" s="17"/>
    </row>
    <row r="224" spans="1:11" ht="13.95" customHeight="1" x14ac:dyDescent="0.3">
      <c r="A224" s="3">
        <v>45911</v>
      </c>
      <c r="B224" s="19" t="s">
        <v>2285</v>
      </c>
      <c r="C224" s="19" t="s">
        <v>8</v>
      </c>
      <c r="D224" s="19" t="s">
        <v>1925</v>
      </c>
      <c r="E224" s="4">
        <v>0.85</v>
      </c>
      <c r="F224" s="42">
        <v>2.7</v>
      </c>
      <c r="G224" s="45">
        <v>320</v>
      </c>
      <c r="H224" s="22">
        <v>2.4</v>
      </c>
      <c r="I224" s="6">
        <f t="shared" si="3"/>
        <v>1762.5600000000002</v>
      </c>
      <c r="J224" s="6" t="s">
        <v>2000</v>
      </c>
      <c r="K224" s="17"/>
    </row>
    <row r="225" spans="1:11" ht="13.95" customHeight="1" x14ac:dyDescent="0.3">
      <c r="A225" s="3">
        <v>45912</v>
      </c>
      <c r="B225" s="19" t="s">
        <v>2285</v>
      </c>
      <c r="C225" s="19" t="s">
        <v>11</v>
      </c>
      <c r="D225" s="19" t="s">
        <v>1925</v>
      </c>
      <c r="E225" s="4">
        <v>0.9</v>
      </c>
      <c r="F225" s="42">
        <v>2.9</v>
      </c>
      <c r="G225" s="45">
        <v>320</v>
      </c>
      <c r="H225" s="22">
        <v>2.4</v>
      </c>
      <c r="I225" s="6">
        <f t="shared" si="3"/>
        <v>2004.4799999999998</v>
      </c>
      <c r="J225" s="6" t="s">
        <v>2262</v>
      </c>
      <c r="K225" s="17"/>
    </row>
    <row r="226" spans="1:11" ht="13.95" customHeight="1" x14ac:dyDescent="0.3">
      <c r="A226" s="3">
        <v>45913</v>
      </c>
      <c r="B226" s="19" t="s">
        <v>2285</v>
      </c>
      <c r="C226" s="19" t="s">
        <v>13</v>
      </c>
      <c r="D226" s="19" t="s">
        <v>14</v>
      </c>
      <c r="E226" s="4">
        <v>0.85</v>
      </c>
      <c r="F226" s="42">
        <v>3.85</v>
      </c>
      <c r="G226" s="45">
        <v>320</v>
      </c>
      <c r="H226" s="22">
        <v>2.4</v>
      </c>
      <c r="I226" s="6">
        <f t="shared" si="3"/>
        <v>2513.2800000000002</v>
      </c>
      <c r="J226" s="6" t="s">
        <v>2263</v>
      </c>
      <c r="K226" s="17"/>
    </row>
    <row r="227" spans="1:11" ht="13.95" customHeight="1" x14ac:dyDescent="0.3">
      <c r="A227" s="3">
        <v>45914</v>
      </c>
      <c r="B227" s="19" t="s">
        <v>2285</v>
      </c>
      <c r="C227" s="19" t="s">
        <v>16</v>
      </c>
      <c r="D227" s="19" t="s">
        <v>14</v>
      </c>
      <c r="E227" s="4">
        <v>0.8</v>
      </c>
      <c r="F227" s="42">
        <v>3.3</v>
      </c>
      <c r="G227" s="45">
        <v>320</v>
      </c>
      <c r="H227" s="22">
        <v>2.4</v>
      </c>
      <c r="I227" s="6">
        <f t="shared" si="3"/>
        <v>2027.5199999999998</v>
      </c>
      <c r="J227" s="6" t="s">
        <v>69</v>
      </c>
      <c r="K227" s="17"/>
    </row>
    <row r="228" spans="1:11" ht="13.95" customHeight="1" x14ac:dyDescent="0.3">
      <c r="A228" s="3">
        <v>45915</v>
      </c>
      <c r="B228" s="19" t="s">
        <v>2285</v>
      </c>
      <c r="C228" s="19" t="s">
        <v>18</v>
      </c>
      <c r="D228" s="19" t="s">
        <v>9</v>
      </c>
      <c r="E228" s="4">
        <v>0.7</v>
      </c>
      <c r="F228" s="42">
        <v>2.5499999999999998</v>
      </c>
      <c r="G228" s="45">
        <v>320</v>
      </c>
      <c r="H228" s="22">
        <v>2.4</v>
      </c>
      <c r="I228" s="6">
        <f t="shared" si="3"/>
        <v>1370.8799999999999</v>
      </c>
      <c r="J228" s="6" t="s">
        <v>726</v>
      </c>
      <c r="K228" s="17"/>
    </row>
    <row r="229" spans="1:11" ht="13.95" customHeight="1" x14ac:dyDescent="0.3">
      <c r="A229" s="3">
        <v>45916</v>
      </c>
      <c r="B229" s="19" t="s">
        <v>2285</v>
      </c>
      <c r="C229" s="19" t="s">
        <v>20</v>
      </c>
      <c r="D229" s="19" t="s">
        <v>9</v>
      </c>
      <c r="E229" s="4">
        <v>0.7</v>
      </c>
      <c r="F229" s="42">
        <v>2.5499999999999998</v>
      </c>
      <c r="G229" s="45">
        <v>320</v>
      </c>
      <c r="H229" s="22">
        <v>2.4</v>
      </c>
      <c r="I229" s="6">
        <f t="shared" si="3"/>
        <v>1370.8799999999999</v>
      </c>
      <c r="J229" s="6" t="s">
        <v>88</v>
      </c>
      <c r="K229" s="17"/>
    </row>
    <row r="230" spans="1:11" ht="13.95" customHeight="1" x14ac:dyDescent="0.3">
      <c r="A230" s="3">
        <v>45917</v>
      </c>
      <c r="B230" s="19" t="s">
        <v>2285</v>
      </c>
      <c r="C230" s="19" t="s">
        <v>5</v>
      </c>
      <c r="D230" s="19" t="s">
        <v>9</v>
      </c>
      <c r="E230" s="4">
        <v>0.75</v>
      </c>
      <c r="F230" s="42">
        <v>2.6</v>
      </c>
      <c r="G230" s="45">
        <v>320</v>
      </c>
      <c r="H230" s="22">
        <v>2.4</v>
      </c>
      <c r="I230" s="6">
        <f t="shared" si="3"/>
        <v>1497.6</v>
      </c>
      <c r="J230" s="6" t="s">
        <v>88</v>
      </c>
      <c r="K230" s="17"/>
    </row>
    <row r="231" spans="1:11" ht="13.95" customHeight="1" x14ac:dyDescent="0.3">
      <c r="A231" s="3">
        <v>45918</v>
      </c>
      <c r="B231" s="19" t="s">
        <v>2285</v>
      </c>
      <c r="C231" s="19" t="s">
        <v>8</v>
      </c>
      <c r="D231" s="19" t="s">
        <v>1925</v>
      </c>
      <c r="E231" s="4">
        <v>0.8</v>
      </c>
      <c r="F231" s="42">
        <v>2.7</v>
      </c>
      <c r="G231" s="45">
        <v>320</v>
      </c>
      <c r="H231" s="22">
        <v>2.4</v>
      </c>
      <c r="I231" s="6">
        <f t="shared" si="3"/>
        <v>1658.88</v>
      </c>
      <c r="J231" s="6" t="s">
        <v>1814</v>
      </c>
      <c r="K231" s="17"/>
    </row>
    <row r="232" spans="1:11" ht="13.95" customHeight="1" x14ac:dyDescent="0.3">
      <c r="A232" s="3">
        <v>45766</v>
      </c>
      <c r="B232" s="19" t="s">
        <v>2285</v>
      </c>
      <c r="C232" s="19" t="s">
        <v>11</v>
      </c>
      <c r="D232" s="19" t="s">
        <v>1925</v>
      </c>
      <c r="E232" s="4">
        <v>0.85</v>
      </c>
      <c r="F232" s="42">
        <v>2.85</v>
      </c>
      <c r="G232" s="45">
        <v>320</v>
      </c>
      <c r="H232" s="22">
        <v>2.4</v>
      </c>
      <c r="I232" s="6">
        <f t="shared" si="3"/>
        <v>1860.48</v>
      </c>
      <c r="J232" s="6" t="s">
        <v>2186</v>
      </c>
      <c r="K232" s="17"/>
    </row>
    <row r="233" spans="1:11" ht="13.95" customHeight="1" x14ac:dyDescent="0.3">
      <c r="A233" s="3">
        <v>45920</v>
      </c>
      <c r="B233" s="19" t="s">
        <v>2285</v>
      </c>
      <c r="C233" s="19" t="s">
        <v>13</v>
      </c>
      <c r="D233" s="19" t="s">
        <v>14</v>
      </c>
      <c r="E233" s="4">
        <v>0.8</v>
      </c>
      <c r="F233" s="42">
        <v>3.7</v>
      </c>
      <c r="G233" s="45">
        <v>320</v>
      </c>
      <c r="H233" s="22">
        <v>2.4</v>
      </c>
      <c r="I233" s="6">
        <f t="shared" si="3"/>
        <v>2273.2800000000002</v>
      </c>
      <c r="J233" s="6" t="s">
        <v>2203</v>
      </c>
      <c r="K233" s="17"/>
    </row>
    <row r="234" spans="1:11" ht="13.95" customHeight="1" x14ac:dyDescent="0.3">
      <c r="A234" s="3">
        <v>45921</v>
      </c>
      <c r="B234" s="19" t="s">
        <v>2285</v>
      </c>
      <c r="C234" s="19" t="s">
        <v>16</v>
      </c>
      <c r="D234" s="19" t="s">
        <v>14</v>
      </c>
      <c r="E234" s="4">
        <v>0.75</v>
      </c>
      <c r="F234" s="42">
        <v>3.3</v>
      </c>
      <c r="G234" s="45">
        <v>320</v>
      </c>
      <c r="H234" s="22">
        <v>2.4</v>
      </c>
      <c r="I234" s="6">
        <f t="shared" si="3"/>
        <v>1900.8</v>
      </c>
      <c r="J234" s="6" t="s">
        <v>69</v>
      </c>
      <c r="K234" s="17"/>
    </row>
    <row r="235" spans="1:11" ht="13.95" customHeight="1" x14ac:dyDescent="0.3">
      <c r="A235" s="3">
        <v>45922</v>
      </c>
      <c r="B235" s="19" t="s">
        <v>2285</v>
      </c>
      <c r="C235" s="19" t="s">
        <v>18</v>
      </c>
      <c r="D235" s="19" t="s">
        <v>9</v>
      </c>
      <c r="E235" s="4">
        <v>0.65</v>
      </c>
      <c r="F235" s="42">
        <v>2.5</v>
      </c>
      <c r="G235" s="45">
        <v>320</v>
      </c>
      <c r="H235" s="22">
        <v>2.4</v>
      </c>
      <c r="I235" s="6">
        <f t="shared" si="3"/>
        <v>1248</v>
      </c>
      <c r="J235" s="6" t="s">
        <v>272</v>
      </c>
      <c r="K235" s="17"/>
    </row>
    <row r="236" spans="1:11" ht="13.95" customHeight="1" x14ac:dyDescent="0.3">
      <c r="A236" s="3">
        <v>45923</v>
      </c>
      <c r="B236" s="19" t="s">
        <v>2285</v>
      </c>
      <c r="C236" s="19" t="s">
        <v>20</v>
      </c>
      <c r="D236" s="19" t="s">
        <v>9</v>
      </c>
      <c r="E236" s="4">
        <v>0.65</v>
      </c>
      <c r="F236" s="42">
        <v>2.5</v>
      </c>
      <c r="G236" s="45">
        <v>320</v>
      </c>
      <c r="H236" s="22">
        <v>2.4</v>
      </c>
      <c r="I236" s="6">
        <f t="shared" si="3"/>
        <v>1248</v>
      </c>
      <c r="J236" s="6" t="s">
        <v>88</v>
      </c>
      <c r="K236" s="17"/>
    </row>
    <row r="237" spans="1:11" ht="13.95" customHeight="1" x14ac:dyDescent="0.3">
      <c r="A237" s="3">
        <v>45924</v>
      </c>
      <c r="B237" s="19" t="s">
        <v>2285</v>
      </c>
      <c r="C237" s="19" t="s">
        <v>5</v>
      </c>
      <c r="D237" s="19" t="s">
        <v>9</v>
      </c>
      <c r="E237" s="4">
        <v>0.7</v>
      </c>
      <c r="F237" s="42">
        <v>2.5499999999999998</v>
      </c>
      <c r="G237" s="45">
        <v>320</v>
      </c>
      <c r="H237" s="22">
        <v>2.4</v>
      </c>
      <c r="I237" s="6">
        <f t="shared" si="3"/>
        <v>1370.8799999999999</v>
      </c>
      <c r="J237" s="6" t="s">
        <v>88</v>
      </c>
      <c r="K237" s="17"/>
    </row>
    <row r="238" spans="1:11" ht="13.95" customHeight="1" x14ac:dyDescent="0.3">
      <c r="A238" s="3">
        <v>45925</v>
      </c>
      <c r="B238" s="19" t="s">
        <v>2285</v>
      </c>
      <c r="C238" s="19" t="s">
        <v>8</v>
      </c>
      <c r="D238" s="19" t="s">
        <v>9</v>
      </c>
      <c r="E238" s="4">
        <v>0.75</v>
      </c>
      <c r="F238" s="42">
        <v>2.6</v>
      </c>
      <c r="G238" s="45">
        <v>320</v>
      </c>
      <c r="H238" s="22">
        <v>2.4</v>
      </c>
      <c r="I238" s="6">
        <f t="shared" si="3"/>
        <v>1497.6</v>
      </c>
      <c r="J238" s="6" t="s">
        <v>88</v>
      </c>
      <c r="K238" s="17"/>
    </row>
    <row r="239" spans="1:11" ht="13.95" customHeight="1" x14ac:dyDescent="0.3">
      <c r="A239" s="3">
        <v>45926</v>
      </c>
      <c r="B239" s="19" t="s">
        <v>2285</v>
      </c>
      <c r="C239" s="19" t="s">
        <v>11</v>
      </c>
      <c r="D239" s="19" t="s">
        <v>14</v>
      </c>
      <c r="E239" s="4">
        <v>0.8</v>
      </c>
      <c r="F239" s="42">
        <v>3.05</v>
      </c>
      <c r="G239" s="45">
        <v>320</v>
      </c>
      <c r="H239" s="22">
        <v>2.4</v>
      </c>
      <c r="I239" s="6">
        <f t="shared" si="3"/>
        <v>1873.9199999999998</v>
      </c>
      <c r="J239" s="6" t="s">
        <v>91</v>
      </c>
      <c r="K239" s="17"/>
    </row>
    <row r="240" spans="1:11" ht="13.95" customHeight="1" x14ac:dyDescent="0.3">
      <c r="A240" s="3">
        <v>45927</v>
      </c>
      <c r="B240" s="19" t="s">
        <v>2285</v>
      </c>
      <c r="C240" s="19" t="s">
        <v>13</v>
      </c>
      <c r="D240" s="19" t="s">
        <v>14</v>
      </c>
      <c r="E240" s="4">
        <v>0.85</v>
      </c>
      <c r="F240" s="42">
        <v>3.7</v>
      </c>
      <c r="G240" s="45">
        <v>320</v>
      </c>
      <c r="H240" s="22">
        <v>2.4</v>
      </c>
      <c r="I240" s="6">
        <f t="shared" si="3"/>
        <v>2415.36</v>
      </c>
      <c r="J240" s="6" t="s">
        <v>2264</v>
      </c>
      <c r="K240" s="17"/>
    </row>
    <row r="241" spans="1:11" ht="13.95" customHeight="1" x14ac:dyDescent="0.3">
      <c r="A241" s="3">
        <v>45928</v>
      </c>
      <c r="B241" s="19" t="s">
        <v>2285</v>
      </c>
      <c r="C241" s="19" t="s">
        <v>16</v>
      </c>
      <c r="D241" s="19" t="s">
        <v>14</v>
      </c>
      <c r="E241" s="4">
        <v>0.8</v>
      </c>
      <c r="F241" s="42">
        <v>3.3</v>
      </c>
      <c r="G241" s="45">
        <v>320</v>
      </c>
      <c r="H241" s="22">
        <v>2.4</v>
      </c>
      <c r="I241" s="6">
        <f t="shared" si="3"/>
        <v>2027.5199999999998</v>
      </c>
      <c r="J241" s="6" t="s">
        <v>69</v>
      </c>
      <c r="K241" s="17"/>
    </row>
    <row r="242" spans="1:11" ht="13.95" customHeight="1" x14ac:dyDescent="0.3">
      <c r="A242" s="3">
        <v>45929</v>
      </c>
      <c r="B242" s="19" t="s">
        <v>2285</v>
      </c>
      <c r="C242" s="19" t="s">
        <v>18</v>
      </c>
      <c r="D242" s="19" t="s">
        <v>9</v>
      </c>
      <c r="E242" s="4">
        <v>0.65</v>
      </c>
      <c r="F242" s="42">
        <v>2.5</v>
      </c>
      <c r="G242" s="45">
        <v>320</v>
      </c>
      <c r="H242" s="22">
        <v>2.4</v>
      </c>
      <c r="I242" s="6">
        <f t="shared" si="3"/>
        <v>1248</v>
      </c>
      <c r="J242" s="6" t="s">
        <v>99</v>
      </c>
      <c r="K242" s="17"/>
    </row>
    <row r="243" spans="1:11" ht="13.95" customHeight="1" x14ac:dyDescent="0.3">
      <c r="A243" s="3">
        <v>45930</v>
      </c>
      <c r="B243" s="19" t="s">
        <v>2285</v>
      </c>
      <c r="C243" s="19" t="s">
        <v>20</v>
      </c>
      <c r="D243" s="19" t="s">
        <v>9</v>
      </c>
      <c r="E243" s="4">
        <v>0.65</v>
      </c>
      <c r="F243" s="42">
        <v>2.5</v>
      </c>
      <c r="G243" s="45">
        <v>320</v>
      </c>
      <c r="H243" s="22">
        <v>2.4</v>
      </c>
      <c r="I243" s="6">
        <f t="shared" si="3"/>
        <v>1248</v>
      </c>
      <c r="J243" s="6" t="s">
        <v>99</v>
      </c>
      <c r="K243" s="17"/>
    </row>
    <row r="244" spans="1:11" ht="13.95" customHeight="1" x14ac:dyDescent="0.3">
      <c r="A244" s="3">
        <v>45931</v>
      </c>
      <c r="B244" s="19" t="s">
        <v>2285</v>
      </c>
      <c r="C244" s="19" t="s">
        <v>5</v>
      </c>
      <c r="D244" s="19" t="s">
        <v>9</v>
      </c>
      <c r="E244" s="4">
        <v>0.65</v>
      </c>
      <c r="F244" s="42">
        <v>2.5</v>
      </c>
      <c r="G244" s="45">
        <v>320</v>
      </c>
      <c r="H244" s="22">
        <v>2.2999999999999998</v>
      </c>
      <c r="I244" s="6">
        <f t="shared" si="3"/>
        <v>1196</v>
      </c>
      <c r="J244" s="6" t="s">
        <v>717</v>
      </c>
      <c r="K244" s="17"/>
    </row>
    <row r="245" spans="1:11" ht="13.95" customHeight="1" x14ac:dyDescent="0.3">
      <c r="A245" s="3">
        <v>45932</v>
      </c>
      <c r="B245" s="19" t="s">
        <v>2285</v>
      </c>
      <c r="C245" s="19" t="s">
        <v>8</v>
      </c>
      <c r="D245" s="19" t="s">
        <v>9</v>
      </c>
      <c r="E245" s="4">
        <v>0.65</v>
      </c>
      <c r="F245" s="42">
        <v>2.5</v>
      </c>
      <c r="G245" s="45">
        <v>320</v>
      </c>
      <c r="H245" s="22">
        <v>2.2999999999999998</v>
      </c>
      <c r="I245" s="6">
        <f t="shared" si="3"/>
        <v>1196</v>
      </c>
      <c r="J245" s="6" t="s">
        <v>88</v>
      </c>
      <c r="K245" s="17"/>
    </row>
    <row r="246" spans="1:11" ht="13.95" customHeight="1" x14ac:dyDescent="0.3">
      <c r="A246" s="3">
        <v>45933</v>
      </c>
      <c r="B246" s="19" t="s">
        <v>2285</v>
      </c>
      <c r="C246" s="19" t="s">
        <v>11</v>
      </c>
      <c r="D246" s="19" t="s">
        <v>14</v>
      </c>
      <c r="E246" s="4">
        <v>0.7</v>
      </c>
      <c r="F246" s="42">
        <v>2.85</v>
      </c>
      <c r="G246" s="45">
        <v>320</v>
      </c>
      <c r="H246" s="22">
        <v>2.2999999999999998</v>
      </c>
      <c r="I246" s="6">
        <f t="shared" si="3"/>
        <v>1468.32</v>
      </c>
      <c r="J246" s="6" t="s">
        <v>282</v>
      </c>
      <c r="K246" s="17"/>
    </row>
    <row r="247" spans="1:11" ht="13.95" customHeight="1" x14ac:dyDescent="0.3">
      <c r="A247" s="3">
        <v>45934</v>
      </c>
      <c r="B247" s="19" t="s">
        <v>2285</v>
      </c>
      <c r="C247" s="19" t="s">
        <v>13</v>
      </c>
      <c r="D247" s="19" t="s">
        <v>14</v>
      </c>
      <c r="E247" s="4">
        <v>0.75</v>
      </c>
      <c r="F247" s="42">
        <v>3.6</v>
      </c>
      <c r="G247" s="45">
        <v>320</v>
      </c>
      <c r="H247" s="22">
        <v>2.2999999999999998</v>
      </c>
      <c r="I247" s="6">
        <f t="shared" si="3"/>
        <v>1987.1999999999998</v>
      </c>
      <c r="J247" s="6" t="s">
        <v>2265</v>
      </c>
      <c r="K247" s="17"/>
    </row>
    <row r="248" spans="1:11" ht="13.95" customHeight="1" x14ac:dyDescent="0.3">
      <c r="A248" s="3">
        <v>45935</v>
      </c>
      <c r="B248" s="19" t="s">
        <v>2285</v>
      </c>
      <c r="C248" s="19" t="s">
        <v>16</v>
      </c>
      <c r="D248" s="19" t="s">
        <v>14</v>
      </c>
      <c r="E248" s="4">
        <v>0.7</v>
      </c>
      <c r="F248" s="42">
        <v>3.25</v>
      </c>
      <c r="G248" s="45">
        <v>320</v>
      </c>
      <c r="H248" s="22">
        <v>2.2999999999999998</v>
      </c>
      <c r="I248" s="6">
        <f t="shared" si="3"/>
        <v>1674.3999999999999</v>
      </c>
      <c r="J248" s="6" t="s">
        <v>238</v>
      </c>
      <c r="K248" s="17"/>
    </row>
    <row r="249" spans="1:11" ht="13.95" customHeight="1" x14ac:dyDescent="0.3">
      <c r="A249" s="3">
        <v>45936</v>
      </c>
      <c r="B249" s="19" t="s">
        <v>2285</v>
      </c>
      <c r="C249" s="19" t="s">
        <v>18</v>
      </c>
      <c r="D249" s="19" t="s">
        <v>2266</v>
      </c>
      <c r="E249" s="4">
        <v>0.6</v>
      </c>
      <c r="F249" s="42">
        <v>2.25</v>
      </c>
      <c r="G249" s="45">
        <v>320</v>
      </c>
      <c r="H249" s="22">
        <v>2.2999999999999998</v>
      </c>
      <c r="I249" s="6">
        <f t="shared" si="3"/>
        <v>993.59999999999991</v>
      </c>
      <c r="J249" s="6" t="s">
        <v>2267</v>
      </c>
      <c r="K249" s="17"/>
    </row>
    <row r="250" spans="1:11" ht="13.95" customHeight="1" x14ac:dyDescent="0.3">
      <c r="A250" s="3">
        <v>45937</v>
      </c>
      <c r="B250" s="19" t="s">
        <v>2285</v>
      </c>
      <c r="C250" s="19" t="s">
        <v>20</v>
      </c>
      <c r="D250" s="19" t="s">
        <v>2266</v>
      </c>
      <c r="E250" s="4">
        <v>0.6</v>
      </c>
      <c r="F250" s="42">
        <v>2.25</v>
      </c>
      <c r="G250" s="45">
        <v>320</v>
      </c>
      <c r="H250" s="22">
        <v>2.2999999999999998</v>
      </c>
      <c r="I250" s="6">
        <f t="shared" si="3"/>
        <v>993.59999999999991</v>
      </c>
      <c r="J250" s="6" t="s">
        <v>2194</v>
      </c>
      <c r="K250" s="17"/>
    </row>
    <row r="251" spans="1:11" ht="13.95" customHeight="1" x14ac:dyDescent="0.3">
      <c r="A251" s="3">
        <v>45938</v>
      </c>
      <c r="B251" s="19" t="s">
        <v>2285</v>
      </c>
      <c r="C251" s="19" t="s">
        <v>5</v>
      </c>
      <c r="D251" s="19" t="s">
        <v>1925</v>
      </c>
      <c r="E251" s="4">
        <v>0.75</v>
      </c>
      <c r="F251" s="42">
        <v>2.4500000000000002</v>
      </c>
      <c r="G251" s="45">
        <v>320</v>
      </c>
      <c r="H251" s="22">
        <v>2.2999999999999998</v>
      </c>
      <c r="I251" s="6">
        <f t="shared" si="3"/>
        <v>1352.3999999999999</v>
      </c>
      <c r="J251" s="6" t="s">
        <v>2268</v>
      </c>
      <c r="K251" s="17"/>
    </row>
    <row r="252" spans="1:11" ht="13.95" customHeight="1" x14ac:dyDescent="0.3">
      <c r="A252" s="3">
        <v>45939</v>
      </c>
      <c r="B252" s="19" t="s">
        <v>2285</v>
      </c>
      <c r="C252" s="19" t="s">
        <v>8</v>
      </c>
      <c r="D252" s="19" t="s">
        <v>1925</v>
      </c>
      <c r="E252" s="4">
        <v>0.8</v>
      </c>
      <c r="F252" s="42">
        <v>2.5</v>
      </c>
      <c r="G252" s="45">
        <v>320</v>
      </c>
      <c r="H252" s="22">
        <v>2.2999999999999998</v>
      </c>
      <c r="I252" s="6">
        <f t="shared" si="3"/>
        <v>1472</v>
      </c>
      <c r="J252" s="6" t="s">
        <v>2269</v>
      </c>
      <c r="K252" s="17"/>
    </row>
    <row r="253" spans="1:11" ht="13.95" customHeight="1" x14ac:dyDescent="0.3">
      <c r="A253" s="3">
        <v>45940</v>
      </c>
      <c r="B253" s="19" t="s">
        <v>2285</v>
      </c>
      <c r="C253" s="19" t="s">
        <v>11</v>
      </c>
      <c r="D253" s="19" t="s">
        <v>14</v>
      </c>
      <c r="E253" s="4">
        <v>0.75</v>
      </c>
      <c r="F253" s="42">
        <v>2.9</v>
      </c>
      <c r="G253" s="45">
        <v>320</v>
      </c>
      <c r="H253" s="22">
        <v>2.2999999999999998</v>
      </c>
      <c r="I253" s="6">
        <f t="shared" si="3"/>
        <v>1600.8</v>
      </c>
      <c r="J253" s="6" t="s">
        <v>540</v>
      </c>
      <c r="K253" s="17"/>
    </row>
    <row r="254" spans="1:11" ht="13.95" customHeight="1" x14ac:dyDescent="0.3">
      <c r="A254" s="3">
        <v>45941</v>
      </c>
      <c r="B254" s="19" t="s">
        <v>2285</v>
      </c>
      <c r="C254" s="19" t="s">
        <v>13</v>
      </c>
      <c r="D254" s="19" t="s">
        <v>14</v>
      </c>
      <c r="E254" s="4">
        <v>0.8</v>
      </c>
      <c r="F254" s="42">
        <v>3.7</v>
      </c>
      <c r="G254" s="45">
        <v>320</v>
      </c>
      <c r="H254" s="22">
        <v>2.2999999999999998</v>
      </c>
      <c r="I254" s="6">
        <f t="shared" si="3"/>
        <v>2178.56</v>
      </c>
      <c r="J254" s="6" t="s">
        <v>2203</v>
      </c>
      <c r="K254" s="17"/>
    </row>
    <row r="255" spans="1:11" ht="13.95" customHeight="1" x14ac:dyDescent="0.3">
      <c r="A255" s="3">
        <v>45942</v>
      </c>
      <c r="B255" s="19" t="s">
        <v>2285</v>
      </c>
      <c r="C255" s="19" t="s">
        <v>16</v>
      </c>
      <c r="D255" s="19" t="s">
        <v>14</v>
      </c>
      <c r="E255" s="4">
        <v>0.75</v>
      </c>
      <c r="F255" s="42">
        <v>3.3</v>
      </c>
      <c r="G255" s="45">
        <v>320</v>
      </c>
      <c r="H255" s="22">
        <v>2.2999999999999998</v>
      </c>
      <c r="I255" s="6">
        <f t="shared" si="3"/>
        <v>1821.6</v>
      </c>
      <c r="J255" s="6" t="s">
        <v>69</v>
      </c>
      <c r="K255" s="17"/>
    </row>
    <row r="256" spans="1:11" ht="13.95" customHeight="1" x14ac:dyDescent="0.3">
      <c r="A256" s="3">
        <v>45943</v>
      </c>
      <c r="B256" s="19" t="s">
        <v>2285</v>
      </c>
      <c r="C256" s="19" t="s">
        <v>18</v>
      </c>
      <c r="D256" s="19" t="s">
        <v>2266</v>
      </c>
      <c r="E256" s="4">
        <v>0.55000000000000004</v>
      </c>
      <c r="F256" s="42">
        <v>2.2000000000000002</v>
      </c>
      <c r="G256" s="45">
        <v>320</v>
      </c>
      <c r="H256" s="22">
        <v>2.2999999999999998</v>
      </c>
      <c r="I256" s="6">
        <f t="shared" si="3"/>
        <v>890.56000000000006</v>
      </c>
      <c r="J256" s="6" t="s">
        <v>150</v>
      </c>
      <c r="K256" s="17"/>
    </row>
    <row r="257" spans="1:11" ht="13.95" customHeight="1" x14ac:dyDescent="0.3">
      <c r="A257" s="3">
        <v>45944</v>
      </c>
      <c r="B257" s="19" t="s">
        <v>2285</v>
      </c>
      <c r="C257" s="19" t="s">
        <v>20</v>
      </c>
      <c r="D257" s="19" t="s">
        <v>994</v>
      </c>
      <c r="E257" s="4">
        <v>0.7</v>
      </c>
      <c r="F257" s="42">
        <v>2.8</v>
      </c>
      <c r="G257" s="45">
        <v>320</v>
      </c>
      <c r="H257" s="22">
        <v>2.2999999999999998</v>
      </c>
      <c r="I257" s="6">
        <f t="shared" si="3"/>
        <v>1442.5599999999997</v>
      </c>
      <c r="J257" s="6" t="s">
        <v>1266</v>
      </c>
      <c r="K257" s="17"/>
    </row>
    <row r="258" spans="1:11" ht="13.95" customHeight="1" x14ac:dyDescent="0.3">
      <c r="A258" s="3">
        <v>45945</v>
      </c>
      <c r="B258" s="19" t="s">
        <v>2285</v>
      </c>
      <c r="C258" s="19" t="s">
        <v>5</v>
      </c>
      <c r="D258" s="19" t="s">
        <v>865</v>
      </c>
      <c r="E258" s="4">
        <v>0.85</v>
      </c>
      <c r="F258" s="42">
        <v>3.45</v>
      </c>
      <c r="G258" s="45">
        <v>320</v>
      </c>
      <c r="H258" s="22">
        <v>2.2999999999999998</v>
      </c>
      <c r="I258" s="6">
        <f t="shared" ref="I258:I321" si="4">(G258*E258)*F258*H258</f>
        <v>2158.3200000000002</v>
      </c>
      <c r="J258" s="6" t="s">
        <v>2270</v>
      </c>
      <c r="K258" s="17"/>
    </row>
    <row r="259" spans="1:11" ht="13.95" customHeight="1" x14ac:dyDescent="0.3">
      <c r="A259" s="3">
        <v>45946</v>
      </c>
      <c r="B259" s="19" t="s">
        <v>2285</v>
      </c>
      <c r="C259" s="19" t="s">
        <v>8</v>
      </c>
      <c r="D259" s="19" t="s">
        <v>9</v>
      </c>
      <c r="E259" s="4">
        <v>0.65</v>
      </c>
      <c r="F259" s="42">
        <v>2.2999999999999998</v>
      </c>
      <c r="G259" s="45">
        <v>320</v>
      </c>
      <c r="H259" s="22">
        <v>2.2999999999999998</v>
      </c>
      <c r="I259" s="6">
        <f t="shared" si="4"/>
        <v>1100.32</v>
      </c>
      <c r="J259" s="6" t="s">
        <v>726</v>
      </c>
      <c r="K259" s="17"/>
    </row>
    <row r="260" spans="1:11" ht="13.95" customHeight="1" x14ac:dyDescent="0.3">
      <c r="A260" s="3">
        <v>45947</v>
      </c>
      <c r="B260" s="19" t="s">
        <v>2285</v>
      </c>
      <c r="C260" s="19" t="s">
        <v>11</v>
      </c>
      <c r="D260" s="19" t="s">
        <v>658</v>
      </c>
      <c r="E260" s="4">
        <v>0.75</v>
      </c>
      <c r="F260" s="42">
        <v>2.95</v>
      </c>
      <c r="G260" s="45">
        <v>320</v>
      </c>
      <c r="H260" s="22">
        <v>2.2999999999999998</v>
      </c>
      <c r="I260" s="6">
        <f t="shared" si="4"/>
        <v>1628.3999999999999</v>
      </c>
      <c r="J260" s="6" t="s">
        <v>2271</v>
      </c>
      <c r="K260" s="17"/>
    </row>
    <row r="261" spans="1:11" ht="13.95" customHeight="1" x14ac:dyDescent="0.3">
      <c r="A261" s="3">
        <v>45948</v>
      </c>
      <c r="B261" s="19" t="s">
        <v>2285</v>
      </c>
      <c r="C261" s="19" t="s">
        <v>13</v>
      </c>
      <c r="D261" s="19" t="s">
        <v>658</v>
      </c>
      <c r="E261" s="4">
        <v>0.85</v>
      </c>
      <c r="F261" s="42">
        <v>3.75</v>
      </c>
      <c r="G261" s="45">
        <v>320</v>
      </c>
      <c r="H261" s="22">
        <v>2.2999999999999998</v>
      </c>
      <c r="I261" s="6">
        <f t="shared" si="4"/>
        <v>2346</v>
      </c>
      <c r="J261" s="6" t="s">
        <v>2272</v>
      </c>
      <c r="K261" s="17"/>
    </row>
    <row r="262" spans="1:11" ht="13.95" customHeight="1" x14ac:dyDescent="0.3">
      <c r="A262" s="3">
        <v>45949</v>
      </c>
      <c r="B262" s="19" t="s">
        <v>2285</v>
      </c>
      <c r="C262" s="19" t="s">
        <v>16</v>
      </c>
      <c r="D262" s="19" t="s">
        <v>658</v>
      </c>
      <c r="E262" s="4">
        <v>0.8</v>
      </c>
      <c r="F262" s="42">
        <v>3.35</v>
      </c>
      <c r="G262" s="45">
        <v>320</v>
      </c>
      <c r="H262" s="22">
        <v>2.2999999999999998</v>
      </c>
      <c r="I262" s="6">
        <f t="shared" si="4"/>
        <v>1972.4799999999998</v>
      </c>
      <c r="J262" s="6" t="s">
        <v>2197</v>
      </c>
      <c r="K262" s="17"/>
    </row>
    <row r="263" spans="1:11" ht="13.95" customHeight="1" x14ac:dyDescent="0.3">
      <c r="A263" s="3">
        <v>45950</v>
      </c>
      <c r="B263" s="19" t="s">
        <v>2285</v>
      </c>
      <c r="C263" s="19" t="s">
        <v>18</v>
      </c>
      <c r="D263" s="19" t="s">
        <v>658</v>
      </c>
      <c r="E263" s="4">
        <v>0.85</v>
      </c>
      <c r="F263" s="42">
        <v>2.8</v>
      </c>
      <c r="G263" s="45">
        <v>320</v>
      </c>
      <c r="H263" s="22">
        <v>2.2999999999999998</v>
      </c>
      <c r="I263" s="6">
        <f t="shared" si="4"/>
        <v>1751.6799999999996</v>
      </c>
      <c r="J263" s="6" t="s">
        <v>2273</v>
      </c>
      <c r="K263" s="17"/>
    </row>
    <row r="264" spans="1:11" ht="13.95" customHeight="1" x14ac:dyDescent="0.3">
      <c r="A264" s="3">
        <v>45951</v>
      </c>
      <c r="B264" s="19" t="s">
        <v>2285</v>
      </c>
      <c r="C264" s="19" t="s">
        <v>20</v>
      </c>
      <c r="D264" s="19" t="s">
        <v>658</v>
      </c>
      <c r="E264" s="4">
        <v>0.85</v>
      </c>
      <c r="F264" s="42">
        <v>2.8</v>
      </c>
      <c r="G264" s="45">
        <v>320</v>
      </c>
      <c r="H264" s="22">
        <v>2.2999999999999998</v>
      </c>
      <c r="I264" s="6">
        <f t="shared" si="4"/>
        <v>1751.6799999999996</v>
      </c>
      <c r="J264" s="6" t="s">
        <v>2273</v>
      </c>
      <c r="K264" s="17"/>
    </row>
    <row r="265" spans="1:11" ht="13.95" customHeight="1" x14ac:dyDescent="0.3">
      <c r="A265" s="3">
        <v>45952</v>
      </c>
      <c r="B265" s="19" t="s">
        <v>2285</v>
      </c>
      <c r="C265" s="19" t="s">
        <v>5</v>
      </c>
      <c r="D265" s="19" t="s">
        <v>658</v>
      </c>
      <c r="E265" s="4">
        <v>0.9</v>
      </c>
      <c r="F265" s="42">
        <v>2.85</v>
      </c>
      <c r="G265" s="45">
        <v>320</v>
      </c>
      <c r="H265" s="22">
        <v>2.2999999999999998</v>
      </c>
      <c r="I265" s="6">
        <f t="shared" si="4"/>
        <v>1887.84</v>
      </c>
      <c r="J265" s="6" t="s">
        <v>2225</v>
      </c>
      <c r="K265" s="17"/>
    </row>
    <row r="266" spans="1:11" ht="13.95" customHeight="1" x14ac:dyDescent="0.3">
      <c r="A266" s="3">
        <v>45953</v>
      </c>
      <c r="B266" s="19" t="s">
        <v>2285</v>
      </c>
      <c r="C266" s="19" t="s">
        <v>8</v>
      </c>
      <c r="D266" s="19" t="s">
        <v>658</v>
      </c>
      <c r="E266" s="4">
        <v>0.9</v>
      </c>
      <c r="F266" s="42">
        <v>2.9</v>
      </c>
      <c r="G266" s="45">
        <v>320</v>
      </c>
      <c r="H266" s="22">
        <v>2.2999999999999998</v>
      </c>
      <c r="I266" s="6">
        <f t="shared" si="4"/>
        <v>1920.9599999999996</v>
      </c>
      <c r="J266" s="6" t="s">
        <v>2201</v>
      </c>
      <c r="K266" s="17"/>
    </row>
    <row r="267" spans="1:11" ht="13.95" customHeight="1" x14ac:dyDescent="0.3">
      <c r="A267" s="3">
        <v>45954</v>
      </c>
      <c r="B267" s="19" t="s">
        <v>2285</v>
      </c>
      <c r="C267" s="19" t="s">
        <v>11</v>
      </c>
      <c r="D267" s="19" t="s">
        <v>658</v>
      </c>
      <c r="E267" s="4">
        <v>0.9</v>
      </c>
      <c r="F267" s="42">
        <v>3.1</v>
      </c>
      <c r="G267" s="45">
        <v>320</v>
      </c>
      <c r="H267" s="22">
        <v>2.2999999999999998</v>
      </c>
      <c r="I267" s="6">
        <f t="shared" si="4"/>
        <v>2053.44</v>
      </c>
      <c r="J267" s="6" t="s">
        <v>1369</v>
      </c>
      <c r="K267" s="17"/>
    </row>
    <row r="268" spans="1:11" ht="13.95" customHeight="1" x14ac:dyDescent="0.3">
      <c r="A268" s="3">
        <v>45955</v>
      </c>
      <c r="B268" s="19" t="s">
        <v>2285</v>
      </c>
      <c r="C268" s="19" t="s">
        <v>13</v>
      </c>
      <c r="D268" s="19" t="s">
        <v>658</v>
      </c>
      <c r="E268" s="4">
        <v>0.95</v>
      </c>
      <c r="F268" s="42">
        <v>3.85</v>
      </c>
      <c r="G268" s="45">
        <v>320</v>
      </c>
      <c r="H268" s="22">
        <v>2.2999999999999998</v>
      </c>
      <c r="I268" s="6">
        <f t="shared" si="4"/>
        <v>2691.92</v>
      </c>
      <c r="J268" s="6" t="s">
        <v>2229</v>
      </c>
      <c r="K268" s="17"/>
    </row>
    <row r="269" spans="1:11" ht="13.95" customHeight="1" x14ac:dyDescent="0.3">
      <c r="A269" s="3">
        <v>45956</v>
      </c>
      <c r="B269" s="19" t="s">
        <v>2285</v>
      </c>
      <c r="C269" s="19" t="s">
        <v>16</v>
      </c>
      <c r="D269" s="19" t="s">
        <v>658</v>
      </c>
      <c r="E269" s="4">
        <v>0.9</v>
      </c>
      <c r="F269" s="42">
        <v>3.4</v>
      </c>
      <c r="G269" s="45">
        <v>320</v>
      </c>
      <c r="H269" s="22">
        <v>2.2999999999999998</v>
      </c>
      <c r="I269" s="6">
        <f t="shared" si="4"/>
        <v>2252.16</v>
      </c>
      <c r="J269" s="6" t="s">
        <v>2236</v>
      </c>
      <c r="K269" s="17"/>
    </row>
    <row r="270" spans="1:11" ht="13.95" customHeight="1" x14ac:dyDescent="0.3">
      <c r="A270" s="3">
        <v>45957</v>
      </c>
      <c r="B270" s="19" t="s">
        <v>2285</v>
      </c>
      <c r="C270" s="19" t="s">
        <v>18</v>
      </c>
      <c r="D270" s="19" t="s">
        <v>658</v>
      </c>
      <c r="E270" s="4">
        <v>0.85</v>
      </c>
      <c r="F270" s="42">
        <v>2.75</v>
      </c>
      <c r="G270" s="45">
        <v>320</v>
      </c>
      <c r="H270" s="22">
        <v>2.2999999999999998</v>
      </c>
      <c r="I270" s="6">
        <f t="shared" si="4"/>
        <v>1720.3999999999999</v>
      </c>
      <c r="J270" s="6" t="s">
        <v>88</v>
      </c>
      <c r="K270" s="17"/>
    </row>
    <row r="271" spans="1:11" ht="13.95" customHeight="1" x14ac:dyDescent="0.3">
      <c r="A271" s="3">
        <v>45958</v>
      </c>
      <c r="B271" s="19" t="s">
        <v>2285</v>
      </c>
      <c r="C271" s="19" t="s">
        <v>20</v>
      </c>
      <c r="D271" s="19" t="s">
        <v>658</v>
      </c>
      <c r="E271" s="4">
        <v>0.8</v>
      </c>
      <c r="F271" s="42">
        <v>2.7</v>
      </c>
      <c r="G271" s="45">
        <v>320</v>
      </c>
      <c r="H271" s="22">
        <v>2.2999999999999998</v>
      </c>
      <c r="I271" s="6">
        <f t="shared" si="4"/>
        <v>1589.76</v>
      </c>
      <c r="J271" s="6" t="s">
        <v>88</v>
      </c>
      <c r="K271" s="17"/>
    </row>
    <row r="272" spans="1:11" ht="13.95" customHeight="1" x14ac:dyDescent="0.3">
      <c r="A272" s="3">
        <v>45959</v>
      </c>
      <c r="B272" s="19" t="s">
        <v>2285</v>
      </c>
      <c r="C272" s="19" t="s">
        <v>5</v>
      </c>
      <c r="D272" s="19" t="s">
        <v>658</v>
      </c>
      <c r="E272" s="4">
        <v>0.8</v>
      </c>
      <c r="F272" s="42">
        <v>2.7</v>
      </c>
      <c r="G272" s="45">
        <v>320</v>
      </c>
      <c r="H272" s="22">
        <v>2.2999999999999998</v>
      </c>
      <c r="I272" s="6">
        <f t="shared" si="4"/>
        <v>1589.76</v>
      </c>
      <c r="J272" s="6" t="s">
        <v>88</v>
      </c>
      <c r="K272" s="17"/>
    </row>
    <row r="273" spans="1:11" ht="13.95" customHeight="1" x14ac:dyDescent="0.3">
      <c r="A273" s="3">
        <v>45960</v>
      </c>
      <c r="B273" s="19" t="s">
        <v>2285</v>
      </c>
      <c r="C273" s="19" t="s">
        <v>8</v>
      </c>
      <c r="D273" s="19" t="s">
        <v>658</v>
      </c>
      <c r="E273" s="4">
        <v>0.85</v>
      </c>
      <c r="F273" s="42">
        <v>2.8</v>
      </c>
      <c r="G273" s="45">
        <v>320</v>
      </c>
      <c r="H273" s="22">
        <v>2.2999999999999998</v>
      </c>
      <c r="I273" s="6">
        <f t="shared" si="4"/>
        <v>1751.6799999999996</v>
      </c>
      <c r="J273" s="6" t="s">
        <v>2152</v>
      </c>
      <c r="K273" s="17"/>
    </row>
    <row r="274" spans="1:11" ht="13.95" customHeight="1" x14ac:dyDescent="0.3">
      <c r="A274" s="3">
        <v>45961</v>
      </c>
      <c r="B274" s="19" t="s">
        <v>2285</v>
      </c>
      <c r="C274" s="19" t="s">
        <v>11</v>
      </c>
      <c r="D274" s="19" t="s">
        <v>867</v>
      </c>
      <c r="E274" s="4">
        <v>0.9</v>
      </c>
      <c r="F274" s="42">
        <v>3.9</v>
      </c>
      <c r="G274" s="45">
        <v>320</v>
      </c>
      <c r="H274" s="22">
        <v>2.2999999999999998</v>
      </c>
      <c r="I274" s="6">
        <f t="shared" si="4"/>
        <v>2583.36</v>
      </c>
      <c r="J274" s="6" t="s">
        <v>2274</v>
      </c>
      <c r="K274" s="17"/>
    </row>
    <row r="275" spans="1:11" ht="13.95" customHeight="1" x14ac:dyDescent="0.3">
      <c r="A275" s="3">
        <v>45962</v>
      </c>
      <c r="B275" s="19" t="s">
        <v>2285</v>
      </c>
      <c r="C275" s="19" t="s">
        <v>13</v>
      </c>
      <c r="D275" s="19" t="s">
        <v>14</v>
      </c>
      <c r="E275" s="4">
        <v>0.75</v>
      </c>
      <c r="F275" s="42">
        <v>3.3</v>
      </c>
      <c r="G275" s="45">
        <v>320</v>
      </c>
      <c r="H275" s="22">
        <v>2.1</v>
      </c>
      <c r="I275" s="6">
        <f t="shared" si="4"/>
        <v>1663.2</v>
      </c>
      <c r="J275" s="6" t="s">
        <v>1378</v>
      </c>
      <c r="K275" s="17"/>
    </row>
    <row r="276" spans="1:11" ht="13.95" customHeight="1" x14ac:dyDescent="0.3">
      <c r="A276" s="3">
        <v>45963</v>
      </c>
      <c r="B276" s="19" t="s">
        <v>2285</v>
      </c>
      <c r="C276" s="19" t="s">
        <v>16</v>
      </c>
      <c r="D276" s="19" t="s">
        <v>14</v>
      </c>
      <c r="E276" s="4">
        <v>0.6</v>
      </c>
      <c r="F276" s="42">
        <v>2.9</v>
      </c>
      <c r="G276" s="45">
        <v>320</v>
      </c>
      <c r="H276" s="22">
        <v>2.1</v>
      </c>
      <c r="I276" s="6">
        <f t="shared" si="4"/>
        <v>1169.28</v>
      </c>
      <c r="J276" s="6" t="s">
        <v>238</v>
      </c>
      <c r="K276" s="17"/>
    </row>
    <row r="277" spans="1:11" ht="13.95" customHeight="1" x14ac:dyDescent="0.3">
      <c r="A277" s="3">
        <v>45964</v>
      </c>
      <c r="B277" s="19" t="s">
        <v>2285</v>
      </c>
      <c r="C277" s="19" t="s">
        <v>18</v>
      </c>
      <c r="D277" s="19" t="s">
        <v>9</v>
      </c>
      <c r="E277" s="4">
        <v>0.5</v>
      </c>
      <c r="F277" s="42">
        <v>2.2000000000000002</v>
      </c>
      <c r="G277" s="45">
        <v>320</v>
      </c>
      <c r="H277" s="22">
        <v>2.1</v>
      </c>
      <c r="I277" s="6">
        <f t="shared" si="4"/>
        <v>739.2</v>
      </c>
      <c r="J277" s="6" t="s">
        <v>2193</v>
      </c>
      <c r="K277" s="17"/>
    </row>
    <row r="278" spans="1:11" ht="13.95" customHeight="1" x14ac:dyDescent="0.3">
      <c r="A278" s="3">
        <v>45965</v>
      </c>
      <c r="B278" s="19" t="s">
        <v>2285</v>
      </c>
      <c r="C278" s="19" t="s">
        <v>20</v>
      </c>
      <c r="D278" s="19" t="s">
        <v>9</v>
      </c>
      <c r="E278" s="4">
        <v>0.55000000000000004</v>
      </c>
      <c r="F278" s="42">
        <v>2.2000000000000002</v>
      </c>
      <c r="G278" s="45">
        <v>320</v>
      </c>
      <c r="H278" s="22">
        <v>2.1</v>
      </c>
      <c r="I278" s="6">
        <f t="shared" si="4"/>
        <v>813.12000000000012</v>
      </c>
      <c r="J278" s="6" t="s">
        <v>2194</v>
      </c>
      <c r="K278" s="17"/>
    </row>
    <row r="279" spans="1:11" ht="13.95" customHeight="1" x14ac:dyDescent="0.3">
      <c r="A279" s="3">
        <v>45966</v>
      </c>
      <c r="B279" s="19" t="s">
        <v>2285</v>
      </c>
      <c r="C279" s="19" t="s">
        <v>5</v>
      </c>
      <c r="D279" s="19" t="s">
        <v>1925</v>
      </c>
      <c r="E279" s="4">
        <v>0.8</v>
      </c>
      <c r="F279" s="42">
        <v>2.4</v>
      </c>
      <c r="G279" s="45">
        <v>320</v>
      </c>
      <c r="H279" s="22">
        <v>2.1</v>
      </c>
      <c r="I279" s="6">
        <f t="shared" si="4"/>
        <v>1290.24</v>
      </c>
      <c r="J279" s="6" t="s">
        <v>1814</v>
      </c>
      <c r="K279" s="17"/>
    </row>
    <row r="280" spans="1:11" ht="13.95" customHeight="1" x14ac:dyDescent="0.3">
      <c r="A280" s="3">
        <v>45967</v>
      </c>
      <c r="B280" s="19" t="s">
        <v>2285</v>
      </c>
      <c r="C280" s="19" t="s">
        <v>8</v>
      </c>
      <c r="D280" s="19" t="s">
        <v>1925</v>
      </c>
      <c r="E280" s="4">
        <v>0.85</v>
      </c>
      <c r="F280" s="42">
        <v>2.4500000000000002</v>
      </c>
      <c r="G280" s="45">
        <v>320</v>
      </c>
      <c r="H280" s="22">
        <v>2.1</v>
      </c>
      <c r="I280" s="6">
        <f t="shared" si="4"/>
        <v>1399.4400000000003</v>
      </c>
      <c r="J280" s="6" t="s">
        <v>2275</v>
      </c>
      <c r="K280" s="17"/>
    </row>
    <row r="281" spans="1:11" ht="13.95" customHeight="1" x14ac:dyDescent="0.3">
      <c r="A281" s="3">
        <v>45968</v>
      </c>
      <c r="B281" s="19" t="s">
        <v>2285</v>
      </c>
      <c r="C281" s="19" t="s">
        <v>11</v>
      </c>
      <c r="D281" s="19" t="s">
        <v>1925</v>
      </c>
      <c r="E281" s="4">
        <v>0.85</v>
      </c>
      <c r="F281" s="42">
        <v>2.65</v>
      </c>
      <c r="G281" s="45">
        <v>320</v>
      </c>
      <c r="H281" s="22">
        <v>2.1</v>
      </c>
      <c r="I281" s="6">
        <f t="shared" si="4"/>
        <v>1513.68</v>
      </c>
      <c r="J281" s="6" t="s">
        <v>2276</v>
      </c>
      <c r="K281" s="17"/>
    </row>
    <row r="282" spans="1:11" ht="13.95" customHeight="1" x14ac:dyDescent="0.3">
      <c r="A282" s="3">
        <v>45969</v>
      </c>
      <c r="B282" s="19" t="s">
        <v>2285</v>
      </c>
      <c r="C282" s="19" t="s">
        <v>13</v>
      </c>
      <c r="D282" s="19" t="s">
        <v>14</v>
      </c>
      <c r="E282" s="4">
        <v>0.7</v>
      </c>
      <c r="F282" s="42">
        <v>3.55</v>
      </c>
      <c r="G282" s="45">
        <v>320</v>
      </c>
      <c r="H282" s="22">
        <v>2.1</v>
      </c>
      <c r="I282" s="6">
        <f t="shared" si="4"/>
        <v>1669.9199999999998</v>
      </c>
      <c r="J282" s="6" t="s">
        <v>2277</v>
      </c>
      <c r="K282" s="17"/>
    </row>
    <row r="283" spans="1:11" ht="13.95" customHeight="1" x14ac:dyDescent="0.3">
      <c r="A283" s="3">
        <v>45970</v>
      </c>
      <c r="B283" s="19" t="s">
        <v>2285</v>
      </c>
      <c r="C283" s="19" t="s">
        <v>16</v>
      </c>
      <c r="D283" s="19" t="s">
        <v>14</v>
      </c>
      <c r="E283" s="4">
        <v>0.65</v>
      </c>
      <c r="F283" s="42">
        <v>3.1</v>
      </c>
      <c r="G283" s="45">
        <v>320</v>
      </c>
      <c r="H283" s="22">
        <v>2.1</v>
      </c>
      <c r="I283" s="6">
        <f t="shared" si="4"/>
        <v>1354.0800000000002</v>
      </c>
      <c r="J283" s="6" t="s">
        <v>69</v>
      </c>
      <c r="K283" s="17"/>
    </row>
    <row r="284" spans="1:11" ht="13.95" customHeight="1" x14ac:dyDescent="0.3">
      <c r="A284" s="3">
        <v>45971</v>
      </c>
      <c r="B284" s="19" t="s">
        <v>2285</v>
      </c>
      <c r="C284" s="19" t="s">
        <v>18</v>
      </c>
      <c r="D284" s="19" t="s">
        <v>9</v>
      </c>
      <c r="E284" s="4">
        <v>0.5</v>
      </c>
      <c r="F284" s="42">
        <v>2.15</v>
      </c>
      <c r="G284" s="45">
        <v>320</v>
      </c>
      <c r="H284" s="22">
        <v>2.1</v>
      </c>
      <c r="I284" s="6">
        <f t="shared" si="4"/>
        <v>722.4</v>
      </c>
      <c r="J284" s="6" t="s">
        <v>150</v>
      </c>
      <c r="K284" s="17"/>
    </row>
    <row r="285" spans="1:11" ht="13.95" customHeight="1" x14ac:dyDescent="0.3">
      <c r="A285" s="3">
        <v>45972</v>
      </c>
      <c r="B285" s="19" t="s">
        <v>2285</v>
      </c>
      <c r="C285" s="19" t="s">
        <v>20</v>
      </c>
      <c r="D285" s="19" t="s">
        <v>9</v>
      </c>
      <c r="E285" s="4">
        <v>0.55000000000000004</v>
      </c>
      <c r="F285" s="42">
        <v>2.2000000000000002</v>
      </c>
      <c r="G285" s="45">
        <v>320</v>
      </c>
      <c r="H285" s="22">
        <v>2.1</v>
      </c>
      <c r="I285" s="6">
        <f t="shared" si="4"/>
        <v>813.12000000000012</v>
      </c>
      <c r="J285" s="6" t="s">
        <v>88</v>
      </c>
      <c r="K285" s="17"/>
    </row>
    <row r="286" spans="1:11" ht="13.95" customHeight="1" x14ac:dyDescent="0.3">
      <c r="A286" s="3">
        <v>45973</v>
      </c>
      <c r="B286" s="19" t="s">
        <v>2285</v>
      </c>
      <c r="C286" s="19" t="s">
        <v>5</v>
      </c>
      <c r="D286" s="19" t="s">
        <v>9</v>
      </c>
      <c r="E286" s="4">
        <v>0.6</v>
      </c>
      <c r="F286" s="42">
        <v>2.2000000000000002</v>
      </c>
      <c r="G286" s="45">
        <v>320</v>
      </c>
      <c r="H286" s="22">
        <v>2.1</v>
      </c>
      <c r="I286" s="6">
        <f t="shared" si="4"/>
        <v>887.04000000000008</v>
      </c>
      <c r="J286" s="6" t="s">
        <v>88</v>
      </c>
      <c r="K286" s="17"/>
    </row>
    <row r="287" spans="1:11" ht="13.95" customHeight="1" x14ac:dyDescent="0.3">
      <c r="A287" s="3">
        <v>45974</v>
      </c>
      <c r="B287" s="19" t="s">
        <v>2285</v>
      </c>
      <c r="C287" s="19" t="s">
        <v>8</v>
      </c>
      <c r="D287" s="19" t="s">
        <v>1925</v>
      </c>
      <c r="E287" s="4">
        <v>0.8</v>
      </c>
      <c r="F287" s="42">
        <v>2.4</v>
      </c>
      <c r="G287" s="45">
        <v>320</v>
      </c>
      <c r="H287" s="22">
        <v>2.1</v>
      </c>
      <c r="I287" s="6">
        <f t="shared" si="4"/>
        <v>1290.24</v>
      </c>
      <c r="J287" s="6" t="s">
        <v>2000</v>
      </c>
      <c r="K287" s="17"/>
    </row>
    <row r="288" spans="1:11" ht="13.95" customHeight="1" x14ac:dyDescent="0.3">
      <c r="A288" s="3">
        <v>45975</v>
      </c>
      <c r="B288" s="19" t="s">
        <v>2285</v>
      </c>
      <c r="C288" s="19" t="s">
        <v>11</v>
      </c>
      <c r="D288" s="19" t="s">
        <v>1925</v>
      </c>
      <c r="E288" s="4">
        <v>0.85</v>
      </c>
      <c r="F288" s="42">
        <v>2.5499999999999998</v>
      </c>
      <c r="G288" s="45">
        <v>320</v>
      </c>
      <c r="H288" s="22">
        <v>2.1</v>
      </c>
      <c r="I288" s="6">
        <f t="shared" si="4"/>
        <v>1456.56</v>
      </c>
      <c r="J288" s="6" t="s">
        <v>2278</v>
      </c>
      <c r="K288" s="17"/>
    </row>
    <row r="289" spans="1:11" ht="13.95" customHeight="1" x14ac:dyDescent="0.3">
      <c r="A289" s="3">
        <v>45976</v>
      </c>
      <c r="B289" s="19" t="s">
        <v>2285</v>
      </c>
      <c r="C289" s="19" t="s">
        <v>13</v>
      </c>
      <c r="D289" s="19" t="s">
        <v>14</v>
      </c>
      <c r="E289" s="4">
        <v>0.8</v>
      </c>
      <c r="F289" s="42">
        <v>3.7</v>
      </c>
      <c r="G289" s="45">
        <v>320</v>
      </c>
      <c r="H289" s="22">
        <v>2.1</v>
      </c>
      <c r="I289" s="6">
        <f t="shared" si="4"/>
        <v>1989.1200000000001</v>
      </c>
      <c r="J289" s="6" t="s">
        <v>2157</v>
      </c>
      <c r="K289" s="17"/>
    </row>
    <row r="290" spans="1:11" ht="13.95" customHeight="1" x14ac:dyDescent="0.3">
      <c r="A290" s="3">
        <v>45977</v>
      </c>
      <c r="B290" s="19" t="s">
        <v>2285</v>
      </c>
      <c r="C290" s="19" t="s">
        <v>16</v>
      </c>
      <c r="D290" s="19" t="s">
        <v>14</v>
      </c>
      <c r="E290" s="4">
        <v>0.7</v>
      </c>
      <c r="F290" s="42">
        <v>3.2</v>
      </c>
      <c r="G290" s="45">
        <v>320</v>
      </c>
      <c r="H290" s="22">
        <v>2.1</v>
      </c>
      <c r="I290" s="6">
        <f t="shared" si="4"/>
        <v>1505.2800000000002</v>
      </c>
      <c r="J290" s="6" t="s">
        <v>159</v>
      </c>
      <c r="K290" s="17"/>
    </row>
    <row r="291" spans="1:11" ht="13.95" customHeight="1" x14ac:dyDescent="0.3">
      <c r="A291" s="3">
        <v>45978</v>
      </c>
      <c r="B291" s="19" t="s">
        <v>2285</v>
      </c>
      <c r="C291" s="19" t="s">
        <v>18</v>
      </c>
      <c r="D291" s="19" t="s">
        <v>9</v>
      </c>
      <c r="E291" s="4">
        <v>0.55000000000000004</v>
      </c>
      <c r="F291" s="42">
        <v>2.15</v>
      </c>
      <c r="G291" s="45">
        <v>320</v>
      </c>
      <c r="H291" s="22">
        <v>2.1</v>
      </c>
      <c r="I291" s="6">
        <f t="shared" si="4"/>
        <v>794.64</v>
      </c>
      <c r="J291" s="6" t="s">
        <v>88</v>
      </c>
      <c r="K291" s="17"/>
    </row>
    <row r="292" spans="1:11" ht="13.95" customHeight="1" x14ac:dyDescent="0.3">
      <c r="A292" s="3">
        <v>45979</v>
      </c>
      <c r="B292" s="19" t="s">
        <v>2285</v>
      </c>
      <c r="C292" s="19" t="s">
        <v>20</v>
      </c>
      <c r="D292" s="19" t="s">
        <v>9</v>
      </c>
      <c r="E292" s="4">
        <v>0.55000000000000004</v>
      </c>
      <c r="F292" s="42">
        <v>2.15</v>
      </c>
      <c r="G292" s="45">
        <v>320</v>
      </c>
      <c r="H292" s="22">
        <v>2.1</v>
      </c>
      <c r="I292" s="6">
        <f t="shared" si="4"/>
        <v>794.64</v>
      </c>
      <c r="J292" s="6" t="s">
        <v>88</v>
      </c>
      <c r="K292" s="17"/>
    </row>
    <row r="293" spans="1:11" ht="13.95" customHeight="1" x14ac:dyDescent="0.3">
      <c r="A293" s="3">
        <v>45980</v>
      </c>
      <c r="B293" s="19" t="s">
        <v>2285</v>
      </c>
      <c r="C293" s="19" t="s">
        <v>5</v>
      </c>
      <c r="D293" s="19" t="s">
        <v>9</v>
      </c>
      <c r="E293" s="4">
        <v>0.6</v>
      </c>
      <c r="F293" s="42">
        <v>2.2000000000000002</v>
      </c>
      <c r="G293" s="45">
        <v>320</v>
      </c>
      <c r="H293" s="22">
        <v>2.1</v>
      </c>
      <c r="I293" s="6">
        <f t="shared" si="4"/>
        <v>887.04000000000008</v>
      </c>
      <c r="J293" s="6" t="s">
        <v>88</v>
      </c>
      <c r="K293" s="17"/>
    </row>
    <row r="294" spans="1:11" ht="13.95" customHeight="1" x14ac:dyDescent="0.3">
      <c r="A294" s="3">
        <v>45981</v>
      </c>
      <c r="B294" s="19" t="s">
        <v>2285</v>
      </c>
      <c r="C294" s="19" t="s">
        <v>8</v>
      </c>
      <c r="D294" s="19" t="s">
        <v>1925</v>
      </c>
      <c r="E294" s="4">
        <v>0.75</v>
      </c>
      <c r="F294" s="42">
        <v>2.4</v>
      </c>
      <c r="G294" s="45">
        <v>320</v>
      </c>
      <c r="H294" s="22">
        <v>2.1</v>
      </c>
      <c r="I294" s="6">
        <f t="shared" si="4"/>
        <v>1209.6000000000001</v>
      </c>
      <c r="J294" s="6" t="s">
        <v>2162</v>
      </c>
      <c r="K294" s="17"/>
    </row>
    <row r="295" spans="1:11" ht="13.95" customHeight="1" x14ac:dyDescent="0.3">
      <c r="A295" s="3">
        <v>45982</v>
      </c>
      <c r="B295" s="19" t="s">
        <v>2285</v>
      </c>
      <c r="C295" s="19" t="s">
        <v>11</v>
      </c>
      <c r="D295" s="19" t="s">
        <v>1925</v>
      </c>
      <c r="E295" s="4">
        <v>0.8</v>
      </c>
      <c r="F295" s="42">
        <v>2.5</v>
      </c>
      <c r="G295" s="45">
        <v>320</v>
      </c>
      <c r="H295" s="22">
        <v>2.1</v>
      </c>
      <c r="I295" s="6">
        <f t="shared" si="4"/>
        <v>1344</v>
      </c>
      <c r="J295" s="6" t="s">
        <v>540</v>
      </c>
      <c r="K295" s="17"/>
    </row>
    <row r="296" spans="1:11" ht="13.95" customHeight="1" x14ac:dyDescent="0.3">
      <c r="A296" s="3">
        <v>45983</v>
      </c>
      <c r="B296" s="19" t="s">
        <v>2285</v>
      </c>
      <c r="C296" s="19" t="s">
        <v>13</v>
      </c>
      <c r="D296" s="19" t="s">
        <v>14</v>
      </c>
      <c r="E296" s="4">
        <v>0.75</v>
      </c>
      <c r="F296" s="42">
        <v>3.6</v>
      </c>
      <c r="G296" s="45">
        <v>320</v>
      </c>
      <c r="H296" s="22">
        <v>2.1</v>
      </c>
      <c r="I296" s="6">
        <f t="shared" si="4"/>
        <v>1814.4</v>
      </c>
      <c r="J296" s="6" t="s">
        <v>1918</v>
      </c>
      <c r="K296" s="17"/>
    </row>
    <row r="297" spans="1:11" ht="13.95" customHeight="1" x14ac:dyDescent="0.3">
      <c r="A297" s="3">
        <v>45984</v>
      </c>
      <c r="B297" s="19" t="s">
        <v>2285</v>
      </c>
      <c r="C297" s="19" t="s">
        <v>16</v>
      </c>
      <c r="D297" s="19" t="s">
        <v>14</v>
      </c>
      <c r="E297" s="4">
        <v>0.65</v>
      </c>
      <c r="F297" s="42">
        <v>3.15</v>
      </c>
      <c r="G297" s="45">
        <v>320</v>
      </c>
      <c r="H297" s="22">
        <v>2.1</v>
      </c>
      <c r="I297" s="6">
        <f t="shared" si="4"/>
        <v>1375.9199999999998</v>
      </c>
      <c r="J297" s="6" t="s">
        <v>69</v>
      </c>
      <c r="K297" s="17"/>
    </row>
    <row r="298" spans="1:11" ht="13.95" customHeight="1" x14ac:dyDescent="0.3">
      <c r="A298" s="3">
        <v>45985</v>
      </c>
      <c r="B298" s="19" t="s">
        <v>2285</v>
      </c>
      <c r="C298" s="19" t="s">
        <v>18</v>
      </c>
      <c r="D298" s="19" t="s">
        <v>9</v>
      </c>
      <c r="E298" s="4">
        <v>0.5</v>
      </c>
      <c r="F298" s="42">
        <v>2.15</v>
      </c>
      <c r="G298" s="45">
        <v>320</v>
      </c>
      <c r="H298" s="22">
        <v>2.1</v>
      </c>
      <c r="I298" s="6">
        <f t="shared" si="4"/>
        <v>722.4</v>
      </c>
      <c r="J298" s="6" t="s">
        <v>150</v>
      </c>
      <c r="K298" s="17"/>
    </row>
    <row r="299" spans="1:11" ht="13.95" customHeight="1" x14ac:dyDescent="0.3">
      <c r="A299" s="3">
        <v>45986</v>
      </c>
      <c r="B299" s="19" t="s">
        <v>2285</v>
      </c>
      <c r="C299" s="19" t="s">
        <v>20</v>
      </c>
      <c r="D299" s="19" t="s">
        <v>9</v>
      </c>
      <c r="E299" s="4">
        <v>0.5</v>
      </c>
      <c r="F299" s="42">
        <v>2.15</v>
      </c>
      <c r="G299" s="45">
        <v>320</v>
      </c>
      <c r="H299" s="22">
        <v>2.1</v>
      </c>
      <c r="I299" s="6">
        <f t="shared" si="4"/>
        <v>722.4</v>
      </c>
      <c r="J299" s="6" t="s">
        <v>88</v>
      </c>
      <c r="K299" s="17"/>
    </row>
    <row r="300" spans="1:11" ht="13.95" customHeight="1" x14ac:dyDescent="0.3">
      <c r="A300" s="3">
        <v>45987</v>
      </c>
      <c r="B300" s="19" t="s">
        <v>2285</v>
      </c>
      <c r="C300" s="19" t="s">
        <v>5</v>
      </c>
      <c r="D300" s="19" t="s">
        <v>9</v>
      </c>
      <c r="E300" s="4">
        <v>0.55000000000000004</v>
      </c>
      <c r="F300" s="42">
        <v>2.2000000000000002</v>
      </c>
      <c r="G300" s="45">
        <v>320</v>
      </c>
      <c r="H300" s="22">
        <v>2.1</v>
      </c>
      <c r="I300" s="6">
        <f t="shared" si="4"/>
        <v>813.12000000000012</v>
      </c>
      <c r="J300" s="6" t="s">
        <v>88</v>
      </c>
      <c r="K300" s="17"/>
    </row>
    <row r="301" spans="1:11" ht="13.95" customHeight="1" x14ac:dyDescent="0.3">
      <c r="A301" s="3">
        <v>45988</v>
      </c>
      <c r="B301" s="19" t="s">
        <v>2285</v>
      </c>
      <c r="C301" s="19" t="s">
        <v>8</v>
      </c>
      <c r="D301" s="19" t="s">
        <v>9</v>
      </c>
      <c r="E301" s="4">
        <v>0.6</v>
      </c>
      <c r="F301" s="42">
        <v>2.25</v>
      </c>
      <c r="G301" s="45">
        <v>320</v>
      </c>
      <c r="H301" s="22">
        <v>2.1</v>
      </c>
      <c r="I301" s="6">
        <f t="shared" si="4"/>
        <v>907.2</v>
      </c>
      <c r="J301" s="6" t="s">
        <v>88</v>
      </c>
      <c r="K301" s="17"/>
    </row>
    <row r="302" spans="1:11" ht="13.95" customHeight="1" x14ac:dyDescent="0.3">
      <c r="A302" s="3">
        <v>45989</v>
      </c>
      <c r="B302" s="19" t="s">
        <v>2285</v>
      </c>
      <c r="C302" s="19" t="s">
        <v>11</v>
      </c>
      <c r="D302" s="19" t="s">
        <v>14</v>
      </c>
      <c r="E302" s="4">
        <v>0.7</v>
      </c>
      <c r="F302" s="42">
        <v>2.6</v>
      </c>
      <c r="G302" s="45">
        <v>320</v>
      </c>
      <c r="H302" s="22">
        <v>2.1</v>
      </c>
      <c r="I302" s="6">
        <f t="shared" si="4"/>
        <v>1223.04</v>
      </c>
      <c r="J302" s="6" t="s">
        <v>1266</v>
      </c>
      <c r="K302" s="17"/>
    </row>
    <row r="303" spans="1:11" ht="13.95" customHeight="1" x14ac:dyDescent="0.3">
      <c r="A303" s="3">
        <v>45990</v>
      </c>
      <c r="B303" s="19" t="s">
        <v>2285</v>
      </c>
      <c r="C303" s="19" t="s">
        <v>13</v>
      </c>
      <c r="D303" s="19" t="s">
        <v>14</v>
      </c>
      <c r="E303" s="4">
        <v>0.75</v>
      </c>
      <c r="F303" s="42">
        <v>3.55</v>
      </c>
      <c r="G303" s="45">
        <v>320</v>
      </c>
      <c r="H303" s="22">
        <v>2.1</v>
      </c>
      <c r="I303" s="6">
        <f t="shared" si="4"/>
        <v>1789.2</v>
      </c>
      <c r="J303" s="6" t="s">
        <v>1478</v>
      </c>
      <c r="K303" s="17"/>
    </row>
    <row r="304" spans="1:11" ht="13.95" customHeight="1" x14ac:dyDescent="0.3">
      <c r="A304" s="3">
        <v>45991</v>
      </c>
      <c r="B304" s="19" t="s">
        <v>2285</v>
      </c>
      <c r="C304" s="19" t="s">
        <v>16</v>
      </c>
      <c r="D304" s="19" t="s">
        <v>14</v>
      </c>
      <c r="E304" s="4">
        <v>0.65</v>
      </c>
      <c r="F304" s="42">
        <v>3.2</v>
      </c>
      <c r="G304" s="45">
        <v>320</v>
      </c>
      <c r="H304" s="22">
        <v>2.1</v>
      </c>
      <c r="I304" s="6">
        <f t="shared" si="4"/>
        <v>1397.7600000000002</v>
      </c>
      <c r="J304" s="6" t="s">
        <v>63</v>
      </c>
      <c r="K304" s="17"/>
    </row>
    <row r="305" spans="1:11" ht="13.95" customHeight="1" x14ac:dyDescent="0.3">
      <c r="A305" s="3">
        <v>45992</v>
      </c>
      <c r="B305" s="19" t="s">
        <v>2285</v>
      </c>
      <c r="C305" s="19" t="s">
        <v>18</v>
      </c>
      <c r="D305" s="19" t="s">
        <v>9</v>
      </c>
      <c r="E305" s="4">
        <v>0.5</v>
      </c>
      <c r="F305" s="42">
        <v>2.2000000000000002</v>
      </c>
      <c r="G305" s="45">
        <v>320</v>
      </c>
      <c r="H305" s="22">
        <v>2.4</v>
      </c>
      <c r="I305" s="6">
        <f t="shared" si="4"/>
        <v>844.8</v>
      </c>
      <c r="J305" s="6" t="s">
        <v>2279</v>
      </c>
      <c r="K305" s="17"/>
    </row>
    <row r="306" spans="1:11" ht="13.95" customHeight="1" x14ac:dyDescent="0.3">
      <c r="A306" s="3">
        <v>45993</v>
      </c>
      <c r="B306" s="19" t="s">
        <v>2285</v>
      </c>
      <c r="C306" s="19" t="s">
        <v>20</v>
      </c>
      <c r="D306" s="19" t="s">
        <v>9</v>
      </c>
      <c r="E306" s="4">
        <v>0.5</v>
      </c>
      <c r="F306" s="42">
        <v>2.2000000000000002</v>
      </c>
      <c r="G306" s="45">
        <v>320</v>
      </c>
      <c r="H306" s="22">
        <v>2.4</v>
      </c>
      <c r="I306" s="6">
        <f t="shared" si="4"/>
        <v>844.8</v>
      </c>
      <c r="J306" s="6" t="s">
        <v>2279</v>
      </c>
      <c r="K306" s="17"/>
    </row>
    <row r="307" spans="1:11" ht="13.95" customHeight="1" x14ac:dyDescent="0.3">
      <c r="A307" s="3">
        <v>45997</v>
      </c>
      <c r="B307" s="19" t="s">
        <v>2285</v>
      </c>
      <c r="C307" s="19" t="s">
        <v>13</v>
      </c>
      <c r="D307" s="19" t="s">
        <v>14</v>
      </c>
      <c r="E307" s="4">
        <v>0.7</v>
      </c>
      <c r="F307" s="42">
        <v>3.45</v>
      </c>
      <c r="G307" s="45">
        <v>320</v>
      </c>
      <c r="H307" s="22">
        <v>2.4</v>
      </c>
      <c r="I307" s="6">
        <f t="shared" si="4"/>
        <v>1854.72</v>
      </c>
      <c r="J307" s="6" t="s">
        <v>1918</v>
      </c>
      <c r="K307" s="17"/>
    </row>
    <row r="308" spans="1:11" ht="13.95" customHeight="1" x14ac:dyDescent="0.3">
      <c r="A308" s="3">
        <v>46004</v>
      </c>
      <c r="B308" s="19" t="s">
        <v>2285</v>
      </c>
      <c r="C308" s="19" t="s">
        <v>13</v>
      </c>
      <c r="D308" s="19" t="s">
        <v>14</v>
      </c>
      <c r="E308" s="4">
        <v>0.75</v>
      </c>
      <c r="F308" s="42">
        <v>3.6</v>
      </c>
      <c r="G308" s="45">
        <v>320</v>
      </c>
      <c r="H308" s="22">
        <v>2.4</v>
      </c>
      <c r="I308" s="6">
        <f t="shared" si="4"/>
        <v>2073.6</v>
      </c>
      <c r="J308" s="6" t="s">
        <v>2280</v>
      </c>
      <c r="K308" s="17"/>
    </row>
    <row r="309" spans="1:11" ht="13.95" customHeight="1" x14ac:dyDescent="0.3">
      <c r="A309" s="3">
        <v>46008</v>
      </c>
      <c r="B309" s="19" t="s">
        <v>2285</v>
      </c>
      <c r="C309" s="19" t="s">
        <v>5</v>
      </c>
      <c r="D309" s="19" t="s">
        <v>1269</v>
      </c>
      <c r="E309" s="4">
        <v>0.65</v>
      </c>
      <c r="F309" s="42">
        <v>3.25</v>
      </c>
      <c r="G309" s="45">
        <v>320</v>
      </c>
      <c r="H309" s="22">
        <v>2.4</v>
      </c>
      <c r="I309" s="6">
        <f t="shared" si="4"/>
        <v>1622.3999999999999</v>
      </c>
      <c r="J309" s="6" t="s">
        <v>2192</v>
      </c>
      <c r="K309" s="17"/>
    </row>
    <row r="310" spans="1:11" ht="13.95" customHeight="1" x14ac:dyDescent="0.3">
      <c r="A310" s="3">
        <v>46011</v>
      </c>
      <c r="B310" s="19" t="s">
        <v>2285</v>
      </c>
      <c r="C310" s="19" t="s">
        <v>13</v>
      </c>
      <c r="D310" s="19" t="s">
        <v>658</v>
      </c>
      <c r="E310" s="4">
        <v>0.8</v>
      </c>
      <c r="F310" s="42">
        <v>3.3</v>
      </c>
      <c r="G310" s="45">
        <v>320</v>
      </c>
      <c r="H310" s="22">
        <v>2.4</v>
      </c>
      <c r="I310" s="6">
        <f t="shared" si="4"/>
        <v>2027.5199999999998</v>
      </c>
      <c r="J310" s="6" t="s">
        <v>596</v>
      </c>
      <c r="K310" s="17"/>
    </row>
    <row r="311" spans="1:11" ht="13.95" customHeight="1" x14ac:dyDescent="0.3">
      <c r="A311" s="3">
        <v>46012</v>
      </c>
      <c r="B311" s="19" t="s">
        <v>2285</v>
      </c>
      <c r="C311" s="19" t="s">
        <v>16</v>
      </c>
      <c r="D311" s="19" t="s">
        <v>658</v>
      </c>
      <c r="E311" s="4">
        <v>0.8</v>
      </c>
      <c r="F311" s="42">
        <v>3.1</v>
      </c>
      <c r="G311" s="45">
        <v>320</v>
      </c>
      <c r="H311" s="22">
        <v>2.4</v>
      </c>
      <c r="I311" s="6">
        <f t="shared" si="4"/>
        <v>1904.6399999999999</v>
      </c>
      <c r="J311" s="6" t="s">
        <v>1911</v>
      </c>
      <c r="K311" s="17"/>
    </row>
    <row r="312" spans="1:11" ht="13.95" customHeight="1" x14ac:dyDescent="0.3">
      <c r="A312" s="3">
        <v>46013</v>
      </c>
      <c r="B312" s="19" t="s">
        <v>2285</v>
      </c>
      <c r="C312" s="19" t="s">
        <v>18</v>
      </c>
      <c r="D312" s="19" t="s">
        <v>658</v>
      </c>
      <c r="E312" s="4">
        <v>0.75</v>
      </c>
      <c r="F312" s="42">
        <v>2.8</v>
      </c>
      <c r="G312" s="45">
        <v>320</v>
      </c>
      <c r="H312" s="22">
        <v>2.4</v>
      </c>
      <c r="I312" s="6">
        <f t="shared" si="4"/>
        <v>1612.8</v>
      </c>
      <c r="J312" s="6" t="s">
        <v>1735</v>
      </c>
      <c r="K312" s="17"/>
    </row>
    <row r="313" spans="1:11" ht="13.95" customHeight="1" x14ac:dyDescent="0.3">
      <c r="A313" s="3">
        <v>46014</v>
      </c>
      <c r="B313" s="19" t="s">
        <v>2285</v>
      </c>
      <c r="C313" s="19" t="s">
        <v>20</v>
      </c>
      <c r="D313" s="19" t="s">
        <v>658</v>
      </c>
      <c r="E313" s="4">
        <v>0.8</v>
      </c>
      <c r="F313" s="42">
        <v>2.85</v>
      </c>
      <c r="G313" s="45">
        <v>320</v>
      </c>
      <c r="H313" s="22">
        <v>2.4</v>
      </c>
      <c r="I313" s="6">
        <f t="shared" si="4"/>
        <v>1751.04</v>
      </c>
      <c r="J313" s="6" t="s">
        <v>514</v>
      </c>
      <c r="K313" s="17"/>
    </row>
    <row r="314" spans="1:11" ht="13.95" customHeight="1" x14ac:dyDescent="0.3">
      <c r="A314" s="3">
        <v>46015</v>
      </c>
      <c r="B314" s="19" t="s">
        <v>2285</v>
      </c>
      <c r="C314" s="19" t="s">
        <v>5</v>
      </c>
      <c r="D314" s="19" t="s">
        <v>299</v>
      </c>
      <c r="E314" s="4">
        <v>0.9</v>
      </c>
      <c r="F314" s="42">
        <v>4.0999999999999996</v>
      </c>
      <c r="G314" s="45">
        <v>320</v>
      </c>
      <c r="H314" s="22">
        <v>2.4</v>
      </c>
      <c r="I314" s="6">
        <f t="shared" si="4"/>
        <v>2833.9199999999996</v>
      </c>
      <c r="J314" s="6" t="s">
        <v>2281</v>
      </c>
      <c r="K314" s="17"/>
    </row>
    <row r="315" spans="1:11" ht="13.95" customHeight="1" x14ac:dyDescent="0.3">
      <c r="A315" s="3">
        <v>46016</v>
      </c>
      <c r="B315" s="19" t="s">
        <v>2285</v>
      </c>
      <c r="C315" s="19" t="s">
        <v>8</v>
      </c>
      <c r="D315" s="19" t="s">
        <v>299</v>
      </c>
      <c r="E315" s="4">
        <v>0.85</v>
      </c>
      <c r="F315" s="42">
        <v>3.6</v>
      </c>
      <c r="G315" s="45">
        <v>320</v>
      </c>
      <c r="H315" s="22">
        <v>2.4</v>
      </c>
      <c r="I315" s="6">
        <f t="shared" si="4"/>
        <v>2350.08</v>
      </c>
      <c r="J315" s="6" t="s">
        <v>1834</v>
      </c>
      <c r="K315" s="17"/>
    </row>
    <row r="316" spans="1:11" ht="13.95" customHeight="1" x14ac:dyDescent="0.3">
      <c r="A316" s="3">
        <v>46017</v>
      </c>
      <c r="B316" s="19" t="s">
        <v>2285</v>
      </c>
      <c r="C316" s="19" t="s">
        <v>11</v>
      </c>
      <c r="D316" s="19" t="s">
        <v>658</v>
      </c>
      <c r="E316" s="4">
        <v>0.85</v>
      </c>
      <c r="F316" s="42">
        <v>3.2</v>
      </c>
      <c r="G316" s="45">
        <v>320</v>
      </c>
      <c r="H316" s="22">
        <v>2.4</v>
      </c>
      <c r="I316" s="6">
        <f t="shared" si="4"/>
        <v>2088.96</v>
      </c>
      <c r="J316" s="6" t="s">
        <v>197</v>
      </c>
      <c r="K316" s="17"/>
    </row>
    <row r="317" spans="1:11" ht="13.95" customHeight="1" x14ac:dyDescent="0.3">
      <c r="A317" s="3">
        <v>46018</v>
      </c>
      <c r="B317" s="19" t="s">
        <v>2285</v>
      </c>
      <c r="C317" s="19" t="s">
        <v>13</v>
      </c>
      <c r="D317" s="19" t="s">
        <v>658</v>
      </c>
      <c r="E317" s="4">
        <v>0.95</v>
      </c>
      <c r="F317" s="42">
        <v>4.2</v>
      </c>
      <c r="G317" s="45">
        <v>320</v>
      </c>
      <c r="H317" s="22">
        <v>2.4</v>
      </c>
      <c r="I317" s="6">
        <f t="shared" si="4"/>
        <v>3064.3199999999997</v>
      </c>
      <c r="J317" s="6" t="s">
        <v>1464</v>
      </c>
      <c r="K317" s="17"/>
    </row>
    <row r="318" spans="1:11" ht="13.95" customHeight="1" x14ac:dyDescent="0.3">
      <c r="A318" s="3">
        <v>46019</v>
      </c>
      <c r="B318" s="19" t="s">
        <v>2285</v>
      </c>
      <c r="C318" s="19" t="s">
        <v>16</v>
      </c>
      <c r="D318" s="19" t="s">
        <v>658</v>
      </c>
      <c r="E318" s="4">
        <v>0.9</v>
      </c>
      <c r="F318" s="42">
        <v>3.65</v>
      </c>
      <c r="G318" s="45">
        <v>320</v>
      </c>
      <c r="H318" s="22">
        <v>2.4</v>
      </c>
      <c r="I318" s="6">
        <f t="shared" si="4"/>
        <v>2522.88</v>
      </c>
      <c r="J318" s="6" t="s">
        <v>2236</v>
      </c>
      <c r="K318" s="17"/>
    </row>
    <row r="319" spans="1:11" ht="13.95" customHeight="1" x14ac:dyDescent="0.3">
      <c r="A319" s="3">
        <v>46020</v>
      </c>
      <c r="B319" s="19" t="s">
        <v>2285</v>
      </c>
      <c r="C319" s="19" t="s">
        <v>18</v>
      </c>
      <c r="D319" s="19" t="s">
        <v>1565</v>
      </c>
      <c r="E319" s="4">
        <v>0.95</v>
      </c>
      <c r="F319" s="42">
        <v>2.9</v>
      </c>
      <c r="G319" s="45">
        <v>320</v>
      </c>
      <c r="H319" s="22">
        <v>2.4</v>
      </c>
      <c r="I319" s="6">
        <f t="shared" si="4"/>
        <v>2115.84</v>
      </c>
      <c r="J319" s="6" t="s">
        <v>2282</v>
      </c>
      <c r="K319" s="17"/>
    </row>
    <row r="320" spans="1:11" ht="13.95" customHeight="1" x14ac:dyDescent="0.3">
      <c r="A320" s="3">
        <v>46021</v>
      </c>
      <c r="B320" s="19" t="s">
        <v>2285</v>
      </c>
      <c r="C320" s="19" t="s">
        <v>20</v>
      </c>
      <c r="D320" s="19" t="s">
        <v>1565</v>
      </c>
      <c r="E320" s="4">
        <v>1</v>
      </c>
      <c r="F320" s="42">
        <v>3.25</v>
      </c>
      <c r="G320" s="45">
        <v>320</v>
      </c>
      <c r="H320" s="22">
        <v>2.4</v>
      </c>
      <c r="I320" s="6">
        <f t="shared" si="4"/>
        <v>2496</v>
      </c>
      <c r="J320" s="6" t="s">
        <v>2283</v>
      </c>
      <c r="K320" s="17"/>
    </row>
    <row r="321" spans="1:11" ht="13.95" customHeight="1" x14ac:dyDescent="0.3">
      <c r="A321" s="3">
        <v>46022</v>
      </c>
      <c r="B321" s="19" t="s">
        <v>2285</v>
      </c>
      <c r="C321" s="19" t="s">
        <v>5</v>
      </c>
      <c r="D321" s="19" t="s">
        <v>1567</v>
      </c>
      <c r="E321" s="4">
        <v>1</v>
      </c>
      <c r="F321" s="42">
        <v>4.8</v>
      </c>
      <c r="G321" s="45">
        <v>320</v>
      </c>
      <c r="H321" s="22">
        <v>2.4</v>
      </c>
      <c r="I321" s="6">
        <f t="shared" si="4"/>
        <v>3686.3999999999996</v>
      </c>
      <c r="J321" s="6" t="s">
        <v>2284</v>
      </c>
      <c r="K321" s="1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75A74-F3FD-45C1-B25D-57F37A2D0643}">
  <sheetPr>
    <tabColor rgb="FFFFFF00"/>
  </sheetPr>
  <dimension ref="A1:L367"/>
  <sheetViews>
    <sheetView workbookViewId="0">
      <selection activeCell="F26" sqref="F26"/>
    </sheetView>
  </sheetViews>
  <sheetFormatPr baseColWidth="10" defaultRowHeight="14.4" x14ac:dyDescent="0.3"/>
  <cols>
    <col min="1" max="1" width="13.109375" bestFit="1" customWidth="1"/>
    <col min="2" max="2" width="18.6640625" bestFit="1" customWidth="1"/>
    <col min="10" max="10" width="36.109375" bestFit="1" customWidth="1"/>
  </cols>
  <sheetData>
    <row r="1" spans="1:12" ht="28.2" thickBot="1" x14ac:dyDescent="0.35">
      <c r="A1" s="1" t="s">
        <v>333</v>
      </c>
      <c r="B1" s="1" t="s">
        <v>670</v>
      </c>
      <c r="C1" s="34" t="s">
        <v>0</v>
      </c>
      <c r="D1" s="34" t="s">
        <v>1</v>
      </c>
      <c r="E1" s="37" t="s">
        <v>2</v>
      </c>
      <c r="F1" s="43" t="s">
        <v>3</v>
      </c>
      <c r="G1" s="47" t="s">
        <v>359</v>
      </c>
      <c r="H1" s="35" t="s">
        <v>360</v>
      </c>
      <c r="I1" s="47" t="s">
        <v>361</v>
      </c>
      <c r="J1" s="25" t="s">
        <v>4</v>
      </c>
      <c r="K1">
        <v>250</v>
      </c>
      <c r="L1">
        <v>1.8</v>
      </c>
    </row>
    <row r="2" spans="1:12" ht="13.95" customHeight="1" x14ac:dyDescent="0.3">
      <c r="A2" s="3">
        <v>45658</v>
      </c>
      <c r="B2" s="3" t="s">
        <v>2388</v>
      </c>
      <c r="C2" s="19" t="s">
        <v>5</v>
      </c>
      <c r="D2" s="19" t="s">
        <v>735</v>
      </c>
      <c r="E2" s="4">
        <v>0.9</v>
      </c>
      <c r="F2" s="42">
        <v>3.9</v>
      </c>
      <c r="G2" s="45">
        <v>250</v>
      </c>
      <c r="H2" s="22">
        <v>1.8</v>
      </c>
      <c r="I2" s="6">
        <f t="shared" ref="I2:I65" si="0">(G2*E2)*F2*H2</f>
        <v>1579.5</v>
      </c>
      <c r="J2" s="6" t="s">
        <v>2286</v>
      </c>
      <c r="K2" s="17"/>
    </row>
    <row r="3" spans="1:12" ht="13.95" customHeight="1" x14ac:dyDescent="0.3">
      <c r="A3" s="3">
        <v>45659</v>
      </c>
      <c r="B3" s="3" t="s">
        <v>2388</v>
      </c>
      <c r="C3" s="19" t="s">
        <v>8</v>
      </c>
      <c r="D3" s="19" t="s">
        <v>736</v>
      </c>
      <c r="E3" s="4">
        <v>0.55000000000000004</v>
      </c>
      <c r="F3" s="42">
        <v>2.2999999999999998</v>
      </c>
      <c r="G3" s="45">
        <v>250</v>
      </c>
      <c r="H3" s="22">
        <v>1.8</v>
      </c>
      <c r="I3" s="6">
        <f t="shared" si="0"/>
        <v>569.25</v>
      </c>
      <c r="J3" s="6" t="s">
        <v>769</v>
      </c>
      <c r="K3" s="17"/>
    </row>
    <row r="4" spans="1:12" ht="13.95" customHeight="1" x14ac:dyDescent="0.3">
      <c r="A4" s="3">
        <v>45660</v>
      </c>
      <c r="B4" s="3" t="s">
        <v>2388</v>
      </c>
      <c r="C4" s="19" t="s">
        <v>11</v>
      </c>
      <c r="D4" s="19" t="s">
        <v>736</v>
      </c>
      <c r="E4" s="4">
        <v>0.5</v>
      </c>
      <c r="F4" s="42">
        <v>2.2999999999999998</v>
      </c>
      <c r="G4" s="45">
        <v>250</v>
      </c>
      <c r="H4" s="22">
        <v>1.8</v>
      </c>
      <c r="I4" s="6">
        <f t="shared" si="0"/>
        <v>517.5</v>
      </c>
      <c r="J4" s="6" t="s">
        <v>88</v>
      </c>
      <c r="K4" s="17"/>
    </row>
    <row r="5" spans="1:12" ht="13.95" customHeight="1" x14ac:dyDescent="0.3">
      <c r="A5" s="3">
        <v>45661</v>
      </c>
      <c r="B5" s="3" t="s">
        <v>2388</v>
      </c>
      <c r="C5" s="19" t="s">
        <v>13</v>
      </c>
      <c r="D5" s="19" t="s">
        <v>14</v>
      </c>
      <c r="E5" s="4">
        <v>0.55000000000000004</v>
      </c>
      <c r="F5" s="42">
        <v>3.1</v>
      </c>
      <c r="G5" s="45">
        <v>250</v>
      </c>
      <c r="H5" s="22">
        <v>1.8</v>
      </c>
      <c r="I5" s="6">
        <f t="shared" si="0"/>
        <v>767.25</v>
      </c>
      <c r="J5" s="6" t="s">
        <v>2287</v>
      </c>
      <c r="K5" s="17"/>
    </row>
    <row r="6" spans="1:12" ht="13.95" customHeight="1" x14ac:dyDescent="0.3">
      <c r="A6" s="3">
        <v>45662</v>
      </c>
      <c r="B6" s="3" t="s">
        <v>2388</v>
      </c>
      <c r="C6" s="19" t="s">
        <v>16</v>
      </c>
      <c r="D6" s="19" t="s">
        <v>14</v>
      </c>
      <c r="E6" s="4">
        <v>0.5</v>
      </c>
      <c r="F6" s="42">
        <v>2.95</v>
      </c>
      <c r="G6" s="45">
        <v>250</v>
      </c>
      <c r="H6" s="22">
        <v>1.8</v>
      </c>
      <c r="I6" s="6">
        <f t="shared" si="0"/>
        <v>663.75</v>
      </c>
      <c r="J6" s="6" t="s">
        <v>1015</v>
      </c>
      <c r="K6" s="17"/>
    </row>
    <row r="7" spans="1:12" ht="13.95" customHeight="1" x14ac:dyDescent="0.3">
      <c r="A7" s="3">
        <v>45663</v>
      </c>
      <c r="B7" s="3" t="s">
        <v>2388</v>
      </c>
      <c r="C7" s="19" t="s">
        <v>18</v>
      </c>
      <c r="D7" s="19" t="s">
        <v>2266</v>
      </c>
      <c r="E7" s="4">
        <v>0.45</v>
      </c>
      <c r="F7" s="42">
        <v>2.2000000000000002</v>
      </c>
      <c r="G7" s="45">
        <v>250</v>
      </c>
      <c r="H7" s="22">
        <v>1.8</v>
      </c>
      <c r="I7" s="6">
        <f t="shared" si="0"/>
        <v>445.50000000000006</v>
      </c>
      <c r="J7" s="6" t="s">
        <v>2288</v>
      </c>
      <c r="K7" s="17"/>
    </row>
    <row r="8" spans="1:12" ht="13.95" customHeight="1" x14ac:dyDescent="0.3">
      <c r="A8" s="3">
        <v>45664</v>
      </c>
      <c r="B8" s="3" t="s">
        <v>2388</v>
      </c>
      <c r="C8" s="19" t="s">
        <v>20</v>
      </c>
      <c r="D8" s="19" t="s">
        <v>2266</v>
      </c>
      <c r="E8" s="4">
        <v>0.45</v>
      </c>
      <c r="F8" s="42">
        <v>2.2000000000000002</v>
      </c>
      <c r="G8" s="45">
        <v>250</v>
      </c>
      <c r="H8" s="22">
        <v>1.8</v>
      </c>
      <c r="I8" s="6">
        <f t="shared" si="0"/>
        <v>445.50000000000006</v>
      </c>
      <c r="J8" s="6" t="s">
        <v>2289</v>
      </c>
      <c r="K8" s="17"/>
    </row>
    <row r="9" spans="1:12" ht="13.95" customHeight="1" x14ac:dyDescent="0.3">
      <c r="A9" s="3">
        <v>45665</v>
      </c>
      <c r="B9" s="3" t="s">
        <v>2388</v>
      </c>
      <c r="C9" s="19" t="s">
        <v>5</v>
      </c>
      <c r="D9" s="19" t="s">
        <v>2266</v>
      </c>
      <c r="E9" s="4">
        <v>0.45</v>
      </c>
      <c r="F9" s="42">
        <v>2.25</v>
      </c>
      <c r="G9" s="45">
        <v>250</v>
      </c>
      <c r="H9" s="22">
        <v>1.8</v>
      </c>
      <c r="I9" s="6">
        <f t="shared" si="0"/>
        <v>455.625</v>
      </c>
      <c r="J9" s="6" t="s">
        <v>2289</v>
      </c>
      <c r="K9" s="17"/>
    </row>
    <row r="10" spans="1:12" ht="13.95" customHeight="1" x14ac:dyDescent="0.3">
      <c r="A10" s="3">
        <v>45666</v>
      </c>
      <c r="B10" s="3" t="s">
        <v>2388</v>
      </c>
      <c r="C10" s="19" t="s">
        <v>8</v>
      </c>
      <c r="D10" s="19" t="s">
        <v>2266</v>
      </c>
      <c r="E10" s="4">
        <v>0.45</v>
      </c>
      <c r="F10" s="42">
        <v>2.25</v>
      </c>
      <c r="G10" s="45">
        <v>250</v>
      </c>
      <c r="H10" s="22">
        <v>1.8</v>
      </c>
      <c r="I10" s="6">
        <f t="shared" si="0"/>
        <v>455.625</v>
      </c>
      <c r="J10" s="6" t="s">
        <v>2289</v>
      </c>
      <c r="K10" s="17"/>
    </row>
    <row r="11" spans="1:12" ht="13.95" customHeight="1" x14ac:dyDescent="0.3">
      <c r="A11" s="3">
        <v>45667</v>
      </c>
      <c r="B11" s="3" t="s">
        <v>2388</v>
      </c>
      <c r="C11" s="19" t="s">
        <v>11</v>
      </c>
      <c r="D11" s="19" t="s">
        <v>14</v>
      </c>
      <c r="E11" s="4">
        <v>0.5</v>
      </c>
      <c r="F11" s="42">
        <v>2.4</v>
      </c>
      <c r="G11" s="45">
        <v>250</v>
      </c>
      <c r="H11" s="22">
        <v>1.8</v>
      </c>
      <c r="I11" s="6">
        <f t="shared" si="0"/>
        <v>540</v>
      </c>
      <c r="J11" s="6" t="s">
        <v>67</v>
      </c>
      <c r="K11" s="17"/>
    </row>
    <row r="12" spans="1:12" ht="13.95" customHeight="1" x14ac:dyDescent="0.3">
      <c r="A12" s="3">
        <v>45668</v>
      </c>
      <c r="B12" s="3" t="s">
        <v>2388</v>
      </c>
      <c r="C12" s="19" t="s">
        <v>13</v>
      </c>
      <c r="D12" s="19" t="s">
        <v>14</v>
      </c>
      <c r="E12" s="4">
        <v>0.6</v>
      </c>
      <c r="F12" s="42">
        <v>3.3</v>
      </c>
      <c r="G12" s="45">
        <v>250</v>
      </c>
      <c r="H12" s="22">
        <v>1.8</v>
      </c>
      <c r="I12" s="6">
        <f t="shared" si="0"/>
        <v>891</v>
      </c>
      <c r="J12" s="6" t="s">
        <v>2290</v>
      </c>
      <c r="K12" s="17"/>
    </row>
    <row r="13" spans="1:12" ht="13.95" customHeight="1" x14ac:dyDescent="0.3">
      <c r="A13" s="3">
        <v>45669</v>
      </c>
      <c r="B13" s="3" t="s">
        <v>2388</v>
      </c>
      <c r="C13" s="19" t="s">
        <v>16</v>
      </c>
      <c r="D13" s="19" t="s">
        <v>14</v>
      </c>
      <c r="E13" s="4">
        <v>0.55000000000000004</v>
      </c>
      <c r="F13" s="42">
        <v>3</v>
      </c>
      <c r="G13" s="45">
        <v>250</v>
      </c>
      <c r="H13" s="22">
        <v>1.8</v>
      </c>
      <c r="I13" s="6">
        <f t="shared" si="0"/>
        <v>742.5</v>
      </c>
      <c r="J13" s="6" t="s">
        <v>2291</v>
      </c>
      <c r="K13" s="17"/>
    </row>
    <row r="14" spans="1:12" ht="13.95" customHeight="1" x14ac:dyDescent="0.3">
      <c r="A14" s="3">
        <v>45670</v>
      </c>
      <c r="B14" s="3" t="s">
        <v>2388</v>
      </c>
      <c r="C14" s="19" t="s">
        <v>18</v>
      </c>
      <c r="D14" s="19" t="s">
        <v>2266</v>
      </c>
      <c r="E14" s="4">
        <v>0.45</v>
      </c>
      <c r="F14" s="42">
        <v>2.2000000000000002</v>
      </c>
      <c r="G14" s="45">
        <v>250</v>
      </c>
      <c r="H14" s="22">
        <v>1.8</v>
      </c>
      <c r="I14" s="6">
        <f t="shared" si="0"/>
        <v>445.50000000000006</v>
      </c>
      <c r="J14" s="6" t="s">
        <v>88</v>
      </c>
      <c r="K14" s="17"/>
    </row>
    <row r="15" spans="1:12" ht="13.95" customHeight="1" x14ac:dyDescent="0.3">
      <c r="A15" s="3">
        <v>45671</v>
      </c>
      <c r="B15" s="3" t="s">
        <v>2388</v>
      </c>
      <c r="C15" s="19" t="s">
        <v>20</v>
      </c>
      <c r="D15" s="19" t="s">
        <v>1269</v>
      </c>
      <c r="E15" s="4">
        <v>0.65</v>
      </c>
      <c r="F15" s="42">
        <v>3.1</v>
      </c>
      <c r="G15" s="45">
        <v>250</v>
      </c>
      <c r="H15" s="22">
        <v>1.8</v>
      </c>
      <c r="I15" s="6">
        <f t="shared" si="0"/>
        <v>906.75</v>
      </c>
      <c r="J15" s="6" t="s">
        <v>2292</v>
      </c>
      <c r="K15" s="17"/>
    </row>
    <row r="16" spans="1:12" ht="13.95" customHeight="1" x14ac:dyDescent="0.3">
      <c r="A16" s="3">
        <v>45672</v>
      </c>
      <c r="B16" s="3" t="s">
        <v>2388</v>
      </c>
      <c r="C16" s="19" t="s">
        <v>5</v>
      </c>
      <c r="D16" s="19" t="s">
        <v>2266</v>
      </c>
      <c r="E16" s="4">
        <v>0.45</v>
      </c>
      <c r="F16" s="42">
        <v>2.2000000000000002</v>
      </c>
      <c r="G16" s="45">
        <v>250</v>
      </c>
      <c r="H16" s="22">
        <v>1.8</v>
      </c>
      <c r="I16" s="6">
        <f t="shared" si="0"/>
        <v>445.50000000000006</v>
      </c>
      <c r="J16" s="6" t="s">
        <v>88</v>
      </c>
      <c r="K16" s="17"/>
    </row>
    <row r="17" spans="1:11" ht="13.95" customHeight="1" x14ac:dyDescent="0.3">
      <c r="A17" s="3">
        <v>45673</v>
      </c>
      <c r="B17" s="3" t="s">
        <v>2388</v>
      </c>
      <c r="C17" s="19" t="s">
        <v>8</v>
      </c>
      <c r="D17" s="19" t="s">
        <v>2266</v>
      </c>
      <c r="E17" s="4">
        <v>0.45</v>
      </c>
      <c r="F17" s="42">
        <v>2.2000000000000002</v>
      </c>
      <c r="G17" s="45">
        <v>250</v>
      </c>
      <c r="H17" s="22">
        <v>1.8</v>
      </c>
      <c r="I17" s="6">
        <f t="shared" si="0"/>
        <v>445.50000000000006</v>
      </c>
      <c r="J17" s="6" t="s">
        <v>88</v>
      </c>
      <c r="K17" s="17"/>
    </row>
    <row r="18" spans="1:11" ht="13.95" customHeight="1" x14ac:dyDescent="0.3">
      <c r="A18" s="3">
        <v>45674</v>
      </c>
      <c r="B18" s="3" t="s">
        <v>2388</v>
      </c>
      <c r="C18" s="19" t="s">
        <v>11</v>
      </c>
      <c r="D18" s="19" t="s">
        <v>14</v>
      </c>
      <c r="E18" s="4">
        <v>0.55000000000000004</v>
      </c>
      <c r="F18" s="42">
        <v>2.4</v>
      </c>
      <c r="G18" s="45">
        <v>250</v>
      </c>
      <c r="H18" s="22">
        <v>1.8</v>
      </c>
      <c r="I18" s="6">
        <f t="shared" si="0"/>
        <v>594</v>
      </c>
      <c r="J18" s="6" t="s">
        <v>2293</v>
      </c>
      <c r="K18" s="17"/>
    </row>
    <row r="19" spans="1:11" ht="13.95" customHeight="1" x14ac:dyDescent="0.3">
      <c r="A19" s="3">
        <v>45675</v>
      </c>
      <c r="B19" s="3" t="s">
        <v>2388</v>
      </c>
      <c r="C19" s="19" t="s">
        <v>13</v>
      </c>
      <c r="D19" s="19" t="s">
        <v>14</v>
      </c>
      <c r="E19" s="4">
        <v>0.6</v>
      </c>
      <c r="F19" s="42">
        <v>3.25</v>
      </c>
      <c r="G19" s="45">
        <v>250</v>
      </c>
      <c r="H19" s="22">
        <v>1.8</v>
      </c>
      <c r="I19" s="6">
        <f t="shared" si="0"/>
        <v>877.5</v>
      </c>
      <c r="J19" s="6" t="s">
        <v>2294</v>
      </c>
      <c r="K19" s="17"/>
    </row>
    <row r="20" spans="1:11" ht="13.95" customHeight="1" x14ac:dyDescent="0.3">
      <c r="A20" s="3">
        <v>45676</v>
      </c>
      <c r="B20" s="3" t="s">
        <v>2388</v>
      </c>
      <c r="C20" s="19" t="s">
        <v>16</v>
      </c>
      <c r="D20" s="19" t="s">
        <v>14</v>
      </c>
      <c r="E20" s="4">
        <v>0.55000000000000004</v>
      </c>
      <c r="F20" s="42">
        <v>2.9</v>
      </c>
      <c r="G20" s="45">
        <v>250</v>
      </c>
      <c r="H20" s="22">
        <v>1.8</v>
      </c>
      <c r="I20" s="6">
        <f t="shared" si="0"/>
        <v>717.75</v>
      </c>
      <c r="J20" s="6" t="s">
        <v>69</v>
      </c>
      <c r="K20" s="17"/>
    </row>
    <row r="21" spans="1:11" ht="13.95" customHeight="1" x14ac:dyDescent="0.3">
      <c r="A21" s="3">
        <v>45677</v>
      </c>
      <c r="B21" s="3" t="s">
        <v>2388</v>
      </c>
      <c r="C21" s="19" t="s">
        <v>18</v>
      </c>
      <c r="D21" s="19" t="s">
        <v>2266</v>
      </c>
      <c r="E21" s="4">
        <v>0.4</v>
      </c>
      <c r="F21" s="42">
        <v>2.2000000000000002</v>
      </c>
      <c r="G21" s="45">
        <v>250</v>
      </c>
      <c r="H21" s="22">
        <v>1.8</v>
      </c>
      <c r="I21" s="6">
        <f t="shared" si="0"/>
        <v>396.00000000000006</v>
      </c>
      <c r="J21" s="6" t="s">
        <v>272</v>
      </c>
      <c r="K21" s="17"/>
    </row>
    <row r="22" spans="1:11" ht="13.95" customHeight="1" x14ac:dyDescent="0.3">
      <c r="A22" s="3">
        <v>45678</v>
      </c>
      <c r="B22" s="3" t="s">
        <v>2388</v>
      </c>
      <c r="C22" s="19" t="s">
        <v>20</v>
      </c>
      <c r="D22" s="19" t="s">
        <v>2266</v>
      </c>
      <c r="E22" s="4">
        <v>0.4</v>
      </c>
      <c r="F22" s="42">
        <v>2.2000000000000002</v>
      </c>
      <c r="G22" s="45">
        <v>250</v>
      </c>
      <c r="H22" s="22">
        <v>1.8</v>
      </c>
      <c r="I22" s="6">
        <f t="shared" si="0"/>
        <v>396.00000000000006</v>
      </c>
      <c r="J22" s="6" t="s">
        <v>272</v>
      </c>
      <c r="K22" s="17"/>
    </row>
    <row r="23" spans="1:11" ht="13.95" customHeight="1" x14ac:dyDescent="0.3">
      <c r="A23" s="3">
        <v>45679</v>
      </c>
      <c r="B23" s="3" t="s">
        <v>2388</v>
      </c>
      <c r="C23" s="19" t="s">
        <v>5</v>
      </c>
      <c r="D23" s="19" t="s">
        <v>2266</v>
      </c>
      <c r="E23" s="4">
        <v>0.4</v>
      </c>
      <c r="F23" s="42">
        <v>2.2000000000000002</v>
      </c>
      <c r="G23" s="45">
        <v>250</v>
      </c>
      <c r="H23" s="22">
        <v>1.8</v>
      </c>
      <c r="I23" s="6">
        <f t="shared" si="0"/>
        <v>396.00000000000006</v>
      </c>
      <c r="J23" s="6" t="s">
        <v>88</v>
      </c>
      <c r="K23" s="17"/>
    </row>
    <row r="24" spans="1:11" ht="13.95" customHeight="1" x14ac:dyDescent="0.3">
      <c r="A24" s="3">
        <v>45680</v>
      </c>
      <c r="B24" s="3" t="s">
        <v>2388</v>
      </c>
      <c r="C24" s="19" t="s">
        <v>8</v>
      </c>
      <c r="D24" s="19" t="s">
        <v>2266</v>
      </c>
      <c r="E24" s="4">
        <v>0.45</v>
      </c>
      <c r="F24" s="42">
        <v>2.25</v>
      </c>
      <c r="G24" s="45">
        <v>250</v>
      </c>
      <c r="H24" s="22">
        <v>1.8</v>
      </c>
      <c r="I24" s="6">
        <f t="shared" si="0"/>
        <v>455.625</v>
      </c>
      <c r="J24" s="6" t="s">
        <v>88</v>
      </c>
      <c r="K24" s="17"/>
    </row>
    <row r="25" spans="1:11" ht="13.95" customHeight="1" x14ac:dyDescent="0.3">
      <c r="A25" s="3">
        <v>45681</v>
      </c>
      <c r="B25" s="3" t="s">
        <v>2388</v>
      </c>
      <c r="C25" s="19" t="s">
        <v>11</v>
      </c>
      <c r="D25" s="19" t="s">
        <v>14</v>
      </c>
      <c r="E25" s="4">
        <v>0.55000000000000004</v>
      </c>
      <c r="F25" s="42">
        <v>2.5</v>
      </c>
      <c r="G25" s="45">
        <v>250</v>
      </c>
      <c r="H25" s="22">
        <v>1.8</v>
      </c>
      <c r="I25" s="6">
        <f t="shared" si="0"/>
        <v>618.75</v>
      </c>
      <c r="J25" s="6" t="s">
        <v>67</v>
      </c>
      <c r="K25" s="17"/>
    </row>
    <row r="26" spans="1:11" ht="13.95" customHeight="1" x14ac:dyDescent="0.3">
      <c r="A26" s="3">
        <v>45682</v>
      </c>
      <c r="B26" s="3" t="s">
        <v>2388</v>
      </c>
      <c r="C26" s="19" t="s">
        <v>13</v>
      </c>
      <c r="D26" s="19" t="s">
        <v>14</v>
      </c>
      <c r="E26" s="4">
        <v>0.65</v>
      </c>
      <c r="F26" s="42">
        <v>3.35</v>
      </c>
      <c r="G26" s="45">
        <v>250</v>
      </c>
      <c r="H26" s="22">
        <v>1.8</v>
      </c>
      <c r="I26" s="6">
        <f t="shared" si="0"/>
        <v>979.875</v>
      </c>
      <c r="J26" s="6" t="s">
        <v>2295</v>
      </c>
      <c r="K26" s="17"/>
    </row>
    <row r="27" spans="1:11" ht="13.95" customHeight="1" x14ac:dyDescent="0.3">
      <c r="A27" s="3">
        <v>45683</v>
      </c>
      <c r="B27" s="3" t="s">
        <v>2388</v>
      </c>
      <c r="C27" s="19" t="s">
        <v>16</v>
      </c>
      <c r="D27" s="19" t="s">
        <v>14</v>
      </c>
      <c r="E27" s="4">
        <v>0.6</v>
      </c>
      <c r="F27" s="42">
        <v>3</v>
      </c>
      <c r="G27" s="45">
        <v>250</v>
      </c>
      <c r="H27" s="22">
        <v>1.8</v>
      </c>
      <c r="I27" s="6">
        <f t="shared" si="0"/>
        <v>810</v>
      </c>
      <c r="J27" s="6" t="s">
        <v>69</v>
      </c>
      <c r="K27" s="17"/>
    </row>
    <row r="28" spans="1:11" ht="13.95" customHeight="1" x14ac:dyDescent="0.3">
      <c r="A28" s="3">
        <v>45684</v>
      </c>
      <c r="B28" s="3" t="s">
        <v>2388</v>
      </c>
      <c r="C28" s="19" t="s">
        <v>18</v>
      </c>
      <c r="D28" s="19" t="s">
        <v>2266</v>
      </c>
      <c r="E28" s="4">
        <v>0.4</v>
      </c>
      <c r="F28" s="42">
        <v>2.2000000000000002</v>
      </c>
      <c r="G28" s="45">
        <v>250</v>
      </c>
      <c r="H28" s="22">
        <v>1.8</v>
      </c>
      <c r="I28" s="6">
        <f t="shared" si="0"/>
        <v>396.00000000000006</v>
      </c>
      <c r="J28" s="6" t="s">
        <v>150</v>
      </c>
      <c r="K28" s="17"/>
    </row>
    <row r="29" spans="1:11" ht="13.95" customHeight="1" x14ac:dyDescent="0.3">
      <c r="A29" s="3">
        <v>45685</v>
      </c>
      <c r="B29" s="3" t="s">
        <v>2388</v>
      </c>
      <c r="C29" s="19" t="s">
        <v>20</v>
      </c>
      <c r="D29" s="19" t="s">
        <v>2266</v>
      </c>
      <c r="E29" s="4">
        <v>0.4</v>
      </c>
      <c r="F29" s="42">
        <v>2.2000000000000002</v>
      </c>
      <c r="G29" s="45">
        <v>250</v>
      </c>
      <c r="H29" s="22">
        <v>1.8</v>
      </c>
      <c r="I29" s="6">
        <f t="shared" si="0"/>
        <v>396.00000000000006</v>
      </c>
      <c r="J29" s="6" t="s">
        <v>150</v>
      </c>
      <c r="K29" s="17"/>
    </row>
    <row r="30" spans="1:11" ht="13.95" customHeight="1" x14ac:dyDescent="0.3">
      <c r="A30" s="3">
        <v>45686</v>
      </c>
      <c r="B30" s="3" t="s">
        <v>2388</v>
      </c>
      <c r="C30" s="19" t="s">
        <v>5</v>
      </c>
      <c r="D30" s="19" t="s">
        <v>2266</v>
      </c>
      <c r="E30" s="4">
        <v>0.4</v>
      </c>
      <c r="F30" s="42">
        <v>2.25</v>
      </c>
      <c r="G30" s="45">
        <v>250</v>
      </c>
      <c r="H30" s="22">
        <v>1.8</v>
      </c>
      <c r="I30" s="6">
        <f t="shared" si="0"/>
        <v>405</v>
      </c>
      <c r="J30" s="6" t="s">
        <v>88</v>
      </c>
      <c r="K30" s="17"/>
    </row>
    <row r="31" spans="1:11" ht="13.95" customHeight="1" x14ac:dyDescent="0.3">
      <c r="A31" s="3">
        <v>45687</v>
      </c>
      <c r="B31" s="3" t="s">
        <v>2388</v>
      </c>
      <c r="C31" s="19" t="s">
        <v>8</v>
      </c>
      <c r="D31" s="19" t="s">
        <v>2266</v>
      </c>
      <c r="E31" s="4">
        <v>0.45</v>
      </c>
      <c r="F31" s="42">
        <v>2.25</v>
      </c>
      <c r="G31" s="45">
        <v>250</v>
      </c>
      <c r="H31" s="22">
        <v>1.8</v>
      </c>
      <c r="I31" s="6">
        <f t="shared" si="0"/>
        <v>455.625</v>
      </c>
      <c r="J31" s="6" t="s">
        <v>88</v>
      </c>
      <c r="K31" s="17"/>
    </row>
    <row r="32" spans="1:11" ht="13.95" customHeight="1" x14ac:dyDescent="0.3">
      <c r="A32" s="3">
        <v>45688</v>
      </c>
      <c r="B32" s="3" t="s">
        <v>2388</v>
      </c>
      <c r="C32" s="19" t="s">
        <v>11</v>
      </c>
      <c r="D32" s="19" t="s">
        <v>14</v>
      </c>
      <c r="E32" s="4">
        <v>0.55000000000000004</v>
      </c>
      <c r="F32" s="42">
        <v>2.5</v>
      </c>
      <c r="G32" s="45">
        <v>250</v>
      </c>
      <c r="H32" s="22">
        <v>1.8</v>
      </c>
      <c r="I32" s="6">
        <f t="shared" si="0"/>
        <v>618.75</v>
      </c>
      <c r="J32" s="6" t="s">
        <v>2296</v>
      </c>
      <c r="K32" s="17"/>
    </row>
    <row r="33" spans="1:11" ht="13.95" customHeight="1" x14ac:dyDescent="0.3">
      <c r="A33" s="3">
        <v>45689</v>
      </c>
      <c r="B33" s="3" t="s">
        <v>2388</v>
      </c>
      <c r="C33" s="19" t="s">
        <v>13</v>
      </c>
      <c r="D33" s="19" t="s">
        <v>14</v>
      </c>
      <c r="E33" s="4">
        <v>0.55000000000000004</v>
      </c>
      <c r="F33" s="42">
        <v>3.1</v>
      </c>
      <c r="G33" s="45">
        <v>250</v>
      </c>
      <c r="H33" s="22">
        <v>1.9</v>
      </c>
      <c r="I33" s="6">
        <f t="shared" si="0"/>
        <v>809.875</v>
      </c>
      <c r="J33" s="6" t="s">
        <v>2287</v>
      </c>
      <c r="K33" s="17"/>
    </row>
    <row r="34" spans="1:11" ht="13.95" customHeight="1" x14ac:dyDescent="0.3">
      <c r="A34" s="3">
        <v>45690</v>
      </c>
      <c r="B34" s="3" t="s">
        <v>2388</v>
      </c>
      <c r="C34" s="19" t="s">
        <v>16</v>
      </c>
      <c r="D34" s="19" t="s">
        <v>14</v>
      </c>
      <c r="E34" s="4">
        <v>0.5</v>
      </c>
      <c r="F34" s="42">
        <v>2.9</v>
      </c>
      <c r="G34" s="45">
        <v>250</v>
      </c>
      <c r="H34" s="22">
        <v>1.9</v>
      </c>
      <c r="I34" s="6">
        <f t="shared" si="0"/>
        <v>688.75</v>
      </c>
      <c r="J34" s="6" t="s">
        <v>2297</v>
      </c>
      <c r="K34" s="17"/>
    </row>
    <row r="35" spans="1:11" ht="13.95" customHeight="1" x14ac:dyDescent="0.3">
      <c r="A35" s="3">
        <v>45691</v>
      </c>
      <c r="B35" s="3" t="s">
        <v>2388</v>
      </c>
      <c r="C35" s="19" t="s">
        <v>18</v>
      </c>
      <c r="D35" s="19" t="s">
        <v>1259</v>
      </c>
      <c r="E35" s="4">
        <v>0.4</v>
      </c>
      <c r="F35" s="42">
        <v>2.2000000000000002</v>
      </c>
      <c r="G35" s="45">
        <v>250</v>
      </c>
      <c r="H35" s="22">
        <v>1.9</v>
      </c>
      <c r="I35" s="6">
        <f t="shared" si="0"/>
        <v>418.00000000000006</v>
      </c>
      <c r="J35" s="6" t="s">
        <v>2298</v>
      </c>
      <c r="K35" s="17"/>
    </row>
    <row r="36" spans="1:11" ht="13.95" customHeight="1" x14ac:dyDescent="0.3">
      <c r="A36" s="3">
        <v>45692</v>
      </c>
      <c r="B36" s="3" t="s">
        <v>2388</v>
      </c>
      <c r="C36" s="19" t="s">
        <v>20</v>
      </c>
      <c r="D36" s="19" t="s">
        <v>1259</v>
      </c>
      <c r="E36" s="4">
        <v>0.4</v>
      </c>
      <c r="F36" s="42">
        <v>2.2000000000000002</v>
      </c>
      <c r="G36" s="45">
        <v>250</v>
      </c>
      <c r="H36" s="22">
        <v>1.9</v>
      </c>
      <c r="I36" s="6">
        <f t="shared" si="0"/>
        <v>418.00000000000006</v>
      </c>
      <c r="J36" s="6" t="s">
        <v>2298</v>
      </c>
      <c r="K36" s="17"/>
    </row>
    <row r="37" spans="1:11" ht="13.95" customHeight="1" x14ac:dyDescent="0.3">
      <c r="A37" s="3">
        <v>45693</v>
      </c>
      <c r="B37" s="3" t="s">
        <v>2388</v>
      </c>
      <c r="C37" s="19" t="s">
        <v>5</v>
      </c>
      <c r="D37" s="19" t="s">
        <v>1259</v>
      </c>
      <c r="E37" s="4">
        <v>0.45</v>
      </c>
      <c r="F37" s="42">
        <v>2.25</v>
      </c>
      <c r="G37" s="45">
        <v>250</v>
      </c>
      <c r="H37" s="22">
        <v>1.9</v>
      </c>
      <c r="I37" s="6">
        <f t="shared" si="0"/>
        <v>480.9375</v>
      </c>
      <c r="J37" s="6" t="s">
        <v>2298</v>
      </c>
      <c r="K37" s="17"/>
    </row>
    <row r="38" spans="1:11" ht="13.95" customHeight="1" x14ac:dyDescent="0.3">
      <c r="A38" s="3">
        <v>45694</v>
      </c>
      <c r="B38" s="3" t="s">
        <v>2388</v>
      </c>
      <c r="C38" s="19" t="s">
        <v>8</v>
      </c>
      <c r="D38" s="19" t="s">
        <v>1738</v>
      </c>
      <c r="E38" s="4">
        <v>0.6</v>
      </c>
      <c r="F38" s="42">
        <v>2.4</v>
      </c>
      <c r="G38" s="45">
        <v>250</v>
      </c>
      <c r="H38" s="22">
        <v>1.9</v>
      </c>
      <c r="I38" s="6">
        <f t="shared" si="0"/>
        <v>684</v>
      </c>
      <c r="J38" s="6" t="s">
        <v>2299</v>
      </c>
      <c r="K38" s="17"/>
    </row>
    <row r="39" spans="1:11" ht="13.95" customHeight="1" x14ac:dyDescent="0.3">
      <c r="A39" s="3">
        <v>45695</v>
      </c>
      <c r="B39" s="3" t="s">
        <v>2388</v>
      </c>
      <c r="C39" s="19" t="s">
        <v>11</v>
      </c>
      <c r="D39" s="19" t="s">
        <v>1738</v>
      </c>
      <c r="E39" s="4">
        <v>0.65</v>
      </c>
      <c r="F39" s="42">
        <v>2.5</v>
      </c>
      <c r="G39" s="45">
        <v>250</v>
      </c>
      <c r="H39" s="22">
        <v>1.9</v>
      </c>
      <c r="I39" s="6">
        <f t="shared" si="0"/>
        <v>771.875</v>
      </c>
      <c r="J39" s="6" t="s">
        <v>2300</v>
      </c>
      <c r="K39" s="17"/>
    </row>
    <row r="40" spans="1:11" ht="13.95" customHeight="1" x14ac:dyDescent="0.3">
      <c r="A40" s="3">
        <v>45696</v>
      </c>
      <c r="B40" s="3" t="s">
        <v>2388</v>
      </c>
      <c r="C40" s="19" t="s">
        <v>13</v>
      </c>
      <c r="D40" s="19" t="s">
        <v>14</v>
      </c>
      <c r="E40" s="4">
        <v>0.7</v>
      </c>
      <c r="F40" s="42">
        <v>3.2</v>
      </c>
      <c r="G40" s="45">
        <v>250</v>
      </c>
      <c r="H40" s="22">
        <v>1.9</v>
      </c>
      <c r="I40" s="6">
        <f t="shared" si="0"/>
        <v>1064</v>
      </c>
      <c r="J40" s="6" t="s">
        <v>2301</v>
      </c>
      <c r="K40" s="17"/>
    </row>
    <row r="41" spans="1:11" ht="13.95" customHeight="1" x14ac:dyDescent="0.3">
      <c r="A41" s="3">
        <v>45697</v>
      </c>
      <c r="B41" s="3" t="s">
        <v>2388</v>
      </c>
      <c r="C41" s="19" t="s">
        <v>16</v>
      </c>
      <c r="D41" s="19" t="s">
        <v>14</v>
      </c>
      <c r="E41" s="4">
        <v>0.65</v>
      </c>
      <c r="F41" s="42">
        <v>3</v>
      </c>
      <c r="G41" s="45">
        <v>250</v>
      </c>
      <c r="H41" s="22">
        <v>1.9</v>
      </c>
      <c r="I41" s="6">
        <f t="shared" si="0"/>
        <v>926.25</v>
      </c>
      <c r="J41" s="6" t="s">
        <v>69</v>
      </c>
      <c r="K41" s="17"/>
    </row>
    <row r="42" spans="1:11" ht="13.95" customHeight="1" x14ac:dyDescent="0.3">
      <c r="A42" s="3">
        <v>45698</v>
      </c>
      <c r="B42" s="3" t="s">
        <v>2388</v>
      </c>
      <c r="C42" s="19" t="s">
        <v>18</v>
      </c>
      <c r="D42" s="19" t="s">
        <v>2021</v>
      </c>
      <c r="E42" s="4">
        <v>0.6</v>
      </c>
      <c r="F42" s="42">
        <v>2.25</v>
      </c>
      <c r="G42" s="45">
        <v>250</v>
      </c>
      <c r="H42" s="22">
        <v>1.9</v>
      </c>
      <c r="I42" s="6">
        <f t="shared" si="0"/>
        <v>641.25</v>
      </c>
      <c r="J42" s="6" t="s">
        <v>1742</v>
      </c>
      <c r="K42" s="17"/>
    </row>
    <row r="43" spans="1:11" ht="13.95" customHeight="1" x14ac:dyDescent="0.3">
      <c r="A43" s="3">
        <v>45699</v>
      </c>
      <c r="B43" s="3" t="s">
        <v>2388</v>
      </c>
      <c r="C43" s="19" t="s">
        <v>20</v>
      </c>
      <c r="D43" s="19" t="s">
        <v>2021</v>
      </c>
      <c r="E43" s="4">
        <v>0.7</v>
      </c>
      <c r="F43" s="42">
        <v>2.2999999999999998</v>
      </c>
      <c r="G43" s="45">
        <v>250</v>
      </c>
      <c r="H43" s="22">
        <v>1.9</v>
      </c>
      <c r="I43" s="6">
        <f t="shared" si="0"/>
        <v>764.74999999999989</v>
      </c>
      <c r="J43" s="6" t="s">
        <v>2302</v>
      </c>
      <c r="K43" s="17"/>
    </row>
    <row r="44" spans="1:11" ht="13.95" customHeight="1" x14ac:dyDescent="0.3">
      <c r="A44" s="3">
        <v>45700</v>
      </c>
      <c r="B44" s="3" t="s">
        <v>2388</v>
      </c>
      <c r="C44" s="19" t="s">
        <v>5</v>
      </c>
      <c r="D44" s="19" t="s">
        <v>2021</v>
      </c>
      <c r="E44" s="4">
        <v>0.8</v>
      </c>
      <c r="F44" s="42">
        <v>2.4</v>
      </c>
      <c r="G44" s="45">
        <v>250</v>
      </c>
      <c r="H44" s="22">
        <v>1.9</v>
      </c>
      <c r="I44" s="6">
        <f t="shared" si="0"/>
        <v>912</v>
      </c>
      <c r="J44" s="6" t="s">
        <v>1722</v>
      </c>
      <c r="K44" s="17"/>
    </row>
    <row r="45" spans="1:11" ht="13.95" customHeight="1" x14ac:dyDescent="0.3">
      <c r="A45" s="3">
        <v>45701</v>
      </c>
      <c r="B45" s="3" t="s">
        <v>2388</v>
      </c>
      <c r="C45" s="19" t="s">
        <v>8</v>
      </c>
      <c r="D45" s="19" t="s">
        <v>2303</v>
      </c>
      <c r="E45" s="4">
        <v>0.9</v>
      </c>
      <c r="F45" s="42">
        <v>2.8</v>
      </c>
      <c r="G45" s="45">
        <v>250</v>
      </c>
      <c r="H45" s="22">
        <v>1.9</v>
      </c>
      <c r="I45" s="6">
        <f t="shared" si="0"/>
        <v>1197</v>
      </c>
      <c r="J45" s="6" t="s">
        <v>2304</v>
      </c>
      <c r="K45" s="17"/>
    </row>
    <row r="46" spans="1:11" ht="13.95" customHeight="1" x14ac:dyDescent="0.3">
      <c r="A46" s="3">
        <v>45702</v>
      </c>
      <c r="B46" s="3" t="s">
        <v>2388</v>
      </c>
      <c r="C46" s="19" t="s">
        <v>11</v>
      </c>
      <c r="D46" s="19" t="s">
        <v>1939</v>
      </c>
      <c r="E46" s="4">
        <v>1</v>
      </c>
      <c r="F46" s="42">
        <v>4.2</v>
      </c>
      <c r="G46" s="45">
        <v>250</v>
      </c>
      <c r="H46" s="22">
        <v>1.9</v>
      </c>
      <c r="I46" s="6">
        <f t="shared" si="0"/>
        <v>1995</v>
      </c>
      <c r="J46" s="6" t="s">
        <v>2305</v>
      </c>
      <c r="K46" s="17"/>
    </row>
    <row r="47" spans="1:11" ht="13.95" customHeight="1" x14ac:dyDescent="0.3">
      <c r="A47" s="3">
        <v>45703</v>
      </c>
      <c r="B47" s="3" t="s">
        <v>2388</v>
      </c>
      <c r="C47" s="19" t="s">
        <v>13</v>
      </c>
      <c r="D47" s="19" t="s">
        <v>14</v>
      </c>
      <c r="E47" s="4">
        <v>1</v>
      </c>
      <c r="F47" s="42">
        <v>3.5</v>
      </c>
      <c r="G47" s="45">
        <v>250</v>
      </c>
      <c r="H47" s="22">
        <v>1.9</v>
      </c>
      <c r="I47" s="6">
        <f t="shared" si="0"/>
        <v>1662.5</v>
      </c>
      <c r="J47" s="6" t="s">
        <v>2306</v>
      </c>
      <c r="K47" s="17"/>
    </row>
    <row r="48" spans="1:11" ht="13.95" customHeight="1" x14ac:dyDescent="0.3">
      <c r="A48" s="3">
        <v>45704</v>
      </c>
      <c r="B48" s="3" t="s">
        <v>2388</v>
      </c>
      <c r="C48" s="19" t="s">
        <v>16</v>
      </c>
      <c r="D48" s="19" t="s">
        <v>14</v>
      </c>
      <c r="E48" s="4">
        <v>0.95</v>
      </c>
      <c r="F48" s="42">
        <v>3.3</v>
      </c>
      <c r="G48" s="45">
        <v>250</v>
      </c>
      <c r="H48" s="22">
        <v>1.9</v>
      </c>
      <c r="I48" s="6">
        <f t="shared" si="0"/>
        <v>1489.125</v>
      </c>
      <c r="J48" s="6" t="s">
        <v>559</v>
      </c>
      <c r="K48" s="17"/>
    </row>
    <row r="49" spans="1:11" ht="13.95" customHeight="1" x14ac:dyDescent="0.3">
      <c r="A49" s="3">
        <v>45705</v>
      </c>
      <c r="B49" s="3" t="s">
        <v>2388</v>
      </c>
      <c r="C49" s="19" t="s">
        <v>18</v>
      </c>
      <c r="D49" s="19" t="s">
        <v>1259</v>
      </c>
      <c r="E49" s="4">
        <v>0.5</v>
      </c>
      <c r="F49" s="42">
        <v>2.2000000000000002</v>
      </c>
      <c r="G49" s="45">
        <v>250</v>
      </c>
      <c r="H49" s="22">
        <v>1.9</v>
      </c>
      <c r="I49" s="6">
        <f t="shared" si="0"/>
        <v>522.5</v>
      </c>
      <c r="J49" s="6" t="s">
        <v>2219</v>
      </c>
      <c r="K49" s="17"/>
    </row>
    <row r="50" spans="1:11" ht="13.95" customHeight="1" x14ac:dyDescent="0.3">
      <c r="A50" s="3">
        <v>45706</v>
      </c>
      <c r="B50" s="3" t="s">
        <v>2388</v>
      </c>
      <c r="C50" s="19" t="s">
        <v>20</v>
      </c>
      <c r="D50" s="19" t="s">
        <v>1259</v>
      </c>
      <c r="E50" s="4">
        <v>0.45</v>
      </c>
      <c r="F50" s="42">
        <v>2.2000000000000002</v>
      </c>
      <c r="G50" s="45">
        <v>250</v>
      </c>
      <c r="H50" s="22">
        <v>1.9</v>
      </c>
      <c r="I50" s="6">
        <f t="shared" si="0"/>
        <v>470.25000000000006</v>
      </c>
      <c r="J50" s="6" t="s">
        <v>150</v>
      </c>
      <c r="K50" s="17"/>
    </row>
    <row r="51" spans="1:11" ht="13.95" customHeight="1" x14ac:dyDescent="0.3">
      <c r="A51" s="3">
        <v>45707</v>
      </c>
      <c r="B51" s="3" t="s">
        <v>2388</v>
      </c>
      <c r="C51" s="19" t="s">
        <v>5</v>
      </c>
      <c r="D51" s="19" t="s">
        <v>1259</v>
      </c>
      <c r="E51" s="4">
        <v>0.45</v>
      </c>
      <c r="F51" s="42">
        <v>2.25</v>
      </c>
      <c r="G51" s="45">
        <v>250</v>
      </c>
      <c r="H51" s="22">
        <v>1.9</v>
      </c>
      <c r="I51" s="6">
        <f t="shared" si="0"/>
        <v>480.9375</v>
      </c>
      <c r="J51" s="6" t="s">
        <v>88</v>
      </c>
      <c r="K51" s="17"/>
    </row>
    <row r="52" spans="1:11" ht="13.95" customHeight="1" x14ac:dyDescent="0.3">
      <c r="A52" s="3">
        <v>45708</v>
      </c>
      <c r="B52" s="3" t="s">
        <v>2388</v>
      </c>
      <c r="C52" s="19" t="s">
        <v>8</v>
      </c>
      <c r="D52" s="19" t="s">
        <v>1259</v>
      </c>
      <c r="E52" s="4">
        <v>0.5</v>
      </c>
      <c r="F52" s="42">
        <v>2.2999999999999998</v>
      </c>
      <c r="G52" s="45">
        <v>250</v>
      </c>
      <c r="H52" s="22">
        <v>1.9</v>
      </c>
      <c r="I52" s="6">
        <f t="shared" si="0"/>
        <v>546.25</v>
      </c>
      <c r="J52" s="6" t="s">
        <v>88</v>
      </c>
      <c r="K52" s="17"/>
    </row>
    <row r="53" spans="1:11" ht="13.95" customHeight="1" x14ac:dyDescent="0.3">
      <c r="A53" s="3">
        <v>45709</v>
      </c>
      <c r="B53" s="3" t="s">
        <v>2388</v>
      </c>
      <c r="C53" s="19" t="s">
        <v>11</v>
      </c>
      <c r="D53" s="19" t="s">
        <v>14</v>
      </c>
      <c r="E53" s="4">
        <v>0.6</v>
      </c>
      <c r="F53" s="42">
        <v>2.6</v>
      </c>
      <c r="G53" s="45">
        <v>250</v>
      </c>
      <c r="H53" s="22">
        <v>1.9</v>
      </c>
      <c r="I53" s="6">
        <f t="shared" si="0"/>
        <v>741</v>
      </c>
      <c r="J53" s="6" t="s">
        <v>91</v>
      </c>
      <c r="K53" s="17"/>
    </row>
    <row r="54" spans="1:11" ht="13.95" customHeight="1" x14ac:dyDescent="0.3">
      <c r="A54" s="3">
        <v>45710</v>
      </c>
      <c r="B54" s="3" t="s">
        <v>2388</v>
      </c>
      <c r="C54" s="19" t="s">
        <v>13</v>
      </c>
      <c r="D54" s="19" t="s">
        <v>14</v>
      </c>
      <c r="E54" s="4">
        <v>0.7</v>
      </c>
      <c r="F54" s="42">
        <v>3.4</v>
      </c>
      <c r="G54" s="45">
        <v>250</v>
      </c>
      <c r="H54" s="22">
        <v>1.9</v>
      </c>
      <c r="I54" s="6">
        <f t="shared" si="0"/>
        <v>1130.5</v>
      </c>
      <c r="J54" s="6" t="s">
        <v>2307</v>
      </c>
      <c r="K54" s="17"/>
    </row>
    <row r="55" spans="1:11" ht="13.95" customHeight="1" x14ac:dyDescent="0.3">
      <c r="A55" s="3">
        <v>45711</v>
      </c>
      <c r="B55" s="3" t="s">
        <v>2388</v>
      </c>
      <c r="C55" s="19" t="s">
        <v>16</v>
      </c>
      <c r="D55" s="19" t="s">
        <v>14</v>
      </c>
      <c r="E55" s="4">
        <v>0.65</v>
      </c>
      <c r="F55" s="42">
        <v>3</v>
      </c>
      <c r="G55" s="45">
        <v>250</v>
      </c>
      <c r="H55" s="22">
        <v>1.9</v>
      </c>
      <c r="I55" s="6">
        <f t="shared" si="0"/>
        <v>926.25</v>
      </c>
      <c r="J55" s="6" t="s">
        <v>69</v>
      </c>
      <c r="K55" s="17"/>
    </row>
    <row r="56" spans="1:11" ht="13.95" customHeight="1" x14ac:dyDescent="0.3">
      <c r="A56" s="3">
        <v>45712</v>
      </c>
      <c r="B56" s="3" t="s">
        <v>2388</v>
      </c>
      <c r="C56" s="19" t="s">
        <v>18</v>
      </c>
      <c r="D56" s="19" t="s">
        <v>1259</v>
      </c>
      <c r="E56" s="4">
        <v>0.45</v>
      </c>
      <c r="F56" s="42">
        <v>2.2000000000000002</v>
      </c>
      <c r="G56" s="45">
        <v>250</v>
      </c>
      <c r="H56" s="22">
        <v>1.9</v>
      </c>
      <c r="I56" s="6">
        <f t="shared" si="0"/>
        <v>470.25000000000006</v>
      </c>
      <c r="J56" s="6" t="s">
        <v>150</v>
      </c>
      <c r="K56" s="17"/>
    </row>
    <row r="57" spans="1:11" ht="13.95" customHeight="1" x14ac:dyDescent="0.3">
      <c r="A57" s="3">
        <v>45713</v>
      </c>
      <c r="B57" s="3" t="s">
        <v>2388</v>
      </c>
      <c r="C57" s="19" t="s">
        <v>20</v>
      </c>
      <c r="D57" s="19" t="s">
        <v>1259</v>
      </c>
      <c r="E57" s="4">
        <v>0.45</v>
      </c>
      <c r="F57" s="42">
        <v>2.2000000000000002</v>
      </c>
      <c r="G57" s="45">
        <v>250</v>
      </c>
      <c r="H57" s="22">
        <v>1.9</v>
      </c>
      <c r="I57" s="6">
        <f t="shared" si="0"/>
        <v>470.25000000000006</v>
      </c>
      <c r="J57" s="6" t="s">
        <v>150</v>
      </c>
      <c r="K57" s="17"/>
    </row>
    <row r="58" spans="1:11" ht="13.95" customHeight="1" x14ac:dyDescent="0.3">
      <c r="A58" s="3">
        <v>45714</v>
      </c>
      <c r="B58" s="3" t="s">
        <v>2388</v>
      </c>
      <c r="C58" s="19" t="s">
        <v>5</v>
      </c>
      <c r="D58" s="19" t="s">
        <v>1259</v>
      </c>
      <c r="E58" s="4">
        <v>0.5</v>
      </c>
      <c r="F58" s="42">
        <v>2.25</v>
      </c>
      <c r="G58" s="45">
        <v>250</v>
      </c>
      <c r="H58" s="22">
        <v>1.9</v>
      </c>
      <c r="I58" s="6">
        <f t="shared" si="0"/>
        <v>534.375</v>
      </c>
      <c r="J58" s="6" t="s">
        <v>88</v>
      </c>
      <c r="K58" s="17"/>
    </row>
    <row r="59" spans="1:11" ht="13.95" customHeight="1" x14ac:dyDescent="0.3">
      <c r="A59" s="3">
        <v>45715</v>
      </c>
      <c r="B59" s="3" t="s">
        <v>2388</v>
      </c>
      <c r="C59" s="19" t="s">
        <v>8</v>
      </c>
      <c r="D59" s="19" t="s">
        <v>1259</v>
      </c>
      <c r="E59" s="4">
        <v>0.55000000000000004</v>
      </c>
      <c r="F59" s="42">
        <v>2.2999999999999998</v>
      </c>
      <c r="G59" s="45">
        <v>250</v>
      </c>
      <c r="H59" s="22">
        <v>1.9</v>
      </c>
      <c r="I59" s="6">
        <f t="shared" si="0"/>
        <v>600.875</v>
      </c>
      <c r="J59" s="6" t="s">
        <v>88</v>
      </c>
      <c r="K59" s="17"/>
    </row>
    <row r="60" spans="1:11" ht="13.95" customHeight="1" x14ac:dyDescent="0.3">
      <c r="A60" s="3">
        <v>45716</v>
      </c>
      <c r="B60" s="3" t="s">
        <v>2388</v>
      </c>
      <c r="C60" s="19" t="s">
        <v>11</v>
      </c>
      <c r="D60" s="19" t="s">
        <v>44</v>
      </c>
      <c r="E60" s="4">
        <v>0.65</v>
      </c>
      <c r="F60" s="42">
        <v>2.6</v>
      </c>
      <c r="G60" s="45">
        <v>250</v>
      </c>
      <c r="H60" s="22">
        <v>1.9</v>
      </c>
      <c r="I60" s="6">
        <f t="shared" si="0"/>
        <v>802.75</v>
      </c>
      <c r="J60" s="6" t="s">
        <v>2308</v>
      </c>
      <c r="K60" s="17"/>
    </row>
    <row r="61" spans="1:11" ht="13.95" customHeight="1" x14ac:dyDescent="0.3">
      <c r="A61" s="3">
        <v>45717</v>
      </c>
      <c r="B61" s="3" t="s">
        <v>2388</v>
      </c>
      <c r="C61" s="19" t="s">
        <v>13</v>
      </c>
      <c r="D61" s="19" t="s">
        <v>708</v>
      </c>
      <c r="E61" s="4">
        <v>0.6</v>
      </c>
      <c r="F61" s="42">
        <v>3.5</v>
      </c>
      <c r="G61" s="45">
        <v>250</v>
      </c>
      <c r="H61" s="22">
        <v>1.9</v>
      </c>
      <c r="I61" s="6">
        <f t="shared" si="0"/>
        <v>997.5</v>
      </c>
      <c r="J61" s="6" t="s">
        <v>1751</v>
      </c>
      <c r="K61" s="17"/>
    </row>
    <row r="62" spans="1:11" ht="13.95" customHeight="1" x14ac:dyDescent="0.3">
      <c r="A62" s="3">
        <v>45718</v>
      </c>
      <c r="B62" s="3" t="s">
        <v>2388</v>
      </c>
      <c r="C62" s="19" t="s">
        <v>16</v>
      </c>
      <c r="D62" s="19" t="s">
        <v>76</v>
      </c>
      <c r="E62" s="4">
        <v>0.55000000000000004</v>
      </c>
      <c r="F62" s="42">
        <v>3.1</v>
      </c>
      <c r="G62" s="45">
        <v>250</v>
      </c>
      <c r="H62" s="22">
        <v>1.9</v>
      </c>
      <c r="I62" s="6">
        <f t="shared" si="0"/>
        <v>809.875</v>
      </c>
      <c r="J62" s="6" t="s">
        <v>2309</v>
      </c>
      <c r="K62" s="17"/>
    </row>
    <row r="63" spans="1:11" ht="13.95" customHeight="1" x14ac:dyDescent="0.3">
      <c r="A63" s="3">
        <v>45719</v>
      </c>
      <c r="B63" s="3" t="s">
        <v>2388</v>
      </c>
      <c r="C63" s="19" t="s">
        <v>18</v>
      </c>
      <c r="D63" s="19" t="s">
        <v>76</v>
      </c>
      <c r="E63" s="4">
        <v>0.4</v>
      </c>
      <c r="F63" s="42">
        <v>2.25</v>
      </c>
      <c r="G63" s="45">
        <v>250</v>
      </c>
      <c r="H63" s="22">
        <v>1.9</v>
      </c>
      <c r="I63" s="6">
        <f t="shared" si="0"/>
        <v>427.5</v>
      </c>
      <c r="J63" s="6" t="s">
        <v>2193</v>
      </c>
      <c r="K63" s="17"/>
    </row>
    <row r="64" spans="1:11" ht="13.95" customHeight="1" x14ac:dyDescent="0.3">
      <c r="A64" s="3">
        <v>45720</v>
      </c>
      <c r="B64" s="3" t="s">
        <v>2388</v>
      </c>
      <c r="C64" s="19" t="s">
        <v>20</v>
      </c>
      <c r="D64" s="19" t="s">
        <v>76</v>
      </c>
      <c r="E64" s="4">
        <v>0.4</v>
      </c>
      <c r="F64" s="42">
        <v>2.25</v>
      </c>
      <c r="G64" s="45">
        <v>250</v>
      </c>
      <c r="H64" s="22">
        <v>1.9</v>
      </c>
      <c r="I64" s="6">
        <f t="shared" si="0"/>
        <v>427.5</v>
      </c>
      <c r="J64" s="6" t="s">
        <v>2310</v>
      </c>
      <c r="K64" s="17"/>
    </row>
    <row r="65" spans="1:11" ht="13.95" customHeight="1" x14ac:dyDescent="0.3">
      <c r="A65" s="3">
        <v>45721</v>
      </c>
      <c r="B65" s="3" t="s">
        <v>2388</v>
      </c>
      <c r="C65" s="19" t="s">
        <v>5</v>
      </c>
      <c r="D65" s="19" t="s">
        <v>76</v>
      </c>
      <c r="E65" s="4">
        <v>0.45</v>
      </c>
      <c r="F65" s="42">
        <v>2.2999999999999998</v>
      </c>
      <c r="G65" s="45">
        <v>250</v>
      </c>
      <c r="H65" s="22">
        <v>1.9</v>
      </c>
      <c r="I65" s="6">
        <f t="shared" si="0"/>
        <v>491.625</v>
      </c>
      <c r="J65" s="6" t="s">
        <v>2310</v>
      </c>
      <c r="K65" s="17"/>
    </row>
    <row r="66" spans="1:11" ht="13.95" customHeight="1" x14ac:dyDescent="0.3">
      <c r="A66" s="3">
        <v>45722</v>
      </c>
      <c r="B66" s="3" t="s">
        <v>2388</v>
      </c>
      <c r="C66" s="19" t="s">
        <v>8</v>
      </c>
      <c r="D66" s="19" t="s">
        <v>76</v>
      </c>
      <c r="E66" s="4">
        <v>0.45</v>
      </c>
      <c r="F66" s="42">
        <v>2.2999999999999998</v>
      </c>
      <c r="G66" s="45">
        <v>250</v>
      </c>
      <c r="H66" s="22">
        <v>1.9</v>
      </c>
      <c r="I66" s="6">
        <f t="shared" ref="I66:I129" si="1">(G66*E66)*F66*H66</f>
        <v>491.625</v>
      </c>
      <c r="J66" s="6" t="s">
        <v>2310</v>
      </c>
      <c r="K66" s="17"/>
    </row>
    <row r="67" spans="1:11" ht="13.95" customHeight="1" x14ac:dyDescent="0.3">
      <c r="A67" s="3">
        <v>45723</v>
      </c>
      <c r="B67" s="3" t="s">
        <v>2388</v>
      </c>
      <c r="C67" s="19" t="s">
        <v>11</v>
      </c>
      <c r="D67" s="19" t="s">
        <v>76</v>
      </c>
      <c r="E67" s="4">
        <v>0.55000000000000004</v>
      </c>
      <c r="F67" s="42">
        <v>2.9</v>
      </c>
      <c r="G67" s="45">
        <v>250</v>
      </c>
      <c r="H67" s="22">
        <v>1.9</v>
      </c>
      <c r="I67" s="6">
        <f t="shared" si="1"/>
        <v>757.625</v>
      </c>
      <c r="J67" s="6" t="s">
        <v>2311</v>
      </c>
      <c r="K67" s="17"/>
    </row>
    <row r="68" spans="1:11" ht="13.95" customHeight="1" x14ac:dyDescent="0.3">
      <c r="A68" s="3">
        <v>45724</v>
      </c>
      <c r="B68" s="3" t="s">
        <v>2388</v>
      </c>
      <c r="C68" s="19" t="s">
        <v>13</v>
      </c>
      <c r="D68" s="19" t="s">
        <v>76</v>
      </c>
      <c r="E68" s="4">
        <v>0.7</v>
      </c>
      <c r="F68" s="42">
        <v>3.6</v>
      </c>
      <c r="G68" s="45">
        <v>250</v>
      </c>
      <c r="H68" s="22">
        <v>1.9</v>
      </c>
      <c r="I68" s="6">
        <f t="shared" si="1"/>
        <v>1197</v>
      </c>
      <c r="J68" s="6" t="s">
        <v>2312</v>
      </c>
      <c r="K68" s="17"/>
    </row>
    <row r="69" spans="1:11" ht="13.95" customHeight="1" x14ac:dyDescent="0.3">
      <c r="A69" s="3">
        <v>45725</v>
      </c>
      <c r="B69" s="3" t="s">
        <v>2388</v>
      </c>
      <c r="C69" s="19" t="s">
        <v>16</v>
      </c>
      <c r="D69" s="19" t="s">
        <v>76</v>
      </c>
      <c r="E69" s="4">
        <v>0.65</v>
      </c>
      <c r="F69" s="42">
        <v>3.15</v>
      </c>
      <c r="G69" s="45">
        <v>250</v>
      </c>
      <c r="H69" s="22">
        <v>1.9</v>
      </c>
      <c r="I69" s="6">
        <f t="shared" si="1"/>
        <v>972.5625</v>
      </c>
      <c r="J69" s="6" t="s">
        <v>238</v>
      </c>
      <c r="K69" s="17"/>
    </row>
    <row r="70" spans="1:11" ht="13.95" customHeight="1" x14ac:dyDescent="0.3">
      <c r="A70" s="3">
        <v>45726</v>
      </c>
      <c r="B70" s="3" t="s">
        <v>2388</v>
      </c>
      <c r="C70" s="19" t="s">
        <v>18</v>
      </c>
      <c r="D70" s="19" t="s">
        <v>76</v>
      </c>
      <c r="E70" s="4">
        <v>0.4</v>
      </c>
      <c r="F70" s="42">
        <v>2.2000000000000002</v>
      </c>
      <c r="G70" s="45">
        <v>250</v>
      </c>
      <c r="H70" s="22">
        <v>1.9</v>
      </c>
      <c r="I70" s="6">
        <f t="shared" si="1"/>
        <v>418.00000000000006</v>
      </c>
      <c r="J70" s="6" t="s">
        <v>2313</v>
      </c>
      <c r="K70" s="17"/>
    </row>
    <row r="71" spans="1:11" ht="13.95" customHeight="1" x14ac:dyDescent="0.3">
      <c r="A71" s="3">
        <v>45727</v>
      </c>
      <c r="B71" s="3" t="s">
        <v>2388</v>
      </c>
      <c r="C71" s="19" t="s">
        <v>20</v>
      </c>
      <c r="D71" s="19" t="s">
        <v>76</v>
      </c>
      <c r="E71" s="4">
        <v>0.4</v>
      </c>
      <c r="F71" s="42">
        <v>2.2000000000000002</v>
      </c>
      <c r="G71" s="45">
        <v>250</v>
      </c>
      <c r="H71" s="22">
        <v>1.9</v>
      </c>
      <c r="I71" s="6">
        <f t="shared" si="1"/>
        <v>418.00000000000006</v>
      </c>
      <c r="J71" s="6" t="s">
        <v>2313</v>
      </c>
      <c r="K71" s="17"/>
    </row>
    <row r="72" spans="1:11" ht="13.95" customHeight="1" x14ac:dyDescent="0.3">
      <c r="A72" s="3">
        <v>45728</v>
      </c>
      <c r="B72" s="3" t="s">
        <v>2388</v>
      </c>
      <c r="C72" s="19" t="s">
        <v>5</v>
      </c>
      <c r="D72" s="19" t="s">
        <v>76</v>
      </c>
      <c r="E72" s="4">
        <v>0.4</v>
      </c>
      <c r="F72" s="42">
        <v>2.25</v>
      </c>
      <c r="G72" s="45">
        <v>250</v>
      </c>
      <c r="H72" s="22">
        <v>1.9</v>
      </c>
      <c r="I72" s="6">
        <f t="shared" si="1"/>
        <v>427.5</v>
      </c>
      <c r="J72" s="6" t="s">
        <v>88</v>
      </c>
      <c r="K72" s="17"/>
    </row>
    <row r="73" spans="1:11" ht="13.95" customHeight="1" x14ac:dyDescent="0.3">
      <c r="A73" s="3">
        <v>45729</v>
      </c>
      <c r="B73" s="3" t="s">
        <v>2388</v>
      </c>
      <c r="C73" s="19" t="s">
        <v>8</v>
      </c>
      <c r="D73" s="19" t="s">
        <v>76</v>
      </c>
      <c r="E73" s="4">
        <v>0.45</v>
      </c>
      <c r="F73" s="42">
        <v>2.2999999999999998</v>
      </c>
      <c r="G73" s="45">
        <v>250</v>
      </c>
      <c r="H73" s="22">
        <v>1.9</v>
      </c>
      <c r="I73" s="6">
        <f t="shared" si="1"/>
        <v>491.625</v>
      </c>
      <c r="J73" s="6" t="s">
        <v>88</v>
      </c>
      <c r="K73" s="17"/>
    </row>
    <row r="74" spans="1:11" ht="13.95" customHeight="1" x14ac:dyDescent="0.3">
      <c r="A74" s="3">
        <v>45730</v>
      </c>
      <c r="B74" s="3" t="s">
        <v>2388</v>
      </c>
      <c r="C74" s="19" t="s">
        <v>11</v>
      </c>
      <c r="D74" s="19" t="s">
        <v>76</v>
      </c>
      <c r="E74" s="4">
        <v>0.55000000000000004</v>
      </c>
      <c r="F74" s="42">
        <v>2.95</v>
      </c>
      <c r="G74" s="45">
        <v>250</v>
      </c>
      <c r="H74" s="22">
        <v>1.9</v>
      </c>
      <c r="I74" s="6">
        <f t="shared" si="1"/>
        <v>770.6875</v>
      </c>
      <c r="J74" s="6" t="s">
        <v>282</v>
      </c>
      <c r="K74" s="17"/>
    </row>
    <row r="75" spans="1:11" ht="13.95" customHeight="1" x14ac:dyDescent="0.3">
      <c r="A75" s="3">
        <v>45731</v>
      </c>
      <c r="B75" s="3" t="s">
        <v>2388</v>
      </c>
      <c r="C75" s="19" t="s">
        <v>13</v>
      </c>
      <c r="D75" s="19" t="s">
        <v>76</v>
      </c>
      <c r="E75" s="4">
        <v>0.7</v>
      </c>
      <c r="F75" s="42">
        <v>3.7</v>
      </c>
      <c r="G75" s="45">
        <v>250</v>
      </c>
      <c r="H75" s="22">
        <v>1.9</v>
      </c>
      <c r="I75" s="6">
        <f t="shared" si="1"/>
        <v>1230.25</v>
      </c>
      <c r="J75" s="6" t="s">
        <v>2295</v>
      </c>
      <c r="K75" s="17"/>
    </row>
    <row r="76" spans="1:11" ht="13.95" customHeight="1" x14ac:dyDescent="0.3">
      <c r="A76" s="3">
        <v>45732</v>
      </c>
      <c r="B76" s="3" t="s">
        <v>2388</v>
      </c>
      <c r="C76" s="19" t="s">
        <v>16</v>
      </c>
      <c r="D76" s="19" t="s">
        <v>76</v>
      </c>
      <c r="E76" s="4">
        <v>0.65</v>
      </c>
      <c r="F76" s="42">
        <v>3.2</v>
      </c>
      <c r="G76" s="45">
        <v>250</v>
      </c>
      <c r="H76" s="22">
        <v>1.9</v>
      </c>
      <c r="I76" s="6">
        <f t="shared" si="1"/>
        <v>988</v>
      </c>
      <c r="J76" s="6" t="s">
        <v>69</v>
      </c>
      <c r="K76" s="17"/>
    </row>
    <row r="77" spans="1:11" ht="13.95" customHeight="1" x14ac:dyDescent="0.3">
      <c r="A77" s="3">
        <v>45733</v>
      </c>
      <c r="B77" s="3" t="s">
        <v>2388</v>
      </c>
      <c r="C77" s="19" t="s">
        <v>18</v>
      </c>
      <c r="D77" s="19" t="s">
        <v>76</v>
      </c>
      <c r="E77" s="4">
        <v>0.45</v>
      </c>
      <c r="F77" s="42">
        <v>2.25</v>
      </c>
      <c r="G77" s="45">
        <v>250</v>
      </c>
      <c r="H77" s="22">
        <v>1.9</v>
      </c>
      <c r="I77" s="6">
        <f t="shared" si="1"/>
        <v>480.9375</v>
      </c>
      <c r="J77" s="6" t="s">
        <v>150</v>
      </c>
      <c r="K77" s="17"/>
    </row>
    <row r="78" spans="1:11" ht="13.95" customHeight="1" x14ac:dyDescent="0.3">
      <c r="A78" s="3">
        <v>45734</v>
      </c>
      <c r="B78" s="3" t="s">
        <v>2388</v>
      </c>
      <c r="C78" s="19" t="s">
        <v>20</v>
      </c>
      <c r="D78" s="19" t="s">
        <v>76</v>
      </c>
      <c r="E78" s="4">
        <v>0.45</v>
      </c>
      <c r="F78" s="42">
        <v>2.25</v>
      </c>
      <c r="G78" s="45">
        <v>250</v>
      </c>
      <c r="H78" s="22">
        <v>1.9</v>
      </c>
      <c r="I78" s="6">
        <f t="shared" si="1"/>
        <v>480.9375</v>
      </c>
      <c r="J78" s="6" t="s">
        <v>150</v>
      </c>
      <c r="K78" s="17"/>
    </row>
    <row r="79" spans="1:11" ht="13.95" customHeight="1" x14ac:dyDescent="0.3">
      <c r="A79" s="3">
        <v>45735</v>
      </c>
      <c r="B79" s="3" t="s">
        <v>2388</v>
      </c>
      <c r="C79" s="19" t="s">
        <v>5</v>
      </c>
      <c r="D79" s="19" t="s">
        <v>76</v>
      </c>
      <c r="E79" s="4">
        <v>0.5</v>
      </c>
      <c r="F79" s="42">
        <v>2.35</v>
      </c>
      <c r="G79" s="45">
        <v>250</v>
      </c>
      <c r="H79" s="22">
        <v>1.9</v>
      </c>
      <c r="I79" s="6">
        <f t="shared" si="1"/>
        <v>558.125</v>
      </c>
      <c r="J79" s="6" t="s">
        <v>2212</v>
      </c>
      <c r="K79" s="17"/>
    </row>
    <row r="80" spans="1:11" ht="13.95" customHeight="1" x14ac:dyDescent="0.3">
      <c r="A80" s="3">
        <v>45736</v>
      </c>
      <c r="B80" s="3" t="s">
        <v>2388</v>
      </c>
      <c r="C80" s="19" t="s">
        <v>8</v>
      </c>
      <c r="D80" s="19" t="s">
        <v>383</v>
      </c>
      <c r="E80" s="4">
        <v>0.75</v>
      </c>
      <c r="F80" s="42">
        <v>3.6</v>
      </c>
      <c r="G80" s="45">
        <v>250</v>
      </c>
      <c r="H80" s="22">
        <v>1.9</v>
      </c>
      <c r="I80" s="6">
        <f t="shared" si="1"/>
        <v>1282.5</v>
      </c>
      <c r="J80" s="6" t="s">
        <v>2314</v>
      </c>
      <c r="K80" s="17"/>
    </row>
    <row r="81" spans="1:11" ht="13.95" customHeight="1" x14ac:dyDescent="0.3">
      <c r="A81" s="3">
        <v>45737</v>
      </c>
      <c r="B81" s="3" t="s">
        <v>2388</v>
      </c>
      <c r="C81" s="19" t="s">
        <v>11</v>
      </c>
      <c r="D81" s="19" t="s">
        <v>76</v>
      </c>
      <c r="E81" s="4">
        <v>0.7</v>
      </c>
      <c r="F81" s="42">
        <v>3.1</v>
      </c>
      <c r="G81" s="45">
        <v>250</v>
      </c>
      <c r="H81" s="22">
        <v>1.9</v>
      </c>
      <c r="I81" s="6">
        <f t="shared" si="1"/>
        <v>1030.75</v>
      </c>
      <c r="J81" s="6" t="s">
        <v>197</v>
      </c>
      <c r="K81" s="17"/>
    </row>
    <row r="82" spans="1:11" ht="13.95" customHeight="1" x14ac:dyDescent="0.3">
      <c r="A82" s="3">
        <v>45738</v>
      </c>
      <c r="B82" s="3" t="s">
        <v>2388</v>
      </c>
      <c r="C82" s="19" t="s">
        <v>13</v>
      </c>
      <c r="D82" s="19" t="s">
        <v>76</v>
      </c>
      <c r="E82" s="4">
        <v>0.8</v>
      </c>
      <c r="F82" s="42">
        <v>3.8</v>
      </c>
      <c r="G82" s="45">
        <v>250</v>
      </c>
      <c r="H82" s="22">
        <v>1.9</v>
      </c>
      <c r="I82" s="6">
        <f t="shared" si="1"/>
        <v>1444</v>
      </c>
      <c r="J82" s="6" t="s">
        <v>2213</v>
      </c>
      <c r="K82" s="17"/>
    </row>
    <row r="83" spans="1:11" ht="13.95" customHeight="1" x14ac:dyDescent="0.3">
      <c r="A83" s="3">
        <v>45739</v>
      </c>
      <c r="B83" s="3" t="s">
        <v>2388</v>
      </c>
      <c r="C83" s="19" t="s">
        <v>16</v>
      </c>
      <c r="D83" s="19" t="s">
        <v>76</v>
      </c>
      <c r="E83" s="4">
        <v>0.75</v>
      </c>
      <c r="F83" s="42">
        <v>3.25</v>
      </c>
      <c r="G83" s="45">
        <v>250</v>
      </c>
      <c r="H83" s="22">
        <v>1.9</v>
      </c>
      <c r="I83" s="6">
        <f t="shared" si="1"/>
        <v>1157.8125</v>
      </c>
      <c r="J83" s="6" t="s">
        <v>69</v>
      </c>
      <c r="K83" s="17"/>
    </row>
    <row r="84" spans="1:11" ht="13.95" customHeight="1" x14ac:dyDescent="0.3">
      <c r="A84" s="3">
        <v>45740</v>
      </c>
      <c r="B84" s="3" t="s">
        <v>2388</v>
      </c>
      <c r="C84" s="19" t="s">
        <v>18</v>
      </c>
      <c r="D84" s="19" t="s">
        <v>76</v>
      </c>
      <c r="E84" s="4">
        <v>0.45</v>
      </c>
      <c r="F84" s="42">
        <v>2.25</v>
      </c>
      <c r="G84" s="45">
        <v>250</v>
      </c>
      <c r="H84" s="22">
        <v>1.9</v>
      </c>
      <c r="I84" s="6">
        <f t="shared" si="1"/>
        <v>480.9375</v>
      </c>
      <c r="J84" s="6" t="s">
        <v>88</v>
      </c>
      <c r="K84" s="17"/>
    </row>
    <row r="85" spans="1:11" ht="13.95" customHeight="1" x14ac:dyDescent="0.3">
      <c r="A85" s="3">
        <v>45741</v>
      </c>
      <c r="B85" s="3" t="s">
        <v>2388</v>
      </c>
      <c r="C85" s="19" t="s">
        <v>20</v>
      </c>
      <c r="D85" s="19" t="s">
        <v>76</v>
      </c>
      <c r="E85" s="4">
        <v>0.45</v>
      </c>
      <c r="F85" s="42">
        <v>2.25</v>
      </c>
      <c r="G85" s="45">
        <v>250</v>
      </c>
      <c r="H85" s="22">
        <v>1.9</v>
      </c>
      <c r="I85" s="6">
        <f t="shared" si="1"/>
        <v>480.9375</v>
      </c>
      <c r="J85" s="6" t="s">
        <v>88</v>
      </c>
      <c r="K85" s="17"/>
    </row>
    <row r="86" spans="1:11" ht="13.95" customHeight="1" x14ac:dyDescent="0.3">
      <c r="A86" s="3">
        <v>45742</v>
      </c>
      <c r="B86" s="3" t="s">
        <v>2388</v>
      </c>
      <c r="C86" s="19" t="s">
        <v>5</v>
      </c>
      <c r="D86" s="19" t="s">
        <v>76</v>
      </c>
      <c r="E86" s="4">
        <v>0.55000000000000004</v>
      </c>
      <c r="F86" s="42">
        <v>3.85</v>
      </c>
      <c r="G86" s="45">
        <v>250</v>
      </c>
      <c r="H86" s="22">
        <v>1.9</v>
      </c>
      <c r="I86" s="6">
        <f t="shared" si="1"/>
        <v>1005.8125</v>
      </c>
      <c r="J86" s="6" t="s">
        <v>2315</v>
      </c>
      <c r="K86" s="17"/>
    </row>
    <row r="87" spans="1:11" ht="13.95" customHeight="1" x14ac:dyDescent="0.3">
      <c r="A87" s="3">
        <v>45743</v>
      </c>
      <c r="B87" s="3" t="s">
        <v>2388</v>
      </c>
      <c r="C87" s="19" t="s">
        <v>8</v>
      </c>
      <c r="D87" s="19" t="s">
        <v>76</v>
      </c>
      <c r="E87" s="4">
        <v>0.5</v>
      </c>
      <c r="F87" s="42">
        <v>2.2999999999999998</v>
      </c>
      <c r="G87" s="45">
        <v>250</v>
      </c>
      <c r="H87" s="22">
        <v>1.9</v>
      </c>
      <c r="I87" s="6">
        <f t="shared" si="1"/>
        <v>546.25</v>
      </c>
      <c r="J87" s="6" t="s">
        <v>2316</v>
      </c>
      <c r="K87" s="17"/>
    </row>
    <row r="88" spans="1:11" ht="13.95" customHeight="1" x14ac:dyDescent="0.3">
      <c r="A88" s="3">
        <v>45744</v>
      </c>
      <c r="B88" s="3" t="s">
        <v>2388</v>
      </c>
      <c r="C88" s="19" t="s">
        <v>11</v>
      </c>
      <c r="D88" s="19" t="s">
        <v>904</v>
      </c>
      <c r="E88" s="4">
        <v>0.65</v>
      </c>
      <c r="F88" s="42">
        <v>2.85</v>
      </c>
      <c r="G88" s="45">
        <v>250</v>
      </c>
      <c r="H88" s="22">
        <v>1.9</v>
      </c>
      <c r="I88" s="6">
        <f t="shared" si="1"/>
        <v>879.9375</v>
      </c>
      <c r="J88" s="6" t="s">
        <v>1466</v>
      </c>
      <c r="K88" s="17"/>
    </row>
    <row r="89" spans="1:11" ht="13.95" customHeight="1" x14ac:dyDescent="0.3">
      <c r="A89" s="3">
        <v>45745</v>
      </c>
      <c r="B89" s="3" t="s">
        <v>2388</v>
      </c>
      <c r="C89" s="19" t="s">
        <v>13</v>
      </c>
      <c r="D89" s="19" t="s">
        <v>574</v>
      </c>
      <c r="E89" s="4">
        <v>0.9</v>
      </c>
      <c r="F89" s="42">
        <v>4.0999999999999996</v>
      </c>
      <c r="G89" s="45">
        <v>250</v>
      </c>
      <c r="H89" s="22">
        <v>1.9</v>
      </c>
      <c r="I89" s="6">
        <f t="shared" si="1"/>
        <v>1752.7499999999998</v>
      </c>
      <c r="J89" s="6" t="s">
        <v>2317</v>
      </c>
      <c r="K89" s="17"/>
    </row>
    <row r="90" spans="1:11" ht="13.95" customHeight="1" x14ac:dyDescent="0.3">
      <c r="A90" s="3">
        <v>45746</v>
      </c>
      <c r="B90" s="3" t="s">
        <v>2388</v>
      </c>
      <c r="C90" s="19" t="s">
        <v>16</v>
      </c>
      <c r="D90" s="19" t="s">
        <v>574</v>
      </c>
      <c r="E90" s="4">
        <v>0.9</v>
      </c>
      <c r="F90" s="42">
        <v>3.9</v>
      </c>
      <c r="G90" s="45">
        <v>250</v>
      </c>
      <c r="H90" s="22">
        <v>1.9</v>
      </c>
      <c r="I90" s="6">
        <f t="shared" si="1"/>
        <v>1667.25</v>
      </c>
      <c r="J90" s="6" t="s">
        <v>2318</v>
      </c>
      <c r="K90" s="17"/>
    </row>
    <row r="91" spans="1:11" ht="13.95" customHeight="1" x14ac:dyDescent="0.3">
      <c r="A91" s="3">
        <v>45747</v>
      </c>
      <c r="B91" s="3" t="s">
        <v>2388</v>
      </c>
      <c r="C91" s="19" t="s">
        <v>18</v>
      </c>
      <c r="D91" s="19" t="s">
        <v>1314</v>
      </c>
      <c r="E91" s="4">
        <v>0.65</v>
      </c>
      <c r="F91" s="42">
        <v>2.5</v>
      </c>
      <c r="G91" s="45">
        <v>250</v>
      </c>
      <c r="H91" s="22">
        <v>1.9</v>
      </c>
      <c r="I91" s="6">
        <f t="shared" si="1"/>
        <v>771.875</v>
      </c>
      <c r="J91" s="6" t="s">
        <v>2219</v>
      </c>
      <c r="K91" s="17"/>
    </row>
    <row r="92" spans="1:11" ht="13.95" customHeight="1" x14ac:dyDescent="0.3">
      <c r="A92" s="3">
        <v>45748</v>
      </c>
      <c r="B92" s="3" t="s">
        <v>2388</v>
      </c>
      <c r="C92" s="19" t="s">
        <v>20</v>
      </c>
      <c r="D92" s="19" t="s">
        <v>1764</v>
      </c>
      <c r="E92" s="4">
        <v>0.6</v>
      </c>
      <c r="F92" s="42">
        <v>2.4</v>
      </c>
      <c r="G92" s="45">
        <v>250</v>
      </c>
      <c r="H92" s="22">
        <v>1.9</v>
      </c>
      <c r="I92" s="6">
        <f t="shared" si="1"/>
        <v>684</v>
      </c>
      <c r="J92" s="6" t="s">
        <v>2319</v>
      </c>
      <c r="K92" s="17"/>
    </row>
    <row r="93" spans="1:11" ht="13.95" customHeight="1" x14ac:dyDescent="0.3">
      <c r="A93" s="3">
        <v>45749</v>
      </c>
      <c r="B93" s="3" t="s">
        <v>2388</v>
      </c>
      <c r="C93" s="19" t="s">
        <v>5</v>
      </c>
      <c r="D93" s="19" t="s">
        <v>1764</v>
      </c>
      <c r="E93" s="4">
        <v>0.6</v>
      </c>
      <c r="F93" s="42">
        <v>2.4</v>
      </c>
      <c r="G93" s="45">
        <v>250</v>
      </c>
      <c r="H93" s="22">
        <v>1.9</v>
      </c>
      <c r="I93" s="6">
        <f t="shared" si="1"/>
        <v>684</v>
      </c>
      <c r="J93" s="6" t="s">
        <v>2320</v>
      </c>
      <c r="K93" s="17"/>
    </row>
    <row r="94" spans="1:11" ht="13.95" customHeight="1" x14ac:dyDescent="0.3">
      <c r="A94" s="3">
        <v>45750</v>
      </c>
      <c r="B94" s="3" t="s">
        <v>2388</v>
      </c>
      <c r="C94" s="19" t="s">
        <v>8</v>
      </c>
      <c r="D94" s="19" t="s">
        <v>1764</v>
      </c>
      <c r="E94" s="4">
        <v>0.65</v>
      </c>
      <c r="F94" s="42">
        <v>2.4500000000000002</v>
      </c>
      <c r="G94" s="45">
        <v>250</v>
      </c>
      <c r="H94" s="22">
        <v>1.9</v>
      </c>
      <c r="I94" s="6">
        <f t="shared" si="1"/>
        <v>756.43750000000011</v>
      </c>
      <c r="J94" s="6" t="s">
        <v>2321</v>
      </c>
      <c r="K94" s="17"/>
    </row>
    <row r="95" spans="1:11" ht="13.95" customHeight="1" x14ac:dyDescent="0.3">
      <c r="A95" s="3">
        <v>45751</v>
      </c>
      <c r="B95" s="3" t="s">
        <v>2388</v>
      </c>
      <c r="C95" s="19" t="s">
        <v>11</v>
      </c>
      <c r="D95" s="19" t="s">
        <v>1764</v>
      </c>
      <c r="E95" s="4">
        <v>0.7</v>
      </c>
      <c r="F95" s="42">
        <v>2.65</v>
      </c>
      <c r="G95" s="45">
        <v>250</v>
      </c>
      <c r="H95" s="22">
        <v>1.9</v>
      </c>
      <c r="I95" s="6">
        <f t="shared" si="1"/>
        <v>881.125</v>
      </c>
      <c r="J95" s="6" t="s">
        <v>97</v>
      </c>
      <c r="K95" s="17"/>
    </row>
    <row r="96" spans="1:11" ht="13.95" customHeight="1" x14ac:dyDescent="0.3">
      <c r="A96" s="3">
        <v>45752</v>
      </c>
      <c r="B96" s="3" t="s">
        <v>2388</v>
      </c>
      <c r="C96" s="19" t="s">
        <v>13</v>
      </c>
      <c r="D96" s="19" t="s">
        <v>14</v>
      </c>
      <c r="E96" s="4">
        <v>0.8</v>
      </c>
      <c r="F96" s="42">
        <v>3.5</v>
      </c>
      <c r="G96" s="45">
        <v>250</v>
      </c>
      <c r="H96" s="22">
        <v>1.9</v>
      </c>
      <c r="I96" s="6">
        <f t="shared" si="1"/>
        <v>1330</v>
      </c>
      <c r="J96" s="6" t="s">
        <v>1243</v>
      </c>
      <c r="K96" s="17"/>
    </row>
    <row r="97" spans="1:11" ht="13.95" customHeight="1" x14ac:dyDescent="0.3">
      <c r="A97" s="3">
        <v>45753</v>
      </c>
      <c r="B97" s="3" t="s">
        <v>2388</v>
      </c>
      <c r="C97" s="19" t="s">
        <v>16</v>
      </c>
      <c r="D97" s="19" t="s">
        <v>14</v>
      </c>
      <c r="E97" s="4">
        <v>0.75</v>
      </c>
      <c r="F97" s="42">
        <v>3.15</v>
      </c>
      <c r="G97" s="45">
        <v>250</v>
      </c>
      <c r="H97" s="22">
        <v>1.9</v>
      </c>
      <c r="I97" s="6">
        <f t="shared" si="1"/>
        <v>1122.1875</v>
      </c>
      <c r="J97" s="6" t="s">
        <v>2291</v>
      </c>
      <c r="K97" s="17"/>
    </row>
    <row r="98" spans="1:11" ht="13.95" customHeight="1" x14ac:dyDescent="0.3">
      <c r="A98" s="3">
        <v>45754</v>
      </c>
      <c r="B98" s="3" t="s">
        <v>2388</v>
      </c>
      <c r="C98" s="19" t="s">
        <v>18</v>
      </c>
      <c r="D98" s="19" t="s">
        <v>1764</v>
      </c>
      <c r="E98" s="4">
        <v>0.65</v>
      </c>
      <c r="F98" s="42">
        <v>2.4500000000000002</v>
      </c>
      <c r="G98" s="45">
        <v>250</v>
      </c>
      <c r="H98" s="22">
        <v>1.9</v>
      </c>
      <c r="I98" s="6">
        <f t="shared" si="1"/>
        <v>756.43750000000011</v>
      </c>
      <c r="J98" s="6" t="s">
        <v>88</v>
      </c>
      <c r="K98" s="17"/>
    </row>
    <row r="99" spans="1:11" ht="13.95" customHeight="1" x14ac:dyDescent="0.3">
      <c r="A99" s="3">
        <v>45755</v>
      </c>
      <c r="B99" s="3" t="s">
        <v>2388</v>
      </c>
      <c r="C99" s="19" t="s">
        <v>20</v>
      </c>
      <c r="D99" s="19" t="s">
        <v>1764</v>
      </c>
      <c r="E99" s="4">
        <v>0.65</v>
      </c>
      <c r="F99" s="42">
        <v>2.4500000000000002</v>
      </c>
      <c r="G99" s="45">
        <v>250</v>
      </c>
      <c r="H99" s="22">
        <v>1.9</v>
      </c>
      <c r="I99" s="6">
        <f t="shared" si="1"/>
        <v>756.43750000000011</v>
      </c>
      <c r="J99" s="6" t="s">
        <v>88</v>
      </c>
      <c r="K99" s="17"/>
    </row>
    <row r="100" spans="1:11" ht="13.95" customHeight="1" x14ac:dyDescent="0.3">
      <c r="A100" s="3">
        <v>45756</v>
      </c>
      <c r="B100" s="3" t="s">
        <v>2388</v>
      </c>
      <c r="C100" s="19" t="s">
        <v>5</v>
      </c>
      <c r="D100" s="19" t="s">
        <v>1112</v>
      </c>
      <c r="E100" s="4">
        <v>0.8</v>
      </c>
      <c r="F100" s="42">
        <v>3.3</v>
      </c>
      <c r="G100" s="45">
        <v>250</v>
      </c>
      <c r="H100" s="22">
        <v>1.9</v>
      </c>
      <c r="I100" s="6">
        <f t="shared" si="1"/>
        <v>1254</v>
      </c>
      <c r="J100" s="6" t="s">
        <v>2322</v>
      </c>
      <c r="K100" s="17"/>
    </row>
    <row r="101" spans="1:11" ht="13.95" customHeight="1" x14ac:dyDescent="0.3">
      <c r="A101" s="3">
        <v>45757</v>
      </c>
      <c r="B101" s="3" t="s">
        <v>2388</v>
      </c>
      <c r="C101" s="19" t="s">
        <v>8</v>
      </c>
      <c r="D101" s="19" t="s">
        <v>1764</v>
      </c>
      <c r="E101" s="4">
        <v>0.7</v>
      </c>
      <c r="F101" s="42">
        <v>2.5</v>
      </c>
      <c r="G101" s="45">
        <v>250</v>
      </c>
      <c r="H101" s="22">
        <v>1.9</v>
      </c>
      <c r="I101" s="6">
        <f t="shared" si="1"/>
        <v>831.25</v>
      </c>
      <c r="J101" s="6" t="s">
        <v>717</v>
      </c>
      <c r="K101" s="17"/>
    </row>
    <row r="102" spans="1:11" ht="13.95" customHeight="1" x14ac:dyDescent="0.3">
      <c r="A102" s="3">
        <v>45758</v>
      </c>
      <c r="B102" s="3" t="s">
        <v>2388</v>
      </c>
      <c r="C102" s="19" t="s">
        <v>11</v>
      </c>
      <c r="D102" s="19" t="s">
        <v>1764</v>
      </c>
      <c r="E102" s="4">
        <v>0.75</v>
      </c>
      <c r="F102" s="42">
        <v>2.7</v>
      </c>
      <c r="G102" s="45">
        <v>250</v>
      </c>
      <c r="H102" s="22">
        <v>1.9</v>
      </c>
      <c r="I102" s="6">
        <f t="shared" si="1"/>
        <v>961.87500000000011</v>
      </c>
      <c r="J102" s="6" t="s">
        <v>97</v>
      </c>
      <c r="K102" s="17"/>
    </row>
    <row r="103" spans="1:11" ht="13.95" customHeight="1" x14ac:dyDescent="0.3">
      <c r="A103" s="3">
        <v>45759</v>
      </c>
      <c r="B103" s="3" t="s">
        <v>2388</v>
      </c>
      <c r="C103" s="19" t="s">
        <v>13</v>
      </c>
      <c r="D103" s="19" t="s">
        <v>14</v>
      </c>
      <c r="E103" s="4">
        <v>0.85</v>
      </c>
      <c r="F103" s="42">
        <v>3.65</v>
      </c>
      <c r="G103" s="45">
        <v>250</v>
      </c>
      <c r="H103" s="22">
        <v>1.9</v>
      </c>
      <c r="I103" s="6">
        <f t="shared" si="1"/>
        <v>1473.6875</v>
      </c>
      <c r="J103" s="6" t="s">
        <v>2295</v>
      </c>
      <c r="K103" s="17"/>
    </row>
    <row r="104" spans="1:11" ht="13.95" customHeight="1" x14ac:dyDescent="0.3">
      <c r="A104" s="3">
        <v>45760</v>
      </c>
      <c r="B104" s="3" t="s">
        <v>2388</v>
      </c>
      <c r="C104" s="19" t="s">
        <v>16</v>
      </c>
      <c r="D104" s="19" t="s">
        <v>14</v>
      </c>
      <c r="E104" s="4">
        <v>0.8</v>
      </c>
      <c r="F104" s="42">
        <v>3.2</v>
      </c>
      <c r="G104" s="45">
        <v>250</v>
      </c>
      <c r="H104" s="22">
        <v>1.9</v>
      </c>
      <c r="I104" s="6">
        <f t="shared" si="1"/>
        <v>1216</v>
      </c>
      <c r="J104" s="6" t="s">
        <v>69</v>
      </c>
      <c r="K104" s="17"/>
    </row>
    <row r="105" spans="1:11" ht="13.95" customHeight="1" x14ac:dyDescent="0.3">
      <c r="A105" s="3">
        <v>45761</v>
      </c>
      <c r="B105" s="3" t="s">
        <v>2388</v>
      </c>
      <c r="C105" s="19" t="s">
        <v>18</v>
      </c>
      <c r="D105" s="19" t="s">
        <v>1764</v>
      </c>
      <c r="E105" s="4">
        <v>0.7</v>
      </c>
      <c r="F105" s="42">
        <v>2.5</v>
      </c>
      <c r="G105" s="45">
        <v>250</v>
      </c>
      <c r="H105" s="22">
        <v>1.9</v>
      </c>
      <c r="I105" s="6">
        <f t="shared" si="1"/>
        <v>831.25</v>
      </c>
      <c r="J105" s="6" t="s">
        <v>88</v>
      </c>
      <c r="K105" s="17"/>
    </row>
    <row r="106" spans="1:11" ht="13.95" customHeight="1" x14ac:dyDescent="0.3">
      <c r="A106" s="3">
        <v>45762</v>
      </c>
      <c r="B106" s="3" t="s">
        <v>2388</v>
      </c>
      <c r="C106" s="19" t="s">
        <v>20</v>
      </c>
      <c r="D106" s="19" t="s">
        <v>658</v>
      </c>
      <c r="E106" s="4">
        <v>0.8</v>
      </c>
      <c r="F106" s="42">
        <v>2.6</v>
      </c>
      <c r="G106" s="45">
        <v>250</v>
      </c>
      <c r="H106" s="22">
        <v>1.9</v>
      </c>
      <c r="I106" s="6">
        <f t="shared" si="1"/>
        <v>988</v>
      </c>
      <c r="J106" s="6" t="s">
        <v>2323</v>
      </c>
      <c r="K106" s="17"/>
    </row>
    <row r="107" spans="1:11" ht="13.95" customHeight="1" x14ac:dyDescent="0.3">
      <c r="A107" s="3">
        <v>45763</v>
      </c>
      <c r="B107" s="3" t="s">
        <v>2388</v>
      </c>
      <c r="C107" s="19" t="s">
        <v>5</v>
      </c>
      <c r="D107" s="19" t="s">
        <v>658</v>
      </c>
      <c r="E107" s="4">
        <v>0.8</v>
      </c>
      <c r="F107" s="42">
        <v>2.6</v>
      </c>
      <c r="G107" s="45">
        <v>250</v>
      </c>
      <c r="H107" s="22">
        <v>1.9</v>
      </c>
      <c r="I107" s="6">
        <f t="shared" si="1"/>
        <v>988</v>
      </c>
      <c r="J107" s="6" t="s">
        <v>2201</v>
      </c>
      <c r="K107" s="17"/>
    </row>
    <row r="108" spans="1:11" ht="13.95" customHeight="1" x14ac:dyDescent="0.3">
      <c r="A108" s="3">
        <v>45764</v>
      </c>
      <c r="B108" s="3" t="s">
        <v>2388</v>
      </c>
      <c r="C108" s="19" t="s">
        <v>8</v>
      </c>
      <c r="D108" s="19" t="s">
        <v>658</v>
      </c>
      <c r="E108" s="4">
        <v>0.85</v>
      </c>
      <c r="F108" s="42">
        <v>2.7</v>
      </c>
      <c r="G108" s="45">
        <v>250</v>
      </c>
      <c r="H108" s="22">
        <v>1.9</v>
      </c>
      <c r="I108" s="6">
        <f t="shared" si="1"/>
        <v>1090.125</v>
      </c>
      <c r="J108" s="6" t="s">
        <v>2324</v>
      </c>
      <c r="K108" s="17"/>
    </row>
    <row r="109" spans="1:11" ht="13.95" customHeight="1" x14ac:dyDescent="0.3">
      <c r="A109" s="3">
        <v>45765</v>
      </c>
      <c r="B109" s="3" t="s">
        <v>2388</v>
      </c>
      <c r="C109" s="19" t="s">
        <v>11</v>
      </c>
      <c r="D109" s="19" t="s">
        <v>658</v>
      </c>
      <c r="E109" s="4">
        <v>0.9</v>
      </c>
      <c r="F109" s="42">
        <v>2.95</v>
      </c>
      <c r="G109" s="45">
        <v>250</v>
      </c>
      <c r="H109" s="22">
        <v>1.9</v>
      </c>
      <c r="I109" s="6">
        <f t="shared" si="1"/>
        <v>1261.125</v>
      </c>
      <c r="J109" s="6" t="s">
        <v>2325</v>
      </c>
      <c r="K109" s="17"/>
    </row>
    <row r="110" spans="1:11" ht="13.95" customHeight="1" x14ac:dyDescent="0.3">
      <c r="A110" s="3">
        <v>45766</v>
      </c>
      <c r="B110" s="3" t="s">
        <v>2388</v>
      </c>
      <c r="C110" s="19" t="s">
        <v>13</v>
      </c>
      <c r="D110" s="19" t="s">
        <v>658</v>
      </c>
      <c r="E110" s="4">
        <v>1</v>
      </c>
      <c r="F110" s="42">
        <v>3.8</v>
      </c>
      <c r="G110" s="45">
        <v>250</v>
      </c>
      <c r="H110" s="22">
        <v>1.9</v>
      </c>
      <c r="I110" s="6">
        <f t="shared" si="1"/>
        <v>1805</v>
      </c>
      <c r="J110" s="6" t="s">
        <v>2326</v>
      </c>
      <c r="K110" s="17"/>
    </row>
    <row r="111" spans="1:11" ht="13.95" customHeight="1" x14ac:dyDescent="0.3">
      <c r="A111" s="3">
        <v>45767</v>
      </c>
      <c r="B111" s="3" t="s">
        <v>2388</v>
      </c>
      <c r="C111" s="19" t="s">
        <v>16</v>
      </c>
      <c r="D111" s="19" t="s">
        <v>1774</v>
      </c>
      <c r="E111" s="4">
        <v>1</v>
      </c>
      <c r="F111" s="42">
        <v>4.3</v>
      </c>
      <c r="G111" s="45">
        <v>250</v>
      </c>
      <c r="H111" s="22">
        <v>1.9</v>
      </c>
      <c r="I111" s="6">
        <f t="shared" si="1"/>
        <v>2042.5</v>
      </c>
      <c r="J111" s="6" t="s">
        <v>2327</v>
      </c>
      <c r="K111" s="17"/>
    </row>
    <row r="112" spans="1:11" ht="13.95" customHeight="1" x14ac:dyDescent="0.3">
      <c r="A112" s="3">
        <v>45768</v>
      </c>
      <c r="B112" s="3" t="s">
        <v>2388</v>
      </c>
      <c r="C112" s="19" t="s">
        <v>18</v>
      </c>
      <c r="D112" s="19" t="s">
        <v>658</v>
      </c>
      <c r="E112" s="4">
        <v>0.95</v>
      </c>
      <c r="F112" s="42">
        <v>3</v>
      </c>
      <c r="G112" s="45">
        <v>250</v>
      </c>
      <c r="H112" s="22">
        <v>1.9</v>
      </c>
      <c r="I112" s="6">
        <f t="shared" si="1"/>
        <v>1353.75</v>
      </c>
      <c r="J112" s="6" t="s">
        <v>2228</v>
      </c>
      <c r="K112" s="17"/>
    </row>
    <row r="113" spans="1:11" ht="13.95" customHeight="1" x14ac:dyDescent="0.3">
      <c r="A113" s="3">
        <v>45769</v>
      </c>
      <c r="B113" s="3" t="s">
        <v>2388</v>
      </c>
      <c r="C113" s="19" t="s">
        <v>20</v>
      </c>
      <c r="D113" s="19" t="s">
        <v>658</v>
      </c>
      <c r="E113" s="4">
        <v>0.85</v>
      </c>
      <c r="F113" s="42">
        <v>2.65</v>
      </c>
      <c r="G113" s="45">
        <v>250</v>
      </c>
      <c r="H113" s="22">
        <v>1.9</v>
      </c>
      <c r="I113" s="6">
        <f t="shared" si="1"/>
        <v>1069.9375</v>
      </c>
      <c r="J113" s="6" t="s">
        <v>2320</v>
      </c>
      <c r="K113" s="17"/>
    </row>
    <row r="114" spans="1:11" ht="13.95" customHeight="1" x14ac:dyDescent="0.3">
      <c r="A114" s="3">
        <v>45770</v>
      </c>
      <c r="B114" s="3" t="s">
        <v>2388</v>
      </c>
      <c r="C114" s="19" t="s">
        <v>5</v>
      </c>
      <c r="D114" s="19" t="s">
        <v>658</v>
      </c>
      <c r="E114" s="4">
        <v>0.85</v>
      </c>
      <c r="F114" s="42">
        <v>2.65</v>
      </c>
      <c r="G114" s="45">
        <v>250</v>
      </c>
      <c r="H114" s="22">
        <v>1.9</v>
      </c>
      <c r="I114" s="6">
        <f t="shared" si="1"/>
        <v>1069.9375</v>
      </c>
      <c r="J114" s="6" t="s">
        <v>88</v>
      </c>
      <c r="K114" s="17"/>
    </row>
    <row r="115" spans="1:11" ht="13.95" customHeight="1" x14ac:dyDescent="0.3">
      <c r="A115" s="3">
        <v>45771</v>
      </c>
      <c r="B115" s="3" t="s">
        <v>2388</v>
      </c>
      <c r="C115" s="19" t="s">
        <v>8</v>
      </c>
      <c r="D115" s="19" t="s">
        <v>658</v>
      </c>
      <c r="E115" s="4">
        <v>0.8</v>
      </c>
      <c r="F115" s="42">
        <v>2.6</v>
      </c>
      <c r="G115" s="45">
        <v>250</v>
      </c>
      <c r="H115" s="22">
        <v>1.9</v>
      </c>
      <c r="I115" s="6">
        <f t="shared" si="1"/>
        <v>988</v>
      </c>
      <c r="J115" s="6" t="s">
        <v>88</v>
      </c>
      <c r="K115" s="17"/>
    </row>
    <row r="116" spans="1:11" ht="13.95" customHeight="1" x14ac:dyDescent="0.3">
      <c r="A116" s="3">
        <v>45772</v>
      </c>
      <c r="B116" s="3" t="s">
        <v>2388</v>
      </c>
      <c r="C116" s="19" t="s">
        <v>11</v>
      </c>
      <c r="D116" s="19" t="s">
        <v>14</v>
      </c>
      <c r="E116" s="4">
        <v>0.85</v>
      </c>
      <c r="F116" s="42">
        <v>3.05</v>
      </c>
      <c r="G116" s="45">
        <v>250</v>
      </c>
      <c r="H116" s="22">
        <v>1.9</v>
      </c>
      <c r="I116" s="6">
        <f t="shared" si="1"/>
        <v>1231.4375</v>
      </c>
      <c r="J116" s="6" t="s">
        <v>282</v>
      </c>
      <c r="K116" s="17"/>
    </row>
    <row r="117" spans="1:11" ht="13.95" customHeight="1" x14ac:dyDescent="0.3">
      <c r="A117" s="3">
        <v>45773</v>
      </c>
      <c r="B117" s="3" t="s">
        <v>2388</v>
      </c>
      <c r="C117" s="19" t="s">
        <v>13</v>
      </c>
      <c r="D117" s="19" t="s">
        <v>14</v>
      </c>
      <c r="E117" s="4">
        <v>0.9</v>
      </c>
      <c r="F117" s="42">
        <v>3.7</v>
      </c>
      <c r="G117" s="45">
        <v>250</v>
      </c>
      <c r="H117" s="22">
        <v>1.9</v>
      </c>
      <c r="I117" s="6">
        <f t="shared" si="1"/>
        <v>1581.75</v>
      </c>
      <c r="J117" s="6" t="s">
        <v>2307</v>
      </c>
      <c r="K117" s="17"/>
    </row>
    <row r="118" spans="1:11" ht="13.95" customHeight="1" x14ac:dyDescent="0.3">
      <c r="A118" s="3">
        <v>45774</v>
      </c>
      <c r="B118" s="3" t="s">
        <v>2388</v>
      </c>
      <c r="C118" s="19" t="s">
        <v>16</v>
      </c>
      <c r="D118" s="19" t="s">
        <v>14</v>
      </c>
      <c r="E118" s="4">
        <v>0.85</v>
      </c>
      <c r="F118" s="42">
        <v>3.3</v>
      </c>
      <c r="G118" s="45">
        <v>250</v>
      </c>
      <c r="H118" s="22">
        <v>1.9</v>
      </c>
      <c r="I118" s="6">
        <f t="shared" si="1"/>
        <v>1332.375</v>
      </c>
      <c r="J118" s="6" t="s">
        <v>69</v>
      </c>
      <c r="K118" s="17"/>
    </row>
    <row r="119" spans="1:11" ht="13.95" customHeight="1" x14ac:dyDescent="0.3">
      <c r="A119" s="3">
        <v>45775</v>
      </c>
      <c r="B119" s="3" t="s">
        <v>2388</v>
      </c>
      <c r="C119" s="19" t="s">
        <v>18</v>
      </c>
      <c r="D119" s="19" t="s">
        <v>1764</v>
      </c>
      <c r="E119" s="4">
        <v>0.7</v>
      </c>
      <c r="F119" s="42">
        <v>2.5</v>
      </c>
      <c r="G119" s="45">
        <v>250</v>
      </c>
      <c r="H119" s="22">
        <v>1.9</v>
      </c>
      <c r="I119" s="6">
        <f t="shared" si="1"/>
        <v>831.25</v>
      </c>
      <c r="J119" s="6" t="s">
        <v>2219</v>
      </c>
      <c r="K119" s="17"/>
    </row>
    <row r="120" spans="1:11" ht="13.95" customHeight="1" x14ac:dyDescent="0.3">
      <c r="A120" s="3">
        <v>45776</v>
      </c>
      <c r="B120" s="3" t="s">
        <v>2388</v>
      </c>
      <c r="C120" s="19" t="s">
        <v>20</v>
      </c>
      <c r="D120" s="19" t="s">
        <v>1764</v>
      </c>
      <c r="E120" s="4">
        <v>0.65</v>
      </c>
      <c r="F120" s="42">
        <v>2.4500000000000002</v>
      </c>
      <c r="G120" s="45">
        <v>250</v>
      </c>
      <c r="H120" s="22">
        <v>1.9</v>
      </c>
      <c r="I120" s="6">
        <f t="shared" si="1"/>
        <v>756.43750000000011</v>
      </c>
      <c r="J120" s="6" t="s">
        <v>88</v>
      </c>
      <c r="K120" s="17"/>
    </row>
    <row r="121" spans="1:11" ht="13.95" customHeight="1" x14ac:dyDescent="0.3">
      <c r="A121" s="3">
        <v>45777</v>
      </c>
      <c r="B121" s="3" t="s">
        <v>2388</v>
      </c>
      <c r="C121" s="19" t="s">
        <v>5</v>
      </c>
      <c r="D121" s="19" t="s">
        <v>1764</v>
      </c>
      <c r="E121" s="4">
        <v>0.75</v>
      </c>
      <c r="F121" s="42">
        <v>2.7</v>
      </c>
      <c r="G121" s="45">
        <v>250</v>
      </c>
      <c r="H121" s="22">
        <v>1.9</v>
      </c>
      <c r="I121" s="6">
        <f t="shared" si="1"/>
        <v>961.87500000000011</v>
      </c>
      <c r="J121" s="6" t="s">
        <v>2328</v>
      </c>
      <c r="K121" s="17"/>
    </row>
    <row r="122" spans="1:11" ht="13.95" customHeight="1" x14ac:dyDescent="0.3">
      <c r="A122" s="3">
        <v>45778</v>
      </c>
      <c r="B122" s="3" t="s">
        <v>2388</v>
      </c>
      <c r="C122" s="19" t="s">
        <v>8</v>
      </c>
      <c r="D122" s="19" t="s">
        <v>705</v>
      </c>
      <c r="E122" s="4">
        <v>0.85</v>
      </c>
      <c r="F122" s="42">
        <v>3.25</v>
      </c>
      <c r="G122" s="45">
        <v>250</v>
      </c>
      <c r="H122" s="22">
        <v>1.9</v>
      </c>
      <c r="I122" s="6">
        <f t="shared" si="1"/>
        <v>1312.1875</v>
      </c>
      <c r="J122" s="6" t="s">
        <v>2329</v>
      </c>
      <c r="K122" s="17"/>
    </row>
    <row r="123" spans="1:11" ht="13.95" customHeight="1" x14ac:dyDescent="0.3">
      <c r="A123" s="3">
        <v>45779</v>
      </c>
      <c r="B123" s="3" t="s">
        <v>2388</v>
      </c>
      <c r="C123" s="19" t="s">
        <v>11</v>
      </c>
      <c r="D123" s="19" t="s">
        <v>229</v>
      </c>
      <c r="E123" s="4">
        <v>0.8</v>
      </c>
      <c r="F123" s="42">
        <v>2.75</v>
      </c>
      <c r="G123" s="45">
        <v>250</v>
      </c>
      <c r="H123" s="22">
        <v>1.9</v>
      </c>
      <c r="I123" s="6">
        <f t="shared" si="1"/>
        <v>1045</v>
      </c>
      <c r="J123" s="6" t="s">
        <v>197</v>
      </c>
      <c r="K123" s="17"/>
    </row>
    <row r="124" spans="1:11" ht="13.95" customHeight="1" x14ac:dyDescent="0.3">
      <c r="A124" s="3">
        <v>45780</v>
      </c>
      <c r="B124" s="3" t="s">
        <v>2388</v>
      </c>
      <c r="C124" s="19" t="s">
        <v>13</v>
      </c>
      <c r="D124" s="19" t="s">
        <v>14</v>
      </c>
      <c r="E124" s="4">
        <v>0.8</v>
      </c>
      <c r="F124" s="42">
        <v>3.6</v>
      </c>
      <c r="G124" s="45">
        <v>250</v>
      </c>
      <c r="H124" s="22">
        <v>1.9</v>
      </c>
      <c r="I124" s="6">
        <f t="shared" si="1"/>
        <v>1368</v>
      </c>
      <c r="J124" s="6" t="s">
        <v>2290</v>
      </c>
      <c r="K124" s="17"/>
    </row>
    <row r="125" spans="1:11" ht="13.95" customHeight="1" x14ac:dyDescent="0.3">
      <c r="A125" s="3">
        <v>45781</v>
      </c>
      <c r="B125" s="3" t="s">
        <v>2388</v>
      </c>
      <c r="C125" s="19" t="s">
        <v>16</v>
      </c>
      <c r="D125" s="19" t="s">
        <v>14</v>
      </c>
      <c r="E125" s="4">
        <v>0.75</v>
      </c>
      <c r="F125" s="42">
        <v>3.2</v>
      </c>
      <c r="G125" s="45">
        <v>250</v>
      </c>
      <c r="H125" s="22">
        <v>1.9</v>
      </c>
      <c r="I125" s="6">
        <f t="shared" si="1"/>
        <v>1140</v>
      </c>
      <c r="J125" s="6" t="s">
        <v>2297</v>
      </c>
      <c r="K125" s="17"/>
    </row>
    <row r="126" spans="1:11" ht="13.95" customHeight="1" x14ac:dyDescent="0.3">
      <c r="A126" s="3">
        <v>45782</v>
      </c>
      <c r="B126" s="3" t="s">
        <v>2388</v>
      </c>
      <c r="C126" s="19" t="s">
        <v>18</v>
      </c>
      <c r="D126" s="19" t="s">
        <v>9</v>
      </c>
      <c r="E126" s="4">
        <v>0.65</v>
      </c>
      <c r="F126" s="42">
        <v>2.4</v>
      </c>
      <c r="G126" s="45">
        <v>250</v>
      </c>
      <c r="H126" s="22">
        <v>1.9</v>
      </c>
      <c r="I126" s="6">
        <f t="shared" si="1"/>
        <v>741</v>
      </c>
      <c r="J126" s="6" t="s">
        <v>2319</v>
      </c>
      <c r="K126" s="17"/>
    </row>
    <row r="127" spans="1:11" ht="13.95" customHeight="1" x14ac:dyDescent="0.3">
      <c r="A127" s="3">
        <v>45783</v>
      </c>
      <c r="B127" s="3" t="s">
        <v>2388</v>
      </c>
      <c r="C127" s="19" t="s">
        <v>20</v>
      </c>
      <c r="D127" s="19" t="s">
        <v>9</v>
      </c>
      <c r="E127" s="4">
        <v>0.65</v>
      </c>
      <c r="F127" s="42">
        <v>2.4</v>
      </c>
      <c r="G127" s="45">
        <v>250</v>
      </c>
      <c r="H127" s="22">
        <v>1.9</v>
      </c>
      <c r="I127" s="6">
        <f t="shared" si="1"/>
        <v>741</v>
      </c>
      <c r="J127" s="6" t="s">
        <v>2320</v>
      </c>
      <c r="K127" s="17"/>
    </row>
    <row r="128" spans="1:11" ht="13.95" customHeight="1" x14ac:dyDescent="0.3">
      <c r="A128" s="3">
        <v>45784</v>
      </c>
      <c r="B128" s="3" t="s">
        <v>2388</v>
      </c>
      <c r="C128" s="19" t="s">
        <v>5</v>
      </c>
      <c r="D128" s="19" t="s">
        <v>9</v>
      </c>
      <c r="E128" s="4">
        <v>0.7</v>
      </c>
      <c r="F128" s="42">
        <v>2.4500000000000002</v>
      </c>
      <c r="G128" s="45">
        <v>250</v>
      </c>
      <c r="H128" s="22">
        <v>1.9</v>
      </c>
      <c r="I128" s="6">
        <f t="shared" si="1"/>
        <v>814.62500000000011</v>
      </c>
      <c r="J128" s="6" t="s">
        <v>717</v>
      </c>
      <c r="K128" s="17"/>
    </row>
    <row r="129" spans="1:11" ht="13.95" customHeight="1" x14ac:dyDescent="0.3">
      <c r="A129" s="3">
        <v>45785</v>
      </c>
      <c r="B129" s="3" t="s">
        <v>2388</v>
      </c>
      <c r="C129" s="19" t="s">
        <v>8</v>
      </c>
      <c r="D129" s="19" t="s">
        <v>9</v>
      </c>
      <c r="E129" s="4">
        <v>0.75</v>
      </c>
      <c r="F129" s="42">
        <v>2.5</v>
      </c>
      <c r="G129" s="45">
        <v>250</v>
      </c>
      <c r="H129" s="22">
        <v>1.9</v>
      </c>
      <c r="I129" s="6">
        <f t="shared" si="1"/>
        <v>890.625</v>
      </c>
      <c r="J129" s="6" t="s">
        <v>2330</v>
      </c>
      <c r="K129" s="17"/>
    </row>
    <row r="130" spans="1:11" ht="13.95" customHeight="1" x14ac:dyDescent="0.3">
      <c r="A130" s="3">
        <v>45786</v>
      </c>
      <c r="B130" s="3" t="s">
        <v>2388</v>
      </c>
      <c r="C130" s="19" t="s">
        <v>11</v>
      </c>
      <c r="D130" s="19" t="s">
        <v>9</v>
      </c>
      <c r="E130" s="4">
        <v>0.8</v>
      </c>
      <c r="F130" s="42">
        <v>2.7</v>
      </c>
      <c r="G130" s="45">
        <v>250</v>
      </c>
      <c r="H130" s="22">
        <v>1.9</v>
      </c>
      <c r="I130" s="6">
        <f t="shared" ref="I130:I193" si="2">(G130*E130)*F130*H130</f>
        <v>1026</v>
      </c>
      <c r="J130" s="6" t="s">
        <v>97</v>
      </c>
      <c r="K130" s="17"/>
    </row>
    <row r="131" spans="1:11" ht="13.95" customHeight="1" x14ac:dyDescent="0.3">
      <c r="A131" s="3">
        <v>45787</v>
      </c>
      <c r="B131" s="3" t="s">
        <v>2388</v>
      </c>
      <c r="C131" s="19" t="s">
        <v>13</v>
      </c>
      <c r="D131" s="19" t="s">
        <v>14</v>
      </c>
      <c r="E131" s="4">
        <v>0.9</v>
      </c>
      <c r="F131" s="42">
        <v>3.75</v>
      </c>
      <c r="G131" s="45">
        <v>250</v>
      </c>
      <c r="H131" s="22">
        <v>1.9</v>
      </c>
      <c r="I131" s="6">
        <f t="shared" si="2"/>
        <v>1603.125</v>
      </c>
      <c r="J131" s="6" t="s">
        <v>2331</v>
      </c>
      <c r="K131" s="17"/>
    </row>
    <row r="132" spans="1:11" ht="13.95" customHeight="1" x14ac:dyDescent="0.3">
      <c r="A132" s="3">
        <v>45788</v>
      </c>
      <c r="B132" s="3" t="s">
        <v>2388</v>
      </c>
      <c r="C132" s="19" t="s">
        <v>16</v>
      </c>
      <c r="D132" s="19" t="s">
        <v>14</v>
      </c>
      <c r="E132" s="4">
        <v>0.85</v>
      </c>
      <c r="F132" s="42">
        <v>3.35</v>
      </c>
      <c r="G132" s="45">
        <v>250</v>
      </c>
      <c r="H132" s="22">
        <v>1.9</v>
      </c>
      <c r="I132" s="6">
        <f t="shared" si="2"/>
        <v>1352.5625</v>
      </c>
      <c r="J132" s="6" t="s">
        <v>159</v>
      </c>
      <c r="K132" s="17"/>
    </row>
    <row r="133" spans="1:11" ht="13.95" customHeight="1" x14ac:dyDescent="0.3">
      <c r="A133" s="3">
        <v>45789</v>
      </c>
      <c r="B133" s="3" t="s">
        <v>2388</v>
      </c>
      <c r="C133" s="19" t="s">
        <v>18</v>
      </c>
      <c r="D133" s="19" t="s">
        <v>9</v>
      </c>
      <c r="E133" s="4">
        <v>0.7</v>
      </c>
      <c r="F133" s="42">
        <v>2.4</v>
      </c>
      <c r="G133" s="45">
        <v>250</v>
      </c>
      <c r="H133" s="22">
        <v>1.9</v>
      </c>
      <c r="I133" s="6">
        <f t="shared" si="2"/>
        <v>798</v>
      </c>
      <c r="J133" s="6" t="s">
        <v>88</v>
      </c>
      <c r="K133" s="17"/>
    </row>
    <row r="134" spans="1:11" ht="13.95" customHeight="1" x14ac:dyDescent="0.3">
      <c r="A134" s="3">
        <v>45790</v>
      </c>
      <c r="B134" s="3" t="s">
        <v>2388</v>
      </c>
      <c r="C134" s="19" t="s">
        <v>20</v>
      </c>
      <c r="D134" s="19" t="s">
        <v>9</v>
      </c>
      <c r="E134" s="4">
        <v>0.7</v>
      </c>
      <c r="F134" s="42">
        <v>2.4</v>
      </c>
      <c r="G134" s="45">
        <v>250</v>
      </c>
      <c r="H134" s="22">
        <v>1.9</v>
      </c>
      <c r="I134" s="6">
        <f t="shared" si="2"/>
        <v>798</v>
      </c>
      <c r="J134" s="6" t="s">
        <v>88</v>
      </c>
      <c r="K134" s="17"/>
    </row>
    <row r="135" spans="1:11" ht="13.95" customHeight="1" x14ac:dyDescent="0.3">
      <c r="A135" s="3">
        <v>45791</v>
      </c>
      <c r="B135" s="3" t="s">
        <v>2388</v>
      </c>
      <c r="C135" s="19" t="s">
        <v>5</v>
      </c>
      <c r="D135" s="19" t="s">
        <v>9</v>
      </c>
      <c r="E135" s="4">
        <v>0.75</v>
      </c>
      <c r="F135" s="42">
        <v>2.4500000000000002</v>
      </c>
      <c r="G135" s="45">
        <v>250</v>
      </c>
      <c r="H135" s="22">
        <v>1.9</v>
      </c>
      <c r="I135" s="6">
        <f t="shared" si="2"/>
        <v>872.81250000000011</v>
      </c>
      <c r="J135" s="6" t="s">
        <v>717</v>
      </c>
      <c r="K135" s="17"/>
    </row>
    <row r="136" spans="1:11" ht="13.95" customHeight="1" x14ac:dyDescent="0.3">
      <c r="A136" s="3">
        <v>45792</v>
      </c>
      <c r="B136" s="3" t="s">
        <v>2388</v>
      </c>
      <c r="C136" s="19" t="s">
        <v>8</v>
      </c>
      <c r="D136" s="19" t="s">
        <v>9</v>
      </c>
      <c r="E136" s="4">
        <v>0.75</v>
      </c>
      <c r="F136" s="42">
        <v>2.5499999999999998</v>
      </c>
      <c r="G136" s="45">
        <v>250</v>
      </c>
      <c r="H136" s="22">
        <v>1.9</v>
      </c>
      <c r="I136" s="6">
        <f t="shared" si="2"/>
        <v>908.43749999999989</v>
      </c>
      <c r="J136" s="6" t="s">
        <v>2332</v>
      </c>
      <c r="K136" s="17"/>
    </row>
    <row r="137" spans="1:11" ht="13.95" customHeight="1" x14ac:dyDescent="0.3">
      <c r="A137" s="3">
        <v>45793</v>
      </c>
      <c r="B137" s="3" t="s">
        <v>2388</v>
      </c>
      <c r="C137" s="19" t="s">
        <v>11</v>
      </c>
      <c r="D137" s="19" t="s">
        <v>9</v>
      </c>
      <c r="E137" s="4">
        <v>0.8</v>
      </c>
      <c r="F137" s="42">
        <v>2.8</v>
      </c>
      <c r="G137" s="45">
        <v>250</v>
      </c>
      <c r="H137" s="22">
        <v>1.9</v>
      </c>
      <c r="I137" s="6">
        <f t="shared" si="2"/>
        <v>1064</v>
      </c>
      <c r="J137" s="6" t="s">
        <v>282</v>
      </c>
      <c r="K137" s="17"/>
    </row>
    <row r="138" spans="1:11" ht="13.95" customHeight="1" x14ac:dyDescent="0.3">
      <c r="A138" s="3">
        <v>45794</v>
      </c>
      <c r="B138" s="3" t="s">
        <v>2388</v>
      </c>
      <c r="C138" s="19" t="s">
        <v>13</v>
      </c>
      <c r="D138" s="19" t="s">
        <v>14</v>
      </c>
      <c r="E138" s="4">
        <v>0.85</v>
      </c>
      <c r="F138" s="42">
        <v>3.85</v>
      </c>
      <c r="G138" s="45">
        <v>250</v>
      </c>
      <c r="H138" s="22">
        <v>1.9</v>
      </c>
      <c r="I138" s="6">
        <f t="shared" si="2"/>
        <v>1554.4375</v>
      </c>
      <c r="J138" s="6" t="s">
        <v>2333</v>
      </c>
      <c r="K138" s="17"/>
    </row>
    <row r="139" spans="1:11" ht="13.95" customHeight="1" x14ac:dyDescent="0.3">
      <c r="A139" s="3">
        <v>45795</v>
      </c>
      <c r="B139" s="3" t="s">
        <v>2388</v>
      </c>
      <c r="C139" s="19" t="s">
        <v>16</v>
      </c>
      <c r="D139" s="19" t="s">
        <v>14</v>
      </c>
      <c r="E139" s="4">
        <v>0.8</v>
      </c>
      <c r="F139" s="42">
        <v>3.35</v>
      </c>
      <c r="G139" s="45">
        <v>250</v>
      </c>
      <c r="H139" s="22">
        <v>1.9</v>
      </c>
      <c r="I139" s="6">
        <f t="shared" si="2"/>
        <v>1273</v>
      </c>
      <c r="J139" s="6" t="s">
        <v>69</v>
      </c>
      <c r="K139" s="17"/>
    </row>
    <row r="140" spans="1:11" ht="13.95" customHeight="1" x14ac:dyDescent="0.3">
      <c r="A140" s="3">
        <v>45796</v>
      </c>
      <c r="B140" s="3" t="s">
        <v>2388</v>
      </c>
      <c r="C140" s="19" t="s">
        <v>18</v>
      </c>
      <c r="D140" s="19" t="s">
        <v>9</v>
      </c>
      <c r="E140" s="4">
        <v>0.7</v>
      </c>
      <c r="F140" s="42">
        <v>2.4500000000000002</v>
      </c>
      <c r="G140" s="45">
        <v>250</v>
      </c>
      <c r="H140" s="22">
        <v>1.9</v>
      </c>
      <c r="I140" s="6">
        <f t="shared" si="2"/>
        <v>814.62500000000011</v>
      </c>
      <c r="J140" s="6" t="s">
        <v>88</v>
      </c>
      <c r="K140" s="17"/>
    </row>
    <row r="141" spans="1:11" ht="13.95" customHeight="1" x14ac:dyDescent="0.3">
      <c r="A141" s="3">
        <v>45797</v>
      </c>
      <c r="B141" s="3" t="s">
        <v>2388</v>
      </c>
      <c r="C141" s="19" t="s">
        <v>20</v>
      </c>
      <c r="D141" s="19" t="s">
        <v>9</v>
      </c>
      <c r="E141" s="4">
        <v>0.7</v>
      </c>
      <c r="F141" s="42">
        <v>2.4</v>
      </c>
      <c r="G141" s="45">
        <v>250</v>
      </c>
      <c r="H141" s="22">
        <v>1.9</v>
      </c>
      <c r="I141" s="6">
        <f t="shared" si="2"/>
        <v>798</v>
      </c>
      <c r="J141" s="6" t="s">
        <v>88</v>
      </c>
      <c r="K141" s="17"/>
    </row>
    <row r="142" spans="1:11" ht="13.95" customHeight="1" x14ac:dyDescent="0.3">
      <c r="A142" s="3">
        <v>45798</v>
      </c>
      <c r="B142" s="3" t="s">
        <v>2388</v>
      </c>
      <c r="C142" s="19" t="s">
        <v>5</v>
      </c>
      <c r="D142" s="19" t="s">
        <v>9</v>
      </c>
      <c r="E142" s="4">
        <v>0.75</v>
      </c>
      <c r="F142" s="42">
        <v>2.4500000000000002</v>
      </c>
      <c r="G142" s="45">
        <v>250</v>
      </c>
      <c r="H142" s="22">
        <v>1.9</v>
      </c>
      <c r="I142" s="6">
        <f t="shared" si="2"/>
        <v>872.81250000000011</v>
      </c>
      <c r="J142" s="6" t="s">
        <v>88</v>
      </c>
      <c r="K142" s="17"/>
    </row>
    <row r="143" spans="1:11" ht="13.95" customHeight="1" x14ac:dyDescent="0.3">
      <c r="A143" s="3">
        <v>45799</v>
      </c>
      <c r="B143" s="3" t="s">
        <v>2388</v>
      </c>
      <c r="C143" s="19" t="s">
        <v>8</v>
      </c>
      <c r="D143" s="19" t="s">
        <v>9</v>
      </c>
      <c r="E143" s="4">
        <v>0.8</v>
      </c>
      <c r="F143" s="42">
        <v>2.6</v>
      </c>
      <c r="G143" s="45">
        <v>250</v>
      </c>
      <c r="H143" s="22">
        <v>1.9</v>
      </c>
      <c r="I143" s="6">
        <f t="shared" si="2"/>
        <v>988</v>
      </c>
      <c r="J143" s="6" t="s">
        <v>2334</v>
      </c>
      <c r="K143" s="17"/>
    </row>
    <row r="144" spans="1:11" ht="13.95" customHeight="1" x14ac:dyDescent="0.3">
      <c r="A144" s="3">
        <v>45800</v>
      </c>
      <c r="B144" s="3" t="s">
        <v>2388</v>
      </c>
      <c r="C144" s="19" t="s">
        <v>11</v>
      </c>
      <c r="D144" s="19" t="s">
        <v>9</v>
      </c>
      <c r="E144" s="4">
        <v>0.85</v>
      </c>
      <c r="F144" s="42">
        <v>2.95</v>
      </c>
      <c r="G144" s="45">
        <v>250</v>
      </c>
      <c r="H144" s="22">
        <v>1.9</v>
      </c>
      <c r="I144" s="6">
        <f t="shared" si="2"/>
        <v>1191.0625</v>
      </c>
      <c r="J144" s="6" t="s">
        <v>2234</v>
      </c>
      <c r="K144" s="17"/>
    </row>
    <row r="145" spans="1:11" ht="13.95" customHeight="1" x14ac:dyDescent="0.3">
      <c r="A145" s="3">
        <v>45801</v>
      </c>
      <c r="B145" s="3" t="s">
        <v>2388</v>
      </c>
      <c r="C145" s="19" t="s">
        <v>13</v>
      </c>
      <c r="D145" s="19" t="s">
        <v>14</v>
      </c>
      <c r="E145" s="4">
        <v>0.95</v>
      </c>
      <c r="F145" s="42">
        <v>3.95</v>
      </c>
      <c r="G145" s="45">
        <v>250</v>
      </c>
      <c r="H145" s="22">
        <v>1.9</v>
      </c>
      <c r="I145" s="6">
        <f t="shared" si="2"/>
        <v>1782.4375</v>
      </c>
      <c r="J145" s="6" t="s">
        <v>2235</v>
      </c>
      <c r="K145" s="17"/>
    </row>
    <row r="146" spans="1:11" ht="13.95" customHeight="1" x14ac:dyDescent="0.3">
      <c r="A146" s="3">
        <v>45802</v>
      </c>
      <c r="B146" s="3" t="s">
        <v>2388</v>
      </c>
      <c r="C146" s="19" t="s">
        <v>16</v>
      </c>
      <c r="D146" s="19" t="s">
        <v>14</v>
      </c>
      <c r="E146" s="4">
        <v>0.95</v>
      </c>
      <c r="F146" s="42">
        <v>3.5</v>
      </c>
      <c r="G146" s="45">
        <v>250</v>
      </c>
      <c r="H146" s="22">
        <v>1.9</v>
      </c>
      <c r="I146" s="6">
        <f t="shared" si="2"/>
        <v>1579.375</v>
      </c>
      <c r="J146" s="6" t="s">
        <v>2236</v>
      </c>
      <c r="K146" s="17"/>
    </row>
    <row r="147" spans="1:11" ht="13.95" customHeight="1" x14ac:dyDescent="0.3">
      <c r="A147" s="3">
        <v>45803</v>
      </c>
      <c r="B147" s="3" t="s">
        <v>2388</v>
      </c>
      <c r="C147" s="19" t="s">
        <v>18</v>
      </c>
      <c r="D147" s="19" t="s">
        <v>9</v>
      </c>
      <c r="E147" s="4">
        <v>0.75</v>
      </c>
      <c r="F147" s="42">
        <v>2.4500000000000002</v>
      </c>
      <c r="G147" s="45">
        <v>250</v>
      </c>
      <c r="H147" s="22">
        <v>1.9</v>
      </c>
      <c r="I147" s="6">
        <f t="shared" si="2"/>
        <v>872.81250000000011</v>
      </c>
      <c r="J147" s="6" t="s">
        <v>88</v>
      </c>
      <c r="K147" s="17"/>
    </row>
    <row r="148" spans="1:11" ht="13.95" customHeight="1" x14ac:dyDescent="0.3">
      <c r="A148" s="3">
        <v>45804</v>
      </c>
      <c r="B148" s="3" t="s">
        <v>2388</v>
      </c>
      <c r="C148" s="19" t="s">
        <v>20</v>
      </c>
      <c r="D148" s="19" t="s">
        <v>9</v>
      </c>
      <c r="E148" s="4">
        <v>0.75</v>
      </c>
      <c r="F148" s="42">
        <v>2.4500000000000002</v>
      </c>
      <c r="G148" s="45">
        <v>250</v>
      </c>
      <c r="H148" s="22">
        <v>1.9</v>
      </c>
      <c r="I148" s="6">
        <f t="shared" si="2"/>
        <v>872.81250000000011</v>
      </c>
      <c r="J148" s="6" t="s">
        <v>88</v>
      </c>
      <c r="K148" s="17"/>
    </row>
    <row r="149" spans="1:11" ht="13.95" customHeight="1" x14ac:dyDescent="0.3">
      <c r="A149" s="3">
        <v>45805</v>
      </c>
      <c r="B149" s="3" t="s">
        <v>2388</v>
      </c>
      <c r="C149" s="19" t="s">
        <v>5</v>
      </c>
      <c r="D149" s="19" t="s">
        <v>9</v>
      </c>
      <c r="E149" s="4">
        <v>0.8</v>
      </c>
      <c r="F149" s="42">
        <v>2.5</v>
      </c>
      <c r="G149" s="45">
        <v>250</v>
      </c>
      <c r="H149" s="22">
        <v>1.9</v>
      </c>
      <c r="I149" s="6">
        <f t="shared" si="2"/>
        <v>950</v>
      </c>
      <c r="J149" s="6" t="s">
        <v>88</v>
      </c>
      <c r="K149" s="17"/>
    </row>
    <row r="150" spans="1:11" ht="13.95" customHeight="1" x14ac:dyDescent="0.3">
      <c r="A150" s="3">
        <v>45806</v>
      </c>
      <c r="B150" s="3" t="s">
        <v>2388</v>
      </c>
      <c r="C150" s="19" t="s">
        <v>8</v>
      </c>
      <c r="D150" s="19" t="s">
        <v>9</v>
      </c>
      <c r="E150" s="4">
        <v>0.85</v>
      </c>
      <c r="F150" s="42">
        <v>2.7</v>
      </c>
      <c r="G150" s="45">
        <v>250</v>
      </c>
      <c r="H150" s="22">
        <v>1.9</v>
      </c>
      <c r="I150" s="6">
        <f t="shared" si="2"/>
        <v>1090.125</v>
      </c>
      <c r="J150" s="6" t="s">
        <v>717</v>
      </c>
      <c r="K150" s="17"/>
    </row>
    <row r="151" spans="1:11" ht="13.95" customHeight="1" x14ac:dyDescent="0.3">
      <c r="A151" s="3">
        <v>45807</v>
      </c>
      <c r="B151" s="3" t="s">
        <v>2388</v>
      </c>
      <c r="C151" s="19" t="s">
        <v>11</v>
      </c>
      <c r="D151" s="19" t="s">
        <v>9</v>
      </c>
      <c r="E151" s="4">
        <v>0.9</v>
      </c>
      <c r="F151" s="42">
        <v>3.1</v>
      </c>
      <c r="G151" s="45">
        <v>250</v>
      </c>
      <c r="H151" s="22">
        <v>1.9</v>
      </c>
      <c r="I151" s="6">
        <f t="shared" si="2"/>
        <v>1325.25</v>
      </c>
      <c r="J151" s="6" t="s">
        <v>67</v>
      </c>
      <c r="K151" s="17"/>
    </row>
    <row r="152" spans="1:11" ht="13.95" customHeight="1" x14ac:dyDescent="0.3">
      <c r="A152" s="3">
        <v>45808</v>
      </c>
      <c r="B152" s="3" t="s">
        <v>2388</v>
      </c>
      <c r="C152" s="19" t="s">
        <v>13</v>
      </c>
      <c r="D152" s="19" t="s">
        <v>14</v>
      </c>
      <c r="E152" s="4">
        <v>0.95</v>
      </c>
      <c r="F152" s="42">
        <v>4.0999999999999996</v>
      </c>
      <c r="G152" s="45">
        <v>250</v>
      </c>
      <c r="H152" s="22">
        <v>1.9</v>
      </c>
      <c r="I152" s="6">
        <f t="shared" si="2"/>
        <v>1850.1249999999998</v>
      </c>
      <c r="J152" s="6" t="s">
        <v>2335</v>
      </c>
      <c r="K152" s="17"/>
    </row>
    <row r="153" spans="1:11" ht="13.95" customHeight="1" x14ac:dyDescent="0.3">
      <c r="A153" s="3" t="s">
        <v>333</v>
      </c>
      <c r="B153" s="3" t="s">
        <v>2388</v>
      </c>
      <c r="C153" s="19" t="s">
        <v>0</v>
      </c>
      <c r="D153" s="19" t="s">
        <v>1</v>
      </c>
      <c r="E153" s="4" t="s">
        <v>334</v>
      </c>
      <c r="F153" s="42" t="s">
        <v>335</v>
      </c>
      <c r="G153" s="45">
        <v>250</v>
      </c>
      <c r="H153" s="22">
        <v>1.9</v>
      </c>
      <c r="I153" s="6" t="e">
        <f t="shared" si="2"/>
        <v>#VALUE!</v>
      </c>
      <c r="J153" s="6" t="s">
        <v>4</v>
      </c>
      <c r="K153" s="17"/>
    </row>
    <row r="154" spans="1:11" ht="13.95" customHeight="1" x14ac:dyDescent="0.3">
      <c r="A154" s="3">
        <v>45809</v>
      </c>
      <c r="B154" s="3" t="s">
        <v>2388</v>
      </c>
      <c r="C154" s="19" t="s">
        <v>16</v>
      </c>
      <c r="D154" s="19" t="s">
        <v>14</v>
      </c>
      <c r="E154" s="4">
        <v>0.85</v>
      </c>
      <c r="F154" s="42">
        <v>3.35</v>
      </c>
      <c r="G154" s="45">
        <v>250</v>
      </c>
      <c r="H154" s="22">
        <v>1.9</v>
      </c>
      <c r="I154" s="6">
        <f t="shared" si="2"/>
        <v>1352.5625</v>
      </c>
      <c r="J154" s="6" t="s">
        <v>238</v>
      </c>
      <c r="K154" s="17"/>
    </row>
    <row r="155" spans="1:11" ht="13.95" customHeight="1" x14ac:dyDescent="0.3">
      <c r="A155" s="3">
        <v>45810</v>
      </c>
      <c r="B155" s="3" t="s">
        <v>2388</v>
      </c>
      <c r="C155" s="19" t="s">
        <v>18</v>
      </c>
      <c r="D155" s="19" t="s">
        <v>9</v>
      </c>
      <c r="E155" s="4">
        <v>0.75</v>
      </c>
      <c r="F155" s="42">
        <v>2.5</v>
      </c>
      <c r="G155" s="45">
        <v>250</v>
      </c>
      <c r="H155" s="22">
        <v>1.9</v>
      </c>
      <c r="I155" s="6">
        <f t="shared" si="2"/>
        <v>890.625</v>
      </c>
      <c r="J155" s="6" t="s">
        <v>1605</v>
      </c>
      <c r="K155" s="17"/>
    </row>
    <row r="156" spans="1:11" ht="13.95" customHeight="1" x14ac:dyDescent="0.3">
      <c r="A156" s="3">
        <v>45811</v>
      </c>
      <c r="B156" s="3" t="s">
        <v>2388</v>
      </c>
      <c r="C156" s="19" t="s">
        <v>20</v>
      </c>
      <c r="D156" s="19" t="s">
        <v>9</v>
      </c>
      <c r="E156" s="4">
        <v>0.75</v>
      </c>
      <c r="F156" s="42">
        <v>2.5</v>
      </c>
      <c r="G156" s="45">
        <v>250</v>
      </c>
      <c r="H156" s="22">
        <v>1.9</v>
      </c>
      <c r="I156" s="6">
        <f t="shared" si="2"/>
        <v>890.625</v>
      </c>
      <c r="J156" s="6" t="s">
        <v>1605</v>
      </c>
      <c r="K156" s="17"/>
    </row>
    <row r="157" spans="1:11" ht="13.95" customHeight="1" x14ac:dyDescent="0.3">
      <c r="A157" s="3">
        <v>45812</v>
      </c>
      <c r="B157" s="3" t="s">
        <v>2388</v>
      </c>
      <c r="C157" s="19" t="s">
        <v>5</v>
      </c>
      <c r="D157" s="19" t="s">
        <v>9</v>
      </c>
      <c r="E157" s="4">
        <v>0.8</v>
      </c>
      <c r="F157" s="42">
        <v>2.6</v>
      </c>
      <c r="G157" s="45">
        <v>250</v>
      </c>
      <c r="H157" s="22">
        <v>1.9</v>
      </c>
      <c r="I157" s="6">
        <f t="shared" si="2"/>
        <v>988</v>
      </c>
      <c r="J157" s="6" t="s">
        <v>1440</v>
      </c>
      <c r="K157" s="17"/>
    </row>
    <row r="158" spans="1:11" ht="13.95" customHeight="1" x14ac:dyDescent="0.3">
      <c r="A158" s="3">
        <v>45813</v>
      </c>
      <c r="B158" s="3" t="s">
        <v>2388</v>
      </c>
      <c r="C158" s="19" t="s">
        <v>8</v>
      </c>
      <c r="D158" s="19" t="s">
        <v>904</v>
      </c>
      <c r="E158" s="4">
        <v>0.9</v>
      </c>
      <c r="F158" s="42">
        <v>3.1</v>
      </c>
      <c r="G158" s="45">
        <v>250</v>
      </c>
      <c r="H158" s="22">
        <v>1.9</v>
      </c>
      <c r="I158" s="6">
        <f t="shared" si="2"/>
        <v>1325.25</v>
      </c>
      <c r="J158" s="6" t="s">
        <v>1266</v>
      </c>
      <c r="K158" s="17"/>
    </row>
    <row r="159" spans="1:11" ht="13.95" customHeight="1" x14ac:dyDescent="0.3">
      <c r="A159" s="3">
        <v>45814</v>
      </c>
      <c r="B159" s="3" t="s">
        <v>2388</v>
      </c>
      <c r="C159" s="19" t="s">
        <v>11</v>
      </c>
      <c r="D159" s="19" t="s">
        <v>1142</v>
      </c>
      <c r="E159" s="4">
        <v>1</v>
      </c>
      <c r="F159" s="42">
        <v>3.9</v>
      </c>
      <c r="G159" s="45">
        <v>250</v>
      </c>
      <c r="H159" s="22">
        <v>1.9</v>
      </c>
      <c r="I159" s="6">
        <f t="shared" si="2"/>
        <v>1852.5</v>
      </c>
      <c r="J159" s="6" t="s">
        <v>2336</v>
      </c>
      <c r="K159" s="17"/>
    </row>
    <row r="160" spans="1:11" ht="13.95" customHeight="1" x14ac:dyDescent="0.3">
      <c r="A160" s="3">
        <v>45815</v>
      </c>
      <c r="B160" s="3" t="s">
        <v>2388</v>
      </c>
      <c r="C160" s="19" t="s">
        <v>13</v>
      </c>
      <c r="D160" s="19" t="s">
        <v>1142</v>
      </c>
      <c r="E160" s="4">
        <v>1</v>
      </c>
      <c r="F160" s="42">
        <v>4.1500000000000004</v>
      </c>
      <c r="G160" s="45">
        <v>250</v>
      </c>
      <c r="H160" s="22">
        <v>1.9</v>
      </c>
      <c r="I160" s="6">
        <f t="shared" si="2"/>
        <v>1971.25</v>
      </c>
      <c r="J160" s="6" t="s">
        <v>2337</v>
      </c>
      <c r="K160" s="17"/>
    </row>
    <row r="161" spans="1:11" ht="13.95" customHeight="1" x14ac:dyDescent="0.3">
      <c r="A161" s="3">
        <v>45816</v>
      </c>
      <c r="B161" s="3" t="s">
        <v>2388</v>
      </c>
      <c r="C161" s="19" t="s">
        <v>16</v>
      </c>
      <c r="D161" s="19" t="s">
        <v>1344</v>
      </c>
      <c r="E161" s="4">
        <v>0.95</v>
      </c>
      <c r="F161" s="42">
        <v>3.55</v>
      </c>
      <c r="G161" s="45">
        <v>250</v>
      </c>
      <c r="H161" s="22">
        <v>1.9</v>
      </c>
      <c r="I161" s="6">
        <f t="shared" si="2"/>
        <v>1601.9375</v>
      </c>
      <c r="J161" s="6" t="s">
        <v>576</v>
      </c>
      <c r="K161" s="17"/>
    </row>
    <row r="162" spans="1:11" ht="13.95" customHeight="1" x14ac:dyDescent="0.3">
      <c r="A162" s="3">
        <v>45817</v>
      </c>
      <c r="B162" s="3" t="s">
        <v>2388</v>
      </c>
      <c r="C162" s="19" t="s">
        <v>18</v>
      </c>
      <c r="D162" s="19" t="s">
        <v>9</v>
      </c>
      <c r="E162" s="4">
        <v>0.8</v>
      </c>
      <c r="F162" s="42">
        <v>2.6</v>
      </c>
      <c r="G162" s="45">
        <v>250</v>
      </c>
      <c r="H162" s="22">
        <v>1.9</v>
      </c>
      <c r="I162" s="6">
        <f t="shared" si="2"/>
        <v>988</v>
      </c>
      <c r="J162" s="6" t="s">
        <v>460</v>
      </c>
      <c r="K162" s="17"/>
    </row>
    <row r="163" spans="1:11" ht="13.95" customHeight="1" x14ac:dyDescent="0.3">
      <c r="A163" s="3">
        <v>45818</v>
      </c>
      <c r="B163" s="3" t="s">
        <v>2388</v>
      </c>
      <c r="C163" s="19" t="s">
        <v>20</v>
      </c>
      <c r="D163" s="19" t="s">
        <v>9</v>
      </c>
      <c r="E163" s="4">
        <v>0.8</v>
      </c>
      <c r="F163" s="42">
        <v>2.5499999999999998</v>
      </c>
      <c r="G163" s="45">
        <v>250</v>
      </c>
      <c r="H163" s="22">
        <v>1.9</v>
      </c>
      <c r="I163" s="6">
        <f t="shared" si="2"/>
        <v>968.99999999999989</v>
      </c>
      <c r="J163" s="6" t="s">
        <v>2320</v>
      </c>
      <c r="K163" s="17"/>
    </row>
    <row r="164" spans="1:11" ht="13.95" customHeight="1" x14ac:dyDescent="0.3">
      <c r="A164" s="3">
        <v>45819</v>
      </c>
      <c r="B164" s="3" t="s">
        <v>2388</v>
      </c>
      <c r="C164" s="19" t="s">
        <v>5</v>
      </c>
      <c r="D164" s="19" t="s">
        <v>9</v>
      </c>
      <c r="E164" s="4">
        <v>0.85</v>
      </c>
      <c r="F164" s="42">
        <v>2.6</v>
      </c>
      <c r="G164" s="45">
        <v>250</v>
      </c>
      <c r="H164" s="22">
        <v>1.9</v>
      </c>
      <c r="I164" s="6">
        <f t="shared" si="2"/>
        <v>1049.75</v>
      </c>
      <c r="J164" s="6" t="s">
        <v>2320</v>
      </c>
      <c r="K164" s="17"/>
    </row>
    <row r="165" spans="1:11" ht="13.95" customHeight="1" x14ac:dyDescent="0.3">
      <c r="A165" s="3">
        <v>45820</v>
      </c>
      <c r="B165" s="3" t="s">
        <v>2388</v>
      </c>
      <c r="C165" s="19" t="s">
        <v>8</v>
      </c>
      <c r="D165" s="19" t="s">
        <v>9</v>
      </c>
      <c r="E165" s="4">
        <v>0.85</v>
      </c>
      <c r="F165" s="42">
        <v>2.65</v>
      </c>
      <c r="G165" s="45">
        <v>250</v>
      </c>
      <c r="H165" s="22">
        <v>1.9</v>
      </c>
      <c r="I165" s="6">
        <f t="shared" si="2"/>
        <v>1069.9375</v>
      </c>
      <c r="J165" s="6" t="s">
        <v>717</v>
      </c>
      <c r="K165" s="17"/>
    </row>
    <row r="166" spans="1:11" ht="13.95" customHeight="1" x14ac:dyDescent="0.3">
      <c r="A166" s="3">
        <v>45821</v>
      </c>
      <c r="B166" s="3" t="s">
        <v>2388</v>
      </c>
      <c r="C166" s="19" t="s">
        <v>11</v>
      </c>
      <c r="D166" s="19" t="s">
        <v>9</v>
      </c>
      <c r="E166" s="4">
        <v>0.9</v>
      </c>
      <c r="F166" s="42">
        <v>3</v>
      </c>
      <c r="G166" s="45">
        <v>250</v>
      </c>
      <c r="H166" s="22">
        <v>1.9</v>
      </c>
      <c r="I166" s="6">
        <f t="shared" si="2"/>
        <v>1282.5</v>
      </c>
      <c r="J166" s="6" t="s">
        <v>97</v>
      </c>
      <c r="K166" s="17"/>
    </row>
    <row r="167" spans="1:11" ht="13.95" customHeight="1" x14ac:dyDescent="0.3">
      <c r="A167" s="3">
        <v>45822</v>
      </c>
      <c r="B167" s="3" t="s">
        <v>2388</v>
      </c>
      <c r="C167" s="19" t="s">
        <v>13</v>
      </c>
      <c r="D167" s="19" t="s">
        <v>14</v>
      </c>
      <c r="E167" s="4">
        <v>1</v>
      </c>
      <c r="F167" s="42">
        <v>3.85</v>
      </c>
      <c r="G167" s="45">
        <v>250</v>
      </c>
      <c r="H167" s="22">
        <v>1.9</v>
      </c>
      <c r="I167" s="6">
        <f t="shared" si="2"/>
        <v>1828.75</v>
      </c>
      <c r="J167" s="6" t="s">
        <v>1811</v>
      </c>
      <c r="K167" s="17"/>
    </row>
    <row r="168" spans="1:11" ht="13.95" customHeight="1" x14ac:dyDescent="0.3">
      <c r="A168" s="3">
        <v>45823</v>
      </c>
      <c r="B168" s="3" t="s">
        <v>2388</v>
      </c>
      <c r="C168" s="19" t="s">
        <v>16</v>
      </c>
      <c r="D168" s="19" t="s">
        <v>14</v>
      </c>
      <c r="E168" s="4">
        <v>1</v>
      </c>
      <c r="F168" s="42">
        <v>3.45</v>
      </c>
      <c r="G168" s="45">
        <v>250</v>
      </c>
      <c r="H168" s="22">
        <v>1.9</v>
      </c>
      <c r="I168" s="6">
        <f t="shared" si="2"/>
        <v>1638.75</v>
      </c>
      <c r="J168" s="6" t="s">
        <v>2291</v>
      </c>
      <c r="K168" s="17"/>
    </row>
    <row r="169" spans="1:11" ht="13.95" customHeight="1" x14ac:dyDescent="0.3">
      <c r="A169" s="3">
        <v>45824</v>
      </c>
      <c r="B169" s="3" t="s">
        <v>2388</v>
      </c>
      <c r="C169" s="19" t="s">
        <v>18</v>
      </c>
      <c r="D169" s="19" t="s">
        <v>9</v>
      </c>
      <c r="E169" s="4">
        <v>0.85</v>
      </c>
      <c r="F169" s="42">
        <v>2.6</v>
      </c>
      <c r="G169" s="45">
        <v>250</v>
      </c>
      <c r="H169" s="22">
        <v>1.9</v>
      </c>
      <c r="I169" s="6">
        <f t="shared" si="2"/>
        <v>1049.75</v>
      </c>
      <c r="J169" s="6" t="s">
        <v>88</v>
      </c>
      <c r="K169" s="17"/>
    </row>
    <row r="170" spans="1:11" ht="13.95" customHeight="1" x14ac:dyDescent="0.3">
      <c r="A170" s="3">
        <v>45825</v>
      </c>
      <c r="B170" s="3" t="s">
        <v>2388</v>
      </c>
      <c r="C170" s="19" t="s">
        <v>20</v>
      </c>
      <c r="D170" s="19" t="s">
        <v>9</v>
      </c>
      <c r="E170" s="4">
        <v>0.85</v>
      </c>
      <c r="F170" s="42">
        <v>2.6</v>
      </c>
      <c r="G170" s="45">
        <v>250</v>
      </c>
      <c r="H170" s="22">
        <v>1.9</v>
      </c>
      <c r="I170" s="6">
        <f t="shared" si="2"/>
        <v>1049.75</v>
      </c>
      <c r="J170" s="6" t="s">
        <v>88</v>
      </c>
      <c r="K170" s="17"/>
    </row>
    <row r="171" spans="1:11" ht="13.95" customHeight="1" x14ac:dyDescent="0.3">
      <c r="A171" s="3">
        <v>45826</v>
      </c>
      <c r="B171" s="3" t="s">
        <v>2388</v>
      </c>
      <c r="C171" s="19" t="s">
        <v>5</v>
      </c>
      <c r="D171" s="19" t="s">
        <v>9</v>
      </c>
      <c r="E171" s="4">
        <v>0.9</v>
      </c>
      <c r="F171" s="42">
        <v>2.75</v>
      </c>
      <c r="G171" s="45">
        <v>250</v>
      </c>
      <c r="H171" s="22">
        <v>1.9</v>
      </c>
      <c r="I171" s="6">
        <f t="shared" si="2"/>
        <v>1175.625</v>
      </c>
      <c r="J171" s="6" t="s">
        <v>2201</v>
      </c>
      <c r="K171" s="17"/>
    </row>
    <row r="172" spans="1:11" ht="13.95" customHeight="1" x14ac:dyDescent="0.3">
      <c r="A172" s="3">
        <v>45827</v>
      </c>
      <c r="B172" s="3" t="s">
        <v>2388</v>
      </c>
      <c r="C172" s="19" t="s">
        <v>8</v>
      </c>
      <c r="D172" s="19" t="s">
        <v>9</v>
      </c>
      <c r="E172" s="4">
        <v>0.9</v>
      </c>
      <c r="F172" s="42">
        <v>2.75</v>
      </c>
      <c r="G172" s="45">
        <v>250</v>
      </c>
      <c r="H172" s="22">
        <v>1.9</v>
      </c>
      <c r="I172" s="6">
        <f t="shared" si="2"/>
        <v>1175.625</v>
      </c>
      <c r="J172" s="6" t="s">
        <v>2201</v>
      </c>
      <c r="K172" s="17"/>
    </row>
    <row r="173" spans="1:11" ht="13.95" customHeight="1" x14ac:dyDescent="0.3">
      <c r="A173" s="3">
        <v>45828</v>
      </c>
      <c r="B173" s="3" t="s">
        <v>2388</v>
      </c>
      <c r="C173" s="19" t="s">
        <v>11</v>
      </c>
      <c r="D173" s="19" t="s">
        <v>9</v>
      </c>
      <c r="E173" s="4">
        <v>0.95</v>
      </c>
      <c r="F173" s="42">
        <v>3.2</v>
      </c>
      <c r="G173" s="45">
        <v>250</v>
      </c>
      <c r="H173" s="22">
        <v>1.9</v>
      </c>
      <c r="I173" s="6">
        <f t="shared" si="2"/>
        <v>1444</v>
      </c>
      <c r="J173" s="6" t="s">
        <v>97</v>
      </c>
      <c r="K173" s="17"/>
    </row>
    <row r="174" spans="1:11" ht="13.95" customHeight="1" x14ac:dyDescent="0.3">
      <c r="A174" s="3">
        <v>45829</v>
      </c>
      <c r="B174" s="3" t="s">
        <v>2388</v>
      </c>
      <c r="C174" s="19" t="s">
        <v>13</v>
      </c>
      <c r="D174" s="19" t="s">
        <v>14</v>
      </c>
      <c r="E174" s="4">
        <v>1</v>
      </c>
      <c r="F174" s="42">
        <v>3.95</v>
      </c>
      <c r="G174" s="45">
        <v>250</v>
      </c>
      <c r="H174" s="22">
        <v>1.9</v>
      </c>
      <c r="I174" s="6">
        <f t="shared" si="2"/>
        <v>1876.25</v>
      </c>
      <c r="J174" s="6" t="s">
        <v>2295</v>
      </c>
      <c r="K174" s="17"/>
    </row>
    <row r="175" spans="1:11" ht="13.95" customHeight="1" x14ac:dyDescent="0.3">
      <c r="A175" s="3">
        <v>45830</v>
      </c>
      <c r="B175" s="3" t="s">
        <v>2388</v>
      </c>
      <c r="C175" s="19" t="s">
        <v>16</v>
      </c>
      <c r="D175" s="19" t="s">
        <v>14</v>
      </c>
      <c r="E175" s="4">
        <v>1</v>
      </c>
      <c r="F175" s="42">
        <v>3.55</v>
      </c>
      <c r="G175" s="45">
        <v>250</v>
      </c>
      <c r="H175" s="22">
        <v>1.9</v>
      </c>
      <c r="I175" s="6">
        <f t="shared" si="2"/>
        <v>1686.25</v>
      </c>
      <c r="J175" s="6" t="s">
        <v>2236</v>
      </c>
      <c r="K175" s="17"/>
    </row>
    <row r="176" spans="1:11" ht="13.95" customHeight="1" x14ac:dyDescent="0.3">
      <c r="A176" s="3">
        <v>45831</v>
      </c>
      <c r="B176" s="3" t="s">
        <v>2388</v>
      </c>
      <c r="C176" s="19" t="s">
        <v>18</v>
      </c>
      <c r="D176" s="19" t="s">
        <v>9</v>
      </c>
      <c r="E176" s="4">
        <v>0.9</v>
      </c>
      <c r="F176" s="42">
        <v>2.7</v>
      </c>
      <c r="G176" s="45">
        <v>250</v>
      </c>
      <c r="H176" s="22">
        <v>1.9</v>
      </c>
      <c r="I176" s="6">
        <f t="shared" si="2"/>
        <v>1154.25</v>
      </c>
      <c r="J176" s="6" t="s">
        <v>88</v>
      </c>
      <c r="K176" s="17"/>
    </row>
    <row r="177" spans="1:11" ht="13.95" customHeight="1" x14ac:dyDescent="0.3">
      <c r="A177" s="3">
        <v>45832</v>
      </c>
      <c r="B177" s="3" t="s">
        <v>2388</v>
      </c>
      <c r="C177" s="19" t="s">
        <v>20</v>
      </c>
      <c r="D177" s="19" t="s">
        <v>9</v>
      </c>
      <c r="E177" s="4">
        <v>0.9</v>
      </c>
      <c r="F177" s="42">
        <v>2.7</v>
      </c>
      <c r="G177" s="45">
        <v>250</v>
      </c>
      <c r="H177" s="22">
        <v>1.9</v>
      </c>
      <c r="I177" s="6">
        <f t="shared" si="2"/>
        <v>1154.25</v>
      </c>
      <c r="J177" s="6" t="s">
        <v>88</v>
      </c>
      <c r="K177" s="17"/>
    </row>
    <row r="178" spans="1:11" ht="13.95" customHeight="1" x14ac:dyDescent="0.3">
      <c r="A178" s="3">
        <v>45833</v>
      </c>
      <c r="B178" s="3" t="s">
        <v>2388</v>
      </c>
      <c r="C178" s="19" t="s">
        <v>5</v>
      </c>
      <c r="D178" s="19" t="s">
        <v>9</v>
      </c>
      <c r="E178" s="4">
        <v>0.95</v>
      </c>
      <c r="F178" s="42">
        <v>2.8</v>
      </c>
      <c r="G178" s="45">
        <v>250</v>
      </c>
      <c r="H178" s="22">
        <v>1.9</v>
      </c>
      <c r="I178" s="6">
        <f t="shared" si="2"/>
        <v>1263.5</v>
      </c>
      <c r="J178" s="6" t="s">
        <v>2225</v>
      </c>
      <c r="K178" s="17"/>
    </row>
    <row r="179" spans="1:11" ht="13.95" customHeight="1" x14ac:dyDescent="0.3">
      <c r="A179" s="3">
        <v>45834</v>
      </c>
      <c r="B179" s="3" t="s">
        <v>2388</v>
      </c>
      <c r="C179" s="19" t="s">
        <v>8</v>
      </c>
      <c r="D179" s="19" t="s">
        <v>9</v>
      </c>
      <c r="E179" s="4">
        <v>0.95</v>
      </c>
      <c r="F179" s="42">
        <v>2.85</v>
      </c>
      <c r="G179" s="45">
        <v>250</v>
      </c>
      <c r="H179" s="22">
        <v>1.9</v>
      </c>
      <c r="I179" s="6">
        <f t="shared" si="2"/>
        <v>1286.0625</v>
      </c>
      <c r="J179" s="6" t="s">
        <v>717</v>
      </c>
      <c r="K179" s="17"/>
    </row>
    <row r="180" spans="1:11" ht="13.95" customHeight="1" x14ac:dyDescent="0.3">
      <c r="A180" s="3">
        <v>45835</v>
      </c>
      <c r="B180" s="3" t="s">
        <v>2388</v>
      </c>
      <c r="C180" s="19" t="s">
        <v>11</v>
      </c>
      <c r="D180" s="19" t="s">
        <v>9</v>
      </c>
      <c r="E180" s="4">
        <v>1</v>
      </c>
      <c r="F180" s="42">
        <v>3.3</v>
      </c>
      <c r="G180" s="45">
        <v>250</v>
      </c>
      <c r="H180" s="22">
        <v>1.9</v>
      </c>
      <c r="I180" s="6">
        <f t="shared" si="2"/>
        <v>1567.5</v>
      </c>
      <c r="J180" s="6" t="s">
        <v>2244</v>
      </c>
      <c r="K180" s="17"/>
    </row>
    <row r="181" spans="1:11" ht="13.95" customHeight="1" x14ac:dyDescent="0.3">
      <c r="A181" s="3">
        <v>45836</v>
      </c>
      <c r="B181" s="3" t="s">
        <v>2388</v>
      </c>
      <c r="C181" s="19" t="s">
        <v>13</v>
      </c>
      <c r="D181" s="19" t="s">
        <v>995</v>
      </c>
      <c r="E181" s="4">
        <v>1</v>
      </c>
      <c r="F181" s="42">
        <v>4.0999999999999996</v>
      </c>
      <c r="G181" s="45">
        <v>250</v>
      </c>
      <c r="H181" s="22">
        <v>1.9</v>
      </c>
      <c r="I181" s="6">
        <f t="shared" si="2"/>
        <v>1947.5</v>
      </c>
      <c r="J181" s="6" t="s">
        <v>1773</v>
      </c>
      <c r="K181" s="17"/>
    </row>
    <row r="182" spans="1:11" ht="13.95" customHeight="1" x14ac:dyDescent="0.3">
      <c r="A182" s="3">
        <v>45837</v>
      </c>
      <c r="B182" s="3" t="s">
        <v>2388</v>
      </c>
      <c r="C182" s="19" t="s">
        <v>16</v>
      </c>
      <c r="D182" s="19" t="s">
        <v>14</v>
      </c>
      <c r="E182" s="4">
        <v>1</v>
      </c>
      <c r="F182" s="42">
        <v>3.65</v>
      </c>
      <c r="G182" s="45">
        <v>250</v>
      </c>
      <c r="H182" s="22">
        <v>1.9</v>
      </c>
      <c r="I182" s="6">
        <f t="shared" si="2"/>
        <v>1733.75</v>
      </c>
      <c r="J182" s="6" t="s">
        <v>2118</v>
      </c>
      <c r="K182" s="17"/>
    </row>
    <row r="183" spans="1:11" ht="13.95" customHeight="1" x14ac:dyDescent="0.3">
      <c r="A183" s="3">
        <v>45838</v>
      </c>
      <c r="B183" s="3" t="s">
        <v>2388</v>
      </c>
      <c r="C183" s="19" t="s">
        <v>18</v>
      </c>
      <c r="D183" s="19" t="s">
        <v>9</v>
      </c>
      <c r="E183" s="4">
        <v>0.95</v>
      </c>
      <c r="F183" s="42">
        <v>2.8</v>
      </c>
      <c r="G183" s="45">
        <v>250</v>
      </c>
      <c r="H183" s="22">
        <v>1.9</v>
      </c>
      <c r="I183" s="6">
        <f t="shared" si="2"/>
        <v>1263.5</v>
      </c>
      <c r="J183" s="6" t="s">
        <v>783</v>
      </c>
      <c r="K183" s="17"/>
    </row>
    <row r="184" spans="1:11" ht="13.95" customHeight="1" x14ac:dyDescent="0.3">
      <c r="A184" s="3">
        <v>45839</v>
      </c>
      <c r="B184" s="3" t="s">
        <v>2388</v>
      </c>
      <c r="C184" s="19" t="s">
        <v>20</v>
      </c>
      <c r="D184" s="19" t="s">
        <v>1340</v>
      </c>
      <c r="E184" s="4">
        <v>0.95</v>
      </c>
      <c r="F184" s="42">
        <v>2.75</v>
      </c>
      <c r="G184" s="45">
        <v>250</v>
      </c>
      <c r="H184" s="22">
        <v>1.95</v>
      </c>
      <c r="I184" s="6">
        <f t="shared" si="2"/>
        <v>1273.59375</v>
      </c>
      <c r="J184" s="6" t="s">
        <v>2338</v>
      </c>
      <c r="K184" s="17"/>
    </row>
    <row r="185" spans="1:11" ht="13.95" customHeight="1" x14ac:dyDescent="0.3">
      <c r="A185" s="3">
        <v>45840</v>
      </c>
      <c r="B185" s="3" t="s">
        <v>2388</v>
      </c>
      <c r="C185" s="19" t="s">
        <v>5</v>
      </c>
      <c r="D185" s="19" t="s">
        <v>1340</v>
      </c>
      <c r="E185" s="4">
        <v>0.95</v>
      </c>
      <c r="F185" s="42">
        <v>2.75</v>
      </c>
      <c r="G185" s="45">
        <v>250</v>
      </c>
      <c r="H185" s="22">
        <v>1.95</v>
      </c>
      <c r="I185" s="6">
        <f t="shared" si="2"/>
        <v>1273.59375</v>
      </c>
      <c r="J185" s="6" t="s">
        <v>1605</v>
      </c>
      <c r="K185" s="17"/>
    </row>
    <row r="186" spans="1:11" ht="13.95" customHeight="1" x14ac:dyDescent="0.3">
      <c r="A186" s="3">
        <v>45841</v>
      </c>
      <c r="B186" s="3" t="s">
        <v>2388</v>
      </c>
      <c r="C186" s="19" t="s">
        <v>8</v>
      </c>
      <c r="D186" s="19" t="s">
        <v>1340</v>
      </c>
      <c r="E186" s="4">
        <v>0.95</v>
      </c>
      <c r="F186" s="42">
        <v>2.8</v>
      </c>
      <c r="G186" s="45">
        <v>250</v>
      </c>
      <c r="H186" s="22">
        <v>1.95</v>
      </c>
      <c r="I186" s="6">
        <f t="shared" si="2"/>
        <v>1296.75</v>
      </c>
      <c r="J186" s="6" t="s">
        <v>1605</v>
      </c>
      <c r="K186" s="17"/>
    </row>
    <row r="187" spans="1:11" ht="13.95" customHeight="1" x14ac:dyDescent="0.3">
      <c r="A187" s="3">
        <v>45842</v>
      </c>
      <c r="B187" s="3" t="s">
        <v>2388</v>
      </c>
      <c r="C187" s="19" t="s">
        <v>11</v>
      </c>
      <c r="D187" s="19" t="s">
        <v>14</v>
      </c>
      <c r="E187" s="4">
        <v>0.98</v>
      </c>
      <c r="F187" s="42">
        <v>3.1</v>
      </c>
      <c r="G187" s="45">
        <v>250</v>
      </c>
      <c r="H187" s="22">
        <v>1.95</v>
      </c>
      <c r="I187" s="6">
        <f t="shared" si="2"/>
        <v>1481.0249999999999</v>
      </c>
      <c r="J187" s="6" t="s">
        <v>67</v>
      </c>
      <c r="K187" s="17"/>
    </row>
    <row r="188" spans="1:11" ht="13.95" customHeight="1" x14ac:dyDescent="0.3">
      <c r="A188" s="3">
        <v>45843</v>
      </c>
      <c r="B188" s="3" t="s">
        <v>2388</v>
      </c>
      <c r="C188" s="19" t="s">
        <v>13</v>
      </c>
      <c r="D188" s="19" t="s">
        <v>14</v>
      </c>
      <c r="E188" s="4">
        <v>1</v>
      </c>
      <c r="F188" s="42">
        <v>3.95</v>
      </c>
      <c r="G188" s="45">
        <v>250</v>
      </c>
      <c r="H188" s="22">
        <v>1.95</v>
      </c>
      <c r="I188" s="6">
        <f t="shared" si="2"/>
        <v>1925.625</v>
      </c>
      <c r="J188" s="6" t="s">
        <v>2339</v>
      </c>
      <c r="K188" s="17"/>
    </row>
    <row r="189" spans="1:11" ht="13.95" customHeight="1" x14ac:dyDescent="0.3">
      <c r="A189" s="3">
        <v>45844</v>
      </c>
      <c r="B189" s="3" t="s">
        <v>2388</v>
      </c>
      <c r="C189" s="19" t="s">
        <v>16</v>
      </c>
      <c r="D189" s="19" t="s">
        <v>14</v>
      </c>
      <c r="E189" s="4">
        <v>1</v>
      </c>
      <c r="F189" s="42">
        <v>3.55</v>
      </c>
      <c r="G189" s="45">
        <v>250</v>
      </c>
      <c r="H189" s="22">
        <v>1.95</v>
      </c>
      <c r="I189" s="6">
        <f t="shared" si="2"/>
        <v>1730.625</v>
      </c>
      <c r="J189" s="6" t="s">
        <v>2340</v>
      </c>
      <c r="K189" s="17"/>
    </row>
    <row r="190" spans="1:11" ht="13.95" customHeight="1" x14ac:dyDescent="0.3">
      <c r="A190" s="3">
        <v>45845</v>
      </c>
      <c r="B190" s="3" t="s">
        <v>2388</v>
      </c>
      <c r="C190" s="19" t="s">
        <v>18</v>
      </c>
      <c r="D190" s="19" t="s">
        <v>1340</v>
      </c>
      <c r="E190" s="4">
        <v>0.95</v>
      </c>
      <c r="F190" s="42">
        <v>2.7</v>
      </c>
      <c r="G190" s="45">
        <v>250</v>
      </c>
      <c r="H190" s="22">
        <v>1.95</v>
      </c>
      <c r="I190" s="6">
        <f t="shared" si="2"/>
        <v>1250.4375</v>
      </c>
      <c r="J190" s="6" t="s">
        <v>2341</v>
      </c>
      <c r="K190" s="17"/>
    </row>
    <row r="191" spans="1:11" ht="13.95" customHeight="1" x14ac:dyDescent="0.3">
      <c r="A191" s="3">
        <v>45846</v>
      </c>
      <c r="B191" s="3" t="s">
        <v>2388</v>
      </c>
      <c r="C191" s="19" t="s">
        <v>20</v>
      </c>
      <c r="D191" s="19" t="s">
        <v>1340</v>
      </c>
      <c r="E191" s="4">
        <v>0.95</v>
      </c>
      <c r="F191" s="42">
        <v>2.7</v>
      </c>
      <c r="G191" s="45">
        <v>250</v>
      </c>
      <c r="H191" s="22">
        <v>1.95</v>
      </c>
      <c r="I191" s="6">
        <f t="shared" si="2"/>
        <v>1250.4375</v>
      </c>
      <c r="J191" s="6" t="s">
        <v>2341</v>
      </c>
      <c r="K191" s="17"/>
    </row>
    <row r="192" spans="1:11" ht="13.95" customHeight="1" x14ac:dyDescent="0.3">
      <c r="A192" s="3">
        <v>45847</v>
      </c>
      <c r="B192" s="3" t="s">
        <v>2388</v>
      </c>
      <c r="C192" s="19" t="s">
        <v>5</v>
      </c>
      <c r="D192" s="19" t="s">
        <v>1340</v>
      </c>
      <c r="E192" s="4">
        <v>0.95</v>
      </c>
      <c r="F192" s="42">
        <v>2.75</v>
      </c>
      <c r="G192" s="45">
        <v>250</v>
      </c>
      <c r="H192" s="22">
        <v>1.95</v>
      </c>
      <c r="I192" s="6">
        <f t="shared" si="2"/>
        <v>1273.59375</v>
      </c>
      <c r="J192" s="6" t="s">
        <v>828</v>
      </c>
      <c r="K192" s="17"/>
    </row>
    <row r="193" spans="1:11" ht="13.95" customHeight="1" x14ac:dyDescent="0.3">
      <c r="A193" s="3">
        <v>45848</v>
      </c>
      <c r="B193" s="3" t="s">
        <v>2388</v>
      </c>
      <c r="C193" s="19" t="s">
        <v>8</v>
      </c>
      <c r="D193" s="19" t="s">
        <v>1340</v>
      </c>
      <c r="E193" s="4">
        <v>0.98</v>
      </c>
      <c r="F193" s="42">
        <v>2.8</v>
      </c>
      <c r="G193" s="45">
        <v>250</v>
      </c>
      <c r="H193" s="22">
        <v>1.95</v>
      </c>
      <c r="I193" s="6">
        <f t="shared" si="2"/>
        <v>1337.7</v>
      </c>
      <c r="J193" s="6" t="s">
        <v>828</v>
      </c>
      <c r="K193" s="17"/>
    </row>
    <row r="194" spans="1:11" ht="13.95" customHeight="1" x14ac:dyDescent="0.3">
      <c r="A194" s="3">
        <v>45849</v>
      </c>
      <c r="B194" s="3" t="s">
        <v>2388</v>
      </c>
      <c r="C194" s="19" t="s">
        <v>11</v>
      </c>
      <c r="D194" s="19" t="s">
        <v>14</v>
      </c>
      <c r="E194" s="4">
        <v>1</v>
      </c>
      <c r="F194" s="42">
        <v>3.2</v>
      </c>
      <c r="G194" s="45">
        <v>250</v>
      </c>
      <c r="H194" s="22">
        <v>1.95</v>
      </c>
      <c r="I194" s="6">
        <f t="shared" ref="I194:I257" si="3">(G194*E194)*F194*H194</f>
        <v>1560</v>
      </c>
      <c r="J194" s="6" t="s">
        <v>2342</v>
      </c>
      <c r="K194" s="17"/>
    </row>
    <row r="195" spans="1:11" ht="13.95" customHeight="1" x14ac:dyDescent="0.3">
      <c r="A195" s="3">
        <v>45850</v>
      </c>
      <c r="B195" s="3" t="s">
        <v>2388</v>
      </c>
      <c r="C195" s="19" t="s">
        <v>13</v>
      </c>
      <c r="D195" s="19" t="s">
        <v>14</v>
      </c>
      <c r="E195" s="4">
        <v>1</v>
      </c>
      <c r="F195" s="42">
        <v>4.0999999999999996</v>
      </c>
      <c r="G195" s="45">
        <v>250</v>
      </c>
      <c r="H195" s="22">
        <v>1.95</v>
      </c>
      <c r="I195" s="6">
        <f t="shared" si="3"/>
        <v>1998.75</v>
      </c>
      <c r="J195" s="6" t="s">
        <v>2343</v>
      </c>
      <c r="K195" s="17"/>
    </row>
    <row r="196" spans="1:11" ht="13.95" customHeight="1" x14ac:dyDescent="0.3">
      <c r="A196" s="3">
        <v>45851</v>
      </c>
      <c r="B196" s="3" t="s">
        <v>2388</v>
      </c>
      <c r="C196" s="19" t="s">
        <v>16</v>
      </c>
      <c r="D196" s="19" t="s">
        <v>14</v>
      </c>
      <c r="E196" s="4">
        <v>1</v>
      </c>
      <c r="F196" s="42">
        <v>3.6</v>
      </c>
      <c r="G196" s="45">
        <v>250</v>
      </c>
      <c r="H196" s="22">
        <v>1.95</v>
      </c>
      <c r="I196" s="6">
        <f t="shared" si="3"/>
        <v>1755</v>
      </c>
      <c r="J196" s="6" t="s">
        <v>2118</v>
      </c>
      <c r="K196" s="17"/>
    </row>
    <row r="197" spans="1:11" ht="13.95" customHeight="1" x14ac:dyDescent="0.3">
      <c r="A197" s="3">
        <v>45852</v>
      </c>
      <c r="B197" s="3" t="s">
        <v>2388</v>
      </c>
      <c r="C197" s="19" t="s">
        <v>18</v>
      </c>
      <c r="D197" s="19" t="s">
        <v>1340</v>
      </c>
      <c r="E197" s="4">
        <v>0.95</v>
      </c>
      <c r="F197" s="42">
        <v>2.75</v>
      </c>
      <c r="G197" s="45">
        <v>250</v>
      </c>
      <c r="H197" s="22">
        <v>1.95</v>
      </c>
      <c r="I197" s="6">
        <f t="shared" si="3"/>
        <v>1273.59375</v>
      </c>
      <c r="J197" s="6" t="s">
        <v>88</v>
      </c>
      <c r="K197" s="17"/>
    </row>
    <row r="198" spans="1:11" ht="13.95" customHeight="1" x14ac:dyDescent="0.3">
      <c r="A198" s="3">
        <v>45853</v>
      </c>
      <c r="B198" s="3" t="s">
        <v>2388</v>
      </c>
      <c r="C198" s="19" t="s">
        <v>20</v>
      </c>
      <c r="D198" s="19" t="s">
        <v>1340</v>
      </c>
      <c r="E198" s="4">
        <v>0.95</v>
      </c>
      <c r="F198" s="42">
        <v>2.75</v>
      </c>
      <c r="G198" s="45">
        <v>250</v>
      </c>
      <c r="H198" s="22">
        <v>1.95</v>
      </c>
      <c r="I198" s="6">
        <f t="shared" si="3"/>
        <v>1273.59375</v>
      </c>
      <c r="J198" s="6" t="s">
        <v>88</v>
      </c>
      <c r="K198" s="17"/>
    </row>
    <row r="199" spans="1:11" ht="13.95" customHeight="1" x14ac:dyDescent="0.3">
      <c r="A199" s="3">
        <v>45854</v>
      </c>
      <c r="B199" s="3" t="s">
        <v>2388</v>
      </c>
      <c r="C199" s="19" t="s">
        <v>5</v>
      </c>
      <c r="D199" s="19" t="s">
        <v>1340</v>
      </c>
      <c r="E199" s="4">
        <v>0.98</v>
      </c>
      <c r="F199" s="42">
        <v>2.8</v>
      </c>
      <c r="G199" s="45">
        <v>250</v>
      </c>
      <c r="H199" s="22">
        <v>1.95</v>
      </c>
      <c r="I199" s="6">
        <f t="shared" si="3"/>
        <v>1337.7</v>
      </c>
      <c r="J199" s="6" t="s">
        <v>88</v>
      </c>
      <c r="K199" s="17"/>
    </row>
    <row r="200" spans="1:11" ht="13.95" customHeight="1" x14ac:dyDescent="0.3">
      <c r="A200" s="3">
        <v>45855</v>
      </c>
      <c r="B200" s="3" t="s">
        <v>2388</v>
      </c>
      <c r="C200" s="19" t="s">
        <v>8</v>
      </c>
      <c r="D200" s="19" t="s">
        <v>1340</v>
      </c>
      <c r="E200" s="4">
        <v>0.98</v>
      </c>
      <c r="F200" s="42">
        <v>2.85</v>
      </c>
      <c r="G200" s="45">
        <v>250</v>
      </c>
      <c r="H200" s="22">
        <v>1.95</v>
      </c>
      <c r="I200" s="6">
        <f t="shared" si="3"/>
        <v>1361.5874999999999</v>
      </c>
      <c r="J200" s="6" t="s">
        <v>88</v>
      </c>
      <c r="K200" s="17"/>
    </row>
    <row r="201" spans="1:11" ht="13.95" customHeight="1" x14ac:dyDescent="0.3">
      <c r="A201" s="3">
        <v>45856</v>
      </c>
      <c r="B201" s="3" t="s">
        <v>2388</v>
      </c>
      <c r="C201" s="19" t="s">
        <v>11</v>
      </c>
      <c r="D201" s="19" t="s">
        <v>14</v>
      </c>
      <c r="E201" s="4">
        <v>1</v>
      </c>
      <c r="F201" s="42">
        <v>3.25</v>
      </c>
      <c r="G201" s="45">
        <v>250</v>
      </c>
      <c r="H201" s="22">
        <v>1.95</v>
      </c>
      <c r="I201" s="6">
        <f t="shared" si="3"/>
        <v>1584.375</v>
      </c>
      <c r="J201" s="6" t="s">
        <v>97</v>
      </c>
      <c r="K201" s="17"/>
    </row>
    <row r="202" spans="1:11" ht="13.95" customHeight="1" x14ac:dyDescent="0.3">
      <c r="A202" s="3">
        <v>45857</v>
      </c>
      <c r="B202" s="3" t="s">
        <v>2388</v>
      </c>
      <c r="C202" s="19" t="s">
        <v>13</v>
      </c>
      <c r="D202" s="19" t="s">
        <v>14</v>
      </c>
      <c r="E202" s="4">
        <v>1</v>
      </c>
      <c r="F202" s="42">
        <v>4.2</v>
      </c>
      <c r="G202" s="45">
        <v>250</v>
      </c>
      <c r="H202" s="22">
        <v>1.95</v>
      </c>
      <c r="I202" s="6">
        <f t="shared" si="3"/>
        <v>2047.5</v>
      </c>
      <c r="J202" s="6" t="s">
        <v>2344</v>
      </c>
      <c r="K202" s="17"/>
    </row>
    <row r="203" spans="1:11" ht="13.95" customHeight="1" x14ac:dyDescent="0.3">
      <c r="A203" s="3">
        <v>45858</v>
      </c>
      <c r="B203" s="3" t="s">
        <v>2388</v>
      </c>
      <c r="C203" s="19" t="s">
        <v>16</v>
      </c>
      <c r="D203" s="19" t="s">
        <v>14</v>
      </c>
      <c r="E203" s="4">
        <v>1</v>
      </c>
      <c r="F203" s="42">
        <v>3.65</v>
      </c>
      <c r="G203" s="45">
        <v>250</v>
      </c>
      <c r="H203" s="22">
        <v>1.95</v>
      </c>
      <c r="I203" s="6">
        <f t="shared" si="3"/>
        <v>1779.375</v>
      </c>
      <c r="J203" s="6" t="s">
        <v>2118</v>
      </c>
      <c r="K203" s="17"/>
    </row>
    <row r="204" spans="1:11" ht="13.95" customHeight="1" x14ac:dyDescent="0.3">
      <c r="A204" s="3">
        <v>45859</v>
      </c>
      <c r="B204" s="3" t="s">
        <v>2388</v>
      </c>
      <c r="C204" s="19" t="s">
        <v>18</v>
      </c>
      <c r="D204" s="19" t="s">
        <v>1340</v>
      </c>
      <c r="E204" s="4">
        <v>0.95</v>
      </c>
      <c r="F204" s="42">
        <v>2.75</v>
      </c>
      <c r="G204" s="45">
        <v>250</v>
      </c>
      <c r="H204" s="22">
        <v>1.95</v>
      </c>
      <c r="I204" s="6">
        <f t="shared" si="3"/>
        <v>1273.59375</v>
      </c>
      <c r="J204" s="6" t="s">
        <v>88</v>
      </c>
      <c r="K204" s="17"/>
    </row>
    <row r="205" spans="1:11" ht="13.95" customHeight="1" x14ac:dyDescent="0.3">
      <c r="A205" s="3">
        <v>45860</v>
      </c>
      <c r="B205" s="3" t="s">
        <v>2388</v>
      </c>
      <c r="C205" s="19" t="s">
        <v>20</v>
      </c>
      <c r="D205" s="19" t="s">
        <v>1340</v>
      </c>
      <c r="E205" s="4">
        <v>0.95</v>
      </c>
      <c r="F205" s="42">
        <v>2.75</v>
      </c>
      <c r="G205" s="45">
        <v>250</v>
      </c>
      <c r="H205" s="22">
        <v>1.95</v>
      </c>
      <c r="I205" s="6">
        <f t="shared" si="3"/>
        <v>1273.59375</v>
      </c>
      <c r="J205" s="6" t="s">
        <v>88</v>
      </c>
      <c r="K205" s="17"/>
    </row>
    <row r="206" spans="1:11" ht="13.95" customHeight="1" x14ac:dyDescent="0.3">
      <c r="A206" s="3">
        <v>45861</v>
      </c>
      <c r="B206" s="3" t="s">
        <v>2388</v>
      </c>
      <c r="C206" s="19" t="s">
        <v>5</v>
      </c>
      <c r="D206" s="19" t="s">
        <v>1340</v>
      </c>
      <c r="E206" s="4">
        <v>0.98</v>
      </c>
      <c r="F206" s="42">
        <v>2.8</v>
      </c>
      <c r="G206" s="45">
        <v>250</v>
      </c>
      <c r="H206" s="22">
        <v>1.95</v>
      </c>
      <c r="I206" s="6">
        <f t="shared" si="3"/>
        <v>1337.7</v>
      </c>
      <c r="J206" s="6" t="s">
        <v>828</v>
      </c>
      <c r="K206" s="17"/>
    </row>
    <row r="207" spans="1:11" ht="13.95" customHeight="1" x14ac:dyDescent="0.3">
      <c r="A207" s="3">
        <v>45862</v>
      </c>
      <c r="B207" s="3" t="s">
        <v>2388</v>
      </c>
      <c r="C207" s="19" t="s">
        <v>8</v>
      </c>
      <c r="D207" s="19" t="s">
        <v>994</v>
      </c>
      <c r="E207" s="4">
        <v>1</v>
      </c>
      <c r="F207" s="42">
        <v>3</v>
      </c>
      <c r="G207" s="45">
        <v>250</v>
      </c>
      <c r="H207" s="22">
        <v>1.95</v>
      </c>
      <c r="I207" s="6">
        <f t="shared" si="3"/>
        <v>1462.5</v>
      </c>
      <c r="J207" s="6" t="s">
        <v>1466</v>
      </c>
      <c r="K207" s="17"/>
    </row>
    <row r="208" spans="1:11" ht="13.95" customHeight="1" x14ac:dyDescent="0.3">
      <c r="A208" s="3">
        <v>45863</v>
      </c>
      <c r="B208" s="3" t="s">
        <v>2388</v>
      </c>
      <c r="C208" s="19" t="s">
        <v>11</v>
      </c>
      <c r="D208" s="19" t="s">
        <v>1010</v>
      </c>
      <c r="E208" s="4">
        <v>1</v>
      </c>
      <c r="F208" s="42">
        <v>4.1500000000000004</v>
      </c>
      <c r="G208" s="45">
        <v>250</v>
      </c>
      <c r="H208" s="22">
        <v>1.95</v>
      </c>
      <c r="I208" s="6">
        <f t="shared" si="3"/>
        <v>2023.125</v>
      </c>
      <c r="J208" s="6" t="s">
        <v>1980</v>
      </c>
      <c r="K208" s="17"/>
    </row>
    <row r="209" spans="1:11" ht="13.95" customHeight="1" x14ac:dyDescent="0.3">
      <c r="A209" s="3">
        <v>45864</v>
      </c>
      <c r="B209" s="3" t="s">
        <v>2388</v>
      </c>
      <c r="C209" s="19" t="s">
        <v>13</v>
      </c>
      <c r="D209" s="19" t="s">
        <v>14</v>
      </c>
      <c r="E209" s="4">
        <v>1</v>
      </c>
      <c r="F209" s="42">
        <v>3.9</v>
      </c>
      <c r="G209" s="45">
        <v>250</v>
      </c>
      <c r="H209" s="22">
        <v>1.95</v>
      </c>
      <c r="I209" s="6">
        <f t="shared" si="3"/>
        <v>1901.25</v>
      </c>
      <c r="J209" s="6" t="s">
        <v>1399</v>
      </c>
      <c r="K209" s="17"/>
    </row>
    <row r="210" spans="1:11" ht="13.95" customHeight="1" x14ac:dyDescent="0.3">
      <c r="A210" s="3">
        <v>45865</v>
      </c>
      <c r="B210" s="3" t="s">
        <v>2388</v>
      </c>
      <c r="C210" s="19" t="s">
        <v>16</v>
      </c>
      <c r="D210" s="19" t="s">
        <v>14</v>
      </c>
      <c r="E210" s="4">
        <v>1</v>
      </c>
      <c r="F210" s="42">
        <v>3.6</v>
      </c>
      <c r="G210" s="45">
        <v>250</v>
      </c>
      <c r="H210" s="22">
        <v>1.95</v>
      </c>
      <c r="I210" s="6">
        <f t="shared" si="3"/>
        <v>1755</v>
      </c>
      <c r="J210" s="6" t="s">
        <v>69</v>
      </c>
      <c r="K210" s="17"/>
    </row>
    <row r="211" spans="1:11" ht="13.95" customHeight="1" x14ac:dyDescent="0.3">
      <c r="A211" s="3">
        <v>45866</v>
      </c>
      <c r="B211" s="3" t="s">
        <v>2388</v>
      </c>
      <c r="C211" s="19" t="s">
        <v>18</v>
      </c>
      <c r="D211" s="19" t="s">
        <v>1340</v>
      </c>
      <c r="E211" s="4">
        <v>0.95</v>
      </c>
      <c r="F211" s="42">
        <v>2.75</v>
      </c>
      <c r="G211" s="45">
        <v>250</v>
      </c>
      <c r="H211" s="22">
        <v>1.95</v>
      </c>
      <c r="I211" s="6">
        <f t="shared" si="3"/>
        <v>1273.59375</v>
      </c>
      <c r="J211" s="6" t="s">
        <v>88</v>
      </c>
      <c r="K211" s="17"/>
    </row>
    <row r="212" spans="1:11" ht="13.95" customHeight="1" x14ac:dyDescent="0.3">
      <c r="A212" s="3">
        <v>45867</v>
      </c>
      <c r="B212" s="3" t="s">
        <v>2388</v>
      </c>
      <c r="C212" s="19" t="s">
        <v>20</v>
      </c>
      <c r="D212" s="19" t="s">
        <v>1340</v>
      </c>
      <c r="E212" s="4">
        <v>0.95</v>
      </c>
      <c r="F212" s="42">
        <v>2.75</v>
      </c>
      <c r="G212" s="45">
        <v>250</v>
      </c>
      <c r="H212" s="22">
        <v>1.95</v>
      </c>
      <c r="I212" s="6">
        <f t="shared" si="3"/>
        <v>1273.59375</v>
      </c>
      <c r="J212" s="6" t="s">
        <v>88</v>
      </c>
      <c r="K212" s="17"/>
    </row>
    <row r="213" spans="1:11" ht="13.95" customHeight="1" x14ac:dyDescent="0.3">
      <c r="A213" s="3">
        <v>45868</v>
      </c>
      <c r="B213" s="3" t="s">
        <v>2388</v>
      </c>
      <c r="C213" s="19" t="s">
        <v>5</v>
      </c>
      <c r="D213" s="19" t="s">
        <v>1340</v>
      </c>
      <c r="E213" s="4">
        <v>0.98</v>
      </c>
      <c r="F213" s="42">
        <v>2.8</v>
      </c>
      <c r="G213" s="45">
        <v>250</v>
      </c>
      <c r="H213" s="22">
        <v>1.95</v>
      </c>
      <c r="I213" s="6">
        <f t="shared" si="3"/>
        <v>1337.7</v>
      </c>
      <c r="J213" s="6" t="s">
        <v>88</v>
      </c>
      <c r="K213" s="17"/>
    </row>
    <row r="214" spans="1:11" ht="13.95" customHeight="1" x14ac:dyDescent="0.3">
      <c r="A214" s="3">
        <v>45869</v>
      </c>
      <c r="B214" s="3" t="s">
        <v>2388</v>
      </c>
      <c r="C214" s="19" t="s">
        <v>8</v>
      </c>
      <c r="D214" s="19" t="s">
        <v>1340</v>
      </c>
      <c r="E214" s="4">
        <v>1</v>
      </c>
      <c r="F214" s="42">
        <v>2.9</v>
      </c>
      <c r="G214" s="45">
        <v>250</v>
      </c>
      <c r="H214" s="22">
        <v>1.95</v>
      </c>
      <c r="I214" s="6">
        <f t="shared" si="3"/>
        <v>1413.75</v>
      </c>
      <c r="J214" s="6" t="s">
        <v>846</v>
      </c>
      <c r="K214" s="17"/>
    </row>
    <row r="215" spans="1:11" ht="13.95" customHeight="1" x14ac:dyDescent="0.3">
      <c r="A215" s="3">
        <v>45870</v>
      </c>
      <c r="B215" s="3" t="s">
        <v>2388</v>
      </c>
      <c r="C215" s="19" t="s">
        <v>11</v>
      </c>
      <c r="D215" s="19" t="s">
        <v>2345</v>
      </c>
      <c r="E215" s="4">
        <v>1</v>
      </c>
      <c r="F215" s="42">
        <v>3.15</v>
      </c>
      <c r="G215" s="45">
        <v>250</v>
      </c>
      <c r="H215" s="22">
        <v>2</v>
      </c>
      <c r="I215" s="6">
        <f t="shared" si="3"/>
        <v>1575</v>
      </c>
      <c r="J215" s="6" t="s">
        <v>67</v>
      </c>
      <c r="K215" s="17"/>
    </row>
    <row r="216" spans="1:11" ht="13.95" customHeight="1" x14ac:dyDescent="0.3">
      <c r="A216" s="3">
        <v>45871</v>
      </c>
      <c r="B216" s="3" t="s">
        <v>2388</v>
      </c>
      <c r="C216" s="19" t="s">
        <v>13</v>
      </c>
      <c r="D216" s="19" t="s">
        <v>14</v>
      </c>
      <c r="E216" s="4">
        <v>1</v>
      </c>
      <c r="F216" s="42">
        <v>4.0999999999999996</v>
      </c>
      <c r="G216" s="45">
        <v>250</v>
      </c>
      <c r="H216" s="22">
        <v>2</v>
      </c>
      <c r="I216" s="6">
        <f t="shared" si="3"/>
        <v>2050</v>
      </c>
      <c r="J216" s="6" t="s">
        <v>2346</v>
      </c>
      <c r="K216" s="17"/>
    </row>
    <row r="217" spans="1:11" ht="13.95" customHeight="1" x14ac:dyDescent="0.3">
      <c r="A217" s="3">
        <v>45872</v>
      </c>
      <c r="B217" s="3" t="s">
        <v>2388</v>
      </c>
      <c r="C217" s="19" t="s">
        <v>16</v>
      </c>
      <c r="D217" s="19" t="s">
        <v>14</v>
      </c>
      <c r="E217" s="4">
        <v>1</v>
      </c>
      <c r="F217" s="42">
        <v>3.65</v>
      </c>
      <c r="G217" s="45">
        <v>250</v>
      </c>
      <c r="H217" s="22">
        <v>2</v>
      </c>
      <c r="I217" s="6">
        <f t="shared" si="3"/>
        <v>1825</v>
      </c>
      <c r="J217" s="6" t="s">
        <v>2118</v>
      </c>
      <c r="K217" s="17"/>
    </row>
    <row r="218" spans="1:11" ht="13.95" customHeight="1" x14ac:dyDescent="0.3">
      <c r="A218" s="3">
        <v>45873</v>
      </c>
      <c r="B218" s="3" t="s">
        <v>2388</v>
      </c>
      <c r="C218" s="19" t="s">
        <v>18</v>
      </c>
      <c r="D218" s="19" t="s">
        <v>2345</v>
      </c>
      <c r="E218" s="4">
        <v>1</v>
      </c>
      <c r="F218" s="42">
        <v>2.9</v>
      </c>
      <c r="G218" s="45">
        <v>250</v>
      </c>
      <c r="H218" s="22">
        <v>2</v>
      </c>
      <c r="I218" s="6">
        <f t="shared" si="3"/>
        <v>1450</v>
      </c>
      <c r="J218" s="6" t="s">
        <v>2338</v>
      </c>
      <c r="K218" s="17"/>
    </row>
    <row r="219" spans="1:11" ht="13.95" customHeight="1" x14ac:dyDescent="0.3">
      <c r="A219" s="3">
        <v>45874</v>
      </c>
      <c r="B219" s="3" t="s">
        <v>2388</v>
      </c>
      <c r="C219" s="19" t="s">
        <v>20</v>
      </c>
      <c r="D219" s="19" t="s">
        <v>2345</v>
      </c>
      <c r="E219" s="4">
        <v>1</v>
      </c>
      <c r="F219" s="42">
        <v>2.85</v>
      </c>
      <c r="G219" s="45">
        <v>250</v>
      </c>
      <c r="H219" s="22">
        <v>2</v>
      </c>
      <c r="I219" s="6">
        <f t="shared" si="3"/>
        <v>1425</v>
      </c>
      <c r="J219" s="6" t="s">
        <v>2347</v>
      </c>
      <c r="K219" s="17"/>
    </row>
    <row r="220" spans="1:11" ht="13.95" customHeight="1" x14ac:dyDescent="0.3">
      <c r="A220" s="3">
        <v>45875</v>
      </c>
      <c r="B220" s="3" t="s">
        <v>2388</v>
      </c>
      <c r="C220" s="19" t="s">
        <v>5</v>
      </c>
      <c r="D220" s="19" t="s">
        <v>2345</v>
      </c>
      <c r="E220" s="4">
        <v>1</v>
      </c>
      <c r="F220" s="42">
        <v>2.9</v>
      </c>
      <c r="G220" s="45">
        <v>250</v>
      </c>
      <c r="H220" s="22">
        <v>2</v>
      </c>
      <c r="I220" s="6">
        <f t="shared" si="3"/>
        <v>1450</v>
      </c>
      <c r="J220" s="6" t="s">
        <v>828</v>
      </c>
      <c r="K220" s="17"/>
    </row>
    <row r="221" spans="1:11" ht="13.95" customHeight="1" x14ac:dyDescent="0.3">
      <c r="A221" s="3">
        <v>45876</v>
      </c>
      <c r="B221" s="3" t="s">
        <v>2388</v>
      </c>
      <c r="C221" s="19" t="s">
        <v>8</v>
      </c>
      <c r="D221" s="19" t="s">
        <v>2345</v>
      </c>
      <c r="E221" s="4">
        <v>1</v>
      </c>
      <c r="F221" s="42">
        <v>2.95</v>
      </c>
      <c r="G221" s="45">
        <v>250</v>
      </c>
      <c r="H221" s="22">
        <v>2</v>
      </c>
      <c r="I221" s="6">
        <f t="shared" si="3"/>
        <v>1475</v>
      </c>
      <c r="J221" s="6" t="s">
        <v>828</v>
      </c>
      <c r="K221" s="17"/>
    </row>
    <row r="222" spans="1:11" ht="13.95" customHeight="1" x14ac:dyDescent="0.3">
      <c r="A222" s="3">
        <v>45877</v>
      </c>
      <c r="B222" s="3" t="s">
        <v>2388</v>
      </c>
      <c r="C222" s="19" t="s">
        <v>11</v>
      </c>
      <c r="D222" s="19" t="s">
        <v>14</v>
      </c>
      <c r="E222" s="4">
        <v>1</v>
      </c>
      <c r="F222" s="42">
        <v>3.3</v>
      </c>
      <c r="G222" s="45">
        <v>250</v>
      </c>
      <c r="H222" s="22">
        <v>2</v>
      </c>
      <c r="I222" s="6">
        <f t="shared" si="3"/>
        <v>1650</v>
      </c>
      <c r="J222" s="6" t="s">
        <v>2342</v>
      </c>
      <c r="K222" s="17"/>
    </row>
    <row r="223" spans="1:11" ht="13.95" customHeight="1" x14ac:dyDescent="0.3">
      <c r="A223" s="3">
        <v>45878</v>
      </c>
      <c r="B223" s="3" t="s">
        <v>2388</v>
      </c>
      <c r="C223" s="19" t="s">
        <v>13</v>
      </c>
      <c r="D223" s="19" t="s">
        <v>14</v>
      </c>
      <c r="E223" s="4">
        <v>1</v>
      </c>
      <c r="F223" s="42">
        <v>4.25</v>
      </c>
      <c r="G223" s="45">
        <v>250</v>
      </c>
      <c r="H223" s="22">
        <v>2</v>
      </c>
      <c r="I223" s="6">
        <f t="shared" si="3"/>
        <v>2125</v>
      </c>
      <c r="J223" s="6" t="s">
        <v>2348</v>
      </c>
      <c r="K223" s="17"/>
    </row>
    <row r="224" spans="1:11" ht="13.95" customHeight="1" x14ac:dyDescent="0.3">
      <c r="A224" s="3">
        <v>45879</v>
      </c>
      <c r="B224" s="3" t="s">
        <v>2388</v>
      </c>
      <c r="C224" s="19" t="s">
        <v>16</v>
      </c>
      <c r="D224" s="19" t="s">
        <v>14</v>
      </c>
      <c r="E224" s="4">
        <v>1</v>
      </c>
      <c r="F224" s="42">
        <v>3.7</v>
      </c>
      <c r="G224" s="45">
        <v>250</v>
      </c>
      <c r="H224" s="22">
        <v>2</v>
      </c>
      <c r="I224" s="6">
        <f t="shared" si="3"/>
        <v>1850</v>
      </c>
      <c r="J224" s="6" t="s">
        <v>2349</v>
      </c>
      <c r="K224" s="17"/>
    </row>
    <row r="225" spans="1:11" ht="13.95" customHeight="1" x14ac:dyDescent="0.3">
      <c r="A225" s="3">
        <v>45880</v>
      </c>
      <c r="B225" s="3" t="s">
        <v>2388</v>
      </c>
      <c r="C225" s="19" t="s">
        <v>18</v>
      </c>
      <c r="D225" s="19" t="s">
        <v>2345</v>
      </c>
      <c r="E225" s="4">
        <v>1</v>
      </c>
      <c r="F225" s="42">
        <v>2.9</v>
      </c>
      <c r="G225" s="45">
        <v>250</v>
      </c>
      <c r="H225" s="22">
        <v>2</v>
      </c>
      <c r="I225" s="6">
        <f t="shared" si="3"/>
        <v>1450</v>
      </c>
      <c r="J225" s="6" t="s">
        <v>2341</v>
      </c>
      <c r="K225" s="17"/>
    </row>
    <row r="226" spans="1:11" ht="13.95" customHeight="1" x14ac:dyDescent="0.3">
      <c r="A226" s="3">
        <v>45881</v>
      </c>
      <c r="B226" s="3" t="s">
        <v>2388</v>
      </c>
      <c r="C226" s="19" t="s">
        <v>20</v>
      </c>
      <c r="D226" s="19" t="s">
        <v>994</v>
      </c>
      <c r="E226" s="4">
        <v>1</v>
      </c>
      <c r="F226" s="42">
        <v>3.2</v>
      </c>
      <c r="G226" s="45">
        <v>250</v>
      </c>
      <c r="H226" s="22">
        <v>2</v>
      </c>
      <c r="I226" s="6">
        <f t="shared" si="3"/>
        <v>1600</v>
      </c>
      <c r="J226" s="6" t="s">
        <v>2350</v>
      </c>
      <c r="K226" s="17"/>
    </row>
    <row r="227" spans="1:11" ht="13.95" customHeight="1" x14ac:dyDescent="0.3">
      <c r="A227" s="3">
        <v>45882</v>
      </c>
      <c r="B227" s="3" t="s">
        <v>2388</v>
      </c>
      <c r="C227" s="19" t="s">
        <v>5</v>
      </c>
      <c r="D227" s="19" t="s">
        <v>850</v>
      </c>
      <c r="E227" s="4">
        <v>1</v>
      </c>
      <c r="F227" s="42">
        <v>4.4000000000000004</v>
      </c>
      <c r="G227" s="45">
        <v>250</v>
      </c>
      <c r="H227" s="22">
        <v>2</v>
      </c>
      <c r="I227" s="6">
        <f t="shared" si="3"/>
        <v>2200</v>
      </c>
      <c r="J227" s="6" t="s">
        <v>2351</v>
      </c>
      <c r="K227" s="17"/>
    </row>
    <row r="228" spans="1:11" ht="13.95" customHeight="1" x14ac:dyDescent="0.3">
      <c r="A228" s="3">
        <v>45883</v>
      </c>
      <c r="B228" s="3" t="s">
        <v>2388</v>
      </c>
      <c r="C228" s="19" t="s">
        <v>8</v>
      </c>
      <c r="D228" s="19" t="s">
        <v>2345</v>
      </c>
      <c r="E228" s="4">
        <v>1</v>
      </c>
      <c r="F228" s="42">
        <v>3</v>
      </c>
      <c r="G228" s="45">
        <v>250</v>
      </c>
      <c r="H228" s="22">
        <v>2</v>
      </c>
      <c r="I228" s="6">
        <f t="shared" si="3"/>
        <v>1500</v>
      </c>
      <c r="J228" s="6" t="s">
        <v>717</v>
      </c>
      <c r="K228" s="17"/>
    </row>
    <row r="229" spans="1:11" ht="13.95" customHeight="1" x14ac:dyDescent="0.3">
      <c r="A229" s="3">
        <v>45884</v>
      </c>
      <c r="B229" s="3" t="s">
        <v>2388</v>
      </c>
      <c r="C229" s="19" t="s">
        <v>11</v>
      </c>
      <c r="D229" s="19" t="s">
        <v>2345</v>
      </c>
      <c r="E229" s="4">
        <v>1</v>
      </c>
      <c r="F229" s="42">
        <v>3.45</v>
      </c>
      <c r="G229" s="45">
        <v>250</v>
      </c>
      <c r="H229" s="22">
        <v>2</v>
      </c>
      <c r="I229" s="6">
        <f t="shared" si="3"/>
        <v>1725</v>
      </c>
      <c r="J229" s="6" t="s">
        <v>2254</v>
      </c>
      <c r="K229" s="17"/>
    </row>
    <row r="230" spans="1:11" ht="13.95" customHeight="1" x14ac:dyDescent="0.3">
      <c r="A230" s="3">
        <v>45885</v>
      </c>
      <c r="B230" s="3" t="s">
        <v>2388</v>
      </c>
      <c r="C230" s="19" t="s">
        <v>13</v>
      </c>
      <c r="D230" s="19" t="s">
        <v>14</v>
      </c>
      <c r="E230" s="4">
        <v>1</v>
      </c>
      <c r="F230" s="42">
        <v>4.3499999999999996</v>
      </c>
      <c r="G230" s="45">
        <v>250</v>
      </c>
      <c r="H230" s="22">
        <v>2</v>
      </c>
      <c r="I230" s="6">
        <f t="shared" si="3"/>
        <v>2175</v>
      </c>
      <c r="J230" s="6" t="s">
        <v>2352</v>
      </c>
      <c r="K230" s="17"/>
    </row>
    <row r="231" spans="1:11" ht="13.95" customHeight="1" x14ac:dyDescent="0.3">
      <c r="A231" s="3">
        <v>45886</v>
      </c>
      <c r="B231" s="3" t="s">
        <v>2388</v>
      </c>
      <c r="C231" s="19" t="s">
        <v>16</v>
      </c>
      <c r="D231" s="19" t="s">
        <v>14</v>
      </c>
      <c r="E231" s="4">
        <v>1</v>
      </c>
      <c r="F231" s="42">
        <v>3.75</v>
      </c>
      <c r="G231" s="45">
        <v>250</v>
      </c>
      <c r="H231" s="22">
        <v>2</v>
      </c>
      <c r="I231" s="6">
        <f t="shared" si="3"/>
        <v>1875</v>
      </c>
      <c r="J231" s="6" t="s">
        <v>2118</v>
      </c>
      <c r="K231" s="17"/>
    </row>
    <row r="232" spans="1:11" ht="13.95" customHeight="1" x14ac:dyDescent="0.3">
      <c r="A232" s="3">
        <v>45887</v>
      </c>
      <c r="B232" s="3" t="s">
        <v>2388</v>
      </c>
      <c r="C232" s="19" t="s">
        <v>18</v>
      </c>
      <c r="D232" s="19" t="s">
        <v>2345</v>
      </c>
      <c r="E232" s="4">
        <v>1</v>
      </c>
      <c r="F232" s="42">
        <v>2.95</v>
      </c>
      <c r="G232" s="45">
        <v>250</v>
      </c>
      <c r="H232" s="22">
        <v>2</v>
      </c>
      <c r="I232" s="6">
        <f t="shared" si="3"/>
        <v>1475</v>
      </c>
      <c r="J232" s="6" t="s">
        <v>88</v>
      </c>
      <c r="K232" s="17"/>
    </row>
    <row r="233" spans="1:11" ht="13.95" customHeight="1" x14ac:dyDescent="0.3">
      <c r="A233" s="3">
        <v>45888</v>
      </c>
      <c r="B233" s="3" t="s">
        <v>2388</v>
      </c>
      <c r="C233" s="19" t="s">
        <v>20</v>
      </c>
      <c r="D233" s="19" t="s">
        <v>2345</v>
      </c>
      <c r="E233" s="4">
        <v>1</v>
      </c>
      <c r="F233" s="42">
        <v>2.9</v>
      </c>
      <c r="G233" s="45">
        <v>250</v>
      </c>
      <c r="H233" s="22">
        <v>2</v>
      </c>
      <c r="I233" s="6">
        <f t="shared" si="3"/>
        <v>1450</v>
      </c>
      <c r="J233" s="6" t="s">
        <v>88</v>
      </c>
      <c r="K233" s="17"/>
    </row>
    <row r="234" spans="1:11" ht="13.95" customHeight="1" x14ac:dyDescent="0.3">
      <c r="A234" s="3">
        <v>45889</v>
      </c>
      <c r="B234" s="3" t="s">
        <v>2388</v>
      </c>
      <c r="C234" s="19" t="s">
        <v>5</v>
      </c>
      <c r="D234" s="19" t="s">
        <v>2345</v>
      </c>
      <c r="E234" s="4">
        <v>1</v>
      </c>
      <c r="F234" s="42">
        <v>2.95</v>
      </c>
      <c r="G234" s="45">
        <v>250</v>
      </c>
      <c r="H234" s="22">
        <v>2</v>
      </c>
      <c r="I234" s="6">
        <f t="shared" si="3"/>
        <v>1475</v>
      </c>
      <c r="J234" s="6" t="s">
        <v>88</v>
      </c>
      <c r="K234" s="17"/>
    </row>
    <row r="235" spans="1:11" ht="13.95" customHeight="1" x14ac:dyDescent="0.3">
      <c r="A235" s="3">
        <v>45890</v>
      </c>
      <c r="B235" s="3" t="s">
        <v>2388</v>
      </c>
      <c r="C235" s="19" t="s">
        <v>8</v>
      </c>
      <c r="D235" s="19" t="s">
        <v>2345</v>
      </c>
      <c r="E235" s="4">
        <v>1</v>
      </c>
      <c r="F235" s="42">
        <v>3</v>
      </c>
      <c r="G235" s="45">
        <v>250</v>
      </c>
      <c r="H235" s="22">
        <v>2</v>
      </c>
      <c r="I235" s="6">
        <f t="shared" si="3"/>
        <v>1500</v>
      </c>
      <c r="J235" s="6" t="s">
        <v>88</v>
      </c>
      <c r="K235" s="17"/>
    </row>
    <row r="236" spans="1:11" ht="13.95" customHeight="1" x14ac:dyDescent="0.3">
      <c r="A236" s="3">
        <v>45891</v>
      </c>
      <c r="B236" s="3" t="s">
        <v>2388</v>
      </c>
      <c r="C236" s="19" t="s">
        <v>11</v>
      </c>
      <c r="D236" s="19" t="s">
        <v>2345</v>
      </c>
      <c r="E236" s="4">
        <v>1</v>
      </c>
      <c r="F236" s="42">
        <v>3.4</v>
      </c>
      <c r="G236" s="45">
        <v>250</v>
      </c>
      <c r="H236" s="22">
        <v>2</v>
      </c>
      <c r="I236" s="6">
        <f t="shared" si="3"/>
        <v>1700</v>
      </c>
      <c r="J236" s="6" t="s">
        <v>67</v>
      </c>
      <c r="K236" s="17"/>
    </row>
    <row r="237" spans="1:11" ht="13.95" customHeight="1" x14ac:dyDescent="0.3">
      <c r="A237" s="3">
        <v>45892</v>
      </c>
      <c r="B237" s="3" t="s">
        <v>2388</v>
      </c>
      <c r="C237" s="19" t="s">
        <v>13</v>
      </c>
      <c r="D237" s="19" t="s">
        <v>14</v>
      </c>
      <c r="E237" s="4">
        <v>1</v>
      </c>
      <c r="F237" s="42">
        <v>4.2</v>
      </c>
      <c r="G237" s="45">
        <v>250</v>
      </c>
      <c r="H237" s="22">
        <v>2</v>
      </c>
      <c r="I237" s="6">
        <f t="shared" si="3"/>
        <v>2100</v>
      </c>
      <c r="J237" s="6" t="s">
        <v>1478</v>
      </c>
      <c r="K237" s="17"/>
    </row>
    <row r="238" spans="1:11" ht="13.95" customHeight="1" x14ac:dyDescent="0.3">
      <c r="A238" s="3">
        <v>45893</v>
      </c>
      <c r="B238" s="3" t="s">
        <v>2388</v>
      </c>
      <c r="C238" s="19" t="s">
        <v>16</v>
      </c>
      <c r="D238" s="19" t="s">
        <v>14</v>
      </c>
      <c r="E238" s="4">
        <v>1</v>
      </c>
      <c r="F238" s="42">
        <v>3.7</v>
      </c>
      <c r="G238" s="45">
        <v>250</v>
      </c>
      <c r="H238" s="22">
        <v>2</v>
      </c>
      <c r="I238" s="6">
        <f t="shared" si="3"/>
        <v>1850</v>
      </c>
      <c r="J238" s="6" t="s">
        <v>238</v>
      </c>
      <c r="K238" s="17"/>
    </row>
    <row r="239" spans="1:11" ht="13.95" customHeight="1" x14ac:dyDescent="0.3">
      <c r="A239" s="3">
        <v>45894</v>
      </c>
      <c r="B239" s="3" t="s">
        <v>2388</v>
      </c>
      <c r="C239" s="19" t="s">
        <v>18</v>
      </c>
      <c r="D239" s="19" t="s">
        <v>2345</v>
      </c>
      <c r="E239" s="4">
        <v>1</v>
      </c>
      <c r="F239" s="42">
        <v>2.85</v>
      </c>
      <c r="G239" s="45">
        <v>250</v>
      </c>
      <c r="H239" s="22">
        <v>2</v>
      </c>
      <c r="I239" s="6">
        <f t="shared" si="3"/>
        <v>1425</v>
      </c>
      <c r="J239" s="6" t="s">
        <v>527</v>
      </c>
      <c r="K239" s="17"/>
    </row>
    <row r="240" spans="1:11" ht="13.95" customHeight="1" x14ac:dyDescent="0.3">
      <c r="A240" s="3">
        <v>45895</v>
      </c>
      <c r="B240" s="3" t="s">
        <v>2388</v>
      </c>
      <c r="C240" s="19" t="s">
        <v>20</v>
      </c>
      <c r="D240" s="19" t="s">
        <v>2345</v>
      </c>
      <c r="E240" s="4">
        <v>1</v>
      </c>
      <c r="F240" s="42">
        <v>2.85</v>
      </c>
      <c r="G240" s="45">
        <v>250</v>
      </c>
      <c r="H240" s="22">
        <v>2</v>
      </c>
      <c r="I240" s="6">
        <f t="shared" si="3"/>
        <v>1425</v>
      </c>
      <c r="J240" s="6" t="s">
        <v>88</v>
      </c>
      <c r="K240" s="17"/>
    </row>
    <row r="241" spans="1:11" ht="13.95" customHeight="1" x14ac:dyDescent="0.3">
      <c r="A241" s="3">
        <v>45896</v>
      </c>
      <c r="B241" s="3" t="s">
        <v>2388</v>
      </c>
      <c r="C241" s="19" t="s">
        <v>5</v>
      </c>
      <c r="D241" s="19" t="s">
        <v>2345</v>
      </c>
      <c r="E241" s="4">
        <v>1</v>
      </c>
      <c r="F241" s="42">
        <v>2.9</v>
      </c>
      <c r="G241" s="45">
        <v>250</v>
      </c>
      <c r="H241" s="22">
        <v>2</v>
      </c>
      <c r="I241" s="6">
        <f t="shared" si="3"/>
        <v>1450</v>
      </c>
      <c r="J241" s="6" t="s">
        <v>88</v>
      </c>
      <c r="K241" s="17"/>
    </row>
    <row r="242" spans="1:11" ht="13.95" customHeight="1" x14ac:dyDescent="0.3">
      <c r="A242" s="3">
        <v>45897</v>
      </c>
      <c r="B242" s="3" t="s">
        <v>2388</v>
      </c>
      <c r="C242" s="19" t="s">
        <v>8</v>
      </c>
      <c r="D242" s="19" t="s">
        <v>2345</v>
      </c>
      <c r="E242" s="4">
        <v>1</v>
      </c>
      <c r="F242" s="42">
        <v>3</v>
      </c>
      <c r="G242" s="45">
        <v>250</v>
      </c>
      <c r="H242" s="22">
        <v>2</v>
      </c>
      <c r="I242" s="6">
        <f t="shared" si="3"/>
        <v>1500</v>
      </c>
      <c r="J242" s="6" t="s">
        <v>88</v>
      </c>
      <c r="K242" s="17"/>
    </row>
    <row r="243" spans="1:11" ht="13.95" customHeight="1" x14ac:dyDescent="0.3">
      <c r="A243" s="3">
        <v>45898</v>
      </c>
      <c r="B243" s="3" t="s">
        <v>2388</v>
      </c>
      <c r="C243" s="19" t="s">
        <v>11</v>
      </c>
      <c r="D243" s="19" t="s">
        <v>2345</v>
      </c>
      <c r="E243" s="4">
        <v>1</v>
      </c>
      <c r="F243" s="42">
        <v>3.5</v>
      </c>
      <c r="G243" s="45">
        <v>250</v>
      </c>
      <c r="H243" s="22">
        <v>2</v>
      </c>
      <c r="I243" s="6">
        <f t="shared" si="3"/>
        <v>1750</v>
      </c>
      <c r="J243" s="6" t="s">
        <v>2258</v>
      </c>
      <c r="K243" s="17"/>
    </row>
    <row r="244" spans="1:11" ht="13.95" customHeight="1" x14ac:dyDescent="0.3">
      <c r="A244" s="3">
        <v>45899</v>
      </c>
      <c r="B244" s="3" t="s">
        <v>2388</v>
      </c>
      <c r="C244" s="19" t="s">
        <v>13</v>
      </c>
      <c r="D244" s="19" t="s">
        <v>14</v>
      </c>
      <c r="E244" s="4">
        <v>1</v>
      </c>
      <c r="F244" s="42">
        <v>4.25</v>
      </c>
      <c r="G244" s="45">
        <v>250</v>
      </c>
      <c r="H244" s="22">
        <v>2</v>
      </c>
      <c r="I244" s="6">
        <f t="shared" si="3"/>
        <v>2125</v>
      </c>
      <c r="J244" s="6" t="s">
        <v>2353</v>
      </c>
      <c r="K244" s="17"/>
    </row>
    <row r="245" spans="1:11" ht="13.95" customHeight="1" x14ac:dyDescent="0.3">
      <c r="A245" s="3">
        <v>45900</v>
      </c>
      <c r="B245" s="3" t="s">
        <v>2388</v>
      </c>
      <c r="C245" s="19" t="s">
        <v>16</v>
      </c>
      <c r="D245" s="19" t="s">
        <v>14</v>
      </c>
      <c r="E245" s="4">
        <v>1</v>
      </c>
      <c r="F245" s="42">
        <v>3.8</v>
      </c>
      <c r="G245" s="45">
        <v>250</v>
      </c>
      <c r="H245" s="22">
        <v>2</v>
      </c>
      <c r="I245" s="6">
        <f t="shared" si="3"/>
        <v>1900</v>
      </c>
      <c r="J245" s="6" t="s">
        <v>490</v>
      </c>
      <c r="K245" s="17"/>
    </row>
    <row r="246" spans="1:11" ht="13.95" customHeight="1" x14ac:dyDescent="0.3">
      <c r="A246" s="3">
        <v>45901</v>
      </c>
      <c r="B246" s="3" t="s">
        <v>2388</v>
      </c>
      <c r="C246" s="19" t="s">
        <v>18</v>
      </c>
      <c r="D246" s="19" t="s">
        <v>44</v>
      </c>
      <c r="E246" s="4">
        <v>0.9</v>
      </c>
      <c r="F246" s="42">
        <v>2.75</v>
      </c>
      <c r="G246" s="45">
        <v>250</v>
      </c>
      <c r="H246" s="22">
        <v>1.9</v>
      </c>
      <c r="I246" s="6">
        <f t="shared" si="3"/>
        <v>1175.625</v>
      </c>
      <c r="J246" s="6" t="s">
        <v>2193</v>
      </c>
      <c r="K246" s="17"/>
    </row>
    <row r="247" spans="1:11" ht="13.95" customHeight="1" x14ac:dyDescent="0.3">
      <c r="A247" s="3">
        <v>45902</v>
      </c>
      <c r="B247" s="3" t="s">
        <v>2388</v>
      </c>
      <c r="C247" s="19" t="s">
        <v>20</v>
      </c>
      <c r="D247" s="19" t="s">
        <v>44</v>
      </c>
      <c r="E247" s="4">
        <v>0.85</v>
      </c>
      <c r="F247" s="42">
        <v>2.7</v>
      </c>
      <c r="G247" s="45">
        <v>250</v>
      </c>
      <c r="H247" s="22">
        <v>1.9</v>
      </c>
      <c r="I247" s="6">
        <f t="shared" si="3"/>
        <v>1090.125</v>
      </c>
      <c r="J247" s="6" t="s">
        <v>2354</v>
      </c>
      <c r="K247" s="17"/>
    </row>
    <row r="248" spans="1:11" ht="13.95" customHeight="1" x14ac:dyDescent="0.3">
      <c r="A248" s="3">
        <v>45903</v>
      </c>
      <c r="B248" s="3" t="s">
        <v>2388</v>
      </c>
      <c r="C248" s="19" t="s">
        <v>5</v>
      </c>
      <c r="D248" s="19" t="s">
        <v>44</v>
      </c>
      <c r="E248" s="4">
        <v>0.85</v>
      </c>
      <c r="F248" s="42">
        <v>2.7</v>
      </c>
      <c r="G248" s="45">
        <v>250</v>
      </c>
      <c r="H248" s="22">
        <v>1.9</v>
      </c>
      <c r="I248" s="6">
        <f t="shared" si="3"/>
        <v>1090.125</v>
      </c>
      <c r="J248" s="6" t="s">
        <v>2320</v>
      </c>
      <c r="K248" s="17"/>
    </row>
    <row r="249" spans="1:11" ht="13.95" customHeight="1" x14ac:dyDescent="0.3">
      <c r="A249" s="3">
        <v>45904</v>
      </c>
      <c r="B249" s="3" t="s">
        <v>2388</v>
      </c>
      <c r="C249" s="19" t="s">
        <v>8</v>
      </c>
      <c r="D249" s="19" t="s">
        <v>44</v>
      </c>
      <c r="E249" s="4">
        <v>0.8</v>
      </c>
      <c r="F249" s="42">
        <v>2.75</v>
      </c>
      <c r="G249" s="45">
        <v>250</v>
      </c>
      <c r="H249" s="22">
        <v>1.9</v>
      </c>
      <c r="I249" s="6">
        <f t="shared" si="3"/>
        <v>1045</v>
      </c>
      <c r="J249" s="6" t="s">
        <v>2320</v>
      </c>
      <c r="K249" s="17"/>
    </row>
    <row r="250" spans="1:11" ht="13.95" customHeight="1" x14ac:dyDescent="0.3">
      <c r="A250" s="3">
        <v>45905</v>
      </c>
      <c r="B250" s="3" t="s">
        <v>2388</v>
      </c>
      <c r="C250" s="19" t="s">
        <v>11</v>
      </c>
      <c r="D250" s="19" t="s">
        <v>14</v>
      </c>
      <c r="E250" s="4">
        <v>0.85</v>
      </c>
      <c r="F250" s="42">
        <v>3.1</v>
      </c>
      <c r="G250" s="45">
        <v>250</v>
      </c>
      <c r="H250" s="22">
        <v>1.9</v>
      </c>
      <c r="I250" s="6">
        <f t="shared" si="3"/>
        <v>1251.625</v>
      </c>
      <c r="J250" s="6" t="s">
        <v>2342</v>
      </c>
      <c r="K250" s="17"/>
    </row>
    <row r="251" spans="1:11" ht="13.95" customHeight="1" x14ac:dyDescent="0.3">
      <c r="A251" s="3">
        <v>45906</v>
      </c>
      <c r="B251" s="3" t="s">
        <v>2388</v>
      </c>
      <c r="C251" s="19" t="s">
        <v>13</v>
      </c>
      <c r="D251" s="19" t="s">
        <v>14</v>
      </c>
      <c r="E251" s="4">
        <v>0.9</v>
      </c>
      <c r="F251" s="42">
        <v>3.9</v>
      </c>
      <c r="G251" s="45">
        <v>250</v>
      </c>
      <c r="H251" s="22">
        <v>1.9</v>
      </c>
      <c r="I251" s="6">
        <f t="shared" si="3"/>
        <v>1667.25</v>
      </c>
      <c r="J251" s="6" t="s">
        <v>2355</v>
      </c>
      <c r="K251" s="17"/>
    </row>
    <row r="252" spans="1:11" ht="13.95" customHeight="1" x14ac:dyDescent="0.3">
      <c r="A252" s="3">
        <v>45907</v>
      </c>
      <c r="B252" s="3" t="s">
        <v>2388</v>
      </c>
      <c r="C252" s="19" t="s">
        <v>16</v>
      </c>
      <c r="D252" s="19" t="s">
        <v>14</v>
      </c>
      <c r="E252" s="4">
        <v>0.85</v>
      </c>
      <c r="F252" s="42">
        <v>3.4</v>
      </c>
      <c r="G252" s="45">
        <v>250</v>
      </c>
      <c r="H252" s="22">
        <v>1.9</v>
      </c>
      <c r="I252" s="6">
        <f t="shared" si="3"/>
        <v>1372.75</v>
      </c>
      <c r="J252" s="6" t="s">
        <v>2118</v>
      </c>
      <c r="K252" s="17"/>
    </row>
    <row r="253" spans="1:11" ht="13.95" customHeight="1" x14ac:dyDescent="0.3">
      <c r="A253" s="3">
        <v>45908</v>
      </c>
      <c r="B253" s="3" t="s">
        <v>2388</v>
      </c>
      <c r="C253" s="19" t="s">
        <v>18</v>
      </c>
      <c r="D253" s="19" t="s">
        <v>2266</v>
      </c>
      <c r="E253" s="4">
        <v>0.75</v>
      </c>
      <c r="F253" s="42">
        <v>2.4</v>
      </c>
      <c r="G253" s="45">
        <v>250</v>
      </c>
      <c r="H253" s="22">
        <v>1.9</v>
      </c>
      <c r="I253" s="6">
        <f t="shared" si="3"/>
        <v>855</v>
      </c>
      <c r="J253" s="6" t="s">
        <v>2356</v>
      </c>
      <c r="K253" s="17"/>
    </row>
    <row r="254" spans="1:11" ht="13.95" customHeight="1" x14ac:dyDescent="0.3">
      <c r="A254" s="3">
        <v>45909</v>
      </c>
      <c r="B254" s="3" t="s">
        <v>2388</v>
      </c>
      <c r="C254" s="19" t="s">
        <v>20</v>
      </c>
      <c r="D254" s="19" t="s">
        <v>2266</v>
      </c>
      <c r="E254" s="4">
        <v>0.75</v>
      </c>
      <c r="F254" s="42">
        <v>2.4</v>
      </c>
      <c r="G254" s="45">
        <v>250</v>
      </c>
      <c r="H254" s="22">
        <v>1.9</v>
      </c>
      <c r="I254" s="6">
        <f t="shared" si="3"/>
        <v>855</v>
      </c>
      <c r="J254" s="6" t="s">
        <v>2356</v>
      </c>
      <c r="K254" s="17"/>
    </row>
    <row r="255" spans="1:11" ht="13.95" customHeight="1" x14ac:dyDescent="0.3">
      <c r="A255" s="3">
        <v>45910</v>
      </c>
      <c r="B255" s="3" t="s">
        <v>2388</v>
      </c>
      <c r="C255" s="19" t="s">
        <v>5</v>
      </c>
      <c r="D255" s="19" t="s">
        <v>2266</v>
      </c>
      <c r="E255" s="4">
        <v>0.8</v>
      </c>
      <c r="F255" s="42">
        <v>2.4500000000000002</v>
      </c>
      <c r="G255" s="45">
        <v>250</v>
      </c>
      <c r="H255" s="22">
        <v>1.9</v>
      </c>
      <c r="I255" s="6">
        <f t="shared" si="3"/>
        <v>931.00000000000011</v>
      </c>
      <c r="J255" s="6" t="s">
        <v>88</v>
      </c>
      <c r="K255" s="17"/>
    </row>
    <row r="256" spans="1:11" ht="13.95" customHeight="1" x14ac:dyDescent="0.3">
      <c r="A256" s="3">
        <v>45911</v>
      </c>
      <c r="B256" s="3" t="s">
        <v>2388</v>
      </c>
      <c r="C256" s="19" t="s">
        <v>8</v>
      </c>
      <c r="D256" s="19" t="s">
        <v>2357</v>
      </c>
      <c r="E256" s="4">
        <v>0.85</v>
      </c>
      <c r="F256" s="42">
        <v>2.5499999999999998</v>
      </c>
      <c r="G256" s="45">
        <v>250</v>
      </c>
      <c r="H256" s="22">
        <v>1.9</v>
      </c>
      <c r="I256" s="6">
        <f t="shared" si="3"/>
        <v>1029.5625</v>
      </c>
      <c r="J256" s="6" t="s">
        <v>2358</v>
      </c>
      <c r="K256" s="17"/>
    </row>
    <row r="257" spans="1:11" ht="13.95" customHeight="1" x14ac:dyDescent="0.3">
      <c r="A257" s="3">
        <v>45912</v>
      </c>
      <c r="B257" s="3" t="s">
        <v>2388</v>
      </c>
      <c r="C257" s="19" t="s">
        <v>11</v>
      </c>
      <c r="D257" s="19" t="s">
        <v>2357</v>
      </c>
      <c r="E257" s="4">
        <v>0.85</v>
      </c>
      <c r="F257" s="42">
        <v>2.7</v>
      </c>
      <c r="G257" s="45">
        <v>250</v>
      </c>
      <c r="H257" s="22">
        <v>1.9</v>
      </c>
      <c r="I257" s="6">
        <f t="shared" si="3"/>
        <v>1090.125</v>
      </c>
      <c r="J257" s="6" t="s">
        <v>2359</v>
      </c>
      <c r="K257" s="17"/>
    </row>
    <row r="258" spans="1:11" ht="13.95" customHeight="1" x14ac:dyDescent="0.3">
      <c r="A258" s="3">
        <v>45913</v>
      </c>
      <c r="B258" s="3" t="s">
        <v>2388</v>
      </c>
      <c r="C258" s="19" t="s">
        <v>13</v>
      </c>
      <c r="D258" s="19" t="s">
        <v>14</v>
      </c>
      <c r="E258" s="4">
        <v>0.8</v>
      </c>
      <c r="F258" s="42">
        <v>3.8</v>
      </c>
      <c r="G258" s="45">
        <v>250</v>
      </c>
      <c r="H258" s="22">
        <v>1.9</v>
      </c>
      <c r="I258" s="6">
        <f t="shared" ref="I258:I321" si="4">(G258*E258)*F258*H258</f>
        <v>1444</v>
      </c>
      <c r="J258" s="6" t="s">
        <v>2343</v>
      </c>
      <c r="K258" s="17"/>
    </row>
    <row r="259" spans="1:11" ht="13.95" customHeight="1" x14ac:dyDescent="0.3">
      <c r="A259" s="3">
        <v>45914</v>
      </c>
      <c r="B259" s="3" t="s">
        <v>2388</v>
      </c>
      <c r="C259" s="19" t="s">
        <v>16</v>
      </c>
      <c r="D259" s="19" t="s">
        <v>14</v>
      </c>
      <c r="E259" s="4">
        <v>0.75</v>
      </c>
      <c r="F259" s="42">
        <v>3.3</v>
      </c>
      <c r="G259" s="45">
        <v>250</v>
      </c>
      <c r="H259" s="22">
        <v>1.9</v>
      </c>
      <c r="I259" s="6">
        <f t="shared" si="4"/>
        <v>1175.625</v>
      </c>
      <c r="J259" s="6" t="s">
        <v>69</v>
      </c>
      <c r="K259" s="17"/>
    </row>
    <row r="260" spans="1:11" ht="13.95" customHeight="1" x14ac:dyDescent="0.3">
      <c r="A260" s="3">
        <v>45915</v>
      </c>
      <c r="B260" s="3" t="s">
        <v>2388</v>
      </c>
      <c r="C260" s="19" t="s">
        <v>18</v>
      </c>
      <c r="D260" s="19" t="s">
        <v>2266</v>
      </c>
      <c r="E260" s="4">
        <v>0.7</v>
      </c>
      <c r="F260" s="42">
        <v>2.35</v>
      </c>
      <c r="G260" s="45">
        <v>250</v>
      </c>
      <c r="H260" s="22">
        <v>1.9</v>
      </c>
      <c r="I260" s="6">
        <f t="shared" si="4"/>
        <v>781.375</v>
      </c>
      <c r="J260" s="6" t="s">
        <v>150</v>
      </c>
      <c r="K260" s="17"/>
    </row>
    <row r="261" spans="1:11" ht="13.95" customHeight="1" x14ac:dyDescent="0.3">
      <c r="A261" s="3">
        <v>45916</v>
      </c>
      <c r="B261" s="3" t="s">
        <v>2388</v>
      </c>
      <c r="C261" s="19" t="s">
        <v>20</v>
      </c>
      <c r="D261" s="19" t="s">
        <v>2266</v>
      </c>
      <c r="E261" s="4">
        <v>0.7</v>
      </c>
      <c r="F261" s="42">
        <v>2.35</v>
      </c>
      <c r="G261" s="45">
        <v>250</v>
      </c>
      <c r="H261" s="22">
        <v>1.9</v>
      </c>
      <c r="I261" s="6">
        <f t="shared" si="4"/>
        <v>781.375</v>
      </c>
      <c r="J261" s="6" t="s">
        <v>150</v>
      </c>
      <c r="K261" s="17"/>
    </row>
    <row r="262" spans="1:11" ht="13.95" customHeight="1" x14ac:dyDescent="0.3">
      <c r="A262" s="3">
        <v>45917</v>
      </c>
      <c r="B262" s="3" t="s">
        <v>2388</v>
      </c>
      <c r="C262" s="19" t="s">
        <v>5</v>
      </c>
      <c r="D262" s="19" t="s">
        <v>2266</v>
      </c>
      <c r="E262" s="4">
        <v>0.75</v>
      </c>
      <c r="F262" s="42">
        <v>2.4</v>
      </c>
      <c r="G262" s="45">
        <v>250</v>
      </c>
      <c r="H262" s="22">
        <v>1.9</v>
      </c>
      <c r="I262" s="6">
        <f t="shared" si="4"/>
        <v>855</v>
      </c>
      <c r="J262" s="6" t="s">
        <v>88</v>
      </c>
      <c r="K262" s="17"/>
    </row>
    <row r="263" spans="1:11" ht="13.95" customHeight="1" x14ac:dyDescent="0.3">
      <c r="A263" s="3">
        <v>45918</v>
      </c>
      <c r="B263" s="3" t="s">
        <v>2388</v>
      </c>
      <c r="C263" s="19" t="s">
        <v>8</v>
      </c>
      <c r="D263" s="19" t="s">
        <v>2266</v>
      </c>
      <c r="E263" s="4">
        <v>0.75</v>
      </c>
      <c r="F263" s="42">
        <v>2.4</v>
      </c>
      <c r="G263" s="45">
        <v>250</v>
      </c>
      <c r="H263" s="22">
        <v>1.9</v>
      </c>
      <c r="I263" s="6">
        <f t="shared" si="4"/>
        <v>855</v>
      </c>
      <c r="J263" s="6" t="s">
        <v>88</v>
      </c>
      <c r="K263" s="17"/>
    </row>
    <row r="264" spans="1:11" ht="13.95" customHeight="1" x14ac:dyDescent="0.3">
      <c r="A264" s="3">
        <v>45919</v>
      </c>
      <c r="B264" s="3" t="s">
        <v>2388</v>
      </c>
      <c r="C264" s="19" t="s">
        <v>11</v>
      </c>
      <c r="D264" s="19" t="s">
        <v>14</v>
      </c>
      <c r="E264" s="4">
        <v>0.8</v>
      </c>
      <c r="F264" s="42">
        <v>2.8</v>
      </c>
      <c r="G264" s="45">
        <v>250</v>
      </c>
      <c r="H264" s="22">
        <v>1.9</v>
      </c>
      <c r="I264" s="6">
        <f t="shared" si="4"/>
        <v>1064</v>
      </c>
      <c r="J264" s="6" t="s">
        <v>97</v>
      </c>
      <c r="K264" s="17"/>
    </row>
    <row r="265" spans="1:11" ht="13.95" customHeight="1" x14ac:dyDescent="0.3">
      <c r="A265" s="3">
        <v>45920</v>
      </c>
      <c r="B265" s="3" t="s">
        <v>2388</v>
      </c>
      <c r="C265" s="19" t="s">
        <v>13</v>
      </c>
      <c r="D265" s="19" t="s">
        <v>14</v>
      </c>
      <c r="E265" s="4">
        <v>0.85</v>
      </c>
      <c r="F265" s="42">
        <v>3.75</v>
      </c>
      <c r="G265" s="45">
        <v>250</v>
      </c>
      <c r="H265" s="22">
        <v>1.9</v>
      </c>
      <c r="I265" s="6">
        <f t="shared" si="4"/>
        <v>1514.0625</v>
      </c>
      <c r="J265" s="6" t="s">
        <v>2307</v>
      </c>
      <c r="K265" s="17"/>
    </row>
    <row r="266" spans="1:11" ht="13.95" customHeight="1" x14ac:dyDescent="0.3">
      <c r="A266" s="3">
        <v>45921</v>
      </c>
      <c r="B266" s="3" t="s">
        <v>2388</v>
      </c>
      <c r="C266" s="19" t="s">
        <v>16</v>
      </c>
      <c r="D266" s="19" t="s">
        <v>14</v>
      </c>
      <c r="E266" s="4">
        <v>0.8</v>
      </c>
      <c r="F266" s="42">
        <v>3.3</v>
      </c>
      <c r="G266" s="45">
        <v>250</v>
      </c>
      <c r="H266" s="22">
        <v>1.9</v>
      </c>
      <c r="I266" s="6">
        <f t="shared" si="4"/>
        <v>1254</v>
      </c>
      <c r="J266" s="6" t="s">
        <v>69</v>
      </c>
      <c r="K266" s="17"/>
    </row>
    <row r="267" spans="1:11" ht="13.95" customHeight="1" x14ac:dyDescent="0.3">
      <c r="A267" s="3">
        <v>45922</v>
      </c>
      <c r="B267" s="3" t="s">
        <v>2388</v>
      </c>
      <c r="C267" s="19" t="s">
        <v>18</v>
      </c>
      <c r="D267" s="19" t="s">
        <v>2266</v>
      </c>
      <c r="E267" s="4">
        <v>0.65</v>
      </c>
      <c r="F267" s="42">
        <v>2.2999999999999998</v>
      </c>
      <c r="G267" s="45">
        <v>250</v>
      </c>
      <c r="H267" s="22">
        <v>1.9</v>
      </c>
      <c r="I267" s="6">
        <f t="shared" si="4"/>
        <v>710.12499999999989</v>
      </c>
      <c r="J267" s="6" t="s">
        <v>272</v>
      </c>
      <c r="K267" s="17"/>
    </row>
    <row r="268" spans="1:11" ht="13.95" customHeight="1" x14ac:dyDescent="0.3">
      <c r="A268" s="3">
        <v>45923</v>
      </c>
      <c r="B268" s="3" t="s">
        <v>2388</v>
      </c>
      <c r="C268" s="19" t="s">
        <v>20</v>
      </c>
      <c r="D268" s="19" t="s">
        <v>2266</v>
      </c>
      <c r="E268" s="4">
        <v>0.65</v>
      </c>
      <c r="F268" s="42">
        <v>2.2999999999999998</v>
      </c>
      <c r="G268" s="45">
        <v>250</v>
      </c>
      <c r="H268" s="22">
        <v>1.9</v>
      </c>
      <c r="I268" s="6">
        <f t="shared" si="4"/>
        <v>710.12499999999989</v>
      </c>
      <c r="J268" s="6" t="s">
        <v>272</v>
      </c>
      <c r="K268" s="17"/>
    </row>
    <row r="269" spans="1:11" ht="13.95" customHeight="1" x14ac:dyDescent="0.3">
      <c r="A269" s="3">
        <v>45924</v>
      </c>
      <c r="B269" s="3" t="s">
        <v>2388</v>
      </c>
      <c r="C269" s="19" t="s">
        <v>5</v>
      </c>
      <c r="D269" s="19" t="s">
        <v>2266</v>
      </c>
      <c r="E269" s="4">
        <v>0.7</v>
      </c>
      <c r="F269" s="42">
        <v>2.35</v>
      </c>
      <c r="G269" s="45">
        <v>250</v>
      </c>
      <c r="H269" s="22">
        <v>1.9</v>
      </c>
      <c r="I269" s="6">
        <f t="shared" si="4"/>
        <v>781.375</v>
      </c>
      <c r="J269" s="6" t="s">
        <v>88</v>
      </c>
      <c r="K269" s="17"/>
    </row>
    <row r="270" spans="1:11" ht="13.95" customHeight="1" x14ac:dyDescent="0.3">
      <c r="A270" s="3">
        <v>45925</v>
      </c>
      <c r="B270" s="3" t="s">
        <v>2388</v>
      </c>
      <c r="C270" s="19" t="s">
        <v>8</v>
      </c>
      <c r="D270" s="19" t="s">
        <v>2266</v>
      </c>
      <c r="E270" s="4">
        <v>0.7</v>
      </c>
      <c r="F270" s="42">
        <v>2.4</v>
      </c>
      <c r="G270" s="45">
        <v>250</v>
      </c>
      <c r="H270" s="22">
        <v>1.9</v>
      </c>
      <c r="I270" s="6">
        <f t="shared" si="4"/>
        <v>798</v>
      </c>
      <c r="J270" s="6" t="s">
        <v>88</v>
      </c>
      <c r="K270" s="17"/>
    </row>
    <row r="271" spans="1:11" ht="13.95" customHeight="1" x14ac:dyDescent="0.3">
      <c r="A271" s="3">
        <v>45926</v>
      </c>
      <c r="B271" s="3" t="s">
        <v>2388</v>
      </c>
      <c r="C271" s="19" t="s">
        <v>11</v>
      </c>
      <c r="D271" s="19" t="s">
        <v>14</v>
      </c>
      <c r="E271" s="4">
        <v>0.75</v>
      </c>
      <c r="F271" s="42">
        <v>2.85</v>
      </c>
      <c r="G271" s="45">
        <v>250</v>
      </c>
      <c r="H271" s="22">
        <v>1.9</v>
      </c>
      <c r="I271" s="6">
        <f t="shared" si="4"/>
        <v>1015.3125</v>
      </c>
      <c r="J271" s="6" t="s">
        <v>282</v>
      </c>
      <c r="K271" s="17"/>
    </row>
    <row r="272" spans="1:11" ht="13.95" customHeight="1" x14ac:dyDescent="0.3">
      <c r="A272" s="3">
        <v>45927</v>
      </c>
      <c r="B272" s="3" t="s">
        <v>2388</v>
      </c>
      <c r="C272" s="19" t="s">
        <v>13</v>
      </c>
      <c r="D272" s="19" t="s">
        <v>14</v>
      </c>
      <c r="E272" s="4">
        <v>0.8</v>
      </c>
      <c r="F272" s="42">
        <v>3.7</v>
      </c>
      <c r="G272" s="45">
        <v>250</v>
      </c>
      <c r="H272" s="22">
        <v>1.9</v>
      </c>
      <c r="I272" s="6">
        <f t="shared" si="4"/>
        <v>1406</v>
      </c>
      <c r="J272" s="6" t="s">
        <v>1811</v>
      </c>
      <c r="K272" s="17"/>
    </row>
    <row r="273" spans="1:11" ht="13.95" customHeight="1" x14ac:dyDescent="0.3">
      <c r="A273" s="3">
        <v>45928</v>
      </c>
      <c r="B273" s="3" t="s">
        <v>2388</v>
      </c>
      <c r="C273" s="19" t="s">
        <v>16</v>
      </c>
      <c r="D273" s="19" t="s">
        <v>14</v>
      </c>
      <c r="E273" s="4">
        <v>0.75</v>
      </c>
      <c r="F273" s="42">
        <v>3.3</v>
      </c>
      <c r="G273" s="45">
        <v>250</v>
      </c>
      <c r="H273" s="22">
        <v>1.9</v>
      </c>
      <c r="I273" s="6">
        <f t="shared" si="4"/>
        <v>1175.625</v>
      </c>
      <c r="J273" s="6" t="s">
        <v>238</v>
      </c>
      <c r="K273" s="17"/>
    </row>
    <row r="274" spans="1:11" ht="13.95" customHeight="1" x14ac:dyDescent="0.3">
      <c r="A274" s="3">
        <v>45929</v>
      </c>
      <c r="B274" s="3" t="s">
        <v>2388</v>
      </c>
      <c r="C274" s="19" t="s">
        <v>18</v>
      </c>
      <c r="D274" s="19" t="s">
        <v>2266</v>
      </c>
      <c r="E274" s="4">
        <v>0.65</v>
      </c>
      <c r="F274" s="42">
        <v>2.2999999999999998</v>
      </c>
      <c r="G274" s="45">
        <v>250</v>
      </c>
      <c r="H274" s="22">
        <v>1.9</v>
      </c>
      <c r="I274" s="6">
        <f t="shared" si="4"/>
        <v>710.12499999999989</v>
      </c>
      <c r="J274" s="6" t="s">
        <v>99</v>
      </c>
      <c r="K274" s="17"/>
    </row>
    <row r="275" spans="1:11" ht="13.95" customHeight="1" x14ac:dyDescent="0.3">
      <c r="A275" s="3">
        <v>45930</v>
      </c>
      <c r="B275" s="3" t="s">
        <v>2388</v>
      </c>
      <c r="C275" s="19" t="s">
        <v>20</v>
      </c>
      <c r="D275" s="19" t="s">
        <v>2266</v>
      </c>
      <c r="E275" s="4">
        <v>0.65</v>
      </c>
      <c r="F275" s="42">
        <v>2.2999999999999998</v>
      </c>
      <c r="G275" s="45">
        <v>250</v>
      </c>
      <c r="H275" s="22">
        <v>1.9</v>
      </c>
      <c r="I275" s="6">
        <f t="shared" si="4"/>
        <v>710.12499999999989</v>
      </c>
      <c r="J275" s="6" t="s">
        <v>99</v>
      </c>
      <c r="K275" s="17"/>
    </row>
    <row r="276" spans="1:11" ht="13.95" customHeight="1" x14ac:dyDescent="0.3">
      <c r="A276" s="3">
        <v>45931</v>
      </c>
      <c r="B276" s="3" t="s">
        <v>2388</v>
      </c>
      <c r="C276" s="19" t="s">
        <v>5</v>
      </c>
      <c r="D276" s="19" t="s">
        <v>9</v>
      </c>
      <c r="E276" s="4">
        <v>0.65</v>
      </c>
      <c r="F276" s="42">
        <v>2.4</v>
      </c>
      <c r="G276" s="45">
        <v>250</v>
      </c>
      <c r="H276" s="22">
        <v>1.9</v>
      </c>
      <c r="I276" s="6">
        <f t="shared" si="4"/>
        <v>741</v>
      </c>
      <c r="J276" s="6" t="s">
        <v>2298</v>
      </c>
      <c r="K276" s="17"/>
    </row>
    <row r="277" spans="1:11" ht="13.95" customHeight="1" x14ac:dyDescent="0.3">
      <c r="A277" s="3">
        <v>45932</v>
      </c>
      <c r="B277" s="3" t="s">
        <v>2388</v>
      </c>
      <c r="C277" s="19" t="s">
        <v>8</v>
      </c>
      <c r="D277" s="19" t="s">
        <v>9</v>
      </c>
      <c r="E277" s="4">
        <v>0.65</v>
      </c>
      <c r="F277" s="42">
        <v>2.4</v>
      </c>
      <c r="G277" s="45">
        <v>250</v>
      </c>
      <c r="H277" s="22">
        <v>1.9</v>
      </c>
      <c r="I277" s="6">
        <f t="shared" si="4"/>
        <v>741</v>
      </c>
      <c r="J277" s="6" t="s">
        <v>2320</v>
      </c>
      <c r="K277" s="17"/>
    </row>
    <row r="278" spans="1:11" ht="13.95" customHeight="1" x14ac:dyDescent="0.3">
      <c r="A278" s="3">
        <v>45933</v>
      </c>
      <c r="B278" s="3" t="s">
        <v>2388</v>
      </c>
      <c r="C278" s="19" t="s">
        <v>11</v>
      </c>
      <c r="D278" s="19" t="s">
        <v>14</v>
      </c>
      <c r="E278" s="4">
        <v>0.7</v>
      </c>
      <c r="F278" s="42">
        <v>2.85</v>
      </c>
      <c r="G278" s="45">
        <v>250</v>
      </c>
      <c r="H278" s="22">
        <v>1.9</v>
      </c>
      <c r="I278" s="6">
        <f t="shared" si="4"/>
        <v>947.625</v>
      </c>
      <c r="J278" s="6" t="s">
        <v>2311</v>
      </c>
      <c r="K278" s="17"/>
    </row>
    <row r="279" spans="1:11" ht="13.95" customHeight="1" x14ac:dyDescent="0.3">
      <c r="A279" s="3">
        <v>45934</v>
      </c>
      <c r="B279" s="3" t="s">
        <v>2388</v>
      </c>
      <c r="C279" s="19" t="s">
        <v>13</v>
      </c>
      <c r="D279" s="19" t="s">
        <v>14</v>
      </c>
      <c r="E279" s="4">
        <v>0.75</v>
      </c>
      <c r="F279" s="42">
        <v>3.7</v>
      </c>
      <c r="G279" s="45">
        <v>250</v>
      </c>
      <c r="H279" s="22">
        <v>1.9</v>
      </c>
      <c r="I279" s="6">
        <f t="shared" si="4"/>
        <v>1318.125</v>
      </c>
      <c r="J279" s="6" t="s">
        <v>2307</v>
      </c>
      <c r="K279" s="17"/>
    </row>
    <row r="280" spans="1:11" ht="13.95" customHeight="1" x14ac:dyDescent="0.3">
      <c r="A280" s="3">
        <v>45935</v>
      </c>
      <c r="B280" s="3" t="s">
        <v>2388</v>
      </c>
      <c r="C280" s="19" t="s">
        <v>16</v>
      </c>
      <c r="D280" s="19" t="s">
        <v>14</v>
      </c>
      <c r="E280" s="4">
        <v>0.7</v>
      </c>
      <c r="F280" s="42">
        <v>3.3</v>
      </c>
      <c r="G280" s="45">
        <v>250</v>
      </c>
      <c r="H280" s="22">
        <v>1.9</v>
      </c>
      <c r="I280" s="6">
        <f t="shared" si="4"/>
        <v>1097.25</v>
      </c>
      <c r="J280" s="6" t="s">
        <v>2297</v>
      </c>
      <c r="K280" s="17"/>
    </row>
    <row r="281" spans="1:11" ht="13.95" customHeight="1" x14ac:dyDescent="0.3">
      <c r="A281" s="3">
        <v>45936</v>
      </c>
      <c r="B281" s="3" t="s">
        <v>2388</v>
      </c>
      <c r="C281" s="19" t="s">
        <v>18</v>
      </c>
      <c r="D281" s="19" t="s">
        <v>2266</v>
      </c>
      <c r="E281" s="4">
        <v>0.6</v>
      </c>
      <c r="F281" s="42">
        <v>2.2999999999999998</v>
      </c>
      <c r="G281" s="45">
        <v>250</v>
      </c>
      <c r="H281" s="22">
        <v>1.9</v>
      </c>
      <c r="I281" s="6">
        <f t="shared" si="4"/>
        <v>655.5</v>
      </c>
      <c r="J281" s="6" t="s">
        <v>2288</v>
      </c>
      <c r="K281" s="17"/>
    </row>
    <row r="282" spans="1:11" ht="13.95" customHeight="1" x14ac:dyDescent="0.3">
      <c r="A282" s="3">
        <v>45937</v>
      </c>
      <c r="B282" s="3" t="s">
        <v>2388</v>
      </c>
      <c r="C282" s="19" t="s">
        <v>20</v>
      </c>
      <c r="D282" s="19" t="s">
        <v>2266</v>
      </c>
      <c r="E282" s="4">
        <v>0.6</v>
      </c>
      <c r="F282" s="42">
        <v>2.2999999999999998</v>
      </c>
      <c r="G282" s="45">
        <v>250</v>
      </c>
      <c r="H282" s="22">
        <v>1.9</v>
      </c>
      <c r="I282" s="6">
        <f t="shared" si="4"/>
        <v>655.5</v>
      </c>
      <c r="J282" s="6" t="s">
        <v>2360</v>
      </c>
      <c r="K282" s="17"/>
    </row>
    <row r="283" spans="1:11" ht="13.95" customHeight="1" x14ac:dyDescent="0.3">
      <c r="A283" s="3">
        <v>45938</v>
      </c>
      <c r="B283" s="3" t="s">
        <v>2388</v>
      </c>
      <c r="C283" s="19" t="s">
        <v>5</v>
      </c>
      <c r="D283" s="19" t="s">
        <v>2357</v>
      </c>
      <c r="E283" s="4">
        <v>0.75</v>
      </c>
      <c r="F283" s="42">
        <v>2.4500000000000002</v>
      </c>
      <c r="G283" s="45">
        <v>250</v>
      </c>
      <c r="H283" s="22">
        <v>1.9</v>
      </c>
      <c r="I283" s="6">
        <f t="shared" si="4"/>
        <v>872.81250000000011</v>
      </c>
      <c r="J283" s="6" t="s">
        <v>2361</v>
      </c>
      <c r="K283" s="17"/>
    </row>
    <row r="284" spans="1:11" ht="13.95" customHeight="1" x14ac:dyDescent="0.3">
      <c r="A284" s="3">
        <v>45939</v>
      </c>
      <c r="B284" s="3" t="s">
        <v>2388</v>
      </c>
      <c r="C284" s="19" t="s">
        <v>8</v>
      </c>
      <c r="D284" s="19" t="s">
        <v>2357</v>
      </c>
      <c r="E284" s="4">
        <v>0.8</v>
      </c>
      <c r="F284" s="42">
        <v>2.6</v>
      </c>
      <c r="G284" s="45">
        <v>250</v>
      </c>
      <c r="H284" s="22">
        <v>1.9</v>
      </c>
      <c r="I284" s="6">
        <f t="shared" si="4"/>
        <v>988</v>
      </c>
      <c r="J284" s="6" t="s">
        <v>2362</v>
      </c>
      <c r="K284" s="17"/>
    </row>
    <row r="285" spans="1:11" ht="13.95" customHeight="1" x14ac:dyDescent="0.3">
      <c r="A285" s="3">
        <v>45940</v>
      </c>
      <c r="B285" s="3" t="s">
        <v>2388</v>
      </c>
      <c r="C285" s="19" t="s">
        <v>11</v>
      </c>
      <c r="D285" s="19" t="s">
        <v>14</v>
      </c>
      <c r="E285" s="4">
        <v>0.75</v>
      </c>
      <c r="F285" s="42">
        <v>2.9</v>
      </c>
      <c r="G285" s="45">
        <v>250</v>
      </c>
      <c r="H285" s="22">
        <v>1.9</v>
      </c>
      <c r="I285" s="6">
        <f t="shared" si="4"/>
        <v>1033.125</v>
      </c>
      <c r="J285" s="6" t="s">
        <v>540</v>
      </c>
      <c r="K285" s="17"/>
    </row>
    <row r="286" spans="1:11" ht="13.95" customHeight="1" x14ac:dyDescent="0.3">
      <c r="A286" s="3">
        <v>45941</v>
      </c>
      <c r="B286" s="3" t="s">
        <v>2388</v>
      </c>
      <c r="C286" s="19" t="s">
        <v>13</v>
      </c>
      <c r="D286" s="19" t="s">
        <v>14</v>
      </c>
      <c r="E286" s="4">
        <v>0.8</v>
      </c>
      <c r="F286" s="42">
        <v>3.75</v>
      </c>
      <c r="G286" s="45">
        <v>250</v>
      </c>
      <c r="H286" s="22">
        <v>1.9</v>
      </c>
      <c r="I286" s="6">
        <f t="shared" si="4"/>
        <v>1425</v>
      </c>
      <c r="J286" s="6" t="s">
        <v>2343</v>
      </c>
      <c r="K286" s="17"/>
    </row>
    <row r="287" spans="1:11" ht="13.95" customHeight="1" x14ac:dyDescent="0.3">
      <c r="A287" s="3">
        <v>45942</v>
      </c>
      <c r="B287" s="3" t="s">
        <v>2388</v>
      </c>
      <c r="C287" s="19" t="s">
        <v>16</v>
      </c>
      <c r="D287" s="19" t="s">
        <v>14</v>
      </c>
      <c r="E287" s="4">
        <v>0.75</v>
      </c>
      <c r="F287" s="42">
        <v>3.35</v>
      </c>
      <c r="G287" s="45">
        <v>250</v>
      </c>
      <c r="H287" s="22">
        <v>1.9</v>
      </c>
      <c r="I287" s="6">
        <f t="shared" si="4"/>
        <v>1193.4375</v>
      </c>
      <c r="J287" s="6" t="s">
        <v>2291</v>
      </c>
      <c r="K287" s="17"/>
    </row>
    <row r="288" spans="1:11" ht="13.95" customHeight="1" x14ac:dyDescent="0.3">
      <c r="A288" s="3">
        <v>45943</v>
      </c>
      <c r="B288" s="3" t="s">
        <v>2388</v>
      </c>
      <c r="C288" s="19" t="s">
        <v>18</v>
      </c>
      <c r="D288" s="19" t="s">
        <v>2266</v>
      </c>
      <c r="E288" s="4">
        <v>0.55000000000000004</v>
      </c>
      <c r="F288" s="42">
        <v>2.25</v>
      </c>
      <c r="G288" s="45">
        <v>250</v>
      </c>
      <c r="H288" s="22">
        <v>1.9</v>
      </c>
      <c r="I288" s="6">
        <f t="shared" si="4"/>
        <v>587.8125</v>
      </c>
      <c r="J288" s="6" t="s">
        <v>150</v>
      </c>
      <c r="K288" s="17"/>
    </row>
    <row r="289" spans="1:11" ht="13.95" customHeight="1" x14ac:dyDescent="0.3">
      <c r="A289" s="3">
        <v>45944</v>
      </c>
      <c r="B289" s="3" t="s">
        <v>2388</v>
      </c>
      <c r="C289" s="19" t="s">
        <v>20</v>
      </c>
      <c r="D289" s="19" t="s">
        <v>994</v>
      </c>
      <c r="E289" s="4">
        <v>0.7</v>
      </c>
      <c r="F289" s="42">
        <v>2.8</v>
      </c>
      <c r="G289" s="45">
        <v>250</v>
      </c>
      <c r="H289" s="22">
        <v>1.9</v>
      </c>
      <c r="I289" s="6">
        <f t="shared" si="4"/>
        <v>930.99999999999989</v>
      </c>
      <c r="J289" s="6" t="s">
        <v>1266</v>
      </c>
      <c r="K289" s="17"/>
    </row>
    <row r="290" spans="1:11" ht="13.95" customHeight="1" x14ac:dyDescent="0.3">
      <c r="A290" s="3">
        <v>45945</v>
      </c>
      <c r="B290" s="3" t="s">
        <v>2388</v>
      </c>
      <c r="C290" s="19" t="s">
        <v>5</v>
      </c>
      <c r="D290" s="19" t="s">
        <v>865</v>
      </c>
      <c r="E290" s="4">
        <v>0.85</v>
      </c>
      <c r="F290" s="42">
        <v>3.5</v>
      </c>
      <c r="G290" s="45">
        <v>250</v>
      </c>
      <c r="H290" s="22">
        <v>1.9</v>
      </c>
      <c r="I290" s="6">
        <f t="shared" si="4"/>
        <v>1413.125</v>
      </c>
      <c r="J290" s="6" t="s">
        <v>1802</v>
      </c>
      <c r="K290" s="17"/>
    </row>
    <row r="291" spans="1:11" ht="13.95" customHeight="1" x14ac:dyDescent="0.3">
      <c r="A291" s="3">
        <v>45946</v>
      </c>
      <c r="B291" s="3" t="s">
        <v>2388</v>
      </c>
      <c r="C291" s="19" t="s">
        <v>8</v>
      </c>
      <c r="D291" s="19" t="s">
        <v>9</v>
      </c>
      <c r="E291" s="4">
        <v>0.65</v>
      </c>
      <c r="F291" s="42">
        <v>2.35</v>
      </c>
      <c r="G291" s="45">
        <v>250</v>
      </c>
      <c r="H291" s="22">
        <v>1.9</v>
      </c>
      <c r="I291" s="6">
        <f t="shared" si="4"/>
        <v>725.5625</v>
      </c>
      <c r="J291" s="6" t="s">
        <v>88</v>
      </c>
      <c r="K291" s="17"/>
    </row>
    <row r="292" spans="1:11" ht="13.95" customHeight="1" x14ac:dyDescent="0.3">
      <c r="A292" s="3">
        <v>45947</v>
      </c>
      <c r="B292" s="3" t="s">
        <v>2388</v>
      </c>
      <c r="C292" s="19" t="s">
        <v>11</v>
      </c>
      <c r="D292" s="19" t="s">
        <v>658</v>
      </c>
      <c r="E292" s="4">
        <v>0.75</v>
      </c>
      <c r="F292" s="42">
        <v>2.95</v>
      </c>
      <c r="G292" s="45">
        <v>250</v>
      </c>
      <c r="H292" s="22">
        <v>1.9</v>
      </c>
      <c r="I292" s="6">
        <f t="shared" si="4"/>
        <v>1050.9375</v>
      </c>
      <c r="J292" s="6" t="s">
        <v>2363</v>
      </c>
      <c r="K292" s="17"/>
    </row>
    <row r="293" spans="1:11" ht="13.95" customHeight="1" x14ac:dyDescent="0.3">
      <c r="A293" s="3">
        <v>45948</v>
      </c>
      <c r="B293" s="3" t="s">
        <v>2388</v>
      </c>
      <c r="C293" s="19" t="s">
        <v>13</v>
      </c>
      <c r="D293" s="19" t="s">
        <v>658</v>
      </c>
      <c r="E293" s="4">
        <v>0.85</v>
      </c>
      <c r="F293" s="42">
        <v>3.8</v>
      </c>
      <c r="G293" s="45">
        <v>250</v>
      </c>
      <c r="H293" s="22">
        <v>1.9</v>
      </c>
      <c r="I293" s="6">
        <f t="shared" si="4"/>
        <v>1534.25</v>
      </c>
      <c r="J293" s="6" t="s">
        <v>2355</v>
      </c>
      <c r="K293" s="17"/>
    </row>
    <row r="294" spans="1:11" ht="13.95" customHeight="1" x14ac:dyDescent="0.3">
      <c r="A294" s="3">
        <v>45949</v>
      </c>
      <c r="B294" s="3" t="s">
        <v>2388</v>
      </c>
      <c r="C294" s="19" t="s">
        <v>16</v>
      </c>
      <c r="D294" s="19" t="s">
        <v>658</v>
      </c>
      <c r="E294" s="4">
        <v>0.8</v>
      </c>
      <c r="F294" s="42">
        <v>3.4</v>
      </c>
      <c r="G294" s="45">
        <v>250</v>
      </c>
      <c r="H294" s="22">
        <v>1.9</v>
      </c>
      <c r="I294" s="6">
        <f t="shared" si="4"/>
        <v>1292</v>
      </c>
      <c r="J294" s="6" t="s">
        <v>2349</v>
      </c>
      <c r="K294" s="17"/>
    </row>
    <row r="295" spans="1:11" ht="13.95" customHeight="1" x14ac:dyDescent="0.3">
      <c r="A295" s="3">
        <v>45950</v>
      </c>
      <c r="B295" s="3" t="s">
        <v>2388</v>
      </c>
      <c r="C295" s="19" t="s">
        <v>18</v>
      </c>
      <c r="D295" s="19" t="s">
        <v>658</v>
      </c>
      <c r="E295" s="4">
        <v>0.8</v>
      </c>
      <c r="F295" s="42">
        <v>2.65</v>
      </c>
      <c r="G295" s="45">
        <v>250</v>
      </c>
      <c r="H295" s="22">
        <v>1.9</v>
      </c>
      <c r="I295" s="6">
        <f t="shared" si="4"/>
        <v>1007</v>
      </c>
      <c r="J295" s="6" t="s">
        <v>2201</v>
      </c>
      <c r="K295" s="17"/>
    </row>
    <row r="296" spans="1:11" ht="13.95" customHeight="1" x14ac:dyDescent="0.3">
      <c r="A296" s="3">
        <v>45951</v>
      </c>
      <c r="B296" s="3" t="s">
        <v>2388</v>
      </c>
      <c r="C296" s="19" t="s">
        <v>20</v>
      </c>
      <c r="D296" s="19" t="s">
        <v>658</v>
      </c>
      <c r="E296" s="4">
        <v>0.8</v>
      </c>
      <c r="F296" s="42">
        <v>2.65</v>
      </c>
      <c r="G296" s="45">
        <v>250</v>
      </c>
      <c r="H296" s="22">
        <v>1.9</v>
      </c>
      <c r="I296" s="6">
        <f t="shared" si="4"/>
        <v>1007</v>
      </c>
      <c r="J296" s="6" t="s">
        <v>2201</v>
      </c>
      <c r="K296" s="17"/>
    </row>
    <row r="297" spans="1:11" ht="13.95" customHeight="1" x14ac:dyDescent="0.3">
      <c r="A297" s="3">
        <v>45952</v>
      </c>
      <c r="B297" s="3" t="s">
        <v>2388</v>
      </c>
      <c r="C297" s="19" t="s">
        <v>5</v>
      </c>
      <c r="D297" s="19" t="s">
        <v>658</v>
      </c>
      <c r="E297" s="4">
        <v>0.85</v>
      </c>
      <c r="F297" s="42">
        <v>2.75</v>
      </c>
      <c r="G297" s="45">
        <v>250</v>
      </c>
      <c r="H297" s="22">
        <v>1.9</v>
      </c>
      <c r="I297" s="6">
        <f t="shared" si="4"/>
        <v>1110.3125</v>
      </c>
      <c r="J297" s="6" t="s">
        <v>2320</v>
      </c>
      <c r="K297" s="17"/>
    </row>
    <row r="298" spans="1:11" ht="13.95" customHeight="1" x14ac:dyDescent="0.3">
      <c r="A298" s="3">
        <v>45953</v>
      </c>
      <c r="B298" s="3" t="s">
        <v>2388</v>
      </c>
      <c r="C298" s="19" t="s">
        <v>8</v>
      </c>
      <c r="D298" s="19" t="s">
        <v>658</v>
      </c>
      <c r="E298" s="4">
        <v>0.85</v>
      </c>
      <c r="F298" s="42">
        <v>2.8</v>
      </c>
      <c r="G298" s="45">
        <v>250</v>
      </c>
      <c r="H298" s="22">
        <v>1.9</v>
      </c>
      <c r="I298" s="6">
        <f t="shared" si="4"/>
        <v>1130.5</v>
      </c>
      <c r="J298" s="6" t="s">
        <v>2320</v>
      </c>
      <c r="K298" s="17"/>
    </row>
    <row r="299" spans="1:11" ht="13.95" customHeight="1" x14ac:dyDescent="0.3">
      <c r="A299" s="3">
        <v>45954</v>
      </c>
      <c r="B299" s="3" t="s">
        <v>2388</v>
      </c>
      <c r="C299" s="19" t="s">
        <v>11</v>
      </c>
      <c r="D299" s="19" t="s">
        <v>658</v>
      </c>
      <c r="E299" s="4">
        <v>0.9</v>
      </c>
      <c r="F299" s="42">
        <v>3.1</v>
      </c>
      <c r="G299" s="45">
        <v>250</v>
      </c>
      <c r="H299" s="22">
        <v>1.9</v>
      </c>
      <c r="I299" s="6">
        <f t="shared" si="4"/>
        <v>1325.25</v>
      </c>
      <c r="J299" s="6" t="s">
        <v>1369</v>
      </c>
      <c r="K299" s="17"/>
    </row>
    <row r="300" spans="1:11" ht="13.95" customHeight="1" x14ac:dyDescent="0.3">
      <c r="A300" s="3">
        <v>45955</v>
      </c>
      <c r="B300" s="3" t="s">
        <v>2388</v>
      </c>
      <c r="C300" s="19" t="s">
        <v>13</v>
      </c>
      <c r="D300" s="19" t="s">
        <v>658</v>
      </c>
      <c r="E300" s="4">
        <v>0.95</v>
      </c>
      <c r="F300" s="42">
        <v>3.9</v>
      </c>
      <c r="G300" s="45">
        <v>250</v>
      </c>
      <c r="H300" s="22">
        <v>1.9</v>
      </c>
      <c r="I300" s="6">
        <f t="shared" si="4"/>
        <v>1759.875</v>
      </c>
      <c r="J300" s="6" t="s">
        <v>2364</v>
      </c>
      <c r="K300" s="17"/>
    </row>
    <row r="301" spans="1:11" ht="13.95" customHeight="1" x14ac:dyDescent="0.3">
      <c r="A301" s="3">
        <v>45956</v>
      </c>
      <c r="B301" s="3" t="s">
        <v>2388</v>
      </c>
      <c r="C301" s="19" t="s">
        <v>16</v>
      </c>
      <c r="D301" s="19" t="s">
        <v>658</v>
      </c>
      <c r="E301" s="4">
        <v>0.9</v>
      </c>
      <c r="F301" s="42">
        <v>3.45</v>
      </c>
      <c r="G301" s="45">
        <v>250</v>
      </c>
      <c r="H301" s="22">
        <v>1.9</v>
      </c>
      <c r="I301" s="6">
        <f t="shared" si="4"/>
        <v>1474.875</v>
      </c>
      <c r="J301" s="6" t="s">
        <v>2236</v>
      </c>
      <c r="K301" s="17"/>
    </row>
    <row r="302" spans="1:11" ht="13.95" customHeight="1" x14ac:dyDescent="0.3">
      <c r="A302" s="3">
        <v>45957</v>
      </c>
      <c r="B302" s="3" t="s">
        <v>2388</v>
      </c>
      <c r="C302" s="19" t="s">
        <v>18</v>
      </c>
      <c r="D302" s="19" t="s">
        <v>658</v>
      </c>
      <c r="E302" s="4">
        <v>0.85</v>
      </c>
      <c r="F302" s="42">
        <v>2.7</v>
      </c>
      <c r="G302" s="45">
        <v>250</v>
      </c>
      <c r="H302" s="22">
        <v>1.9</v>
      </c>
      <c r="I302" s="6">
        <f t="shared" si="4"/>
        <v>1090.125</v>
      </c>
      <c r="J302" s="6" t="s">
        <v>88</v>
      </c>
      <c r="K302" s="17"/>
    </row>
    <row r="303" spans="1:11" ht="13.95" customHeight="1" x14ac:dyDescent="0.3">
      <c r="A303" s="3">
        <v>45958</v>
      </c>
      <c r="B303" s="3" t="s">
        <v>2388</v>
      </c>
      <c r="C303" s="19" t="s">
        <v>20</v>
      </c>
      <c r="D303" s="19" t="s">
        <v>658</v>
      </c>
      <c r="E303" s="4">
        <v>0.8</v>
      </c>
      <c r="F303" s="42">
        <v>2.65</v>
      </c>
      <c r="G303" s="45">
        <v>250</v>
      </c>
      <c r="H303" s="22">
        <v>1.9</v>
      </c>
      <c r="I303" s="6">
        <f t="shared" si="4"/>
        <v>1007</v>
      </c>
      <c r="J303" s="6" t="s">
        <v>88</v>
      </c>
      <c r="K303" s="17"/>
    </row>
    <row r="304" spans="1:11" ht="13.95" customHeight="1" x14ac:dyDescent="0.3">
      <c r="A304" s="3">
        <v>45959</v>
      </c>
      <c r="B304" s="3" t="s">
        <v>2388</v>
      </c>
      <c r="C304" s="19" t="s">
        <v>5</v>
      </c>
      <c r="D304" s="19" t="s">
        <v>658</v>
      </c>
      <c r="E304" s="4">
        <v>0.8</v>
      </c>
      <c r="F304" s="42">
        <v>2.65</v>
      </c>
      <c r="G304" s="45">
        <v>250</v>
      </c>
      <c r="H304" s="22">
        <v>1.9</v>
      </c>
      <c r="I304" s="6">
        <f t="shared" si="4"/>
        <v>1007</v>
      </c>
      <c r="J304" s="6" t="s">
        <v>88</v>
      </c>
      <c r="K304" s="17"/>
    </row>
    <row r="305" spans="1:11" ht="13.95" customHeight="1" x14ac:dyDescent="0.3">
      <c r="A305" s="3">
        <v>45960</v>
      </c>
      <c r="B305" s="3" t="s">
        <v>2388</v>
      </c>
      <c r="C305" s="19" t="s">
        <v>8</v>
      </c>
      <c r="D305" s="19" t="s">
        <v>658</v>
      </c>
      <c r="E305" s="4">
        <v>0.85</v>
      </c>
      <c r="F305" s="42">
        <v>2.75</v>
      </c>
      <c r="G305" s="45">
        <v>250</v>
      </c>
      <c r="H305" s="22">
        <v>1.9</v>
      </c>
      <c r="I305" s="6">
        <f t="shared" si="4"/>
        <v>1110.3125</v>
      </c>
      <c r="J305" s="6" t="s">
        <v>2365</v>
      </c>
      <c r="K305" s="17"/>
    </row>
    <row r="306" spans="1:11" ht="13.95" customHeight="1" x14ac:dyDescent="0.3">
      <c r="A306" s="3">
        <v>45961</v>
      </c>
      <c r="B306" s="3" t="s">
        <v>2388</v>
      </c>
      <c r="C306" s="19" t="s">
        <v>11</v>
      </c>
      <c r="D306" s="19" t="s">
        <v>867</v>
      </c>
      <c r="E306" s="4">
        <v>0.9</v>
      </c>
      <c r="F306" s="42">
        <v>4</v>
      </c>
      <c r="G306" s="45">
        <v>250</v>
      </c>
      <c r="H306" s="22">
        <v>1.9</v>
      </c>
      <c r="I306" s="6">
        <f t="shared" si="4"/>
        <v>1710</v>
      </c>
      <c r="J306" s="6" t="s">
        <v>2366</v>
      </c>
      <c r="K306" s="17"/>
    </row>
    <row r="307" spans="1:11" ht="13.95" customHeight="1" x14ac:dyDescent="0.3">
      <c r="A307" s="3">
        <v>45962</v>
      </c>
      <c r="B307" s="3" t="s">
        <v>2388</v>
      </c>
      <c r="C307" s="19" t="s">
        <v>13</v>
      </c>
      <c r="D307" s="19" t="s">
        <v>2367</v>
      </c>
      <c r="E307" s="4">
        <v>0.75</v>
      </c>
      <c r="F307" s="42">
        <v>3.3</v>
      </c>
      <c r="G307" s="45">
        <v>250</v>
      </c>
      <c r="H307" s="22">
        <v>1.85</v>
      </c>
      <c r="I307" s="6">
        <f t="shared" si="4"/>
        <v>1144.6875</v>
      </c>
      <c r="J307" s="6" t="s">
        <v>2368</v>
      </c>
      <c r="K307" s="17"/>
    </row>
    <row r="308" spans="1:11" ht="13.95" customHeight="1" x14ac:dyDescent="0.3">
      <c r="A308" s="3">
        <v>45963</v>
      </c>
      <c r="B308" s="3" t="s">
        <v>2388</v>
      </c>
      <c r="C308" s="19" t="s">
        <v>16</v>
      </c>
      <c r="D308" s="19" t="s">
        <v>14</v>
      </c>
      <c r="E308" s="4">
        <v>0.6</v>
      </c>
      <c r="F308" s="42">
        <v>3.1</v>
      </c>
      <c r="G308" s="45">
        <v>250</v>
      </c>
      <c r="H308" s="22">
        <v>1.85</v>
      </c>
      <c r="I308" s="6">
        <f t="shared" si="4"/>
        <v>860.25</v>
      </c>
      <c r="J308" s="6" t="s">
        <v>2297</v>
      </c>
      <c r="K308" s="17"/>
    </row>
    <row r="309" spans="1:11" ht="13.95" customHeight="1" x14ac:dyDescent="0.3">
      <c r="A309" s="3">
        <v>45964</v>
      </c>
      <c r="B309" s="3" t="s">
        <v>2388</v>
      </c>
      <c r="C309" s="19" t="s">
        <v>18</v>
      </c>
      <c r="D309" s="19" t="s">
        <v>2266</v>
      </c>
      <c r="E309" s="4">
        <v>0.5</v>
      </c>
      <c r="F309" s="42">
        <v>2.25</v>
      </c>
      <c r="G309" s="45">
        <v>250</v>
      </c>
      <c r="H309" s="22">
        <v>1.85</v>
      </c>
      <c r="I309" s="6">
        <f t="shared" si="4"/>
        <v>520.3125</v>
      </c>
      <c r="J309" s="6" t="s">
        <v>2369</v>
      </c>
      <c r="K309" s="17"/>
    </row>
    <row r="310" spans="1:11" ht="13.95" customHeight="1" x14ac:dyDescent="0.3">
      <c r="A310" s="3">
        <v>45965</v>
      </c>
      <c r="B310" s="3" t="s">
        <v>2388</v>
      </c>
      <c r="C310" s="19" t="s">
        <v>20</v>
      </c>
      <c r="D310" s="19" t="s">
        <v>2266</v>
      </c>
      <c r="E310" s="4">
        <v>0.5</v>
      </c>
      <c r="F310" s="42">
        <v>2.25</v>
      </c>
      <c r="G310" s="45">
        <v>250</v>
      </c>
      <c r="H310" s="22">
        <v>1.85</v>
      </c>
      <c r="I310" s="6">
        <f t="shared" si="4"/>
        <v>520.3125</v>
      </c>
      <c r="J310" s="6" t="s">
        <v>2369</v>
      </c>
      <c r="K310" s="17"/>
    </row>
    <row r="311" spans="1:11" ht="13.95" customHeight="1" x14ac:dyDescent="0.3">
      <c r="A311" s="3">
        <v>45966</v>
      </c>
      <c r="B311" s="3" t="s">
        <v>2388</v>
      </c>
      <c r="C311" s="19" t="s">
        <v>5</v>
      </c>
      <c r="D311" s="19" t="s">
        <v>2357</v>
      </c>
      <c r="E311" s="4">
        <v>0.75</v>
      </c>
      <c r="F311" s="42">
        <v>2.4500000000000002</v>
      </c>
      <c r="G311" s="45">
        <v>250</v>
      </c>
      <c r="H311" s="22">
        <v>1.85</v>
      </c>
      <c r="I311" s="6">
        <f t="shared" si="4"/>
        <v>849.84375000000011</v>
      </c>
      <c r="J311" s="6" t="s">
        <v>2370</v>
      </c>
      <c r="K311" s="17"/>
    </row>
    <row r="312" spans="1:11" ht="13.95" customHeight="1" x14ac:dyDescent="0.3">
      <c r="A312" s="3">
        <v>45967</v>
      </c>
      <c r="B312" s="3" t="s">
        <v>2388</v>
      </c>
      <c r="C312" s="19" t="s">
        <v>8</v>
      </c>
      <c r="D312" s="19" t="s">
        <v>2357</v>
      </c>
      <c r="E312" s="4">
        <v>0.8</v>
      </c>
      <c r="F312" s="42">
        <v>2.6</v>
      </c>
      <c r="G312" s="45">
        <v>250</v>
      </c>
      <c r="H312" s="22">
        <v>1.85</v>
      </c>
      <c r="I312" s="6">
        <f t="shared" si="4"/>
        <v>962</v>
      </c>
      <c r="J312" s="6" t="s">
        <v>2371</v>
      </c>
      <c r="K312" s="17"/>
    </row>
    <row r="313" spans="1:11" ht="13.95" customHeight="1" x14ac:dyDescent="0.3">
      <c r="A313" s="3">
        <v>45968</v>
      </c>
      <c r="B313" s="3" t="s">
        <v>2388</v>
      </c>
      <c r="C313" s="19" t="s">
        <v>11</v>
      </c>
      <c r="D313" s="19" t="s">
        <v>2357</v>
      </c>
      <c r="E313" s="4">
        <v>0.85</v>
      </c>
      <c r="F313" s="42">
        <v>2.8</v>
      </c>
      <c r="G313" s="45">
        <v>250</v>
      </c>
      <c r="H313" s="22">
        <v>1.85</v>
      </c>
      <c r="I313" s="6">
        <f t="shared" si="4"/>
        <v>1100.75</v>
      </c>
      <c r="J313" s="6" t="s">
        <v>2372</v>
      </c>
      <c r="K313" s="17"/>
    </row>
    <row r="314" spans="1:11" ht="13.95" customHeight="1" x14ac:dyDescent="0.3">
      <c r="A314" s="3">
        <v>45969</v>
      </c>
      <c r="B314" s="3" t="s">
        <v>2388</v>
      </c>
      <c r="C314" s="19" t="s">
        <v>13</v>
      </c>
      <c r="D314" s="19" t="s">
        <v>14</v>
      </c>
      <c r="E314" s="4">
        <v>0.7</v>
      </c>
      <c r="F314" s="42">
        <v>3.6</v>
      </c>
      <c r="G314" s="45">
        <v>250</v>
      </c>
      <c r="H314" s="22">
        <v>1.85</v>
      </c>
      <c r="I314" s="6">
        <f t="shared" si="4"/>
        <v>1165.5</v>
      </c>
      <c r="J314" s="6" t="s">
        <v>2295</v>
      </c>
      <c r="K314" s="17"/>
    </row>
    <row r="315" spans="1:11" ht="13.95" customHeight="1" x14ac:dyDescent="0.3">
      <c r="A315" s="3">
        <v>45970</v>
      </c>
      <c r="B315" s="3" t="s">
        <v>2388</v>
      </c>
      <c r="C315" s="19" t="s">
        <v>16</v>
      </c>
      <c r="D315" s="19" t="s">
        <v>14</v>
      </c>
      <c r="E315" s="4">
        <v>0.65</v>
      </c>
      <c r="F315" s="42">
        <v>3.15</v>
      </c>
      <c r="G315" s="45">
        <v>250</v>
      </c>
      <c r="H315" s="22">
        <v>1.85</v>
      </c>
      <c r="I315" s="6">
        <f t="shared" si="4"/>
        <v>946.96875</v>
      </c>
      <c r="J315" s="6" t="s">
        <v>238</v>
      </c>
      <c r="K315" s="17"/>
    </row>
    <row r="316" spans="1:11" ht="13.95" customHeight="1" x14ac:dyDescent="0.3">
      <c r="A316" s="3">
        <v>45971</v>
      </c>
      <c r="B316" s="3" t="s">
        <v>2388</v>
      </c>
      <c r="C316" s="19" t="s">
        <v>18</v>
      </c>
      <c r="D316" s="19" t="s">
        <v>2266</v>
      </c>
      <c r="E316" s="4">
        <v>0.45</v>
      </c>
      <c r="F316" s="42">
        <v>2.2000000000000002</v>
      </c>
      <c r="G316" s="45">
        <v>250</v>
      </c>
      <c r="H316" s="22">
        <v>1.85</v>
      </c>
      <c r="I316" s="6">
        <f t="shared" si="4"/>
        <v>457.87500000000006</v>
      </c>
      <c r="J316" s="6" t="s">
        <v>2373</v>
      </c>
      <c r="K316" s="17"/>
    </row>
    <row r="317" spans="1:11" ht="13.95" customHeight="1" x14ac:dyDescent="0.3">
      <c r="A317" s="3">
        <v>45972</v>
      </c>
      <c r="B317" s="3" t="s">
        <v>2388</v>
      </c>
      <c r="C317" s="19" t="s">
        <v>20</v>
      </c>
      <c r="D317" s="19" t="s">
        <v>2266</v>
      </c>
      <c r="E317" s="4">
        <v>0.45</v>
      </c>
      <c r="F317" s="42">
        <v>2.2000000000000002</v>
      </c>
      <c r="G317" s="45">
        <v>250</v>
      </c>
      <c r="H317" s="22">
        <v>1.85</v>
      </c>
      <c r="I317" s="6">
        <f t="shared" si="4"/>
        <v>457.87500000000006</v>
      </c>
      <c r="J317" s="6" t="s">
        <v>88</v>
      </c>
      <c r="K317" s="17"/>
    </row>
    <row r="318" spans="1:11" ht="13.95" customHeight="1" x14ac:dyDescent="0.3">
      <c r="A318" s="3">
        <v>45973</v>
      </c>
      <c r="B318" s="3" t="s">
        <v>2388</v>
      </c>
      <c r="C318" s="19" t="s">
        <v>5</v>
      </c>
      <c r="D318" s="19" t="s">
        <v>2266</v>
      </c>
      <c r="E318" s="4">
        <v>0.45</v>
      </c>
      <c r="F318" s="42">
        <v>2.25</v>
      </c>
      <c r="G318" s="45">
        <v>250</v>
      </c>
      <c r="H318" s="22">
        <v>1.85</v>
      </c>
      <c r="I318" s="6">
        <f t="shared" si="4"/>
        <v>468.28125</v>
      </c>
      <c r="J318" s="6" t="s">
        <v>88</v>
      </c>
      <c r="K318" s="17"/>
    </row>
    <row r="319" spans="1:11" ht="13.95" customHeight="1" x14ac:dyDescent="0.3">
      <c r="A319" s="3">
        <v>45974</v>
      </c>
      <c r="B319" s="3" t="s">
        <v>2388</v>
      </c>
      <c r="C319" s="19" t="s">
        <v>8</v>
      </c>
      <c r="D319" s="19" t="s">
        <v>2357</v>
      </c>
      <c r="E319" s="4">
        <v>0.75</v>
      </c>
      <c r="F319" s="42">
        <v>2.5</v>
      </c>
      <c r="G319" s="45">
        <v>250</v>
      </c>
      <c r="H319" s="22">
        <v>1.85</v>
      </c>
      <c r="I319" s="6">
        <f t="shared" si="4"/>
        <v>867.1875</v>
      </c>
      <c r="J319" s="6" t="s">
        <v>2374</v>
      </c>
      <c r="K319" s="17"/>
    </row>
    <row r="320" spans="1:11" ht="13.95" customHeight="1" x14ac:dyDescent="0.3">
      <c r="A320" s="3">
        <v>45975</v>
      </c>
      <c r="B320" s="3" t="s">
        <v>2388</v>
      </c>
      <c r="C320" s="19" t="s">
        <v>11</v>
      </c>
      <c r="D320" s="19" t="s">
        <v>2357</v>
      </c>
      <c r="E320" s="4">
        <v>0.8</v>
      </c>
      <c r="F320" s="42">
        <v>2.75</v>
      </c>
      <c r="G320" s="45">
        <v>250</v>
      </c>
      <c r="H320" s="22">
        <v>1.85</v>
      </c>
      <c r="I320" s="6">
        <f t="shared" si="4"/>
        <v>1017.5</v>
      </c>
      <c r="J320" s="6" t="s">
        <v>1399</v>
      </c>
      <c r="K320" s="17"/>
    </row>
    <row r="321" spans="1:11" ht="13.95" customHeight="1" x14ac:dyDescent="0.3">
      <c r="A321" s="3">
        <v>45976</v>
      </c>
      <c r="B321" s="3" t="s">
        <v>2388</v>
      </c>
      <c r="C321" s="19" t="s">
        <v>13</v>
      </c>
      <c r="D321" s="19" t="s">
        <v>14</v>
      </c>
      <c r="E321" s="4">
        <v>0.75</v>
      </c>
      <c r="F321" s="42">
        <v>3.75</v>
      </c>
      <c r="G321" s="45">
        <v>250</v>
      </c>
      <c r="H321" s="22">
        <v>1.85</v>
      </c>
      <c r="I321" s="6">
        <f t="shared" si="4"/>
        <v>1300.78125</v>
      </c>
      <c r="J321" s="6" t="s">
        <v>2375</v>
      </c>
      <c r="K321" s="17"/>
    </row>
    <row r="322" spans="1:11" ht="13.95" customHeight="1" x14ac:dyDescent="0.3">
      <c r="A322" s="3">
        <v>45977</v>
      </c>
      <c r="B322" s="3" t="s">
        <v>2388</v>
      </c>
      <c r="C322" s="19" t="s">
        <v>16</v>
      </c>
      <c r="D322" s="19" t="s">
        <v>14</v>
      </c>
      <c r="E322" s="4">
        <v>0.65</v>
      </c>
      <c r="F322" s="42">
        <v>3.25</v>
      </c>
      <c r="G322" s="45">
        <v>250</v>
      </c>
      <c r="H322" s="22">
        <v>1.85</v>
      </c>
      <c r="I322" s="6">
        <f t="shared" ref="I322:I367" si="5">(G322*E322)*F322*H322</f>
        <v>977.03125</v>
      </c>
      <c r="J322" s="6" t="s">
        <v>159</v>
      </c>
      <c r="K322" s="17"/>
    </row>
    <row r="323" spans="1:11" ht="13.95" customHeight="1" x14ac:dyDescent="0.3">
      <c r="A323" s="3">
        <v>45978</v>
      </c>
      <c r="B323" s="3" t="s">
        <v>2388</v>
      </c>
      <c r="C323" s="19" t="s">
        <v>18</v>
      </c>
      <c r="D323" s="19" t="s">
        <v>2266</v>
      </c>
      <c r="E323" s="4">
        <v>0.45</v>
      </c>
      <c r="F323" s="42">
        <v>2.2000000000000002</v>
      </c>
      <c r="G323" s="45">
        <v>250</v>
      </c>
      <c r="H323" s="22">
        <v>1.85</v>
      </c>
      <c r="I323" s="6">
        <f t="shared" si="5"/>
        <v>457.87500000000006</v>
      </c>
      <c r="J323" s="6" t="s">
        <v>88</v>
      </c>
      <c r="K323" s="17"/>
    </row>
    <row r="324" spans="1:11" ht="13.95" customHeight="1" x14ac:dyDescent="0.3">
      <c r="A324" s="3">
        <v>45979</v>
      </c>
      <c r="B324" s="3" t="s">
        <v>2388</v>
      </c>
      <c r="C324" s="19" t="s">
        <v>20</v>
      </c>
      <c r="D324" s="19" t="s">
        <v>2266</v>
      </c>
      <c r="E324" s="4">
        <v>0.45</v>
      </c>
      <c r="F324" s="42">
        <v>2.2000000000000002</v>
      </c>
      <c r="G324" s="45">
        <v>250</v>
      </c>
      <c r="H324" s="22">
        <v>1.85</v>
      </c>
      <c r="I324" s="6">
        <f t="shared" si="5"/>
        <v>457.87500000000006</v>
      </c>
      <c r="J324" s="6" t="s">
        <v>88</v>
      </c>
      <c r="K324" s="17"/>
    </row>
    <row r="325" spans="1:11" ht="13.95" customHeight="1" x14ac:dyDescent="0.3">
      <c r="A325" s="3">
        <v>45980</v>
      </c>
      <c r="B325" s="3" t="s">
        <v>2388</v>
      </c>
      <c r="C325" s="19" t="s">
        <v>5</v>
      </c>
      <c r="D325" s="19" t="s">
        <v>2266</v>
      </c>
      <c r="E325" s="4">
        <v>0.5</v>
      </c>
      <c r="F325" s="42">
        <v>2.2999999999999998</v>
      </c>
      <c r="G325" s="45">
        <v>250</v>
      </c>
      <c r="H325" s="22">
        <v>1.85</v>
      </c>
      <c r="I325" s="6">
        <f t="shared" si="5"/>
        <v>531.875</v>
      </c>
      <c r="J325" s="6" t="s">
        <v>88</v>
      </c>
      <c r="K325" s="17"/>
    </row>
    <row r="326" spans="1:11" ht="13.95" customHeight="1" x14ac:dyDescent="0.3">
      <c r="A326" s="3">
        <v>45981</v>
      </c>
      <c r="B326" s="3" t="s">
        <v>2388</v>
      </c>
      <c r="C326" s="19" t="s">
        <v>8</v>
      </c>
      <c r="D326" s="19" t="s">
        <v>2357</v>
      </c>
      <c r="E326" s="4">
        <v>0.7</v>
      </c>
      <c r="F326" s="42">
        <v>2.4500000000000002</v>
      </c>
      <c r="G326" s="45">
        <v>250</v>
      </c>
      <c r="H326" s="22">
        <v>1.85</v>
      </c>
      <c r="I326" s="6">
        <f t="shared" si="5"/>
        <v>793.18750000000011</v>
      </c>
      <c r="J326" s="6" t="s">
        <v>2376</v>
      </c>
      <c r="K326" s="17"/>
    </row>
    <row r="327" spans="1:11" ht="13.95" customHeight="1" x14ac:dyDescent="0.3">
      <c r="A327" s="3">
        <v>45982</v>
      </c>
      <c r="B327" s="3" t="s">
        <v>2388</v>
      </c>
      <c r="C327" s="19" t="s">
        <v>11</v>
      </c>
      <c r="D327" s="19" t="s">
        <v>2357</v>
      </c>
      <c r="E327" s="4">
        <v>0.75</v>
      </c>
      <c r="F327" s="42">
        <v>2.7</v>
      </c>
      <c r="G327" s="45">
        <v>250</v>
      </c>
      <c r="H327" s="22">
        <v>1.85</v>
      </c>
      <c r="I327" s="6">
        <f t="shared" si="5"/>
        <v>936.56250000000011</v>
      </c>
      <c r="J327" s="6" t="s">
        <v>2377</v>
      </c>
      <c r="K327" s="17"/>
    </row>
    <row r="328" spans="1:11" ht="13.95" customHeight="1" x14ac:dyDescent="0.3">
      <c r="A328" s="3">
        <v>45983</v>
      </c>
      <c r="B328" s="3" t="s">
        <v>2388</v>
      </c>
      <c r="C328" s="19" t="s">
        <v>13</v>
      </c>
      <c r="D328" s="19" t="s">
        <v>14</v>
      </c>
      <c r="E328" s="4">
        <v>0.7</v>
      </c>
      <c r="F328" s="42">
        <v>3.55</v>
      </c>
      <c r="G328" s="45">
        <v>250</v>
      </c>
      <c r="H328" s="22">
        <v>1.85</v>
      </c>
      <c r="I328" s="6">
        <f t="shared" si="5"/>
        <v>1149.3125</v>
      </c>
      <c r="J328" s="6" t="s">
        <v>2348</v>
      </c>
      <c r="K328" s="17"/>
    </row>
    <row r="329" spans="1:11" ht="13.95" customHeight="1" x14ac:dyDescent="0.3">
      <c r="A329" s="3">
        <v>45984</v>
      </c>
      <c r="B329" s="3" t="s">
        <v>2388</v>
      </c>
      <c r="C329" s="19" t="s">
        <v>16</v>
      </c>
      <c r="D329" s="19" t="s">
        <v>14</v>
      </c>
      <c r="E329" s="4">
        <v>0.6</v>
      </c>
      <c r="F329" s="42">
        <v>3.2</v>
      </c>
      <c r="G329" s="45">
        <v>250</v>
      </c>
      <c r="H329" s="22">
        <v>1.85</v>
      </c>
      <c r="I329" s="6">
        <f t="shared" si="5"/>
        <v>888</v>
      </c>
      <c r="J329" s="6" t="s">
        <v>69</v>
      </c>
      <c r="K329" s="17"/>
    </row>
    <row r="330" spans="1:11" ht="13.95" customHeight="1" x14ac:dyDescent="0.3">
      <c r="A330" s="3">
        <v>45985</v>
      </c>
      <c r="B330" s="3" t="s">
        <v>2388</v>
      </c>
      <c r="C330" s="19" t="s">
        <v>18</v>
      </c>
      <c r="D330" s="19" t="s">
        <v>2266</v>
      </c>
      <c r="E330" s="4">
        <v>0.4</v>
      </c>
      <c r="F330" s="42">
        <v>2.2000000000000002</v>
      </c>
      <c r="G330" s="45">
        <v>250</v>
      </c>
      <c r="H330" s="22">
        <v>1.85</v>
      </c>
      <c r="I330" s="6">
        <f t="shared" si="5"/>
        <v>407.00000000000006</v>
      </c>
      <c r="J330" s="6" t="s">
        <v>272</v>
      </c>
      <c r="K330" s="17"/>
    </row>
    <row r="331" spans="1:11" ht="13.95" customHeight="1" x14ac:dyDescent="0.3">
      <c r="A331" s="3">
        <v>45986</v>
      </c>
      <c r="B331" s="3" t="s">
        <v>2388</v>
      </c>
      <c r="C331" s="19" t="s">
        <v>20</v>
      </c>
      <c r="D331" s="19" t="s">
        <v>2266</v>
      </c>
      <c r="E331" s="4">
        <v>0.4</v>
      </c>
      <c r="F331" s="42">
        <v>2.2000000000000002</v>
      </c>
      <c r="G331" s="45">
        <v>250</v>
      </c>
      <c r="H331" s="22">
        <v>1.85</v>
      </c>
      <c r="I331" s="6">
        <f t="shared" si="5"/>
        <v>407.00000000000006</v>
      </c>
      <c r="J331" s="6" t="s">
        <v>272</v>
      </c>
      <c r="K331" s="17"/>
    </row>
    <row r="332" spans="1:11" ht="13.95" customHeight="1" x14ac:dyDescent="0.3">
      <c r="A332" s="3">
        <v>45987</v>
      </c>
      <c r="B332" s="3" t="s">
        <v>2388</v>
      </c>
      <c r="C332" s="19" t="s">
        <v>5</v>
      </c>
      <c r="D332" s="19" t="s">
        <v>2266</v>
      </c>
      <c r="E332" s="4">
        <v>0.45</v>
      </c>
      <c r="F332" s="42">
        <v>2.25</v>
      </c>
      <c r="G332" s="45">
        <v>250</v>
      </c>
      <c r="H332" s="22">
        <v>1.85</v>
      </c>
      <c r="I332" s="6">
        <f t="shared" si="5"/>
        <v>468.28125</v>
      </c>
      <c r="J332" s="6" t="s">
        <v>88</v>
      </c>
      <c r="K332" s="17"/>
    </row>
    <row r="333" spans="1:11" ht="13.95" customHeight="1" x14ac:dyDescent="0.3">
      <c r="A333" s="3">
        <v>45988</v>
      </c>
      <c r="B333" s="3" t="s">
        <v>2388</v>
      </c>
      <c r="C333" s="19" t="s">
        <v>8</v>
      </c>
      <c r="D333" s="19" t="s">
        <v>2266</v>
      </c>
      <c r="E333" s="4">
        <v>0.45</v>
      </c>
      <c r="F333" s="42">
        <v>2.25</v>
      </c>
      <c r="G333" s="45">
        <v>250</v>
      </c>
      <c r="H333" s="22">
        <v>1.85</v>
      </c>
      <c r="I333" s="6">
        <f t="shared" si="5"/>
        <v>468.28125</v>
      </c>
      <c r="J333" s="6" t="s">
        <v>88</v>
      </c>
      <c r="K333" s="17"/>
    </row>
    <row r="334" spans="1:11" ht="13.95" customHeight="1" x14ac:dyDescent="0.3">
      <c r="A334" s="3">
        <v>45989</v>
      </c>
      <c r="B334" s="3" t="s">
        <v>2388</v>
      </c>
      <c r="C334" s="19" t="s">
        <v>11</v>
      </c>
      <c r="D334" s="19" t="s">
        <v>14</v>
      </c>
      <c r="E334" s="4">
        <v>0.6</v>
      </c>
      <c r="F334" s="42">
        <v>2.65</v>
      </c>
      <c r="G334" s="45">
        <v>250</v>
      </c>
      <c r="H334" s="22">
        <v>1.85</v>
      </c>
      <c r="I334" s="6">
        <f t="shared" si="5"/>
        <v>735.375</v>
      </c>
      <c r="J334" s="6" t="s">
        <v>2378</v>
      </c>
      <c r="K334" s="17"/>
    </row>
    <row r="335" spans="1:11" ht="13.95" customHeight="1" x14ac:dyDescent="0.3">
      <c r="A335" s="3">
        <v>45990</v>
      </c>
      <c r="B335" s="3" t="s">
        <v>2388</v>
      </c>
      <c r="C335" s="19" t="s">
        <v>13</v>
      </c>
      <c r="D335" s="19" t="s">
        <v>14</v>
      </c>
      <c r="E335" s="4">
        <v>0.7</v>
      </c>
      <c r="F335" s="42">
        <v>3.65</v>
      </c>
      <c r="G335" s="45">
        <v>250</v>
      </c>
      <c r="H335" s="22">
        <v>1.85</v>
      </c>
      <c r="I335" s="6">
        <f t="shared" si="5"/>
        <v>1181.6875</v>
      </c>
      <c r="J335" s="6" t="s">
        <v>2379</v>
      </c>
      <c r="K335" s="17"/>
    </row>
    <row r="336" spans="1:11" ht="13.95" customHeight="1" x14ac:dyDescent="0.3">
      <c r="A336" s="3">
        <v>45991</v>
      </c>
      <c r="B336" s="3" t="s">
        <v>2388</v>
      </c>
      <c r="C336" s="19" t="s">
        <v>16</v>
      </c>
      <c r="D336" s="19" t="s">
        <v>14</v>
      </c>
      <c r="E336" s="4">
        <v>0.65</v>
      </c>
      <c r="F336" s="42">
        <v>3.25</v>
      </c>
      <c r="G336" s="45">
        <v>250</v>
      </c>
      <c r="H336" s="22">
        <v>1.85</v>
      </c>
      <c r="I336" s="6">
        <f t="shared" si="5"/>
        <v>977.03125</v>
      </c>
      <c r="J336" s="6" t="s">
        <v>490</v>
      </c>
      <c r="K336" s="17"/>
    </row>
    <row r="337" spans="1:11" ht="13.95" customHeight="1" x14ac:dyDescent="0.3">
      <c r="A337" s="3">
        <v>45992</v>
      </c>
      <c r="B337" s="3" t="s">
        <v>2388</v>
      </c>
      <c r="C337" s="19" t="s">
        <v>18</v>
      </c>
      <c r="D337" s="19" t="s">
        <v>9</v>
      </c>
      <c r="E337" s="4">
        <v>0.45</v>
      </c>
      <c r="F337" s="42">
        <v>2.2000000000000002</v>
      </c>
      <c r="G337" s="45">
        <v>250</v>
      </c>
      <c r="H337" s="22">
        <v>1.9</v>
      </c>
      <c r="I337" s="6">
        <f t="shared" si="5"/>
        <v>470.25000000000006</v>
      </c>
      <c r="J337" s="6" t="s">
        <v>2298</v>
      </c>
      <c r="K337" s="17"/>
    </row>
    <row r="338" spans="1:11" ht="13.95" customHeight="1" x14ac:dyDescent="0.3">
      <c r="A338" s="3">
        <v>45993</v>
      </c>
      <c r="B338" s="3" t="s">
        <v>2388</v>
      </c>
      <c r="C338" s="19" t="s">
        <v>20</v>
      </c>
      <c r="D338" s="19" t="s">
        <v>9</v>
      </c>
      <c r="E338" s="4">
        <v>0.45</v>
      </c>
      <c r="F338" s="42">
        <v>2.2000000000000002</v>
      </c>
      <c r="G338" s="45">
        <v>250</v>
      </c>
      <c r="H338" s="22">
        <v>1.9</v>
      </c>
      <c r="I338" s="6">
        <f t="shared" si="5"/>
        <v>470.25000000000006</v>
      </c>
      <c r="J338" s="6" t="s">
        <v>2298</v>
      </c>
      <c r="K338" s="17"/>
    </row>
    <row r="339" spans="1:11" ht="13.95" customHeight="1" x14ac:dyDescent="0.3">
      <c r="A339" s="3">
        <v>45994</v>
      </c>
      <c r="B339" s="3" t="s">
        <v>2388</v>
      </c>
      <c r="C339" s="19" t="s">
        <v>5</v>
      </c>
      <c r="D339" s="19" t="s">
        <v>9</v>
      </c>
      <c r="E339" s="4">
        <v>0.4</v>
      </c>
      <c r="F339" s="42">
        <v>2.25</v>
      </c>
      <c r="G339" s="45">
        <v>250</v>
      </c>
      <c r="H339" s="22">
        <v>1.9</v>
      </c>
      <c r="I339" s="6">
        <f t="shared" si="5"/>
        <v>427.5</v>
      </c>
      <c r="J339" s="6" t="s">
        <v>1471</v>
      </c>
      <c r="K339" s="17"/>
    </row>
    <row r="340" spans="1:11" ht="13.95" customHeight="1" x14ac:dyDescent="0.3">
      <c r="A340" s="3">
        <v>45995</v>
      </c>
      <c r="B340" s="3" t="s">
        <v>2388</v>
      </c>
      <c r="C340" s="19" t="s">
        <v>8</v>
      </c>
      <c r="D340" s="19" t="s">
        <v>9</v>
      </c>
      <c r="E340" s="4">
        <v>0.4</v>
      </c>
      <c r="F340" s="42">
        <v>2.25</v>
      </c>
      <c r="G340" s="45">
        <v>250</v>
      </c>
      <c r="H340" s="22">
        <v>1.9</v>
      </c>
      <c r="I340" s="6">
        <f t="shared" si="5"/>
        <v>427.5</v>
      </c>
      <c r="J340" s="6" t="s">
        <v>1471</v>
      </c>
      <c r="K340" s="17"/>
    </row>
    <row r="341" spans="1:11" ht="13.95" customHeight="1" x14ac:dyDescent="0.3">
      <c r="A341" s="3">
        <v>45996</v>
      </c>
      <c r="B341" s="3" t="s">
        <v>2388</v>
      </c>
      <c r="C341" s="19" t="s">
        <v>11</v>
      </c>
      <c r="D341" s="19" t="s">
        <v>14</v>
      </c>
      <c r="E341" s="4">
        <v>0.5</v>
      </c>
      <c r="F341" s="42">
        <v>2.4</v>
      </c>
      <c r="G341" s="45">
        <v>250</v>
      </c>
      <c r="H341" s="22">
        <v>1.9</v>
      </c>
      <c r="I341" s="6">
        <f t="shared" si="5"/>
        <v>570</v>
      </c>
      <c r="J341" s="6" t="s">
        <v>2342</v>
      </c>
      <c r="K341" s="17"/>
    </row>
    <row r="342" spans="1:11" ht="13.95" customHeight="1" x14ac:dyDescent="0.3">
      <c r="A342" s="3">
        <v>45997</v>
      </c>
      <c r="B342" s="3" t="s">
        <v>2388</v>
      </c>
      <c r="C342" s="19" t="s">
        <v>13</v>
      </c>
      <c r="D342" s="19" t="s">
        <v>14</v>
      </c>
      <c r="E342" s="4">
        <v>0.6</v>
      </c>
      <c r="F342" s="42">
        <v>3.3</v>
      </c>
      <c r="G342" s="45">
        <v>250</v>
      </c>
      <c r="H342" s="22">
        <v>1.9</v>
      </c>
      <c r="I342" s="6">
        <f t="shared" si="5"/>
        <v>940.5</v>
      </c>
      <c r="J342" s="6" t="s">
        <v>1740</v>
      </c>
      <c r="K342" s="17"/>
    </row>
    <row r="343" spans="1:11" ht="13.95" customHeight="1" x14ac:dyDescent="0.3">
      <c r="A343" s="3">
        <v>45998</v>
      </c>
      <c r="B343" s="3" t="s">
        <v>2388</v>
      </c>
      <c r="C343" s="19" t="s">
        <v>16</v>
      </c>
      <c r="D343" s="19" t="s">
        <v>14</v>
      </c>
      <c r="E343" s="4">
        <v>0.55000000000000004</v>
      </c>
      <c r="F343" s="42">
        <v>3</v>
      </c>
      <c r="G343" s="45">
        <v>250</v>
      </c>
      <c r="H343" s="22">
        <v>1.9</v>
      </c>
      <c r="I343" s="6">
        <f t="shared" si="5"/>
        <v>783.75</v>
      </c>
      <c r="J343" s="6" t="s">
        <v>238</v>
      </c>
      <c r="K343" s="17"/>
    </row>
    <row r="344" spans="1:11" ht="13.95" customHeight="1" x14ac:dyDescent="0.3">
      <c r="A344" s="3">
        <v>45999</v>
      </c>
      <c r="B344" s="3" t="s">
        <v>2388</v>
      </c>
      <c r="C344" s="19" t="s">
        <v>18</v>
      </c>
      <c r="D344" s="19" t="s">
        <v>9</v>
      </c>
      <c r="E344" s="4">
        <v>0.4</v>
      </c>
      <c r="F344" s="42">
        <v>2.2000000000000002</v>
      </c>
      <c r="G344" s="45">
        <v>250</v>
      </c>
      <c r="H344" s="22">
        <v>1.9</v>
      </c>
      <c r="I344" s="6">
        <f t="shared" si="5"/>
        <v>418.00000000000006</v>
      </c>
      <c r="J344" s="6" t="s">
        <v>88</v>
      </c>
      <c r="K344" s="17"/>
    </row>
    <row r="345" spans="1:11" ht="13.95" customHeight="1" x14ac:dyDescent="0.3">
      <c r="A345" s="3">
        <v>46000</v>
      </c>
      <c r="B345" s="3" t="s">
        <v>2388</v>
      </c>
      <c r="C345" s="19" t="s">
        <v>20</v>
      </c>
      <c r="D345" s="19" t="s">
        <v>9</v>
      </c>
      <c r="E345" s="4">
        <v>0.4</v>
      </c>
      <c r="F345" s="42">
        <v>2.2000000000000002</v>
      </c>
      <c r="G345" s="45">
        <v>250</v>
      </c>
      <c r="H345" s="22">
        <v>1.9</v>
      </c>
      <c r="I345" s="6">
        <f t="shared" si="5"/>
        <v>418.00000000000006</v>
      </c>
      <c r="J345" s="6" t="s">
        <v>88</v>
      </c>
      <c r="K345" s="17"/>
    </row>
    <row r="346" spans="1:11" ht="13.95" customHeight="1" x14ac:dyDescent="0.3">
      <c r="A346" s="3">
        <v>46001</v>
      </c>
      <c r="B346" s="3" t="s">
        <v>2388</v>
      </c>
      <c r="C346" s="19" t="s">
        <v>5</v>
      </c>
      <c r="D346" s="19" t="s">
        <v>9</v>
      </c>
      <c r="E346" s="4">
        <v>0.45</v>
      </c>
      <c r="F346" s="42">
        <v>2.25</v>
      </c>
      <c r="G346" s="45">
        <v>250</v>
      </c>
      <c r="H346" s="22">
        <v>1.9</v>
      </c>
      <c r="I346" s="6">
        <f t="shared" si="5"/>
        <v>480.9375</v>
      </c>
      <c r="J346" s="6" t="s">
        <v>88</v>
      </c>
      <c r="K346" s="17"/>
    </row>
    <row r="347" spans="1:11" ht="13.95" customHeight="1" x14ac:dyDescent="0.3">
      <c r="A347" s="3">
        <v>46002</v>
      </c>
      <c r="B347" s="3" t="s">
        <v>2388</v>
      </c>
      <c r="C347" s="19" t="s">
        <v>8</v>
      </c>
      <c r="D347" s="19" t="s">
        <v>9</v>
      </c>
      <c r="E347" s="4">
        <v>0.45</v>
      </c>
      <c r="F347" s="42">
        <v>2.25</v>
      </c>
      <c r="G347" s="45">
        <v>250</v>
      </c>
      <c r="H347" s="22">
        <v>1.9</v>
      </c>
      <c r="I347" s="6">
        <f t="shared" si="5"/>
        <v>480.9375</v>
      </c>
      <c r="J347" s="6" t="s">
        <v>88</v>
      </c>
      <c r="K347" s="17"/>
    </row>
    <row r="348" spans="1:11" ht="13.95" customHeight="1" x14ac:dyDescent="0.3">
      <c r="A348" s="3">
        <v>46003</v>
      </c>
      <c r="B348" s="3" t="s">
        <v>2388</v>
      </c>
      <c r="C348" s="19" t="s">
        <v>11</v>
      </c>
      <c r="D348" s="19" t="s">
        <v>14</v>
      </c>
      <c r="E348" s="4">
        <v>0.55000000000000004</v>
      </c>
      <c r="F348" s="42">
        <v>2.5</v>
      </c>
      <c r="G348" s="45">
        <v>250</v>
      </c>
      <c r="H348" s="22">
        <v>1.9</v>
      </c>
      <c r="I348" s="6">
        <f t="shared" si="5"/>
        <v>653.125</v>
      </c>
      <c r="J348" s="6" t="s">
        <v>67</v>
      </c>
      <c r="K348" s="17"/>
    </row>
    <row r="349" spans="1:11" ht="13.95" customHeight="1" x14ac:dyDescent="0.3">
      <c r="A349" s="3">
        <v>46004</v>
      </c>
      <c r="B349" s="3" t="s">
        <v>2388</v>
      </c>
      <c r="C349" s="19" t="s">
        <v>13</v>
      </c>
      <c r="D349" s="19" t="s">
        <v>14</v>
      </c>
      <c r="E349" s="4">
        <v>0.7</v>
      </c>
      <c r="F349" s="42">
        <v>3.45</v>
      </c>
      <c r="G349" s="45">
        <v>250</v>
      </c>
      <c r="H349" s="22">
        <v>1.9</v>
      </c>
      <c r="I349" s="6">
        <f t="shared" si="5"/>
        <v>1147.125</v>
      </c>
      <c r="J349" s="6" t="s">
        <v>2380</v>
      </c>
      <c r="K349" s="17"/>
    </row>
    <row r="350" spans="1:11" ht="13.95" customHeight="1" x14ac:dyDescent="0.3">
      <c r="A350" s="3">
        <v>46005</v>
      </c>
      <c r="B350" s="3" t="s">
        <v>2388</v>
      </c>
      <c r="C350" s="19" t="s">
        <v>16</v>
      </c>
      <c r="D350" s="19" t="s">
        <v>14</v>
      </c>
      <c r="E350" s="4">
        <v>0.65</v>
      </c>
      <c r="F350" s="42">
        <v>3.1</v>
      </c>
      <c r="G350" s="45">
        <v>250</v>
      </c>
      <c r="H350" s="22">
        <v>1.9</v>
      </c>
      <c r="I350" s="6">
        <f t="shared" si="5"/>
        <v>957.125</v>
      </c>
      <c r="J350" s="6" t="s">
        <v>69</v>
      </c>
      <c r="K350" s="17"/>
    </row>
    <row r="351" spans="1:11" ht="13.95" customHeight="1" x14ac:dyDescent="0.3">
      <c r="A351" s="3">
        <v>46006</v>
      </c>
      <c r="B351" s="3" t="s">
        <v>2388</v>
      </c>
      <c r="C351" s="19" t="s">
        <v>18</v>
      </c>
      <c r="D351" s="19" t="s">
        <v>9</v>
      </c>
      <c r="E351" s="4">
        <v>0.5</v>
      </c>
      <c r="F351" s="42">
        <v>2.25</v>
      </c>
      <c r="G351" s="45">
        <v>250</v>
      </c>
      <c r="H351" s="22">
        <v>1.9</v>
      </c>
      <c r="I351" s="6">
        <f t="shared" si="5"/>
        <v>534.375</v>
      </c>
      <c r="J351" s="6" t="s">
        <v>88</v>
      </c>
      <c r="K351" s="17"/>
    </row>
    <row r="352" spans="1:11" ht="13.95" customHeight="1" x14ac:dyDescent="0.3">
      <c r="A352" s="3">
        <v>46007</v>
      </c>
      <c r="B352" s="3" t="s">
        <v>2388</v>
      </c>
      <c r="C352" s="19" t="s">
        <v>20</v>
      </c>
      <c r="D352" s="19" t="s">
        <v>9</v>
      </c>
      <c r="E352" s="4">
        <v>0.55000000000000004</v>
      </c>
      <c r="F352" s="42">
        <v>2.25</v>
      </c>
      <c r="G352" s="45">
        <v>250</v>
      </c>
      <c r="H352" s="22">
        <v>1.9</v>
      </c>
      <c r="I352" s="6">
        <f t="shared" si="5"/>
        <v>587.8125</v>
      </c>
      <c r="J352" s="6" t="s">
        <v>2381</v>
      </c>
      <c r="K352" s="17"/>
    </row>
    <row r="353" spans="1:11" ht="13.95" customHeight="1" x14ac:dyDescent="0.3">
      <c r="A353" s="3">
        <v>46008</v>
      </c>
      <c r="B353" s="3" t="s">
        <v>2388</v>
      </c>
      <c r="C353" s="19" t="s">
        <v>5</v>
      </c>
      <c r="D353" s="19" t="s">
        <v>1269</v>
      </c>
      <c r="E353" s="4">
        <v>0.75</v>
      </c>
      <c r="F353" s="42">
        <v>3.6</v>
      </c>
      <c r="G353" s="45">
        <v>250</v>
      </c>
      <c r="H353" s="22">
        <v>1.9</v>
      </c>
      <c r="I353" s="6">
        <f t="shared" si="5"/>
        <v>1282.5</v>
      </c>
      <c r="J353" s="6" t="s">
        <v>1802</v>
      </c>
      <c r="K353" s="17"/>
    </row>
    <row r="354" spans="1:11" ht="13.95" customHeight="1" x14ac:dyDescent="0.3">
      <c r="A354" s="3">
        <v>46009</v>
      </c>
      <c r="B354" s="3" t="s">
        <v>2388</v>
      </c>
      <c r="C354" s="19" t="s">
        <v>8</v>
      </c>
      <c r="D354" s="19" t="s">
        <v>9</v>
      </c>
      <c r="E354" s="4">
        <v>0.6</v>
      </c>
      <c r="F354" s="42">
        <v>2.4</v>
      </c>
      <c r="G354" s="45">
        <v>250</v>
      </c>
      <c r="H354" s="22">
        <v>1.9</v>
      </c>
      <c r="I354" s="6">
        <f t="shared" si="5"/>
        <v>684</v>
      </c>
      <c r="J354" s="6" t="s">
        <v>88</v>
      </c>
      <c r="K354" s="17"/>
    </row>
    <row r="355" spans="1:11" ht="13.95" customHeight="1" x14ac:dyDescent="0.3">
      <c r="A355" s="3">
        <v>46010</v>
      </c>
      <c r="B355" s="3" t="s">
        <v>2388</v>
      </c>
      <c r="C355" s="19" t="s">
        <v>11</v>
      </c>
      <c r="D355" s="19" t="s">
        <v>14</v>
      </c>
      <c r="E355" s="4">
        <v>0.7</v>
      </c>
      <c r="F355" s="42">
        <v>2.8</v>
      </c>
      <c r="G355" s="45">
        <v>250</v>
      </c>
      <c r="H355" s="22">
        <v>1.9</v>
      </c>
      <c r="I355" s="6">
        <f t="shared" si="5"/>
        <v>930.99999999999989</v>
      </c>
      <c r="J355" s="6" t="s">
        <v>97</v>
      </c>
      <c r="K355" s="17"/>
    </row>
    <row r="356" spans="1:11" ht="13.95" customHeight="1" x14ac:dyDescent="0.3">
      <c r="A356" s="3">
        <v>46011</v>
      </c>
      <c r="B356" s="3" t="s">
        <v>2388</v>
      </c>
      <c r="C356" s="19" t="s">
        <v>13</v>
      </c>
      <c r="D356" s="19" t="s">
        <v>658</v>
      </c>
      <c r="E356" s="4">
        <v>0.8</v>
      </c>
      <c r="F356" s="42">
        <v>3.5</v>
      </c>
      <c r="G356" s="45">
        <v>250</v>
      </c>
      <c r="H356" s="22">
        <v>1.9</v>
      </c>
      <c r="I356" s="6">
        <f t="shared" si="5"/>
        <v>1330</v>
      </c>
      <c r="J356" s="6" t="s">
        <v>2382</v>
      </c>
      <c r="K356" s="17"/>
    </row>
    <row r="357" spans="1:11" ht="13.95" customHeight="1" x14ac:dyDescent="0.3">
      <c r="A357" s="3">
        <v>46012</v>
      </c>
      <c r="B357" s="3" t="s">
        <v>2388</v>
      </c>
      <c r="C357" s="19" t="s">
        <v>16</v>
      </c>
      <c r="D357" s="19" t="s">
        <v>658</v>
      </c>
      <c r="E357" s="4">
        <v>0.8</v>
      </c>
      <c r="F357" s="42">
        <v>3.25</v>
      </c>
      <c r="G357" s="45">
        <v>250</v>
      </c>
      <c r="H357" s="22">
        <v>1.9</v>
      </c>
      <c r="I357" s="6">
        <f t="shared" si="5"/>
        <v>1235</v>
      </c>
      <c r="J357" s="6" t="s">
        <v>159</v>
      </c>
      <c r="K357" s="17"/>
    </row>
    <row r="358" spans="1:11" ht="13.95" customHeight="1" x14ac:dyDescent="0.3">
      <c r="A358" s="3">
        <v>46013</v>
      </c>
      <c r="B358" s="3" t="s">
        <v>2388</v>
      </c>
      <c r="C358" s="19" t="s">
        <v>18</v>
      </c>
      <c r="D358" s="19" t="s">
        <v>658</v>
      </c>
      <c r="E358" s="4">
        <v>0.75</v>
      </c>
      <c r="F358" s="42">
        <v>2.7</v>
      </c>
      <c r="G358" s="45">
        <v>250</v>
      </c>
      <c r="H358" s="22">
        <v>1.9</v>
      </c>
      <c r="I358" s="6">
        <f t="shared" si="5"/>
        <v>961.87500000000011</v>
      </c>
      <c r="J358" s="6" t="s">
        <v>2201</v>
      </c>
      <c r="K358" s="17"/>
    </row>
    <row r="359" spans="1:11" ht="13.95" customHeight="1" x14ac:dyDescent="0.3">
      <c r="A359" s="3">
        <v>46014</v>
      </c>
      <c r="B359" s="3" t="s">
        <v>2388</v>
      </c>
      <c r="C359" s="19" t="s">
        <v>20</v>
      </c>
      <c r="D359" s="19" t="s">
        <v>658</v>
      </c>
      <c r="E359" s="4">
        <v>0.85</v>
      </c>
      <c r="F359" s="42">
        <v>2.9</v>
      </c>
      <c r="G359" s="45">
        <v>250</v>
      </c>
      <c r="H359" s="22">
        <v>1.9</v>
      </c>
      <c r="I359" s="6">
        <f t="shared" si="5"/>
        <v>1170.875</v>
      </c>
      <c r="J359" s="6" t="s">
        <v>1561</v>
      </c>
      <c r="K359" s="17"/>
    </row>
    <row r="360" spans="1:11" ht="13.95" customHeight="1" x14ac:dyDescent="0.3">
      <c r="A360" s="3">
        <v>46015</v>
      </c>
      <c r="B360" s="3" t="s">
        <v>2388</v>
      </c>
      <c r="C360" s="19" t="s">
        <v>5</v>
      </c>
      <c r="D360" s="19" t="s">
        <v>299</v>
      </c>
      <c r="E360" s="4">
        <v>0.95</v>
      </c>
      <c r="F360" s="42">
        <v>4.5999999999999996</v>
      </c>
      <c r="G360" s="45">
        <v>250</v>
      </c>
      <c r="H360" s="22">
        <v>1.9</v>
      </c>
      <c r="I360" s="6">
        <f t="shared" si="5"/>
        <v>2075.75</v>
      </c>
      <c r="J360" s="6" t="s">
        <v>2383</v>
      </c>
      <c r="K360" s="17"/>
    </row>
    <row r="361" spans="1:11" ht="13.95" customHeight="1" x14ac:dyDescent="0.3">
      <c r="A361" s="3">
        <v>46016</v>
      </c>
      <c r="B361" s="3" t="s">
        <v>2388</v>
      </c>
      <c r="C361" s="19" t="s">
        <v>8</v>
      </c>
      <c r="D361" s="19" t="s">
        <v>299</v>
      </c>
      <c r="E361" s="4">
        <v>0.95</v>
      </c>
      <c r="F361" s="42">
        <v>4.0999999999999996</v>
      </c>
      <c r="G361" s="45">
        <v>250</v>
      </c>
      <c r="H361" s="22">
        <v>1.9</v>
      </c>
      <c r="I361" s="6">
        <f t="shared" si="5"/>
        <v>1850.1249999999998</v>
      </c>
      <c r="J361" s="6" t="s">
        <v>1834</v>
      </c>
      <c r="K361" s="17"/>
    </row>
    <row r="362" spans="1:11" ht="13.95" customHeight="1" x14ac:dyDescent="0.3">
      <c r="A362" s="3">
        <v>46017</v>
      </c>
      <c r="B362" s="3" t="s">
        <v>2388</v>
      </c>
      <c r="C362" s="19" t="s">
        <v>11</v>
      </c>
      <c r="D362" s="19" t="s">
        <v>658</v>
      </c>
      <c r="E362" s="4">
        <v>0.9</v>
      </c>
      <c r="F362" s="42">
        <v>3.2</v>
      </c>
      <c r="G362" s="45">
        <v>250</v>
      </c>
      <c r="H362" s="22">
        <v>1.9</v>
      </c>
      <c r="I362" s="6">
        <f t="shared" si="5"/>
        <v>1368</v>
      </c>
      <c r="J362" s="6" t="s">
        <v>456</v>
      </c>
      <c r="K362" s="17"/>
    </row>
    <row r="363" spans="1:11" ht="13.95" customHeight="1" x14ac:dyDescent="0.3">
      <c r="A363" s="3">
        <v>46018</v>
      </c>
      <c r="B363" s="3" t="s">
        <v>2388</v>
      </c>
      <c r="C363" s="19" t="s">
        <v>13</v>
      </c>
      <c r="D363" s="19" t="s">
        <v>658</v>
      </c>
      <c r="E363" s="4">
        <v>1</v>
      </c>
      <c r="F363" s="42">
        <v>3.85</v>
      </c>
      <c r="G363" s="45">
        <v>250</v>
      </c>
      <c r="H363" s="22">
        <v>1.9</v>
      </c>
      <c r="I363" s="6">
        <f t="shared" si="5"/>
        <v>1828.75</v>
      </c>
      <c r="J363" s="6" t="s">
        <v>2348</v>
      </c>
      <c r="K363" s="17"/>
    </row>
    <row r="364" spans="1:11" ht="13.95" customHeight="1" x14ac:dyDescent="0.3">
      <c r="A364" s="3">
        <v>46019</v>
      </c>
      <c r="B364" s="3" t="s">
        <v>2388</v>
      </c>
      <c r="C364" s="19" t="s">
        <v>16</v>
      </c>
      <c r="D364" s="19" t="s">
        <v>658</v>
      </c>
      <c r="E364" s="4">
        <v>0.95</v>
      </c>
      <c r="F364" s="42">
        <v>3.5</v>
      </c>
      <c r="G364" s="45">
        <v>250</v>
      </c>
      <c r="H364" s="22">
        <v>1.9</v>
      </c>
      <c r="I364" s="6">
        <f t="shared" si="5"/>
        <v>1579.375</v>
      </c>
      <c r="J364" s="6" t="s">
        <v>2236</v>
      </c>
      <c r="K364" s="17"/>
    </row>
    <row r="365" spans="1:11" ht="13.95" customHeight="1" x14ac:dyDescent="0.3">
      <c r="A365" s="3">
        <v>46020</v>
      </c>
      <c r="B365" s="3" t="s">
        <v>2388</v>
      </c>
      <c r="C365" s="19" t="s">
        <v>18</v>
      </c>
      <c r="D365" s="19" t="s">
        <v>658</v>
      </c>
      <c r="E365" s="4">
        <v>1</v>
      </c>
      <c r="F365" s="42">
        <v>2.9</v>
      </c>
      <c r="G365" s="45">
        <v>250</v>
      </c>
      <c r="H365" s="22">
        <v>1.9</v>
      </c>
      <c r="I365" s="6">
        <f t="shared" si="5"/>
        <v>1377.5</v>
      </c>
      <c r="J365" s="6" t="s">
        <v>2384</v>
      </c>
      <c r="K365" s="17"/>
    </row>
    <row r="366" spans="1:11" ht="13.95" customHeight="1" x14ac:dyDescent="0.3">
      <c r="A366" s="3">
        <v>46021</v>
      </c>
      <c r="B366" s="3" t="s">
        <v>2388</v>
      </c>
      <c r="C366" s="19" t="s">
        <v>20</v>
      </c>
      <c r="D366" s="19" t="s">
        <v>2385</v>
      </c>
      <c r="E366" s="4">
        <v>1</v>
      </c>
      <c r="F366" s="42">
        <v>3.4</v>
      </c>
      <c r="G366" s="45">
        <v>250</v>
      </c>
      <c r="H366" s="22">
        <v>1.9</v>
      </c>
      <c r="I366" s="6">
        <f t="shared" si="5"/>
        <v>1615</v>
      </c>
      <c r="J366" s="6" t="s">
        <v>2386</v>
      </c>
      <c r="K366" s="17"/>
    </row>
    <row r="367" spans="1:11" ht="13.95" customHeight="1" x14ac:dyDescent="0.3">
      <c r="A367" s="3">
        <v>46022</v>
      </c>
      <c r="B367" s="3" t="s">
        <v>2388</v>
      </c>
      <c r="C367" s="19" t="s">
        <v>5</v>
      </c>
      <c r="D367" s="19" t="s">
        <v>1567</v>
      </c>
      <c r="E367" s="4">
        <v>1</v>
      </c>
      <c r="F367" s="42">
        <v>5.3</v>
      </c>
      <c r="G367" s="45">
        <v>250</v>
      </c>
      <c r="H367" s="22">
        <v>1.9</v>
      </c>
      <c r="I367" s="6">
        <f t="shared" si="5"/>
        <v>2517.5</v>
      </c>
      <c r="J367" s="6" t="s">
        <v>2387</v>
      </c>
      <c r="K367" s="17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73F12-A81E-43D7-84BD-6D5BF61612AD}">
  <sheetPr>
    <tabColor rgb="FFFFFF00"/>
  </sheetPr>
  <dimension ref="A1:L360"/>
  <sheetViews>
    <sheetView workbookViewId="0">
      <selection sqref="A1:J1"/>
    </sheetView>
  </sheetViews>
  <sheetFormatPr baseColWidth="10" defaultRowHeight="14.4" x14ac:dyDescent="0.3"/>
  <cols>
    <col min="1" max="1" width="13.109375" bestFit="1" customWidth="1"/>
    <col min="2" max="2" width="35.5546875" bestFit="1" customWidth="1"/>
    <col min="4" max="4" width="13.109375" bestFit="1" customWidth="1"/>
    <col min="10" max="10" width="28.109375" bestFit="1" customWidth="1"/>
  </cols>
  <sheetData>
    <row r="1" spans="1:12" ht="28.2" thickBot="1" x14ac:dyDescent="0.35">
      <c r="A1" s="1" t="s">
        <v>333</v>
      </c>
      <c r="B1" s="1" t="s">
        <v>1637</v>
      </c>
      <c r="C1" s="34" t="s">
        <v>0</v>
      </c>
      <c r="D1" s="34" t="s">
        <v>1</v>
      </c>
      <c r="E1" s="37" t="s">
        <v>2</v>
      </c>
      <c r="F1" s="43" t="s">
        <v>3</v>
      </c>
      <c r="G1" s="47" t="s">
        <v>359</v>
      </c>
      <c r="H1" s="35" t="s">
        <v>360</v>
      </c>
      <c r="I1" s="47" t="s">
        <v>361</v>
      </c>
      <c r="J1" s="25" t="s">
        <v>4</v>
      </c>
      <c r="K1">
        <v>380</v>
      </c>
      <c r="L1">
        <v>2.1</v>
      </c>
    </row>
    <row r="2" spans="1:12" ht="13.95" customHeight="1" x14ac:dyDescent="0.3">
      <c r="A2" s="3">
        <v>45658</v>
      </c>
      <c r="B2" s="19" t="s">
        <v>2476</v>
      </c>
      <c r="C2" s="19" t="s">
        <v>5</v>
      </c>
      <c r="D2" s="19" t="s">
        <v>735</v>
      </c>
      <c r="E2" s="4">
        <v>0.85</v>
      </c>
      <c r="F2" s="42">
        <v>3.8</v>
      </c>
      <c r="G2" s="45">
        <v>380</v>
      </c>
      <c r="H2" s="22">
        <v>2.1</v>
      </c>
      <c r="I2" s="6">
        <f t="shared" ref="I2:I65" si="0">(G2*E2)*F2*H2</f>
        <v>2577.54</v>
      </c>
      <c r="J2" s="6" t="s">
        <v>2389</v>
      </c>
    </row>
    <row r="3" spans="1:12" ht="13.95" customHeight="1" x14ac:dyDescent="0.3">
      <c r="A3" s="3">
        <v>45659</v>
      </c>
      <c r="B3" s="19" t="s">
        <v>2476</v>
      </c>
      <c r="C3" s="19" t="s">
        <v>8</v>
      </c>
      <c r="D3" s="19" t="s">
        <v>736</v>
      </c>
      <c r="E3" s="4">
        <v>0.6</v>
      </c>
      <c r="F3" s="42">
        <v>2.2999999999999998</v>
      </c>
      <c r="G3" s="45">
        <v>380</v>
      </c>
      <c r="H3" s="22">
        <v>2.1</v>
      </c>
      <c r="I3" s="6">
        <f t="shared" si="0"/>
        <v>1101.24</v>
      </c>
      <c r="J3" s="6" t="s">
        <v>769</v>
      </c>
    </row>
    <row r="4" spans="1:12" ht="13.95" customHeight="1" x14ac:dyDescent="0.3">
      <c r="A4" s="3">
        <v>45660</v>
      </c>
      <c r="B4" s="19" t="s">
        <v>2476</v>
      </c>
      <c r="C4" s="19" t="s">
        <v>11</v>
      </c>
      <c r="D4" s="19" t="s">
        <v>736</v>
      </c>
      <c r="E4" s="4">
        <v>0.55000000000000004</v>
      </c>
      <c r="F4" s="42">
        <v>2.2999999999999998</v>
      </c>
      <c r="G4" s="45">
        <v>380</v>
      </c>
      <c r="H4" s="22">
        <v>2.1</v>
      </c>
      <c r="I4" s="6">
        <f t="shared" si="0"/>
        <v>1009.4700000000001</v>
      </c>
      <c r="J4" s="6" t="s">
        <v>2279</v>
      </c>
    </row>
    <row r="5" spans="1:12" ht="13.95" customHeight="1" x14ac:dyDescent="0.3">
      <c r="A5" s="3">
        <v>45661</v>
      </c>
      <c r="B5" s="19" t="s">
        <v>2476</v>
      </c>
      <c r="C5" s="19" t="s">
        <v>13</v>
      </c>
      <c r="D5" s="19" t="s">
        <v>14</v>
      </c>
      <c r="E5" s="4">
        <v>0.6</v>
      </c>
      <c r="F5" s="42">
        <v>3.15</v>
      </c>
      <c r="G5" s="45">
        <v>380</v>
      </c>
      <c r="H5" s="22">
        <v>2.1</v>
      </c>
      <c r="I5" s="6">
        <f t="shared" si="0"/>
        <v>1508.22</v>
      </c>
      <c r="J5" s="6" t="s">
        <v>2390</v>
      </c>
    </row>
    <row r="6" spans="1:12" ht="13.95" customHeight="1" x14ac:dyDescent="0.3">
      <c r="A6" s="3">
        <v>45662</v>
      </c>
      <c r="B6" s="19" t="s">
        <v>2476</v>
      </c>
      <c r="C6" s="19" t="s">
        <v>16</v>
      </c>
      <c r="D6" s="19" t="s">
        <v>14</v>
      </c>
      <c r="E6" s="4">
        <v>0.55000000000000004</v>
      </c>
      <c r="F6" s="42">
        <v>3</v>
      </c>
      <c r="G6" s="45">
        <v>380</v>
      </c>
      <c r="H6" s="22">
        <v>2.1</v>
      </c>
      <c r="I6" s="6">
        <f t="shared" si="0"/>
        <v>1316.7000000000003</v>
      </c>
      <c r="J6" s="6" t="s">
        <v>238</v>
      </c>
    </row>
    <row r="7" spans="1:12" ht="13.95" customHeight="1" x14ac:dyDescent="0.3">
      <c r="A7" s="3">
        <v>45663</v>
      </c>
      <c r="B7" s="19" t="s">
        <v>2476</v>
      </c>
      <c r="C7" s="19" t="s">
        <v>18</v>
      </c>
      <c r="D7" s="19" t="s">
        <v>2178</v>
      </c>
      <c r="E7" s="4">
        <v>0.5</v>
      </c>
      <c r="F7" s="42">
        <v>2.2000000000000002</v>
      </c>
      <c r="G7" s="45">
        <v>380</v>
      </c>
      <c r="H7" s="22">
        <v>2.1</v>
      </c>
      <c r="I7" s="6">
        <f t="shared" si="0"/>
        <v>877.80000000000018</v>
      </c>
      <c r="J7" s="6" t="s">
        <v>2193</v>
      </c>
    </row>
    <row r="8" spans="1:12" ht="13.95" customHeight="1" x14ac:dyDescent="0.3">
      <c r="A8" s="3">
        <v>45664</v>
      </c>
      <c r="B8" s="19" t="s">
        <v>2476</v>
      </c>
      <c r="C8" s="19" t="s">
        <v>20</v>
      </c>
      <c r="D8" s="19" t="s">
        <v>2178</v>
      </c>
      <c r="E8" s="4">
        <v>0.5</v>
      </c>
      <c r="F8" s="42">
        <v>2.2000000000000002</v>
      </c>
      <c r="G8" s="45">
        <v>380</v>
      </c>
      <c r="H8" s="22">
        <v>2.1</v>
      </c>
      <c r="I8" s="6">
        <f t="shared" si="0"/>
        <v>877.80000000000018</v>
      </c>
      <c r="J8" s="6" t="s">
        <v>2194</v>
      </c>
    </row>
    <row r="9" spans="1:12" ht="13.95" customHeight="1" x14ac:dyDescent="0.3">
      <c r="A9" s="3">
        <v>45668</v>
      </c>
      <c r="B9" s="19" t="s">
        <v>2476</v>
      </c>
      <c r="C9" s="19" t="s">
        <v>13</v>
      </c>
      <c r="D9" s="19" t="s">
        <v>14</v>
      </c>
      <c r="E9" s="4">
        <v>0.65</v>
      </c>
      <c r="F9" s="42">
        <v>3.25</v>
      </c>
      <c r="G9" s="45">
        <v>380</v>
      </c>
      <c r="H9" s="22">
        <v>2.1</v>
      </c>
      <c r="I9" s="6">
        <f t="shared" si="0"/>
        <v>1685.7750000000001</v>
      </c>
      <c r="J9" s="6" t="s">
        <v>2391</v>
      </c>
    </row>
    <row r="10" spans="1:12" ht="13.95" customHeight="1" x14ac:dyDescent="0.3">
      <c r="A10" s="3">
        <v>45669</v>
      </c>
      <c r="B10" s="19" t="s">
        <v>2476</v>
      </c>
      <c r="C10" s="19" t="s">
        <v>16</v>
      </c>
      <c r="D10" s="19" t="s">
        <v>14</v>
      </c>
      <c r="E10" s="4">
        <v>0.6</v>
      </c>
      <c r="F10" s="42">
        <v>3.05</v>
      </c>
      <c r="G10" s="45">
        <v>380</v>
      </c>
      <c r="H10" s="22">
        <v>2.1</v>
      </c>
      <c r="I10" s="6">
        <f t="shared" si="0"/>
        <v>1460.34</v>
      </c>
      <c r="J10" s="6" t="s">
        <v>2392</v>
      </c>
    </row>
    <row r="11" spans="1:12" ht="13.95" customHeight="1" x14ac:dyDescent="0.3">
      <c r="A11" s="3">
        <v>45671</v>
      </c>
      <c r="B11" s="19" t="s">
        <v>2476</v>
      </c>
      <c r="C11" s="19" t="s">
        <v>20</v>
      </c>
      <c r="D11" s="19" t="s">
        <v>1269</v>
      </c>
      <c r="E11" s="4">
        <v>0.7</v>
      </c>
      <c r="F11" s="42">
        <v>3.1</v>
      </c>
      <c r="G11" s="45">
        <v>380</v>
      </c>
      <c r="H11" s="22">
        <v>2.1</v>
      </c>
      <c r="I11" s="6">
        <f t="shared" si="0"/>
        <v>1731.66</v>
      </c>
      <c r="J11" s="6" t="s">
        <v>2192</v>
      </c>
    </row>
    <row r="12" spans="1:12" ht="13.95" customHeight="1" x14ac:dyDescent="0.3">
      <c r="A12" s="3">
        <v>45672</v>
      </c>
      <c r="B12" s="19" t="s">
        <v>2476</v>
      </c>
      <c r="C12" s="19" t="s">
        <v>5</v>
      </c>
      <c r="D12" s="19" t="s">
        <v>2178</v>
      </c>
      <c r="E12" s="4">
        <v>0.5</v>
      </c>
      <c r="F12" s="42">
        <v>2.2000000000000002</v>
      </c>
      <c r="G12" s="45">
        <v>380</v>
      </c>
      <c r="H12" s="22">
        <v>2.1</v>
      </c>
      <c r="I12" s="6">
        <f t="shared" si="0"/>
        <v>877.80000000000018</v>
      </c>
      <c r="J12" s="6" t="s">
        <v>88</v>
      </c>
    </row>
    <row r="13" spans="1:12" ht="13.95" customHeight="1" x14ac:dyDescent="0.3">
      <c r="A13" s="3">
        <v>45675</v>
      </c>
      <c r="B13" s="19" t="s">
        <v>2476</v>
      </c>
      <c r="C13" s="19" t="s">
        <v>13</v>
      </c>
      <c r="D13" s="19" t="s">
        <v>14</v>
      </c>
      <c r="E13" s="4">
        <v>0.65</v>
      </c>
      <c r="F13" s="42">
        <v>3.25</v>
      </c>
      <c r="G13" s="45">
        <v>380</v>
      </c>
      <c r="H13" s="22">
        <v>2.1</v>
      </c>
      <c r="I13" s="6">
        <f t="shared" si="0"/>
        <v>1685.7750000000001</v>
      </c>
      <c r="J13" s="6" t="s">
        <v>2393</v>
      </c>
    </row>
    <row r="14" spans="1:12" ht="13.95" customHeight="1" x14ac:dyDescent="0.3">
      <c r="A14" s="3">
        <v>45676</v>
      </c>
      <c r="B14" s="19" t="s">
        <v>2476</v>
      </c>
      <c r="C14" s="19" t="s">
        <v>16</v>
      </c>
      <c r="D14" s="19" t="s">
        <v>14</v>
      </c>
      <c r="E14" s="4">
        <v>0.6</v>
      </c>
      <c r="F14" s="42">
        <v>3</v>
      </c>
      <c r="G14" s="45">
        <v>380</v>
      </c>
      <c r="H14" s="22">
        <v>2.1</v>
      </c>
      <c r="I14" s="6">
        <f t="shared" si="0"/>
        <v>1436.4</v>
      </c>
      <c r="J14" s="6" t="s">
        <v>69</v>
      </c>
    </row>
    <row r="15" spans="1:12" ht="13.95" customHeight="1" x14ac:dyDescent="0.3">
      <c r="A15" s="3">
        <v>45677</v>
      </c>
      <c r="B15" s="19" t="s">
        <v>2476</v>
      </c>
      <c r="C15" s="19" t="s">
        <v>18</v>
      </c>
      <c r="D15" s="19" t="s">
        <v>2178</v>
      </c>
      <c r="E15" s="4">
        <v>0.45</v>
      </c>
      <c r="F15" s="42">
        <v>2.15</v>
      </c>
      <c r="G15" s="45">
        <v>380</v>
      </c>
      <c r="H15" s="22">
        <v>2.1</v>
      </c>
      <c r="I15" s="6">
        <f t="shared" si="0"/>
        <v>772.06499999999994</v>
      </c>
      <c r="J15" s="6" t="s">
        <v>272</v>
      </c>
    </row>
    <row r="16" spans="1:12" ht="13.95" customHeight="1" x14ac:dyDescent="0.3">
      <c r="A16" s="3">
        <v>45682</v>
      </c>
      <c r="B16" s="19" t="s">
        <v>2476</v>
      </c>
      <c r="C16" s="19" t="s">
        <v>13</v>
      </c>
      <c r="D16" s="19" t="s">
        <v>14</v>
      </c>
      <c r="E16" s="4">
        <v>0.6</v>
      </c>
      <c r="F16" s="42">
        <v>3.3</v>
      </c>
      <c r="G16" s="45">
        <v>380</v>
      </c>
      <c r="H16" s="22">
        <v>2.1</v>
      </c>
      <c r="I16" s="6">
        <f t="shared" si="0"/>
        <v>1580.04</v>
      </c>
      <c r="J16" s="6" t="s">
        <v>2394</v>
      </c>
    </row>
    <row r="17" spans="1:10" ht="13.95" customHeight="1" x14ac:dyDescent="0.3">
      <c r="A17" s="3">
        <v>45688</v>
      </c>
      <c r="B17" s="19" t="s">
        <v>2476</v>
      </c>
      <c r="C17" s="19" t="s">
        <v>11</v>
      </c>
      <c r="D17" s="19" t="s">
        <v>44</v>
      </c>
      <c r="E17" s="4">
        <v>0.55000000000000004</v>
      </c>
      <c r="F17" s="42">
        <v>2.35</v>
      </c>
      <c r="G17" s="45">
        <v>380</v>
      </c>
      <c r="H17" s="22">
        <v>2.1</v>
      </c>
      <c r="I17" s="6">
        <f t="shared" si="0"/>
        <v>1031.4150000000002</v>
      </c>
      <c r="J17" s="6" t="s">
        <v>99</v>
      </c>
    </row>
    <row r="18" spans="1:10" ht="13.95" customHeight="1" x14ac:dyDescent="0.3">
      <c r="A18" s="3">
        <v>45689</v>
      </c>
      <c r="B18" s="19" t="s">
        <v>2476</v>
      </c>
      <c r="C18" s="19" t="s">
        <v>13</v>
      </c>
      <c r="D18" s="19" t="s">
        <v>14</v>
      </c>
      <c r="E18" s="4">
        <v>0.65</v>
      </c>
      <c r="F18" s="42">
        <v>3.15</v>
      </c>
      <c r="G18" s="45">
        <v>380</v>
      </c>
      <c r="H18" s="22">
        <v>2</v>
      </c>
      <c r="I18" s="6">
        <f t="shared" si="0"/>
        <v>1556.1</v>
      </c>
      <c r="J18" s="6" t="s">
        <v>1481</v>
      </c>
    </row>
    <row r="19" spans="1:10" ht="13.95" customHeight="1" x14ac:dyDescent="0.3">
      <c r="A19" s="3">
        <v>45690</v>
      </c>
      <c r="B19" s="19" t="s">
        <v>2476</v>
      </c>
      <c r="C19" s="19" t="s">
        <v>16</v>
      </c>
      <c r="D19" s="19" t="s">
        <v>14</v>
      </c>
      <c r="E19" s="4">
        <v>0.6</v>
      </c>
      <c r="F19" s="42">
        <v>3</v>
      </c>
      <c r="G19" s="45">
        <v>380</v>
      </c>
      <c r="H19" s="22">
        <v>2</v>
      </c>
      <c r="I19" s="6">
        <f t="shared" si="0"/>
        <v>1368</v>
      </c>
      <c r="J19" s="6" t="s">
        <v>238</v>
      </c>
    </row>
    <row r="20" spans="1:10" ht="13.95" customHeight="1" x14ac:dyDescent="0.3">
      <c r="A20" s="3">
        <v>45691</v>
      </c>
      <c r="B20" s="19" t="s">
        <v>2476</v>
      </c>
      <c r="C20" s="19" t="s">
        <v>18</v>
      </c>
      <c r="D20" s="19" t="s">
        <v>2178</v>
      </c>
      <c r="E20" s="4">
        <v>0.5</v>
      </c>
      <c r="F20" s="42">
        <v>2.2000000000000002</v>
      </c>
      <c r="G20" s="45">
        <v>380</v>
      </c>
      <c r="H20" s="22">
        <v>2</v>
      </c>
      <c r="I20" s="6">
        <f t="shared" si="0"/>
        <v>836.00000000000011</v>
      </c>
      <c r="J20" s="6" t="s">
        <v>2395</v>
      </c>
    </row>
    <row r="21" spans="1:10" ht="13.95" customHeight="1" x14ac:dyDescent="0.3">
      <c r="A21" s="3">
        <v>45692</v>
      </c>
      <c r="B21" s="19" t="s">
        <v>2476</v>
      </c>
      <c r="C21" s="19" t="s">
        <v>20</v>
      </c>
      <c r="D21" s="19" t="s">
        <v>2178</v>
      </c>
      <c r="E21" s="4">
        <v>0.5</v>
      </c>
      <c r="F21" s="42">
        <v>2.2000000000000002</v>
      </c>
      <c r="G21" s="45">
        <v>380</v>
      </c>
      <c r="H21" s="22">
        <v>2</v>
      </c>
      <c r="I21" s="6">
        <f t="shared" si="0"/>
        <v>836.00000000000011</v>
      </c>
      <c r="J21" s="6" t="s">
        <v>88</v>
      </c>
    </row>
    <row r="22" spans="1:10" ht="13.95" customHeight="1" x14ac:dyDescent="0.3">
      <c r="A22" s="3">
        <v>45693</v>
      </c>
      <c r="B22" s="19" t="s">
        <v>2476</v>
      </c>
      <c r="C22" s="19" t="s">
        <v>5</v>
      </c>
      <c r="D22" s="19" t="s">
        <v>2178</v>
      </c>
      <c r="E22" s="4">
        <v>0.5</v>
      </c>
      <c r="F22" s="42">
        <v>2.25</v>
      </c>
      <c r="G22" s="45">
        <v>380</v>
      </c>
      <c r="H22" s="22">
        <v>2</v>
      </c>
      <c r="I22" s="6">
        <f t="shared" si="0"/>
        <v>855</v>
      </c>
      <c r="J22" s="6" t="s">
        <v>88</v>
      </c>
    </row>
    <row r="23" spans="1:10" ht="13.95" customHeight="1" x14ac:dyDescent="0.3">
      <c r="A23" s="3">
        <v>45694</v>
      </c>
      <c r="B23" s="19" t="s">
        <v>2476</v>
      </c>
      <c r="C23" s="19" t="s">
        <v>8</v>
      </c>
      <c r="D23" s="19" t="s">
        <v>2178</v>
      </c>
      <c r="E23" s="4">
        <v>0.55000000000000004</v>
      </c>
      <c r="F23" s="42">
        <v>2.2999999999999998</v>
      </c>
      <c r="G23" s="45">
        <v>380</v>
      </c>
      <c r="H23" s="22">
        <v>2</v>
      </c>
      <c r="I23" s="6">
        <f t="shared" si="0"/>
        <v>961.40000000000009</v>
      </c>
      <c r="J23" s="6" t="s">
        <v>717</v>
      </c>
    </row>
    <row r="24" spans="1:10" ht="13.95" customHeight="1" x14ac:dyDescent="0.3">
      <c r="A24" s="3">
        <v>45695</v>
      </c>
      <c r="B24" s="19" t="s">
        <v>2476</v>
      </c>
      <c r="C24" s="19" t="s">
        <v>11</v>
      </c>
      <c r="D24" s="19" t="s">
        <v>14</v>
      </c>
      <c r="E24" s="4">
        <v>0.6</v>
      </c>
      <c r="F24" s="42">
        <v>2.6</v>
      </c>
      <c r="G24" s="45">
        <v>380</v>
      </c>
      <c r="H24" s="22">
        <v>2</v>
      </c>
      <c r="I24" s="6">
        <f t="shared" si="0"/>
        <v>1185.6000000000001</v>
      </c>
      <c r="J24" s="6" t="s">
        <v>67</v>
      </c>
    </row>
    <row r="25" spans="1:10" ht="13.95" customHeight="1" x14ac:dyDescent="0.3">
      <c r="A25" s="3">
        <v>45696</v>
      </c>
      <c r="B25" s="19" t="s">
        <v>2476</v>
      </c>
      <c r="C25" s="19" t="s">
        <v>13</v>
      </c>
      <c r="D25" s="19" t="s">
        <v>14</v>
      </c>
      <c r="E25" s="4">
        <v>0.7</v>
      </c>
      <c r="F25" s="42">
        <v>3.25</v>
      </c>
      <c r="G25" s="45">
        <v>380</v>
      </c>
      <c r="H25" s="22">
        <v>2</v>
      </c>
      <c r="I25" s="6">
        <f t="shared" si="0"/>
        <v>1729</v>
      </c>
      <c r="J25" s="6" t="s">
        <v>1811</v>
      </c>
    </row>
    <row r="26" spans="1:10" ht="13.95" customHeight="1" x14ac:dyDescent="0.3">
      <c r="A26" s="3">
        <v>45697</v>
      </c>
      <c r="B26" s="19" t="s">
        <v>2476</v>
      </c>
      <c r="C26" s="19" t="s">
        <v>16</v>
      </c>
      <c r="D26" s="19" t="s">
        <v>14</v>
      </c>
      <c r="E26" s="4">
        <v>0.65</v>
      </c>
      <c r="F26" s="42">
        <v>3.1</v>
      </c>
      <c r="G26" s="45">
        <v>380</v>
      </c>
      <c r="H26" s="22">
        <v>2</v>
      </c>
      <c r="I26" s="6">
        <f t="shared" si="0"/>
        <v>1531.4</v>
      </c>
      <c r="J26" s="6" t="s">
        <v>69</v>
      </c>
    </row>
    <row r="27" spans="1:10" ht="13.95" customHeight="1" x14ac:dyDescent="0.3">
      <c r="A27" s="3">
        <v>45698</v>
      </c>
      <c r="B27" s="19" t="s">
        <v>2476</v>
      </c>
      <c r="C27" s="19" t="s">
        <v>18</v>
      </c>
      <c r="D27" s="19" t="s">
        <v>2178</v>
      </c>
      <c r="E27" s="4">
        <v>0.55000000000000004</v>
      </c>
      <c r="F27" s="42">
        <v>2.2000000000000002</v>
      </c>
      <c r="G27" s="45">
        <v>380</v>
      </c>
      <c r="H27" s="22">
        <v>2</v>
      </c>
      <c r="I27" s="6">
        <f t="shared" si="0"/>
        <v>919.60000000000025</v>
      </c>
      <c r="J27" s="6" t="s">
        <v>88</v>
      </c>
    </row>
    <row r="28" spans="1:10" ht="13.95" customHeight="1" x14ac:dyDescent="0.3">
      <c r="A28" s="3">
        <v>45699</v>
      </c>
      <c r="B28" s="19" t="s">
        <v>2476</v>
      </c>
      <c r="C28" s="19" t="s">
        <v>20</v>
      </c>
      <c r="D28" s="19" t="s">
        <v>2178</v>
      </c>
      <c r="E28" s="4">
        <v>0.6</v>
      </c>
      <c r="F28" s="42">
        <v>2.25</v>
      </c>
      <c r="G28" s="45">
        <v>380</v>
      </c>
      <c r="H28" s="22">
        <v>2</v>
      </c>
      <c r="I28" s="6">
        <f t="shared" si="0"/>
        <v>1026</v>
      </c>
      <c r="J28" s="6" t="s">
        <v>2302</v>
      </c>
    </row>
    <row r="29" spans="1:10" ht="13.95" customHeight="1" x14ac:dyDescent="0.3">
      <c r="A29" s="3">
        <v>45700</v>
      </c>
      <c r="B29" s="19" t="s">
        <v>2476</v>
      </c>
      <c r="C29" s="19" t="s">
        <v>5</v>
      </c>
      <c r="D29" s="19" t="s">
        <v>2021</v>
      </c>
      <c r="E29" s="4">
        <v>0.7</v>
      </c>
      <c r="F29" s="42">
        <v>2.35</v>
      </c>
      <c r="G29" s="45">
        <v>380</v>
      </c>
      <c r="H29" s="22">
        <v>2</v>
      </c>
      <c r="I29" s="6">
        <f t="shared" si="0"/>
        <v>1250.2</v>
      </c>
      <c r="J29" s="6" t="s">
        <v>2304</v>
      </c>
    </row>
    <row r="30" spans="1:10" ht="13.95" customHeight="1" x14ac:dyDescent="0.3">
      <c r="A30" s="3">
        <v>45701</v>
      </c>
      <c r="B30" s="19" t="s">
        <v>2476</v>
      </c>
      <c r="C30" s="19" t="s">
        <v>8</v>
      </c>
      <c r="D30" s="19" t="s">
        <v>2021</v>
      </c>
      <c r="E30" s="4">
        <v>0.75</v>
      </c>
      <c r="F30" s="42">
        <v>2.4500000000000002</v>
      </c>
      <c r="G30" s="45">
        <v>380</v>
      </c>
      <c r="H30" s="22">
        <v>2</v>
      </c>
      <c r="I30" s="6">
        <f t="shared" si="0"/>
        <v>1396.5</v>
      </c>
      <c r="J30" s="6" t="s">
        <v>1821</v>
      </c>
    </row>
    <row r="31" spans="1:10" ht="13.95" customHeight="1" x14ac:dyDescent="0.3">
      <c r="A31" s="3">
        <v>45702</v>
      </c>
      <c r="B31" s="19" t="s">
        <v>2476</v>
      </c>
      <c r="C31" s="19" t="s">
        <v>11</v>
      </c>
      <c r="D31" s="19" t="s">
        <v>1939</v>
      </c>
      <c r="E31" s="4">
        <v>0.9</v>
      </c>
      <c r="F31" s="42">
        <v>3.7</v>
      </c>
      <c r="G31" s="45">
        <v>380</v>
      </c>
      <c r="H31" s="22">
        <v>2</v>
      </c>
      <c r="I31" s="6">
        <f t="shared" si="0"/>
        <v>2530.8000000000002</v>
      </c>
      <c r="J31" s="6" t="s">
        <v>2396</v>
      </c>
    </row>
    <row r="32" spans="1:10" ht="13.95" customHeight="1" x14ac:dyDescent="0.3">
      <c r="A32" s="3">
        <v>45703</v>
      </c>
      <c r="B32" s="19" t="s">
        <v>2476</v>
      </c>
      <c r="C32" s="19" t="s">
        <v>13</v>
      </c>
      <c r="D32" s="19" t="s">
        <v>14</v>
      </c>
      <c r="E32" s="4">
        <v>0.95</v>
      </c>
      <c r="F32" s="42">
        <v>3.4</v>
      </c>
      <c r="G32" s="45">
        <v>380</v>
      </c>
      <c r="H32" s="22">
        <v>2</v>
      </c>
      <c r="I32" s="6">
        <f t="shared" si="0"/>
        <v>2454.7999999999997</v>
      </c>
      <c r="J32" s="6" t="s">
        <v>2397</v>
      </c>
    </row>
    <row r="33" spans="1:10" ht="13.95" customHeight="1" x14ac:dyDescent="0.3">
      <c r="A33" s="3">
        <v>45704</v>
      </c>
      <c r="B33" s="19" t="s">
        <v>2476</v>
      </c>
      <c r="C33" s="19" t="s">
        <v>16</v>
      </c>
      <c r="D33" s="19" t="s">
        <v>14</v>
      </c>
      <c r="E33" s="4">
        <v>0.85</v>
      </c>
      <c r="F33" s="42">
        <v>3.15</v>
      </c>
      <c r="G33" s="45">
        <v>380</v>
      </c>
      <c r="H33" s="22">
        <v>2</v>
      </c>
      <c r="I33" s="6">
        <f t="shared" si="0"/>
        <v>2034.8999999999999</v>
      </c>
      <c r="J33" s="6" t="s">
        <v>559</v>
      </c>
    </row>
    <row r="34" spans="1:10" ht="13.95" customHeight="1" x14ac:dyDescent="0.3">
      <c r="A34" s="3">
        <v>45705</v>
      </c>
      <c r="B34" s="19" t="s">
        <v>2476</v>
      </c>
      <c r="C34" s="19" t="s">
        <v>18</v>
      </c>
      <c r="D34" s="19" t="s">
        <v>2178</v>
      </c>
      <c r="E34" s="4">
        <v>0.6</v>
      </c>
      <c r="F34" s="42">
        <v>2.2000000000000002</v>
      </c>
      <c r="G34" s="45">
        <v>380</v>
      </c>
      <c r="H34" s="22">
        <v>2</v>
      </c>
      <c r="I34" s="6">
        <f t="shared" si="0"/>
        <v>1003.2</v>
      </c>
      <c r="J34" s="6" t="s">
        <v>88</v>
      </c>
    </row>
    <row r="35" spans="1:10" ht="13.95" customHeight="1" x14ac:dyDescent="0.3">
      <c r="A35" s="3">
        <v>45706</v>
      </c>
      <c r="B35" s="19" t="s">
        <v>2476</v>
      </c>
      <c r="C35" s="19" t="s">
        <v>20</v>
      </c>
      <c r="D35" s="19" t="s">
        <v>2178</v>
      </c>
      <c r="E35" s="4">
        <v>0.55000000000000004</v>
      </c>
      <c r="F35" s="42">
        <v>2.2000000000000002</v>
      </c>
      <c r="G35" s="45">
        <v>380</v>
      </c>
      <c r="H35" s="22">
        <v>2</v>
      </c>
      <c r="I35" s="6">
        <f t="shared" si="0"/>
        <v>919.60000000000025</v>
      </c>
      <c r="J35" s="6" t="s">
        <v>88</v>
      </c>
    </row>
    <row r="36" spans="1:10" ht="13.95" customHeight="1" x14ac:dyDescent="0.3">
      <c r="A36" s="3">
        <v>45710</v>
      </c>
      <c r="B36" s="19" t="s">
        <v>2476</v>
      </c>
      <c r="C36" s="19" t="s">
        <v>13</v>
      </c>
      <c r="D36" s="19" t="s">
        <v>14</v>
      </c>
      <c r="E36" s="4">
        <v>0.7</v>
      </c>
      <c r="F36" s="42">
        <v>3.25</v>
      </c>
      <c r="G36" s="45">
        <v>380</v>
      </c>
      <c r="H36" s="22">
        <v>2</v>
      </c>
      <c r="I36" s="6">
        <f t="shared" si="0"/>
        <v>1729</v>
      </c>
      <c r="J36" s="6" t="s">
        <v>2393</v>
      </c>
    </row>
    <row r="37" spans="1:10" ht="13.95" customHeight="1" x14ac:dyDescent="0.3">
      <c r="A37" s="3">
        <v>45711</v>
      </c>
      <c r="B37" s="19" t="s">
        <v>2476</v>
      </c>
      <c r="C37" s="19" t="s">
        <v>16</v>
      </c>
      <c r="D37" s="19" t="s">
        <v>14</v>
      </c>
      <c r="E37" s="4">
        <v>0.65</v>
      </c>
      <c r="F37" s="42">
        <v>3.05</v>
      </c>
      <c r="G37" s="45">
        <v>380</v>
      </c>
      <c r="H37" s="22">
        <v>2</v>
      </c>
      <c r="I37" s="6">
        <f t="shared" si="0"/>
        <v>1506.6999999999998</v>
      </c>
      <c r="J37" s="6" t="s">
        <v>69</v>
      </c>
    </row>
    <row r="38" spans="1:10" ht="13.95" customHeight="1" x14ac:dyDescent="0.3">
      <c r="A38" s="3">
        <v>45716</v>
      </c>
      <c r="B38" s="19" t="s">
        <v>2476</v>
      </c>
      <c r="C38" s="19" t="s">
        <v>11</v>
      </c>
      <c r="D38" s="19" t="s">
        <v>44</v>
      </c>
      <c r="E38" s="4">
        <v>0.7</v>
      </c>
      <c r="F38" s="42">
        <v>2.65</v>
      </c>
      <c r="G38" s="45">
        <v>380</v>
      </c>
      <c r="H38" s="22">
        <v>2</v>
      </c>
      <c r="I38" s="6">
        <f t="shared" si="0"/>
        <v>1409.8</v>
      </c>
      <c r="J38" s="6" t="s">
        <v>2308</v>
      </c>
    </row>
    <row r="39" spans="1:10" ht="13.95" customHeight="1" x14ac:dyDescent="0.3">
      <c r="A39" s="3">
        <v>45717</v>
      </c>
      <c r="B39" s="19" t="s">
        <v>2476</v>
      </c>
      <c r="C39" s="19" t="s">
        <v>13</v>
      </c>
      <c r="D39" s="19" t="s">
        <v>708</v>
      </c>
      <c r="E39" s="4">
        <v>0.65</v>
      </c>
      <c r="F39" s="42">
        <v>3.6</v>
      </c>
      <c r="G39" s="45">
        <v>380</v>
      </c>
      <c r="H39" s="22">
        <v>2.1</v>
      </c>
      <c r="I39" s="6">
        <f t="shared" si="0"/>
        <v>1867.3200000000002</v>
      </c>
      <c r="J39" s="6" t="s">
        <v>2424</v>
      </c>
    </row>
    <row r="40" spans="1:10" ht="13.95" customHeight="1" x14ac:dyDescent="0.3">
      <c r="A40" s="3">
        <v>45718</v>
      </c>
      <c r="B40" s="19" t="s">
        <v>2476</v>
      </c>
      <c r="C40" s="19" t="s">
        <v>16</v>
      </c>
      <c r="D40" s="19" t="s">
        <v>76</v>
      </c>
      <c r="E40" s="4">
        <v>0.6</v>
      </c>
      <c r="F40" s="42">
        <v>3.1</v>
      </c>
      <c r="G40" s="45">
        <v>380</v>
      </c>
      <c r="H40" s="22">
        <v>2.1</v>
      </c>
      <c r="I40" s="6">
        <f t="shared" si="0"/>
        <v>1484.2800000000002</v>
      </c>
      <c r="J40" s="6" t="s">
        <v>2309</v>
      </c>
    </row>
    <row r="41" spans="1:10" ht="13.95" customHeight="1" x14ac:dyDescent="0.3">
      <c r="A41" s="3">
        <v>45719</v>
      </c>
      <c r="B41" s="19" t="s">
        <v>2476</v>
      </c>
      <c r="C41" s="19" t="s">
        <v>18</v>
      </c>
      <c r="D41" s="19" t="s">
        <v>76</v>
      </c>
      <c r="E41" s="4">
        <v>0.5</v>
      </c>
      <c r="F41" s="42">
        <v>2.2000000000000002</v>
      </c>
      <c r="G41" s="45">
        <v>380</v>
      </c>
      <c r="H41" s="22">
        <v>2.1</v>
      </c>
      <c r="I41" s="6">
        <f t="shared" si="0"/>
        <v>877.80000000000018</v>
      </c>
      <c r="J41" s="6" t="s">
        <v>2319</v>
      </c>
    </row>
    <row r="42" spans="1:10" ht="13.95" customHeight="1" x14ac:dyDescent="0.3">
      <c r="A42" s="3">
        <v>45720</v>
      </c>
      <c r="B42" s="19" t="s">
        <v>2476</v>
      </c>
      <c r="C42" s="19" t="s">
        <v>20</v>
      </c>
      <c r="D42" s="19" t="s">
        <v>76</v>
      </c>
      <c r="E42" s="4">
        <v>0.5</v>
      </c>
      <c r="F42" s="42">
        <v>2.2000000000000002</v>
      </c>
      <c r="G42" s="45">
        <v>380</v>
      </c>
      <c r="H42" s="22">
        <v>2.1</v>
      </c>
      <c r="I42" s="6">
        <f t="shared" si="0"/>
        <v>877.80000000000018</v>
      </c>
      <c r="J42" s="6" t="s">
        <v>88</v>
      </c>
    </row>
    <row r="43" spans="1:10" ht="13.95" customHeight="1" x14ac:dyDescent="0.3">
      <c r="A43" s="3">
        <v>45721</v>
      </c>
      <c r="B43" s="19" t="s">
        <v>2476</v>
      </c>
      <c r="C43" s="19" t="s">
        <v>5</v>
      </c>
      <c r="D43" s="19" t="s">
        <v>76</v>
      </c>
      <c r="E43" s="4">
        <v>0.5</v>
      </c>
      <c r="F43" s="42">
        <v>2.25</v>
      </c>
      <c r="G43" s="45">
        <v>380</v>
      </c>
      <c r="H43" s="22">
        <v>2.1</v>
      </c>
      <c r="I43" s="6">
        <f t="shared" si="0"/>
        <v>897.75</v>
      </c>
      <c r="J43" s="6" t="s">
        <v>88</v>
      </c>
    </row>
    <row r="44" spans="1:10" ht="13.95" customHeight="1" x14ac:dyDescent="0.3">
      <c r="A44" s="3">
        <v>45722</v>
      </c>
      <c r="B44" s="19" t="s">
        <v>2476</v>
      </c>
      <c r="C44" s="19" t="s">
        <v>8</v>
      </c>
      <c r="D44" s="19" t="s">
        <v>76</v>
      </c>
      <c r="E44" s="4">
        <v>0.5</v>
      </c>
      <c r="F44" s="42">
        <v>2.25</v>
      </c>
      <c r="G44" s="45">
        <v>380</v>
      </c>
      <c r="H44" s="22">
        <v>2.1</v>
      </c>
      <c r="I44" s="6">
        <f t="shared" si="0"/>
        <v>897.75</v>
      </c>
      <c r="J44" s="6" t="s">
        <v>88</v>
      </c>
    </row>
    <row r="45" spans="1:10" ht="13.95" customHeight="1" x14ac:dyDescent="0.3">
      <c r="A45" s="3">
        <v>45723</v>
      </c>
      <c r="B45" s="19" t="s">
        <v>2476</v>
      </c>
      <c r="C45" s="19" t="s">
        <v>11</v>
      </c>
      <c r="D45" s="19" t="s">
        <v>76</v>
      </c>
      <c r="E45" s="4">
        <v>0.6</v>
      </c>
      <c r="F45" s="42">
        <v>2.8</v>
      </c>
      <c r="G45" s="45">
        <v>380</v>
      </c>
      <c r="H45" s="22">
        <v>2.1</v>
      </c>
      <c r="I45" s="6">
        <f t="shared" si="0"/>
        <v>1340.64</v>
      </c>
      <c r="J45" s="6" t="s">
        <v>2425</v>
      </c>
    </row>
    <row r="46" spans="1:10" ht="13.95" customHeight="1" x14ac:dyDescent="0.3">
      <c r="A46" s="3">
        <v>45724</v>
      </c>
      <c r="B46" s="19" t="s">
        <v>2476</v>
      </c>
      <c r="C46" s="19" t="s">
        <v>13</v>
      </c>
      <c r="D46" s="19" t="s">
        <v>76</v>
      </c>
      <c r="E46" s="4">
        <v>0.75</v>
      </c>
      <c r="F46" s="42">
        <v>3.75</v>
      </c>
      <c r="G46" s="45">
        <v>380</v>
      </c>
      <c r="H46" s="22">
        <v>2.1</v>
      </c>
      <c r="I46" s="6">
        <f t="shared" si="0"/>
        <v>2244.375</v>
      </c>
      <c r="J46" s="6" t="s">
        <v>2312</v>
      </c>
    </row>
    <row r="47" spans="1:10" ht="13.95" customHeight="1" x14ac:dyDescent="0.3">
      <c r="A47" s="3">
        <v>45725</v>
      </c>
      <c r="B47" s="19" t="s">
        <v>2476</v>
      </c>
      <c r="C47" s="19" t="s">
        <v>16</v>
      </c>
      <c r="D47" s="19" t="s">
        <v>76</v>
      </c>
      <c r="E47" s="4">
        <v>0.7</v>
      </c>
      <c r="F47" s="42">
        <v>3.2</v>
      </c>
      <c r="G47" s="45">
        <v>380</v>
      </c>
      <c r="H47" s="22">
        <v>2.1</v>
      </c>
      <c r="I47" s="6">
        <f t="shared" si="0"/>
        <v>1787.5200000000002</v>
      </c>
      <c r="J47" s="6" t="s">
        <v>69</v>
      </c>
    </row>
    <row r="48" spans="1:10" ht="13.95" customHeight="1" x14ac:dyDescent="0.3">
      <c r="A48" s="3">
        <v>45726</v>
      </c>
      <c r="B48" s="19" t="s">
        <v>2476</v>
      </c>
      <c r="C48" s="19" t="s">
        <v>18</v>
      </c>
      <c r="D48" s="19" t="s">
        <v>76</v>
      </c>
      <c r="E48" s="4">
        <v>0.5</v>
      </c>
      <c r="F48" s="42">
        <v>2.2000000000000002</v>
      </c>
      <c r="G48" s="45">
        <v>380</v>
      </c>
      <c r="H48" s="22">
        <v>2.1</v>
      </c>
      <c r="I48" s="6">
        <f t="shared" si="0"/>
        <v>877.80000000000018</v>
      </c>
      <c r="J48" s="6" t="s">
        <v>88</v>
      </c>
    </row>
    <row r="49" spans="1:10" ht="13.95" customHeight="1" x14ac:dyDescent="0.3">
      <c r="A49" s="3">
        <v>45727</v>
      </c>
      <c r="B49" s="19" t="s">
        <v>2476</v>
      </c>
      <c r="C49" s="19" t="s">
        <v>20</v>
      </c>
      <c r="D49" s="19" t="s">
        <v>76</v>
      </c>
      <c r="E49" s="4">
        <v>0.5</v>
      </c>
      <c r="F49" s="42">
        <v>2.2000000000000002</v>
      </c>
      <c r="G49" s="45">
        <v>380</v>
      </c>
      <c r="H49" s="22">
        <v>2.1</v>
      </c>
      <c r="I49" s="6">
        <f t="shared" si="0"/>
        <v>877.80000000000018</v>
      </c>
      <c r="J49" s="6" t="s">
        <v>88</v>
      </c>
    </row>
    <row r="50" spans="1:10" ht="13.95" customHeight="1" x14ac:dyDescent="0.3">
      <c r="A50" s="3">
        <v>45728</v>
      </c>
      <c r="B50" s="19" t="s">
        <v>2476</v>
      </c>
      <c r="C50" s="19" t="s">
        <v>5</v>
      </c>
      <c r="D50" s="19" t="s">
        <v>76</v>
      </c>
      <c r="E50" s="4">
        <v>0.55000000000000004</v>
      </c>
      <c r="F50" s="42">
        <v>2.25</v>
      </c>
      <c r="G50" s="45">
        <v>380</v>
      </c>
      <c r="H50" s="22">
        <v>2.1</v>
      </c>
      <c r="I50" s="6">
        <f t="shared" si="0"/>
        <v>987.5250000000002</v>
      </c>
      <c r="J50" s="6" t="s">
        <v>88</v>
      </c>
    </row>
    <row r="51" spans="1:10" ht="13.95" customHeight="1" x14ac:dyDescent="0.3">
      <c r="A51" s="3">
        <v>45729</v>
      </c>
      <c r="B51" s="19" t="s">
        <v>2476</v>
      </c>
      <c r="C51" s="19" t="s">
        <v>8</v>
      </c>
      <c r="D51" s="19" t="s">
        <v>76</v>
      </c>
      <c r="E51" s="4">
        <v>0.55000000000000004</v>
      </c>
      <c r="F51" s="42">
        <v>2.25</v>
      </c>
      <c r="G51" s="45">
        <v>380</v>
      </c>
      <c r="H51" s="22">
        <v>2.1</v>
      </c>
      <c r="I51" s="6">
        <f t="shared" si="0"/>
        <v>987.5250000000002</v>
      </c>
      <c r="J51" s="6" t="s">
        <v>88</v>
      </c>
    </row>
    <row r="52" spans="1:10" ht="13.95" customHeight="1" x14ac:dyDescent="0.3">
      <c r="A52" s="3">
        <v>45730</v>
      </c>
      <c r="B52" s="19" t="s">
        <v>2476</v>
      </c>
      <c r="C52" s="19" t="s">
        <v>11</v>
      </c>
      <c r="D52" s="19" t="s">
        <v>76</v>
      </c>
      <c r="E52" s="4">
        <v>0.65</v>
      </c>
      <c r="F52" s="42">
        <v>2.85</v>
      </c>
      <c r="G52" s="45">
        <v>380</v>
      </c>
      <c r="H52" s="22">
        <v>2.1</v>
      </c>
      <c r="I52" s="6">
        <f t="shared" si="0"/>
        <v>1478.2950000000001</v>
      </c>
      <c r="J52" s="6" t="s">
        <v>282</v>
      </c>
    </row>
    <row r="53" spans="1:10" ht="13.95" customHeight="1" x14ac:dyDescent="0.3">
      <c r="A53" s="3">
        <v>45731</v>
      </c>
      <c r="B53" s="19" t="s">
        <v>2476</v>
      </c>
      <c r="C53" s="19" t="s">
        <v>13</v>
      </c>
      <c r="D53" s="19" t="s">
        <v>76</v>
      </c>
      <c r="E53" s="4">
        <v>0.8</v>
      </c>
      <c r="F53" s="42">
        <v>3.8</v>
      </c>
      <c r="G53" s="45">
        <v>380</v>
      </c>
      <c r="H53" s="22">
        <v>2.1</v>
      </c>
      <c r="I53" s="6">
        <f t="shared" si="0"/>
        <v>2425.92</v>
      </c>
      <c r="J53" s="6" t="s">
        <v>1751</v>
      </c>
    </row>
    <row r="54" spans="1:10" ht="13.95" customHeight="1" x14ac:dyDescent="0.3">
      <c r="A54" s="3">
        <v>45732</v>
      </c>
      <c r="B54" s="19" t="s">
        <v>2476</v>
      </c>
      <c r="C54" s="19" t="s">
        <v>16</v>
      </c>
      <c r="D54" s="19" t="s">
        <v>76</v>
      </c>
      <c r="E54" s="4">
        <v>0.75</v>
      </c>
      <c r="F54" s="42">
        <v>3.25</v>
      </c>
      <c r="G54" s="45">
        <v>380</v>
      </c>
      <c r="H54" s="22">
        <v>2.1</v>
      </c>
      <c r="I54" s="6">
        <f t="shared" si="0"/>
        <v>1945.125</v>
      </c>
      <c r="J54" s="6" t="s">
        <v>69</v>
      </c>
    </row>
    <row r="55" spans="1:10" ht="13.95" customHeight="1" x14ac:dyDescent="0.3">
      <c r="A55" s="3">
        <v>45733</v>
      </c>
      <c r="B55" s="19" t="s">
        <v>2476</v>
      </c>
      <c r="C55" s="19" t="s">
        <v>18</v>
      </c>
      <c r="D55" s="19" t="s">
        <v>76</v>
      </c>
      <c r="E55" s="4">
        <v>0.55000000000000004</v>
      </c>
      <c r="F55" s="42">
        <v>2.2000000000000002</v>
      </c>
      <c r="G55" s="45">
        <v>380</v>
      </c>
      <c r="H55" s="22">
        <v>2.1</v>
      </c>
      <c r="I55" s="6">
        <f t="shared" si="0"/>
        <v>965.58000000000027</v>
      </c>
      <c r="J55" s="6" t="s">
        <v>150</v>
      </c>
    </row>
    <row r="56" spans="1:10" ht="13.95" customHeight="1" x14ac:dyDescent="0.3">
      <c r="A56" s="3">
        <v>45734</v>
      </c>
      <c r="B56" s="19" t="s">
        <v>2476</v>
      </c>
      <c r="C56" s="19" t="s">
        <v>20</v>
      </c>
      <c r="D56" s="19" t="s">
        <v>76</v>
      </c>
      <c r="E56" s="4">
        <v>0.55000000000000004</v>
      </c>
      <c r="F56" s="42">
        <v>2.2000000000000002</v>
      </c>
      <c r="G56" s="45">
        <v>380</v>
      </c>
      <c r="H56" s="22">
        <v>2.1</v>
      </c>
      <c r="I56" s="6">
        <f t="shared" si="0"/>
        <v>965.58000000000027</v>
      </c>
      <c r="J56" s="6" t="s">
        <v>150</v>
      </c>
    </row>
    <row r="57" spans="1:10" ht="13.95" customHeight="1" x14ac:dyDescent="0.3">
      <c r="A57" s="3">
        <v>45735</v>
      </c>
      <c r="B57" s="19" t="s">
        <v>2476</v>
      </c>
      <c r="C57" s="19" t="s">
        <v>5</v>
      </c>
      <c r="D57" s="19" t="s">
        <v>76</v>
      </c>
      <c r="E57" s="4">
        <v>0.6</v>
      </c>
      <c r="F57" s="42">
        <v>2.2999999999999998</v>
      </c>
      <c r="G57" s="45">
        <v>380</v>
      </c>
      <c r="H57" s="22">
        <v>2.1</v>
      </c>
      <c r="I57" s="6">
        <f t="shared" si="0"/>
        <v>1101.24</v>
      </c>
      <c r="J57" s="6" t="s">
        <v>2426</v>
      </c>
    </row>
    <row r="58" spans="1:10" ht="13.95" customHeight="1" x14ac:dyDescent="0.3">
      <c r="A58" s="3">
        <v>45736</v>
      </c>
      <c r="B58" s="19" t="s">
        <v>2476</v>
      </c>
      <c r="C58" s="19" t="s">
        <v>8</v>
      </c>
      <c r="D58" s="19" t="s">
        <v>383</v>
      </c>
      <c r="E58" s="4">
        <v>0.8</v>
      </c>
      <c r="F58" s="42">
        <v>3.55</v>
      </c>
      <c r="G58" s="45">
        <v>380</v>
      </c>
      <c r="H58" s="22">
        <v>2.1</v>
      </c>
      <c r="I58" s="6">
        <f t="shared" si="0"/>
        <v>2266.3200000000002</v>
      </c>
      <c r="J58" s="6" t="s">
        <v>2401</v>
      </c>
    </row>
    <row r="59" spans="1:10" ht="13.95" customHeight="1" x14ac:dyDescent="0.3">
      <c r="A59" s="3">
        <v>45737</v>
      </c>
      <c r="B59" s="19" t="s">
        <v>2476</v>
      </c>
      <c r="C59" s="19" t="s">
        <v>11</v>
      </c>
      <c r="D59" s="19" t="s">
        <v>76</v>
      </c>
      <c r="E59" s="4">
        <v>0.75</v>
      </c>
      <c r="F59" s="42">
        <v>3.1</v>
      </c>
      <c r="G59" s="45">
        <v>380</v>
      </c>
      <c r="H59" s="22">
        <v>2.1</v>
      </c>
      <c r="I59" s="6">
        <f t="shared" si="0"/>
        <v>1855.3500000000001</v>
      </c>
      <c r="J59" s="6" t="s">
        <v>197</v>
      </c>
    </row>
    <row r="60" spans="1:10" ht="13.95" customHeight="1" x14ac:dyDescent="0.3">
      <c r="A60" s="3">
        <v>45738</v>
      </c>
      <c r="B60" s="19" t="s">
        <v>2476</v>
      </c>
      <c r="C60" s="19" t="s">
        <v>13</v>
      </c>
      <c r="D60" s="19" t="s">
        <v>76</v>
      </c>
      <c r="E60" s="4">
        <v>0.85</v>
      </c>
      <c r="F60" s="42">
        <v>3.9</v>
      </c>
      <c r="G60" s="45">
        <v>380</v>
      </c>
      <c r="H60" s="22">
        <v>2.1</v>
      </c>
      <c r="I60" s="6">
        <f t="shared" si="0"/>
        <v>2645.3700000000003</v>
      </c>
      <c r="J60" s="6" t="s">
        <v>2213</v>
      </c>
    </row>
    <row r="61" spans="1:10" ht="13.95" customHeight="1" x14ac:dyDescent="0.3">
      <c r="A61" s="3">
        <v>45739</v>
      </c>
      <c r="B61" s="19" t="s">
        <v>2476</v>
      </c>
      <c r="C61" s="19" t="s">
        <v>16</v>
      </c>
      <c r="D61" s="19" t="s">
        <v>76</v>
      </c>
      <c r="E61" s="4">
        <v>0.8</v>
      </c>
      <c r="F61" s="42">
        <v>3.3</v>
      </c>
      <c r="G61" s="45">
        <v>380</v>
      </c>
      <c r="H61" s="22">
        <v>2.1</v>
      </c>
      <c r="I61" s="6">
        <f t="shared" si="0"/>
        <v>2106.7199999999998</v>
      </c>
      <c r="J61" s="6" t="s">
        <v>69</v>
      </c>
    </row>
    <row r="62" spans="1:10" ht="13.95" customHeight="1" x14ac:dyDescent="0.3">
      <c r="A62" s="3">
        <v>45740</v>
      </c>
      <c r="B62" s="19" t="s">
        <v>2476</v>
      </c>
      <c r="C62" s="19" t="s">
        <v>18</v>
      </c>
      <c r="D62" s="19" t="s">
        <v>76</v>
      </c>
      <c r="E62" s="4">
        <v>0.6</v>
      </c>
      <c r="F62" s="42">
        <v>2.2000000000000002</v>
      </c>
      <c r="G62" s="45">
        <v>380</v>
      </c>
      <c r="H62" s="22">
        <v>2.1</v>
      </c>
      <c r="I62" s="6">
        <f t="shared" si="0"/>
        <v>1053.3600000000001</v>
      </c>
      <c r="J62" s="6" t="s">
        <v>88</v>
      </c>
    </row>
    <row r="63" spans="1:10" ht="13.95" customHeight="1" x14ac:dyDescent="0.3">
      <c r="A63" s="3">
        <v>45741</v>
      </c>
      <c r="B63" s="19" t="s">
        <v>2476</v>
      </c>
      <c r="C63" s="19" t="s">
        <v>20</v>
      </c>
      <c r="D63" s="19" t="s">
        <v>76</v>
      </c>
      <c r="E63" s="4">
        <v>0.6</v>
      </c>
      <c r="F63" s="42">
        <v>2.2000000000000002</v>
      </c>
      <c r="G63" s="45">
        <v>380</v>
      </c>
      <c r="H63" s="22">
        <v>2.1</v>
      </c>
      <c r="I63" s="6">
        <f t="shared" si="0"/>
        <v>1053.3600000000001</v>
      </c>
      <c r="J63" s="6" t="s">
        <v>88</v>
      </c>
    </row>
    <row r="64" spans="1:10" ht="13.95" customHeight="1" x14ac:dyDescent="0.3">
      <c r="A64" s="3">
        <v>45742</v>
      </c>
      <c r="B64" s="19" t="s">
        <v>2476</v>
      </c>
      <c r="C64" s="19" t="s">
        <v>5</v>
      </c>
      <c r="D64" s="19" t="s">
        <v>2427</v>
      </c>
      <c r="E64" s="4">
        <v>0.7</v>
      </c>
      <c r="F64" s="42">
        <v>3.85</v>
      </c>
      <c r="G64" s="45">
        <v>380</v>
      </c>
      <c r="H64" s="22">
        <v>2.1</v>
      </c>
      <c r="I64" s="6">
        <f t="shared" si="0"/>
        <v>2150.6100000000006</v>
      </c>
      <c r="J64" s="6" t="s">
        <v>1507</v>
      </c>
    </row>
    <row r="65" spans="1:10" ht="13.95" customHeight="1" x14ac:dyDescent="0.3">
      <c r="A65" s="3">
        <v>45743</v>
      </c>
      <c r="B65" s="19" t="s">
        <v>2476</v>
      </c>
      <c r="C65" s="19" t="s">
        <v>8</v>
      </c>
      <c r="D65" s="19" t="s">
        <v>76</v>
      </c>
      <c r="E65" s="4">
        <v>0.6</v>
      </c>
      <c r="F65" s="42">
        <v>2.2999999999999998</v>
      </c>
      <c r="G65" s="45">
        <v>380</v>
      </c>
      <c r="H65" s="22">
        <v>2.1</v>
      </c>
      <c r="I65" s="6">
        <f t="shared" si="0"/>
        <v>1101.24</v>
      </c>
      <c r="J65" s="6" t="s">
        <v>99</v>
      </c>
    </row>
    <row r="66" spans="1:10" ht="13.95" customHeight="1" x14ac:dyDescent="0.3">
      <c r="A66" s="3">
        <v>45744</v>
      </c>
      <c r="B66" s="19" t="s">
        <v>2476</v>
      </c>
      <c r="C66" s="19" t="s">
        <v>11</v>
      </c>
      <c r="D66" s="19" t="s">
        <v>904</v>
      </c>
      <c r="E66" s="4">
        <v>0.8</v>
      </c>
      <c r="F66" s="42">
        <v>3.15</v>
      </c>
      <c r="G66" s="45">
        <v>380</v>
      </c>
      <c r="H66" s="22">
        <v>2.1</v>
      </c>
      <c r="I66" s="6">
        <f t="shared" ref="I66:I69" si="1">(G66*E66)*F66*H66</f>
        <v>2010.96</v>
      </c>
      <c r="J66" s="6" t="s">
        <v>2428</v>
      </c>
    </row>
    <row r="67" spans="1:10" ht="13.95" customHeight="1" x14ac:dyDescent="0.3">
      <c r="A67" s="3">
        <v>45745</v>
      </c>
      <c r="B67" s="19" t="s">
        <v>2476</v>
      </c>
      <c r="C67" s="19" t="s">
        <v>13</v>
      </c>
      <c r="D67" s="19" t="s">
        <v>574</v>
      </c>
      <c r="E67" s="4">
        <v>1</v>
      </c>
      <c r="F67" s="42">
        <v>4.25</v>
      </c>
      <c r="G67" s="45">
        <v>380</v>
      </c>
      <c r="H67" s="22">
        <v>2.1</v>
      </c>
      <c r="I67" s="6">
        <f t="shared" si="1"/>
        <v>3391.5</v>
      </c>
      <c r="J67" s="6" t="s">
        <v>2429</v>
      </c>
    </row>
    <row r="68" spans="1:10" ht="13.95" customHeight="1" x14ac:dyDescent="0.3">
      <c r="A68" s="3">
        <v>45746</v>
      </c>
      <c r="B68" s="19" t="s">
        <v>2476</v>
      </c>
      <c r="C68" s="19" t="s">
        <v>16</v>
      </c>
      <c r="D68" s="19" t="s">
        <v>574</v>
      </c>
      <c r="E68" s="4">
        <v>1</v>
      </c>
      <c r="F68" s="42">
        <v>3.95</v>
      </c>
      <c r="G68" s="45">
        <v>380</v>
      </c>
      <c r="H68" s="22">
        <v>2.1</v>
      </c>
      <c r="I68" s="6">
        <f t="shared" si="1"/>
        <v>3152.1</v>
      </c>
      <c r="J68" s="6" t="s">
        <v>2318</v>
      </c>
    </row>
    <row r="69" spans="1:10" ht="13.95" customHeight="1" x14ac:dyDescent="0.3">
      <c r="A69" s="3">
        <v>45747</v>
      </c>
      <c r="B69" s="19" t="s">
        <v>2476</v>
      </c>
      <c r="C69" s="19" t="s">
        <v>18</v>
      </c>
      <c r="D69" s="19" t="s">
        <v>1314</v>
      </c>
      <c r="E69" s="4">
        <v>0.8</v>
      </c>
      <c r="F69" s="42">
        <v>2.65</v>
      </c>
      <c r="G69" s="45">
        <v>380</v>
      </c>
      <c r="H69" s="22">
        <v>2.1</v>
      </c>
      <c r="I69" s="6">
        <f t="shared" si="1"/>
        <v>1691.7600000000002</v>
      </c>
      <c r="J69" s="6" t="s">
        <v>2430</v>
      </c>
    </row>
    <row r="70" spans="1:10" ht="13.95" customHeight="1" x14ac:dyDescent="0.3">
      <c r="A70" s="3">
        <v>45748</v>
      </c>
      <c r="B70" s="19" t="s">
        <v>2476</v>
      </c>
      <c r="C70" s="19" t="s">
        <v>20</v>
      </c>
      <c r="D70" s="19" t="s">
        <v>1764</v>
      </c>
      <c r="E70" s="4">
        <v>0.6</v>
      </c>
      <c r="F70" s="42">
        <v>2.5</v>
      </c>
      <c r="G70" s="45">
        <v>380</v>
      </c>
      <c r="H70" s="22">
        <v>2.2000000000000002</v>
      </c>
      <c r="I70" s="6">
        <f t="shared" ref="I70:I133" si="2">(G70*E70)*F70*H70</f>
        <v>1254</v>
      </c>
      <c r="J70" s="6" t="s">
        <v>2319</v>
      </c>
    </row>
    <row r="71" spans="1:10" ht="13.95" customHeight="1" x14ac:dyDescent="0.3">
      <c r="A71" s="3">
        <v>45749</v>
      </c>
      <c r="B71" s="19" t="s">
        <v>2476</v>
      </c>
      <c r="C71" s="19" t="s">
        <v>5</v>
      </c>
      <c r="D71" s="19" t="s">
        <v>1764</v>
      </c>
      <c r="E71" s="4">
        <v>0.6</v>
      </c>
      <c r="F71" s="42">
        <v>2.5</v>
      </c>
      <c r="G71" s="45">
        <v>380</v>
      </c>
      <c r="H71" s="22">
        <v>2.2000000000000002</v>
      </c>
      <c r="I71" s="6">
        <f t="shared" si="2"/>
        <v>1254</v>
      </c>
      <c r="J71" s="6" t="s">
        <v>717</v>
      </c>
    </row>
    <row r="72" spans="1:10" ht="13.95" customHeight="1" x14ac:dyDescent="0.3">
      <c r="A72" s="3">
        <v>45750</v>
      </c>
      <c r="B72" s="19" t="s">
        <v>2476</v>
      </c>
      <c r="C72" s="19" t="s">
        <v>8</v>
      </c>
      <c r="D72" s="19" t="s">
        <v>1764</v>
      </c>
      <c r="E72" s="4">
        <v>0.65</v>
      </c>
      <c r="F72" s="42">
        <v>2.5499999999999998</v>
      </c>
      <c r="G72" s="45">
        <v>380</v>
      </c>
      <c r="H72" s="22">
        <v>2.2000000000000002</v>
      </c>
      <c r="I72" s="6">
        <f t="shared" si="2"/>
        <v>1385.6699999999998</v>
      </c>
      <c r="J72" s="6" t="s">
        <v>2321</v>
      </c>
    </row>
    <row r="73" spans="1:10" ht="13.95" customHeight="1" x14ac:dyDescent="0.3">
      <c r="A73" s="3">
        <v>45751</v>
      </c>
      <c r="B73" s="19" t="s">
        <v>2476</v>
      </c>
      <c r="C73" s="19" t="s">
        <v>11</v>
      </c>
      <c r="D73" s="19" t="s">
        <v>14</v>
      </c>
      <c r="E73" s="4">
        <v>0.75</v>
      </c>
      <c r="F73" s="42">
        <v>2.9</v>
      </c>
      <c r="G73" s="45">
        <v>380</v>
      </c>
      <c r="H73" s="22">
        <v>2.2000000000000002</v>
      </c>
      <c r="I73" s="6">
        <f t="shared" si="2"/>
        <v>1818.3000000000002</v>
      </c>
      <c r="J73" s="6" t="s">
        <v>282</v>
      </c>
    </row>
    <row r="74" spans="1:10" ht="13.95" customHeight="1" x14ac:dyDescent="0.3">
      <c r="A74" s="3">
        <v>45752</v>
      </c>
      <c r="B74" s="19" t="s">
        <v>2476</v>
      </c>
      <c r="C74" s="19" t="s">
        <v>13</v>
      </c>
      <c r="D74" s="19" t="s">
        <v>14</v>
      </c>
      <c r="E74" s="4">
        <v>0.85</v>
      </c>
      <c r="F74" s="42">
        <v>3.5</v>
      </c>
      <c r="G74" s="45">
        <v>380</v>
      </c>
      <c r="H74" s="22">
        <v>2.2000000000000002</v>
      </c>
      <c r="I74" s="6">
        <f t="shared" si="2"/>
        <v>2487.1000000000004</v>
      </c>
      <c r="J74" s="6" t="s">
        <v>2400</v>
      </c>
    </row>
    <row r="75" spans="1:10" ht="13.95" customHeight="1" x14ac:dyDescent="0.3">
      <c r="A75" s="3">
        <v>45753</v>
      </c>
      <c r="B75" s="19" t="s">
        <v>2476</v>
      </c>
      <c r="C75" s="19" t="s">
        <v>16</v>
      </c>
      <c r="D75" s="19" t="s">
        <v>14</v>
      </c>
      <c r="E75" s="4">
        <v>0.8</v>
      </c>
      <c r="F75" s="42">
        <v>3.15</v>
      </c>
      <c r="G75" s="45">
        <v>380</v>
      </c>
      <c r="H75" s="22">
        <v>2.2000000000000002</v>
      </c>
      <c r="I75" s="6">
        <f t="shared" si="2"/>
        <v>2106.7200000000003</v>
      </c>
      <c r="J75" s="6" t="s">
        <v>238</v>
      </c>
    </row>
    <row r="76" spans="1:10" ht="13.95" customHeight="1" x14ac:dyDescent="0.3">
      <c r="A76" s="3">
        <v>45754</v>
      </c>
      <c r="B76" s="19" t="s">
        <v>2476</v>
      </c>
      <c r="C76" s="19" t="s">
        <v>18</v>
      </c>
      <c r="D76" s="19" t="s">
        <v>9</v>
      </c>
      <c r="E76" s="4">
        <v>0.65</v>
      </c>
      <c r="F76" s="42">
        <v>2.4500000000000002</v>
      </c>
      <c r="G76" s="45">
        <v>380</v>
      </c>
      <c r="H76" s="22">
        <v>2.2000000000000002</v>
      </c>
      <c r="I76" s="6">
        <f t="shared" si="2"/>
        <v>1331.3300000000004</v>
      </c>
      <c r="J76" s="6" t="s">
        <v>88</v>
      </c>
    </row>
    <row r="77" spans="1:10" ht="13.95" customHeight="1" x14ac:dyDescent="0.3">
      <c r="A77" s="3">
        <v>45755</v>
      </c>
      <c r="B77" s="19" t="s">
        <v>2476</v>
      </c>
      <c r="C77" s="19" t="s">
        <v>20</v>
      </c>
      <c r="D77" s="19" t="s">
        <v>9</v>
      </c>
      <c r="E77" s="4">
        <v>0.65</v>
      </c>
      <c r="F77" s="42">
        <v>2.4500000000000002</v>
      </c>
      <c r="G77" s="45">
        <v>380</v>
      </c>
      <c r="H77" s="22">
        <v>2.2000000000000002</v>
      </c>
      <c r="I77" s="6">
        <f t="shared" si="2"/>
        <v>1331.3300000000004</v>
      </c>
      <c r="J77" s="6" t="s">
        <v>88</v>
      </c>
    </row>
    <row r="78" spans="1:10" ht="13.95" customHeight="1" x14ac:dyDescent="0.3">
      <c r="A78" s="3">
        <v>45756</v>
      </c>
      <c r="B78" s="19" t="s">
        <v>2476</v>
      </c>
      <c r="C78" s="19" t="s">
        <v>5</v>
      </c>
      <c r="D78" s="19" t="s">
        <v>1112</v>
      </c>
      <c r="E78" s="4">
        <v>0.85</v>
      </c>
      <c r="F78" s="42">
        <v>3.3</v>
      </c>
      <c r="G78" s="45">
        <v>380</v>
      </c>
      <c r="H78" s="22">
        <v>2.2000000000000002</v>
      </c>
      <c r="I78" s="6">
        <f t="shared" si="2"/>
        <v>2344.98</v>
      </c>
      <c r="J78" s="6" t="s">
        <v>2401</v>
      </c>
    </row>
    <row r="79" spans="1:10" ht="13.95" customHeight="1" x14ac:dyDescent="0.3">
      <c r="A79" s="3">
        <v>45757</v>
      </c>
      <c r="B79" s="19" t="s">
        <v>2476</v>
      </c>
      <c r="C79" s="19" t="s">
        <v>8</v>
      </c>
      <c r="D79" s="19" t="s">
        <v>9</v>
      </c>
      <c r="E79" s="4">
        <v>0.7</v>
      </c>
      <c r="F79" s="42">
        <v>2.5499999999999998</v>
      </c>
      <c r="G79" s="45">
        <v>380</v>
      </c>
      <c r="H79" s="22">
        <v>2.2000000000000002</v>
      </c>
      <c r="I79" s="6">
        <f t="shared" si="2"/>
        <v>1492.26</v>
      </c>
      <c r="J79" s="6" t="s">
        <v>717</v>
      </c>
    </row>
    <row r="80" spans="1:10" ht="13.95" customHeight="1" x14ac:dyDescent="0.3">
      <c r="A80" s="3">
        <v>45758</v>
      </c>
      <c r="B80" s="19" t="s">
        <v>2476</v>
      </c>
      <c r="C80" s="19" t="s">
        <v>11</v>
      </c>
      <c r="D80" s="19" t="s">
        <v>14</v>
      </c>
      <c r="E80" s="4">
        <v>0.8</v>
      </c>
      <c r="F80" s="42">
        <v>2.9</v>
      </c>
      <c r="G80" s="45">
        <v>380</v>
      </c>
      <c r="H80" s="22">
        <v>2.2000000000000002</v>
      </c>
      <c r="I80" s="6">
        <f t="shared" si="2"/>
        <v>1939.5200000000002</v>
      </c>
      <c r="J80" s="6" t="s">
        <v>67</v>
      </c>
    </row>
    <row r="81" spans="1:10" ht="13.95" customHeight="1" x14ac:dyDescent="0.3">
      <c r="A81" s="3">
        <v>45759</v>
      </c>
      <c r="B81" s="19" t="s">
        <v>2476</v>
      </c>
      <c r="C81" s="19" t="s">
        <v>13</v>
      </c>
      <c r="D81" s="19" t="s">
        <v>14</v>
      </c>
      <c r="E81" s="4">
        <v>0.9</v>
      </c>
      <c r="F81" s="42">
        <v>3.6</v>
      </c>
      <c r="G81" s="45">
        <v>380</v>
      </c>
      <c r="H81" s="22">
        <v>2.2000000000000002</v>
      </c>
      <c r="I81" s="6">
        <f t="shared" si="2"/>
        <v>2708.6400000000003</v>
      </c>
      <c r="J81" s="6" t="s">
        <v>1811</v>
      </c>
    </row>
    <row r="82" spans="1:10" ht="13.95" customHeight="1" x14ac:dyDescent="0.3">
      <c r="A82" s="3">
        <v>45760</v>
      </c>
      <c r="B82" s="19" t="s">
        <v>2476</v>
      </c>
      <c r="C82" s="19" t="s">
        <v>16</v>
      </c>
      <c r="D82" s="19" t="s">
        <v>14</v>
      </c>
      <c r="E82" s="4">
        <v>0.85</v>
      </c>
      <c r="F82" s="42">
        <v>3.2</v>
      </c>
      <c r="G82" s="45">
        <v>380</v>
      </c>
      <c r="H82" s="22">
        <v>2.2000000000000002</v>
      </c>
      <c r="I82" s="6">
        <f t="shared" si="2"/>
        <v>2273.9200000000005</v>
      </c>
      <c r="J82" s="6" t="s">
        <v>159</v>
      </c>
    </row>
    <row r="83" spans="1:10" ht="13.95" customHeight="1" x14ac:dyDescent="0.3">
      <c r="A83" s="3">
        <v>45761</v>
      </c>
      <c r="B83" s="19" t="s">
        <v>2476</v>
      </c>
      <c r="C83" s="19" t="s">
        <v>18</v>
      </c>
      <c r="D83" s="19" t="s">
        <v>658</v>
      </c>
      <c r="E83" s="4">
        <v>0.8</v>
      </c>
      <c r="F83" s="42">
        <v>2.6</v>
      </c>
      <c r="G83" s="45">
        <v>380</v>
      </c>
      <c r="H83" s="22">
        <v>2.2000000000000002</v>
      </c>
      <c r="I83" s="6">
        <f t="shared" si="2"/>
        <v>1738.88</v>
      </c>
      <c r="J83" s="6" t="s">
        <v>2402</v>
      </c>
    </row>
    <row r="84" spans="1:10" ht="13.95" customHeight="1" x14ac:dyDescent="0.3">
      <c r="A84" s="3">
        <v>45762</v>
      </c>
      <c r="B84" s="19" t="s">
        <v>2476</v>
      </c>
      <c r="C84" s="19" t="s">
        <v>20</v>
      </c>
      <c r="D84" s="19" t="s">
        <v>658</v>
      </c>
      <c r="E84" s="4">
        <v>0.85</v>
      </c>
      <c r="F84" s="42">
        <v>2.65</v>
      </c>
      <c r="G84" s="45">
        <v>380</v>
      </c>
      <c r="H84" s="22">
        <v>2.2000000000000002</v>
      </c>
      <c r="I84" s="6">
        <f t="shared" si="2"/>
        <v>1883.09</v>
      </c>
      <c r="J84" s="6" t="s">
        <v>2201</v>
      </c>
    </row>
    <row r="85" spans="1:10" ht="13.95" customHeight="1" x14ac:dyDescent="0.3">
      <c r="A85" s="3">
        <v>45763</v>
      </c>
      <c r="B85" s="19" t="s">
        <v>2476</v>
      </c>
      <c r="C85" s="19" t="s">
        <v>5</v>
      </c>
      <c r="D85" s="19" t="s">
        <v>658</v>
      </c>
      <c r="E85" s="4">
        <v>0.85</v>
      </c>
      <c r="F85" s="42">
        <v>2.65</v>
      </c>
      <c r="G85" s="45">
        <v>380</v>
      </c>
      <c r="H85" s="22">
        <v>2.2000000000000002</v>
      </c>
      <c r="I85" s="6">
        <f t="shared" si="2"/>
        <v>1883.09</v>
      </c>
      <c r="J85" s="6" t="s">
        <v>2201</v>
      </c>
    </row>
    <row r="86" spans="1:10" ht="13.95" customHeight="1" x14ac:dyDescent="0.3">
      <c r="A86" s="3">
        <v>45764</v>
      </c>
      <c r="B86" s="19" t="s">
        <v>2476</v>
      </c>
      <c r="C86" s="19" t="s">
        <v>8</v>
      </c>
      <c r="D86" s="19" t="s">
        <v>658</v>
      </c>
      <c r="E86" s="4">
        <v>0.9</v>
      </c>
      <c r="F86" s="42">
        <v>2.75</v>
      </c>
      <c r="G86" s="45">
        <v>380</v>
      </c>
      <c r="H86" s="22">
        <v>2.2000000000000002</v>
      </c>
      <c r="I86" s="6">
        <f t="shared" si="2"/>
        <v>2069.1000000000004</v>
      </c>
      <c r="J86" s="6" t="s">
        <v>1722</v>
      </c>
    </row>
    <row r="87" spans="1:10" ht="13.95" customHeight="1" x14ac:dyDescent="0.3">
      <c r="A87" s="3">
        <v>45765</v>
      </c>
      <c r="B87" s="19" t="s">
        <v>2476</v>
      </c>
      <c r="C87" s="19" t="s">
        <v>11</v>
      </c>
      <c r="D87" s="19" t="s">
        <v>658</v>
      </c>
      <c r="E87" s="4">
        <v>0.95</v>
      </c>
      <c r="F87" s="42">
        <v>3.1</v>
      </c>
      <c r="G87" s="45">
        <v>380</v>
      </c>
      <c r="H87" s="22">
        <v>2.2000000000000002</v>
      </c>
      <c r="I87" s="6">
        <f t="shared" si="2"/>
        <v>2462.0200000000004</v>
      </c>
      <c r="J87" s="6" t="s">
        <v>2325</v>
      </c>
    </row>
    <row r="88" spans="1:10" ht="13.95" customHeight="1" x14ac:dyDescent="0.3">
      <c r="A88" s="3">
        <v>45766</v>
      </c>
      <c r="B88" s="19" t="s">
        <v>2476</v>
      </c>
      <c r="C88" s="19" t="s">
        <v>13</v>
      </c>
      <c r="D88" s="19" t="s">
        <v>658</v>
      </c>
      <c r="E88" s="4">
        <v>1</v>
      </c>
      <c r="F88" s="42">
        <v>3.8</v>
      </c>
      <c r="G88" s="45">
        <v>380</v>
      </c>
      <c r="H88" s="22">
        <v>2.2000000000000002</v>
      </c>
      <c r="I88" s="6">
        <f t="shared" si="2"/>
        <v>3176.8</v>
      </c>
      <c r="J88" s="6" t="s">
        <v>2403</v>
      </c>
    </row>
    <row r="89" spans="1:10" ht="13.95" customHeight="1" x14ac:dyDescent="0.3">
      <c r="A89" s="3">
        <v>45767</v>
      </c>
      <c r="B89" s="19" t="s">
        <v>2476</v>
      </c>
      <c r="C89" s="19" t="s">
        <v>16</v>
      </c>
      <c r="D89" s="19" t="s">
        <v>1774</v>
      </c>
      <c r="E89" s="4">
        <v>1</v>
      </c>
      <c r="F89" s="42">
        <v>4.3</v>
      </c>
      <c r="G89" s="45">
        <v>380</v>
      </c>
      <c r="H89" s="22">
        <v>2.2000000000000002</v>
      </c>
      <c r="I89" s="6">
        <f t="shared" si="2"/>
        <v>3594.8</v>
      </c>
      <c r="J89" s="6" t="s">
        <v>2399</v>
      </c>
    </row>
    <row r="90" spans="1:10" ht="13.95" customHeight="1" x14ac:dyDescent="0.3">
      <c r="A90" s="3">
        <v>45768</v>
      </c>
      <c r="B90" s="19" t="s">
        <v>2476</v>
      </c>
      <c r="C90" s="19" t="s">
        <v>18</v>
      </c>
      <c r="D90" s="19" t="s">
        <v>658</v>
      </c>
      <c r="E90" s="4">
        <v>0.95</v>
      </c>
      <c r="F90" s="42">
        <v>3.2</v>
      </c>
      <c r="G90" s="45">
        <v>380</v>
      </c>
      <c r="H90" s="22">
        <v>2.2000000000000002</v>
      </c>
      <c r="I90" s="6">
        <f t="shared" si="2"/>
        <v>2541.4400000000005</v>
      </c>
      <c r="J90" s="6" t="s">
        <v>2228</v>
      </c>
    </row>
    <row r="91" spans="1:10" ht="13.95" customHeight="1" x14ac:dyDescent="0.3">
      <c r="A91" s="3">
        <v>45769</v>
      </c>
      <c r="B91" s="19" t="s">
        <v>2476</v>
      </c>
      <c r="C91" s="19" t="s">
        <v>20</v>
      </c>
      <c r="D91" s="19" t="s">
        <v>658</v>
      </c>
      <c r="E91" s="4">
        <v>0.85</v>
      </c>
      <c r="F91" s="42">
        <v>2.65</v>
      </c>
      <c r="G91" s="45">
        <v>380</v>
      </c>
      <c r="H91" s="22">
        <v>2.2000000000000002</v>
      </c>
      <c r="I91" s="6">
        <f t="shared" si="2"/>
        <v>1883.09</v>
      </c>
      <c r="J91" s="6" t="s">
        <v>88</v>
      </c>
    </row>
    <row r="92" spans="1:10" ht="13.95" customHeight="1" x14ac:dyDescent="0.3">
      <c r="A92" s="3">
        <v>45770</v>
      </c>
      <c r="B92" s="19" t="s">
        <v>2476</v>
      </c>
      <c r="C92" s="19" t="s">
        <v>5</v>
      </c>
      <c r="D92" s="19" t="s">
        <v>658</v>
      </c>
      <c r="E92" s="4">
        <v>0.8</v>
      </c>
      <c r="F92" s="42">
        <v>2.6</v>
      </c>
      <c r="G92" s="45">
        <v>380</v>
      </c>
      <c r="H92" s="22">
        <v>2.2000000000000002</v>
      </c>
      <c r="I92" s="6">
        <f t="shared" si="2"/>
        <v>1738.88</v>
      </c>
      <c r="J92" s="6" t="s">
        <v>88</v>
      </c>
    </row>
    <row r="93" spans="1:10" ht="13.95" customHeight="1" x14ac:dyDescent="0.3">
      <c r="A93" s="3">
        <v>45771</v>
      </c>
      <c r="B93" s="19" t="s">
        <v>2476</v>
      </c>
      <c r="C93" s="19" t="s">
        <v>8</v>
      </c>
      <c r="D93" s="19" t="s">
        <v>658</v>
      </c>
      <c r="E93" s="4">
        <v>0.8</v>
      </c>
      <c r="F93" s="42">
        <v>2.6</v>
      </c>
      <c r="G93" s="45">
        <v>380</v>
      </c>
      <c r="H93" s="22">
        <v>2.2000000000000002</v>
      </c>
      <c r="I93" s="6">
        <f t="shared" si="2"/>
        <v>1738.88</v>
      </c>
      <c r="J93" s="6" t="s">
        <v>88</v>
      </c>
    </row>
    <row r="94" spans="1:10" ht="13.95" customHeight="1" x14ac:dyDescent="0.3">
      <c r="A94" s="3">
        <v>45772</v>
      </c>
      <c r="B94" s="19" t="s">
        <v>2476</v>
      </c>
      <c r="C94" s="19" t="s">
        <v>11</v>
      </c>
      <c r="D94" s="19" t="s">
        <v>14</v>
      </c>
      <c r="E94" s="4">
        <v>0.85</v>
      </c>
      <c r="F94" s="42">
        <v>2.95</v>
      </c>
      <c r="G94" s="45">
        <v>380</v>
      </c>
      <c r="H94" s="22">
        <v>2.2000000000000002</v>
      </c>
      <c r="I94" s="6">
        <f t="shared" si="2"/>
        <v>2096.2700000000004</v>
      </c>
      <c r="J94" s="6" t="s">
        <v>282</v>
      </c>
    </row>
    <row r="95" spans="1:10" ht="13.95" customHeight="1" x14ac:dyDescent="0.3">
      <c r="A95" s="3">
        <v>45773</v>
      </c>
      <c r="B95" s="19" t="s">
        <v>2476</v>
      </c>
      <c r="C95" s="19" t="s">
        <v>13</v>
      </c>
      <c r="D95" s="19" t="s">
        <v>14</v>
      </c>
      <c r="E95" s="4">
        <v>0.9</v>
      </c>
      <c r="F95" s="42">
        <v>3.65</v>
      </c>
      <c r="G95" s="45">
        <v>380</v>
      </c>
      <c r="H95" s="22">
        <v>2.2000000000000002</v>
      </c>
      <c r="I95" s="6">
        <f t="shared" si="2"/>
        <v>2746.26</v>
      </c>
      <c r="J95" s="6" t="s">
        <v>2404</v>
      </c>
    </row>
    <row r="96" spans="1:10" ht="13.95" customHeight="1" x14ac:dyDescent="0.3">
      <c r="A96" s="3">
        <v>45774</v>
      </c>
      <c r="B96" s="19" t="s">
        <v>2476</v>
      </c>
      <c r="C96" s="19" t="s">
        <v>16</v>
      </c>
      <c r="D96" s="19" t="s">
        <v>14</v>
      </c>
      <c r="E96" s="4">
        <v>0.85</v>
      </c>
      <c r="F96" s="42">
        <v>3.3</v>
      </c>
      <c r="G96" s="45">
        <v>380</v>
      </c>
      <c r="H96" s="22">
        <v>2.2000000000000002</v>
      </c>
      <c r="I96" s="6">
        <f t="shared" si="2"/>
        <v>2344.98</v>
      </c>
      <c r="J96" s="6" t="s">
        <v>69</v>
      </c>
    </row>
    <row r="97" spans="1:10" ht="13.95" customHeight="1" x14ac:dyDescent="0.3">
      <c r="A97" s="3">
        <v>45775</v>
      </c>
      <c r="B97" s="19" t="s">
        <v>2476</v>
      </c>
      <c r="C97" s="19" t="s">
        <v>18</v>
      </c>
      <c r="D97" s="19" t="s">
        <v>9</v>
      </c>
      <c r="E97" s="4">
        <v>0.75</v>
      </c>
      <c r="F97" s="42">
        <v>2.5</v>
      </c>
      <c r="G97" s="45">
        <v>380</v>
      </c>
      <c r="H97" s="22">
        <v>2.2000000000000002</v>
      </c>
      <c r="I97" s="6">
        <f t="shared" si="2"/>
        <v>1567.5000000000002</v>
      </c>
      <c r="J97" s="6" t="s">
        <v>2219</v>
      </c>
    </row>
    <row r="98" spans="1:10" ht="13.95" customHeight="1" x14ac:dyDescent="0.3">
      <c r="A98" s="3">
        <v>45776</v>
      </c>
      <c r="B98" s="19" t="s">
        <v>2476</v>
      </c>
      <c r="C98" s="19" t="s">
        <v>20</v>
      </c>
      <c r="D98" s="19" t="s">
        <v>9</v>
      </c>
      <c r="E98" s="4">
        <v>0.7</v>
      </c>
      <c r="F98" s="42">
        <v>2.4500000000000002</v>
      </c>
      <c r="G98" s="45">
        <v>380</v>
      </c>
      <c r="H98" s="22">
        <v>2.2000000000000002</v>
      </c>
      <c r="I98" s="6">
        <f t="shared" si="2"/>
        <v>1433.7400000000002</v>
      </c>
      <c r="J98" s="6" t="s">
        <v>150</v>
      </c>
    </row>
    <row r="99" spans="1:10" ht="13.95" customHeight="1" x14ac:dyDescent="0.3">
      <c r="A99" s="3">
        <v>45777</v>
      </c>
      <c r="B99" s="19" t="s">
        <v>2476</v>
      </c>
      <c r="C99" s="19" t="s">
        <v>5</v>
      </c>
      <c r="D99" s="19" t="s">
        <v>9</v>
      </c>
      <c r="E99" s="4">
        <v>0.8</v>
      </c>
      <c r="F99" s="42">
        <v>2.75</v>
      </c>
      <c r="G99" s="45">
        <v>380</v>
      </c>
      <c r="H99" s="22">
        <v>2.2000000000000002</v>
      </c>
      <c r="I99" s="6">
        <f t="shared" si="2"/>
        <v>1839.2</v>
      </c>
      <c r="J99" s="6" t="s">
        <v>2328</v>
      </c>
    </row>
    <row r="100" spans="1:10" ht="13.95" customHeight="1" x14ac:dyDescent="0.3">
      <c r="A100" s="3">
        <v>45778</v>
      </c>
      <c r="B100" s="19" t="s">
        <v>2476</v>
      </c>
      <c r="C100" s="19" t="s">
        <v>8</v>
      </c>
      <c r="D100" s="19" t="s">
        <v>742</v>
      </c>
      <c r="E100" s="4">
        <v>0.9</v>
      </c>
      <c r="F100" s="42">
        <v>3.4</v>
      </c>
      <c r="G100" s="45">
        <v>380</v>
      </c>
      <c r="H100" s="22">
        <v>2.1</v>
      </c>
      <c r="I100" s="6">
        <f t="shared" si="2"/>
        <v>2441.88</v>
      </c>
      <c r="J100" s="6" t="s">
        <v>2411</v>
      </c>
    </row>
    <row r="101" spans="1:10" ht="13.95" customHeight="1" x14ac:dyDescent="0.3">
      <c r="A101" s="3">
        <v>45779</v>
      </c>
      <c r="B101" s="19" t="s">
        <v>2476</v>
      </c>
      <c r="C101" s="19" t="s">
        <v>11</v>
      </c>
      <c r="D101" s="19" t="s">
        <v>229</v>
      </c>
      <c r="E101" s="4">
        <v>0.8</v>
      </c>
      <c r="F101" s="42">
        <v>2.8</v>
      </c>
      <c r="G101" s="45">
        <v>380</v>
      </c>
      <c r="H101" s="22">
        <v>2.1</v>
      </c>
      <c r="I101" s="6">
        <f t="shared" si="2"/>
        <v>1787.52</v>
      </c>
      <c r="J101" s="6" t="s">
        <v>2405</v>
      </c>
    </row>
    <row r="102" spans="1:10" ht="13.95" customHeight="1" x14ac:dyDescent="0.3">
      <c r="A102" s="3">
        <v>45780</v>
      </c>
      <c r="B102" s="19" t="s">
        <v>2476</v>
      </c>
      <c r="C102" s="19" t="s">
        <v>13</v>
      </c>
      <c r="D102" s="19" t="s">
        <v>14</v>
      </c>
      <c r="E102" s="4">
        <v>0.8</v>
      </c>
      <c r="F102" s="42">
        <v>3.6</v>
      </c>
      <c r="G102" s="45">
        <v>380</v>
      </c>
      <c r="H102" s="22">
        <v>2.1</v>
      </c>
      <c r="I102" s="6">
        <f t="shared" si="2"/>
        <v>2298.2400000000002</v>
      </c>
      <c r="J102" s="6" t="s">
        <v>2412</v>
      </c>
    </row>
    <row r="103" spans="1:10" ht="13.95" customHeight="1" x14ac:dyDescent="0.3">
      <c r="A103" s="3">
        <v>45781</v>
      </c>
      <c r="B103" s="19" t="s">
        <v>2476</v>
      </c>
      <c r="C103" s="19" t="s">
        <v>16</v>
      </c>
      <c r="D103" s="19" t="s">
        <v>14</v>
      </c>
      <c r="E103" s="4">
        <v>0.75</v>
      </c>
      <c r="F103" s="42">
        <v>3.2</v>
      </c>
      <c r="G103" s="45">
        <v>380</v>
      </c>
      <c r="H103" s="22">
        <v>2.1</v>
      </c>
      <c r="I103" s="6">
        <f t="shared" si="2"/>
        <v>1915.2</v>
      </c>
      <c r="J103" s="6" t="s">
        <v>2406</v>
      </c>
    </row>
    <row r="104" spans="1:10" ht="13.95" customHeight="1" x14ac:dyDescent="0.3">
      <c r="A104" s="3">
        <v>45782</v>
      </c>
      <c r="B104" s="19" t="s">
        <v>2476</v>
      </c>
      <c r="C104" s="19" t="s">
        <v>18</v>
      </c>
      <c r="D104" s="19" t="s">
        <v>9</v>
      </c>
      <c r="E104" s="4">
        <v>0.65</v>
      </c>
      <c r="F104" s="42">
        <v>2.4500000000000002</v>
      </c>
      <c r="G104" s="45">
        <v>380</v>
      </c>
      <c r="H104" s="22">
        <v>2.1</v>
      </c>
      <c r="I104" s="6">
        <f t="shared" si="2"/>
        <v>1270.8150000000003</v>
      </c>
      <c r="J104" s="6" t="s">
        <v>2193</v>
      </c>
    </row>
    <row r="105" spans="1:10" ht="13.95" customHeight="1" x14ac:dyDescent="0.3">
      <c r="A105" s="3">
        <v>45783</v>
      </c>
      <c r="B105" s="19" t="s">
        <v>2476</v>
      </c>
      <c r="C105" s="19" t="s">
        <v>20</v>
      </c>
      <c r="D105" s="19" t="s">
        <v>9</v>
      </c>
      <c r="E105" s="4">
        <v>0.65</v>
      </c>
      <c r="F105" s="42">
        <v>2.4</v>
      </c>
      <c r="G105" s="45">
        <v>380</v>
      </c>
      <c r="H105" s="22">
        <v>2.1</v>
      </c>
      <c r="I105" s="6">
        <f t="shared" si="2"/>
        <v>1244.8799999999999</v>
      </c>
      <c r="J105" s="6" t="s">
        <v>2320</v>
      </c>
    </row>
    <row r="106" spans="1:10" ht="13.95" customHeight="1" x14ac:dyDescent="0.3">
      <c r="A106" s="3">
        <v>45784</v>
      </c>
      <c r="B106" s="19" t="s">
        <v>2476</v>
      </c>
      <c r="C106" s="19" t="s">
        <v>5</v>
      </c>
      <c r="D106" s="19" t="s">
        <v>9</v>
      </c>
      <c r="E106" s="4">
        <v>0.7</v>
      </c>
      <c r="F106" s="42">
        <v>2.4500000000000002</v>
      </c>
      <c r="G106" s="45">
        <v>380</v>
      </c>
      <c r="H106" s="22">
        <v>2.1</v>
      </c>
      <c r="I106" s="6">
        <f t="shared" si="2"/>
        <v>1368.5700000000002</v>
      </c>
      <c r="J106" s="6" t="s">
        <v>717</v>
      </c>
    </row>
    <row r="107" spans="1:10" ht="13.95" customHeight="1" x14ac:dyDescent="0.3">
      <c r="A107" s="3">
        <v>45785</v>
      </c>
      <c r="B107" s="19" t="s">
        <v>2476</v>
      </c>
      <c r="C107" s="19" t="s">
        <v>8</v>
      </c>
      <c r="D107" s="19" t="s">
        <v>9</v>
      </c>
      <c r="E107" s="4">
        <v>0.75</v>
      </c>
      <c r="F107" s="42">
        <v>2.5</v>
      </c>
      <c r="G107" s="45">
        <v>380</v>
      </c>
      <c r="H107" s="22">
        <v>2.1</v>
      </c>
      <c r="I107" s="6">
        <f t="shared" si="2"/>
        <v>1496.25</v>
      </c>
      <c r="J107" s="6" t="s">
        <v>717</v>
      </c>
    </row>
    <row r="108" spans="1:10" ht="13.95" customHeight="1" x14ac:dyDescent="0.3">
      <c r="A108" s="3">
        <v>45786</v>
      </c>
      <c r="B108" s="19" t="s">
        <v>2476</v>
      </c>
      <c r="C108" s="19" t="s">
        <v>11</v>
      </c>
      <c r="D108" s="19" t="s">
        <v>9</v>
      </c>
      <c r="E108" s="4">
        <v>0.8</v>
      </c>
      <c r="F108" s="42">
        <v>2.75</v>
      </c>
      <c r="G108" s="45">
        <v>380</v>
      </c>
      <c r="H108" s="22">
        <v>2.1</v>
      </c>
      <c r="I108" s="6">
        <f t="shared" si="2"/>
        <v>1755.6000000000001</v>
      </c>
      <c r="J108" s="6" t="s">
        <v>67</v>
      </c>
    </row>
    <row r="109" spans="1:10" ht="13.95" customHeight="1" x14ac:dyDescent="0.3">
      <c r="A109" s="3">
        <v>45787</v>
      </c>
      <c r="B109" s="19" t="s">
        <v>2476</v>
      </c>
      <c r="C109" s="19" t="s">
        <v>13</v>
      </c>
      <c r="D109" s="19" t="s">
        <v>14</v>
      </c>
      <c r="E109" s="4">
        <v>0.9</v>
      </c>
      <c r="F109" s="42">
        <v>3.7</v>
      </c>
      <c r="G109" s="45">
        <v>380</v>
      </c>
      <c r="H109" s="22">
        <v>2.1</v>
      </c>
      <c r="I109" s="6">
        <f t="shared" si="2"/>
        <v>2657.34</v>
      </c>
      <c r="J109" s="6" t="s">
        <v>2413</v>
      </c>
    </row>
    <row r="110" spans="1:10" ht="13.95" customHeight="1" x14ac:dyDescent="0.3">
      <c r="A110" s="3">
        <v>45788</v>
      </c>
      <c r="B110" s="19" t="s">
        <v>2476</v>
      </c>
      <c r="C110" s="19" t="s">
        <v>16</v>
      </c>
      <c r="D110" s="19" t="s">
        <v>14</v>
      </c>
      <c r="E110" s="4">
        <v>0.85</v>
      </c>
      <c r="F110" s="42">
        <v>3.3</v>
      </c>
      <c r="G110" s="45">
        <v>380</v>
      </c>
      <c r="H110" s="22">
        <v>2.1</v>
      </c>
      <c r="I110" s="6">
        <f t="shared" si="2"/>
        <v>2238.39</v>
      </c>
      <c r="J110" s="6" t="s">
        <v>159</v>
      </c>
    </row>
    <row r="111" spans="1:10" ht="13.95" customHeight="1" x14ac:dyDescent="0.3">
      <c r="A111" s="3">
        <v>45789</v>
      </c>
      <c r="B111" s="19" t="s">
        <v>2476</v>
      </c>
      <c r="C111" s="19" t="s">
        <v>18</v>
      </c>
      <c r="D111" s="19" t="s">
        <v>9</v>
      </c>
      <c r="E111" s="4">
        <v>0.7</v>
      </c>
      <c r="F111" s="42">
        <v>2.4500000000000002</v>
      </c>
      <c r="G111" s="45">
        <v>380</v>
      </c>
      <c r="H111" s="22">
        <v>2.1</v>
      </c>
      <c r="I111" s="6">
        <f t="shared" si="2"/>
        <v>1368.5700000000002</v>
      </c>
      <c r="J111" s="6" t="s">
        <v>88</v>
      </c>
    </row>
    <row r="112" spans="1:10" ht="13.95" customHeight="1" x14ac:dyDescent="0.3">
      <c r="A112" s="3">
        <v>46004</v>
      </c>
      <c r="B112" s="19" t="s">
        <v>2476</v>
      </c>
      <c r="C112" s="19" t="s">
        <v>20</v>
      </c>
      <c r="D112" s="19" t="s">
        <v>9</v>
      </c>
      <c r="E112" s="4">
        <v>0.7</v>
      </c>
      <c r="F112" s="42">
        <v>2.4500000000000002</v>
      </c>
      <c r="G112" s="45">
        <v>380</v>
      </c>
      <c r="H112" s="22">
        <v>2.1</v>
      </c>
      <c r="I112" s="6">
        <f t="shared" si="2"/>
        <v>1368.5700000000002</v>
      </c>
      <c r="J112" s="6" t="s">
        <v>88</v>
      </c>
    </row>
    <row r="113" spans="1:10" ht="13.95" customHeight="1" x14ac:dyDescent="0.3">
      <c r="A113" s="3">
        <v>45791</v>
      </c>
      <c r="B113" s="19" t="s">
        <v>2476</v>
      </c>
      <c r="C113" s="19" t="s">
        <v>5</v>
      </c>
      <c r="D113" s="19" t="s">
        <v>9</v>
      </c>
      <c r="E113" s="4">
        <v>0.75</v>
      </c>
      <c r="F113" s="42">
        <v>2.5</v>
      </c>
      <c r="G113" s="45">
        <v>380</v>
      </c>
      <c r="H113" s="22">
        <v>2.1</v>
      </c>
      <c r="I113" s="6">
        <f t="shared" si="2"/>
        <v>1496.25</v>
      </c>
      <c r="J113" s="6" t="s">
        <v>717</v>
      </c>
    </row>
    <row r="114" spans="1:10" ht="13.95" customHeight="1" x14ac:dyDescent="0.3">
      <c r="A114" s="3">
        <v>45792</v>
      </c>
      <c r="B114" s="19" t="s">
        <v>2476</v>
      </c>
      <c r="C114" s="19" t="s">
        <v>8</v>
      </c>
      <c r="D114" s="19" t="s">
        <v>9</v>
      </c>
      <c r="E114" s="4">
        <v>0.75</v>
      </c>
      <c r="F114" s="42">
        <v>2.5499999999999998</v>
      </c>
      <c r="G114" s="45">
        <v>380</v>
      </c>
      <c r="H114" s="22">
        <v>2.1</v>
      </c>
      <c r="I114" s="6">
        <f t="shared" si="2"/>
        <v>1526.175</v>
      </c>
      <c r="J114" s="6" t="s">
        <v>717</v>
      </c>
    </row>
    <row r="115" spans="1:10" ht="13.95" customHeight="1" x14ac:dyDescent="0.3">
      <c r="A115" s="3">
        <v>45793</v>
      </c>
      <c r="B115" s="19" t="s">
        <v>2476</v>
      </c>
      <c r="C115" s="19" t="s">
        <v>11</v>
      </c>
      <c r="D115" s="19" t="s">
        <v>9</v>
      </c>
      <c r="E115" s="4">
        <v>0.8</v>
      </c>
      <c r="F115" s="42">
        <v>2.8</v>
      </c>
      <c r="G115" s="45">
        <v>380</v>
      </c>
      <c r="H115" s="22">
        <v>2.1</v>
      </c>
      <c r="I115" s="6">
        <f t="shared" si="2"/>
        <v>1787.52</v>
      </c>
      <c r="J115" s="6" t="s">
        <v>282</v>
      </c>
    </row>
    <row r="116" spans="1:10" ht="13.95" customHeight="1" x14ac:dyDescent="0.3">
      <c r="A116" s="3">
        <v>45794</v>
      </c>
      <c r="B116" s="19" t="s">
        <v>2476</v>
      </c>
      <c r="C116" s="19" t="s">
        <v>13</v>
      </c>
      <c r="D116" s="19" t="s">
        <v>14</v>
      </c>
      <c r="E116" s="4">
        <v>0.85</v>
      </c>
      <c r="F116" s="42">
        <v>3.85</v>
      </c>
      <c r="G116" s="45">
        <v>380</v>
      </c>
      <c r="H116" s="22">
        <v>2.1</v>
      </c>
      <c r="I116" s="6">
        <f t="shared" si="2"/>
        <v>2611.4549999999999</v>
      </c>
      <c r="J116" s="6" t="s">
        <v>2414</v>
      </c>
    </row>
    <row r="117" spans="1:10" ht="13.95" customHeight="1" x14ac:dyDescent="0.3">
      <c r="A117" s="3">
        <v>45795</v>
      </c>
      <c r="B117" s="19" t="s">
        <v>2476</v>
      </c>
      <c r="C117" s="19" t="s">
        <v>16</v>
      </c>
      <c r="D117" s="19" t="s">
        <v>14</v>
      </c>
      <c r="E117" s="4">
        <v>0.8</v>
      </c>
      <c r="F117" s="42">
        <v>3.35</v>
      </c>
      <c r="G117" s="45">
        <v>380</v>
      </c>
      <c r="H117" s="22">
        <v>2.1</v>
      </c>
      <c r="I117" s="6">
        <f t="shared" si="2"/>
        <v>2138.64</v>
      </c>
      <c r="J117" s="6" t="s">
        <v>2407</v>
      </c>
    </row>
    <row r="118" spans="1:10" ht="13.95" customHeight="1" x14ac:dyDescent="0.3">
      <c r="A118" s="3">
        <v>45796</v>
      </c>
      <c r="B118" s="19" t="s">
        <v>2476</v>
      </c>
      <c r="C118" s="19" t="s">
        <v>18</v>
      </c>
      <c r="D118" s="19" t="s">
        <v>9</v>
      </c>
      <c r="E118" s="4">
        <v>0.7</v>
      </c>
      <c r="F118" s="42">
        <v>2.4500000000000002</v>
      </c>
      <c r="G118" s="45">
        <v>380</v>
      </c>
      <c r="H118" s="22">
        <v>2.1</v>
      </c>
      <c r="I118" s="6">
        <f t="shared" si="2"/>
        <v>1368.5700000000002</v>
      </c>
      <c r="J118" s="6" t="s">
        <v>88</v>
      </c>
    </row>
    <row r="119" spans="1:10" ht="13.95" customHeight="1" x14ac:dyDescent="0.3">
      <c r="A119" s="3">
        <v>45797</v>
      </c>
      <c r="B119" s="19" t="s">
        <v>2476</v>
      </c>
      <c r="C119" s="19" t="s">
        <v>20</v>
      </c>
      <c r="D119" s="19" t="s">
        <v>9</v>
      </c>
      <c r="E119" s="4">
        <v>0.7</v>
      </c>
      <c r="F119" s="42">
        <v>2.4500000000000002</v>
      </c>
      <c r="G119" s="45">
        <v>380</v>
      </c>
      <c r="H119" s="22">
        <v>2.1</v>
      </c>
      <c r="I119" s="6">
        <f t="shared" si="2"/>
        <v>1368.5700000000002</v>
      </c>
      <c r="J119" s="6" t="s">
        <v>88</v>
      </c>
    </row>
    <row r="120" spans="1:10" ht="13.95" customHeight="1" x14ac:dyDescent="0.3">
      <c r="A120" s="3">
        <v>45798</v>
      </c>
      <c r="B120" s="19" t="s">
        <v>2476</v>
      </c>
      <c r="C120" s="19" t="s">
        <v>5</v>
      </c>
      <c r="D120" s="19" t="s">
        <v>9</v>
      </c>
      <c r="E120" s="4">
        <v>0.75</v>
      </c>
      <c r="F120" s="42">
        <v>2.5</v>
      </c>
      <c r="G120" s="45">
        <v>380</v>
      </c>
      <c r="H120" s="22">
        <v>2.1</v>
      </c>
      <c r="I120" s="6">
        <f t="shared" si="2"/>
        <v>1496.25</v>
      </c>
      <c r="J120" s="6" t="s">
        <v>88</v>
      </c>
    </row>
    <row r="121" spans="1:10" ht="13.95" customHeight="1" x14ac:dyDescent="0.3">
      <c r="A121" s="3">
        <v>45799</v>
      </c>
      <c r="B121" s="19" t="s">
        <v>2476</v>
      </c>
      <c r="C121" s="19" t="s">
        <v>8</v>
      </c>
      <c r="D121" s="19" t="s">
        <v>9</v>
      </c>
      <c r="E121" s="4">
        <v>0.8</v>
      </c>
      <c r="F121" s="42">
        <v>2.6</v>
      </c>
      <c r="G121" s="45">
        <v>380</v>
      </c>
      <c r="H121" s="22">
        <v>2.1</v>
      </c>
      <c r="I121" s="6">
        <f t="shared" si="2"/>
        <v>1659.84</v>
      </c>
      <c r="J121" s="6" t="s">
        <v>88</v>
      </c>
    </row>
    <row r="122" spans="1:10" ht="13.95" customHeight="1" x14ac:dyDescent="0.3">
      <c r="A122" s="3">
        <v>45800</v>
      </c>
      <c r="B122" s="19" t="s">
        <v>2476</v>
      </c>
      <c r="C122" s="19" t="s">
        <v>11</v>
      </c>
      <c r="D122" s="19" t="s">
        <v>9</v>
      </c>
      <c r="E122" s="4">
        <v>0.85</v>
      </c>
      <c r="F122" s="42">
        <v>3</v>
      </c>
      <c r="G122" s="45">
        <v>380</v>
      </c>
      <c r="H122" s="22">
        <v>2.1</v>
      </c>
      <c r="I122" s="6">
        <f t="shared" si="2"/>
        <v>2034.9</v>
      </c>
      <c r="J122" s="6" t="s">
        <v>2408</v>
      </c>
    </row>
    <row r="123" spans="1:10" ht="13.95" customHeight="1" x14ac:dyDescent="0.3">
      <c r="A123" s="3">
        <v>45801</v>
      </c>
      <c r="B123" s="19" t="s">
        <v>2476</v>
      </c>
      <c r="C123" s="19" t="s">
        <v>13</v>
      </c>
      <c r="D123" s="19" t="s">
        <v>14</v>
      </c>
      <c r="E123" s="4">
        <v>0.95</v>
      </c>
      <c r="F123" s="42">
        <v>3.9</v>
      </c>
      <c r="G123" s="45">
        <v>380</v>
      </c>
      <c r="H123" s="22">
        <v>2.1</v>
      </c>
      <c r="I123" s="6">
        <f t="shared" si="2"/>
        <v>2956.5899999999997</v>
      </c>
      <c r="J123" s="6" t="s">
        <v>2290</v>
      </c>
    </row>
    <row r="124" spans="1:10" ht="13.95" customHeight="1" x14ac:dyDescent="0.3">
      <c r="A124" s="3">
        <v>45802</v>
      </c>
      <c r="B124" s="19" t="s">
        <v>2476</v>
      </c>
      <c r="C124" s="19" t="s">
        <v>16</v>
      </c>
      <c r="D124" s="19" t="s">
        <v>14</v>
      </c>
      <c r="E124" s="4">
        <v>0.95</v>
      </c>
      <c r="F124" s="42">
        <v>3.55</v>
      </c>
      <c r="G124" s="45">
        <v>380</v>
      </c>
      <c r="H124" s="22">
        <v>2.1</v>
      </c>
      <c r="I124" s="6">
        <f t="shared" si="2"/>
        <v>2691.2550000000001</v>
      </c>
      <c r="J124" s="6" t="s">
        <v>2415</v>
      </c>
    </row>
    <row r="125" spans="1:10" ht="13.95" customHeight="1" x14ac:dyDescent="0.3">
      <c r="A125" s="3">
        <v>45803</v>
      </c>
      <c r="B125" s="19" t="s">
        <v>2476</v>
      </c>
      <c r="C125" s="19" t="s">
        <v>18</v>
      </c>
      <c r="D125" s="19" t="s">
        <v>9</v>
      </c>
      <c r="E125" s="4">
        <v>0.8</v>
      </c>
      <c r="F125" s="42">
        <v>2.5</v>
      </c>
      <c r="G125" s="45">
        <v>380</v>
      </c>
      <c r="H125" s="22">
        <v>2.1</v>
      </c>
      <c r="I125" s="6">
        <f t="shared" si="2"/>
        <v>1596</v>
      </c>
      <c r="J125" s="6" t="s">
        <v>88</v>
      </c>
    </row>
    <row r="126" spans="1:10" ht="13.95" customHeight="1" x14ac:dyDescent="0.3">
      <c r="A126" s="3">
        <v>45804</v>
      </c>
      <c r="B126" s="19" t="s">
        <v>2476</v>
      </c>
      <c r="C126" s="19" t="s">
        <v>20</v>
      </c>
      <c r="D126" s="19" t="s">
        <v>9</v>
      </c>
      <c r="E126" s="4">
        <v>0.8</v>
      </c>
      <c r="F126" s="42">
        <v>2.5</v>
      </c>
      <c r="G126" s="45">
        <v>380</v>
      </c>
      <c r="H126" s="22">
        <v>2.1</v>
      </c>
      <c r="I126" s="6">
        <f t="shared" si="2"/>
        <v>1596</v>
      </c>
      <c r="J126" s="6" t="s">
        <v>88</v>
      </c>
    </row>
    <row r="127" spans="1:10" ht="13.95" customHeight="1" x14ac:dyDescent="0.3">
      <c r="A127" s="3">
        <v>45805</v>
      </c>
      <c r="B127" s="19" t="s">
        <v>2476</v>
      </c>
      <c r="C127" s="19" t="s">
        <v>5</v>
      </c>
      <c r="D127" s="19" t="s">
        <v>9</v>
      </c>
      <c r="E127" s="4">
        <v>0.85</v>
      </c>
      <c r="F127" s="42">
        <v>2.6</v>
      </c>
      <c r="G127" s="45">
        <v>380</v>
      </c>
      <c r="H127" s="22">
        <v>2.1</v>
      </c>
      <c r="I127" s="6">
        <f t="shared" si="2"/>
        <v>1763.5800000000002</v>
      </c>
      <c r="J127" s="6" t="s">
        <v>2334</v>
      </c>
    </row>
    <row r="128" spans="1:10" ht="13.95" customHeight="1" x14ac:dyDescent="0.3">
      <c r="A128" s="3">
        <v>45806</v>
      </c>
      <c r="B128" s="19" t="s">
        <v>2476</v>
      </c>
      <c r="C128" s="19" t="s">
        <v>8</v>
      </c>
      <c r="D128" s="19" t="s">
        <v>2409</v>
      </c>
      <c r="E128" s="4">
        <v>1</v>
      </c>
      <c r="F128" s="42">
        <v>3.65</v>
      </c>
      <c r="G128" s="45">
        <v>380</v>
      </c>
      <c r="H128" s="22">
        <v>2.1</v>
      </c>
      <c r="I128" s="6">
        <f t="shared" si="2"/>
        <v>2912.7000000000003</v>
      </c>
      <c r="J128" s="6" t="s">
        <v>2416</v>
      </c>
    </row>
    <row r="129" spans="1:10" ht="13.95" customHeight="1" x14ac:dyDescent="0.3">
      <c r="A129" s="3">
        <v>45807</v>
      </c>
      <c r="B129" s="19" t="s">
        <v>2476</v>
      </c>
      <c r="C129" s="19" t="s">
        <v>11</v>
      </c>
      <c r="D129" s="19" t="s">
        <v>229</v>
      </c>
      <c r="E129" s="4">
        <v>1</v>
      </c>
      <c r="F129" s="42">
        <v>3.3</v>
      </c>
      <c r="G129" s="45">
        <v>380</v>
      </c>
      <c r="H129" s="22">
        <v>2.1</v>
      </c>
      <c r="I129" s="6">
        <f t="shared" si="2"/>
        <v>2633.4</v>
      </c>
      <c r="J129" s="6" t="s">
        <v>2410</v>
      </c>
    </row>
    <row r="130" spans="1:10" ht="13.95" customHeight="1" x14ac:dyDescent="0.3">
      <c r="A130" s="3">
        <v>45808</v>
      </c>
      <c r="B130" s="19" t="s">
        <v>2476</v>
      </c>
      <c r="C130" s="19" t="s">
        <v>13</v>
      </c>
      <c r="D130" s="19" t="s">
        <v>14</v>
      </c>
      <c r="E130" s="4">
        <v>1</v>
      </c>
      <c r="F130" s="42">
        <v>4.1500000000000004</v>
      </c>
      <c r="G130" s="45">
        <v>380</v>
      </c>
      <c r="H130" s="22">
        <v>2.1</v>
      </c>
      <c r="I130" s="6">
        <f t="shared" si="2"/>
        <v>3311.7000000000007</v>
      </c>
      <c r="J130" s="6" t="s">
        <v>2417</v>
      </c>
    </row>
    <row r="131" spans="1:10" ht="13.95" customHeight="1" x14ac:dyDescent="0.3">
      <c r="A131" s="3">
        <v>45809</v>
      </c>
      <c r="B131" s="19" t="s">
        <v>2476</v>
      </c>
      <c r="C131" s="19" t="s">
        <v>16</v>
      </c>
      <c r="D131" s="19" t="s">
        <v>14</v>
      </c>
      <c r="E131" s="4">
        <v>0.85</v>
      </c>
      <c r="F131" s="42">
        <v>3.35</v>
      </c>
      <c r="G131" s="45">
        <v>380</v>
      </c>
      <c r="H131" s="22">
        <v>2.2000000000000002</v>
      </c>
      <c r="I131" s="6">
        <f t="shared" si="2"/>
        <v>2380.5100000000002</v>
      </c>
      <c r="J131" s="6" t="s">
        <v>238</v>
      </c>
    </row>
    <row r="132" spans="1:10" ht="13.95" customHeight="1" x14ac:dyDescent="0.3">
      <c r="A132" s="3">
        <v>45810</v>
      </c>
      <c r="B132" s="19" t="s">
        <v>2476</v>
      </c>
      <c r="C132" s="19" t="s">
        <v>18</v>
      </c>
      <c r="D132" s="19" t="s">
        <v>9</v>
      </c>
      <c r="E132" s="4">
        <v>0.75</v>
      </c>
      <c r="F132" s="42">
        <v>2.5</v>
      </c>
      <c r="G132" s="45">
        <v>380</v>
      </c>
      <c r="H132" s="22">
        <v>2.2000000000000002</v>
      </c>
      <c r="I132" s="6">
        <f t="shared" si="2"/>
        <v>1567.5000000000002</v>
      </c>
      <c r="J132" s="6" t="s">
        <v>1605</v>
      </c>
    </row>
    <row r="133" spans="1:10" ht="13.95" customHeight="1" x14ac:dyDescent="0.3">
      <c r="A133" s="3">
        <v>45811</v>
      </c>
      <c r="B133" s="19" t="s">
        <v>2476</v>
      </c>
      <c r="C133" s="19" t="s">
        <v>20</v>
      </c>
      <c r="D133" s="19" t="s">
        <v>9</v>
      </c>
      <c r="E133" s="4">
        <v>0.75</v>
      </c>
      <c r="F133" s="42">
        <v>2.5</v>
      </c>
      <c r="G133" s="45">
        <v>380</v>
      </c>
      <c r="H133" s="22">
        <v>2.2000000000000002</v>
      </c>
      <c r="I133" s="6">
        <f t="shared" si="2"/>
        <v>1567.5000000000002</v>
      </c>
      <c r="J133" s="6" t="s">
        <v>88</v>
      </c>
    </row>
    <row r="134" spans="1:10" ht="13.95" customHeight="1" x14ac:dyDescent="0.3">
      <c r="A134" s="3">
        <v>45812</v>
      </c>
      <c r="B134" s="19" t="s">
        <v>2476</v>
      </c>
      <c r="C134" s="19" t="s">
        <v>5</v>
      </c>
      <c r="D134" s="19" t="s">
        <v>9</v>
      </c>
      <c r="E134" s="4">
        <v>0.8</v>
      </c>
      <c r="F134" s="42">
        <v>2.6</v>
      </c>
      <c r="G134" s="45">
        <v>380</v>
      </c>
      <c r="H134" s="22">
        <v>2.2000000000000002</v>
      </c>
      <c r="I134" s="6">
        <f t="shared" ref="I134:I197" si="3">(G134*E134)*F134*H134</f>
        <v>1738.88</v>
      </c>
      <c r="J134" s="6" t="s">
        <v>1440</v>
      </c>
    </row>
    <row r="135" spans="1:10" ht="13.95" customHeight="1" x14ac:dyDescent="0.3">
      <c r="A135" s="3">
        <v>45813</v>
      </c>
      <c r="B135" s="19" t="s">
        <v>2476</v>
      </c>
      <c r="C135" s="19" t="s">
        <v>8</v>
      </c>
      <c r="D135" s="19" t="s">
        <v>904</v>
      </c>
      <c r="E135" s="4">
        <v>0.9</v>
      </c>
      <c r="F135" s="42">
        <v>3.1</v>
      </c>
      <c r="G135" s="45">
        <v>380</v>
      </c>
      <c r="H135" s="22">
        <v>2.2000000000000002</v>
      </c>
      <c r="I135" s="6">
        <f t="shared" si="3"/>
        <v>2332.4400000000005</v>
      </c>
      <c r="J135" s="6" t="s">
        <v>2238</v>
      </c>
    </row>
    <row r="136" spans="1:10" ht="13.95" customHeight="1" x14ac:dyDescent="0.3">
      <c r="A136" s="3">
        <v>45814</v>
      </c>
      <c r="B136" s="19" t="s">
        <v>2476</v>
      </c>
      <c r="C136" s="19" t="s">
        <v>11</v>
      </c>
      <c r="D136" s="19" t="s">
        <v>1142</v>
      </c>
      <c r="E136" s="4">
        <v>1</v>
      </c>
      <c r="F136" s="42">
        <v>4.0999999999999996</v>
      </c>
      <c r="G136" s="45">
        <v>380</v>
      </c>
      <c r="H136" s="22">
        <v>2.2000000000000002</v>
      </c>
      <c r="I136" s="6">
        <f t="shared" si="3"/>
        <v>3427.6</v>
      </c>
      <c r="J136" s="6" t="s">
        <v>2418</v>
      </c>
    </row>
    <row r="137" spans="1:10" ht="13.95" customHeight="1" x14ac:dyDescent="0.3">
      <c r="A137" s="3">
        <v>45815</v>
      </c>
      <c r="B137" s="19" t="s">
        <v>2476</v>
      </c>
      <c r="C137" s="19" t="s">
        <v>13</v>
      </c>
      <c r="D137" s="19" t="s">
        <v>1142</v>
      </c>
      <c r="E137" s="4">
        <v>1</v>
      </c>
      <c r="F137" s="42">
        <v>4.3</v>
      </c>
      <c r="G137" s="45">
        <v>380</v>
      </c>
      <c r="H137" s="22">
        <v>2.2000000000000002</v>
      </c>
      <c r="I137" s="6">
        <f t="shared" si="3"/>
        <v>3594.8</v>
      </c>
      <c r="J137" s="6" t="s">
        <v>2419</v>
      </c>
    </row>
    <row r="138" spans="1:10" ht="13.95" customHeight="1" x14ac:dyDescent="0.3">
      <c r="A138" s="3">
        <v>45816</v>
      </c>
      <c r="B138" s="19" t="s">
        <v>2476</v>
      </c>
      <c r="C138" s="19" t="s">
        <v>16</v>
      </c>
      <c r="D138" s="19" t="s">
        <v>1344</v>
      </c>
      <c r="E138" s="4">
        <v>0.95</v>
      </c>
      <c r="F138" s="42">
        <v>3.6</v>
      </c>
      <c r="G138" s="45">
        <v>380</v>
      </c>
      <c r="H138" s="22">
        <v>2.2000000000000002</v>
      </c>
      <c r="I138" s="6">
        <f t="shared" si="3"/>
        <v>2859.1200000000003</v>
      </c>
      <c r="J138" s="6" t="s">
        <v>48</v>
      </c>
    </row>
    <row r="139" spans="1:10" ht="13.95" customHeight="1" x14ac:dyDescent="0.3">
      <c r="A139" s="3">
        <v>45817</v>
      </c>
      <c r="B139" s="19" t="s">
        <v>2476</v>
      </c>
      <c r="C139" s="19" t="s">
        <v>18</v>
      </c>
      <c r="D139" s="19" t="s">
        <v>9</v>
      </c>
      <c r="E139" s="4">
        <v>0.8</v>
      </c>
      <c r="F139" s="42">
        <v>2.5499999999999998</v>
      </c>
      <c r="G139" s="45">
        <v>380</v>
      </c>
      <c r="H139" s="22">
        <v>2.2000000000000002</v>
      </c>
      <c r="I139" s="6">
        <f t="shared" si="3"/>
        <v>1705.44</v>
      </c>
      <c r="J139" s="6" t="s">
        <v>460</v>
      </c>
    </row>
    <row r="140" spans="1:10" ht="13.95" customHeight="1" x14ac:dyDescent="0.3">
      <c r="A140" s="3">
        <v>45818</v>
      </c>
      <c r="B140" s="19" t="s">
        <v>2476</v>
      </c>
      <c r="C140" s="19" t="s">
        <v>20</v>
      </c>
      <c r="D140" s="19" t="s">
        <v>9</v>
      </c>
      <c r="E140" s="4">
        <v>0.8</v>
      </c>
      <c r="F140" s="42">
        <v>2.5499999999999998</v>
      </c>
      <c r="G140" s="45">
        <v>380</v>
      </c>
      <c r="H140" s="22">
        <v>2.2000000000000002</v>
      </c>
      <c r="I140" s="6">
        <f t="shared" si="3"/>
        <v>1705.44</v>
      </c>
      <c r="J140" s="6" t="s">
        <v>88</v>
      </c>
    </row>
    <row r="141" spans="1:10" ht="13.95" customHeight="1" x14ac:dyDescent="0.3">
      <c r="A141" s="3">
        <v>45819</v>
      </c>
      <c r="B141" s="19" t="s">
        <v>2476</v>
      </c>
      <c r="C141" s="19" t="s">
        <v>5</v>
      </c>
      <c r="D141" s="19" t="s">
        <v>9</v>
      </c>
      <c r="E141" s="4">
        <v>0.85</v>
      </c>
      <c r="F141" s="42">
        <v>2.6</v>
      </c>
      <c r="G141" s="45">
        <v>380</v>
      </c>
      <c r="H141" s="22">
        <v>2.2000000000000002</v>
      </c>
      <c r="I141" s="6">
        <f t="shared" si="3"/>
        <v>1847.5600000000004</v>
      </c>
      <c r="J141" s="6" t="s">
        <v>717</v>
      </c>
    </row>
    <row r="142" spans="1:10" ht="13.95" customHeight="1" x14ac:dyDescent="0.3">
      <c r="A142" s="3">
        <v>45820</v>
      </c>
      <c r="B142" s="19" t="s">
        <v>2476</v>
      </c>
      <c r="C142" s="19" t="s">
        <v>8</v>
      </c>
      <c r="D142" s="19" t="s">
        <v>9</v>
      </c>
      <c r="E142" s="4">
        <v>0.85</v>
      </c>
      <c r="F142" s="42">
        <v>2.65</v>
      </c>
      <c r="G142" s="45">
        <v>380</v>
      </c>
      <c r="H142" s="22">
        <v>2.2000000000000002</v>
      </c>
      <c r="I142" s="6">
        <f t="shared" si="3"/>
        <v>1883.09</v>
      </c>
      <c r="J142" s="6" t="s">
        <v>717</v>
      </c>
    </row>
    <row r="143" spans="1:10" ht="13.95" customHeight="1" x14ac:dyDescent="0.3">
      <c r="A143" s="3">
        <v>45821</v>
      </c>
      <c r="B143" s="19" t="s">
        <v>2476</v>
      </c>
      <c r="C143" s="19" t="s">
        <v>11</v>
      </c>
      <c r="D143" s="19" t="s">
        <v>9</v>
      </c>
      <c r="E143" s="4">
        <v>0.9</v>
      </c>
      <c r="F143" s="42">
        <v>3.1</v>
      </c>
      <c r="G143" s="45">
        <v>380</v>
      </c>
      <c r="H143" s="22">
        <v>2.2000000000000002</v>
      </c>
      <c r="I143" s="6">
        <f t="shared" si="3"/>
        <v>2332.4400000000005</v>
      </c>
      <c r="J143" s="6" t="s">
        <v>97</v>
      </c>
    </row>
    <row r="144" spans="1:10" ht="13.95" customHeight="1" x14ac:dyDescent="0.3">
      <c r="A144" s="3">
        <v>45822</v>
      </c>
      <c r="B144" s="19" t="s">
        <v>2476</v>
      </c>
      <c r="C144" s="19" t="s">
        <v>13</v>
      </c>
      <c r="D144" s="19" t="s">
        <v>14</v>
      </c>
      <c r="E144" s="4">
        <v>1</v>
      </c>
      <c r="F144" s="42">
        <v>3.9</v>
      </c>
      <c r="G144" s="45">
        <v>380</v>
      </c>
      <c r="H144" s="22">
        <v>2.2000000000000002</v>
      </c>
      <c r="I144" s="6">
        <f t="shared" si="3"/>
        <v>3260.4</v>
      </c>
      <c r="J144" s="6" t="s">
        <v>2412</v>
      </c>
    </row>
    <row r="145" spans="1:10" ht="13.95" customHeight="1" x14ac:dyDescent="0.3">
      <c r="A145" s="3">
        <v>45823</v>
      </c>
      <c r="B145" s="19" t="s">
        <v>2476</v>
      </c>
      <c r="C145" s="19" t="s">
        <v>16</v>
      </c>
      <c r="D145" s="19" t="s">
        <v>14</v>
      </c>
      <c r="E145" s="4">
        <v>1</v>
      </c>
      <c r="F145" s="42">
        <v>3.45</v>
      </c>
      <c r="G145" s="45">
        <v>380</v>
      </c>
      <c r="H145" s="22">
        <v>2.2000000000000002</v>
      </c>
      <c r="I145" s="6">
        <f t="shared" si="3"/>
        <v>2884.2000000000003</v>
      </c>
      <c r="J145" s="6" t="s">
        <v>2420</v>
      </c>
    </row>
    <row r="146" spans="1:10" ht="13.95" customHeight="1" x14ac:dyDescent="0.3">
      <c r="A146" s="3">
        <v>45824</v>
      </c>
      <c r="B146" s="19" t="s">
        <v>2476</v>
      </c>
      <c r="C146" s="19" t="s">
        <v>18</v>
      </c>
      <c r="D146" s="19" t="s">
        <v>9</v>
      </c>
      <c r="E146" s="4">
        <v>0.85</v>
      </c>
      <c r="F146" s="42">
        <v>2.6</v>
      </c>
      <c r="G146" s="45">
        <v>380</v>
      </c>
      <c r="H146" s="22">
        <v>2.2000000000000002</v>
      </c>
      <c r="I146" s="6">
        <f t="shared" si="3"/>
        <v>1847.5600000000004</v>
      </c>
      <c r="J146" s="6" t="s">
        <v>88</v>
      </c>
    </row>
    <row r="147" spans="1:10" ht="13.95" customHeight="1" x14ac:dyDescent="0.3">
      <c r="A147" s="3">
        <v>45825</v>
      </c>
      <c r="B147" s="19" t="s">
        <v>2476</v>
      </c>
      <c r="C147" s="19" t="s">
        <v>20</v>
      </c>
      <c r="D147" s="19" t="s">
        <v>9</v>
      </c>
      <c r="E147" s="4">
        <v>0.85</v>
      </c>
      <c r="F147" s="42">
        <v>2.6</v>
      </c>
      <c r="G147" s="45">
        <v>380</v>
      </c>
      <c r="H147" s="22">
        <v>2.2000000000000002</v>
      </c>
      <c r="I147" s="6">
        <f t="shared" si="3"/>
        <v>1847.5600000000004</v>
      </c>
      <c r="J147" s="6" t="s">
        <v>88</v>
      </c>
    </row>
    <row r="148" spans="1:10" ht="13.95" customHeight="1" x14ac:dyDescent="0.3">
      <c r="A148" s="3">
        <v>45826</v>
      </c>
      <c r="B148" s="19" t="s">
        <v>2476</v>
      </c>
      <c r="C148" s="19" t="s">
        <v>5</v>
      </c>
      <c r="D148" s="19" t="s">
        <v>9</v>
      </c>
      <c r="E148" s="4">
        <v>0.9</v>
      </c>
      <c r="F148" s="42">
        <v>2.75</v>
      </c>
      <c r="G148" s="45">
        <v>380</v>
      </c>
      <c r="H148" s="22">
        <v>2.2000000000000002</v>
      </c>
      <c r="I148" s="6">
        <f t="shared" si="3"/>
        <v>2069.1000000000004</v>
      </c>
      <c r="J148" s="6" t="s">
        <v>2201</v>
      </c>
    </row>
    <row r="149" spans="1:10" ht="13.95" customHeight="1" x14ac:dyDescent="0.3">
      <c r="A149" s="3">
        <v>45827</v>
      </c>
      <c r="B149" s="19" t="s">
        <v>2476</v>
      </c>
      <c r="C149" s="19" t="s">
        <v>8</v>
      </c>
      <c r="D149" s="19" t="s">
        <v>9</v>
      </c>
      <c r="E149" s="4">
        <v>0.9</v>
      </c>
      <c r="F149" s="42">
        <v>2.75</v>
      </c>
      <c r="G149" s="45">
        <v>380</v>
      </c>
      <c r="H149" s="22">
        <v>2.2000000000000002</v>
      </c>
      <c r="I149" s="6">
        <f t="shared" si="3"/>
        <v>2069.1000000000004</v>
      </c>
      <c r="J149" s="6" t="s">
        <v>2201</v>
      </c>
    </row>
    <row r="150" spans="1:10" ht="13.95" customHeight="1" x14ac:dyDescent="0.3">
      <c r="A150" s="3">
        <v>45828</v>
      </c>
      <c r="B150" s="19" t="s">
        <v>2476</v>
      </c>
      <c r="C150" s="19" t="s">
        <v>11</v>
      </c>
      <c r="D150" s="19" t="s">
        <v>9</v>
      </c>
      <c r="E150" s="4">
        <v>0.95</v>
      </c>
      <c r="F150" s="42">
        <v>3.25</v>
      </c>
      <c r="G150" s="45">
        <v>380</v>
      </c>
      <c r="H150" s="22">
        <v>2.2000000000000002</v>
      </c>
      <c r="I150" s="6">
        <f t="shared" si="3"/>
        <v>2581.15</v>
      </c>
      <c r="J150" s="6" t="s">
        <v>97</v>
      </c>
    </row>
    <row r="151" spans="1:10" ht="13.95" customHeight="1" x14ac:dyDescent="0.3">
      <c r="A151" s="3">
        <v>45829</v>
      </c>
      <c r="B151" s="19" t="s">
        <v>2476</v>
      </c>
      <c r="C151" s="19" t="s">
        <v>13</v>
      </c>
      <c r="D151" s="19" t="s">
        <v>14</v>
      </c>
      <c r="E151" s="4">
        <v>1</v>
      </c>
      <c r="F151" s="42">
        <v>4</v>
      </c>
      <c r="G151" s="45">
        <v>380</v>
      </c>
      <c r="H151" s="22">
        <v>2.2000000000000002</v>
      </c>
      <c r="I151" s="6">
        <f t="shared" si="3"/>
        <v>3344.0000000000005</v>
      </c>
      <c r="J151" s="6" t="s">
        <v>2421</v>
      </c>
    </row>
    <row r="152" spans="1:10" ht="13.95" customHeight="1" x14ac:dyDescent="0.3">
      <c r="A152" s="3">
        <v>45830</v>
      </c>
      <c r="B152" s="19" t="s">
        <v>2476</v>
      </c>
      <c r="C152" s="19" t="s">
        <v>16</v>
      </c>
      <c r="D152" s="19" t="s">
        <v>14</v>
      </c>
      <c r="E152" s="4">
        <v>1</v>
      </c>
      <c r="F152" s="42">
        <v>3.55</v>
      </c>
      <c r="G152" s="45">
        <v>380</v>
      </c>
      <c r="H152" s="22">
        <v>2.2000000000000002</v>
      </c>
      <c r="I152" s="6">
        <f t="shared" si="3"/>
        <v>2967.8</v>
      </c>
      <c r="J152" s="6" t="s">
        <v>69</v>
      </c>
    </row>
    <row r="153" spans="1:10" ht="13.95" customHeight="1" x14ac:dyDescent="0.3">
      <c r="A153" s="3">
        <v>45831</v>
      </c>
      <c r="B153" s="19" t="s">
        <v>2476</v>
      </c>
      <c r="C153" s="19" t="s">
        <v>18</v>
      </c>
      <c r="D153" s="19" t="s">
        <v>9</v>
      </c>
      <c r="E153" s="4">
        <v>0.9</v>
      </c>
      <c r="F153" s="42">
        <v>2.7</v>
      </c>
      <c r="G153" s="45">
        <v>380</v>
      </c>
      <c r="H153" s="22">
        <v>2.2000000000000002</v>
      </c>
      <c r="I153" s="6">
        <f t="shared" si="3"/>
        <v>2031.4800000000005</v>
      </c>
      <c r="J153" s="6" t="s">
        <v>88</v>
      </c>
    </row>
    <row r="154" spans="1:10" ht="13.95" customHeight="1" x14ac:dyDescent="0.3">
      <c r="A154" s="3">
        <v>45832</v>
      </c>
      <c r="B154" s="19" t="s">
        <v>2476</v>
      </c>
      <c r="C154" s="19" t="s">
        <v>20</v>
      </c>
      <c r="D154" s="19" t="s">
        <v>9</v>
      </c>
      <c r="E154" s="4">
        <v>0.9</v>
      </c>
      <c r="F154" s="42">
        <v>2.7</v>
      </c>
      <c r="G154" s="45">
        <v>380</v>
      </c>
      <c r="H154" s="22">
        <v>2.2000000000000002</v>
      </c>
      <c r="I154" s="6">
        <f t="shared" si="3"/>
        <v>2031.4800000000005</v>
      </c>
      <c r="J154" s="6" t="s">
        <v>88</v>
      </c>
    </row>
    <row r="155" spans="1:10" ht="13.95" customHeight="1" x14ac:dyDescent="0.3">
      <c r="A155" s="3">
        <v>45833</v>
      </c>
      <c r="B155" s="19" t="s">
        <v>2476</v>
      </c>
      <c r="C155" s="19" t="s">
        <v>5</v>
      </c>
      <c r="D155" s="19" t="s">
        <v>9</v>
      </c>
      <c r="E155" s="4">
        <v>0.95</v>
      </c>
      <c r="F155" s="42">
        <v>2.8</v>
      </c>
      <c r="G155" s="45">
        <v>380</v>
      </c>
      <c r="H155" s="22">
        <v>2.2000000000000002</v>
      </c>
      <c r="I155" s="6">
        <f t="shared" si="3"/>
        <v>2223.7600000000002</v>
      </c>
      <c r="J155" s="6" t="s">
        <v>2422</v>
      </c>
    </row>
    <row r="156" spans="1:10" ht="13.95" customHeight="1" x14ac:dyDescent="0.3">
      <c r="A156" s="3">
        <v>45834</v>
      </c>
      <c r="B156" s="19" t="s">
        <v>2476</v>
      </c>
      <c r="C156" s="19" t="s">
        <v>8</v>
      </c>
      <c r="D156" s="19" t="s">
        <v>9</v>
      </c>
      <c r="E156" s="4">
        <v>0.95</v>
      </c>
      <c r="F156" s="42">
        <v>2.85</v>
      </c>
      <c r="G156" s="45">
        <v>380</v>
      </c>
      <c r="H156" s="22">
        <v>2.2000000000000002</v>
      </c>
      <c r="I156" s="6">
        <f t="shared" si="3"/>
        <v>2263.4700000000007</v>
      </c>
      <c r="J156" s="6" t="s">
        <v>88</v>
      </c>
    </row>
    <row r="157" spans="1:10" ht="13.95" customHeight="1" x14ac:dyDescent="0.3">
      <c r="A157" s="3">
        <v>45835</v>
      </c>
      <c r="B157" s="19" t="s">
        <v>2476</v>
      </c>
      <c r="C157" s="19" t="s">
        <v>11</v>
      </c>
      <c r="D157" s="19" t="s">
        <v>9</v>
      </c>
      <c r="E157" s="4">
        <v>1</v>
      </c>
      <c r="F157" s="42">
        <v>3.35</v>
      </c>
      <c r="G157" s="45">
        <v>380</v>
      </c>
      <c r="H157" s="22">
        <v>2.2000000000000002</v>
      </c>
      <c r="I157" s="6">
        <f t="shared" si="3"/>
        <v>2800.6000000000004</v>
      </c>
      <c r="J157" s="6" t="s">
        <v>282</v>
      </c>
    </row>
    <row r="158" spans="1:10" ht="13.95" customHeight="1" x14ac:dyDescent="0.3">
      <c r="A158" s="3">
        <v>45836</v>
      </c>
      <c r="B158" s="19" t="s">
        <v>2476</v>
      </c>
      <c r="C158" s="19" t="s">
        <v>13</v>
      </c>
      <c r="D158" s="19" t="s">
        <v>995</v>
      </c>
      <c r="E158" s="4">
        <v>1</v>
      </c>
      <c r="F158" s="42">
        <v>4.2</v>
      </c>
      <c r="G158" s="45">
        <v>380</v>
      </c>
      <c r="H158" s="22">
        <v>2.2000000000000002</v>
      </c>
      <c r="I158" s="6">
        <f t="shared" si="3"/>
        <v>3511.2000000000003</v>
      </c>
      <c r="J158" s="6" t="s">
        <v>2423</v>
      </c>
    </row>
    <row r="159" spans="1:10" ht="13.95" customHeight="1" x14ac:dyDescent="0.3">
      <c r="A159" s="3">
        <v>45837</v>
      </c>
      <c r="B159" s="19" t="s">
        <v>2476</v>
      </c>
      <c r="C159" s="19" t="s">
        <v>16</v>
      </c>
      <c r="D159" s="19" t="s">
        <v>14</v>
      </c>
      <c r="E159" s="4">
        <v>1</v>
      </c>
      <c r="F159" s="42">
        <v>3.65</v>
      </c>
      <c r="G159" s="45">
        <v>380</v>
      </c>
      <c r="H159" s="22">
        <v>2.2000000000000002</v>
      </c>
      <c r="I159" s="6">
        <f t="shared" si="3"/>
        <v>3051.4</v>
      </c>
      <c r="J159" s="6" t="s">
        <v>490</v>
      </c>
    </row>
    <row r="160" spans="1:10" ht="13.95" customHeight="1" x14ac:dyDescent="0.3">
      <c r="A160" s="3">
        <v>45838</v>
      </c>
      <c r="B160" s="19" t="s">
        <v>2476</v>
      </c>
      <c r="C160" s="19" t="s">
        <v>18</v>
      </c>
      <c r="D160" s="19" t="s">
        <v>9</v>
      </c>
      <c r="E160" s="4">
        <v>0.95</v>
      </c>
      <c r="F160" s="42">
        <v>2.8</v>
      </c>
      <c r="G160" s="45">
        <v>380</v>
      </c>
      <c r="H160" s="22">
        <v>2.2000000000000002</v>
      </c>
      <c r="I160" s="6">
        <f t="shared" si="3"/>
        <v>2223.7600000000002</v>
      </c>
      <c r="J160" s="6" t="s">
        <v>783</v>
      </c>
    </row>
    <row r="161" spans="1:10" ht="13.95" customHeight="1" x14ac:dyDescent="0.3">
      <c r="A161" s="3">
        <v>45839</v>
      </c>
      <c r="B161" s="19" t="s">
        <v>2476</v>
      </c>
      <c r="C161" s="19" t="s">
        <v>20</v>
      </c>
      <c r="D161" s="19" t="s">
        <v>1340</v>
      </c>
      <c r="E161" s="4">
        <v>0.95</v>
      </c>
      <c r="F161" s="42">
        <v>2.8</v>
      </c>
      <c r="G161" s="45">
        <v>380</v>
      </c>
      <c r="H161" s="22">
        <v>2.2999999999999998</v>
      </c>
      <c r="I161" s="6">
        <f t="shared" si="3"/>
        <v>2324.8399999999997</v>
      </c>
      <c r="J161" s="6" t="s">
        <v>2431</v>
      </c>
    </row>
    <row r="162" spans="1:10" ht="13.95" customHeight="1" x14ac:dyDescent="0.3">
      <c r="A162" s="3">
        <v>45840</v>
      </c>
      <c r="B162" s="19" t="s">
        <v>2476</v>
      </c>
      <c r="C162" s="19" t="s">
        <v>5</v>
      </c>
      <c r="D162" s="19" t="s">
        <v>1340</v>
      </c>
      <c r="E162" s="4">
        <v>0.95</v>
      </c>
      <c r="F162" s="42">
        <v>2.8</v>
      </c>
      <c r="G162" s="45">
        <v>380</v>
      </c>
      <c r="H162" s="22">
        <v>2.2999999999999998</v>
      </c>
      <c r="I162" s="6">
        <f t="shared" si="3"/>
        <v>2324.8399999999997</v>
      </c>
      <c r="J162" s="6" t="s">
        <v>2431</v>
      </c>
    </row>
    <row r="163" spans="1:10" ht="13.95" customHeight="1" x14ac:dyDescent="0.3">
      <c r="A163" s="3">
        <v>45841</v>
      </c>
      <c r="B163" s="19" t="s">
        <v>2476</v>
      </c>
      <c r="C163" s="19" t="s">
        <v>8</v>
      </c>
      <c r="D163" s="19" t="s">
        <v>1340</v>
      </c>
      <c r="E163" s="4">
        <v>0.98</v>
      </c>
      <c r="F163" s="42">
        <v>2.85</v>
      </c>
      <c r="G163" s="45">
        <v>380</v>
      </c>
      <c r="H163" s="22">
        <v>2.2999999999999998</v>
      </c>
      <c r="I163" s="6">
        <f t="shared" si="3"/>
        <v>2441.0819999999994</v>
      </c>
      <c r="J163" s="6" t="s">
        <v>2431</v>
      </c>
    </row>
    <row r="164" spans="1:10" ht="13.95" customHeight="1" x14ac:dyDescent="0.3">
      <c r="A164" s="3">
        <v>45842</v>
      </c>
      <c r="B164" s="19" t="s">
        <v>2476</v>
      </c>
      <c r="C164" s="19" t="s">
        <v>11</v>
      </c>
      <c r="D164" s="19" t="s">
        <v>14</v>
      </c>
      <c r="E164" s="4">
        <v>1</v>
      </c>
      <c r="F164" s="42">
        <v>3.25</v>
      </c>
      <c r="G164" s="45">
        <v>380</v>
      </c>
      <c r="H164" s="22">
        <v>2.2999999999999998</v>
      </c>
      <c r="I164" s="6">
        <f t="shared" si="3"/>
        <v>2840.5</v>
      </c>
      <c r="J164" s="6" t="s">
        <v>2432</v>
      </c>
    </row>
    <row r="165" spans="1:10" ht="13.95" customHeight="1" x14ac:dyDescent="0.3">
      <c r="A165" s="3">
        <v>45843</v>
      </c>
      <c r="B165" s="19" t="s">
        <v>2476</v>
      </c>
      <c r="C165" s="19" t="s">
        <v>13</v>
      </c>
      <c r="D165" s="19" t="s">
        <v>14</v>
      </c>
      <c r="E165" s="4">
        <v>1</v>
      </c>
      <c r="F165" s="42">
        <v>4.1500000000000004</v>
      </c>
      <c r="G165" s="45">
        <v>380</v>
      </c>
      <c r="H165" s="22">
        <v>2.2999999999999998</v>
      </c>
      <c r="I165" s="6">
        <f t="shared" si="3"/>
        <v>3627.1000000000004</v>
      </c>
      <c r="J165" s="6" t="s">
        <v>2433</v>
      </c>
    </row>
    <row r="166" spans="1:10" ht="13.95" customHeight="1" x14ac:dyDescent="0.3">
      <c r="A166" s="3">
        <v>45844</v>
      </c>
      <c r="B166" s="19" t="s">
        <v>2476</v>
      </c>
      <c r="C166" s="19" t="s">
        <v>16</v>
      </c>
      <c r="D166" s="19" t="s">
        <v>14</v>
      </c>
      <c r="E166" s="4">
        <v>1</v>
      </c>
      <c r="F166" s="42">
        <v>3.65</v>
      </c>
      <c r="G166" s="45">
        <v>380</v>
      </c>
      <c r="H166" s="22">
        <v>2.2999999999999998</v>
      </c>
      <c r="I166" s="6">
        <f t="shared" si="3"/>
        <v>3190.1</v>
      </c>
      <c r="J166" s="6" t="s">
        <v>2434</v>
      </c>
    </row>
    <row r="167" spans="1:10" ht="13.95" customHeight="1" x14ac:dyDescent="0.3">
      <c r="A167" s="3">
        <v>45845</v>
      </c>
      <c r="B167" s="19" t="s">
        <v>2476</v>
      </c>
      <c r="C167" s="19" t="s">
        <v>18</v>
      </c>
      <c r="D167" s="19" t="s">
        <v>1340</v>
      </c>
      <c r="E167" s="4">
        <v>0.98</v>
      </c>
      <c r="F167" s="42">
        <v>2.75</v>
      </c>
      <c r="G167" s="45">
        <v>380</v>
      </c>
      <c r="H167" s="22">
        <v>2.2999999999999998</v>
      </c>
      <c r="I167" s="6">
        <f t="shared" si="3"/>
        <v>2355.4299999999994</v>
      </c>
      <c r="J167" s="6" t="s">
        <v>2435</v>
      </c>
    </row>
    <row r="168" spans="1:10" ht="13.95" customHeight="1" x14ac:dyDescent="0.3">
      <c r="A168" s="3">
        <v>45846</v>
      </c>
      <c r="B168" s="19" t="s">
        <v>2476</v>
      </c>
      <c r="C168" s="19" t="s">
        <v>20</v>
      </c>
      <c r="D168" s="19" t="s">
        <v>1340</v>
      </c>
      <c r="E168" s="4">
        <v>0.98</v>
      </c>
      <c r="F168" s="42">
        <v>2.75</v>
      </c>
      <c r="G168" s="45">
        <v>380</v>
      </c>
      <c r="H168" s="22">
        <v>2.2999999999999998</v>
      </c>
      <c r="I168" s="6">
        <f t="shared" si="3"/>
        <v>2355.4299999999994</v>
      </c>
      <c r="J168" s="6" t="s">
        <v>2435</v>
      </c>
    </row>
    <row r="169" spans="1:10" ht="13.95" customHeight="1" x14ac:dyDescent="0.3">
      <c r="A169" s="3">
        <v>45847</v>
      </c>
      <c r="B169" s="19" t="s">
        <v>2476</v>
      </c>
      <c r="C169" s="19" t="s">
        <v>5</v>
      </c>
      <c r="D169" s="19" t="s">
        <v>1340</v>
      </c>
      <c r="E169" s="4">
        <v>0.98</v>
      </c>
      <c r="F169" s="42">
        <v>2.8</v>
      </c>
      <c r="G169" s="45">
        <v>380</v>
      </c>
      <c r="H169" s="22">
        <v>2.2999999999999998</v>
      </c>
      <c r="I169" s="6">
        <f t="shared" si="3"/>
        <v>2398.2559999999994</v>
      </c>
      <c r="J169" s="6" t="s">
        <v>828</v>
      </c>
    </row>
    <row r="170" spans="1:10" ht="13.95" customHeight="1" x14ac:dyDescent="0.3">
      <c r="A170" s="3">
        <v>45848</v>
      </c>
      <c r="B170" s="19" t="s">
        <v>2476</v>
      </c>
      <c r="C170" s="19" t="s">
        <v>8</v>
      </c>
      <c r="D170" s="19" t="s">
        <v>1340</v>
      </c>
      <c r="E170" s="4">
        <v>1</v>
      </c>
      <c r="F170" s="42">
        <v>2.85</v>
      </c>
      <c r="G170" s="45">
        <v>380</v>
      </c>
      <c r="H170" s="22">
        <v>2.2999999999999998</v>
      </c>
      <c r="I170" s="6">
        <f t="shared" si="3"/>
        <v>2490.8999999999996</v>
      </c>
      <c r="J170" s="6" t="s">
        <v>828</v>
      </c>
    </row>
    <row r="171" spans="1:10" ht="13.95" customHeight="1" x14ac:dyDescent="0.3">
      <c r="A171" s="3">
        <v>45849</v>
      </c>
      <c r="B171" s="19" t="s">
        <v>2476</v>
      </c>
      <c r="C171" s="19" t="s">
        <v>11</v>
      </c>
      <c r="D171" s="19" t="s">
        <v>14</v>
      </c>
      <c r="E171" s="4">
        <v>1</v>
      </c>
      <c r="F171" s="42">
        <v>3.3</v>
      </c>
      <c r="G171" s="45">
        <v>380</v>
      </c>
      <c r="H171" s="22">
        <v>2.2999999999999998</v>
      </c>
      <c r="I171" s="6">
        <f t="shared" si="3"/>
        <v>2884.2</v>
      </c>
      <c r="J171" s="6" t="s">
        <v>2342</v>
      </c>
    </row>
    <row r="172" spans="1:10" ht="13.95" customHeight="1" x14ac:dyDescent="0.3">
      <c r="A172" s="3">
        <v>45850</v>
      </c>
      <c r="B172" s="19" t="s">
        <v>2476</v>
      </c>
      <c r="C172" s="19" t="s">
        <v>13</v>
      </c>
      <c r="D172" s="19" t="s">
        <v>14</v>
      </c>
      <c r="E172" s="4">
        <v>1</v>
      </c>
      <c r="F172" s="42">
        <v>4.2</v>
      </c>
      <c r="G172" s="45">
        <v>380</v>
      </c>
      <c r="H172" s="22">
        <v>2.2999999999999998</v>
      </c>
      <c r="I172" s="6">
        <f t="shared" si="3"/>
        <v>3670.7999999999997</v>
      </c>
      <c r="J172" s="6" t="s">
        <v>2393</v>
      </c>
    </row>
    <row r="173" spans="1:10" ht="13.95" customHeight="1" x14ac:dyDescent="0.3">
      <c r="A173" s="3">
        <v>45851</v>
      </c>
      <c r="B173" s="19" t="s">
        <v>2476</v>
      </c>
      <c r="C173" s="19" t="s">
        <v>16</v>
      </c>
      <c r="D173" s="19" t="s">
        <v>14</v>
      </c>
      <c r="E173" s="4">
        <v>1</v>
      </c>
      <c r="F173" s="42">
        <v>3.7</v>
      </c>
      <c r="G173" s="45">
        <v>380</v>
      </c>
      <c r="H173" s="22">
        <v>2.2999999999999998</v>
      </c>
      <c r="I173" s="6">
        <f t="shared" si="3"/>
        <v>3233.7999999999997</v>
      </c>
      <c r="J173" s="6" t="s">
        <v>2118</v>
      </c>
    </row>
    <row r="174" spans="1:10" ht="13.95" customHeight="1" x14ac:dyDescent="0.3">
      <c r="A174" s="3">
        <v>45852</v>
      </c>
      <c r="B174" s="19" t="s">
        <v>2476</v>
      </c>
      <c r="C174" s="19" t="s">
        <v>18</v>
      </c>
      <c r="D174" s="19" t="s">
        <v>1340</v>
      </c>
      <c r="E174" s="4">
        <v>0.98</v>
      </c>
      <c r="F174" s="42">
        <v>2.85</v>
      </c>
      <c r="G174" s="45">
        <v>380</v>
      </c>
      <c r="H174" s="22">
        <v>2.2999999999999998</v>
      </c>
      <c r="I174" s="6">
        <f t="shared" si="3"/>
        <v>2441.0819999999994</v>
      </c>
      <c r="J174" s="6" t="s">
        <v>2436</v>
      </c>
    </row>
    <row r="175" spans="1:10" ht="13.95" customHeight="1" x14ac:dyDescent="0.3">
      <c r="A175" s="3">
        <v>45853</v>
      </c>
      <c r="B175" s="19" t="s">
        <v>2476</v>
      </c>
      <c r="C175" s="19" t="s">
        <v>20</v>
      </c>
      <c r="D175" s="19" t="s">
        <v>1340</v>
      </c>
      <c r="E175" s="4">
        <v>0.98</v>
      </c>
      <c r="F175" s="42">
        <v>2.8</v>
      </c>
      <c r="G175" s="45">
        <v>380</v>
      </c>
      <c r="H175" s="22">
        <v>2.2999999999999998</v>
      </c>
      <c r="I175" s="6">
        <f t="shared" si="3"/>
        <v>2398.2559999999994</v>
      </c>
      <c r="J175" s="6" t="s">
        <v>88</v>
      </c>
    </row>
    <row r="176" spans="1:10" ht="13.95" customHeight="1" x14ac:dyDescent="0.3">
      <c r="A176" s="3">
        <v>45854</v>
      </c>
      <c r="B176" s="19" t="s">
        <v>2476</v>
      </c>
      <c r="C176" s="19" t="s">
        <v>5</v>
      </c>
      <c r="D176" s="19" t="s">
        <v>1340</v>
      </c>
      <c r="E176" s="4">
        <v>0.98</v>
      </c>
      <c r="F176" s="42">
        <v>2.8</v>
      </c>
      <c r="G176" s="45">
        <v>380</v>
      </c>
      <c r="H176" s="22">
        <v>2.2999999999999998</v>
      </c>
      <c r="I176" s="6">
        <f t="shared" si="3"/>
        <v>2398.2559999999994</v>
      </c>
      <c r="J176" s="6" t="s">
        <v>88</v>
      </c>
    </row>
    <row r="177" spans="1:10" ht="13.95" customHeight="1" x14ac:dyDescent="0.3">
      <c r="A177" s="3">
        <v>45855</v>
      </c>
      <c r="B177" s="19" t="s">
        <v>2476</v>
      </c>
      <c r="C177" s="19" t="s">
        <v>8</v>
      </c>
      <c r="D177" s="19" t="s">
        <v>1340</v>
      </c>
      <c r="E177" s="4">
        <v>1</v>
      </c>
      <c r="F177" s="42">
        <v>2.85</v>
      </c>
      <c r="G177" s="45">
        <v>380</v>
      </c>
      <c r="H177" s="22">
        <v>2.2999999999999998</v>
      </c>
      <c r="I177" s="6">
        <f t="shared" si="3"/>
        <v>2490.8999999999996</v>
      </c>
      <c r="J177" s="6" t="s">
        <v>717</v>
      </c>
    </row>
    <row r="178" spans="1:10" ht="13.95" customHeight="1" x14ac:dyDescent="0.3">
      <c r="A178" s="3">
        <v>45856</v>
      </c>
      <c r="B178" s="19" t="s">
        <v>2476</v>
      </c>
      <c r="C178" s="19" t="s">
        <v>11</v>
      </c>
      <c r="D178" s="19" t="s">
        <v>14</v>
      </c>
      <c r="E178" s="4">
        <v>1</v>
      </c>
      <c r="F178" s="42">
        <v>3.35</v>
      </c>
      <c r="G178" s="45">
        <v>380</v>
      </c>
      <c r="H178" s="22">
        <v>2.2999999999999998</v>
      </c>
      <c r="I178" s="6">
        <f t="shared" si="3"/>
        <v>2927.8999999999996</v>
      </c>
      <c r="J178" s="6" t="s">
        <v>97</v>
      </c>
    </row>
    <row r="179" spans="1:10" ht="13.95" customHeight="1" x14ac:dyDescent="0.3">
      <c r="A179" s="3">
        <v>45857</v>
      </c>
      <c r="B179" s="19" t="s">
        <v>2476</v>
      </c>
      <c r="C179" s="19" t="s">
        <v>13</v>
      </c>
      <c r="D179" s="19" t="s">
        <v>14</v>
      </c>
      <c r="E179" s="4">
        <v>1</v>
      </c>
      <c r="F179" s="42">
        <v>4.3</v>
      </c>
      <c r="G179" s="45">
        <v>380</v>
      </c>
      <c r="H179" s="22">
        <v>2.2999999999999998</v>
      </c>
      <c r="I179" s="6">
        <f t="shared" si="3"/>
        <v>3758.2</v>
      </c>
      <c r="J179" s="6" t="s">
        <v>2437</v>
      </c>
    </row>
    <row r="180" spans="1:10" ht="13.95" customHeight="1" x14ac:dyDescent="0.3">
      <c r="A180" s="3">
        <v>45858</v>
      </c>
      <c r="B180" s="19" t="s">
        <v>2476</v>
      </c>
      <c r="C180" s="19" t="s">
        <v>16</v>
      </c>
      <c r="D180" s="19" t="s">
        <v>14</v>
      </c>
      <c r="E180" s="4">
        <v>1</v>
      </c>
      <c r="F180" s="42">
        <v>3.75</v>
      </c>
      <c r="G180" s="45">
        <v>380</v>
      </c>
      <c r="H180" s="22">
        <v>2.2999999999999998</v>
      </c>
      <c r="I180" s="6">
        <f t="shared" si="3"/>
        <v>3277.4999999999995</v>
      </c>
      <c r="J180" s="6" t="s">
        <v>159</v>
      </c>
    </row>
    <row r="181" spans="1:10" ht="13.95" customHeight="1" x14ac:dyDescent="0.3">
      <c r="A181" s="3">
        <v>45859</v>
      </c>
      <c r="B181" s="19" t="s">
        <v>2476</v>
      </c>
      <c r="C181" s="19" t="s">
        <v>18</v>
      </c>
      <c r="D181" s="19" t="s">
        <v>1340</v>
      </c>
      <c r="E181" s="4">
        <v>0.98</v>
      </c>
      <c r="F181" s="42">
        <v>2.8</v>
      </c>
      <c r="G181" s="45">
        <v>380</v>
      </c>
      <c r="H181" s="22">
        <v>2.2999999999999998</v>
      </c>
      <c r="I181" s="6">
        <f t="shared" si="3"/>
        <v>2398.2559999999994</v>
      </c>
      <c r="J181" s="6" t="s">
        <v>88</v>
      </c>
    </row>
    <row r="182" spans="1:10" ht="13.95" customHeight="1" x14ac:dyDescent="0.3">
      <c r="A182" s="3">
        <v>45860</v>
      </c>
      <c r="B182" s="19" t="s">
        <v>2476</v>
      </c>
      <c r="C182" s="19" t="s">
        <v>20</v>
      </c>
      <c r="D182" s="19" t="s">
        <v>1340</v>
      </c>
      <c r="E182" s="4">
        <v>0.98</v>
      </c>
      <c r="F182" s="42">
        <v>2.8</v>
      </c>
      <c r="G182" s="45">
        <v>380</v>
      </c>
      <c r="H182" s="22">
        <v>2.2999999999999998</v>
      </c>
      <c r="I182" s="6">
        <f t="shared" si="3"/>
        <v>2398.2559999999994</v>
      </c>
      <c r="J182" s="6" t="s">
        <v>88</v>
      </c>
    </row>
    <row r="183" spans="1:10" ht="13.95" customHeight="1" x14ac:dyDescent="0.3">
      <c r="A183" s="3">
        <v>45861</v>
      </c>
      <c r="B183" s="19" t="s">
        <v>2476</v>
      </c>
      <c r="C183" s="19" t="s">
        <v>5</v>
      </c>
      <c r="D183" s="19" t="s">
        <v>1340</v>
      </c>
      <c r="E183" s="4">
        <v>0.98</v>
      </c>
      <c r="F183" s="42">
        <v>2.85</v>
      </c>
      <c r="G183" s="45">
        <v>380</v>
      </c>
      <c r="H183" s="22">
        <v>2.2999999999999998</v>
      </c>
      <c r="I183" s="6">
        <f t="shared" si="3"/>
        <v>2441.0819999999994</v>
      </c>
      <c r="J183" s="6" t="s">
        <v>88</v>
      </c>
    </row>
    <row r="184" spans="1:10" ht="13.95" customHeight="1" x14ac:dyDescent="0.3">
      <c r="A184" s="3">
        <v>45862</v>
      </c>
      <c r="B184" s="19" t="s">
        <v>2476</v>
      </c>
      <c r="C184" s="19" t="s">
        <v>8</v>
      </c>
      <c r="D184" s="19" t="s">
        <v>994</v>
      </c>
      <c r="E184" s="4">
        <v>1</v>
      </c>
      <c r="F184" s="42">
        <v>3.15</v>
      </c>
      <c r="G184" s="45">
        <v>380</v>
      </c>
      <c r="H184" s="22">
        <v>2.2999999999999998</v>
      </c>
      <c r="I184" s="6">
        <f t="shared" si="3"/>
        <v>2753.1</v>
      </c>
      <c r="J184" s="6" t="s">
        <v>1821</v>
      </c>
    </row>
    <row r="185" spans="1:10" ht="13.95" customHeight="1" x14ac:dyDescent="0.3">
      <c r="A185" s="3">
        <v>45863</v>
      </c>
      <c r="B185" s="19" t="s">
        <v>2476</v>
      </c>
      <c r="C185" s="19" t="s">
        <v>11</v>
      </c>
      <c r="D185" s="19" t="s">
        <v>1010</v>
      </c>
      <c r="E185" s="4">
        <v>1</v>
      </c>
      <c r="F185" s="42">
        <v>4.3499999999999996</v>
      </c>
      <c r="G185" s="45">
        <v>380</v>
      </c>
      <c r="H185" s="22">
        <v>2.2999999999999998</v>
      </c>
      <c r="I185" s="6">
        <f t="shared" si="3"/>
        <v>3801.8999999999992</v>
      </c>
      <c r="J185" s="6" t="s">
        <v>2253</v>
      </c>
    </row>
    <row r="186" spans="1:10" ht="13.95" customHeight="1" x14ac:dyDescent="0.3">
      <c r="A186" s="3">
        <v>45864</v>
      </c>
      <c r="B186" s="19" t="s">
        <v>2476</v>
      </c>
      <c r="C186" s="19" t="s">
        <v>13</v>
      </c>
      <c r="D186" s="19" t="s">
        <v>14</v>
      </c>
      <c r="E186" s="4">
        <v>1</v>
      </c>
      <c r="F186" s="42">
        <v>4</v>
      </c>
      <c r="G186" s="45">
        <v>380</v>
      </c>
      <c r="H186" s="22">
        <v>2.2999999999999998</v>
      </c>
      <c r="I186" s="6">
        <f t="shared" si="3"/>
        <v>3495.9999999999995</v>
      </c>
      <c r="J186" s="6" t="s">
        <v>282</v>
      </c>
    </row>
    <row r="187" spans="1:10" ht="13.95" customHeight="1" x14ac:dyDescent="0.3">
      <c r="A187" s="3">
        <v>45865</v>
      </c>
      <c r="B187" s="19" t="s">
        <v>2476</v>
      </c>
      <c r="C187" s="19" t="s">
        <v>16</v>
      </c>
      <c r="D187" s="19" t="s">
        <v>14</v>
      </c>
      <c r="E187" s="4">
        <v>1</v>
      </c>
      <c r="F187" s="42">
        <v>3.65</v>
      </c>
      <c r="G187" s="45">
        <v>380</v>
      </c>
      <c r="H187" s="22">
        <v>2.2999999999999998</v>
      </c>
      <c r="I187" s="6">
        <f t="shared" si="3"/>
        <v>3190.1</v>
      </c>
      <c r="J187" s="6" t="s">
        <v>2438</v>
      </c>
    </row>
    <row r="188" spans="1:10" ht="13.95" customHeight="1" x14ac:dyDescent="0.3">
      <c r="A188" s="3">
        <v>45866</v>
      </c>
      <c r="B188" s="19" t="s">
        <v>2476</v>
      </c>
      <c r="C188" s="19" t="s">
        <v>18</v>
      </c>
      <c r="D188" s="19" t="s">
        <v>1340</v>
      </c>
      <c r="E188" s="4">
        <v>0.98</v>
      </c>
      <c r="F188" s="42">
        <v>2.8</v>
      </c>
      <c r="G188" s="45">
        <v>380</v>
      </c>
      <c r="H188" s="22">
        <v>2.2999999999999998</v>
      </c>
      <c r="I188" s="6">
        <f t="shared" si="3"/>
        <v>2398.2559999999994</v>
      </c>
      <c r="J188" s="6" t="s">
        <v>88</v>
      </c>
    </row>
    <row r="189" spans="1:10" ht="13.95" customHeight="1" x14ac:dyDescent="0.3">
      <c r="A189" s="3">
        <v>45867</v>
      </c>
      <c r="B189" s="19" t="s">
        <v>2476</v>
      </c>
      <c r="C189" s="19" t="s">
        <v>20</v>
      </c>
      <c r="D189" s="19" t="s">
        <v>1340</v>
      </c>
      <c r="E189" s="4">
        <v>0.98</v>
      </c>
      <c r="F189" s="42">
        <v>2.8</v>
      </c>
      <c r="G189" s="45">
        <v>380</v>
      </c>
      <c r="H189" s="22">
        <v>2.2999999999999998</v>
      </c>
      <c r="I189" s="6">
        <f t="shared" si="3"/>
        <v>2398.2559999999994</v>
      </c>
      <c r="J189" s="6" t="s">
        <v>88</v>
      </c>
    </row>
    <row r="190" spans="1:10" ht="13.95" customHeight="1" x14ac:dyDescent="0.3">
      <c r="A190" s="3">
        <v>45868</v>
      </c>
      <c r="B190" s="19" t="s">
        <v>2476</v>
      </c>
      <c r="C190" s="19" t="s">
        <v>5</v>
      </c>
      <c r="D190" s="19" t="s">
        <v>1340</v>
      </c>
      <c r="E190" s="4">
        <v>1</v>
      </c>
      <c r="F190" s="42">
        <v>2.85</v>
      </c>
      <c r="G190" s="45">
        <v>380</v>
      </c>
      <c r="H190" s="22">
        <v>2.2999999999999998</v>
      </c>
      <c r="I190" s="6">
        <f t="shared" si="3"/>
        <v>2490.8999999999996</v>
      </c>
      <c r="J190" s="6" t="s">
        <v>88</v>
      </c>
    </row>
    <row r="191" spans="1:10" ht="13.95" customHeight="1" x14ac:dyDescent="0.3">
      <c r="A191" s="3">
        <v>45869</v>
      </c>
      <c r="B191" s="19" t="s">
        <v>2476</v>
      </c>
      <c r="C191" s="19" t="s">
        <v>8</v>
      </c>
      <c r="D191" s="19" t="s">
        <v>1340</v>
      </c>
      <c r="E191" s="4">
        <v>1</v>
      </c>
      <c r="F191" s="42">
        <v>2.9</v>
      </c>
      <c r="G191" s="45">
        <v>380</v>
      </c>
      <c r="H191" s="22">
        <v>2.2999999999999998</v>
      </c>
      <c r="I191" s="6">
        <f t="shared" si="3"/>
        <v>2534.6</v>
      </c>
      <c r="J191" s="6" t="s">
        <v>846</v>
      </c>
    </row>
    <row r="192" spans="1:10" ht="13.95" customHeight="1" x14ac:dyDescent="0.3">
      <c r="A192" s="3">
        <v>45870</v>
      </c>
      <c r="B192" s="19" t="s">
        <v>2476</v>
      </c>
      <c r="C192" s="19" t="s">
        <v>11</v>
      </c>
      <c r="D192" s="19" t="s">
        <v>2345</v>
      </c>
      <c r="E192" s="4">
        <v>1</v>
      </c>
      <c r="F192" s="42">
        <v>3.3</v>
      </c>
      <c r="G192" s="45">
        <v>380</v>
      </c>
      <c r="H192" s="22">
        <v>2.4</v>
      </c>
      <c r="I192" s="6">
        <f t="shared" si="3"/>
        <v>3009.6</v>
      </c>
      <c r="J192" s="6" t="s">
        <v>67</v>
      </c>
    </row>
    <row r="193" spans="1:10" ht="13.95" customHeight="1" x14ac:dyDescent="0.3">
      <c r="A193" s="3">
        <v>45871</v>
      </c>
      <c r="B193" s="19" t="s">
        <v>2476</v>
      </c>
      <c r="C193" s="19" t="s">
        <v>13</v>
      </c>
      <c r="D193" s="19" t="s">
        <v>14</v>
      </c>
      <c r="E193" s="4">
        <v>1</v>
      </c>
      <c r="F193" s="42">
        <v>4.2</v>
      </c>
      <c r="G193" s="45">
        <v>380</v>
      </c>
      <c r="H193" s="22">
        <v>2.4</v>
      </c>
      <c r="I193" s="6">
        <f t="shared" si="3"/>
        <v>3830.3999999999996</v>
      </c>
      <c r="J193" s="6" t="s">
        <v>2439</v>
      </c>
    </row>
    <row r="194" spans="1:10" ht="13.95" customHeight="1" x14ac:dyDescent="0.3">
      <c r="A194" s="3">
        <v>45872</v>
      </c>
      <c r="B194" s="19" t="s">
        <v>2476</v>
      </c>
      <c r="C194" s="19" t="s">
        <v>16</v>
      </c>
      <c r="D194" s="19" t="s">
        <v>14</v>
      </c>
      <c r="E194" s="4">
        <v>1</v>
      </c>
      <c r="F194" s="42">
        <v>3.75</v>
      </c>
      <c r="G194" s="45">
        <v>380</v>
      </c>
      <c r="H194" s="22">
        <v>2.4</v>
      </c>
      <c r="I194" s="6">
        <f t="shared" si="3"/>
        <v>3420</v>
      </c>
      <c r="J194" s="6" t="s">
        <v>2440</v>
      </c>
    </row>
    <row r="195" spans="1:10" ht="13.95" customHeight="1" x14ac:dyDescent="0.3">
      <c r="A195" s="3">
        <v>45873</v>
      </c>
      <c r="B195" s="19" t="s">
        <v>2476</v>
      </c>
      <c r="C195" s="19" t="s">
        <v>18</v>
      </c>
      <c r="D195" s="19" t="s">
        <v>2345</v>
      </c>
      <c r="E195" s="4">
        <v>1</v>
      </c>
      <c r="F195" s="42">
        <v>2.9</v>
      </c>
      <c r="G195" s="45">
        <v>380</v>
      </c>
      <c r="H195" s="22">
        <v>2.4</v>
      </c>
      <c r="I195" s="6">
        <f t="shared" si="3"/>
        <v>2644.7999999999997</v>
      </c>
      <c r="J195" s="6" t="s">
        <v>2441</v>
      </c>
    </row>
    <row r="196" spans="1:10" ht="13.95" customHeight="1" x14ac:dyDescent="0.3">
      <c r="A196" s="3">
        <v>45874</v>
      </c>
      <c r="B196" s="19" t="s">
        <v>2476</v>
      </c>
      <c r="C196" s="19" t="s">
        <v>20</v>
      </c>
      <c r="D196" s="19" t="s">
        <v>2345</v>
      </c>
      <c r="E196" s="4">
        <v>1</v>
      </c>
      <c r="F196" s="42">
        <v>2.9</v>
      </c>
      <c r="G196" s="45">
        <v>380</v>
      </c>
      <c r="H196" s="22">
        <v>2.4</v>
      </c>
      <c r="I196" s="6">
        <f t="shared" si="3"/>
        <v>2644.7999999999997</v>
      </c>
      <c r="J196" s="6" t="s">
        <v>2441</v>
      </c>
    </row>
    <row r="197" spans="1:10" ht="13.95" customHeight="1" x14ac:dyDescent="0.3">
      <c r="A197" s="3">
        <v>45875</v>
      </c>
      <c r="B197" s="19" t="s">
        <v>2476</v>
      </c>
      <c r="C197" s="19" t="s">
        <v>5</v>
      </c>
      <c r="D197" s="19" t="s">
        <v>2345</v>
      </c>
      <c r="E197" s="4">
        <v>1</v>
      </c>
      <c r="F197" s="42">
        <v>2.95</v>
      </c>
      <c r="G197" s="45">
        <v>380</v>
      </c>
      <c r="H197" s="22">
        <v>2.4</v>
      </c>
      <c r="I197" s="6">
        <f t="shared" si="3"/>
        <v>2690.4</v>
      </c>
      <c r="J197" s="6" t="s">
        <v>2442</v>
      </c>
    </row>
    <row r="198" spans="1:10" ht="13.95" customHeight="1" x14ac:dyDescent="0.3">
      <c r="A198" s="3">
        <v>45876</v>
      </c>
      <c r="B198" s="19" t="s">
        <v>2476</v>
      </c>
      <c r="C198" s="19" t="s">
        <v>8</v>
      </c>
      <c r="D198" s="19" t="s">
        <v>2345</v>
      </c>
      <c r="E198" s="4">
        <v>1</v>
      </c>
      <c r="F198" s="42">
        <v>3</v>
      </c>
      <c r="G198" s="45">
        <v>380</v>
      </c>
      <c r="H198" s="22">
        <v>2.4</v>
      </c>
      <c r="I198" s="6">
        <f t="shared" ref="I198:I261" si="4">(G198*E198)*F198*H198</f>
        <v>2736</v>
      </c>
      <c r="J198" s="6" t="s">
        <v>2442</v>
      </c>
    </row>
    <row r="199" spans="1:10" ht="13.95" customHeight="1" x14ac:dyDescent="0.3">
      <c r="A199" s="3">
        <v>45877</v>
      </c>
      <c r="B199" s="19" t="s">
        <v>2476</v>
      </c>
      <c r="C199" s="19" t="s">
        <v>11</v>
      </c>
      <c r="D199" s="19" t="s">
        <v>14</v>
      </c>
      <c r="E199" s="4">
        <v>1</v>
      </c>
      <c r="F199" s="42">
        <v>3.4</v>
      </c>
      <c r="G199" s="45">
        <v>380</v>
      </c>
      <c r="H199" s="22">
        <v>2.4</v>
      </c>
      <c r="I199" s="6">
        <f t="shared" si="4"/>
        <v>3100.7999999999997</v>
      </c>
      <c r="J199" s="6" t="s">
        <v>2342</v>
      </c>
    </row>
    <row r="200" spans="1:10" ht="13.95" customHeight="1" x14ac:dyDescent="0.3">
      <c r="A200" s="3">
        <v>45878</v>
      </c>
      <c r="B200" s="19" t="s">
        <v>2476</v>
      </c>
      <c r="C200" s="19" t="s">
        <v>13</v>
      </c>
      <c r="D200" s="19" t="s">
        <v>14</v>
      </c>
      <c r="E200" s="4">
        <v>1</v>
      </c>
      <c r="F200" s="42">
        <v>4.3</v>
      </c>
      <c r="G200" s="45">
        <v>380</v>
      </c>
      <c r="H200" s="22">
        <v>2.4</v>
      </c>
      <c r="I200" s="6">
        <f t="shared" si="4"/>
        <v>3921.6</v>
      </c>
      <c r="J200" s="6" t="s">
        <v>2404</v>
      </c>
    </row>
    <row r="201" spans="1:10" ht="13.95" customHeight="1" x14ac:dyDescent="0.3">
      <c r="A201" s="3">
        <v>45879</v>
      </c>
      <c r="B201" s="19" t="s">
        <v>2476</v>
      </c>
      <c r="C201" s="19" t="s">
        <v>16</v>
      </c>
      <c r="D201" s="19" t="s">
        <v>14</v>
      </c>
      <c r="E201" s="4">
        <v>1</v>
      </c>
      <c r="F201" s="42">
        <v>3.8</v>
      </c>
      <c r="G201" s="45">
        <v>380</v>
      </c>
      <c r="H201" s="22">
        <v>2.4</v>
      </c>
      <c r="I201" s="6">
        <f t="shared" si="4"/>
        <v>3465.6</v>
      </c>
      <c r="J201" s="6" t="s">
        <v>2443</v>
      </c>
    </row>
    <row r="202" spans="1:10" ht="13.95" customHeight="1" x14ac:dyDescent="0.3">
      <c r="A202" s="3">
        <v>45880</v>
      </c>
      <c r="B202" s="19" t="s">
        <v>2476</v>
      </c>
      <c r="C202" s="19" t="s">
        <v>18</v>
      </c>
      <c r="D202" s="19" t="s">
        <v>2345</v>
      </c>
      <c r="E202" s="4">
        <v>1</v>
      </c>
      <c r="F202" s="42">
        <v>2.95</v>
      </c>
      <c r="G202" s="45">
        <v>380</v>
      </c>
      <c r="H202" s="22">
        <v>2.4</v>
      </c>
      <c r="I202" s="6">
        <f t="shared" si="4"/>
        <v>2690.4</v>
      </c>
      <c r="J202" s="6" t="s">
        <v>88</v>
      </c>
    </row>
    <row r="203" spans="1:10" ht="13.95" customHeight="1" x14ac:dyDescent="0.3">
      <c r="A203" s="3">
        <v>45881</v>
      </c>
      <c r="B203" s="19" t="s">
        <v>2476</v>
      </c>
      <c r="C203" s="19" t="s">
        <v>20</v>
      </c>
      <c r="D203" s="19" t="s">
        <v>994</v>
      </c>
      <c r="E203" s="4">
        <v>1</v>
      </c>
      <c r="F203" s="42">
        <v>3.25</v>
      </c>
      <c r="G203" s="45">
        <v>380</v>
      </c>
      <c r="H203" s="22">
        <v>2.4</v>
      </c>
      <c r="I203" s="6">
        <f t="shared" si="4"/>
        <v>2964</v>
      </c>
      <c r="J203" s="6" t="s">
        <v>1722</v>
      </c>
    </row>
    <row r="204" spans="1:10" ht="13.95" customHeight="1" x14ac:dyDescent="0.3">
      <c r="A204" s="3">
        <v>45882</v>
      </c>
      <c r="B204" s="19" t="s">
        <v>2476</v>
      </c>
      <c r="C204" s="19" t="s">
        <v>5</v>
      </c>
      <c r="D204" s="19" t="s">
        <v>850</v>
      </c>
      <c r="E204" s="4">
        <v>1</v>
      </c>
      <c r="F204" s="42">
        <v>4.45</v>
      </c>
      <c r="G204" s="45">
        <v>380</v>
      </c>
      <c r="H204" s="22">
        <v>2.4</v>
      </c>
      <c r="I204" s="6">
        <f t="shared" si="4"/>
        <v>4058.3999999999996</v>
      </c>
      <c r="J204" s="6" t="s">
        <v>2444</v>
      </c>
    </row>
    <row r="205" spans="1:10" ht="13.95" customHeight="1" x14ac:dyDescent="0.3">
      <c r="A205" s="3">
        <v>45883</v>
      </c>
      <c r="B205" s="19" t="s">
        <v>2476</v>
      </c>
      <c r="C205" s="19" t="s">
        <v>8</v>
      </c>
      <c r="D205" s="19" t="s">
        <v>2345</v>
      </c>
      <c r="E205" s="4">
        <v>1</v>
      </c>
      <c r="F205" s="42">
        <v>3.1</v>
      </c>
      <c r="G205" s="45">
        <v>380</v>
      </c>
      <c r="H205" s="22">
        <v>2.4</v>
      </c>
      <c r="I205" s="6">
        <f t="shared" si="4"/>
        <v>2827.2</v>
      </c>
      <c r="J205" s="6" t="s">
        <v>717</v>
      </c>
    </row>
    <row r="206" spans="1:10" ht="13.95" customHeight="1" x14ac:dyDescent="0.3">
      <c r="A206" s="3">
        <v>45884</v>
      </c>
      <c r="B206" s="19" t="s">
        <v>2476</v>
      </c>
      <c r="C206" s="19" t="s">
        <v>11</v>
      </c>
      <c r="D206" s="19" t="s">
        <v>2345</v>
      </c>
      <c r="E206" s="4">
        <v>1</v>
      </c>
      <c r="F206" s="42">
        <v>3.55</v>
      </c>
      <c r="G206" s="45">
        <v>380</v>
      </c>
      <c r="H206" s="22">
        <v>2.4</v>
      </c>
      <c r="I206" s="6">
        <f t="shared" si="4"/>
        <v>3237.6</v>
      </c>
      <c r="J206" s="6" t="s">
        <v>2445</v>
      </c>
    </row>
    <row r="207" spans="1:10" ht="13.95" customHeight="1" x14ac:dyDescent="0.3">
      <c r="A207" s="3">
        <v>45885</v>
      </c>
      <c r="B207" s="19" t="s">
        <v>2476</v>
      </c>
      <c r="C207" s="19" t="s">
        <v>13</v>
      </c>
      <c r="D207" s="19" t="s">
        <v>14</v>
      </c>
      <c r="E207" s="4">
        <v>1</v>
      </c>
      <c r="F207" s="42">
        <v>4.4000000000000004</v>
      </c>
      <c r="G207" s="45">
        <v>380</v>
      </c>
      <c r="H207" s="22">
        <v>2.4</v>
      </c>
      <c r="I207" s="6">
        <f t="shared" si="4"/>
        <v>4012.8</v>
      </c>
      <c r="J207" s="6" t="s">
        <v>2290</v>
      </c>
    </row>
    <row r="208" spans="1:10" ht="13.95" customHeight="1" x14ac:dyDescent="0.3">
      <c r="A208" s="3">
        <v>45886</v>
      </c>
      <c r="B208" s="19" t="s">
        <v>2476</v>
      </c>
      <c r="C208" s="19" t="s">
        <v>16</v>
      </c>
      <c r="D208" s="19" t="s">
        <v>14</v>
      </c>
      <c r="E208" s="4">
        <v>1</v>
      </c>
      <c r="F208" s="42">
        <v>3.85</v>
      </c>
      <c r="G208" s="45">
        <v>380</v>
      </c>
      <c r="H208" s="22">
        <v>2.4</v>
      </c>
      <c r="I208" s="6">
        <f t="shared" si="4"/>
        <v>3511.2</v>
      </c>
      <c r="J208" s="6" t="s">
        <v>238</v>
      </c>
    </row>
    <row r="209" spans="1:10" ht="13.95" customHeight="1" x14ac:dyDescent="0.3">
      <c r="A209" s="3">
        <v>45887</v>
      </c>
      <c r="B209" s="19" t="s">
        <v>2476</v>
      </c>
      <c r="C209" s="19" t="s">
        <v>18</v>
      </c>
      <c r="D209" s="19" t="s">
        <v>2345</v>
      </c>
      <c r="E209" s="4">
        <v>1</v>
      </c>
      <c r="F209" s="42">
        <v>3</v>
      </c>
      <c r="G209" s="45">
        <v>380</v>
      </c>
      <c r="H209" s="22">
        <v>2.4</v>
      </c>
      <c r="I209" s="6">
        <f t="shared" si="4"/>
        <v>2736</v>
      </c>
      <c r="J209" s="6" t="s">
        <v>88</v>
      </c>
    </row>
    <row r="210" spans="1:10" ht="13.95" customHeight="1" x14ac:dyDescent="0.3">
      <c r="A210" s="3">
        <v>45888</v>
      </c>
      <c r="B210" s="19" t="s">
        <v>2476</v>
      </c>
      <c r="C210" s="19" t="s">
        <v>20</v>
      </c>
      <c r="D210" s="19" t="s">
        <v>2345</v>
      </c>
      <c r="E210" s="4">
        <v>1</v>
      </c>
      <c r="F210" s="42">
        <v>3</v>
      </c>
      <c r="G210" s="45">
        <v>380</v>
      </c>
      <c r="H210" s="22">
        <v>2.4</v>
      </c>
      <c r="I210" s="6">
        <f t="shared" si="4"/>
        <v>2736</v>
      </c>
      <c r="J210" s="6" t="s">
        <v>88</v>
      </c>
    </row>
    <row r="211" spans="1:10" ht="13.95" customHeight="1" x14ac:dyDescent="0.3">
      <c r="A211" s="3">
        <v>45889</v>
      </c>
      <c r="B211" s="19" t="s">
        <v>2476</v>
      </c>
      <c r="C211" s="19" t="s">
        <v>5</v>
      </c>
      <c r="D211" s="19" t="s">
        <v>2345</v>
      </c>
      <c r="E211" s="4">
        <v>1</v>
      </c>
      <c r="F211" s="42">
        <v>3.05</v>
      </c>
      <c r="G211" s="45">
        <v>380</v>
      </c>
      <c r="H211" s="22">
        <v>2.4</v>
      </c>
      <c r="I211" s="6">
        <f t="shared" si="4"/>
        <v>2781.6</v>
      </c>
      <c r="J211" s="6" t="s">
        <v>2201</v>
      </c>
    </row>
    <row r="212" spans="1:10" ht="13.95" customHeight="1" x14ac:dyDescent="0.3">
      <c r="A212" s="3">
        <v>45890</v>
      </c>
      <c r="B212" s="19" t="s">
        <v>2476</v>
      </c>
      <c r="C212" s="19" t="s">
        <v>8</v>
      </c>
      <c r="D212" s="19" t="s">
        <v>2345</v>
      </c>
      <c r="E212" s="4">
        <v>1</v>
      </c>
      <c r="F212" s="42">
        <v>3.1</v>
      </c>
      <c r="G212" s="45">
        <v>380</v>
      </c>
      <c r="H212" s="22">
        <v>2.4</v>
      </c>
      <c r="I212" s="6">
        <f t="shared" si="4"/>
        <v>2827.2</v>
      </c>
      <c r="J212" s="6" t="s">
        <v>2201</v>
      </c>
    </row>
    <row r="213" spans="1:10" ht="13.95" customHeight="1" x14ac:dyDescent="0.3">
      <c r="A213" s="3">
        <v>45891</v>
      </c>
      <c r="B213" s="19" t="s">
        <v>2476</v>
      </c>
      <c r="C213" s="19" t="s">
        <v>11</v>
      </c>
      <c r="D213" s="19" t="s">
        <v>2345</v>
      </c>
      <c r="E213" s="4">
        <v>1</v>
      </c>
      <c r="F213" s="42">
        <v>3.5</v>
      </c>
      <c r="G213" s="45">
        <v>380</v>
      </c>
      <c r="H213" s="22">
        <v>2.4</v>
      </c>
      <c r="I213" s="6">
        <f t="shared" si="4"/>
        <v>3192</v>
      </c>
      <c r="J213" s="6" t="s">
        <v>67</v>
      </c>
    </row>
    <row r="214" spans="1:10" ht="13.95" customHeight="1" x14ac:dyDescent="0.3">
      <c r="A214" s="3">
        <v>45892</v>
      </c>
      <c r="B214" s="19" t="s">
        <v>2476</v>
      </c>
      <c r="C214" s="19" t="s">
        <v>13</v>
      </c>
      <c r="D214" s="19" t="s">
        <v>14</v>
      </c>
      <c r="E214" s="4">
        <v>1</v>
      </c>
      <c r="F214" s="42">
        <v>4.3499999999999996</v>
      </c>
      <c r="G214" s="45">
        <v>380</v>
      </c>
      <c r="H214" s="22">
        <v>2.4</v>
      </c>
      <c r="I214" s="6">
        <f t="shared" si="4"/>
        <v>3967.1999999999994</v>
      </c>
      <c r="J214" s="6" t="s">
        <v>2446</v>
      </c>
    </row>
    <row r="215" spans="1:10" ht="13.95" customHeight="1" x14ac:dyDescent="0.3">
      <c r="A215" s="3">
        <v>45893</v>
      </c>
      <c r="B215" s="19" t="s">
        <v>2476</v>
      </c>
      <c r="C215" s="19" t="s">
        <v>16</v>
      </c>
      <c r="D215" s="19" t="s">
        <v>14</v>
      </c>
      <c r="E215" s="4">
        <v>1</v>
      </c>
      <c r="F215" s="42">
        <v>3.8</v>
      </c>
      <c r="G215" s="45">
        <v>380</v>
      </c>
      <c r="H215" s="22">
        <v>2.4</v>
      </c>
      <c r="I215" s="6">
        <f t="shared" si="4"/>
        <v>3465.6</v>
      </c>
      <c r="J215" s="6" t="s">
        <v>69</v>
      </c>
    </row>
    <row r="216" spans="1:10" ht="13.95" customHeight="1" x14ac:dyDescent="0.3">
      <c r="A216" s="3">
        <v>45894</v>
      </c>
      <c r="B216" s="19" t="s">
        <v>2476</v>
      </c>
      <c r="C216" s="19" t="s">
        <v>18</v>
      </c>
      <c r="D216" s="19" t="s">
        <v>2345</v>
      </c>
      <c r="E216" s="4">
        <v>1</v>
      </c>
      <c r="F216" s="42">
        <v>2.95</v>
      </c>
      <c r="G216" s="45">
        <v>380</v>
      </c>
      <c r="H216" s="22">
        <v>2.4</v>
      </c>
      <c r="I216" s="6">
        <f t="shared" si="4"/>
        <v>2690.4</v>
      </c>
      <c r="J216" s="6" t="s">
        <v>2447</v>
      </c>
    </row>
    <row r="217" spans="1:10" ht="13.95" customHeight="1" x14ac:dyDescent="0.3">
      <c r="A217" s="3">
        <v>45895</v>
      </c>
      <c r="B217" s="19" t="s">
        <v>2476</v>
      </c>
      <c r="C217" s="19" t="s">
        <v>20</v>
      </c>
      <c r="D217" s="19" t="s">
        <v>2345</v>
      </c>
      <c r="E217" s="4">
        <v>1</v>
      </c>
      <c r="F217" s="42">
        <v>2.95</v>
      </c>
      <c r="G217" s="45">
        <v>380</v>
      </c>
      <c r="H217" s="22">
        <v>2.4</v>
      </c>
      <c r="I217" s="6">
        <f t="shared" si="4"/>
        <v>2690.4</v>
      </c>
      <c r="J217" s="6" t="s">
        <v>88</v>
      </c>
    </row>
    <row r="218" spans="1:10" ht="13.95" customHeight="1" x14ac:dyDescent="0.3">
      <c r="A218" s="3">
        <v>45896</v>
      </c>
      <c r="B218" s="19" t="s">
        <v>2476</v>
      </c>
      <c r="C218" s="19" t="s">
        <v>5</v>
      </c>
      <c r="D218" s="19" t="s">
        <v>2345</v>
      </c>
      <c r="E218" s="4">
        <v>1</v>
      </c>
      <c r="F218" s="42">
        <v>3</v>
      </c>
      <c r="G218" s="45">
        <v>380</v>
      </c>
      <c r="H218" s="22">
        <v>2.4</v>
      </c>
      <c r="I218" s="6">
        <f t="shared" si="4"/>
        <v>2736</v>
      </c>
      <c r="J218" s="6" t="s">
        <v>88</v>
      </c>
    </row>
    <row r="219" spans="1:10" ht="13.95" customHeight="1" x14ac:dyDescent="0.3">
      <c r="A219" s="3">
        <v>45897</v>
      </c>
      <c r="B219" s="19" t="s">
        <v>2476</v>
      </c>
      <c r="C219" s="19" t="s">
        <v>8</v>
      </c>
      <c r="D219" s="19" t="s">
        <v>2345</v>
      </c>
      <c r="E219" s="4">
        <v>1</v>
      </c>
      <c r="F219" s="42">
        <v>3.1</v>
      </c>
      <c r="G219" s="45">
        <v>380</v>
      </c>
      <c r="H219" s="22">
        <v>2.4</v>
      </c>
      <c r="I219" s="6">
        <f t="shared" si="4"/>
        <v>2827.2</v>
      </c>
      <c r="J219" s="6" t="s">
        <v>88</v>
      </c>
    </row>
    <row r="220" spans="1:10" ht="13.95" customHeight="1" x14ac:dyDescent="0.3">
      <c r="A220" s="3">
        <v>45898</v>
      </c>
      <c r="B220" s="19" t="s">
        <v>2476</v>
      </c>
      <c r="C220" s="19" t="s">
        <v>11</v>
      </c>
      <c r="D220" s="19" t="s">
        <v>2345</v>
      </c>
      <c r="E220" s="4">
        <v>1</v>
      </c>
      <c r="F220" s="42">
        <v>3.55</v>
      </c>
      <c r="G220" s="45">
        <v>380</v>
      </c>
      <c r="H220" s="22">
        <v>2.4</v>
      </c>
      <c r="I220" s="6">
        <f t="shared" si="4"/>
        <v>3237.6</v>
      </c>
      <c r="J220" s="6" t="s">
        <v>2448</v>
      </c>
    </row>
    <row r="221" spans="1:10" ht="13.95" customHeight="1" x14ac:dyDescent="0.3">
      <c r="A221" s="3">
        <v>45899</v>
      </c>
      <c r="B221" s="19" t="s">
        <v>2476</v>
      </c>
      <c r="C221" s="19" t="s">
        <v>13</v>
      </c>
      <c r="D221" s="19" t="s">
        <v>14</v>
      </c>
      <c r="E221" s="4">
        <v>1</v>
      </c>
      <c r="F221" s="42">
        <v>4.4000000000000004</v>
      </c>
      <c r="G221" s="45">
        <v>380</v>
      </c>
      <c r="H221" s="22">
        <v>2.4</v>
      </c>
      <c r="I221" s="6">
        <f t="shared" si="4"/>
        <v>4012.8</v>
      </c>
      <c r="J221" s="6" t="s">
        <v>2353</v>
      </c>
    </row>
    <row r="222" spans="1:10" ht="13.95" customHeight="1" x14ac:dyDescent="0.3">
      <c r="A222" s="3">
        <v>45900</v>
      </c>
      <c r="B222" s="19" t="s">
        <v>2476</v>
      </c>
      <c r="C222" s="19" t="s">
        <v>16</v>
      </c>
      <c r="D222" s="19" t="s">
        <v>14</v>
      </c>
      <c r="E222" s="4">
        <v>1</v>
      </c>
      <c r="F222" s="42">
        <v>3.85</v>
      </c>
      <c r="G222" s="45">
        <v>380</v>
      </c>
      <c r="H222" s="22">
        <v>2.4</v>
      </c>
      <c r="I222" s="6">
        <f t="shared" si="4"/>
        <v>3511.2</v>
      </c>
      <c r="J222" s="6" t="s">
        <v>490</v>
      </c>
    </row>
    <row r="223" spans="1:10" ht="13.95" customHeight="1" x14ac:dyDescent="0.3">
      <c r="A223" s="3">
        <v>45901</v>
      </c>
      <c r="B223" s="19" t="s">
        <v>2476</v>
      </c>
      <c r="C223" s="19" t="s">
        <v>18</v>
      </c>
      <c r="D223" s="19" t="s">
        <v>1545</v>
      </c>
      <c r="E223" s="4">
        <v>0.85</v>
      </c>
      <c r="F223" s="42">
        <v>2.75</v>
      </c>
      <c r="G223" s="45">
        <v>380</v>
      </c>
      <c r="H223" s="22">
        <v>2.1</v>
      </c>
      <c r="I223" s="6">
        <f t="shared" si="4"/>
        <v>1865.325</v>
      </c>
      <c r="J223" s="6" t="s">
        <v>2449</v>
      </c>
    </row>
    <row r="224" spans="1:10" ht="13.95" customHeight="1" x14ac:dyDescent="0.3">
      <c r="A224" s="3">
        <v>45902</v>
      </c>
      <c r="B224" s="19" t="s">
        <v>2476</v>
      </c>
      <c r="C224" s="19" t="s">
        <v>20</v>
      </c>
      <c r="D224" s="19" t="s">
        <v>44</v>
      </c>
      <c r="E224" s="4">
        <v>0.8</v>
      </c>
      <c r="F224" s="42">
        <v>2.6</v>
      </c>
      <c r="G224" s="45">
        <v>380</v>
      </c>
      <c r="H224" s="22">
        <v>2.1</v>
      </c>
      <c r="I224" s="6">
        <f t="shared" si="4"/>
        <v>1659.84</v>
      </c>
      <c r="J224" s="6" t="s">
        <v>460</v>
      </c>
    </row>
    <row r="225" spans="1:10" ht="13.95" customHeight="1" x14ac:dyDescent="0.3">
      <c r="A225" s="3">
        <v>45903</v>
      </c>
      <c r="B225" s="19" t="s">
        <v>2476</v>
      </c>
      <c r="C225" s="19" t="s">
        <v>5</v>
      </c>
      <c r="D225" s="19" t="s">
        <v>44</v>
      </c>
      <c r="E225" s="4">
        <v>0.8</v>
      </c>
      <c r="F225" s="42">
        <v>2.6</v>
      </c>
      <c r="G225" s="45">
        <v>380</v>
      </c>
      <c r="H225" s="22">
        <v>2.1</v>
      </c>
      <c r="I225" s="6">
        <f t="shared" si="4"/>
        <v>1659.84</v>
      </c>
      <c r="J225" s="6" t="s">
        <v>717</v>
      </c>
    </row>
    <row r="226" spans="1:10" ht="13.95" customHeight="1" x14ac:dyDescent="0.3">
      <c r="A226" s="3">
        <v>45904</v>
      </c>
      <c r="B226" s="19" t="s">
        <v>2476</v>
      </c>
      <c r="C226" s="19" t="s">
        <v>8</v>
      </c>
      <c r="D226" s="19" t="s">
        <v>44</v>
      </c>
      <c r="E226" s="4">
        <v>0.85</v>
      </c>
      <c r="F226" s="42">
        <v>2.65</v>
      </c>
      <c r="G226" s="45">
        <v>380</v>
      </c>
      <c r="H226" s="22">
        <v>2.1</v>
      </c>
      <c r="I226" s="6">
        <f t="shared" si="4"/>
        <v>1797.4949999999999</v>
      </c>
      <c r="J226" s="6" t="s">
        <v>717</v>
      </c>
    </row>
    <row r="227" spans="1:10" ht="13.95" customHeight="1" x14ac:dyDescent="0.3">
      <c r="A227" s="3">
        <v>45905</v>
      </c>
      <c r="B227" s="19" t="s">
        <v>2476</v>
      </c>
      <c r="C227" s="19" t="s">
        <v>11</v>
      </c>
      <c r="D227" s="19" t="s">
        <v>14</v>
      </c>
      <c r="E227" s="4">
        <v>0.9</v>
      </c>
      <c r="F227" s="42">
        <v>3.1</v>
      </c>
      <c r="G227" s="45">
        <v>380</v>
      </c>
      <c r="H227" s="22">
        <v>2.1</v>
      </c>
      <c r="I227" s="6">
        <f t="shared" si="4"/>
        <v>2226.42</v>
      </c>
      <c r="J227" s="6" t="s">
        <v>2450</v>
      </c>
    </row>
    <row r="228" spans="1:10" ht="13.95" customHeight="1" x14ac:dyDescent="0.3">
      <c r="A228" s="3">
        <v>45906</v>
      </c>
      <c r="B228" s="19" t="s">
        <v>2476</v>
      </c>
      <c r="C228" s="19" t="s">
        <v>13</v>
      </c>
      <c r="D228" s="19" t="s">
        <v>14</v>
      </c>
      <c r="E228" s="4">
        <v>0.95</v>
      </c>
      <c r="F228" s="42">
        <v>3.85</v>
      </c>
      <c r="G228" s="45">
        <v>380</v>
      </c>
      <c r="H228" s="22">
        <v>2.1</v>
      </c>
      <c r="I228" s="6">
        <f t="shared" si="4"/>
        <v>2918.6850000000004</v>
      </c>
      <c r="J228" s="6" t="s">
        <v>2451</v>
      </c>
    </row>
    <row r="229" spans="1:10" ht="13.95" customHeight="1" x14ac:dyDescent="0.3">
      <c r="A229" s="3">
        <v>45907</v>
      </c>
      <c r="B229" s="19" t="s">
        <v>2476</v>
      </c>
      <c r="C229" s="19" t="s">
        <v>16</v>
      </c>
      <c r="D229" s="19" t="s">
        <v>14</v>
      </c>
      <c r="E229" s="4">
        <v>0.9</v>
      </c>
      <c r="F229" s="42">
        <v>3.45</v>
      </c>
      <c r="G229" s="45">
        <v>380</v>
      </c>
      <c r="H229" s="22">
        <v>2.1</v>
      </c>
      <c r="I229" s="6">
        <f t="shared" si="4"/>
        <v>2477.7900000000004</v>
      </c>
      <c r="J229" s="6" t="s">
        <v>238</v>
      </c>
    </row>
    <row r="230" spans="1:10" ht="13.95" customHeight="1" x14ac:dyDescent="0.3">
      <c r="A230" s="3">
        <v>45908</v>
      </c>
      <c r="B230" s="19" t="s">
        <v>2476</v>
      </c>
      <c r="C230" s="19" t="s">
        <v>18</v>
      </c>
      <c r="D230" s="19" t="s">
        <v>2266</v>
      </c>
      <c r="E230" s="4">
        <v>0.75</v>
      </c>
      <c r="F230" s="42">
        <v>2.4500000000000002</v>
      </c>
      <c r="G230" s="45">
        <v>380</v>
      </c>
      <c r="H230" s="22">
        <v>2.1</v>
      </c>
      <c r="I230" s="6">
        <f t="shared" si="4"/>
        <v>1466.325</v>
      </c>
      <c r="J230" s="6" t="s">
        <v>2452</v>
      </c>
    </row>
    <row r="231" spans="1:10" ht="13.95" customHeight="1" x14ac:dyDescent="0.3">
      <c r="A231" s="3">
        <v>45909</v>
      </c>
      <c r="B231" s="19" t="s">
        <v>2476</v>
      </c>
      <c r="C231" s="19" t="s">
        <v>20</v>
      </c>
      <c r="D231" s="19" t="s">
        <v>2266</v>
      </c>
      <c r="E231" s="4">
        <v>0.75</v>
      </c>
      <c r="F231" s="42">
        <v>2.4</v>
      </c>
      <c r="G231" s="45">
        <v>380</v>
      </c>
      <c r="H231" s="22">
        <v>2.1</v>
      </c>
      <c r="I231" s="6">
        <f t="shared" si="4"/>
        <v>1436.4</v>
      </c>
      <c r="J231" s="6" t="s">
        <v>2452</v>
      </c>
    </row>
    <row r="232" spans="1:10" ht="13.95" customHeight="1" x14ac:dyDescent="0.3">
      <c r="A232" s="3">
        <v>45910</v>
      </c>
      <c r="B232" s="19" t="s">
        <v>2476</v>
      </c>
      <c r="C232" s="19" t="s">
        <v>5</v>
      </c>
      <c r="D232" s="19" t="s">
        <v>2266</v>
      </c>
      <c r="E232" s="4">
        <v>0.75</v>
      </c>
      <c r="F232" s="42">
        <v>2.4</v>
      </c>
      <c r="G232" s="45">
        <v>380</v>
      </c>
      <c r="H232" s="22">
        <v>2.1</v>
      </c>
      <c r="I232" s="6">
        <f t="shared" si="4"/>
        <v>1436.4</v>
      </c>
      <c r="J232" s="6" t="s">
        <v>88</v>
      </c>
    </row>
    <row r="233" spans="1:10" ht="13.95" customHeight="1" x14ac:dyDescent="0.3">
      <c r="A233" s="3">
        <v>45911</v>
      </c>
      <c r="B233" s="19" t="s">
        <v>2476</v>
      </c>
      <c r="C233" s="19" t="s">
        <v>8</v>
      </c>
      <c r="D233" s="19" t="s">
        <v>2266</v>
      </c>
      <c r="E233" s="4">
        <v>0.8</v>
      </c>
      <c r="F233" s="42">
        <v>2.4500000000000002</v>
      </c>
      <c r="G233" s="45">
        <v>380</v>
      </c>
      <c r="H233" s="22">
        <v>2.1</v>
      </c>
      <c r="I233" s="6">
        <f t="shared" si="4"/>
        <v>1564.0800000000002</v>
      </c>
      <c r="J233" s="6" t="s">
        <v>717</v>
      </c>
    </row>
    <row r="234" spans="1:10" ht="13.95" customHeight="1" x14ac:dyDescent="0.3">
      <c r="A234" s="3">
        <v>45912</v>
      </c>
      <c r="B234" s="19" t="s">
        <v>2476</v>
      </c>
      <c r="C234" s="19" t="s">
        <v>11</v>
      </c>
      <c r="D234" s="19" t="s">
        <v>14</v>
      </c>
      <c r="E234" s="4">
        <v>0.85</v>
      </c>
      <c r="F234" s="42">
        <v>3</v>
      </c>
      <c r="G234" s="45">
        <v>380</v>
      </c>
      <c r="H234" s="22">
        <v>2.1</v>
      </c>
      <c r="I234" s="6">
        <f t="shared" si="4"/>
        <v>2034.9</v>
      </c>
      <c r="J234" s="6" t="s">
        <v>97</v>
      </c>
    </row>
    <row r="235" spans="1:10" ht="13.95" customHeight="1" x14ac:dyDescent="0.3">
      <c r="A235" s="3">
        <v>45913</v>
      </c>
      <c r="B235" s="19" t="s">
        <v>2476</v>
      </c>
      <c r="C235" s="19" t="s">
        <v>13</v>
      </c>
      <c r="D235" s="19" t="s">
        <v>14</v>
      </c>
      <c r="E235" s="4">
        <v>0.9</v>
      </c>
      <c r="F235" s="42">
        <v>3.9</v>
      </c>
      <c r="G235" s="45">
        <v>380</v>
      </c>
      <c r="H235" s="22">
        <v>2.1</v>
      </c>
      <c r="I235" s="6">
        <f t="shared" si="4"/>
        <v>2800.98</v>
      </c>
      <c r="J235" s="6" t="s">
        <v>2412</v>
      </c>
    </row>
    <row r="236" spans="1:10" ht="13.95" customHeight="1" x14ac:dyDescent="0.3">
      <c r="A236" s="3">
        <v>45914</v>
      </c>
      <c r="B236" s="19" t="s">
        <v>2476</v>
      </c>
      <c r="C236" s="19" t="s">
        <v>16</v>
      </c>
      <c r="D236" s="19" t="s">
        <v>14</v>
      </c>
      <c r="E236" s="4">
        <v>0.85</v>
      </c>
      <c r="F236" s="42">
        <v>3.4</v>
      </c>
      <c r="G236" s="45">
        <v>380</v>
      </c>
      <c r="H236" s="22">
        <v>2.1</v>
      </c>
      <c r="I236" s="6">
        <f t="shared" si="4"/>
        <v>2306.2200000000003</v>
      </c>
      <c r="J236" s="6" t="s">
        <v>2406</v>
      </c>
    </row>
    <row r="237" spans="1:10" ht="13.95" customHeight="1" x14ac:dyDescent="0.3">
      <c r="A237" s="3">
        <v>45915</v>
      </c>
      <c r="B237" s="19" t="s">
        <v>2476</v>
      </c>
      <c r="C237" s="19" t="s">
        <v>18</v>
      </c>
      <c r="D237" s="19" t="s">
        <v>2266</v>
      </c>
      <c r="E237" s="4">
        <v>0.7</v>
      </c>
      <c r="F237" s="42">
        <v>2.4</v>
      </c>
      <c r="G237" s="45">
        <v>380</v>
      </c>
      <c r="H237" s="22">
        <v>2.1</v>
      </c>
      <c r="I237" s="6">
        <f t="shared" si="4"/>
        <v>1340.64</v>
      </c>
      <c r="J237" s="6" t="s">
        <v>150</v>
      </c>
    </row>
    <row r="238" spans="1:10" ht="13.95" customHeight="1" x14ac:dyDescent="0.3">
      <c r="A238" s="3">
        <v>45916</v>
      </c>
      <c r="B238" s="19" t="s">
        <v>2476</v>
      </c>
      <c r="C238" s="19" t="s">
        <v>20</v>
      </c>
      <c r="D238" s="19" t="s">
        <v>2266</v>
      </c>
      <c r="E238" s="4">
        <v>0.7</v>
      </c>
      <c r="F238" s="42">
        <v>2.4</v>
      </c>
      <c r="G238" s="45">
        <v>380</v>
      </c>
      <c r="H238" s="22">
        <v>2.1</v>
      </c>
      <c r="I238" s="6">
        <f t="shared" si="4"/>
        <v>1340.64</v>
      </c>
      <c r="J238" s="6" t="s">
        <v>150</v>
      </c>
    </row>
    <row r="239" spans="1:10" ht="13.95" customHeight="1" x14ac:dyDescent="0.3">
      <c r="A239" s="3">
        <v>45917</v>
      </c>
      <c r="B239" s="19" t="s">
        <v>2476</v>
      </c>
      <c r="C239" s="19" t="s">
        <v>5</v>
      </c>
      <c r="D239" s="19" t="s">
        <v>2266</v>
      </c>
      <c r="E239" s="4">
        <v>0.75</v>
      </c>
      <c r="F239" s="42">
        <v>2.4500000000000002</v>
      </c>
      <c r="G239" s="45">
        <v>380</v>
      </c>
      <c r="H239" s="22">
        <v>2.1</v>
      </c>
      <c r="I239" s="6">
        <f t="shared" si="4"/>
        <v>1466.325</v>
      </c>
      <c r="J239" s="6" t="s">
        <v>88</v>
      </c>
    </row>
    <row r="240" spans="1:10" ht="13.95" customHeight="1" x14ac:dyDescent="0.3">
      <c r="A240" s="3">
        <v>45918</v>
      </c>
      <c r="B240" s="19" t="s">
        <v>2476</v>
      </c>
      <c r="C240" s="19" t="s">
        <v>8</v>
      </c>
      <c r="D240" s="19" t="s">
        <v>2266</v>
      </c>
      <c r="E240" s="4">
        <v>0.75</v>
      </c>
      <c r="F240" s="42">
        <v>2.5</v>
      </c>
      <c r="G240" s="45">
        <v>380</v>
      </c>
      <c r="H240" s="22">
        <v>2.1</v>
      </c>
      <c r="I240" s="6">
        <f t="shared" si="4"/>
        <v>1496.25</v>
      </c>
      <c r="J240" s="6" t="s">
        <v>88</v>
      </c>
    </row>
    <row r="241" spans="1:10" ht="13.95" customHeight="1" x14ac:dyDescent="0.3">
      <c r="A241" s="3">
        <v>45919</v>
      </c>
      <c r="B241" s="19" t="s">
        <v>2476</v>
      </c>
      <c r="C241" s="19" t="s">
        <v>11</v>
      </c>
      <c r="D241" s="19" t="s">
        <v>14</v>
      </c>
      <c r="E241" s="4">
        <v>0.85</v>
      </c>
      <c r="F241" s="42">
        <v>2.9</v>
      </c>
      <c r="G241" s="45">
        <v>380</v>
      </c>
      <c r="H241" s="22">
        <v>2.1</v>
      </c>
      <c r="I241" s="6">
        <f t="shared" si="4"/>
        <v>1967.07</v>
      </c>
      <c r="J241" s="6" t="s">
        <v>282</v>
      </c>
    </row>
    <row r="242" spans="1:10" ht="13.95" customHeight="1" x14ac:dyDescent="0.3">
      <c r="A242" s="3">
        <v>45920</v>
      </c>
      <c r="B242" s="19" t="s">
        <v>2476</v>
      </c>
      <c r="C242" s="19" t="s">
        <v>13</v>
      </c>
      <c r="D242" s="19" t="s">
        <v>14</v>
      </c>
      <c r="E242" s="4">
        <v>0.9</v>
      </c>
      <c r="F242" s="42">
        <v>3.8</v>
      </c>
      <c r="G242" s="45">
        <v>380</v>
      </c>
      <c r="H242" s="22">
        <v>2.1</v>
      </c>
      <c r="I242" s="6">
        <f t="shared" si="4"/>
        <v>2729.16</v>
      </c>
      <c r="J242" s="6" t="s">
        <v>2290</v>
      </c>
    </row>
    <row r="243" spans="1:10" ht="13.95" customHeight="1" x14ac:dyDescent="0.3">
      <c r="A243" s="3">
        <v>45921</v>
      </c>
      <c r="B243" s="19" t="s">
        <v>2476</v>
      </c>
      <c r="C243" s="19" t="s">
        <v>16</v>
      </c>
      <c r="D243" s="19" t="s">
        <v>14</v>
      </c>
      <c r="E243" s="4">
        <v>0.85</v>
      </c>
      <c r="F243" s="42">
        <v>3.4</v>
      </c>
      <c r="G243" s="45">
        <v>380</v>
      </c>
      <c r="H243" s="22">
        <v>2.1</v>
      </c>
      <c r="I243" s="6">
        <f t="shared" si="4"/>
        <v>2306.2200000000003</v>
      </c>
      <c r="J243" s="6" t="s">
        <v>69</v>
      </c>
    </row>
    <row r="244" spans="1:10" ht="13.95" customHeight="1" x14ac:dyDescent="0.3">
      <c r="A244" s="3">
        <v>45922</v>
      </c>
      <c r="B244" s="19" t="s">
        <v>2476</v>
      </c>
      <c r="C244" s="19" t="s">
        <v>18</v>
      </c>
      <c r="D244" s="19" t="s">
        <v>2266</v>
      </c>
      <c r="E244" s="4">
        <v>0.7</v>
      </c>
      <c r="F244" s="42">
        <v>2.4</v>
      </c>
      <c r="G244" s="45">
        <v>380</v>
      </c>
      <c r="H244" s="22">
        <v>2.1</v>
      </c>
      <c r="I244" s="6">
        <f t="shared" si="4"/>
        <v>1340.64</v>
      </c>
      <c r="J244" s="6" t="s">
        <v>88</v>
      </c>
    </row>
    <row r="245" spans="1:10" ht="13.95" customHeight="1" x14ac:dyDescent="0.3">
      <c r="A245" s="3">
        <v>45923</v>
      </c>
      <c r="B245" s="19" t="s">
        <v>2476</v>
      </c>
      <c r="C245" s="19" t="s">
        <v>20</v>
      </c>
      <c r="D245" s="19" t="s">
        <v>2266</v>
      </c>
      <c r="E245" s="4">
        <v>0.7</v>
      </c>
      <c r="F245" s="42">
        <v>2.4</v>
      </c>
      <c r="G245" s="45">
        <v>380</v>
      </c>
      <c r="H245" s="22">
        <v>2.1</v>
      </c>
      <c r="I245" s="6">
        <f t="shared" si="4"/>
        <v>1340.64</v>
      </c>
      <c r="J245" s="6" t="s">
        <v>88</v>
      </c>
    </row>
    <row r="246" spans="1:10" ht="13.95" customHeight="1" x14ac:dyDescent="0.3">
      <c r="A246" s="3">
        <v>45924</v>
      </c>
      <c r="B246" s="19" t="s">
        <v>2476</v>
      </c>
      <c r="C246" s="19" t="s">
        <v>5</v>
      </c>
      <c r="D246" s="19" t="s">
        <v>2266</v>
      </c>
      <c r="E246" s="4">
        <v>0.7</v>
      </c>
      <c r="F246" s="42">
        <v>2.4500000000000002</v>
      </c>
      <c r="G246" s="45">
        <v>380</v>
      </c>
      <c r="H246" s="22">
        <v>2.1</v>
      </c>
      <c r="I246" s="6">
        <f t="shared" si="4"/>
        <v>1368.5700000000002</v>
      </c>
      <c r="J246" s="6" t="s">
        <v>88</v>
      </c>
    </row>
    <row r="247" spans="1:10" ht="13.95" customHeight="1" x14ac:dyDescent="0.3">
      <c r="A247" s="3">
        <v>45925</v>
      </c>
      <c r="B247" s="19" t="s">
        <v>2476</v>
      </c>
      <c r="C247" s="19" t="s">
        <v>8</v>
      </c>
      <c r="D247" s="19" t="s">
        <v>2266</v>
      </c>
      <c r="E247" s="4">
        <v>0.75</v>
      </c>
      <c r="F247" s="42">
        <v>2.5</v>
      </c>
      <c r="G247" s="45">
        <v>380</v>
      </c>
      <c r="H247" s="22">
        <v>2.1</v>
      </c>
      <c r="I247" s="6">
        <f t="shared" si="4"/>
        <v>1496.25</v>
      </c>
      <c r="J247" s="6" t="s">
        <v>88</v>
      </c>
    </row>
    <row r="248" spans="1:10" ht="13.95" customHeight="1" x14ac:dyDescent="0.3">
      <c r="A248" s="3">
        <v>45926</v>
      </c>
      <c r="B248" s="19" t="s">
        <v>2476</v>
      </c>
      <c r="C248" s="19" t="s">
        <v>11</v>
      </c>
      <c r="D248" s="19" t="s">
        <v>14</v>
      </c>
      <c r="E248" s="4">
        <v>0.8</v>
      </c>
      <c r="F248" s="42">
        <v>2.85</v>
      </c>
      <c r="G248" s="45">
        <v>380</v>
      </c>
      <c r="H248" s="22">
        <v>2.1</v>
      </c>
      <c r="I248" s="6">
        <f t="shared" si="4"/>
        <v>1819.44</v>
      </c>
      <c r="J248" s="6" t="s">
        <v>97</v>
      </c>
    </row>
    <row r="249" spans="1:10" ht="13.95" customHeight="1" x14ac:dyDescent="0.3">
      <c r="A249" s="3">
        <v>45927</v>
      </c>
      <c r="B249" s="19" t="s">
        <v>2476</v>
      </c>
      <c r="C249" s="19" t="s">
        <v>13</v>
      </c>
      <c r="D249" s="19" t="s">
        <v>14</v>
      </c>
      <c r="E249" s="4">
        <v>0.85</v>
      </c>
      <c r="F249" s="42">
        <v>3.75</v>
      </c>
      <c r="G249" s="45">
        <v>380</v>
      </c>
      <c r="H249" s="22">
        <v>2.1</v>
      </c>
      <c r="I249" s="6">
        <f t="shared" si="4"/>
        <v>2543.625</v>
      </c>
      <c r="J249" s="6" t="s">
        <v>2379</v>
      </c>
    </row>
    <row r="250" spans="1:10" ht="13.95" customHeight="1" x14ac:dyDescent="0.3">
      <c r="A250" s="3">
        <v>45928</v>
      </c>
      <c r="B250" s="19" t="s">
        <v>2476</v>
      </c>
      <c r="C250" s="19" t="s">
        <v>16</v>
      </c>
      <c r="D250" s="19" t="s">
        <v>14</v>
      </c>
      <c r="E250" s="4">
        <v>0.8</v>
      </c>
      <c r="F250" s="42">
        <v>3.35</v>
      </c>
      <c r="G250" s="45">
        <v>380</v>
      </c>
      <c r="H250" s="22">
        <v>2.1</v>
      </c>
      <c r="I250" s="6">
        <f t="shared" si="4"/>
        <v>2138.64</v>
      </c>
      <c r="J250" s="6" t="s">
        <v>490</v>
      </c>
    </row>
    <row r="251" spans="1:10" ht="13.95" customHeight="1" x14ac:dyDescent="0.3">
      <c r="A251" s="3">
        <v>45929</v>
      </c>
      <c r="B251" s="19" t="s">
        <v>2476</v>
      </c>
      <c r="C251" s="19" t="s">
        <v>18</v>
      </c>
      <c r="D251" s="19" t="s">
        <v>2266</v>
      </c>
      <c r="E251" s="4">
        <v>0.65</v>
      </c>
      <c r="F251" s="42">
        <v>2.4</v>
      </c>
      <c r="G251" s="45">
        <v>380</v>
      </c>
      <c r="H251" s="22">
        <v>2.1</v>
      </c>
      <c r="I251" s="6">
        <f t="shared" si="4"/>
        <v>1244.8799999999999</v>
      </c>
      <c r="J251" s="6" t="s">
        <v>755</v>
      </c>
    </row>
    <row r="252" spans="1:10" ht="13.95" customHeight="1" x14ac:dyDescent="0.3">
      <c r="A252" s="3">
        <v>45930</v>
      </c>
      <c r="B252" s="19" t="s">
        <v>2476</v>
      </c>
      <c r="C252" s="19" t="s">
        <v>20</v>
      </c>
      <c r="D252" s="19" t="s">
        <v>2266</v>
      </c>
      <c r="E252" s="4">
        <v>0.65</v>
      </c>
      <c r="F252" s="42">
        <v>2.4</v>
      </c>
      <c r="G252" s="45">
        <v>380</v>
      </c>
      <c r="H252" s="22">
        <v>2.1</v>
      </c>
      <c r="I252" s="6">
        <f t="shared" si="4"/>
        <v>1244.8799999999999</v>
      </c>
      <c r="J252" s="6" t="s">
        <v>755</v>
      </c>
    </row>
    <row r="253" spans="1:10" ht="13.95" customHeight="1" x14ac:dyDescent="0.3">
      <c r="A253" s="3">
        <v>45931</v>
      </c>
      <c r="B253" s="19" t="s">
        <v>2476</v>
      </c>
      <c r="C253" s="19" t="s">
        <v>5</v>
      </c>
      <c r="D253" s="19" t="s">
        <v>9</v>
      </c>
      <c r="E253" s="4">
        <v>0.65</v>
      </c>
      <c r="F253" s="42">
        <v>2.4</v>
      </c>
      <c r="G253" s="45">
        <v>380</v>
      </c>
      <c r="H253" s="22">
        <v>2.2000000000000002</v>
      </c>
      <c r="I253" s="6">
        <f t="shared" si="4"/>
        <v>1304.1600000000001</v>
      </c>
      <c r="J253" s="6" t="s">
        <v>2298</v>
      </c>
    </row>
    <row r="254" spans="1:10" ht="13.95" customHeight="1" x14ac:dyDescent="0.3">
      <c r="A254" s="3">
        <v>45932</v>
      </c>
      <c r="B254" s="19" t="s">
        <v>2476</v>
      </c>
      <c r="C254" s="19" t="s">
        <v>8</v>
      </c>
      <c r="D254" s="19" t="s">
        <v>9</v>
      </c>
      <c r="E254" s="4">
        <v>0.65</v>
      </c>
      <c r="F254" s="42">
        <v>2.4</v>
      </c>
      <c r="G254" s="45">
        <v>380</v>
      </c>
      <c r="H254" s="22">
        <v>2.2000000000000002</v>
      </c>
      <c r="I254" s="6">
        <f t="shared" si="4"/>
        <v>1304.1600000000001</v>
      </c>
      <c r="J254" s="6" t="s">
        <v>2298</v>
      </c>
    </row>
    <row r="255" spans="1:10" ht="13.95" customHeight="1" x14ac:dyDescent="0.3">
      <c r="A255" s="3">
        <v>45933</v>
      </c>
      <c r="B255" s="19" t="s">
        <v>2476</v>
      </c>
      <c r="C255" s="19" t="s">
        <v>11</v>
      </c>
      <c r="D255" s="19" t="s">
        <v>14</v>
      </c>
      <c r="E255" s="4">
        <v>0.75</v>
      </c>
      <c r="F255" s="42">
        <v>2.85</v>
      </c>
      <c r="G255" s="45">
        <v>380</v>
      </c>
      <c r="H255" s="22">
        <v>2.2000000000000002</v>
      </c>
      <c r="I255" s="6">
        <f t="shared" si="4"/>
        <v>1786.95</v>
      </c>
      <c r="J255" s="6" t="s">
        <v>282</v>
      </c>
    </row>
    <row r="256" spans="1:10" ht="13.95" customHeight="1" x14ac:dyDescent="0.3">
      <c r="A256" s="3">
        <v>45934</v>
      </c>
      <c r="B256" s="19" t="s">
        <v>2476</v>
      </c>
      <c r="C256" s="19" t="s">
        <v>13</v>
      </c>
      <c r="D256" s="19" t="s">
        <v>14</v>
      </c>
      <c r="E256" s="4">
        <v>0.8</v>
      </c>
      <c r="F256" s="42">
        <v>3.65</v>
      </c>
      <c r="G256" s="45">
        <v>380</v>
      </c>
      <c r="H256" s="22">
        <v>2.2000000000000002</v>
      </c>
      <c r="I256" s="6">
        <f t="shared" si="4"/>
        <v>2441.12</v>
      </c>
      <c r="J256" s="6" t="s">
        <v>2453</v>
      </c>
    </row>
    <row r="257" spans="1:10" ht="13.95" customHeight="1" x14ac:dyDescent="0.3">
      <c r="A257" s="3">
        <v>45935</v>
      </c>
      <c r="B257" s="19" t="s">
        <v>2476</v>
      </c>
      <c r="C257" s="19" t="s">
        <v>16</v>
      </c>
      <c r="D257" s="19" t="s">
        <v>14</v>
      </c>
      <c r="E257" s="4">
        <v>0.75</v>
      </c>
      <c r="F257" s="42">
        <v>3.3</v>
      </c>
      <c r="G257" s="45">
        <v>380</v>
      </c>
      <c r="H257" s="22">
        <v>2.2000000000000002</v>
      </c>
      <c r="I257" s="6">
        <f t="shared" si="4"/>
        <v>2069.1000000000004</v>
      </c>
      <c r="J257" s="6" t="s">
        <v>238</v>
      </c>
    </row>
    <row r="258" spans="1:10" ht="13.95" customHeight="1" x14ac:dyDescent="0.3">
      <c r="A258" s="3">
        <v>45941</v>
      </c>
      <c r="B258" s="19" t="s">
        <v>2476</v>
      </c>
      <c r="C258" s="19" t="s">
        <v>13</v>
      </c>
      <c r="D258" s="19" t="s">
        <v>14</v>
      </c>
      <c r="E258" s="4">
        <v>0.85</v>
      </c>
      <c r="F258" s="42">
        <v>3.7</v>
      </c>
      <c r="G258" s="45">
        <v>380</v>
      </c>
      <c r="H258" s="22">
        <v>2.2000000000000002</v>
      </c>
      <c r="I258" s="6">
        <f t="shared" si="4"/>
        <v>2629.2200000000007</v>
      </c>
      <c r="J258" s="6" t="s">
        <v>2454</v>
      </c>
    </row>
    <row r="259" spans="1:10" ht="13.95" customHeight="1" x14ac:dyDescent="0.3">
      <c r="A259" s="3">
        <v>45942</v>
      </c>
      <c r="B259" s="19" t="s">
        <v>2476</v>
      </c>
      <c r="C259" s="19" t="s">
        <v>16</v>
      </c>
      <c r="D259" s="19" t="s">
        <v>14</v>
      </c>
      <c r="E259" s="4">
        <v>0.8</v>
      </c>
      <c r="F259" s="42">
        <v>3.35</v>
      </c>
      <c r="G259" s="45">
        <v>380</v>
      </c>
      <c r="H259" s="22">
        <v>2.2000000000000002</v>
      </c>
      <c r="I259" s="6">
        <f t="shared" si="4"/>
        <v>2240.48</v>
      </c>
      <c r="J259" s="6" t="s">
        <v>159</v>
      </c>
    </row>
    <row r="260" spans="1:10" ht="13.95" customHeight="1" x14ac:dyDescent="0.3">
      <c r="A260" s="3">
        <v>45945</v>
      </c>
      <c r="B260" s="19" t="s">
        <v>2476</v>
      </c>
      <c r="C260" s="19" t="s">
        <v>5</v>
      </c>
      <c r="D260" s="19" t="s">
        <v>865</v>
      </c>
      <c r="E260" s="4">
        <v>0.85</v>
      </c>
      <c r="F260" s="42">
        <v>3.4</v>
      </c>
      <c r="G260" s="45">
        <v>380</v>
      </c>
      <c r="H260" s="22">
        <v>2.2000000000000002</v>
      </c>
      <c r="I260" s="6">
        <f t="shared" si="4"/>
        <v>2416.0400000000004</v>
      </c>
      <c r="J260" s="6" t="s">
        <v>2398</v>
      </c>
    </row>
    <row r="261" spans="1:10" ht="13.95" customHeight="1" x14ac:dyDescent="0.3">
      <c r="A261" s="3">
        <v>45948</v>
      </c>
      <c r="B261" s="19" t="s">
        <v>2476</v>
      </c>
      <c r="C261" s="19" t="s">
        <v>13</v>
      </c>
      <c r="D261" s="19" t="s">
        <v>2367</v>
      </c>
      <c r="E261" s="4">
        <v>0.9</v>
      </c>
      <c r="F261" s="42">
        <v>3.8</v>
      </c>
      <c r="G261" s="45">
        <v>380</v>
      </c>
      <c r="H261" s="22">
        <v>2.2000000000000002</v>
      </c>
      <c r="I261" s="6">
        <f t="shared" si="4"/>
        <v>2859.12</v>
      </c>
      <c r="J261" s="6" t="s">
        <v>2455</v>
      </c>
    </row>
    <row r="262" spans="1:10" ht="13.95" customHeight="1" x14ac:dyDescent="0.3">
      <c r="A262" s="3">
        <v>45949</v>
      </c>
      <c r="B262" s="19" t="s">
        <v>2476</v>
      </c>
      <c r="C262" s="19" t="s">
        <v>16</v>
      </c>
      <c r="D262" s="19" t="s">
        <v>2367</v>
      </c>
      <c r="E262" s="4">
        <v>0.9</v>
      </c>
      <c r="F262" s="42">
        <v>3.5</v>
      </c>
      <c r="G262" s="45">
        <v>380</v>
      </c>
      <c r="H262" s="22">
        <v>2.2000000000000002</v>
      </c>
      <c r="I262" s="6">
        <f t="shared" ref="I262:I325" si="5">(G262*E262)*F262*H262</f>
        <v>2633.4</v>
      </c>
      <c r="J262" s="6" t="s">
        <v>2456</v>
      </c>
    </row>
    <row r="263" spans="1:10" ht="13.95" customHeight="1" x14ac:dyDescent="0.3">
      <c r="A263" s="3">
        <v>45950</v>
      </c>
      <c r="B263" s="19" t="s">
        <v>2476</v>
      </c>
      <c r="C263" s="19" t="s">
        <v>18</v>
      </c>
      <c r="D263" s="19" t="s">
        <v>2367</v>
      </c>
      <c r="E263" s="4">
        <v>0.85</v>
      </c>
      <c r="F263" s="42">
        <v>2.75</v>
      </c>
      <c r="G263" s="45">
        <v>380</v>
      </c>
      <c r="H263" s="22">
        <v>2.2000000000000002</v>
      </c>
      <c r="I263" s="6">
        <f t="shared" si="5"/>
        <v>1954.15</v>
      </c>
      <c r="J263" s="6" t="s">
        <v>1721</v>
      </c>
    </row>
    <row r="264" spans="1:10" ht="13.95" customHeight="1" x14ac:dyDescent="0.3">
      <c r="A264" s="3">
        <v>45951</v>
      </c>
      <c r="B264" s="19" t="s">
        <v>2476</v>
      </c>
      <c r="C264" s="19" t="s">
        <v>20</v>
      </c>
      <c r="D264" s="19" t="s">
        <v>2367</v>
      </c>
      <c r="E264" s="4">
        <v>0.85</v>
      </c>
      <c r="F264" s="42">
        <v>2.75</v>
      </c>
      <c r="G264" s="45">
        <v>380</v>
      </c>
      <c r="H264" s="22">
        <v>2.2000000000000002</v>
      </c>
      <c r="I264" s="6">
        <f t="shared" si="5"/>
        <v>1954.15</v>
      </c>
      <c r="J264" s="6" t="s">
        <v>1721</v>
      </c>
    </row>
    <row r="265" spans="1:10" ht="13.95" customHeight="1" x14ac:dyDescent="0.3">
      <c r="A265" s="3">
        <v>45952</v>
      </c>
      <c r="B265" s="19" t="s">
        <v>2476</v>
      </c>
      <c r="C265" s="19" t="s">
        <v>5</v>
      </c>
      <c r="D265" s="19" t="s">
        <v>2367</v>
      </c>
      <c r="E265" s="4">
        <v>0.9</v>
      </c>
      <c r="F265" s="42">
        <v>2.8</v>
      </c>
      <c r="G265" s="45">
        <v>380</v>
      </c>
      <c r="H265" s="22">
        <v>2.2000000000000002</v>
      </c>
      <c r="I265" s="6">
        <f t="shared" si="5"/>
        <v>2106.7199999999998</v>
      </c>
      <c r="J265" s="6" t="s">
        <v>1721</v>
      </c>
    </row>
    <row r="266" spans="1:10" ht="13.95" customHeight="1" x14ac:dyDescent="0.3">
      <c r="A266" s="3">
        <v>45953</v>
      </c>
      <c r="B266" s="19" t="s">
        <v>2476</v>
      </c>
      <c r="C266" s="19" t="s">
        <v>8</v>
      </c>
      <c r="D266" s="19" t="s">
        <v>2367</v>
      </c>
      <c r="E266" s="4">
        <v>0.9</v>
      </c>
      <c r="F266" s="42">
        <v>2.8</v>
      </c>
      <c r="G266" s="45">
        <v>380</v>
      </c>
      <c r="H266" s="22">
        <v>2.2000000000000002</v>
      </c>
      <c r="I266" s="6">
        <f t="shared" si="5"/>
        <v>2106.7199999999998</v>
      </c>
      <c r="J266" s="6" t="s">
        <v>1721</v>
      </c>
    </row>
    <row r="267" spans="1:10" ht="13.95" customHeight="1" x14ac:dyDescent="0.3">
      <c r="A267" s="3">
        <v>45954</v>
      </c>
      <c r="B267" s="19" t="s">
        <v>2476</v>
      </c>
      <c r="C267" s="19" t="s">
        <v>11</v>
      </c>
      <c r="D267" s="19" t="s">
        <v>2367</v>
      </c>
      <c r="E267" s="4">
        <v>0.95</v>
      </c>
      <c r="F267" s="42">
        <v>3.1</v>
      </c>
      <c r="G267" s="45">
        <v>380</v>
      </c>
      <c r="H267" s="22">
        <v>2.2000000000000002</v>
      </c>
      <c r="I267" s="6">
        <f t="shared" si="5"/>
        <v>2462.0200000000004</v>
      </c>
      <c r="J267" s="6" t="s">
        <v>1369</v>
      </c>
    </row>
    <row r="268" spans="1:10" ht="13.95" customHeight="1" x14ac:dyDescent="0.3">
      <c r="A268" s="3">
        <v>45955</v>
      </c>
      <c r="B268" s="19" t="s">
        <v>2476</v>
      </c>
      <c r="C268" s="19" t="s">
        <v>13</v>
      </c>
      <c r="D268" s="19" t="s">
        <v>2367</v>
      </c>
      <c r="E268" s="4">
        <v>1</v>
      </c>
      <c r="F268" s="42">
        <v>3.9</v>
      </c>
      <c r="G268" s="45">
        <v>380</v>
      </c>
      <c r="H268" s="22">
        <v>2.2000000000000002</v>
      </c>
      <c r="I268" s="6">
        <f t="shared" si="5"/>
        <v>3260.4</v>
      </c>
      <c r="J268" s="6" t="s">
        <v>2457</v>
      </c>
    </row>
    <row r="269" spans="1:10" ht="13.95" customHeight="1" x14ac:dyDescent="0.3">
      <c r="A269" s="3">
        <v>45956</v>
      </c>
      <c r="B269" s="19" t="s">
        <v>2476</v>
      </c>
      <c r="C269" s="19" t="s">
        <v>16</v>
      </c>
      <c r="D269" s="19" t="s">
        <v>2367</v>
      </c>
      <c r="E269" s="4">
        <v>1</v>
      </c>
      <c r="F269" s="42">
        <v>3.6</v>
      </c>
      <c r="G269" s="45">
        <v>380</v>
      </c>
      <c r="H269" s="22">
        <v>2.2000000000000002</v>
      </c>
      <c r="I269" s="6">
        <f t="shared" si="5"/>
        <v>3009.6000000000004</v>
      </c>
      <c r="J269" s="6" t="s">
        <v>2236</v>
      </c>
    </row>
    <row r="270" spans="1:10" ht="13.95" customHeight="1" x14ac:dyDescent="0.3">
      <c r="A270" s="3">
        <v>45957</v>
      </c>
      <c r="B270" s="19" t="s">
        <v>2476</v>
      </c>
      <c r="C270" s="19" t="s">
        <v>18</v>
      </c>
      <c r="D270" s="19" t="s">
        <v>2367</v>
      </c>
      <c r="E270" s="4">
        <v>0.9</v>
      </c>
      <c r="F270" s="42">
        <v>2.8</v>
      </c>
      <c r="G270" s="45">
        <v>380</v>
      </c>
      <c r="H270" s="22">
        <v>2.2000000000000002</v>
      </c>
      <c r="I270" s="6">
        <f t="shared" si="5"/>
        <v>2106.7199999999998</v>
      </c>
      <c r="J270" s="6" t="s">
        <v>2458</v>
      </c>
    </row>
    <row r="271" spans="1:10" ht="13.95" customHeight="1" x14ac:dyDescent="0.3">
      <c r="A271" s="3">
        <v>45961</v>
      </c>
      <c r="B271" s="19" t="s">
        <v>2476</v>
      </c>
      <c r="C271" s="19" t="s">
        <v>11</v>
      </c>
      <c r="D271" s="19" t="s">
        <v>867</v>
      </c>
      <c r="E271" s="4">
        <v>0.95</v>
      </c>
      <c r="F271" s="42">
        <v>3.45</v>
      </c>
      <c r="G271" s="45">
        <v>380</v>
      </c>
      <c r="H271" s="22">
        <v>2.2000000000000002</v>
      </c>
      <c r="I271" s="6">
        <f t="shared" si="5"/>
        <v>2739.9900000000002</v>
      </c>
      <c r="J271" s="6" t="s">
        <v>2459</v>
      </c>
    </row>
    <row r="272" spans="1:10" ht="13.95" customHeight="1" x14ac:dyDescent="0.3">
      <c r="A272" s="3">
        <v>45931</v>
      </c>
      <c r="B272" s="19" t="s">
        <v>2476</v>
      </c>
      <c r="C272" s="19" t="s">
        <v>5</v>
      </c>
      <c r="D272" s="19" t="s">
        <v>9</v>
      </c>
      <c r="E272" s="4">
        <v>0.65</v>
      </c>
      <c r="F272" s="42">
        <v>2.4</v>
      </c>
      <c r="G272" s="45">
        <v>380</v>
      </c>
      <c r="H272" s="22">
        <v>2.2000000000000002</v>
      </c>
      <c r="I272" s="6">
        <f t="shared" si="5"/>
        <v>1304.1600000000001</v>
      </c>
      <c r="J272" s="6" t="s">
        <v>2298</v>
      </c>
    </row>
    <row r="273" spans="1:10" ht="13.95" customHeight="1" x14ac:dyDescent="0.3">
      <c r="A273" s="3">
        <v>45932</v>
      </c>
      <c r="B273" s="19" t="s">
        <v>2476</v>
      </c>
      <c r="C273" s="19" t="s">
        <v>8</v>
      </c>
      <c r="D273" s="19" t="s">
        <v>9</v>
      </c>
      <c r="E273" s="4">
        <v>0.65</v>
      </c>
      <c r="F273" s="42">
        <v>2.4</v>
      </c>
      <c r="G273" s="45">
        <v>380</v>
      </c>
      <c r="H273" s="22">
        <v>2.2000000000000002</v>
      </c>
      <c r="I273" s="6">
        <f t="shared" si="5"/>
        <v>1304.1600000000001</v>
      </c>
      <c r="J273" s="6" t="s">
        <v>2298</v>
      </c>
    </row>
    <row r="274" spans="1:10" ht="13.95" customHeight="1" x14ac:dyDescent="0.3">
      <c r="A274" s="3">
        <v>45933</v>
      </c>
      <c r="B274" s="19" t="s">
        <v>2476</v>
      </c>
      <c r="C274" s="19" t="s">
        <v>11</v>
      </c>
      <c r="D274" s="19" t="s">
        <v>14</v>
      </c>
      <c r="E274" s="4">
        <v>0.75</v>
      </c>
      <c r="F274" s="42">
        <v>2.85</v>
      </c>
      <c r="G274" s="45">
        <v>380</v>
      </c>
      <c r="H274" s="22">
        <v>2.2000000000000002</v>
      </c>
      <c r="I274" s="6">
        <f t="shared" si="5"/>
        <v>1786.95</v>
      </c>
      <c r="J274" s="6" t="s">
        <v>282</v>
      </c>
    </row>
    <row r="275" spans="1:10" ht="13.95" customHeight="1" x14ac:dyDescent="0.3">
      <c r="A275" s="3">
        <v>45934</v>
      </c>
      <c r="B275" s="19" t="s">
        <v>2476</v>
      </c>
      <c r="C275" s="19" t="s">
        <v>13</v>
      </c>
      <c r="D275" s="19" t="s">
        <v>14</v>
      </c>
      <c r="E275" s="4">
        <v>0.8</v>
      </c>
      <c r="F275" s="42">
        <v>3.65</v>
      </c>
      <c r="G275" s="45">
        <v>380</v>
      </c>
      <c r="H275" s="22">
        <v>2.2000000000000002</v>
      </c>
      <c r="I275" s="6">
        <f t="shared" si="5"/>
        <v>2441.12</v>
      </c>
      <c r="J275" s="6" t="s">
        <v>2453</v>
      </c>
    </row>
    <row r="276" spans="1:10" ht="13.95" customHeight="1" x14ac:dyDescent="0.3">
      <c r="A276" s="3">
        <v>45935</v>
      </c>
      <c r="B276" s="19" t="s">
        <v>2476</v>
      </c>
      <c r="C276" s="19" t="s">
        <v>16</v>
      </c>
      <c r="D276" s="19" t="s">
        <v>14</v>
      </c>
      <c r="E276" s="4">
        <v>0.75</v>
      </c>
      <c r="F276" s="42">
        <v>3.3</v>
      </c>
      <c r="G276" s="45">
        <v>380</v>
      </c>
      <c r="H276" s="22">
        <v>2.2000000000000002</v>
      </c>
      <c r="I276" s="6">
        <f t="shared" si="5"/>
        <v>2069.1000000000004</v>
      </c>
      <c r="J276" s="6" t="s">
        <v>238</v>
      </c>
    </row>
    <row r="277" spans="1:10" ht="13.95" customHeight="1" x14ac:dyDescent="0.3">
      <c r="A277" s="3">
        <v>45936</v>
      </c>
      <c r="B277" s="19" t="s">
        <v>2476</v>
      </c>
      <c r="C277" s="19" t="s">
        <v>18</v>
      </c>
      <c r="D277" s="19" t="s">
        <v>9</v>
      </c>
      <c r="E277" s="4">
        <v>0.6</v>
      </c>
      <c r="F277" s="42">
        <v>2.35</v>
      </c>
      <c r="G277" s="45">
        <v>380</v>
      </c>
      <c r="H277" s="22">
        <v>2.2000000000000002</v>
      </c>
      <c r="I277" s="6">
        <f t="shared" si="5"/>
        <v>1178.7600000000002</v>
      </c>
      <c r="J277" s="6" t="s">
        <v>150</v>
      </c>
    </row>
    <row r="278" spans="1:10" ht="13.95" customHeight="1" x14ac:dyDescent="0.3">
      <c r="A278" s="3">
        <v>45937</v>
      </c>
      <c r="B278" s="19" t="s">
        <v>2476</v>
      </c>
      <c r="C278" s="19" t="s">
        <v>20</v>
      </c>
      <c r="D278" s="19" t="s">
        <v>9</v>
      </c>
      <c r="E278" s="4">
        <v>0.6</v>
      </c>
      <c r="F278" s="42">
        <v>2.35</v>
      </c>
      <c r="G278" s="45">
        <v>380</v>
      </c>
      <c r="H278" s="22">
        <v>2.2000000000000002</v>
      </c>
      <c r="I278" s="6">
        <f t="shared" si="5"/>
        <v>1178.7600000000002</v>
      </c>
      <c r="J278" s="6" t="s">
        <v>150</v>
      </c>
    </row>
    <row r="279" spans="1:10" ht="13.95" customHeight="1" x14ac:dyDescent="0.3">
      <c r="A279" s="3">
        <v>45938</v>
      </c>
      <c r="B279" s="19" t="s">
        <v>2476</v>
      </c>
      <c r="C279" s="19" t="s">
        <v>5</v>
      </c>
      <c r="D279" s="19" t="s">
        <v>9</v>
      </c>
      <c r="E279" s="4">
        <v>0.65</v>
      </c>
      <c r="F279" s="42">
        <v>2.4</v>
      </c>
      <c r="G279" s="45">
        <v>380</v>
      </c>
      <c r="H279" s="22">
        <v>2.2000000000000002</v>
      </c>
      <c r="I279" s="6">
        <f t="shared" si="5"/>
        <v>1304.1600000000001</v>
      </c>
      <c r="J279" s="6" t="s">
        <v>88</v>
      </c>
    </row>
    <row r="280" spans="1:10" ht="13.95" customHeight="1" x14ac:dyDescent="0.3">
      <c r="A280" s="3">
        <v>45939</v>
      </c>
      <c r="B280" s="19" t="s">
        <v>2476</v>
      </c>
      <c r="C280" s="19" t="s">
        <v>8</v>
      </c>
      <c r="D280" s="19" t="s">
        <v>9</v>
      </c>
      <c r="E280" s="4">
        <v>0.65</v>
      </c>
      <c r="F280" s="42">
        <v>2.4</v>
      </c>
      <c r="G280" s="45">
        <v>380</v>
      </c>
      <c r="H280" s="22">
        <v>2.2000000000000002</v>
      </c>
      <c r="I280" s="6">
        <f t="shared" si="5"/>
        <v>1304.1600000000001</v>
      </c>
      <c r="J280" s="6" t="s">
        <v>88</v>
      </c>
    </row>
    <row r="281" spans="1:10" ht="13.95" customHeight="1" x14ac:dyDescent="0.3">
      <c r="A281" s="3">
        <v>45940</v>
      </c>
      <c r="B281" s="19" t="s">
        <v>2476</v>
      </c>
      <c r="C281" s="19" t="s">
        <v>11</v>
      </c>
      <c r="D281" s="19" t="s">
        <v>14</v>
      </c>
      <c r="E281" s="4">
        <v>0.75</v>
      </c>
      <c r="F281" s="42">
        <v>2.9</v>
      </c>
      <c r="G281" s="45">
        <v>380</v>
      </c>
      <c r="H281" s="22">
        <v>2.2000000000000002</v>
      </c>
      <c r="I281" s="6">
        <f t="shared" si="5"/>
        <v>1818.3000000000002</v>
      </c>
      <c r="J281" s="6" t="s">
        <v>97</v>
      </c>
    </row>
    <row r="282" spans="1:10" ht="13.95" customHeight="1" x14ac:dyDescent="0.3">
      <c r="A282" s="3">
        <v>45941</v>
      </c>
      <c r="B282" s="19" t="s">
        <v>2476</v>
      </c>
      <c r="C282" s="19" t="s">
        <v>13</v>
      </c>
      <c r="D282" s="19" t="s">
        <v>14</v>
      </c>
      <c r="E282" s="4">
        <v>0.85</v>
      </c>
      <c r="F282" s="42">
        <v>3.7</v>
      </c>
      <c r="G282" s="45">
        <v>380</v>
      </c>
      <c r="H282" s="22">
        <v>2.2000000000000002</v>
      </c>
      <c r="I282" s="6">
        <f t="shared" si="5"/>
        <v>2629.2200000000007</v>
      </c>
      <c r="J282" s="6" t="s">
        <v>2454</v>
      </c>
    </row>
    <row r="283" spans="1:10" ht="13.95" customHeight="1" x14ac:dyDescent="0.3">
      <c r="A283" s="3">
        <v>45942</v>
      </c>
      <c r="B283" s="19" t="s">
        <v>2476</v>
      </c>
      <c r="C283" s="19" t="s">
        <v>16</v>
      </c>
      <c r="D283" s="19" t="s">
        <v>14</v>
      </c>
      <c r="E283" s="4">
        <v>0.8</v>
      </c>
      <c r="F283" s="42">
        <v>3.35</v>
      </c>
      <c r="G283" s="45">
        <v>380</v>
      </c>
      <c r="H283" s="22">
        <v>2.2000000000000002</v>
      </c>
      <c r="I283" s="6">
        <f t="shared" si="5"/>
        <v>2240.48</v>
      </c>
      <c r="J283" s="6" t="s">
        <v>159</v>
      </c>
    </row>
    <row r="284" spans="1:10" ht="13.95" customHeight="1" x14ac:dyDescent="0.3">
      <c r="A284" s="3">
        <v>45943</v>
      </c>
      <c r="B284" s="19" t="s">
        <v>2476</v>
      </c>
      <c r="C284" s="19" t="s">
        <v>18</v>
      </c>
      <c r="D284" s="19" t="s">
        <v>9</v>
      </c>
      <c r="E284" s="4">
        <v>0.6</v>
      </c>
      <c r="F284" s="42">
        <v>2.35</v>
      </c>
      <c r="G284" s="45">
        <v>380</v>
      </c>
      <c r="H284" s="22">
        <v>2.2000000000000002</v>
      </c>
      <c r="I284" s="6">
        <f t="shared" si="5"/>
        <v>1178.7600000000002</v>
      </c>
      <c r="J284" s="6" t="s">
        <v>150</v>
      </c>
    </row>
    <row r="285" spans="1:10" ht="13.95" customHeight="1" x14ac:dyDescent="0.3">
      <c r="A285" s="3">
        <v>45944</v>
      </c>
      <c r="B285" s="19" t="s">
        <v>2476</v>
      </c>
      <c r="C285" s="19" t="s">
        <v>20</v>
      </c>
      <c r="D285" s="19" t="s">
        <v>9</v>
      </c>
      <c r="E285" s="4">
        <v>0.65</v>
      </c>
      <c r="F285" s="42">
        <v>2.4</v>
      </c>
      <c r="G285" s="45">
        <v>380</v>
      </c>
      <c r="H285" s="22">
        <v>2.2000000000000002</v>
      </c>
      <c r="I285" s="6">
        <f t="shared" si="5"/>
        <v>1304.1600000000001</v>
      </c>
      <c r="J285" s="6" t="s">
        <v>2460</v>
      </c>
    </row>
    <row r="286" spans="1:10" ht="13.95" customHeight="1" x14ac:dyDescent="0.3">
      <c r="A286" s="3">
        <v>45945</v>
      </c>
      <c r="B286" s="19" t="s">
        <v>2476</v>
      </c>
      <c r="C286" s="19" t="s">
        <v>5</v>
      </c>
      <c r="D286" s="19" t="s">
        <v>865</v>
      </c>
      <c r="E286" s="4">
        <v>0.85</v>
      </c>
      <c r="F286" s="42">
        <v>3.45</v>
      </c>
      <c r="G286" s="45">
        <v>380</v>
      </c>
      <c r="H286" s="22">
        <v>2.2000000000000002</v>
      </c>
      <c r="I286" s="6">
        <f t="shared" si="5"/>
        <v>2451.5700000000006</v>
      </c>
      <c r="J286" s="6" t="s">
        <v>2401</v>
      </c>
    </row>
    <row r="287" spans="1:10" ht="13.95" customHeight="1" x14ac:dyDescent="0.3">
      <c r="A287" s="3">
        <v>45946</v>
      </c>
      <c r="B287" s="19" t="s">
        <v>2476</v>
      </c>
      <c r="C287" s="19" t="s">
        <v>8</v>
      </c>
      <c r="D287" s="19" t="s">
        <v>9</v>
      </c>
      <c r="E287" s="4">
        <v>0.7</v>
      </c>
      <c r="F287" s="42">
        <v>2.4500000000000002</v>
      </c>
      <c r="G287" s="45">
        <v>380</v>
      </c>
      <c r="H287" s="22">
        <v>2.2000000000000002</v>
      </c>
      <c r="I287" s="6">
        <f t="shared" si="5"/>
        <v>1433.7400000000002</v>
      </c>
      <c r="J287" s="6" t="s">
        <v>1524</v>
      </c>
    </row>
    <row r="288" spans="1:10" ht="13.95" customHeight="1" x14ac:dyDescent="0.3">
      <c r="A288" s="3">
        <v>45947</v>
      </c>
      <c r="B288" s="19" t="s">
        <v>2476</v>
      </c>
      <c r="C288" s="19" t="s">
        <v>11</v>
      </c>
      <c r="D288" s="19" t="s">
        <v>14</v>
      </c>
      <c r="E288" s="4">
        <v>0.8</v>
      </c>
      <c r="F288" s="42">
        <v>2.95</v>
      </c>
      <c r="G288" s="45">
        <v>380</v>
      </c>
      <c r="H288" s="22">
        <v>2.2000000000000002</v>
      </c>
      <c r="I288" s="6">
        <f t="shared" si="5"/>
        <v>1972.9600000000003</v>
      </c>
      <c r="J288" s="6" t="s">
        <v>1818</v>
      </c>
    </row>
    <row r="289" spans="1:10" ht="13.95" customHeight="1" x14ac:dyDescent="0.3">
      <c r="A289" s="3">
        <v>45948</v>
      </c>
      <c r="B289" s="19" t="s">
        <v>2476</v>
      </c>
      <c r="C289" s="19" t="s">
        <v>13</v>
      </c>
      <c r="D289" s="19" t="s">
        <v>2367</v>
      </c>
      <c r="E289" s="4">
        <v>0.9</v>
      </c>
      <c r="F289" s="42">
        <v>3.8</v>
      </c>
      <c r="G289" s="45">
        <v>380</v>
      </c>
      <c r="H289" s="22">
        <v>2.2000000000000002</v>
      </c>
      <c r="I289" s="6">
        <f t="shared" si="5"/>
        <v>2859.12</v>
      </c>
      <c r="J289" s="6" t="s">
        <v>2461</v>
      </c>
    </row>
    <row r="290" spans="1:10" ht="13.95" customHeight="1" x14ac:dyDescent="0.3">
      <c r="A290" s="3">
        <v>45949</v>
      </c>
      <c r="B290" s="19" t="s">
        <v>2476</v>
      </c>
      <c r="C290" s="19" t="s">
        <v>16</v>
      </c>
      <c r="D290" s="19" t="s">
        <v>2367</v>
      </c>
      <c r="E290" s="4">
        <v>0.9</v>
      </c>
      <c r="F290" s="42">
        <v>3.5</v>
      </c>
      <c r="G290" s="45">
        <v>380</v>
      </c>
      <c r="H290" s="22">
        <v>2.2000000000000002</v>
      </c>
      <c r="I290" s="6">
        <f t="shared" si="5"/>
        <v>2633.4</v>
      </c>
      <c r="J290" s="6" t="s">
        <v>2456</v>
      </c>
    </row>
    <row r="291" spans="1:10" ht="13.95" customHeight="1" x14ac:dyDescent="0.3">
      <c r="A291" s="3">
        <v>45950</v>
      </c>
      <c r="B291" s="19" t="s">
        <v>2476</v>
      </c>
      <c r="C291" s="19" t="s">
        <v>18</v>
      </c>
      <c r="D291" s="19" t="s">
        <v>2367</v>
      </c>
      <c r="E291" s="4">
        <v>0.85</v>
      </c>
      <c r="F291" s="42">
        <v>2.75</v>
      </c>
      <c r="G291" s="45">
        <v>380</v>
      </c>
      <c r="H291" s="22">
        <v>2.2000000000000002</v>
      </c>
      <c r="I291" s="6">
        <f t="shared" si="5"/>
        <v>1954.15</v>
      </c>
      <c r="J291" s="6" t="s">
        <v>1721</v>
      </c>
    </row>
    <row r="292" spans="1:10" ht="13.95" customHeight="1" x14ac:dyDescent="0.3">
      <c r="A292" s="3">
        <v>45951</v>
      </c>
      <c r="B292" s="19" t="s">
        <v>2476</v>
      </c>
      <c r="C292" s="19" t="s">
        <v>20</v>
      </c>
      <c r="D292" s="19" t="s">
        <v>2367</v>
      </c>
      <c r="E292" s="4">
        <v>0.85</v>
      </c>
      <c r="F292" s="42">
        <v>2.75</v>
      </c>
      <c r="G292" s="45">
        <v>380</v>
      </c>
      <c r="H292" s="22">
        <v>2.2000000000000002</v>
      </c>
      <c r="I292" s="6">
        <f t="shared" si="5"/>
        <v>1954.15</v>
      </c>
      <c r="J292" s="6" t="s">
        <v>1721</v>
      </c>
    </row>
    <row r="293" spans="1:10" ht="13.95" customHeight="1" x14ac:dyDescent="0.3">
      <c r="A293" s="3">
        <v>45952</v>
      </c>
      <c r="B293" s="19" t="s">
        <v>2476</v>
      </c>
      <c r="C293" s="19" t="s">
        <v>5</v>
      </c>
      <c r="D293" s="19" t="s">
        <v>2367</v>
      </c>
      <c r="E293" s="4">
        <v>0.9</v>
      </c>
      <c r="F293" s="42">
        <v>2.8</v>
      </c>
      <c r="G293" s="45">
        <v>380</v>
      </c>
      <c r="H293" s="22">
        <v>2.2000000000000002</v>
      </c>
      <c r="I293" s="6">
        <f t="shared" si="5"/>
        <v>2106.7199999999998</v>
      </c>
      <c r="J293" s="6" t="s">
        <v>1721</v>
      </c>
    </row>
    <row r="294" spans="1:10" ht="13.95" customHeight="1" x14ac:dyDescent="0.3">
      <c r="A294" s="3">
        <v>45953</v>
      </c>
      <c r="B294" s="19" t="s">
        <v>2476</v>
      </c>
      <c r="C294" s="19" t="s">
        <v>8</v>
      </c>
      <c r="D294" s="19" t="s">
        <v>2367</v>
      </c>
      <c r="E294" s="4">
        <v>0.9</v>
      </c>
      <c r="F294" s="42">
        <v>2.8</v>
      </c>
      <c r="G294" s="45">
        <v>380</v>
      </c>
      <c r="H294" s="22">
        <v>2.2000000000000002</v>
      </c>
      <c r="I294" s="6">
        <f t="shared" si="5"/>
        <v>2106.7199999999998</v>
      </c>
      <c r="J294" s="6" t="s">
        <v>1721</v>
      </c>
    </row>
    <row r="295" spans="1:10" ht="13.95" customHeight="1" x14ac:dyDescent="0.3">
      <c r="A295" s="3">
        <v>45954</v>
      </c>
      <c r="B295" s="19" t="s">
        <v>2476</v>
      </c>
      <c r="C295" s="19" t="s">
        <v>11</v>
      </c>
      <c r="D295" s="19" t="s">
        <v>2367</v>
      </c>
      <c r="E295" s="4">
        <v>0.95</v>
      </c>
      <c r="F295" s="42">
        <v>3.1</v>
      </c>
      <c r="G295" s="45">
        <v>380</v>
      </c>
      <c r="H295" s="22">
        <v>2.2000000000000002</v>
      </c>
      <c r="I295" s="6">
        <f t="shared" si="5"/>
        <v>2462.0200000000004</v>
      </c>
      <c r="J295" s="6" t="s">
        <v>2462</v>
      </c>
    </row>
    <row r="296" spans="1:10" ht="13.95" customHeight="1" x14ac:dyDescent="0.3">
      <c r="A296" s="3">
        <v>45955</v>
      </c>
      <c r="B296" s="19" t="s">
        <v>2476</v>
      </c>
      <c r="C296" s="19" t="s">
        <v>13</v>
      </c>
      <c r="D296" s="19" t="s">
        <v>2367</v>
      </c>
      <c r="E296" s="4">
        <v>1</v>
      </c>
      <c r="F296" s="42">
        <v>3.95</v>
      </c>
      <c r="G296" s="45">
        <v>380</v>
      </c>
      <c r="H296" s="22">
        <v>2.2000000000000002</v>
      </c>
      <c r="I296" s="6">
        <f t="shared" si="5"/>
        <v>3302.2000000000003</v>
      </c>
      <c r="J296" s="6" t="s">
        <v>2457</v>
      </c>
    </row>
    <row r="297" spans="1:10" ht="13.95" customHeight="1" x14ac:dyDescent="0.3">
      <c r="A297" s="3">
        <v>45956</v>
      </c>
      <c r="B297" s="19" t="s">
        <v>2476</v>
      </c>
      <c r="C297" s="19" t="s">
        <v>16</v>
      </c>
      <c r="D297" s="19" t="s">
        <v>2367</v>
      </c>
      <c r="E297" s="4">
        <v>1</v>
      </c>
      <c r="F297" s="42">
        <v>3.65</v>
      </c>
      <c r="G297" s="45">
        <v>380</v>
      </c>
      <c r="H297" s="22">
        <v>2.2000000000000002</v>
      </c>
      <c r="I297" s="6">
        <f t="shared" si="5"/>
        <v>3051.4</v>
      </c>
      <c r="J297" s="6" t="s">
        <v>2236</v>
      </c>
    </row>
    <row r="298" spans="1:10" ht="13.95" customHeight="1" x14ac:dyDescent="0.3">
      <c r="A298" s="3">
        <v>45957</v>
      </c>
      <c r="B298" s="19" t="s">
        <v>2476</v>
      </c>
      <c r="C298" s="19" t="s">
        <v>18</v>
      </c>
      <c r="D298" s="19" t="s">
        <v>2367</v>
      </c>
      <c r="E298" s="4">
        <v>0.9</v>
      </c>
      <c r="F298" s="42">
        <v>2.8</v>
      </c>
      <c r="G298" s="45">
        <v>380</v>
      </c>
      <c r="H298" s="22">
        <v>2.2000000000000002</v>
      </c>
      <c r="I298" s="6">
        <f t="shared" si="5"/>
        <v>2106.7199999999998</v>
      </c>
      <c r="J298" s="6" t="s">
        <v>2063</v>
      </c>
    </row>
    <row r="299" spans="1:10" ht="13.95" customHeight="1" x14ac:dyDescent="0.3">
      <c r="A299" s="3">
        <v>45958</v>
      </c>
      <c r="B299" s="19" t="s">
        <v>2476</v>
      </c>
      <c r="C299" s="19" t="s">
        <v>20</v>
      </c>
      <c r="D299" s="19" t="s">
        <v>9</v>
      </c>
      <c r="E299" s="4">
        <v>0.75</v>
      </c>
      <c r="F299" s="42">
        <v>2.4500000000000002</v>
      </c>
      <c r="G299" s="45">
        <v>380</v>
      </c>
      <c r="H299" s="22">
        <v>2.2000000000000002</v>
      </c>
      <c r="I299" s="6">
        <f t="shared" si="5"/>
        <v>1536.15</v>
      </c>
      <c r="J299" s="6" t="s">
        <v>88</v>
      </c>
    </row>
    <row r="300" spans="1:10" ht="13.95" customHeight="1" x14ac:dyDescent="0.3">
      <c r="A300" s="3">
        <v>45959</v>
      </c>
      <c r="B300" s="19" t="s">
        <v>2476</v>
      </c>
      <c r="C300" s="19" t="s">
        <v>5</v>
      </c>
      <c r="D300" s="19" t="s">
        <v>9</v>
      </c>
      <c r="E300" s="4">
        <v>0.7</v>
      </c>
      <c r="F300" s="42">
        <v>2.4500000000000002</v>
      </c>
      <c r="G300" s="45">
        <v>380</v>
      </c>
      <c r="H300" s="22">
        <v>2.2000000000000002</v>
      </c>
      <c r="I300" s="6">
        <f t="shared" si="5"/>
        <v>1433.7400000000002</v>
      </c>
      <c r="J300" s="6" t="s">
        <v>150</v>
      </c>
    </row>
    <row r="301" spans="1:10" ht="13.95" customHeight="1" x14ac:dyDescent="0.3">
      <c r="A301" s="3">
        <v>45960</v>
      </c>
      <c r="B301" s="19" t="s">
        <v>2476</v>
      </c>
      <c r="C301" s="19" t="s">
        <v>8</v>
      </c>
      <c r="D301" s="19" t="s">
        <v>9</v>
      </c>
      <c r="E301" s="4">
        <v>0.75</v>
      </c>
      <c r="F301" s="42">
        <v>2.5</v>
      </c>
      <c r="G301" s="45">
        <v>380</v>
      </c>
      <c r="H301" s="22">
        <v>2.2000000000000002</v>
      </c>
      <c r="I301" s="6">
        <f t="shared" si="5"/>
        <v>1567.5000000000002</v>
      </c>
      <c r="J301" s="6" t="s">
        <v>2152</v>
      </c>
    </row>
    <row r="302" spans="1:10" ht="13.95" customHeight="1" x14ac:dyDescent="0.3">
      <c r="A302" s="3">
        <v>45961</v>
      </c>
      <c r="B302" s="19" t="s">
        <v>2476</v>
      </c>
      <c r="C302" s="19" t="s">
        <v>11</v>
      </c>
      <c r="D302" s="19" t="s">
        <v>867</v>
      </c>
      <c r="E302" s="4">
        <v>0.95</v>
      </c>
      <c r="F302" s="42">
        <v>3.5</v>
      </c>
      <c r="G302" s="45">
        <v>380</v>
      </c>
      <c r="H302" s="22">
        <v>2.2000000000000002</v>
      </c>
      <c r="I302" s="6">
        <f t="shared" si="5"/>
        <v>2779.7000000000003</v>
      </c>
      <c r="J302" s="6" t="s">
        <v>1372</v>
      </c>
    </row>
    <row r="303" spans="1:10" ht="13.95" customHeight="1" x14ac:dyDescent="0.3">
      <c r="A303" s="3">
        <v>45962</v>
      </c>
      <c r="B303" s="19" t="s">
        <v>2476</v>
      </c>
      <c r="C303" s="19" t="s">
        <v>13</v>
      </c>
      <c r="D303" s="19" t="s">
        <v>2367</v>
      </c>
      <c r="E303" s="4">
        <v>0.75</v>
      </c>
      <c r="F303" s="42">
        <v>3.3</v>
      </c>
      <c r="G303" s="45">
        <v>380</v>
      </c>
      <c r="H303" s="22">
        <v>2</v>
      </c>
      <c r="I303" s="6">
        <f t="shared" si="5"/>
        <v>1881</v>
      </c>
      <c r="J303" s="6" t="s">
        <v>1647</v>
      </c>
    </row>
    <row r="304" spans="1:10" ht="13.95" customHeight="1" x14ac:dyDescent="0.3">
      <c r="A304" s="3">
        <v>45963</v>
      </c>
      <c r="B304" s="19" t="s">
        <v>2476</v>
      </c>
      <c r="C304" s="19" t="s">
        <v>16</v>
      </c>
      <c r="D304" s="19" t="s">
        <v>14</v>
      </c>
      <c r="E304" s="4">
        <v>0.65</v>
      </c>
      <c r="F304" s="42">
        <v>3.1</v>
      </c>
      <c r="G304" s="45">
        <v>380</v>
      </c>
      <c r="H304" s="22">
        <v>2</v>
      </c>
      <c r="I304" s="6">
        <f t="shared" si="5"/>
        <v>1531.4</v>
      </c>
      <c r="J304" s="6" t="s">
        <v>238</v>
      </c>
    </row>
    <row r="305" spans="1:10" ht="13.95" customHeight="1" x14ac:dyDescent="0.3">
      <c r="A305" s="3">
        <v>45964</v>
      </c>
      <c r="B305" s="19" t="s">
        <v>2476</v>
      </c>
      <c r="C305" s="19" t="s">
        <v>18</v>
      </c>
      <c r="D305" s="19" t="s">
        <v>9</v>
      </c>
      <c r="E305" s="4">
        <v>0.5</v>
      </c>
      <c r="F305" s="42">
        <v>2.2000000000000002</v>
      </c>
      <c r="G305" s="45">
        <v>380</v>
      </c>
      <c r="H305" s="22">
        <v>2</v>
      </c>
      <c r="I305" s="6">
        <f t="shared" si="5"/>
        <v>836.00000000000011</v>
      </c>
      <c r="J305" s="6" t="s">
        <v>2463</v>
      </c>
    </row>
    <row r="306" spans="1:10" ht="13.95" customHeight="1" x14ac:dyDescent="0.3">
      <c r="A306" s="3">
        <v>45965</v>
      </c>
      <c r="B306" s="19" t="s">
        <v>2476</v>
      </c>
      <c r="C306" s="19" t="s">
        <v>20</v>
      </c>
      <c r="D306" s="19" t="s">
        <v>9</v>
      </c>
      <c r="E306" s="4">
        <v>0.5</v>
      </c>
      <c r="F306" s="42">
        <v>2.2000000000000002</v>
      </c>
      <c r="G306" s="45">
        <v>380</v>
      </c>
      <c r="H306" s="22">
        <v>2</v>
      </c>
      <c r="I306" s="6">
        <f t="shared" si="5"/>
        <v>836.00000000000011</v>
      </c>
      <c r="J306" s="6" t="s">
        <v>2310</v>
      </c>
    </row>
    <row r="307" spans="1:10" ht="13.95" customHeight="1" x14ac:dyDescent="0.3">
      <c r="A307" s="3">
        <v>45966</v>
      </c>
      <c r="B307" s="19" t="s">
        <v>2476</v>
      </c>
      <c r="C307" s="19" t="s">
        <v>5</v>
      </c>
      <c r="D307" s="19" t="s">
        <v>9</v>
      </c>
      <c r="E307" s="4">
        <v>0.5</v>
      </c>
      <c r="F307" s="42">
        <v>2.2000000000000002</v>
      </c>
      <c r="G307" s="45">
        <v>380</v>
      </c>
      <c r="H307" s="22">
        <v>2</v>
      </c>
      <c r="I307" s="6">
        <f t="shared" si="5"/>
        <v>836.00000000000011</v>
      </c>
      <c r="J307" s="6" t="s">
        <v>2310</v>
      </c>
    </row>
    <row r="308" spans="1:10" ht="13.95" customHeight="1" x14ac:dyDescent="0.3">
      <c r="A308" s="3">
        <v>45967</v>
      </c>
      <c r="B308" s="19" t="s">
        <v>2476</v>
      </c>
      <c r="C308" s="19" t="s">
        <v>8</v>
      </c>
      <c r="D308" s="19" t="s">
        <v>9</v>
      </c>
      <c r="E308" s="4">
        <v>0.5</v>
      </c>
      <c r="F308" s="42">
        <v>2.25</v>
      </c>
      <c r="G308" s="45">
        <v>380</v>
      </c>
      <c r="H308" s="22">
        <v>2</v>
      </c>
      <c r="I308" s="6">
        <f t="shared" si="5"/>
        <v>855</v>
      </c>
      <c r="J308" s="6" t="s">
        <v>2310</v>
      </c>
    </row>
    <row r="309" spans="1:10" ht="13.95" customHeight="1" x14ac:dyDescent="0.3">
      <c r="A309" s="3">
        <v>45968</v>
      </c>
      <c r="B309" s="19" t="s">
        <v>2476</v>
      </c>
      <c r="C309" s="19" t="s">
        <v>11</v>
      </c>
      <c r="D309" s="19" t="s">
        <v>14</v>
      </c>
      <c r="E309" s="4">
        <v>0.55000000000000004</v>
      </c>
      <c r="F309" s="42">
        <v>2.65</v>
      </c>
      <c r="G309" s="45">
        <v>380</v>
      </c>
      <c r="H309" s="22">
        <v>2</v>
      </c>
      <c r="I309" s="6">
        <f t="shared" si="5"/>
        <v>1107.7</v>
      </c>
      <c r="J309" s="6" t="s">
        <v>268</v>
      </c>
    </row>
    <row r="310" spans="1:10" ht="13.95" customHeight="1" x14ac:dyDescent="0.3">
      <c r="A310" s="3">
        <v>45969</v>
      </c>
      <c r="B310" s="19" t="s">
        <v>2476</v>
      </c>
      <c r="C310" s="19" t="s">
        <v>13</v>
      </c>
      <c r="D310" s="19" t="s">
        <v>14</v>
      </c>
      <c r="E310" s="4">
        <v>0.7</v>
      </c>
      <c r="F310" s="42">
        <v>3.5</v>
      </c>
      <c r="G310" s="45">
        <v>380</v>
      </c>
      <c r="H310" s="22">
        <v>2</v>
      </c>
      <c r="I310" s="6">
        <f t="shared" si="5"/>
        <v>1862</v>
      </c>
      <c r="J310" s="6" t="s">
        <v>2390</v>
      </c>
    </row>
    <row r="311" spans="1:10" ht="13.95" customHeight="1" x14ac:dyDescent="0.3">
      <c r="A311" s="3">
        <v>45970</v>
      </c>
      <c r="B311" s="19" t="s">
        <v>2476</v>
      </c>
      <c r="C311" s="19" t="s">
        <v>16</v>
      </c>
      <c r="D311" s="19" t="s">
        <v>14</v>
      </c>
      <c r="E311" s="4">
        <v>0.65</v>
      </c>
      <c r="F311" s="42">
        <v>3.15</v>
      </c>
      <c r="G311" s="45">
        <v>380</v>
      </c>
      <c r="H311" s="22">
        <v>2</v>
      </c>
      <c r="I311" s="6">
        <f t="shared" si="5"/>
        <v>1556.1</v>
      </c>
      <c r="J311" s="6" t="s">
        <v>69</v>
      </c>
    </row>
    <row r="312" spans="1:10" ht="13.95" customHeight="1" x14ac:dyDescent="0.3">
      <c r="A312" s="3">
        <v>45971</v>
      </c>
      <c r="B312" s="19" t="s">
        <v>2476</v>
      </c>
      <c r="C312" s="19" t="s">
        <v>18</v>
      </c>
      <c r="D312" s="19" t="s">
        <v>9</v>
      </c>
      <c r="E312" s="4">
        <v>0.45</v>
      </c>
      <c r="F312" s="42">
        <v>2.2000000000000002</v>
      </c>
      <c r="G312" s="45">
        <v>380</v>
      </c>
      <c r="H312" s="22">
        <v>2</v>
      </c>
      <c r="I312" s="6">
        <f t="shared" si="5"/>
        <v>752.40000000000009</v>
      </c>
      <c r="J312" s="6" t="s">
        <v>272</v>
      </c>
    </row>
    <row r="313" spans="1:10" ht="13.95" customHeight="1" x14ac:dyDescent="0.3">
      <c r="A313" s="3">
        <v>45972</v>
      </c>
      <c r="B313" s="19" t="s">
        <v>2476</v>
      </c>
      <c r="C313" s="19" t="s">
        <v>20</v>
      </c>
      <c r="D313" s="19" t="s">
        <v>9</v>
      </c>
      <c r="E313" s="4">
        <v>0.5</v>
      </c>
      <c r="F313" s="42">
        <v>2.25</v>
      </c>
      <c r="G313" s="45">
        <v>380</v>
      </c>
      <c r="H313" s="22">
        <v>2</v>
      </c>
      <c r="I313" s="6">
        <f t="shared" si="5"/>
        <v>855</v>
      </c>
      <c r="J313" s="6" t="s">
        <v>88</v>
      </c>
    </row>
    <row r="314" spans="1:10" ht="13.95" customHeight="1" x14ac:dyDescent="0.3">
      <c r="A314" s="3">
        <v>45973</v>
      </c>
      <c r="B314" s="19" t="s">
        <v>2476</v>
      </c>
      <c r="C314" s="19" t="s">
        <v>5</v>
      </c>
      <c r="D314" s="19" t="s">
        <v>9</v>
      </c>
      <c r="E314" s="4">
        <v>0.5</v>
      </c>
      <c r="F314" s="42">
        <v>2.25</v>
      </c>
      <c r="G314" s="45">
        <v>380</v>
      </c>
      <c r="H314" s="22">
        <v>2</v>
      </c>
      <c r="I314" s="6">
        <f t="shared" si="5"/>
        <v>855</v>
      </c>
      <c r="J314" s="6" t="s">
        <v>88</v>
      </c>
    </row>
    <row r="315" spans="1:10" ht="13.95" customHeight="1" x14ac:dyDescent="0.3">
      <c r="A315" s="3">
        <v>45974</v>
      </c>
      <c r="B315" s="19" t="s">
        <v>2476</v>
      </c>
      <c r="C315" s="19" t="s">
        <v>8</v>
      </c>
      <c r="D315" s="19" t="s">
        <v>9</v>
      </c>
      <c r="E315" s="4">
        <v>0.5</v>
      </c>
      <c r="F315" s="42">
        <v>2.25</v>
      </c>
      <c r="G315" s="45">
        <v>380</v>
      </c>
      <c r="H315" s="22">
        <v>2</v>
      </c>
      <c r="I315" s="6">
        <f t="shared" si="5"/>
        <v>855</v>
      </c>
      <c r="J315" s="6" t="s">
        <v>88</v>
      </c>
    </row>
    <row r="316" spans="1:10" ht="13.95" customHeight="1" x14ac:dyDescent="0.3">
      <c r="A316" s="3">
        <v>45975</v>
      </c>
      <c r="B316" s="19" t="s">
        <v>2476</v>
      </c>
      <c r="C316" s="19" t="s">
        <v>11</v>
      </c>
      <c r="D316" s="19" t="s">
        <v>14</v>
      </c>
      <c r="E316" s="4">
        <v>0.55000000000000004</v>
      </c>
      <c r="F316" s="42">
        <v>2.7</v>
      </c>
      <c r="G316" s="45">
        <v>380</v>
      </c>
      <c r="H316" s="22">
        <v>2</v>
      </c>
      <c r="I316" s="6">
        <f t="shared" si="5"/>
        <v>1128.6000000000001</v>
      </c>
      <c r="J316" s="6" t="s">
        <v>97</v>
      </c>
    </row>
    <row r="317" spans="1:10" ht="13.95" customHeight="1" x14ac:dyDescent="0.3">
      <c r="A317" s="3">
        <v>45976</v>
      </c>
      <c r="B317" s="19" t="s">
        <v>2476</v>
      </c>
      <c r="C317" s="19" t="s">
        <v>13</v>
      </c>
      <c r="D317" s="19" t="s">
        <v>14</v>
      </c>
      <c r="E317" s="4">
        <v>0.7</v>
      </c>
      <c r="F317" s="42">
        <v>3.6</v>
      </c>
      <c r="G317" s="45">
        <v>380</v>
      </c>
      <c r="H317" s="22">
        <v>2</v>
      </c>
      <c r="I317" s="6">
        <f t="shared" si="5"/>
        <v>1915.2</v>
      </c>
      <c r="J317" s="6" t="s">
        <v>2457</v>
      </c>
    </row>
    <row r="318" spans="1:10" ht="13.95" customHeight="1" x14ac:dyDescent="0.3">
      <c r="A318" s="3">
        <v>45977</v>
      </c>
      <c r="B318" s="19" t="s">
        <v>2476</v>
      </c>
      <c r="C318" s="19" t="s">
        <v>16</v>
      </c>
      <c r="D318" s="19" t="s">
        <v>14</v>
      </c>
      <c r="E318" s="4">
        <v>0.65</v>
      </c>
      <c r="F318" s="42">
        <v>3.2</v>
      </c>
      <c r="G318" s="45">
        <v>380</v>
      </c>
      <c r="H318" s="22">
        <v>2</v>
      </c>
      <c r="I318" s="6">
        <f t="shared" si="5"/>
        <v>1580.8000000000002</v>
      </c>
      <c r="J318" s="6" t="s">
        <v>2406</v>
      </c>
    </row>
    <row r="319" spans="1:10" ht="13.95" customHeight="1" x14ac:dyDescent="0.3">
      <c r="A319" s="3">
        <v>45978</v>
      </c>
      <c r="B319" s="19" t="s">
        <v>2476</v>
      </c>
      <c r="C319" s="19" t="s">
        <v>18</v>
      </c>
      <c r="D319" s="19" t="s">
        <v>9</v>
      </c>
      <c r="E319" s="4">
        <v>0.4</v>
      </c>
      <c r="F319" s="42">
        <v>2.2000000000000002</v>
      </c>
      <c r="G319" s="45">
        <v>380</v>
      </c>
      <c r="H319" s="22">
        <v>2</v>
      </c>
      <c r="I319" s="6">
        <f t="shared" si="5"/>
        <v>668.80000000000007</v>
      </c>
      <c r="J319" s="6" t="s">
        <v>2373</v>
      </c>
    </row>
    <row r="320" spans="1:10" ht="13.95" customHeight="1" x14ac:dyDescent="0.3">
      <c r="A320" s="3">
        <v>45979</v>
      </c>
      <c r="B320" s="19" t="s">
        <v>2476</v>
      </c>
      <c r="C320" s="19" t="s">
        <v>20</v>
      </c>
      <c r="D320" s="19" t="s">
        <v>9</v>
      </c>
      <c r="E320" s="4">
        <v>0.4</v>
      </c>
      <c r="F320" s="42">
        <v>2.2000000000000002</v>
      </c>
      <c r="G320" s="45">
        <v>380</v>
      </c>
      <c r="H320" s="22">
        <v>2</v>
      </c>
      <c r="I320" s="6">
        <f t="shared" si="5"/>
        <v>668.80000000000007</v>
      </c>
      <c r="J320" s="6" t="s">
        <v>2373</v>
      </c>
    </row>
    <row r="321" spans="1:10" ht="13.95" customHeight="1" x14ac:dyDescent="0.3">
      <c r="A321" s="3">
        <v>45980</v>
      </c>
      <c r="B321" s="19" t="s">
        <v>2476</v>
      </c>
      <c r="C321" s="19" t="s">
        <v>5</v>
      </c>
      <c r="D321" s="19" t="s">
        <v>9</v>
      </c>
      <c r="E321" s="4">
        <v>0.45</v>
      </c>
      <c r="F321" s="42">
        <v>2.25</v>
      </c>
      <c r="G321" s="45">
        <v>380</v>
      </c>
      <c r="H321" s="22">
        <v>2</v>
      </c>
      <c r="I321" s="6">
        <f t="shared" si="5"/>
        <v>769.5</v>
      </c>
      <c r="J321" s="6" t="s">
        <v>88</v>
      </c>
    </row>
    <row r="322" spans="1:10" ht="13.95" customHeight="1" x14ac:dyDescent="0.3">
      <c r="A322" s="3">
        <v>45981</v>
      </c>
      <c r="B322" s="19" t="s">
        <v>2476</v>
      </c>
      <c r="C322" s="19" t="s">
        <v>8</v>
      </c>
      <c r="D322" s="19" t="s">
        <v>9</v>
      </c>
      <c r="E322" s="4">
        <v>0.45</v>
      </c>
      <c r="F322" s="42">
        <v>2.25</v>
      </c>
      <c r="G322" s="45">
        <v>380</v>
      </c>
      <c r="H322" s="22">
        <v>2</v>
      </c>
      <c r="I322" s="6">
        <f t="shared" si="5"/>
        <v>769.5</v>
      </c>
      <c r="J322" s="6" t="s">
        <v>88</v>
      </c>
    </row>
    <row r="323" spans="1:10" ht="13.95" customHeight="1" x14ac:dyDescent="0.3">
      <c r="A323" s="3">
        <v>45982</v>
      </c>
      <c r="B323" s="19" t="s">
        <v>2476</v>
      </c>
      <c r="C323" s="19" t="s">
        <v>11</v>
      </c>
      <c r="D323" s="19" t="s">
        <v>14</v>
      </c>
      <c r="E323" s="4">
        <v>0.55000000000000004</v>
      </c>
      <c r="F323" s="42">
        <v>2.75</v>
      </c>
      <c r="G323" s="45">
        <v>380</v>
      </c>
      <c r="H323" s="22">
        <v>2</v>
      </c>
      <c r="I323" s="6">
        <f t="shared" si="5"/>
        <v>1149.5000000000002</v>
      </c>
      <c r="J323" s="6" t="s">
        <v>282</v>
      </c>
    </row>
    <row r="324" spans="1:10" ht="13.95" customHeight="1" x14ac:dyDescent="0.3">
      <c r="A324" s="3">
        <v>45983</v>
      </c>
      <c r="B324" s="19" t="s">
        <v>2476</v>
      </c>
      <c r="C324" s="19" t="s">
        <v>13</v>
      </c>
      <c r="D324" s="19" t="s">
        <v>14</v>
      </c>
      <c r="E324" s="4">
        <v>0.65</v>
      </c>
      <c r="F324" s="42">
        <v>3.55</v>
      </c>
      <c r="G324" s="45">
        <v>380</v>
      </c>
      <c r="H324" s="22">
        <v>2</v>
      </c>
      <c r="I324" s="6">
        <f t="shared" si="5"/>
        <v>1753.6999999999998</v>
      </c>
      <c r="J324" s="6" t="s">
        <v>2412</v>
      </c>
    </row>
    <row r="325" spans="1:10" ht="13.95" customHeight="1" x14ac:dyDescent="0.3">
      <c r="A325" s="3">
        <v>45984</v>
      </c>
      <c r="B325" s="19" t="s">
        <v>2476</v>
      </c>
      <c r="C325" s="19" t="s">
        <v>16</v>
      </c>
      <c r="D325" s="19" t="s">
        <v>14</v>
      </c>
      <c r="E325" s="4">
        <v>0.6</v>
      </c>
      <c r="F325" s="42">
        <v>3.2</v>
      </c>
      <c r="G325" s="45">
        <v>380</v>
      </c>
      <c r="H325" s="22">
        <v>2</v>
      </c>
      <c r="I325" s="6">
        <f t="shared" si="5"/>
        <v>1459.2</v>
      </c>
      <c r="J325" s="6" t="s">
        <v>69</v>
      </c>
    </row>
    <row r="326" spans="1:10" ht="13.95" customHeight="1" x14ac:dyDescent="0.3">
      <c r="A326" s="3">
        <v>45985</v>
      </c>
      <c r="B326" s="19" t="s">
        <v>2476</v>
      </c>
      <c r="C326" s="19" t="s">
        <v>18</v>
      </c>
      <c r="D326" s="19" t="s">
        <v>9</v>
      </c>
      <c r="E326" s="4">
        <v>0.4</v>
      </c>
      <c r="F326" s="42">
        <v>2.2000000000000002</v>
      </c>
      <c r="G326" s="45">
        <v>380</v>
      </c>
      <c r="H326" s="22">
        <v>2</v>
      </c>
      <c r="I326" s="6">
        <f t="shared" ref="I326:I360" si="6">(G326*E326)*F326*H326</f>
        <v>668.80000000000007</v>
      </c>
      <c r="J326" s="6" t="s">
        <v>88</v>
      </c>
    </row>
    <row r="327" spans="1:10" ht="13.95" customHeight="1" x14ac:dyDescent="0.3">
      <c r="A327" s="3">
        <v>45986</v>
      </c>
      <c r="B327" s="19" t="s">
        <v>2476</v>
      </c>
      <c r="C327" s="19" t="s">
        <v>20</v>
      </c>
      <c r="D327" s="19" t="s">
        <v>9</v>
      </c>
      <c r="E327" s="4">
        <v>0.4</v>
      </c>
      <c r="F327" s="42">
        <v>2.2000000000000002</v>
      </c>
      <c r="G327" s="45">
        <v>380</v>
      </c>
      <c r="H327" s="22">
        <v>2</v>
      </c>
      <c r="I327" s="6">
        <f t="shared" si="6"/>
        <v>668.80000000000007</v>
      </c>
      <c r="J327" s="6" t="s">
        <v>88</v>
      </c>
    </row>
    <row r="328" spans="1:10" ht="13.95" customHeight="1" x14ac:dyDescent="0.3">
      <c r="A328" s="3">
        <v>45987</v>
      </c>
      <c r="B328" s="19" t="s">
        <v>2476</v>
      </c>
      <c r="C328" s="19" t="s">
        <v>5</v>
      </c>
      <c r="D328" s="19" t="s">
        <v>9</v>
      </c>
      <c r="E328" s="4">
        <v>0.45</v>
      </c>
      <c r="F328" s="42">
        <v>2.25</v>
      </c>
      <c r="G328" s="45">
        <v>380</v>
      </c>
      <c r="H328" s="22">
        <v>2</v>
      </c>
      <c r="I328" s="6">
        <f t="shared" si="6"/>
        <v>769.5</v>
      </c>
      <c r="J328" s="6" t="s">
        <v>88</v>
      </c>
    </row>
    <row r="329" spans="1:10" ht="13.95" customHeight="1" x14ac:dyDescent="0.3">
      <c r="A329" s="3">
        <v>45988</v>
      </c>
      <c r="B329" s="19" t="s">
        <v>2476</v>
      </c>
      <c r="C329" s="19" t="s">
        <v>8</v>
      </c>
      <c r="D329" s="19" t="s">
        <v>9</v>
      </c>
      <c r="E329" s="4">
        <v>0.45</v>
      </c>
      <c r="F329" s="42">
        <v>2.25</v>
      </c>
      <c r="G329" s="45">
        <v>380</v>
      </c>
      <c r="H329" s="22">
        <v>2</v>
      </c>
      <c r="I329" s="6">
        <f t="shared" si="6"/>
        <v>769.5</v>
      </c>
      <c r="J329" s="6" t="s">
        <v>88</v>
      </c>
    </row>
    <row r="330" spans="1:10" ht="13.95" customHeight="1" x14ac:dyDescent="0.3">
      <c r="A330" s="3">
        <v>45989</v>
      </c>
      <c r="B330" s="19" t="s">
        <v>2476</v>
      </c>
      <c r="C330" s="19" t="s">
        <v>11</v>
      </c>
      <c r="D330" s="19" t="s">
        <v>14</v>
      </c>
      <c r="E330" s="4">
        <v>0.55000000000000004</v>
      </c>
      <c r="F330" s="42">
        <v>2.8</v>
      </c>
      <c r="G330" s="45">
        <v>380</v>
      </c>
      <c r="H330" s="22">
        <v>2</v>
      </c>
      <c r="I330" s="6">
        <f t="shared" si="6"/>
        <v>1170.4000000000001</v>
      </c>
      <c r="J330" s="6" t="s">
        <v>97</v>
      </c>
    </row>
    <row r="331" spans="1:10" ht="13.95" customHeight="1" x14ac:dyDescent="0.3">
      <c r="A331" s="3">
        <v>45990</v>
      </c>
      <c r="B331" s="19" t="s">
        <v>2476</v>
      </c>
      <c r="C331" s="19" t="s">
        <v>13</v>
      </c>
      <c r="D331" s="19" t="s">
        <v>14</v>
      </c>
      <c r="E331" s="4">
        <v>0.65</v>
      </c>
      <c r="F331" s="42">
        <v>3.65</v>
      </c>
      <c r="G331" s="45">
        <v>380</v>
      </c>
      <c r="H331" s="22">
        <v>2</v>
      </c>
      <c r="I331" s="6">
        <f t="shared" si="6"/>
        <v>1803.1</v>
      </c>
      <c r="J331" s="6" t="s">
        <v>2379</v>
      </c>
    </row>
    <row r="332" spans="1:10" ht="13.95" customHeight="1" x14ac:dyDescent="0.3">
      <c r="A332" s="3">
        <v>45991</v>
      </c>
      <c r="B332" s="19" t="s">
        <v>2476</v>
      </c>
      <c r="C332" s="19" t="s">
        <v>16</v>
      </c>
      <c r="D332" s="19" t="s">
        <v>14</v>
      </c>
      <c r="E332" s="4">
        <v>0.6</v>
      </c>
      <c r="F332" s="42">
        <v>3.25</v>
      </c>
      <c r="G332" s="45">
        <v>380</v>
      </c>
      <c r="H332" s="22">
        <v>2</v>
      </c>
      <c r="I332" s="6">
        <f t="shared" si="6"/>
        <v>1482</v>
      </c>
      <c r="J332" s="6" t="s">
        <v>490</v>
      </c>
    </row>
    <row r="333" spans="1:10" ht="13.95" customHeight="1" x14ac:dyDescent="0.3">
      <c r="A333" s="3">
        <v>45992</v>
      </c>
      <c r="B333" s="19" t="s">
        <v>2476</v>
      </c>
      <c r="C333" s="19" t="s">
        <v>18</v>
      </c>
      <c r="D333" s="19" t="s">
        <v>2178</v>
      </c>
      <c r="E333" s="4">
        <v>0.4</v>
      </c>
      <c r="F333" s="42">
        <v>2.2000000000000002</v>
      </c>
      <c r="G333" s="45">
        <v>380</v>
      </c>
      <c r="H333" s="22">
        <v>2</v>
      </c>
      <c r="I333" s="6">
        <f t="shared" si="6"/>
        <v>668.80000000000007</v>
      </c>
      <c r="J333" s="6" t="s">
        <v>2298</v>
      </c>
    </row>
    <row r="334" spans="1:10" ht="13.95" customHeight="1" x14ac:dyDescent="0.3">
      <c r="A334" s="3">
        <v>45993</v>
      </c>
      <c r="B334" s="19" t="s">
        <v>2476</v>
      </c>
      <c r="C334" s="19" t="s">
        <v>20</v>
      </c>
      <c r="D334" s="19" t="s">
        <v>2178</v>
      </c>
      <c r="E334" s="4">
        <v>0.4</v>
      </c>
      <c r="F334" s="42">
        <v>2.2000000000000002</v>
      </c>
      <c r="G334" s="45">
        <v>380</v>
      </c>
      <c r="H334" s="22">
        <v>2</v>
      </c>
      <c r="I334" s="6">
        <f t="shared" si="6"/>
        <v>668.80000000000007</v>
      </c>
      <c r="J334" s="6" t="s">
        <v>2298</v>
      </c>
    </row>
    <row r="335" spans="1:10" ht="13.95" customHeight="1" x14ac:dyDescent="0.3">
      <c r="A335" s="3">
        <v>45994</v>
      </c>
      <c r="B335" s="19" t="s">
        <v>2476</v>
      </c>
      <c r="C335" s="19" t="s">
        <v>5</v>
      </c>
      <c r="D335" s="19" t="s">
        <v>2178</v>
      </c>
      <c r="E335" s="4">
        <v>0.4</v>
      </c>
      <c r="F335" s="42">
        <v>2.2000000000000002</v>
      </c>
      <c r="G335" s="45">
        <v>380</v>
      </c>
      <c r="H335" s="22">
        <v>2</v>
      </c>
      <c r="I335" s="6">
        <f t="shared" si="6"/>
        <v>668.80000000000007</v>
      </c>
      <c r="J335" s="6" t="s">
        <v>2298</v>
      </c>
    </row>
    <row r="336" spans="1:10" ht="13.95" customHeight="1" x14ac:dyDescent="0.3">
      <c r="A336" s="3">
        <v>45995</v>
      </c>
      <c r="B336" s="19" t="s">
        <v>2476</v>
      </c>
      <c r="C336" s="19" t="s">
        <v>8</v>
      </c>
      <c r="D336" s="19" t="s">
        <v>2178</v>
      </c>
      <c r="E336" s="4">
        <v>0.4</v>
      </c>
      <c r="F336" s="42">
        <v>2.25</v>
      </c>
      <c r="G336" s="45">
        <v>380</v>
      </c>
      <c r="H336" s="22">
        <v>2</v>
      </c>
      <c r="I336" s="6">
        <f t="shared" si="6"/>
        <v>684</v>
      </c>
      <c r="J336" s="6" t="s">
        <v>2298</v>
      </c>
    </row>
    <row r="337" spans="1:10" ht="13.95" customHeight="1" x14ac:dyDescent="0.3">
      <c r="A337" s="3">
        <v>45996</v>
      </c>
      <c r="B337" s="19" t="s">
        <v>2476</v>
      </c>
      <c r="C337" s="19" t="s">
        <v>11</v>
      </c>
      <c r="D337" s="19" t="s">
        <v>14</v>
      </c>
      <c r="E337" s="4">
        <v>0.5</v>
      </c>
      <c r="F337" s="42">
        <v>2.7</v>
      </c>
      <c r="G337" s="45">
        <v>380</v>
      </c>
      <c r="H337" s="22">
        <v>2</v>
      </c>
      <c r="I337" s="6">
        <f t="shared" si="6"/>
        <v>1026</v>
      </c>
      <c r="J337" s="6" t="s">
        <v>282</v>
      </c>
    </row>
    <row r="338" spans="1:10" ht="13.95" customHeight="1" x14ac:dyDescent="0.3">
      <c r="A338" s="3">
        <v>45997</v>
      </c>
      <c r="B338" s="19" t="s">
        <v>2476</v>
      </c>
      <c r="C338" s="19" t="s">
        <v>13</v>
      </c>
      <c r="D338" s="19" t="s">
        <v>14</v>
      </c>
      <c r="E338" s="4">
        <v>0.6</v>
      </c>
      <c r="F338" s="42">
        <v>3.4</v>
      </c>
      <c r="G338" s="45">
        <v>380</v>
      </c>
      <c r="H338" s="22">
        <v>2</v>
      </c>
      <c r="I338" s="6">
        <f t="shared" si="6"/>
        <v>1550.3999999999999</v>
      </c>
      <c r="J338" s="6" t="s">
        <v>2390</v>
      </c>
    </row>
    <row r="339" spans="1:10" ht="13.95" customHeight="1" x14ac:dyDescent="0.3">
      <c r="A339" s="3">
        <v>45998</v>
      </c>
      <c r="B339" s="19" t="s">
        <v>2476</v>
      </c>
      <c r="C339" s="19" t="s">
        <v>16</v>
      </c>
      <c r="D339" s="19" t="s">
        <v>14</v>
      </c>
      <c r="E339" s="4">
        <v>0.55000000000000004</v>
      </c>
      <c r="F339" s="42">
        <v>3.1</v>
      </c>
      <c r="G339" s="45">
        <v>380</v>
      </c>
      <c r="H339" s="22">
        <v>2</v>
      </c>
      <c r="I339" s="6">
        <f t="shared" si="6"/>
        <v>1295.8000000000002</v>
      </c>
      <c r="J339" s="6" t="s">
        <v>238</v>
      </c>
    </row>
    <row r="340" spans="1:10" ht="13.95" customHeight="1" x14ac:dyDescent="0.3">
      <c r="A340" s="3">
        <v>45999</v>
      </c>
      <c r="B340" s="19" t="s">
        <v>2476</v>
      </c>
      <c r="C340" s="19" t="s">
        <v>18</v>
      </c>
      <c r="D340" s="19" t="s">
        <v>2178</v>
      </c>
      <c r="E340" s="4">
        <v>0.4</v>
      </c>
      <c r="F340" s="42">
        <v>2.2000000000000002</v>
      </c>
      <c r="G340" s="45">
        <v>380</v>
      </c>
      <c r="H340" s="22">
        <v>2</v>
      </c>
      <c r="I340" s="6">
        <f t="shared" si="6"/>
        <v>668.80000000000007</v>
      </c>
      <c r="J340" s="6" t="s">
        <v>150</v>
      </c>
    </row>
    <row r="341" spans="1:10" ht="13.95" customHeight="1" x14ac:dyDescent="0.3">
      <c r="A341" s="3">
        <v>46003</v>
      </c>
      <c r="B341" s="19" t="s">
        <v>2476</v>
      </c>
      <c r="C341" s="19" t="s">
        <v>11</v>
      </c>
      <c r="D341" s="19" t="s">
        <v>14</v>
      </c>
      <c r="E341" s="4">
        <v>0.55000000000000004</v>
      </c>
      <c r="F341" s="42">
        <v>2.8</v>
      </c>
      <c r="G341" s="45">
        <v>380</v>
      </c>
      <c r="H341" s="22">
        <v>2</v>
      </c>
      <c r="I341" s="6">
        <f t="shared" si="6"/>
        <v>1170.4000000000001</v>
      </c>
      <c r="J341" s="6" t="s">
        <v>97</v>
      </c>
    </row>
    <row r="342" spans="1:10" ht="13.95" customHeight="1" x14ac:dyDescent="0.3">
      <c r="A342" s="3">
        <v>46004</v>
      </c>
      <c r="B342" s="19" t="s">
        <v>2476</v>
      </c>
      <c r="C342" s="19" t="s">
        <v>13</v>
      </c>
      <c r="D342" s="19" t="s">
        <v>14</v>
      </c>
      <c r="E342" s="4">
        <v>0.65</v>
      </c>
      <c r="F342" s="42">
        <v>3.5</v>
      </c>
      <c r="G342" s="45">
        <v>380</v>
      </c>
      <c r="H342" s="22">
        <v>2</v>
      </c>
      <c r="I342" s="6">
        <f t="shared" si="6"/>
        <v>1729</v>
      </c>
      <c r="J342" s="6" t="s">
        <v>2380</v>
      </c>
    </row>
    <row r="343" spans="1:10" ht="13.95" customHeight="1" x14ac:dyDescent="0.3">
      <c r="A343" s="3">
        <v>46005</v>
      </c>
      <c r="B343" s="19" t="s">
        <v>2476</v>
      </c>
      <c r="C343" s="19" t="s">
        <v>16</v>
      </c>
      <c r="D343" s="19" t="s">
        <v>14</v>
      </c>
      <c r="E343" s="4">
        <v>0.6</v>
      </c>
      <c r="F343" s="42">
        <v>3.15</v>
      </c>
      <c r="G343" s="45">
        <v>380</v>
      </c>
      <c r="H343" s="22">
        <v>2</v>
      </c>
      <c r="I343" s="6">
        <f t="shared" si="6"/>
        <v>1436.3999999999999</v>
      </c>
      <c r="J343" s="6" t="s">
        <v>69</v>
      </c>
    </row>
    <row r="344" spans="1:10" ht="13.95" customHeight="1" x14ac:dyDescent="0.3">
      <c r="A344" s="3">
        <v>46006</v>
      </c>
      <c r="B344" s="19" t="s">
        <v>2476</v>
      </c>
      <c r="C344" s="19" t="s">
        <v>18</v>
      </c>
      <c r="D344" s="19" t="s">
        <v>2464</v>
      </c>
      <c r="E344" s="4">
        <v>0.5</v>
      </c>
      <c r="F344" s="42">
        <v>2.2999999999999998</v>
      </c>
      <c r="G344" s="45">
        <v>380</v>
      </c>
      <c r="H344" s="22">
        <v>2</v>
      </c>
      <c r="I344" s="6">
        <f t="shared" si="6"/>
        <v>873.99999999999989</v>
      </c>
      <c r="J344" s="6" t="s">
        <v>2465</v>
      </c>
    </row>
    <row r="345" spans="1:10" ht="13.95" customHeight="1" x14ac:dyDescent="0.3">
      <c r="A345" s="3">
        <v>46007</v>
      </c>
      <c r="B345" s="19" t="s">
        <v>2476</v>
      </c>
      <c r="C345" s="19" t="s">
        <v>20</v>
      </c>
      <c r="D345" s="19" t="s">
        <v>2464</v>
      </c>
      <c r="E345" s="4">
        <v>0.55000000000000004</v>
      </c>
      <c r="F345" s="42">
        <v>2.4</v>
      </c>
      <c r="G345" s="45">
        <v>380</v>
      </c>
      <c r="H345" s="22">
        <v>2</v>
      </c>
      <c r="I345" s="6">
        <f t="shared" si="6"/>
        <v>1003.2</v>
      </c>
      <c r="J345" s="6" t="s">
        <v>2466</v>
      </c>
    </row>
    <row r="346" spans="1:10" ht="13.95" customHeight="1" x14ac:dyDescent="0.3">
      <c r="A346" s="3">
        <v>46008</v>
      </c>
      <c r="B346" s="19" t="s">
        <v>2476</v>
      </c>
      <c r="C346" s="19" t="s">
        <v>5</v>
      </c>
      <c r="D346" s="19" t="s">
        <v>1269</v>
      </c>
      <c r="E346" s="4">
        <v>0.75</v>
      </c>
      <c r="F346" s="42">
        <v>3.3</v>
      </c>
      <c r="G346" s="45">
        <v>380</v>
      </c>
      <c r="H346" s="22">
        <v>2</v>
      </c>
      <c r="I346" s="6">
        <f t="shared" si="6"/>
        <v>1881</v>
      </c>
      <c r="J346" s="6" t="s">
        <v>2401</v>
      </c>
    </row>
    <row r="347" spans="1:10" ht="13.95" customHeight="1" x14ac:dyDescent="0.3">
      <c r="A347" s="3">
        <v>46009</v>
      </c>
      <c r="B347" s="19" t="s">
        <v>2476</v>
      </c>
      <c r="C347" s="19" t="s">
        <v>8</v>
      </c>
      <c r="D347" s="19" t="s">
        <v>44</v>
      </c>
      <c r="E347" s="4">
        <v>0.65</v>
      </c>
      <c r="F347" s="42">
        <v>2.5</v>
      </c>
      <c r="G347" s="45">
        <v>380</v>
      </c>
      <c r="H347" s="22">
        <v>2</v>
      </c>
      <c r="I347" s="6">
        <f t="shared" si="6"/>
        <v>1235</v>
      </c>
      <c r="J347" s="6" t="s">
        <v>1899</v>
      </c>
    </row>
    <row r="348" spans="1:10" ht="13.95" customHeight="1" x14ac:dyDescent="0.3">
      <c r="A348" s="3">
        <v>46010</v>
      </c>
      <c r="B348" s="19" t="s">
        <v>2476</v>
      </c>
      <c r="C348" s="19" t="s">
        <v>11</v>
      </c>
      <c r="D348" s="19" t="s">
        <v>658</v>
      </c>
      <c r="E348" s="4">
        <v>0.75</v>
      </c>
      <c r="F348" s="42">
        <v>3.1</v>
      </c>
      <c r="G348" s="45">
        <v>380</v>
      </c>
      <c r="H348" s="22">
        <v>2</v>
      </c>
      <c r="I348" s="6">
        <f t="shared" si="6"/>
        <v>1767</v>
      </c>
      <c r="J348" s="6" t="s">
        <v>877</v>
      </c>
    </row>
    <row r="349" spans="1:10" ht="13.95" customHeight="1" x14ac:dyDescent="0.3">
      <c r="A349" s="3">
        <v>46011</v>
      </c>
      <c r="B349" s="19" t="s">
        <v>2476</v>
      </c>
      <c r="C349" s="19" t="s">
        <v>13</v>
      </c>
      <c r="D349" s="19" t="s">
        <v>658</v>
      </c>
      <c r="E349" s="4">
        <v>0.85</v>
      </c>
      <c r="F349" s="42">
        <v>3.7</v>
      </c>
      <c r="G349" s="45">
        <v>380</v>
      </c>
      <c r="H349" s="22">
        <v>2</v>
      </c>
      <c r="I349" s="6">
        <f t="shared" si="6"/>
        <v>2390.2000000000003</v>
      </c>
      <c r="J349" s="6" t="s">
        <v>2467</v>
      </c>
    </row>
    <row r="350" spans="1:10" ht="13.95" customHeight="1" x14ac:dyDescent="0.3">
      <c r="A350" s="3">
        <v>46012</v>
      </c>
      <c r="B350" s="19" t="s">
        <v>2476</v>
      </c>
      <c r="C350" s="19" t="s">
        <v>16</v>
      </c>
      <c r="D350" s="19" t="s">
        <v>658</v>
      </c>
      <c r="E350" s="4">
        <v>0.8</v>
      </c>
      <c r="F350" s="42">
        <v>3.35</v>
      </c>
      <c r="G350" s="45">
        <v>380</v>
      </c>
      <c r="H350" s="22">
        <v>2</v>
      </c>
      <c r="I350" s="6">
        <f t="shared" si="6"/>
        <v>2036.8</v>
      </c>
      <c r="J350" s="6" t="s">
        <v>159</v>
      </c>
    </row>
    <row r="351" spans="1:10" ht="13.95" customHeight="1" x14ac:dyDescent="0.3">
      <c r="A351" s="3">
        <v>46013</v>
      </c>
      <c r="B351" s="19" t="s">
        <v>2476</v>
      </c>
      <c r="C351" s="19" t="s">
        <v>18</v>
      </c>
      <c r="D351" s="19" t="s">
        <v>658</v>
      </c>
      <c r="E351" s="4">
        <v>0.8</v>
      </c>
      <c r="F351" s="42">
        <v>2.75</v>
      </c>
      <c r="G351" s="45">
        <v>380</v>
      </c>
      <c r="H351" s="22">
        <v>2</v>
      </c>
      <c r="I351" s="6">
        <f t="shared" si="6"/>
        <v>1672</v>
      </c>
      <c r="J351" s="6" t="s">
        <v>2468</v>
      </c>
    </row>
    <row r="352" spans="1:10" ht="13.95" customHeight="1" x14ac:dyDescent="0.3">
      <c r="A352" s="3">
        <v>46014</v>
      </c>
      <c r="B352" s="19" t="s">
        <v>2476</v>
      </c>
      <c r="C352" s="19" t="s">
        <v>20</v>
      </c>
      <c r="D352" s="19" t="s">
        <v>658</v>
      </c>
      <c r="E352" s="4">
        <v>0.9</v>
      </c>
      <c r="F352" s="42">
        <v>2.9</v>
      </c>
      <c r="G352" s="45">
        <v>380</v>
      </c>
      <c r="H352" s="22">
        <v>2</v>
      </c>
      <c r="I352" s="6">
        <f t="shared" si="6"/>
        <v>1983.6</v>
      </c>
      <c r="J352" s="6" t="s">
        <v>2350</v>
      </c>
    </row>
    <row r="353" spans="1:10" ht="13.95" customHeight="1" x14ac:dyDescent="0.3">
      <c r="A353" s="3">
        <v>46015</v>
      </c>
      <c r="B353" s="19" t="s">
        <v>2476</v>
      </c>
      <c r="C353" s="19" t="s">
        <v>5</v>
      </c>
      <c r="D353" s="19" t="s">
        <v>2469</v>
      </c>
      <c r="E353" s="4">
        <v>1</v>
      </c>
      <c r="F353" s="42">
        <v>4.5999999999999996</v>
      </c>
      <c r="G353" s="45">
        <v>380</v>
      </c>
      <c r="H353" s="22">
        <v>2</v>
      </c>
      <c r="I353" s="6">
        <f t="shared" si="6"/>
        <v>3495.9999999999995</v>
      </c>
      <c r="J353" s="6" t="s">
        <v>2470</v>
      </c>
    </row>
    <row r="354" spans="1:10" ht="13.95" customHeight="1" x14ac:dyDescent="0.3">
      <c r="A354" s="3">
        <v>46016</v>
      </c>
      <c r="B354" s="19" t="s">
        <v>2476</v>
      </c>
      <c r="C354" s="19" t="s">
        <v>8</v>
      </c>
      <c r="D354" s="19" t="s">
        <v>2471</v>
      </c>
      <c r="E354" s="4">
        <v>0.95</v>
      </c>
      <c r="F354" s="42">
        <v>3.95</v>
      </c>
      <c r="G354" s="45">
        <v>380</v>
      </c>
      <c r="H354" s="22">
        <v>2</v>
      </c>
      <c r="I354" s="6">
        <f t="shared" si="6"/>
        <v>2851.9</v>
      </c>
      <c r="J354" s="6" t="s">
        <v>2472</v>
      </c>
    </row>
    <row r="355" spans="1:10" ht="13.95" customHeight="1" x14ac:dyDescent="0.3">
      <c r="A355" s="3">
        <v>46017</v>
      </c>
      <c r="B355" s="19" t="s">
        <v>2476</v>
      </c>
      <c r="C355" s="19" t="s">
        <v>11</v>
      </c>
      <c r="D355" s="19" t="s">
        <v>658</v>
      </c>
      <c r="E355" s="4">
        <v>0.9</v>
      </c>
      <c r="F355" s="42">
        <v>3.25</v>
      </c>
      <c r="G355" s="45">
        <v>380</v>
      </c>
      <c r="H355" s="22">
        <v>2</v>
      </c>
      <c r="I355" s="6">
        <f t="shared" si="6"/>
        <v>2223</v>
      </c>
      <c r="J355" s="6" t="s">
        <v>197</v>
      </c>
    </row>
    <row r="356" spans="1:10" ht="13.95" customHeight="1" x14ac:dyDescent="0.3">
      <c r="A356" s="3">
        <v>46018</v>
      </c>
      <c r="B356" s="19" t="s">
        <v>2476</v>
      </c>
      <c r="C356" s="19" t="s">
        <v>13</v>
      </c>
      <c r="D356" s="19" t="s">
        <v>658</v>
      </c>
      <c r="E356" s="4">
        <v>0.95</v>
      </c>
      <c r="F356" s="42">
        <v>3.85</v>
      </c>
      <c r="G356" s="45">
        <v>380</v>
      </c>
      <c r="H356" s="22">
        <v>2</v>
      </c>
      <c r="I356" s="6">
        <f t="shared" si="6"/>
        <v>2779.7000000000003</v>
      </c>
      <c r="J356" s="6" t="s">
        <v>2412</v>
      </c>
    </row>
    <row r="357" spans="1:10" ht="13.95" customHeight="1" x14ac:dyDescent="0.3">
      <c r="A357" s="3">
        <v>46019</v>
      </c>
      <c r="B357" s="19" t="s">
        <v>2476</v>
      </c>
      <c r="C357" s="19" t="s">
        <v>16</v>
      </c>
      <c r="D357" s="19" t="s">
        <v>658</v>
      </c>
      <c r="E357" s="4">
        <v>0.9</v>
      </c>
      <c r="F357" s="42">
        <v>3.5</v>
      </c>
      <c r="G357" s="45">
        <v>380</v>
      </c>
      <c r="H357" s="22">
        <v>2</v>
      </c>
      <c r="I357" s="6">
        <f t="shared" si="6"/>
        <v>2394</v>
      </c>
      <c r="J357" s="6" t="s">
        <v>69</v>
      </c>
    </row>
    <row r="358" spans="1:10" ht="13.95" customHeight="1" x14ac:dyDescent="0.3">
      <c r="A358" s="3">
        <v>46020</v>
      </c>
      <c r="B358" s="19" t="s">
        <v>2476</v>
      </c>
      <c r="C358" s="19" t="s">
        <v>18</v>
      </c>
      <c r="D358" s="19" t="s">
        <v>2385</v>
      </c>
      <c r="E358" s="4">
        <v>0.95</v>
      </c>
      <c r="F358" s="42">
        <v>3</v>
      </c>
      <c r="G358" s="45">
        <v>380</v>
      </c>
      <c r="H358" s="22">
        <v>2</v>
      </c>
      <c r="I358" s="6">
        <f t="shared" si="6"/>
        <v>2166</v>
      </c>
      <c r="J358" s="6" t="s">
        <v>2473</v>
      </c>
    </row>
    <row r="359" spans="1:10" ht="13.95" customHeight="1" x14ac:dyDescent="0.3">
      <c r="A359" s="3">
        <v>46021</v>
      </c>
      <c r="B359" s="19" t="s">
        <v>2476</v>
      </c>
      <c r="C359" s="19" t="s">
        <v>20</v>
      </c>
      <c r="D359" s="19" t="s">
        <v>2385</v>
      </c>
      <c r="E359" s="4">
        <v>1</v>
      </c>
      <c r="F359" s="42">
        <v>3.2</v>
      </c>
      <c r="G359" s="45">
        <v>380</v>
      </c>
      <c r="H359" s="22">
        <v>2</v>
      </c>
      <c r="I359" s="6">
        <f t="shared" si="6"/>
        <v>2432</v>
      </c>
      <c r="J359" s="6" t="s">
        <v>2474</v>
      </c>
    </row>
    <row r="360" spans="1:10" ht="13.95" customHeight="1" x14ac:dyDescent="0.3">
      <c r="A360" s="3">
        <v>46022</v>
      </c>
      <c r="B360" s="19" t="s">
        <v>2476</v>
      </c>
      <c r="C360" s="19" t="s">
        <v>5</v>
      </c>
      <c r="D360" s="19" t="s">
        <v>1567</v>
      </c>
      <c r="E360" s="4">
        <v>1</v>
      </c>
      <c r="F360" s="42">
        <v>4.95</v>
      </c>
      <c r="G360" s="45">
        <v>380</v>
      </c>
      <c r="H360" s="22">
        <v>2</v>
      </c>
      <c r="I360" s="6">
        <f t="shared" si="6"/>
        <v>3762</v>
      </c>
      <c r="J360" s="6" t="s">
        <v>2475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FD952-DE2D-4C91-B129-96AFF3B54AF1}">
  <sheetPr>
    <tabColor rgb="FFFFFF00"/>
  </sheetPr>
  <dimension ref="A1:J386"/>
  <sheetViews>
    <sheetView workbookViewId="0">
      <selection activeCell="I2" sqref="I2:J386"/>
    </sheetView>
  </sheetViews>
  <sheetFormatPr baseColWidth="10" defaultRowHeight="14.4" x14ac:dyDescent="0.3"/>
  <cols>
    <col min="1" max="1" width="13.109375" bestFit="1" customWidth="1"/>
    <col min="2" max="2" width="18.44140625" bestFit="1" customWidth="1"/>
    <col min="4" max="4" width="13.6640625" bestFit="1" customWidth="1"/>
    <col min="10" max="10" width="29.44140625" bestFit="1" customWidth="1"/>
  </cols>
  <sheetData>
    <row r="1" spans="1:10" ht="28.2" thickBot="1" x14ac:dyDescent="0.35">
      <c r="A1" s="1" t="s">
        <v>333</v>
      </c>
      <c r="B1" s="1" t="s">
        <v>1637</v>
      </c>
      <c r="C1" s="34" t="s">
        <v>0</v>
      </c>
      <c r="D1" s="34" t="s">
        <v>1</v>
      </c>
      <c r="E1" s="37" t="s">
        <v>2</v>
      </c>
      <c r="F1" s="43" t="s">
        <v>3</v>
      </c>
      <c r="G1" s="47" t="s">
        <v>359</v>
      </c>
      <c r="H1" s="35" t="s">
        <v>360</v>
      </c>
      <c r="I1" s="47" t="s">
        <v>361</v>
      </c>
      <c r="J1" s="25" t="s">
        <v>4</v>
      </c>
    </row>
    <row r="2" spans="1:10" ht="13.95" customHeight="1" x14ac:dyDescent="0.3">
      <c r="A2" s="3">
        <v>45658</v>
      </c>
      <c r="B2" s="3" t="s">
        <v>2592</v>
      </c>
      <c r="C2" s="19" t="s">
        <v>5</v>
      </c>
      <c r="D2" s="19" t="s">
        <v>735</v>
      </c>
      <c r="E2" s="4">
        <v>0.95</v>
      </c>
      <c r="F2" s="42">
        <v>4.0999999999999996</v>
      </c>
      <c r="G2" s="45">
        <v>276</v>
      </c>
      <c r="H2" s="22">
        <v>1.9</v>
      </c>
      <c r="I2" s="6">
        <f t="shared" ref="I2:I65" si="0">(G2*E2)*F2*H2</f>
        <v>2042.5379999999993</v>
      </c>
      <c r="J2" s="6" t="s">
        <v>2190</v>
      </c>
    </row>
    <row r="3" spans="1:10" ht="13.95" customHeight="1" x14ac:dyDescent="0.3">
      <c r="A3" s="3">
        <v>45659</v>
      </c>
      <c r="B3" s="3" t="s">
        <v>2592</v>
      </c>
      <c r="C3" s="19" t="s">
        <v>8</v>
      </c>
      <c r="D3" s="19" t="s">
        <v>2176</v>
      </c>
      <c r="E3" s="4">
        <v>0.6</v>
      </c>
      <c r="F3" s="42">
        <v>2.4</v>
      </c>
      <c r="G3" s="45">
        <v>276</v>
      </c>
      <c r="H3" s="22">
        <v>1.9</v>
      </c>
      <c r="I3" s="6">
        <f t="shared" si="0"/>
        <v>755.13599999999997</v>
      </c>
      <c r="J3" s="6" t="s">
        <v>1639</v>
      </c>
    </row>
    <row r="4" spans="1:10" ht="13.95" customHeight="1" x14ac:dyDescent="0.3">
      <c r="A4" s="3">
        <v>45660</v>
      </c>
      <c r="B4" s="3" t="s">
        <v>2592</v>
      </c>
      <c r="C4" s="19" t="s">
        <v>11</v>
      </c>
      <c r="D4" s="19" t="s">
        <v>14</v>
      </c>
      <c r="E4" s="4">
        <v>0.5</v>
      </c>
      <c r="F4" s="42">
        <v>2.7</v>
      </c>
      <c r="G4" s="45">
        <v>276</v>
      </c>
      <c r="H4" s="22">
        <v>1.9</v>
      </c>
      <c r="I4" s="6">
        <f t="shared" si="0"/>
        <v>707.94</v>
      </c>
      <c r="J4" s="6" t="s">
        <v>2477</v>
      </c>
    </row>
    <row r="5" spans="1:10" ht="13.95" customHeight="1" x14ac:dyDescent="0.3">
      <c r="A5" s="3">
        <v>45661</v>
      </c>
      <c r="B5" s="3" t="s">
        <v>2592</v>
      </c>
      <c r="C5" s="19" t="s">
        <v>13</v>
      </c>
      <c r="D5" s="19" t="s">
        <v>14</v>
      </c>
      <c r="E5" s="4">
        <v>0.6</v>
      </c>
      <c r="F5" s="42">
        <v>3.3</v>
      </c>
      <c r="G5" s="45">
        <v>276</v>
      </c>
      <c r="H5" s="22">
        <v>1.9</v>
      </c>
      <c r="I5" s="6">
        <f t="shared" si="0"/>
        <v>1038.3119999999997</v>
      </c>
      <c r="J5" s="6" t="s">
        <v>2478</v>
      </c>
    </row>
    <row r="6" spans="1:10" ht="13.95" customHeight="1" x14ac:dyDescent="0.3">
      <c r="A6" s="3">
        <v>45662</v>
      </c>
      <c r="B6" s="3" t="s">
        <v>2592</v>
      </c>
      <c r="C6" s="19" t="s">
        <v>16</v>
      </c>
      <c r="D6" s="19" t="s">
        <v>14</v>
      </c>
      <c r="E6" s="4">
        <v>0.55000000000000004</v>
      </c>
      <c r="F6" s="42">
        <v>3</v>
      </c>
      <c r="G6" s="45">
        <v>276</v>
      </c>
      <c r="H6" s="22">
        <v>1.9</v>
      </c>
      <c r="I6" s="6">
        <f t="shared" si="0"/>
        <v>865.26</v>
      </c>
      <c r="J6" s="6" t="s">
        <v>238</v>
      </c>
    </row>
    <row r="7" spans="1:10" ht="13.95" customHeight="1" x14ac:dyDescent="0.3">
      <c r="A7" s="3">
        <v>45663</v>
      </c>
      <c r="B7" s="3" t="s">
        <v>2592</v>
      </c>
      <c r="C7" s="19" t="s">
        <v>18</v>
      </c>
      <c r="D7" s="19" t="s">
        <v>2015</v>
      </c>
      <c r="E7" s="4">
        <v>0.4</v>
      </c>
      <c r="F7" s="42">
        <v>2.15</v>
      </c>
      <c r="G7" s="45">
        <v>276</v>
      </c>
      <c r="H7" s="22">
        <v>1.9</v>
      </c>
      <c r="I7" s="6">
        <f t="shared" si="0"/>
        <v>450.98399999999998</v>
      </c>
      <c r="J7" s="6" t="s">
        <v>2479</v>
      </c>
    </row>
    <row r="8" spans="1:10" ht="13.95" customHeight="1" x14ac:dyDescent="0.3">
      <c r="A8" s="3">
        <v>45664</v>
      </c>
      <c r="B8" s="3" t="s">
        <v>2592</v>
      </c>
      <c r="C8" s="19" t="s">
        <v>20</v>
      </c>
      <c r="D8" s="19" t="s">
        <v>2015</v>
      </c>
      <c r="E8" s="4">
        <v>0.4</v>
      </c>
      <c r="F8" s="42">
        <v>2.15</v>
      </c>
      <c r="G8" s="45">
        <v>276</v>
      </c>
      <c r="H8" s="22">
        <v>1.9</v>
      </c>
      <c r="I8" s="6">
        <f t="shared" si="0"/>
        <v>450.98399999999998</v>
      </c>
      <c r="J8" s="6" t="s">
        <v>2480</v>
      </c>
    </row>
    <row r="9" spans="1:10" ht="13.95" customHeight="1" x14ac:dyDescent="0.3">
      <c r="A9" s="3">
        <v>45665</v>
      </c>
      <c r="B9" s="3" t="s">
        <v>2592</v>
      </c>
      <c r="C9" s="19" t="s">
        <v>5</v>
      </c>
      <c r="D9" s="19" t="s">
        <v>1263</v>
      </c>
      <c r="E9" s="4">
        <v>0.55000000000000004</v>
      </c>
      <c r="F9" s="42">
        <v>2.2999999999999998</v>
      </c>
      <c r="G9" s="45">
        <v>276</v>
      </c>
      <c r="H9" s="22">
        <v>1.9</v>
      </c>
      <c r="I9" s="6">
        <f t="shared" si="0"/>
        <v>663.36599999999999</v>
      </c>
      <c r="J9" s="6" t="s">
        <v>2481</v>
      </c>
    </row>
    <row r="10" spans="1:10" ht="13.95" customHeight="1" x14ac:dyDescent="0.3">
      <c r="A10" s="3">
        <v>45666</v>
      </c>
      <c r="B10" s="3" t="s">
        <v>2592</v>
      </c>
      <c r="C10" s="19" t="s">
        <v>8</v>
      </c>
      <c r="D10" s="19" t="s">
        <v>1263</v>
      </c>
      <c r="E10" s="4">
        <v>0.55000000000000004</v>
      </c>
      <c r="F10" s="42">
        <v>2.2999999999999998</v>
      </c>
      <c r="G10" s="45">
        <v>276</v>
      </c>
      <c r="H10" s="22">
        <v>1.9</v>
      </c>
      <c r="I10" s="6">
        <f t="shared" si="0"/>
        <v>663.36599999999999</v>
      </c>
      <c r="J10" s="6" t="s">
        <v>2481</v>
      </c>
    </row>
    <row r="11" spans="1:10" ht="13.95" customHeight="1" x14ac:dyDescent="0.3">
      <c r="A11" s="3">
        <v>45667</v>
      </c>
      <c r="B11" s="3" t="s">
        <v>2592</v>
      </c>
      <c r="C11" s="19" t="s">
        <v>11</v>
      </c>
      <c r="D11" s="19" t="s">
        <v>14</v>
      </c>
      <c r="E11" s="4">
        <v>0.5</v>
      </c>
      <c r="F11" s="42">
        <v>2.75</v>
      </c>
      <c r="G11" s="45">
        <v>276</v>
      </c>
      <c r="H11" s="22">
        <v>1.9</v>
      </c>
      <c r="I11" s="6">
        <f t="shared" si="0"/>
        <v>721.05</v>
      </c>
      <c r="J11" s="6" t="s">
        <v>97</v>
      </c>
    </row>
    <row r="12" spans="1:10" ht="13.95" customHeight="1" x14ac:dyDescent="0.3">
      <c r="A12" s="3">
        <v>45668</v>
      </c>
      <c r="B12" s="3" t="s">
        <v>2592</v>
      </c>
      <c r="C12" s="19" t="s">
        <v>13</v>
      </c>
      <c r="D12" s="19" t="s">
        <v>14</v>
      </c>
      <c r="E12" s="4">
        <v>0.65</v>
      </c>
      <c r="F12" s="42">
        <v>3.4</v>
      </c>
      <c r="G12" s="45">
        <v>276</v>
      </c>
      <c r="H12" s="22">
        <v>1.9</v>
      </c>
      <c r="I12" s="6">
        <f t="shared" si="0"/>
        <v>1158.924</v>
      </c>
      <c r="J12" s="6" t="s">
        <v>1711</v>
      </c>
    </row>
    <row r="13" spans="1:10" ht="13.95" customHeight="1" x14ac:dyDescent="0.3">
      <c r="A13" s="3">
        <v>45669</v>
      </c>
      <c r="B13" s="3" t="s">
        <v>2592</v>
      </c>
      <c r="C13" s="19" t="s">
        <v>16</v>
      </c>
      <c r="D13" s="19" t="s">
        <v>14</v>
      </c>
      <c r="E13" s="4">
        <v>0.6</v>
      </c>
      <c r="F13" s="42">
        <v>3.1</v>
      </c>
      <c r="G13" s="45">
        <v>276</v>
      </c>
      <c r="H13" s="22">
        <v>1.9</v>
      </c>
      <c r="I13" s="6">
        <f t="shared" si="0"/>
        <v>975.38400000000001</v>
      </c>
      <c r="J13" s="6" t="s">
        <v>69</v>
      </c>
    </row>
    <row r="14" spans="1:10" ht="13.95" customHeight="1" x14ac:dyDescent="0.3">
      <c r="A14" s="3">
        <v>45670</v>
      </c>
      <c r="B14" s="3" t="s">
        <v>2592</v>
      </c>
      <c r="C14" s="19" t="s">
        <v>18</v>
      </c>
      <c r="D14" s="19" t="s">
        <v>2015</v>
      </c>
      <c r="E14" s="4">
        <v>0.45</v>
      </c>
      <c r="F14" s="42">
        <v>2.2000000000000002</v>
      </c>
      <c r="G14" s="45">
        <v>276</v>
      </c>
      <c r="H14" s="22">
        <v>1.9</v>
      </c>
      <c r="I14" s="6">
        <f t="shared" si="0"/>
        <v>519.15599999999995</v>
      </c>
      <c r="J14" s="6" t="s">
        <v>88</v>
      </c>
    </row>
    <row r="15" spans="1:10" ht="13.95" customHeight="1" x14ac:dyDescent="0.3">
      <c r="A15" s="3">
        <v>45671</v>
      </c>
      <c r="B15" s="3" t="s">
        <v>2592</v>
      </c>
      <c r="C15" s="19" t="s">
        <v>20</v>
      </c>
      <c r="D15" s="19" t="s">
        <v>1269</v>
      </c>
      <c r="E15" s="4">
        <v>0.65</v>
      </c>
      <c r="F15" s="42">
        <v>3.2</v>
      </c>
      <c r="G15" s="45">
        <v>276</v>
      </c>
      <c r="H15" s="22">
        <v>1.9</v>
      </c>
      <c r="I15" s="6">
        <f t="shared" si="0"/>
        <v>1090.752</v>
      </c>
      <c r="J15" s="6" t="s">
        <v>2401</v>
      </c>
    </row>
    <row r="16" spans="1:10" ht="13.95" customHeight="1" x14ac:dyDescent="0.3">
      <c r="A16" s="3">
        <v>45672</v>
      </c>
      <c r="B16" s="3" t="s">
        <v>2592</v>
      </c>
      <c r="C16" s="19" t="s">
        <v>5</v>
      </c>
      <c r="D16" s="19" t="s">
        <v>2015</v>
      </c>
      <c r="E16" s="4">
        <v>0.45</v>
      </c>
      <c r="F16" s="42">
        <v>2.15</v>
      </c>
      <c r="G16" s="45">
        <v>276</v>
      </c>
      <c r="H16" s="22">
        <v>1.9</v>
      </c>
      <c r="I16" s="6">
        <f t="shared" si="0"/>
        <v>507.35699999999991</v>
      </c>
      <c r="J16" s="6" t="s">
        <v>88</v>
      </c>
    </row>
    <row r="17" spans="1:10" ht="13.95" customHeight="1" x14ac:dyDescent="0.3">
      <c r="A17" s="3">
        <v>45673</v>
      </c>
      <c r="B17" s="3" t="s">
        <v>2592</v>
      </c>
      <c r="C17" s="19" t="s">
        <v>8</v>
      </c>
      <c r="D17" s="19" t="s">
        <v>2015</v>
      </c>
      <c r="E17" s="4">
        <v>0.45</v>
      </c>
      <c r="F17" s="42">
        <v>2.2000000000000002</v>
      </c>
      <c r="G17" s="45">
        <v>276</v>
      </c>
      <c r="H17" s="22">
        <v>1.9</v>
      </c>
      <c r="I17" s="6">
        <f t="shared" si="0"/>
        <v>519.15599999999995</v>
      </c>
      <c r="J17" s="6" t="s">
        <v>88</v>
      </c>
    </row>
    <row r="18" spans="1:10" ht="13.95" customHeight="1" x14ac:dyDescent="0.3">
      <c r="A18" s="3">
        <v>45674</v>
      </c>
      <c r="B18" s="3" t="s">
        <v>2592</v>
      </c>
      <c r="C18" s="19" t="s">
        <v>11</v>
      </c>
      <c r="D18" s="19" t="s">
        <v>14</v>
      </c>
      <c r="E18" s="4">
        <v>0.55000000000000004</v>
      </c>
      <c r="F18" s="42">
        <v>2.8</v>
      </c>
      <c r="G18" s="45">
        <v>276</v>
      </c>
      <c r="H18" s="22">
        <v>1.9</v>
      </c>
      <c r="I18" s="6">
        <f t="shared" si="0"/>
        <v>807.57600000000002</v>
      </c>
      <c r="J18" s="6" t="s">
        <v>282</v>
      </c>
    </row>
    <row r="19" spans="1:10" ht="13.95" customHeight="1" x14ac:dyDescent="0.3">
      <c r="A19" s="3">
        <v>45675</v>
      </c>
      <c r="B19" s="3" t="s">
        <v>2592</v>
      </c>
      <c r="C19" s="19" t="s">
        <v>13</v>
      </c>
      <c r="D19" s="19" t="s">
        <v>14</v>
      </c>
      <c r="E19" s="4">
        <v>0.7</v>
      </c>
      <c r="F19" s="42">
        <v>3.45</v>
      </c>
      <c r="G19" s="45">
        <v>276</v>
      </c>
      <c r="H19" s="22">
        <v>1.9</v>
      </c>
      <c r="I19" s="6">
        <f t="shared" si="0"/>
        <v>1266.4259999999999</v>
      </c>
      <c r="J19" s="6" t="s">
        <v>2482</v>
      </c>
    </row>
    <row r="20" spans="1:10" ht="13.95" customHeight="1" x14ac:dyDescent="0.3">
      <c r="A20" s="3">
        <v>45676</v>
      </c>
      <c r="B20" s="3" t="s">
        <v>2592</v>
      </c>
      <c r="C20" s="19" t="s">
        <v>16</v>
      </c>
      <c r="D20" s="19" t="s">
        <v>14</v>
      </c>
      <c r="E20" s="4">
        <v>0.65</v>
      </c>
      <c r="F20" s="42">
        <v>3.1</v>
      </c>
      <c r="G20" s="45">
        <v>276</v>
      </c>
      <c r="H20" s="22">
        <v>1.9</v>
      </c>
      <c r="I20" s="6">
        <f t="shared" si="0"/>
        <v>1056.6659999999999</v>
      </c>
      <c r="J20" s="6" t="s">
        <v>69</v>
      </c>
    </row>
    <row r="21" spans="1:10" ht="13.95" customHeight="1" x14ac:dyDescent="0.3">
      <c r="A21" s="3">
        <v>45677</v>
      </c>
      <c r="B21" s="3" t="s">
        <v>2592</v>
      </c>
      <c r="C21" s="19" t="s">
        <v>18</v>
      </c>
      <c r="D21" s="19" t="s">
        <v>2015</v>
      </c>
      <c r="E21" s="4">
        <v>0.4</v>
      </c>
      <c r="F21" s="42">
        <v>2.15</v>
      </c>
      <c r="G21" s="45">
        <v>276</v>
      </c>
      <c r="H21" s="22">
        <v>1.9</v>
      </c>
      <c r="I21" s="6">
        <f t="shared" si="0"/>
        <v>450.98399999999998</v>
      </c>
      <c r="J21" s="6" t="s">
        <v>2483</v>
      </c>
    </row>
    <row r="22" spans="1:10" ht="13.95" customHeight="1" x14ac:dyDescent="0.3">
      <c r="A22" s="3">
        <v>45678</v>
      </c>
      <c r="B22" s="3" t="s">
        <v>2592</v>
      </c>
      <c r="C22" s="19" t="s">
        <v>20</v>
      </c>
      <c r="D22" s="19" t="s">
        <v>2015</v>
      </c>
      <c r="E22" s="4">
        <v>0.4</v>
      </c>
      <c r="F22" s="42">
        <v>2.15</v>
      </c>
      <c r="G22" s="45">
        <v>276</v>
      </c>
      <c r="H22" s="22">
        <v>1.9</v>
      </c>
      <c r="I22" s="6">
        <f t="shared" si="0"/>
        <v>450.98399999999998</v>
      </c>
      <c r="J22" s="6" t="s">
        <v>2483</v>
      </c>
    </row>
    <row r="23" spans="1:10" ht="13.95" customHeight="1" x14ac:dyDescent="0.3">
      <c r="A23" s="3">
        <v>45679</v>
      </c>
      <c r="B23" s="3" t="s">
        <v>2592</v>
      </c>
      <c r="C23" s="19" t="s">
        <v>5</v>
      </c>
      <c r="D23" s="19" t="s">
        <v>1263</v>
      </c>
      <c r="E23" s="4">
        <v>0.5</v>
      </c>
      <c r="F23" s="42">
        <v>2.25</v>
      </c>
      <c r="G23" s="45">
        <v>276</v>
      </c>
      <c r="H23" s="22">
        <v>1.9</v>
      </c>
      <c r="I23" s="6">
        <f t="shared" si="0"/>
        <v>589.94999999999993</v>
      </c>
      <c r="J23" s="6" t="s">
        <v>286</v>
      </c>
    </row>
    <row r="24" spans="1:10" ht="13.95" customHeight="1" x14ac:dyDescent="0.3">
      <c r="A24" s="3">
        <v>45680</v>
      </c>
      <c r="B24" s="3" t="s">
        <v>2592</v>
      </c>
      <c r="C24" s="19" t="s">
        <v>8</v>
      </c>
      <c r="D24" s="19" t="s">
        <v>1263</v>
      </c>
      <c r="E24" s="4">
        <v>0.5</v>
      </c>
      <c r="F24" s="42">
        <v>2.25</v>
      </c>
      <c r="G24" s="45">
        <v>276</v>
      </c>
      <c r="H24" s="22">
        <v>1.9</v>
      </c>
      <c r="I24" s="6">
        <f t="shared" si="0"/>
        <v>589.94999999999993</v>
      </c>
      <c r="J24" s="6" t="s">
        <v>286</v>
      </c>
    </row>
    <row r="25" spans="1:10" ht="13.95" customHeight="1" x14ac:dyDescent="0.3">
      <c r="A25" s="3">
        <v>45681</v>
      </c>
      <c r="B25" s="3" t="s">
        <v>2592</v>
      </c>
      <c r="C25" s="19" t="s">
        <v>11</v>
      </c>
      <c r="D25" s="19" t="s">
        <v>14</v>
      </c>
      <c r="E25" s="4">
        <v>0.6</v>
      </c>
      <c r="F25" s="42">
        <v>2.8</v>
      </c>
      <c r="G25" s="45">
        <v>276</v>
      </c>
      <c r="H25" s="22">
        <v>1.9</v>
      </c>
      <c r="I25" s="6">
        <f t="shared" si="0"/>
        <v>880.99199999999985</v>
      </c>
      <c r="J25" s="6" t="s">
        <v>97</v>
      </c>
    </row>
    <row r="26" spans="1:10" ht="13.95" customHeight="1" x14ac:dyDescent="0.3">
      <c r="A26" s="3">
        <v>45955</v>
      </c>
      <c r="B26" s="3" t="s">
        <v>2592</v>
      </c>
      <c r="C26" s="19" t="s">
        <v>13</v>
      </c>
      <c r="D26" s="19" t="s">
        <v>14</v>
      </c>
      <c r="E26" s="4">
        <v>0.75</v>
      </c>
      <c r="F26" s="42">
        <v>3.55</v>
      </c>
      <c r="G26" s="45">
        <v>276</v>
      </c>
      <c r="H26" s="22">
        <v>1.9</v>
      </c>
      <c r="I26" s="6">
        <f t="shared" si="0"/>
        <v>1396.2149999999997</v>
      </c>
      <c r="J26" s="6" t="s">
        <v>2290</v>
      </c>
    </row>
    <row r="27" spans="1:10" ht="13.95" customHeight="1" x14ac:dyDescent="0.3">
      <c r="A27" s="3">
        <v>45683</v>
      </c>
      <c r="B27" s="3" t="s">
        <v>2592</v>
      </c>
      <c r="C27" s="19" t="s">
        <v>16</v>
      </c>
      <c r="D27" s="19" t="s">
        <v>14</v>
      </c>
      <c r="E27" s="4">
        <v>0.7</v>
      </c>
      <c r="F27" s="42">
        <v>3.15</v>
      </c>
      <c r="G27" s="45">
        <v>276</v>
      </c>
      <c r="H27" s="22">
        <v>1.9</v>
      </c>
      <c r="I27" s="6">
        <f t="shared" si="0"/>
        <v>1156.3019999999999</v>
      </c>
      <c r="J27" s="6" t="s">
        <v>69</v>
      </c>
    </row>
    <row r="28" spans="1:10" ht="13.95" customHeight="1" x14ac:dyDescent="0.3">
      <c r="A28" s="3">
        <v>45684</v>
      </c>
      <c r="B28" s="3" t="s">
        <v>2592</v>
      </c>
      <c r="C28" s="19" t="s">
        <v>18</v>
      </c>
      <c r="D28" s="19" t="s">
        <v>2015</v>
      </c>
      <c r="E28" s="4">
        <v>0.45</v>
      </c>
      <c r="F28" s="42">
        <v>2.15</v>
      </c>
      <c r="G28" s="45">
        <v>276</v>
      </c>
      <c r="H28" s="22">
        <v>1.9</v>
      </c>
      <c r="I28" s="6">
        <f t="shared" si="0"/>
        <v>507.35699999999991</v>
      </c>
      <c r="J28" s="6" t="s">
        <v>88</v>
      </c>
    </row>
    <row r="29" spans="1:10" ht="13.95" customHeight="1" x14ac:dyDescent="0.3">
      <c r="A29" s="3">
        <v>45685</v>
      </c>
      <c r="B29" s="3" t="s">
        <v>2592</v>
      </c>
      <c r="C29" s="19" t="s">
        <v>20</v>
      </c>
      <c r="D29" s="19" t="s">
        <v>2015</v>
      </c>
      <c r="E29" s="4">
        <v>0.45</v>
      </c>
      <c r="F29" s="42">
        <v>2.15</v>
      </c>
      <c r="G29" s="45">
        <v>276</v>
      </c>
      <c r="H29" s="22">
        <v>1.9</v>
      </c>
      <c r="I29" s="6">
        <f t="shared" si="0"/>
        <v>507.35699999999991</v>
      </c>
      <c r="J29" s="6" t="s">
        <v>88</v>
      </c>
    </row>
    <row r="30" spans="1:10" ht="13.95" customHeight="1" x14ac:dyDescent="0.3">
      <c r="A30" s="3">
        <v>45686</v>
      </c>
      <c r="B30" s="3" t="s">
        <v>2592</v>
      </c>
      <c r="C30" s="19" t="s">
        <v>5</v>
      </c>
      <c r="D30" s="19" t="s">
        <v>2015</v>
      </c>
      <c r="E30" s="4">
        <v>0.4</v>
      </c>
      <c r="F30" s="42">
        <v>2.2000000000000002</v>
      </c>
      <c r="G30" s="45">
        <v>276</v>
      </c>
      <c r="H30" s="22">
        <v>1.9</v>
      </c>
      <c r="I30" s="6">
        <f t="shared" si="0"/>
        <v>461.47200000000004</v>
      </c>
      <c r="J30" s="6" t="s">
        <v>88</v>
      </c>
    </row>
    <row r="31" spans="1:10" ht="13.95" customHeight="1" x14ac:dyDescent="0.3">
      <c r="A31" s="3">
        <v>45687</v>
      </c>
      <c r="B31" s="3" t="s">
        <v>2592</v>
      </c>
      <c r="C31" s="19" t="s">
        <v>8</v>
      </c>
      <c r="D31" s="19" t="s">
        <v>2015</v>
      </c>
      <c r="E31" s="4">
        <v>0.4</v>
      </c>
      <c r="F31" s="42">
        <v>2.2000000000000002</v>
      </c>
      <c r="G31" s="45">
        <v>276</v>
      </c>
      <c r="H31" s="22">
        <v>1.9</v>
      </c>
      <c r="I31" s="6">
        <f t="shared" si="0"/>
        <v>461.47200000000004</v>
      </c>
      <c r="J31" s="6" t="s">
        <v>88</v>
      </c>
    </row>
    <row r="32" spans="1:10" ht="13.95" customHeight="1" x14ac:dyDescent="0.3">
      <c r="A32" s="3">
        <v>45688</v>
      </c>
      <c r="B32" s="3" t="s">
        <v>2592</v>
      </c>
      <c r="C32" s="19" t="s">
        <v>11</v>
      </c>
      <c r="D32" s="19" t="s">
        <v>14</v>
      </c>
      <c r="E32" s="4">
        <v>0.55000000000000004</v>
      </c>
      <c r="F32" s="42">
        <v>2.85</v>
      </c>
      <c r="G32" s="45">
        <v>276</v>
      </c>
      <c r="H32" s="22">
        <v>1.9</v>
      </c>
      <c r="I32" s="6">
        <f t="shared" si="0"/>
        <v>821.99700000000007</v>
      </c>
      <c r="J32" s="6" t="s">
        <v>2296</v>
      </c>
    </row>
    <row r="33" spans="1:10" ht="13.95" customHeight="1" x14ac:dyDescent="0.3">
      <c r="A33" s="3">
        <v>45689</v>
      </c>
      <c r="B33" s="3" t="s">
        <v>2592</v>
      </c>
      <c r="C33" s="19" t="s">
        <v>13</v>
      </c>
      <c r="D33" s="19" t="s">
        <v>14</v>
      </c>
      <c r="E33" s="4">
        <v>0.65</v>
      </c>
      <c r="F33" s="42">
        <v>3.45</v>
      </c>
      <c r="G33" s="45">
        <v>276</v>
      </c>
      <c r="H33" s="22">
        <v>2</v>
      </c>
      <c r="I33" s="6">
        <f t="shared" si="0"/>
        <v>1237.8600000000001</v>
      </c>
      <c r="J33" s="6" t="s">
        <v>2484</v>
      </c>
    </row>
    <row r="34" spans="1:10" ht="13.95" customHeight="1" x14ac:dyDescent="0.3">
      <c r="A34" s="3">
        <v>45690</v>
      </c>
      <c r="B34" s="3" t="s">
        <v>2592</v>
      </c>
      <c r="C34" s="19" t="s">
        <v>16</v>
      </c>
      <c r="D34" s="19" t="s">
        <v>14</v>
      </c>
      <c r="E34" s="4">
        <v>0.6</v>
      </c>
      <c r="F34" s="42">
        <v>3.1</v>
      </c>
      <c r="G34" s="45">
        <v>276</v>
      </c>
      <c r="H34" s="22">
        <v>2</v>
      </c>
      <c r="I34" s="6">
        <f t="shared" si="0"/>
        <v>1026.72</v>
      </c>
      <c r="J34" s="6" t="s">
        <v>238</v>
      </c>
    </row>
    <row r="35" spans="1:10" ht="13.95" customHeight="1" x14ac:dyDescent="0.3">
      <c r="A35" s="3">
        <v>45691</v>
      </c>
      <c r="B35" s="3" t="s">
        <v>2592</v>
      </c>
      <c r="C35" s="19" t="s">
        <v>18</v>
      </c>
      <c r="D35" s="19" t="s">
        <v>2015</v>
      </c>
      <c r="E35" s="4">
        <v>0.45</v>
      </c>
      <c r="F35" s="42">
        <v>2.2000000000000002</v>
      </c>
      <c r="G35" s="45">
        <v>276</v>
      </c>
      <c r="H35" s="22">
        <v>2</v>
      </c>
      <c r="I35" s="6">
        <f t="shared" si="0"/>
        <v>546.48</v>
      </c>
      <c r="J35" s="6" t="s">
        <v>2485</v>
      </c>
    </row>
    <row r="36" spans="1:10" ht="13.95" customHeight="1" x14ac:dyDescent="0.3">
      <c r="A36" s="3">
        <v>45692</v>
      </c>
      <c r="B36" s="3" t="s">
        <v>2592</v>
      </c>
      <c r="C36" s="19" t="s">
        <v>20</v>
      </c>
      <c r="D36" s="19" t="s">
        <v>2015</v>
      </c>
      <c r="E36" s="4">
        <v>0.45</v>
      </c>
      <c r="F36" s="42">
        <v>2.2000000000000002</v>
      </c>
      <c r="G36" s="45">
        <v>276</v>
      </c>
      <c r="H36" s="22">
        <v>2</v>
      </c>
      <c r="I36" s="6">
        <f t="shared" si="0"/>
        <v>546.48</v>
      </c>
      <c r="J36" s="6" t="s">
        <v>2485</v>
      </c>
    </row>
    <row r="37" spans="1:10" ht="13.95" customHeight="1" x14ac:dyDescent="0.3">
      <c r="A37" s="3">
        <v>45695</v>
      </c>
      <c r="B37" s="3" t="s">
        <v>2592</v>
      </c>
      <c r="C37" s="19" t="s">
        <v>11</v>
      </c>
      <c r="D37" s="19" t="s">
        <v>14</v>
      </c>
      <c r="E37" s="4">
        <v>0.55000000000000004</v>
      </c>
      <c r="F37" s="42">
        <v>2.8</v>
      </c>
      <c r="G37" s="45">
        <v>276</v>
      </c>
      <c r="H37" s="22">
        <v>2</v>
      </c>
      <c r="I37" s="6">
        <f t="shared" si="0"/>
        <v>850.08</v>
      </c>
      <c r="J37" s="6" t="s">
        <v>282</v>
      </c>
    </row>
    <row r="38" spans="1:10" ht="13.95" customHeight="1" x14ac:dyDescent="0.3">
      <c r="A38" s="3">
        <v>45696</v>
      </c>
      <c r="B38" s="3" t="s">
        <v>2592</v>
      </c>
      <c r="C38" s="19" t="s">
        <v>13</v>
      </c>
      <c r="D38" s="19" t="s">
        <v>14</v>
      </c>
      <c r="E38" s="4">
        <v>0.75</v>
      </c>
      <c r="F38" s="42">
        <v>3.55</v>
      </c>
      <c r="G38" s="45">
        <v>276</v>
      </c>
      <c r="H38" s="22">
        <v>2</v>
      </c>
      <c r="I38" s="6">
        <f t="shared" si="0"/>
        <v>1469.6999999999998</v>
      </c>
      <c r="J38" s="6" t="s">
        <v>1811</v>
      </c>
    </row>
    <row r="39" spans="1:10" ht="13.95" customHeight="1" x14ac:dyDescent="0.3">
      <c r="A39" s="3">
        <v>45697</v>
      </c>
      <c r="B39" s="3" t="s">
        <v>2592</v>
      </c>
      <c r="C39" s="19" t="s">
        <v>16</v>
      </c>
      <c r="D39" s="19" t="s">
        <v>14</v>
      </c>
      <c r="E39" s="4">
        <v>0.7</v>
      </c>
      <c r="F39" s="42">
        <v>3.2</v>
      </c>
      <c r="G39" s="45">
        <v>276</v>
      </c>
      <c r="H39" s="22">
        <v>2</v>
      </c>
      <c r="I39" s="6">
        <f t="shared" si="0"/>
        <v>1236.48</v>
      </c>
      <c r="J39" s="6" t="s">
        <v>159</v>
      </c>
    </row>
    <row r="40" spans="1:10" ht="13.95" customHeight="1" x14ac:dyDescent="0.3">
      <c r="A40" s="3">
        <v>45698</v>
      </c>
      <c r="B40" s="3" t="s">
        <v>2592</v>
      </c>
      <c r="C40" s="19" t="s">
        <v>18</v>
      </c>
      <c r="D40" s="19" t="s">
        <v>2015</v>
      </c>
      <c r="E40" s="4">
        <v>0.5</v>
      </c>
      <c r="F40" s="42">
        <v>2.25</v>
      </c>
      <c r="G40" s="45">
        <v>276</v>
      </c>
      <c r="H40" s="22">
        <v>2</v>
      </c>
      <c r="I40" s="6">
        <f t="shared" si="0"/>
        <v>621</v>
      </c>
      <c r="J40" s="6" t="s">
        <v>2486</v>
      </c>
    </row>
    <row r="41" spans="1:10" ht="13.95" customHeight="1" x14ac:dyDescent="0.3">
      <c r="A41" s="3">
        <v>45699</v>
      </c>
      <c r="B41" s="3" t="s">
        <v>2592</v>
      </c>
      <c r="C41" s="19" t="s">
        <v>20</v>
      </c>
      <c r="D41" s="19" t="s">
        <v>2015</v>
      </c>
      <c r="E41" s="4">
        <v>0.5</v>
      </c>
      <c r="F41" s="42">
        <v>2.25</v>
      </c>
      <c r="G41" s="45">
        <v>276</v>
      </c>
      <c r="H41" s="22">
        <v>2</v>
      </c>
      <c r="I41" s="6">
        <f t="shared" si="0"/>
        <v>621</v>
      </c>
      <c r="J41" s="6" t="s">
        <v>88</v>
      </c>
    </row>
    <row r="42" spans="1:10" ht="13.95" customHeight="1" x14ac:dyDescent="0.3">
      <c r="A42" s="3">
        <v>45700</v>
      </c>
      <c r="B42" s="3" t="s">
        <v>2592</v>
      </c>
      <c r="C42" s="19" t="s">
        <v>5</v>
      </c>
      <c r="D42" s="19" t="s">
        <v>2487</v>
      </c>
      <c r="E42" s="4">
        <v>0.55000000000000004</v>
      </c>
      <c r="F42" s="42">
        <v>2.4</v>
      </c>
      <c r="G42" s="45">
        <v>276</v>
      </c>
      <c r="H42" s="22">
        <v>2</v>
      </c>
      <c r="I42" s="6">
        <f t="shared" si="0"/>
        <v>728.64</v>
      </c>
      <c r="J42" s="6" t="s">
        <v>1587</v>
      </c>
    </row>
    <row r="43" spans="1:10" ht="13.95" customHeight="1" x14ac:dyDescent="0.3">
      <c r="A43" s="3">
        <v>45701</v>
      </c>
      <c r="B43" s="3" t="s">
        <v>2592</v>
      </c>
      <c r="C43" s="19" t="s">
        <v>8</v>
      </c>
      <c r="D43" s="19" t="s">
        <v>2487</v>
      </c>
      <c r="E43" s="4">
        <v>0.6</v>
      </c>
      <c r="F43" s="42">
        <v>2.6</v>
      </c>
      <c r="G43" s="45">
        <v>276</v>
      </c>
      <c r="H43" s="22">
        <v>2</v>
      </c>
      <c r="I43" s="6">
        <f t="shared" si="0"/>
        <v>861.12</v>
      </c>
      <c r="J43" s="6" t="s">
        <v>366</v>
      </c>
    </row>
    <row r="44" spans="1:10" ht="13.95" customHeight="1" x14ac:dyDescent="0.3">
      <c r="A44" s="3">
        <v>45702</v>
      </c>
      <c r="B44" s="3" t="s">
        <v>2592</v>
      </c>
      <c r="C44" s="19" t="s">
        <v>11</v>
      </c>
      <c r="D44" s="19" t="s">
        <v>2488</v>
      </c>
      <c r="E44" s="4">
        <v>0.9</v>
      </c>
      <c r="F44" s="42">
        <v>4.2</v>
      </c>
      <c r="G44" s="45">
        <v>276</v>
      </c>
      <c r="H44" s="22">
        <v>2</v>
      </c>
      <c r="I44" s="6">
        <f t="shared" si="0"/>
        <v>2086.56</v>
      </c>
      <c r="J44" s="6" t="s">
        <v>2489</v>
      </c>
    </row>
    <row r="45" spans="1:10" ht="13.95" customHeight="1" x14ac:dyDescent="0.3">
      <c r="A45" s="3">
        <v>45703</v>
      </c>
      <c r="B45" s="3" t="s">
        <v>2592</v>
      </c>
      <c r="C45" s="19" t="s">
        <v>13</v>
      </c>
      <c r="D45" s="19" t="s">
        <v>14</v>
      </c>
      <c r="E45" s="4">
        <v>0.95</v>
      </c>
      <c r="F45" s="42">
        <v>3.7</v>
      </c>
      <c r="G45" s="45">
        <v>276</v>
      </c>
      <c r="H45" s="22">
        <v>2</v>
      </c>
      <c r="I45" s="6">
        <f t="shared" si="0"/>
        <v>1940.28</v>
      </c>
      <c r="J45" s="6" t="s">
        <v>2490</v>
      </c>
    </row>
    <row r="46" spans="1:10" ht="13.95" customHeight="1" x14ac:dyDescent="0.3">
      <c r="A46" s="3">
        <v>45704</v>
      </c>
      <c r="B46" s="3" t="s">
        <v>2592</v>
      </c>
      <c r="C46" s="19" t="s">
        <v>16</v>
      </c>
      <c r="D46" s="19" t="s">
        <v>14</v>
      </c>
      <c r="E46" s="4">
        <v>0.85</v>
      </c>
      <c r="F46" s="42">
        <v>3.3</v>
      </c>
      <c r="G46" s="45">
        <v>276</v>
      </c>
      <c r="H46" s="22">
        <v>2</v>
      </c>
      <c r="I46" s="6">
        <f t="shared" si="0"/>
        <v>1548.36</v>
      </c>
      <c r="J46" s="6" t="s">
        <v>2491</v>
      </c>
    </row>
    <row r="47" spans="1:10" ht="13.95" customHeight="1" x14ac:dyDescent="0.3">
      <c r="A47" s="3">
        <v>45705</v>
      </c>
      <c r="B47" s="3" t="s">
        <v>2592</v>
      </c>
      <c r="C47" s="19" t="s">
        <v>18</v>
      </c>
      <c r="D47" s="19" t="s">
        <v>1491</v>
      </c>
      <c r="E47" s="4">
        <v>0.65</v>
      </c>
      <c r="F47" s="42">
        <v>2.4</v>
      </c>
      <c r="G47" s="45">
        <v>276</v>
      </c>
      <c r="H47" s="22">
        <v>2</v>
      </c>
      <c r="I47" s="6">
        <f t="shared" si="0"/>
        <v>861.12</v>
      </c>
      <c r="J47" s="6" t="s">
        <v>2492</v>
      </c>
    </row>
    <row r="48" spans="1:10" ht="13.95" customHeight="1" x14ac:dyDescent="0.3">
      <c r="A48" s="3">
        <v>45706</v>
      </c>
      <c r="B48" s="3" t="s">
        <v>2592</v>
      </c>
      <c r="C48" s="19" t="s">
        <v>20</v>
      </c>
      <c r="D48" s="19" t="s">
        <v>1491</v>
      </c>
      <c r="E48" s="4">
        <v>0.65</v>
      </c>
      <c r="F48" s="42">
        <v>2.4</v>
      </c>
      <c r="G48" s="45">
        <v>276</v>
      </c>
      <c r="H48" s="22">
        <v>2</v>
      </c>
      <c r="I48" s="6">
        <f t="shared" si="0"/>
        <v>861.12</v>
      </c>
      <c r="J48" s="6" t="s">
        <v>2201</v>
      </c>
    </row>
    <row r="49" spans="1:10" ht="13.95" customHeight="1" x14ac:dyDescent="0.3">
      <c r="A49" s="3">
        <v>45707</v>
      </c>
      <c r="B49" s="3" t="s">
        <v>2592</v>
      </c>
      <c r="C49" s="19" t="s">
        <v>5</v>
      </c>
      <c r="D49" s="19" t="s">
        <v>1491</v>
      </c>
      <c r="E49" s="4">
        <v>0.7</v>
      </c>
      <c r="F49" s="42">
        <v>2.4500000000000002</v>
      </c>
      <c r="G49" s="45">
        <v>276</v>
      </c>
      <c r="H49" s="22">
        <v>2</v>
      </c>
      <c r="I49" s="6">
        <f t="shared" si="0"/>
        <v>946.68000000000006</v>
      </c>
      <c r="J49" s="6" t="s">
        <v>2201</v>
      </c>
    </row>
    <row r="50" spans="1:10" ht="13.95" customHeight="1" x14ac:dyDescent="0.3">
      <c r="A50" s="3">
        <v>45708</v>
      </c>
      <c r="B50" s="3" t="s">
        <v>2592</v>
      </c>
      <c r="C50" s="19" t="s">
        <v>8</v>
      </c>
      <c r="D50" s="19" t="s">
        <v>1491</v>
      </c>
      <c r="E50" s="4">
        <v>0.7</v>
      </c>
      <c r="F50" s="42">
        <v>2.5</v>
      </c>
      <c r="G50" s="45">
        <v>276</v>
      </c>
      <c r="H50" s="22">
        <v>2</v>
      </c>
      <c r="I50" s="6">
        <f t="shared" si="0"/>
        <v>966</v>
      </c>
      <c r="J50" s="6" t="s">
        <v>2201</v>
      </c>
    </row>
    <row r="51" spans="1:10" ht="13.95" customHeight="1" x14ac:dyDescent="0.3">
      <c r="A51" s="3">
        <v>45709</v>
      </c>
      <c r="B51" s="3" t="s">
        <v>2592</v>
      </c>
      <c r="C51" s="19" t="s">
        <v>11</v>
      </c>
      <c r="D51" s="19" t="s">
        <v>14</v>
      </c>
      <c r="E51" s="4">
        <v>0.75</v>
      </c>
      <c r="F51" s="42">
        <v>2.9</v>
      </c>
      <c r="G51" s="45">
        <v>276</v>
      </c>
      <c r="H51" s="22">
        <v>2</v>
      </c>
      <c r="I51" s="6">
        <f t="shared" si="0"/>
        <v>1200.5999999999999</v>
      </c>
      <c r="J51" s="6" t="s">
        <v>282</v>
      </c>
    </row>
    <row r="52" spans="1:10" ht="13.95" customHeight="1" x14ac:dyDescent="0.3">
      <c r="A52" s="3">
        <v>45710</v>
      </c>
      <c r="B52" s="3" t="s">
        <v>2592</v>
      </c>
      <c r="C52" s="19" t="s">
        <v>13</v>
      </c>
      <c r="D52" s="19" t="s">
        <v>14</v>
      </c>
      <c r="E52" s="4">
        <v>0.85</v>
      </c>
      <c r="F52" s="42">
        <v>3.65</v>
      </c>
      <c r="G52" s="45">
        <v>276</v>
      </c>
      <c r="H52" s="22">
        <v>2</v>
      </c>
      <c r="I52" s="6">
        <f t="shared" si="0"/>
        <v>1712.58</v>
      </c>
      <c r="J52" s="6" t="s">
        <v>2493</v>
      </c>
    </row>
    <row r="53" spans="1:10" ht="13.95" customHeight="1" x14ac:dyDescent="0.3">
      <c r="A53" s="3">
        <v>45711</v>
      </c>
      <c r="B53" s="3" t="s">
        <v>2592</v>
      </c>
      <c r="C53" s="19" t="s">
        <v>16</v>
      </c>
      <c r="D53" s="19" t="s">
        <v>14</v>
      </c>
      <c r="E53" s="4">
        <v>0.8</v>
      </c>
      <c r="F53" s="42">
        <v>3.25</v>
      </c>
      <c r="G53" s="45">
        <v>276</v>
      </c>
      <c r="H53" s="22">
        <v>2</v>
      </c>
      <c r="I53" s="6">
        <f t="shared" si="0"/>
        <v>1435.2</v>
      </c>
      <c r="J53" s="6" t="s">
        <v>69</v>
      </c>
    </row>
    <row r="54" spans="1:10" ht="13.95" customHeight="1" x14ac:dyDescent="0.3">
      <c r="A54" s="3">
        <v>45712</v>
      </c>
      <c r="B54" s="3" t="s">
        <v>2592</v>
      </c>
      <c r="C54" s="19" t="s">
        <v>18</v>
      </c>
      <c r="D54" s="19" t="s">
        <v>1491</v>
      </c>
      <c r="E54" s="4">
        <v>0.6</v>
      </c>
      <c r="F54" s="42">
        <v>2.4</v>
      </c>
      <c r="G54" s="45">
        <v>276</v>
      </c>
      <c r="H54" s="22">
        <v>2</v>
      </c>
      <c r="I54" s="6">
        <f t="shared" si="0"/>
        <v>794.88</v>
      </c>
      <c r="J54" s="6" t="s">
        <v>88</v>
      </c>
    </row>
    <row r="55" spans="1:10" ht="13.95" customHeight="1" x14ac:dyDescent="0.3">
      <c r="A55" s="3">
        <v>45713</v>
      </c>
      <c r="B55" s="3" t="s">
        <v>2592</v>
      </c>
      <c r="C55" s="19" t="s">
        <v>20</v>
      </c>
      <c r="D55" s="19" t="s">
        <v>1491</v>
      </c>
      <c r="E55" s="4">
        <v>0.6</v>
      </c>
      <c r="F55" s="42">
        <v>2.4</v>
      </c>
      <c r="G55" s="45">
        <v>276</v>
      </c>
      <c r="H55" s="22">
        <v>2</v>
      </c>
      <c r="I55" s="6">
        <f t="shared" si="0"/>
        <v>794.88</v>
      </c>
      <c r="J55" s="6" t="s">
        <v>88</v>
      </c>
    </row>
    <row r="56" spans="1:10" ht="13.95" customHeight="1" x14ac:dyDescent="0.3">
      <c r="A56" s="3">
        <v>45714</v>
      </c>
      <c r="B56" s="3" t="s">
        <v>2592</v>
      </c>
      <c r="C56" s="19" t="s">
        <v>5</v>
      </c>
      <c r="D56" s="19" t="s">
        <v>1491</v>
      </c>
      <c r="E56" s="4">
        <v>0.65</v>
      </c>
      <c r="F56" s="42">
        <v>2.4500000000000002</v>
      </c>
      <c r="G56" s="45">
        <v>276</v>
      </c>
      <c r="H56" s="22">
        <v>2</v>
      </c>
      <c r="I56" s="6">
        <f t="shared" si="0"/>
        <v>879.06000000000006</v>
      </c>
      <c r="J56" s="6" t="s">
        <v>88</v>
      </c>
    </row>
    <row r="57" spans="1:10" ht="13.95" customHeight="1" x14ac:dyDescent="0.3">
      <c r="A57" s="3">
        <v>45715</v>
      </c>
      <c r="B57" s="3" t="s">
        <v>2592</v>
      </c>
      <c r="C57" s="19" t="s">
        <v>8</v>
      </c>
      <c r="D57" s="19" t="s">
        <v>1491</v>
      </c>
      <c r="E57" s="4">
        <v>0.65</v>
      </c>
      <c r="F57" s="42">
        <v>2.5</v>
      </c>
      <c r="G57" s="45">
        <v>276</v>
      </c>
      <c r="H57" s="22">
        <v>2</v>
      </c>
      <c r="I57" s="6">
        <f t="shared" si="0"/>
        <v>897</v>
      </c>
      <c r="J57" s="6" t="s">
        <v>88</v>
      </c>
    </row>
    <row r="58" spans="1:10" ht="13.95" customHeight="1" x14ac:dyDescent="0.3">
      <c r="A58" s="3">
        <v>45716</v>
      </c>
      <c r="B58" s="3" t="s">
        <v>2592</v>
      </c>
      <c r="C58" s="19" t="s">
        <v>11</v>
      </c>
      <c r="D58" s="19" t="s">
        <v>14</v>
      </c>
      <c r="E58" s="4">
        <v>0.7</v>
      </c>
      <c r="F58" s="42">
        <v>2.95</v>
      </c>
      <c r="G58" s="45">
        <v>276</v>
      </c>
      <c r="H58" s="22">
        <v>2</v>
      </c>
      <c r="I58" s="6">
        <f t="shared" si="0"/>
        <v>1139.8800000000001</v>
      </c>
      <c r="J58" s="6" t="s">
        <v>2494</v>
      </c>
    </row>
    <row r="59" spans="1:10" ht="13.95" customHeight="1" x14ac:dyDescent="0.3">
      <c r="A59" s="3">
        <v>45717</v>
      </c>
      <c r="B59" s="3" t="s">
        <v>2592</v>
      </c>
      <c r="C59" s="19" t="s">
        <v>13</v>
      </c>
      <c r="D59" s="19" t="s">
        <v>708</v>
      </c>
      <c r="E59" s="4">
        <v>0.65</v>
      </c>
      <c r="F59" s="42">
        <v>3.6</v>
      </c>
      <c r="G59" s="45">
        <v>276</v>
      </c>
      <c r="H59" s="22">
        <v>2.1</v>
      </c>
      <c r="I59" s="6">
        <f t="shared" si="0"/>
        <v>1356.2640000000001</v>
      </c>
      <c r="J59" s="6" t="s">
        <v>2495</v>
      </c>
    </row>
    <row r="60" spans="1:10" ht="13.95" customHeight="1" x14ac:dyDescent="0.3">
      <c r="A60" s="3">
        <v>45718</v>
      </c>
      <c r="B60" s="3" t="s">
        <v>2592</v>
      </c>
      <c r="C60" s="19" t="s">
        <v>16</v>
      </c>
      <c r="D60" s="19" t="s">
        <v>76</v>
      </c>
      <c r="E60" s="4">
        <v>0.6</v>
      </c>
      <c r="F60" s="42">
        <v>3.15</v>
      </c>
      <c r="G60" s="45">
        <v>276</v>
      </c>
      <c r="H60" s="22">
        <v>2.1</v>
      </c>
      <c r="I60" s="6">
        <f t="shared" si="0"/>
        <v>1095.444</v>
      </c>
      <c r="J60" s="6" t="s">
        <v>2309</v>
      </c>
    </row>
    <row r="61" spans="1:10" ht="13.95" customHeight="1" x14ac:dyDescent="0.3">
      <c r="A61" s="3">
        <v>45719</v>
      </c>
      <c r="B61" s="3" t="s">
        <v>2592</v>
      </c>
      <c r="C61" s="19" t="s">
        <v>18</v>
      </c>
      <c r="D61" s="19" t="s">
        <v>76</v>
      </c>
      <c r="E61" s="4">
        <v>0.45</v>
      </c>
      <c r="F61" s="42">
        <v>2.2000000000000002</v>
      </c>
      <c r="G61" s="45">
        <v>276</v>
      </c>
      <c r="H61" s="22">
        <v>2.1</v>
      </c>
      <c r="I61" s="6">
        <f t="shared" si="0"/>
        <v>573.80400000000009</v>
      </c>
      <c r="J61" s="6" t="s">
        <v>2496</v>
      </c>
    </row>
    <row r="62" spans="1:10" ht="13.95" customHeight="1" x14ac:dyDescent="0.3">
      <c r="A62" s="3">
        <v>45720</v>
      </c>
      <c r="B62" s="3" t="s">
        <v>2592</v>
      </c>
      <c r="C62" s="19" t="s">
        <v>20</v>
      </c>
      <c r="D62" s="19" t="s">
        <v>76</v>
      </c>
      <c r="E62" s="4">
        <v>0.45</v>
      </c>
      <c r="F62" s="42">
        <v>2.2000000000000002</v>
      </c>
      <c r="G62" s="45">
        <v>276</v>
      </c>
      <c r="H62" s="22">
        <v>2.1</v>
      </c>
      <c r="I62" s="6">
        <f t="shared" si="0"/>
        <v>573.80400000000009</v>
      </c>
      <c r="J62" s="6" t="s">
        <v>88</v>
      </c>
    </row>
    <row r="63" spans="1:10" ht="13.95" customHeight="1" x14ac:dyDescent="0.3">
      <c r="A63" s="3">
        <v>45721</v>
      </c>
      <c r="B63" s="3" t="s">
        <v>2592</v>
      </c>
      <c r="C63" s="19" t="s">
        <v>5</v>
      </c>
      <c r="D63" s="19" t="s">
        <v>76</v>
      </c>
      <c r="E63" s="4">
        <v>0.45</v>
      </c>
      <c r="F63" s="42">
        <v>2.25</v>
      </c>
      <c r="G63" s="45">
        <v>276</v>
      </c>
      <c r="H63" s="22">
        <v>2.1</v>
      </c>
      <c r="I63" s="6">
        <f t="shared" si="0"/>
        <v>586.84500000000003</v>
      </c>
      <c r="J63" s="6" t="s">
        <v>88</v>
      </c>
    </row>
    <row r="64" spans="1:10" ht="13.95" customHeight="1" x14ac:dyDescent="0.3">
      <c r="A64" s="3">
        <v>45722</v>
      </c>
      <c r="B64" s="3" t="s">
        <v>2592</v>
      </c>
      <c r="C64" s="19" t="s">
        <v>8</v>
      </c>
      <c r="D64" s="19" t="s">
        <v>76</v>
      </c>
      <c r="E64" s="4">
        <v>0.45</v>
      </c>
      <c r="F64" s="42">
        <v>2.25</v>
      </c>
      <c r="G64" s="45">
        <v>276</v>
      </c>
      <c r="H64" s="22">
        <v>2.1</v>
      </c>
      <c r="I64" s="6">
        <f t="shared" si="0"/>
        <v>586.84500000000003</v>
      </c>
      <c r="J64" s="6" t="s">
        <v>88</v>
      </c>
    </row>
    <row r="65" spans="1:10" ht="13.95" customHeight="1" x14ac:dyDescent="0.3">
      <c r="A65" s="3">
        <v>45723</v>
      </c>
      <c r="B65" s="3" t="s">
        <v>2592</v>
      </c>
      <c r="C65" s="19" t="s">
        <v>11</v>
      </c>
      <c r="D65" s="19" t="s">
        <v>76</v>
      </c>
      <c r="E65" s="4">
        <v>0.55000000000000004</v>
      </c>
      <c r="F65" s="42">
        <v>2.85</v>
      </c>
      <c r="G65" s="45">
        <v>276</v>
      </c>
      <c r="H65" s="22">
        <v>2.1</v>
      </c>
      <c r="I65" s="6">
        <f t="shared" si="0"/>
        <v>908.52300000000014</v>
      </c>
      <c r="J65" s="6" t="s">
        <v>2425</v>
      </c>
    </row>
    <row r="66" spans="1:10" ht="13.95" customHeight="1" x14ac:dyDescent="0.3">
      <c r="A66" s="3">
        <v>45724</v>
      </c>
      <c r="B66" s="3" t="s">
        <v>2592</v>
      </c>
      <c r="C66" s="19" t="s">
        <v>13</v>
      </c>
      <c r="D66" s="19" t="s">
        <v>76</v>
      </c>
      <c r="E66" s="4">
        <v>0.75</v>
      </c>
      <c r="F66" s="42">
        <v>3.75</v>
      </c>
      <c r="G66" s="45">
        <v>276</v>
      </c>
      <c r="H66" s="22">
        <v>2.1</v>
      </c>
      <c r="I66" s="6">
        <f t="shared" ref="I66:I129" si="1">(G66*E66)*F66*H66</f>
        <v>1630.125</v>
      </c>
      <c r="J66" s="6" t="s">
        <v>2497</v>
      </c>
    </row>
    <row r="67" spans="1:10" ht="13.95" customHeight="1" x14ac:dyDescent="0.3">
      <c r="A67" s="3">
        <v>45725</v>
      </c>
      <c r="B67" s="3" t="s">
        <v>2592</v>
      </c>
      <c r="C67" s="19" t="s">
        <v>16</v>
      </c>
      <c r="D67" s="19" t="s">
        <v>76</v>
      </c>
      <c r="E67" s="4">
        <v>0.7</v>
      </c>
      <c r="F67" s="42">
        <v>3.25</v>
      </c>
      <c r="G67" s="45">
        <v>276</v>
      </c>
      <c r="H67" s="22">
        <v>2.1</v>
      </c>
      <c r="I67" s="6">
        <f t="shared" si="1"/>
        <v>1318.59</v>
      </c>
      <c r="J67" s="6" t="s">
        <v>238</v>
      </c>
    </row>
    <row r="68" spans="1:10" ht="13.95" customHeight="1" x14ac:dyDescent="0.3">
      <c r="A68" s="3">
        <v>45726</v>
      </c>
      <c r="B68" s="3" t="s">
        <v>2592</v>
      </c>
      <c r="C68" s="19" t="s">
        <v>18</v>
      </c>
      <c r="D68" s="19" t="s">
        <v>76</v>
      </c>
      <c r="E68" s="4">
        <v>0.45</v>
      </c>
      <c r="F68" s="42">
        <v>2.2000000000000002</v>
      </c>
      <c r="G68" s="45">
        <v>276</v>
      </c>
      <c r="H68" s="22">
        <v>2.1</v>
      </c>
      <c r="I68" s="6">
        <f t="shared" si="1"/>
        <v>573.80400000000009</v>
      </c>
      <c r="J68" s="6" t="s">
        <v>88</v>
      </c>
    </row>
    <row r="69" spans="1:10" ht="13.95" customHeight="1" x14ac:dyDescent="0.3">
      <c r="A69" s="3">
        <v>45727</v>
      </c>
      <c r="B69" s="3" t="s">
        <v>2592</v>
      </c>
      <c r="C69" s="19" t="s">
        <v>20</v>
      </c>
      <c r="D69" s="19" t="s">
        <v>76</v>
      </c>
      <c r="E69" s="4">
        <v>0.45</v>
      </c>
      <c r="F69" s="42">
        <v>2.2000000000000002</v>
      </c>
      <c r="G69" s="45">
        <v>276</v>
      </c>
      <c r="H69" s="22">
        <v>2.1</v>
      </c>
      <c r="I69" s="6">
        <f t="shared" si="1"/>
        <v>573.80400000000009</v>
      </c>
      <c r="J69" s="6" t="s">
        <v>88</v>
      </c>
    </row>
    <row r="70" spans="1:10" ht="13.95" customHeight="1" x14ac:dyDescent="0.3">
      <c r="A70" s="3">
        <v>45728</v>
      </c>
      <c r="B70" s="3" t="s">
        <v>2592</v>
      </c>
      <c r="C70" s="19" t="s">
        <v>5</v>
      </c>
      <c r="D70" s="19" t="s">
        <v>76</v>
      </c>
      <c r="E70" s="4">
        <v>0.5</v>
      </c>
      <c r="F70" s="42">
        <v>2.25</v>
      </c>
      <c r="G70" s="45">
        <v>276</v>
      </c>
      <c r="H70" s="22">
        <v>2.1</v>
      </c>
      <c r="I70" s="6">
        <f t="shared" si="1"/>
        <v>652.05000000000007</v>
      </c>
      <c r="J70" s="6" t="s">
        <v>88</v>
      </c>
    </row>
    <row r="71" spans="1:10" ht="13.95" customHeight="1" x14ac:dyDescent="0.3">
      <c r="A71" s="3">
        <v>45729</v>
      </c>
      <c r="B71" s="3" t="s">
        <v>2592</v>
      </c>
      <c r="C71" s="19" t="s">
        <v>8</v>
      </c>
      <c r="D71" s="19" t="s">
        <v>76</v>
      </c>
      <c r="E71" s="4">
        <v>0.5</v>
      </c>
      <c r="F71" s="42">
        <v>2.25</v>
      </c>
      <c r="G71" s="45">
        <v>276</v>
      </c>
      <c r="H71" s="22">
        <v>2.1</v>
      </c>
      <c r="I71" s="6">
        <f t="shared" si="1"/>
        <v>652.05000000000007</v>
      </c>
      <c r="J71" s="6" t="s">
        <v>88</v>
      </c>
    </row>
    <row r="72" spans="1:10" ht="13.95" customHeight="1" x14ac:dyDescent="0.3">
      <c r="A72" s="3">
        <v>45730</v>
      </c>
      <c r="B72" s="3" t="s">
        <v>2592</v>
      </c>
      <c r="C72" s="19" t="s">
        <v>11</v>
      </c>
      <c r="D72" s="19" t="s">
        <v>76</v>
      </c>
      <c r="E72" s="4">
        <v>0.6</v>
      </c>
      <c r="F72" s="42">
        <v>2.9</v>
      </c>
      <c r="G72" s="45">
        <v>276</v>
      </c>
      <c r="H72" s="22">
        <v>2.1</v>
      </c>
      <c r="I72" s="6">
        <f t="shared" si="1"/>
        <v>1008.5039999999999</v>
      </c>
      <c r="J72" s="6" t="s">
        <v>97</v>
      </c>
    </row>
    <row r="73" spans="1:10" ht="13.95" customHeight="1" x14ac:dyDescent="0.3">
      <c r="A73" s="3">
        <v>45731</v>
      </c>
      <c r="B73" s="3" t="s">
        <v>2592</v>
      </c>
      <c r="C73" s="19" t="s">
        <v>13</v>
      </c>
      <c r="D73" s="19" t="s">
        <v>76</v>
      </c>
      <c r="E73" s="4">
        <v>0.8</v>
      </c>
      <c r="F73" s="42">
        <v>3.85</v>
      </c>
      <c r="G73" s="45">
        <v>276</v>
      </c>
      <c r="H73" s="22">
        <v>2.1</v>
      </c>
      <c r="I73" s="6">
        <f t="shared" si="1"/>
        <v>1785.1680000000001</v>
      </c>
      <c r="J73" s="6" t="s">
        <v>2498</v>
      </c>
    </row>
    <row r="74" spans="1:10" ht="13.95" customHeight="1" x14ac:dyDescent="0.3">
      <c r="A74" s="3">
        <v>45732</v>
      </c>
      <c r="B74" s="3" t="s">
        <v>2592</v>
      </c>
      <c r="C74" s="19" t="s">
        <v>16</v>
      </c>
      <c r="D74" s="19" t="s">
        <v>76</v>
      </c>
      <c r="E74" s="4">
        <v>0.75</v>
      </c>
      <c r="F74" s="42">
        <v>3.3</v>
      </c>
      <c r="G74" s="45">
        <v>276</v>
      </c>
      <c r="H74" s="22">
        <v>2.1</v>
      </c>
      <c r="I74" s="6">
        <f t="shared" si="1"/>
        <v>1434.5099999999998</v>
      </c>
      <c r="J74" s="6" t="s">
        <v>69</v>
      </c>
    </row>
    <row r="75" spans="1:10" ht="13.95" customHeight="1" x14ac:dyDescent="0.3">
      <c r="A75" s="3">
        <v>45733</v>
      </c>
      <c r="B75" s="3" t="s">
        <v>2592</v>
      </c>
      <c r="C75" s="19" t="s">
        <v>18</v>
      </c>
      <c r="D75" s="19" t="s">
        <v>76</v>
      </c>
      <c r="E75" s="4">
        <v>0.5</v>
      </c>
      <c r="F75" s="42">
        <v>2.2000000000000002</v>
      </c>
      <c r="G75" s="45">
        <v>276</v>
      </c>
      <c r="H75" s="22">
        <v>2.1</v>
      </c>
      <c r="I75" s="6">
        <f t="shared" si="1"/>
        <v>637.56000000000006</v>
      </c>
      <c r="J75" s="6" t="s">
        <v>150</v>
      </c>
    </row>
    <row r="76" spans="1:10" ht="13.95" customHeight="1" x14ac:dyDescent="0.3">
      <c r="A76" s="3">
        <v>45734</v>
      </c>
      <c r="B76" s="3" t="s">
        <v>2592</v>
      </c>
      <c r="C76" s="19" t="s">
        <v>20</v>
      </c>
      <c r="D76" s="19" t="s">
        <v>76</v>
      </c>
      <c r="E76" s="4">
        <v>0.5</v>
      </c>
      <c r="F76" s="42">
        <v>2.2000000000000002</v>
      </c>
      <c r="G76" s="45">
        <v>276</v>
      </c>
      <c r="H76" s="22">
        <v>2.1</v>
      </c>
      <c r="I76" s="6">
        <f t="shared" si="1"/>
        <v>637.56000000000006</v>
      </c>
      <c r="J76" s="6" t="s">
        <v>150</v>
      </c>
    </row>
    <row r="77" spans="1:10" ht="13.95" customHeight="1" x14ac:dyDescent="0.3">
      <c r="A77" s="3">
        <v>45735</v>
      </c>
      <c r="B77" s="3" t="s">
        <v>2592</v>
      </c>
      <c r="C77" s="19" t="s">
        <v>5</v>
      </c>
      <c r="D77" s="19" t="s">
        <v>76</v>
      </c>
      <c r="E77" s="4">
        <v>0.55000000000000004</v>
      </c>
      <c r="F77" s="42">
        <v>2.35</v>
      </c>
      <c r="G77" s="45">
        <v>276</v>
      </c>
      <c r="H77" s="22">
        <v>2.1</v>
      </c>
      <c r="I77" s="6">
        <f t="shared" si="1"/>
        <v>749.13300000000004</v>
      </c>
      <c r="J77" s="6" t="s">
        <v>2426</v>
      </c>
    </row>
    <row r="78" spans="1:10" ht="13.95" customHeight="1" x14ac:dyDescent="0.3">
      <c r="A78" s="3">
        <v>45736</v>
      </c>
      <c r="B78" s="3" t="s">
        <v>2592</v>
      </c>
      <c r="C78" s="19" t="s">
        <v>8</v>
      </c>
      <c r="D78" s="19" t="s">
        <v>383</v>
      </c>
      <c r="E78" s="4">
        <v>0.85</v>
      </c>
      <c r="F78" s="42">
        <v>3.6</v>
      </c>
      <c r="G78" s="45">
        <v>276</v>
      </c>
      <c r="H78" s="22">
        <v>2.1</v>
      </c>
      <c r="I78" s="6">
        <f t="shared" si="1"/>
        <v>1773.576</v>
      </c>
      <c r="J78" s="6" t="s">
        <v>2401</v>
      </c>
    </row>
    <row r="79" spans="1:10" ht="13.95" customHeight="1" x14ac:dyDescent="0.3">
      <c r="A79" s="3">
        <v>45737</v>
      </c>
      <c r="B79" s="3" t="s">
        <v>2592</v>
      </c>
      <c r="C79" s="19" t="s">
        <v>11</v>
      </c>
      <c r="D79" s="19" t="s">
        <v>76</v>
      </c>
      <c r="E79" s="4">
        <v>0.8</v>
      </c>
      <c r="F79" s="42">
        <v>3.15</v>
      </c>
      <c r="G79" s="45">
        <v>276</v>
      </c>
      <c r="H79" s="22">
        <v>2.1</v>
      </c>
      <c r="I79" s="6">
        <f t="shared" si="1"/>
        <v>1460.5920000000001</v>
      </c>
      <c r="J79" s="6" t="s">
        <v>197</v>
      </c>
    </row>
    <row r="80" spans="1:10" ht="13.95" customHeight="1" x14ac:dyDescent="0.3">
      <c r="A80" s="3">
        <v>45738</v>
      </c>
      <c r="B80" s="3" t="s">
        <v>2592</v>
      </c>
      <c r="C80" s="19" t="s">
        <v>13</v>
      </c>
      <c r="D80" s="19" t="s">
        <v>76</v>
      </c>
      <c r="E80" s="4">
        <v>0.9</v>
      </c>
      <c r="F80" s="42">
        <v>4</v>
      </c>
      <c r="G80" s="45">
        <v>276</v>
      </c>
      <c r="H80" s="22">
        <v>2.1</v>
      </c>
      <c r="I80" s="6">
        <f t="shared" si="1"/>
        <v>2086.56</v>
      </c>
      <c r="J80" s="6" t="s">
        <v>2499</v>
      </c>
    </row>
    <row r="81" spans="1:10" ht="13.95" customHeight="1" x14ac:dyDescent="0.3">
      <c r="A81" s="3">
        <v>45739</v>
      </c>
      <c r="B81" s="3" t="s">
        <v>2592</v>
      </c>
      <c r="C81" s="19" t="s">
        <v>16</v>
      </c>
      <c r="D81" s="19" t="s">
        <v>76</v>
      </c>
      <c r="E81" s="4">
        <v>0.85</v>
      </c>
      <c r="F81" s="42">
        <v>3.35</v>
      </c>
      <c r="G81" s="45">
        <v>276</v>
      </c>
      <c r="H81" s="22">
        <v>2.1</v>
      </c>
      <c r="I81" s="6">
        <f t="shared" si="1"/>
        <v>1650.4110000000001</v>
      </c>
      <c r="J81" s="6" t="s">
        <v>69</v>
      </c>
    </row>
    <row r="82" spans="1:10" ht="13.95" customHeight="1" x14ac:dyDescent="0.3">
      <c r="A82" s="3">
        <v>45740</v>
      </c>
      <c r="B82" s="3" t="s">
        <v>2592</v>
      </c>
      <c r="C82" s="19" t="s">
        <v>18</v>
      </c>
      <c r="D82" s="19" t="s">
        <v>76</v>
      </c>
      <c r="E82" s="4">
        <v>0.55000000000000004</v>
      </c>
      <c r="F82" s="42">
        <v>2.2000000000000002</v>
      </c>
      <c r="G82" s="45">
        <v>276</v>
      </c>
      <c r="H82" s="22">
        <v>2.1</v>
      </c>
      <c r="I82" s="6">
        <f t="shared" si="1"/>
        <v>701.31600000000014</v>
      </c>
      <c r="J82" s="6" t="s">
        <v>88</v>
      </c>
    </row>
    <row r="83" spans="1:10" ht="13.95" customHeight="1" x14ac:dyDescent="0.3">
      <c r="A83" s="3">
        <v>45741</v>
      </c>
      <c r="B83" s="3" t="s">
        <v>2592</v>
      </c>
      <c r="C83" s="19" t="s">
        <v>20</v>
      </c>
      <c r="D83" s="19" t="s">
        <v>76</v>
      </c>
      <c r="E83" s="4">
        <v>0.55000000000000004</v>
      </c>
      <c r="F83" s="42">
        <v>2.2000000000000002</v>
      </c>
      <c r="G83" s="45">
        <v>276</v>
      </c>
      <c r="H83" s="22">
        <v>2.1</v>
      </c>
      <c r="I83" s="6">
        <f t="shared" si="1"/>
        <v>701.31600000000014</v>
      </c>
      <c r="J83" s="6" t="s">
        <v>88</v>
      </c>
    </row>
    <row r="84" spans="1:10" ht="13.95" customHeight="1" x14ac:dyDescent="0.3">
      <c r="A84" s="3">
        <v>45742</v>
      </c>
      <c r="B84" s="3" t="s">
        <v>2592</v>
      </c>
      <c r="C84" s="19" t="s">
        <v>5</v>
      </c>
      <c r="D84" s="19" t="s">
        <v>2427</v>
      </c>
      <c r="E84" s="4">
        <v>0.7</v>
      </c>
      <c r="F84" s="42">
        <v>3.9</v>
      </c>
      <c r="G84" s="45">
        <v>276</v>
      </c>
      <c r="H84" s="22">
        <v>2.1</v>
      </c>
      <c r="I84" s="6">
        <f t="shared" si="1"/>
        <v>1582.3079999999998</v>
      </c>
      <c r="J84" s="6" t="s">
        <v>2500</v>
      </c>
    </row>
    <row r="85" spans="1:10" ht="13.95" customHeight="1" x14ac:dyDescent="0.3">
      <c r="A85" s="3">
        <v>45743</v>
      </c>
      <c r="B85" s="3" t="s">
        <v>2592</v>
      </c>
      <c r="C85" s="19" t="s">
        <v>8</v>
      </c>
      <c r="D85" s="19" t="s">
        <v>76</v>
      </c>
      <c r="E85" s="4">
        <v>0.6</v>
      </c>
      <c r="F85" s="42">
        <v>2.35</v>
      </c>
      <c r="G85" s="45">
        <v>276</v>
      </c>
      <c r="H85" s="22">
        <v>2.1</v>
      </c>
      <c r="I85" s="6">
        <f t="shared" si="1"/>
        <v>817.2360000000001</v>
      </c>
      <c r="J85" s="6" t="s">
        <v>1440</v>
      </c>
    </row>
    <row r="86" spans="1:10" ht="13.95" customHeight="1" x14ac:dyDescent="0.3">
      <c r="A86" s="3">
        <v>45744</v>
      </c>
      <c r="B86" s="3" t="s">
        <v>2592</v>
      </c>
      <c r="C86" s="19" t="s">
        <v>11</v>
      </c>
      <c r="D86" s="19" t="s">
        <v>904</v>
      </c>
      <c r="E86" s="4">
        <v>0.8</v>
      </c>
      <c r="F86" s="42">
        <v>3.25</v>
      </c>
      <c r="G86" s="45">
        <v>276</v>
      </c>
      <c r="H86" s="22">
        <v>2.1</v>
      </c>
      <c r="I86" s="6">
        <f t="shared" si="1"/>
        <v>1506.96</v>
      </c>
      <c r="J86" s="6" t="s">
        <v>531</v>
      </c>
    </row>
    <row r="87" spans="1:10" ht="13.95" customHeight="1" x14ac:dyDescent="0.3">
      <c r="A87" s="3">
        <v>45745</v>
      </c>
      <c r="B87" s="3" t="s">
        <v>2592</v>
      </c>
      <c r="C87" s="19" t="s">
        <v>13</v>
      </c>
      <c r="D87" s="19" t="s">
        <v>574</v>
      </c>
      <c r="E87" s="4">
        <v>1</v>
      </c>
      <c r="F87" s="42">
        <v>4.3</v>
      </c>
      <c r="G87" s="45">
        <v>276</v>
      </c>
      <c r="H87" s="22">
        <v>2.1</v>
      </c>
      <c r="I87" s="6">
        <f t="shared" si="1"/>
        <v>2492.2800000000002</v>
      </c>
      <c r="J87" s="6" t="s">
        <v>2429</v>
      </c>
    </row>
    <row r="88" spans="1:10" ht="13.95" customHeight="1" x14ac:dyDescent="0.3">
      <c r="A88" s="3">
        <v>45746</v>
      </c>
      <c r="B88" s="3" t="s">
        <v>2592</v>
      </c>
      <c r="C88" s="19" t="s">
        <v>16</v>
      </c>
      <c r="D88" s="19" t="s">
        <v>574</v>
      </c>
      <c r="E88" s="4">
        <v>1</v>
      </c>
      <c r="F88" s="42">
        <v>4</v>
      </c>
      <c r="G88" s="45">
        <v>276</v>
      </c>
      <c r="H88" s="22">
        <v>2.1</v>
      </c>
      <c r="I88" s="6">
        <f t="shared" si="1"/>
        <v>2318.4</v>
      </c>
      <c r="J88" s="6" t="s">
        <v>2318</v>
      </c>
    </row>
    <row r="89" spans="1:10" ht="13.95" customHeight="1" x14ac:dyDescent="0.3">
      <c r="A89" s="3">
        <v>45747</v>
      </c>
      <c r="B89" s="3" t="s">
        <v>2592</v>
      </c>
      <c r="C89" s="19" t="s">
        <v>18</v>
      </c>
      <c r="D89" s="19" t="s">
        <v>1314</v>
      </c>
      <c r="E89" s="4">
        <v>0.75</v>
      </c>
      <c r="F89" s="42">
        <v>2.7</v>
      </c>
      <c r="G89" s="45">
        <v>276</v>
      </c>
      <c r="H89" s="22">
        <v>2.1</v>
      </c>
      <c r="I89" s="6">
        <f t="shared" si="1"/>
        <v>1173.6900000000003</v>
      </c>
      <c r="J89" s="6" t="s">
        <v>2430</v>
      </c>
    </row>
    <row r="90" spans="1:10" ht="13.95" customHeight="1" x14ac:dyDescent="0.3">
      <c r="A90" s="3">
        <v>45748</v>
      </c>
      <c r="B90" s="3" t="s">
        <v>2592</v>
      </c>
      <c r="C90" s="19" t="s">
        <v>20</v>
      </c>
      <c r="D90" s="19" t="s">
        <v>1314</v>
      </c>
      <c r="E90" s="4">
        <v>0.6</v>
      </c>
      <c r="F90" s="42">
        <v>2.4</v>
      </c>
      <c r="G90" s="45">
        <v>276</v>
      </c>
      <c r="H90" s="22">
        <v>2.1</v>
      </c>
      <c r="I90" s="6">
        <f t="shared" si="1"/>
        <v>834.62400000000002</v>
      </c>
      <c r="J90" s="6" t="s">
        <v>704</v>
      </c>
    </row>
    <row r="91" spans="1:10" ht="13.95" customHeight="1" x14ac:dyDescent="0.3">
      <c r="A91" s="3">
        <v>45749</v>
      </c>
      <c r="B91" s="3" t="s">
        <v>2592</v>
      </c>
      <c r="C91" s="19" t="s">
        <v>5</v>
      </c>
      <c r="D91" s="19" t="s">
        <v>9</v>
      </c>
      <c r="E91" s="4">
        <v>0.6</v>
      </c>
      <c r="F91" s="42">
        <v>2.4</v>
      </c>
      <c r="G91" s="45">
        <v>276</v>
      </c>
      <c r="H91" s="22">
        <v>2.1</v>
      </c>
      <c r="I91" s="6">
        <f t="shared" si="1"/>
        <v>834.62400000000002</v>
      </c>
      <c r="J91" s="6" t="s">
        <v>2501</v>
      </c>
    </row>
    <row r="92" spans="1:10" ht="13.95" customHeight="1" x14ac:dyDescent="0.3">
      <c r="A92" s="3">
        <v>45750</v>
      </c>
      <c r="B92" s="3" t="s">
        <v>2592</v>
      </c>
      <c r="C92" s="19" t="s">
        <v>8</v>
      </c>
      <c r="D92" s="19" t="s">
        <v>9</v>
      </c>
      <c r="E92" s="4">
        <v>0.65</v>
      </c>
      <c r="F92" s="42">
        <v>2.4500000000000002</v>
      </c>
      <c r="G92" s="45">
        <v>276</v>
      </c>
      <c r="H92" s="22">
        <v>2.1</v>
      </c>
      <c r="I92" s="6">
        <f t="shared" si="1"/>
        <v>923.01300000000015</v>
      </c>
      <c r="J92" s="6" t="s">
        <v>717</v>
      </c>
    </row>
    <row r="93" spans="1:10" ht="13.95" customHeight="1" x14ac:dyDescent="0.3">
      <c r="A93" s="3">
        <v>45751</v>
      </c>
      <c r="B93" s="3" t="s">
        <v>2592</v>
      </c>
      <c r="C93" s="19" t="s">
        <v>11</v>
      </c>
      <c r="D93" s="19" t="s">
        <v>14</v>
      </c>
      <c r="E93" s="4">
        <v>0.75</v>
      </c>
      <c r="F93" s="42">
        <v>2.9</v>
      </c>
      <c r="G93" s="45">
        <v>276</v>
      </c>
      <c r="H93" s="22">
        <v>2.1</v>
      </c>
      <c r="I93" s="6">
        <f t="shared" si="1"/>
        <v>1260.6299999999999</v>
      </c>
      <c r="J93" s="6" t="s">
        <v>2502</v>
      </c>
    </row>
    <row r="94" spans="1:10" ht="13.95" customHeight="1" x14ac:dyDescent="0.3">
      <c r="A94" s="3">
        <v>45752</v>
      </c>
      <c r="B94" s="3" t="s">
        <v>2592</v>
      </c>
      <c r="C94" s="19" t="s">
        <v>13</v>
      </c>
      <c r="D94" s="19" t="s">
        <v>14</v>
      </c>
      <c r="E94" s="4">
        <v>0.85</v>
      </c>
      <c r="F94" s="42">
        <v>3.65</v>
      </c>
      <c r="G94" s="45">
        <v>276</v>
      </c>
      <c r="H94" s="22">
        <v>2.1</v>
      </c>
      <c r="I94" s="6">
        <f t="shared" si="1"/>
        <v>1798.2090000000001</v>
      </c>
      <c r="J94" s="6" t="s">
        <v>2412</v>
      </c>
    </row>
    <row r="95" spans="1:10" ht="13.95" customHeight="1" x14ac:dyDescent="0.3">
      <c r="A95" s="3">
        <v>45753</v>
      </c>
      <c r="B95" s="3" t="s">
        <v>2592</v>
      </c>
      <c r="C95" s="19" t="s">
        <v>16</v>
      </c>
      <c r="D95" s="19" t="s">
        <v>14</v>
      </c>
      <c r="E95" s="4">
        <v>0.8</v>
      </c>
      <c r="F95" s="42">
        <v>3.25</v>
      </c>
      <c r="G95" s="45">
        <v>276</v>
      </c>
      <c r="H95" s="22">
        <v>2.1</v>
      </c>
      <c r="I95" s="6">
        <f t="shared" si="1"/>
        <v>1506.96</v>
      </c>
      <c r="J95" s="6" t="s">
        <v>238</v>
      </c>
    </row>
    <row r="96" spans="1:10" ht="13.95" customHeight="1" x14ac:dyDescent="0.3">
      <c r="A96" s="3">
        <v>45754</v>
      </c>
      <c r="B96" s="3" t="s">
        <v>2592</v>
      </c>
      <c r="C96" s="19" t="s">
        <v>18</v>
      </c>
      <c r="D96" s="19" t="s">
        <v>9</v>
      </c>
      <c r="E96" s="4">
        <v>0.65</v>
      </c>
      <c r="F96" s="42">
        <v>2.4</v>
      </c>
      <c r="G96" s="45">
        <v>276</v>
      </c>
      <c r="H96" s="22">
        <v>2.1</v>
      </c>
      <c r="I96" s="6">
        <f t="shared" si="1"/>
        <v>904.17600000000004</v>
      </c>
      <c r="J96" s="6" t="s">
        <v>88</v>
      </c>
    </row>
    <row r="97" spans="1:10" ht="13.95" customHeight="1" x14ac:dyDescent="0.3">
      <c r="A97" s="3">
        <v>45755</v>
      </c>
      <c r="B97" s="3" t="s">
        <v>2592</v>
      </c>
      <c r="C97" s="19" t="s">
        <v>20</v>
      </c>
      <c r="D97" s="19" t="s">
        <v>994</v>
      </c>
      <c r="E97" s="4">
        <v>0.75</v>
      </c>
      <c r="F97" s="42">
        <v>2.6</v>
      </c>
      <c r="G97" s="45">
        <v>276</v>
      </c>
      <c r="H97" s="22">
        <v>2.1</v>
      </c>
      <c r="I97" s="6">
        <f t="shared" si="1"/>
        <v>1130.2200000000003</v>
      </c>
      <c r="J97" s="6" t="s">
        <v>1821</v>
      </c>
    </row>
    <row r="98" spans="1:10" ht="13.95" customHeight="1" x14ac:dyDescent="0.3">
      <c r="A98" s="3">
        <v>45756</v>
      </c>
      <c r="B98" s="3" t="s">
        <v>2592</v>
      </c>
      <c r="C98" s="19" t="s">
        <v>5</v>
      </c>
      <c r="D98" s="19" t="s">
        <v>1112</v>
      </c>
      <c r="E98" s="4">
        <v>0.85</v>
      </c>
      <c r="F98" s="42">
        <v>3.35</v>
      </c>
      <c r="G98" s="45">
        <v>276</v>
      </c>
      <c r="H98" s="22">
        <v>2.1</v>
      </c>
      <c r="I98" s="6">
        <f t="shared" si="1"/>
        <v>1650.4110000000001</v>
      </c>
      <c r="J98" s="6" t="s">
        <v>2401</v>
      </c>
    </row>
    <row r="99" spans="1:10" ht="13.95" customHeight="1" x14ac:dyDescent="0.3">
      <c r="A99" s="3">
        <v>45757</v>
      </c>
      <c r="B99" s="3" t="s">
        <v>2592</v>
      </c>
      <c r="C99" s="19" t="s">
        <v>8</v>
      </c>
      <c r="D99" s="19" t="s">
        <v>9</v>
      </c>
      <c r="E99" s="4">
        <v>0.7</v>
      </c>
      <c r="F99" s="42">
        <v>2.4500000000000002</v>
      </c>
      <c r="G99" s="45">
        <v>276</v>
      </c>
      <c r="H99" s="22">
        <v>2.1</v>
      </c>
      <c r="I99" s="6">
        <f t="shared" si="1"/>
        <v>994.01400000000012</v>
      </c>
      <c r="J99" s="6" t="s">
        <v>88</v>
      </c>
    </row>
    <row r="100" spans="1:10" ht="13.95" customHeight="1" x14ac:dyDescent="0.3">
      <c r="A100" s="3">
        <v>45758</v>
      </c>
      <c r="B100" s="3" t="s">
        <v>2592</v>
      </c>
      <c r="C100" s="19" t="s">
        <v>11</v>
      </c>
      <c r="D100" s="19" t="s">
        <v>14</v>
      </c>
      <c r="E100" s="4">
        <v>0.8</v>
      </c>
      <c r="F100" s="42">
        <v>3</v>
      </c>
      <c r="G100" s="45">
        <v>276</v>
      </c>
      <c r="H100" s="22">
        <v>2.1</v>
      </c>
      <c r="I100" s="6">
        <f t="shared" si="1"/>
        <v>1391.0400000000002</v>
      </c>
      <c r="J100" s="6" t="s">
        <v>282</v>
      </c>
    </row>
    <row r="101" spans="1:10" ht="13.95" customHeight="1" x14ac:dyDescent="0.3">
      <c r="A101" s="3">
        <v>45759</v>
      </c>
      <c r="B101" s="3" t="s">
        <v>2592</v>
      </c>
      <c r="C101" s="19" t="s">
        <v>13</v>
      </c>
      <c r="D101" s="19" t="s">
        <v>658</v>
      </c>
      <c r="E101" s="4">
        <v>0.9</v>
      </c>
      <c r="F101" s="42">
        <v>3.7</v>
      </c>
      <c r="G101" s="45">
        <v>276</v>
      </c>
      <c r="H101" s="22">
        <v>2.1</v>
      </c>
      <c r="I101" s="6">
        <f t="shared" si="1"/>
        <v>1930.0680000000002</v>
      </c>
      <c r="J101" s="6" t="s">
        <v>2503</v>
      </c>
    </row>
    <row r="102" spans="1:10" ht="13.95" customHeight="1" x14ac:dyDescent="0.3">
      <c r="A102" s="3">
        <v>45760</v>
      </c>
      <c r="B102" s="3" t="s">
        <v>2592</v>
      </c>
      <c r="C102" s="19" t="s">
        <v>16</v>
      </c>
      <c r="D102" s="19" t="s">
        <v>658</v>
      </c>
      <c r="E102" s="4">
        <v>0.85</v>
      </c>
      <c r="F102" s="42">
        <v>3.35</v>
      </c>
      <c r="G102" s="45">
        <v>276</v>
      </c>
      <c r="H102" s="22">
        <v>2.1</v>
      </c>
      <c r="I102" s="6">
        <f t="shared" si="1"/>
        <v>1650.4110000000001</v>
      </c>
      <c r="J102" s="6" t="s">
        <v>159</v>
      </c>
    </row>
    <row r="103" spans="1:10" ht="13.95" customHeight="1" x14ac:dyDescent="0.3">
      <c r="A103" s="3">
        <v>45761</v>
      </c>
      <c r="B103" s="3" t="s">
        <v>2592</v>
      </c>
      <c r="C103" s="19" t="s">
        <v>18</v>
      </c>
      <c r="D103" s="19" t="s">
        <v>658</v>
      </c>
      <c r="E103" s="4">
        <v>0.8</v>
      </c>
      <c r="F103" s="42">
        <v>2.7</v>
      </c>
      <c r="G103" s="45">
        <v>276</v>
      </c>
      <c r="H103" s="22">
        <v>2.1</v>
      </c>
      <c r="I103" s="6">
        <f t="shared" si="1"/>
        <v>1251.9360000000001</v>
      </c>
      <c r="J103" s="6" t="s">
        <v>2504</v>
      </c>
    </row>
    <row r="104" spans="1:10" ht="13.95" customHeight="1" x14ac:dyDescent="0.3">
      <c r="A104" s="3">
        <v>45762</v>
      </c>
      <c r="B104" s="3" t="s">
        <v>2592</v>
      </c>
      <c r="C104" s="19" t="s">
        <v>20</v>
      </c>
      <c r="D104" s="19" t="s">
        <v>658</v>
      </c>
      <c r="E104" s="4">
        <v>0.8</v>
      </c>
      <c r="F104" s="42">
        <v>2.7</v>
      </c>
      <c r="G104" s="45">
        <v>276</v>
      </c>
      <c r="H104" s="22">
        <v>2.1</v>
      </c>
      <c r="I104" s="6">
        <f t="shared" si="1"/>
        <v>1251.9360000000001</v>
      </c>
      <c r="J104" s="6" t="s">
        <v>2504</v>
      </c>
    </row>
    <row r="105" spans="1:10" ht="13.95" customHeight="1" x14ac:dyDescent="0.3">
      <c r="A105" s="3">
        <v>45763</v>
      </c>
      <c r="B105" s="3" t="s">
        <v>2592</v>
      </c>
      <c r="C105" s="19" t="s">
        <v>5</v>
      </c>
      <c r="D105" s="19" t="s">
        <v>658</v>
      </c>
      <c r="E105" s="4">
        <v>0.85</v>
      </c>
      <c r="F105" s="42">
        <v>2.75</v>
      </c>
      <c r="G105" s="45">
        <v>276</v>
      </c>
      <c r="H105" s="22">
        <v>2.1</v>
      </c>
      <c r="I105" s="6">
        <f t="shared" si="1"/>
        <v>1354.8150000000001</v>
      </c>
      <c r="J105" s="6" t="s">
        <v>2504</v>
      </c>
    </row>
    <row r="106" spans="1:10" ht="13.95" customHeight="1" x14ac:dyDescent="0.3">
      <c r="A106" s="3">
        <v>45764</v>
      </c>
      <c r="B106" s="3" t="s">
        <v>2592</v>
      </c>
      <c r="C106" s="19" t="s">
        <v>8</v>
      </c>
      <c r="D106" s="19" t="s">
        <v>658</v>
      </c>
      <c r="E106" s="4">
        <v>0.9</v>
      </c>
      <c r="F106" s="42">
        <v>2.85</v>
      </c>
      <c r="G106" s="45">
        <v>276</v>
      </c>
      <c r="H106" s="22">
        <v>2.1</v>
      </c>
      <c r="I106" s="6">
        <f t="shared" si="1"/>
        <v>1486.6740000000002</v>
      </c>
      <c r="J106" s="6" t="s">
        <v>2505</v>
      </c>
    </row>
    <row r="107" spans="1:10" ht="13.95" customHeight="1" x14ac:dyDescent="0.3">
      <c r="A107" s="3">
        <v>45765</v>
      </c>
      <c r="B107" s="3" t="s">
        <v>2592</v>
      </c>
      <c r="C107" s="19" t="s">
        <v>11</v>
      </c>
      <c r="D107" s="19" t="s">
        <v>1118</v>
      </c>
      <c r="E107" s="4">
        <v>0.95</v>
      </c>
      <c r="F107" s="42">
        <v>3.15</v>
      </c>
      <c r="G107" s="45">
        <v>276</v>
      </c>
      <c r="H107" s="22">
        <v>2.1</v>
      </c>
      <c r="I107" s="6">
        <f t="shared" si="1"/>
        <v>1734.453</v>
      </c>
      <c r="J107" s="6" t="s">
        <v>2506</v>
      </c>
    </row>
    <row r="108" spans="1:10" ht="13.95" customHeight="1" x14ac:dyDescent="0.3">
      <c r="A108" s="3">
        <v>45766</v>
      </c>
      <c r="B108" s="3" t="s">
        <v>2592</v>
      </c>
      <c r="C108" s="19" t="s">
        <v>13</v>
      </c>
      <c r="D108" s="19" t="s">
        <v>2507</v>
      </c>
      <c r="E108" s="4">
        <v>1</v>
      </c>
      <c r="F108" s="42">
        <v>3.95</v>
      </c>
      <c r="G108" s="45">
        <v>276</v>
      </c>
      <c r="H108" s="22">
        <v>2.1</v>
      </c>
      <c r="I108" s="6">
        <f t="shared" si="1"/>
        <v>2289.42</v>
      </c>
      <c r="J108" s="6" t="s">
        <v>2508</v>
      </c>
    </row>
    <row r="109" spans="1:10" ht="13.95" customHeight="1" x14ac:dyDescent="0.3">
      <c r="A109" s="3">
        <v>45767</v>
      </c>
      <c r="B109" s="3" t="s">
        <v>2592</v>
      </c>
      <c r="C109" s="19" t="s">
        <v>16</v>
      </c>
      <c r="D109" s="19" t="s">
        <v>1774</v>
      </c>
      <c r="E109" s="4">
        <v>1</v>
      </c>
      <c r="F109" s="42">
        <v>4.3</v>
      </c>
      <c r="G109" s="45">
        <v>276</v>
      </c>
      <c r="H109" s="22">
        <v>2.1</v>
      </c>
      <c r="I109" s="6">
        <f t="shared" si="1"/>
        <v>2492.2800000000002</v>
      </c>
      <c r="J109" s="6" t="s">
        <v>2509</v>
      </c>
    </row>
    <row r="110" spans="1:10" ht="13.95" customHeight="1" x14ac:dyDescent="0.3">
      <c r="A110" s="3">
        <v>45768</v>
      </c>
      <c r="B110" s="3" t="s">
        <v>2592</v>
      </c>
      <c r="C110" s="19" t="s">
        <v>18</v>
      </c>
      <c r="D110" s="19" t="s">
        <v>1776</v>
      </c>
      <c r="E110" s="4">
        <v>0.95</v>
      </c>
      <c r="F110" s="42">
        <v>3.6</v>
      </c>
      <c r="G110" s="45">
        <v>276</v>
      </c>
      <c r="H110" s="22">
        <v>2.1</v>
      </c>
      <c r="I110" s="6">
        <f t="shared" si="1"/>
        <v>1982.232</v>
      </c>
      <c r="J110" s="6" t="s">
        <v>2510</v>
      </c>
    </row>
    <row r="111" spans="1:10" ht="13.95" customHeight="1" x14ac:dyDescent="0.3">
      <c r="A111" s="3">
        <v>45769</v>
      </c>
      <c r="B111" s="3" t="s">
        <v>2592</v>
      </c>
      <c r="C111" s="19" t="s">
        <v>20</v>
      </c>
      <c r="D111" s="19" t="s">
        <v>658</v>
      </c>
      <c r="E111" s="4">
        <v>0.85</v>
      </c>
      <c r="F111" s="42">
        <v>2.7</v>
      </c>
      <c r="G111" s="45">
        <v>276</v>
      </c>
      <c r="H111" s="22">
        <v>2.1</v>
      </c>
      <c r="I111" s="6">
        <f t="shared" si="1"/>
        <v>1330.1820000000002</v>
      </c>
      <c r="J111" s="6" t="s">
        <v>2511</v>
      </c>
    </row>
    <row r="112" spans="1:10" ht="13.95" customHeight="1" x14ac:dyDescent="0.3">
      <c r="A112" s="3">
        <v>45770</v>
      </c>
      <c r="B112" s="3" t="s">
        <v>2592</v>
      </c>
      <c r="C112" s="19" t="s">
        <v>5</v>
      </c>
      <c r="D112" s="19" t="s">
        <v>658</v>
      </c>
      <c r="E112" s="4">
        <v>0.8</v>
      </c>
      <c r="F112" s="42">
        <v>2.7</v>
      </c>
      <c r="G112" s="45">
        <v>276</v>
      </c>
      <c r="H112" s="22">
        <v>2.1</v>
      </c>
      <c r="I112" s="6">
        <f t="shared" si="1"/>
        <v>1251.9360000000001</v>
      </c>
      <c r="J112" s="6" t="s">
        <v>2511</v>
      </c>
    </row>
    <row r="113" spans="1:10" ht="13.95" customHeight="1" x14ac:dyDescent="0.3">
      <c r="A113" s="3">
        <v>45771</v>
      </c>
      <c r="B113" s="3" t="s">
        <v>2592</v>
      </c>
      <c r="C113" s="19" t="s">
        <v>8</v>
      </c>
      <c r="D113" s="19" t="s">
        <v>658</v>
      </c>
      <c r="E113" s="4">
        <v>0.8</v>
      </c>
      <c r="F113" s="42">
        <v>2.75</v>
      </c>
      <c r="G113" s="45">
        <v>276</v>
      </c>
      <c r="H113" s="22">
        <v>2.1</v>
      </c>
      <c r="I113" s="6">
        <f t="shared" si="1"/>
        <v>1275.1200000000001</v>
      </c>
      <c r="J113" s="6" t="s">
        <v>2511</v>
      </c>
    </row>
    <row r="114" spans="1:10" ht="13.95" customHeight="1" x14ac:dyDescent="0.3">
      <c r="A114" s="3">
        <v>45772</v>
      </c>
      <c r="B114" s="3" t="s">
        <v>2592</v>
      </c>
      <c r="C114" s="19" t="s">
        <v>11</v>
      </c>
      <c r="D114" s="19" t="s">
        <v>14</v>
      </c>
      <c r="E114" s="4">
        <v>0.85</v>
      </c>
      <c r="F114" s="42">
        <v>3.05</v>
      </c>
      <c r="G114" s="45">
        <v>276</v>
      </c>
      <c r="H114" s="22">
        <v>2.1</v>
      </c>
      <c r="I114" s="6">
        <f t="shared" si="1"/>
        <v>1502.6130000000001</v>
      </c>
      <c r="J114" s="6" t="s">
        <v>282</v>
      </c>
    </row>
    <row r="115" spans="1:10" ht="13.95" customHeight="1" x14ac:dyDescent="0.3">
      <c r="A115" s="3">
        <v>45773</v>
      </c>
      <c r="B115" s="3" t="s">
        <v>2592</v>
      </c>
      <c r="C115" s="19" t="s">
        <v>13</v>
      </c>
      <c r="D115" s="19" t="s">
        <v>14</v>
      </c>
      <c r="E115" s="4">
        <v>0.95</v>
      </c>
      <c r="F115" s="42">
        <v>3.8</v>
      </c>
      <c r="G115" s="45">
        <v>276</v>
      </c>
      <c r="H115" s="22">
        <v>2.1</v>
      </c>
      <c r="I115" s="6">
        <f t="shared" si="1"/>
        <v>2092.3559999999998</v>
      </c>
      <c r="J115" s="6" t="s">
        <v>2512</v>
      </c>
    </row>
    <row r="116" spans="1:10" ht="13.95" customHeight="1" x14ac:dyDescent="0.3">
      <c r="A116" s="3">
        <v>45774</v>
      </c>
      <c r="B116" s="3" t="s">
        <v>2592</v>
      </c>
      <c r="C116" s="19" t="s">
        <v>16</v>
      </c>
      <c r="D116" s="19" t="s">
        <v>14</v>
      </c>
      <c r="E116" s="4">
        <v>0.9</v>
      </c>
      <c r="F116" s="42">
        <v>3.4</v>
      </c>
      <c r="G116" s="45">
        <v>276</v>
      </c>
      <c r="H116" s="22">
        <v>2.1</v>
      </c>
      <c r="I116" s="6">
        <f t="shared" si="1"/>
        <v>1773.576</v>
      </c>
      <c r="J116" s="6" t="s">
        <v>490</v>
      </c>
    </row>
    <row r="117" spans="1:10" ht="13.95" customHeight="1" x14ac:dyDescent="0.3">
      <c r="A117" s="3">
        <v>45775</v>
      </c>
      <c r="B117" s="3" t="s">
        <v>2592</v>
      </c>
      <c r="C117" s="19" t="s">
        <v>18</v>
      </c>
      <c r="D117" s="19" t="s">
        <v>9</v>
      </c>
      <c r="E117" s="4">
        <v>0.75</v>
      </c>
      <c r="F117" s="42">
        <v>2.4500000000000002</v>
      </c>
      <c r="G117" s="45">
        <v>276</v>
      </c>
      <c r="H117" s="22">
        <v>2.1</v>
      </c>
      <c r="I117" s="6">
        <f t="shared" si="1"/>
        <v>1065.0150000000001</v>
      </c>
      <c r="J117" s="6" t="s">
        <v>70</v>
      </c>
    </row>
    <row r="118" spans="1:10" ht="13.95" customHeight="1" x14ac:dyDescent="0.3">
      <c r="A118" s="3">
        <v>45776</v>
      </c>
      <c r="B118" s="3" t="s">
        <v>2592</v>
      </c>
      <c r="C118" s="19" t="s">
        <v>20</v>
      </c>
      <c r="D118" s="19" t="s">
        <v>9</v>
      </c>
      <c r="E118" s="4">
        <v>0.75</v>
      </c>
      <c r="F118" s="42">
        <v>2.4500000000000002</v>
      </c>
      <c r="G118" s="45">
        <v>276</v>
      </c>
      <c r="H118" s="22">
        <v>2.1</v>
      </c>
      <c r="I118" s="6">
        <f t="shared" si="1"/>
        <v>1065.0150000000001</v>
      </c>
      <c r="J118" s="6" t="s">
        <v>70</v>
      </c>
    </row>
    <row r="119" spans="1:10" ht="13.95" customHeight="1" x14ac:dyDescent="0.3">
      <c r="A119" s="3">
        <v>45777</v>
      </c>
      <c r="B119" s="3" t="s">
        <v>2592</v>
      </c>
      <c r="C119" s="19" t="s">
        <v>5</v>
      </c>
      <c r="D119" s="19" t="s">
        <v>994</v>
      </c>
      <c r="E119" s="4">
        <v>0.85</v>
      </c>
      <c r="F119" s="42">
        <v>2.9</v>
      </c>
      <c r="G119" s="45">
        <v>276</v>
      </c>
      <c r="H119" s="22">
        <v>2.1</v>
      </c>
      <c r="I119" s="6">
        <f t="shared" si="1"/>
        <v>1428.7139999999999</v>
      </c>
      <c r="J119" s="6" t="s">
        <v>1438</v>
      </c>
    </row>
    <row r="120" spans="1:10" ht="13.95" customHeight="1" x14ac:dyDescent="0.3">
      <c r="A120" s="3">
        <v>45778</v>
      </c>
      <c r="B120" s="3" t="s">
        <v>2592</v>
      </c>
      <c r="C120" s="19" t="s">
        <v>8</v>
      </c>
      <c r="D120" s="19" t="s">
        <v>742</v>
      </c>
      <c r="E120" s="4">
        <v>0.95</v>
      </c>
      <c r="F120" s="42">
        <v>3.5</v>
      </c>
      <c r="G120" s="45">
        <v>276</v>
      </c>
      <c r="H120" s="22">
        <v>2.1</v>
      </c>
      <c r="I120" s="6">
        <f t="shared" si="1"/>
        <v>1927.1699999999998</v>
      </c>
      <c r="J120" s="6" t="s">
        <v>2401</v>
      </c>
    </row>
    <row r="121" spans="1:10" ht="13.95" customHeight="1" x14ac:dyDescent="0.3">
      <c r="A121" s="3">
        <v>45779</v>
      </c>
      <c r="B121" s="3" t="s">
        <v>2592</v>
      </c>
      <c r="C121" s="19" t="s">
        <v>11</v>
      </c>
      <c r="D121" s="19" t="s">
        <v>229</v>
      </c>
      <c r="E121" s="4">
        <v>0.9</v>
      </c>
      <c r="F121" s="42">
        <v>3.1</v>
      </c>
      <c r="G121" s="45">
        <v>276</v>
      </c>
      <c r="H121" s="22">
        <v>2.1</v>
      </c>
      <c r="I121" s="6">
        <f t="shared" si="1"/>
        <v>1617.0840000000003</v>
      </c>
      <c r="J121" s="6" t="s">
        <v>2405</v>
      </c>
    </row>
    <row r="122" spans="1:10" ht="13.95" customHeight="1" x14ac:dyDescent="0.3">
      <c r="A122" s="3">
        <v>45780</v>
      </c>
      <c r="B122" s="3" t="s">
        <v>2592</v>
      </c>
      <c r="C122" s="19" t="s">
        <v>13</v>
      </c>
      <c r="D122" s="19" t="s">
        <v>14</v>
      </c>
      <c r="E122" s="4">
        <v>1</v>
      </c>
      <c r="F122" s="42">
        <v>3.9</v>
      </c>
      <c r="G122" s="45">
        <v>276</v>
      </c>
      <c r="H122" s="22">
        <v>2.1</v>
      </c>
      <c r="I122" s="6">
        <f t="shared" si="1"/>
        <v>2260.4399999999996</v>
      </c>
      <c r="J122" s="6" t="s">
        <v>2513</v>
      </c>
    </row>
    <row r="123" spans="1:10" ht="13.95" customHeight="1" x14ac:dyDescent="0.3">
      <c r="A123" s="3">
        <v>45781</v>
      </c>
      <c r="B123" s="3" t="s">
        <v>2592</v>
      </c>
      <c r="C123" s="19" t="s">
        <v>16</v>
      </c>
      <c r="D123" s="19" t="s">
        <v>14</v>
      </c>
      <c r="E123" s="4">
        <v>0.9</v>
      </c>
      <c r="F123" s="42">
        <v>3.4</v>
      </c>
      <c r="G123" s="45">
        <v>276</v>
      </c>
      <c r="H123" s="22">
        <v>2.1</v>
      </c>
      <c r="I123" s="6">
        <f t="shared" si="1"/>
        <v>1773.576</v>
      </c>
      <c r="J123" s="6" t="s">
        <v>238</v>
      </c>
    </row>
    <row r="124" spans="1:10" ht="13.95" customHeight="1" x14ac:dyDescent="0.3">
      <c r="A124" s="3">
        <v>45782</v>
      </c>
      <c r="B124" s="3" t="s">
        <v>2592</v>
      </c>
      <c r="C124" s="19" t="s">
        <v>18</v>
      </c>
      <c r="D124" s="19" t="s">
        <v>9</v>
      </c>
      <c r="E124" s="4">
        <v>0.7</v>
      </c>
      <c r="F124" s="42">
        <v>2.4</v>
      </c>
      <c r="G124" s="45">
        <v>276</v>
      </c>
      <c r="H124" s="22">
        <v>2.1</v>
      </c>
      <c r="I124" s="6">
        <f t="shared" si="1"/>
        <v>973.72799999999995</v>
      </c>
      <c r="J124" s="6" t="s">
        <v>1805</v>
      </c>
    </row>
    <row r="125" spans="1:10" ht="13.95" customHeight="1" x14ac:dyDescent="0.3">
      <c r="A125" s="3">
        <v>45783</v>
      </c>
      <c r="B125" s="3" t="s">
        <v>2592</v>
      </c>
      <c r="C125" s="19" t="s">
        <v>20</v>
      </c>
      <c r="D125" s="19" t="s">
        <v>9</v>
      </c>
      <c r="E125" s="4">
        <v>0.7</v>
      </c>
      <c r="F125" s="42">
        <v>2.4</v>
      </c>
      <c r="G125" s="45">
        <v>276</v>
      </c>
      <c r="H125" s="22">
        <v>2.1</v>
      </c>
      <c r="I125" s="6">
        <f t="shared" si="1"/>
        <v>973.72799999999995</v>
      </c>
      <c r="J125" s="6" t="s">
        <v>2485</v>
      </c>
    </row>
    <row r="126" spans="1:10" ht="13.95" customHeight="1" x14ac:dyDescent="0.3">
      <c r="A126" s="3">
        <v>45784</v>
      </c>
      <c r="B126" s="3" t="s">
        <v>2592</v>
      </c>
      <c r="C126" s="19" t="s">
        <v>5</v>
      </c>
      <c r="D126" s="19" t="s">
        <v>9</v>
      </c>
      <c r="E126" s="4">
        <v>0.75</v>
      </c>
      <c r="F126" s="42">
        <v>2.4500000000000002</v>
      </c>
      <c r="G126" s="45">
        <v>276</v>
      </c>
      <c r="H126" s="22">
        <v>2.1</v>
      </c>
      <c r="I126" s="6">
        <f t="shared" si="1"/>
        <v>1065.0150000000001</v>
      </c>
      <c r="J126" s="6" t="s">
        <v>717</v>
      </c>
    </row>
    <row r="127" spans="1:10" ht="13.95" customHeight="1" x14ac:dyDescent="0.3">
      <c r="A127" s="3">
        <v>45785</v>
      </c>
      <c r="B127" s="3" t="s">
        <v>2592</v>
      </c>
      <c r="C127" s="19" t="s">
        <v>8</v>
      </c>
      <c r="D127" s="19" t="s">
        <v>9</v>
      </c>
      <c r="E127" s="4">
        <v>0.75</v>
      </c>
      <c r="F127" s="42">
        <v>2.5</v>
      </c>
      <c r="G127" s="45">
        <v>276</v>
      </c>
      <c r="H127" s="22">
        <v>2.1</v>
      </c>
      <c r="I127" s="6">
        <f t="shared" si="1"/>
        <v>1086.75</v>
      </c>
      <c r="J127" s="6" t="s">
        <v>82</v>
      </c>
    </row>
    <row r="128" spans="1:10" ht="13.95" customHeight="1" x14ac:dyDescent="0.3">
      <c r="A128" s="3">
        <v>45786</v>
      </c>
      <c r="B128" s="3" t="s">
        <v>2592</v>
      </c>
      <c r="C128" s="19" t="s">
        <v>11</v>
      </c>
      <c r="D128" s="19" t="s">
        <v>14</v>
      </c>
      <c r="E128" s="4">
        <v>0.85</v>
      </c>
      <c r="F128" s="42">
        <v>3.1</v>
      </c>
      <c r="G128" s="45">
        <v>276</v>
      </c>
      <c r="H128" s="22">
        <v>2.1</v>
      </c>
      <c r="I128" s="6">
        <f t="shared" si="1"/>
        <v>1527.2460000000001</v>
      </c>
      <c r="J128" s="6" t="s">
        <v>282</v>
      </c>
    </row>
    <row r="129" spans="1:10" ht="13.95" customHeight="1" x14ac:dyDescent="0.3">
      <c r="A129" s="3">
        <v>45787</v>
      </c>
      <c r="B129" s="3" t="s">
        <v>2592</v>
      </c>
      <c r="C129" s="19" t="s">
        <v>13</v>
      </c>
      <c r="D129" s="19" t="s">
        <v>14</v>
      </c>
      <c r="E129" s="4">
        <v>0.95</v>
      </c>
      <c r="F129" s="42">
        <v>3.7</v>
      </c>
      <c r="G129" s="45">
        <v>276</v>
      </c>
      <c r="H129" s="22">
        <v>2.1</v>
      </c>
      <c r="I129" s="6">
        <f t="shared" si="1"/>
        <v>2037.2940000000001</v>
      </c>
      <c r="J129" s="6" t="s">
        <v>2478</v>
      </c>
    </row>
    <row r="130" spans="1:10" ht="13.95" customHeight="1" x14ac:dyDescent="0.3">
      <c r="A130" s="3">
        <v>45788</v>
      </c>
      <c r="B130" s="3" t="s">
        <v>2592</v>
      </c>
      <c r="C130" s="19" t="s">
        <v>16</v>
      </c>
      <c r="D130" s="19" t="s">
        <v>14</v>
      </c>
      <c r="E130" s="4">
        <v>0.9</v>
      </c>
      <c r="F130" s="42">
        <v>3.35</v>
      </c>
      <c r="G130" s="45">
        <v>276</v>
      </c>
      <c r="H130" s="22">
        <v>2.1</v>
      </c>
      <c r="I130" s="6">
        <f t="shared" ref="I130:I193" si="2">(G130*E130)*F130*H130</f>
        <v>1747.4940000000001</v>
      </c>
      <c r="J130" s="6" t="s">
        <v>2407</v>
      </c>
    </row>
    <row r="131" spans="1:10" ht="13.95" customHeight="1" x14ac:dyDescent="0.3">
      <c r="A131" s="3">
        <v>45789</v>
      </c>
      <c r="B131" s="3" t="s">
        <v>2592</v>
      </c>
      <c r="C131" s="19" t="s">
        <v>18</v>
      </c>
      <c r="D131" s="19" t="s">
        <v>9</v>
      </c>
      <c r="E131" s="4">
        <v>0.7</v>
      </c>
      <c r="F131" s="42">
        <v>2.4</v>
      </c>
      <c r="G131" s="45">
        <v>276</v>
      </c>
      <c r="H131" s="22">
        <v>2.1</v>
      </c>
      <c r="I131" s="6">
        <f t="shared" si="2"/>
        <v>973.72799999999995</v>
      </c>
      <c r="J131" s="6" t="s">
        <v>2310</v>
      </c>
    </row>
    <row r="132" spans="1:10" ht="13.95" customHeight="1" x14ac:dyDescent="0.3">
      <c r="A132" s="3">
        <v>45790</v>
      </c>
      <c r="B132" s="3" t="s">
        <v>2592</v>
      </c>
      <c r="C132" s="19" t="s">
        <v>20</v>
      </c>
      <c r="D132" s="19" t="s">
        <v>9</v>
      </c>
      <c r="E132" s="4">
        <v>0.7</v>
      </c>
      <c r="F132" s="42">
        <v>2.4</v>
      </c>
      <c r="G132" s="45">
        <v>276</v>
      </c>
      <c r="H132" s="22">
        <v>2.1</v>
      </c>
      <c r="I132" s="6">
        <f t="shared" si="2"/>
        <v>973.72799999999995</v>
      </c>
      <c r="J132" s="6" t="s">
        <v>2310</v>
      </c>
    </row>
    <row r="133" spans="1:10" ht="13.95" customHeight="1" x14ac:dyDescent="0.3">
      <c r="A133" s="3">
        <v>45791</v>
      </c>
      <c r="B133" s="3" t="s">
        <v>2592</v>
      </c>
      <c r="C133" s="19" t="s">
        <v>5</v>
      </c>
      <c r="D133" s="19" t="s">
        <v>9</v>
      </c>
      <c r="E133" s="4">
        <v>0.75</v>
      </c>
      <c r="F133" s="42">
        <v>2.4500000000000002</v>
      </c>
      <c r="G133" s="45">
        <v>276</v>
      </c>
      <c r="H133" s="22">
        <v>2.1</v>
      </c>
      <c r="I133" s="6">
        <f t="shared" si="2"/>
        <v>1065.0150000000001</v>
      </c>
      <c r="J133" s="6" t="s">
        <v>2514</v>
      </c>
    </row>
    <row r="134" spans="1:10" ht="13.95" customHeight="1" x14ac:dyDescent="0.3">
      <c r="A134" s="3">
        <v>45792</v>
      </c>
      <c r="B134" s="3" t="s">
        <v>2592</v>
      </c>
      <c r="C134" s="19" t="s">
        <v>8</v>
      </c>
      <c r="D134" s="19" t="s">
        <v>9</v>
      </c>
      <c r="E134" s="4">
        <v>0.8</v>
      </c>
      <c r="F134" s="42">
        <v>2.5499999999999998</v>
      </c>
      <c r="G134" s="45">
        <v>276</v>
      </c>
      <c r="H134" s="22">
        <v>2.1</v>
      </c>
      <c r="I134" s="6">
        <f t="shared" si="2"/>
        <v>1182.384</v>
      </c>
      <c r="J134" s="6" t="s">
        <v>1676</v>
      </c>
    </row>
    <row r="135" spans="1:10" ht="13.95" customHeight="1" x14ac:dyDescent="0.3">
      <c r="A135" s="3">
        <v>45793</v>
      </c>
      <c r="B135" s="3" t="s">
        <v>2592</v>
      </c>
      <c r="C135" s="19" t="s">
        <v>11</v>
      </c>
      <c r="D135" s="19" t="s">
        <v>14</v>
      </c>
      <c r="E135" s="4">
        <v>0.85</v>
      </c>
      <c r="F135" s="42">
        <v>3.15</v>
      </c>
      <c r="G135" s="45">
        <v>276</v>
      </c>
      <c r="H135" s="22">
        <v>2.1</v>
      </c>
      <c r="I135" s="6">
        <f t="shared" si="2"/>
        <v>1551.8790000000001</v>
      </c>
      <c r="J135" s="6" t="s">
        <v>282</v>
      </c>
    </row>
    <row r="136" spans="1:10" ht="13.95" customHeight="1" x14ac:dyDescent="0.3">
      <c r="A136" s="3">
        <v>45794</v>
      </c>
      <c r="B136" s="3" t="s">
        <v>2592</v>
      </c>
      <c r="C136" s="19" t="s">
        <v>13</v>
      </c>
      <c r="D136" s="19" t="s">
        <v>14</v>
      </c>
      <c r="E136" s="4">
        <v>0.95</v>
      </c>
      <c r="F136" s="42">
        <v>3.8</v>
      </c>
      <c r="G136" s="45">
        <v>276</v>
      </c>
      <c r="H136" s="22">
        <v>2.1</v>
      </c>
      <c r="I136" s="6">
        <f t="shared" si="2"/>
        <v>2092.3559999999998</v>
      </c>
      <c r="J136" s="6" t="s">
        <v>2307</v>
      </c>
    </row>
    <row r="137" spans="1:10" ht="13.95" customHeight="1" x14ac:dyDescent="0.3">
      <c r="A137" s="3">
        <v>45795</v>
      </c>
      <c r="B137" s="3" t="s">
        <v>2592</v>
      </c>
      <c r="C137" s="19" t="s">
        <v>16</v>
      </c>
      <c r="D137" s="19" t="s">
        <v>14</v>
      </c>
      <c r="E137" s="4">
        <v>0.9</v>
      </c>
      <c r="F137" s="42">
        <v>3.4</v>
      </c>
      <c r="G137" s="45">
        <v>276</v>
      </c>
      <c r="H137" s="22">
        <v>2.1</v>
      </c>
      <c r="I137" s="6">
        <f t="shared" si="2"/>
        <v>1773.576</v>
      </c>
      <c r="J137" s="6" t="s">
        <v>159</v>
      </c>
    </row>
    <row r="138" spans="1:10" ht="13.95" customHeight="1" x14ac:dyDescent="0.3">
      <c r="A138" s="3">
        <v>45796</v>
      </c>
      <c r="B138" s="3" t="s">
        <v>2592</v>
      </c>
      <c r="C138" s="19" t="s">
        <v>18</v>
      </c>
      <c r="D138" s="19" t="s">
        <v>9</v>
      </c>
      <c r="E138" s="4">
        <v>0.75</v>
      </c>
      <c r="F138" s="42">
        <v>2.4500000000000002</v>
      </c>
      <c r="G138" s="45">
        <v>276</v>
      </c>
      <c r="H138" s="22">
        <v>2.1</v>
      </c>
      <c r="I138" s="6">
        <f t="shared" si="2"/>
        <v>1065.0150000000001</v>
      </c>
      <c r="J138" s="6" t="s">
        <v>2501</v>
      </c>
    </row>
    <row r="139" spans="1:10" ht="13.95" customHeight="1" x14ac:dyDescent="0.3">
      <c r="A139" s="3">
        <v>45797</v>
      </c>
      <c r="B139" s="3" t="s">
        <v>2592</v>
      </c>
      <c r="C139" s="19" t="s">
        <v>20</v>
      </c>
      <c r="D139" s="19" t="s">
        <v>9</v>
      </c>
      <c r="E139" s="4">
        <v>0.75</v>
      </c>
      <c r="F139" s="42">
        <v>2.4500000000000002</v>
      </c>
      <c r="G139" s="45">
        <v>276</v>
      </c>
      <c r="H139" s="22">
        <v>2.1</v>
      </c>
      <c r="I139" s="6">
        <f t="shared" si="2"/>
        <v>1065.0150000000001</v>
      </c>
      <c r="J139" s="6" t="s">
        <v>2501</v>
      </c>
    </row>
    <row r="140" spans="1:10" ht="13.95" customHeight="1" x14ac:dyDescent="0.3">
      <c r="A140" s="3">
        <v>45798</v>
      </c>
      <c r="B140" s="3" t="s">
        <v>2592</v>
      </c>
      <c r="C140" s="19" t="s">
        <v>5</v>
      </c>
      <c r="D140" s="19" t="s">
        <v>9</v>
      </c>
      <c r="E140" s="4">
        <v>0.8</v>
      </c>
      <c r="F140" s="42">
        <v>2.5</v>
      </c>
      <c r="G140" s="45">
        <v>276</v>
      </c>
      <c r="H140" s="22">
        <v>2.1</v>
      </c>
      <c r="I140" s="6">
        <f t="shared" si="2"/>
        <v>1159.2</v>
      </c>
      <c r="J140" s="6" t="s">
        <v>2466</v>
      </c>
    </row>
    <row r="141" spans="1:10" ht="13.95" customHeight="1" x14ac:dyDescent="0.3">
      <c r="A141" s="3">
        <v>45799</v>
      </c>
      <c r="B141" s="3" t="s">
        <v>2592</v>
      </c>
      <c r="C141" s="19" t="s">
        <v>8</v>
      </c>
      <c r="D141" s="19" t="s">
        <v>9</v>
      </c>
      <c r="E141" s="4">
        <v>0.8</v>
      </c>
      <c r="F141" s="42">
        <v>2.5499999999999998</v>
      </c>
      <c r="G141" s="45">
        <v>276</v>
      </c>
      <c r="H141" s="22">
        <v>2.1</v>
      </c>
      <c r="I141" s="6">
        <f t="shared" si="2"/>
        <v>1182.384</v>
      </c>
      <c r="J141" s="6" t="s">
        <v>82</v>
      </c>
    </row>
    <row r="142" spans="1:10" ht="13.95" customHeight="1" x14ac:dyDescent="0.3">
      <c r="A142" s="3">
        <v>45800</v>
      </c>
      <c r="B142" s="3" t="s">
        <v>2592</v>
      </c>
      <c r="C142" s="19" t="s">
        <v>11</v>
      </c>
      <c r="D142" s="19" t="s">
        <v>14</v>
      </c>
      <c r="E142" s="4">
        <v>0.9</v>
      </c>
      <c r="F142" s="42">
        <v>3.2</v>
      </c>
      <c r="G142" s="45">
        <v>276</v>
      </c>
      <c r="H142" s="22">
        <v>2.1</v>
      </c>
      <c r="I142" s="6">
        <f t="shared" si="2"/>
        <v>1669.2480000000003</v>
      </c>
      <c r="J142" s="6" t="s">
        <v>2515</v>
      </c>
    </row>
    <row r="143" spans="1:10" ht="13.95" customHeight="1" x14ac:dyDescent="0.3">
      <c r="A143" s="3">
        <v>45801</v>
      </c>
      <c r="B143" s="3" t="s">
        <v>2592</v>
      </c>
      <c r="C143" s="19" t="s">
        <v>13</v>
      </c>
      <c r="D143" s="19" t="s">
        <v>14</v>
      </c>
      <c r="E143" s="4">
        <v>1</v>
      </c>
      <c r="F143" s="42">
        <v>3.95</v>
      </c>
      <c r="G143" s="45">
        <v>276</v>
      </c>
      <c r="H143" s="22">
        <v>2.1</v>
      </c>
      <c r="I143" s="6">
        <f t="shared" si="2"/>
        <v>2289.42</v>
      </c>
      <c r="J143" s="6" t="s">
        <v>1959</v>
      </c>
    </row>
    <row r="144" spans="1:10" ht="13.95" customHeight="1" x14ac:dyDescent="0.3">
      <c r="A144" s="3">
        <v>45802</v>
      </c>
      <c r="B144" s="3" t="s">
        <v>2592</v>
      </c>
      <c r="C144" s="19" t="s">
        <v>16</v>
      </c>
      <c r="D144" s="19" t="s">
        <v>14</v>
      </c>
      <c r="E144" s="4">
        <v>0.95</v>
      </c>
      <c r="F144" s="42">
        <v>3.5</v>
      </c>
      <c r="G144" s="45">
        <v>276</v>
      </c>
      <c r="H144" s="22">
        <v>2.1</v>
      </c>
      <c r="I144" s="6">
        <f t="shared" si="2"/>
        <v>1927.1699999999998</v>
      </c>
      <c r="J144" s="6" t="s">
        <v>1911</v>
      </c>
    </row>
    <row r="145" spans="1:10" ht="13.95" customHeight="1" x14ac:dyDescent="0.3">
      <c r="A145" s="3">
        <v>45803</v>
      </c>
      <c r="B145" s="3" t="s">
        <v>2592</v>
      </c>
      <c r="C145" s="19" t="s">
        <v>18</v>
      </c>
      <c r="D145" s="19" t="s">
        <v>9</v>
      </c>
      <c r="E145" s="4">
        <v>0.8</v>
      </c>
      <c r="F145" s="42">
        <v>2.5</v>
      </c>
      <c r="G145" s="45">
        <v>276</v>
      </c>
      <c r="H145" s="22">
        <v>2.1</v>
      </c>
      <c r="I145" s="6">
        <f t="shared" si="2"/>
        <v>1159.2</v>
      </c>
      <c r="J145" s="6" t="s">
        <v>88</v>
      </c>
    </row>
    <row r="146" spans="1:10" ht="13.95" customHeight="1" x14ac:dyDescent="0.3">
      <c r="A146" s="3">
        <v>45804</v>
      </c>
      <c r="B146" s="3" t="s">
        <v>2592</v>
      </c>
      <c r="C146" s="19" t="s">
        <v>20</v>
      </c>
      <c r="D146" s="19" t="s">
        <v>9</v>
      </c>
      <c r="E146" s="4">
        <v>0.8</v>
      </c>
      <c r="F146" s="42">
        <v>2.5</v>
      </c>
      <c r="G146" s="45">
        <v>276</v>
      </c>
      <c r="H146" s="22">
        <v>2.1</v>
      </c>
      <c r="I146" s="6">
        <f t="shared" si="2"/>
        <v>1159.2</v>
      </c>
      <c r="J146" s="6" t="s">
        <v>88</v>
      </c>
    </row>
    <row r="147" spans="1:10" ht="13.95" customHeight="1" x14ac:dyDescent="0.3">
      <c r="A147" s="3">
        <v>45805</v>
      </c>
      <c r="B147" s="3" t="s">
        <v>2592</v>
      </c>
      <c r="C147" s="19" t="s">
        <v>5</v>
      </c>
      <c r="D147" s="19" t="s">
        <v>9</v>
      </c>
      <c r="E147" s="4">
        <v>0.85</v>
      </c>
      <c r="F147" s="42">
        <v>2.6</v>
      </c>
      <c r="G147" s="45">
        <v>276</v>
      </c>
      <c r="H147" s="22">
        <v>2.1</v>
      </c>
      <c r="I147" s="6">
        <f t="shared" si="2"/>
        <v>1280.9160000000002</v>
      </c>
      <c r="J147" s="6" t="s">
        <v>2516</v>
      </c>
    </row>
    <row r="148" spans="1:10" ht="13.95" customHeight="1" x14ac:dyDescent="0.3">
      <c r="A148" s="3">
        <v>45806</v>
      </c>
      <c r="B148" s="3" t="s">
        <v>2592</v>
      </c>
      <c r="C148" s="19" t="s">
        <v>8</v>
      </c>
      <c r="D148" s="19" t="s">
        <v>9</v>
      </c>
      <c r="E148" s="4">
        <v>0.9</v>
      </c>
      <c r="F148" s="42">
        <v>2.95</v>
      </c>
      <c r="G148" s="45">
        <v>276</v>
      </c>
      <c r="H148" s="22">
        <v>2.1</v>
      </c>
      <c r="I148" s="6">
        <f t="shared" si="2"/>
        <v>1538.8380000000002</v>
      </c>
      <c r="J148" s="6" t="s">
        <v>2517</v>
      </c>
    </row>
    <row r="149" spans="1:10" ht="13.95" customHeight="1" x14ac:dyDescent="0.3">
      <c r="A149" s="3">
        <v>45807</v>
      </c>
      <c r="B149" s="3" t="s">
        <v>2592</v>
      </c>
      <c r="C149" s="19" t="s">
        <v>11</v>
      </c>
      <c r="D149" s="19" t="s">
        <v>14</v>
      </c>
      <c r="E149" s="4">
        <v>0.95</v>
      </c>
      <c r="F149" s="42">
        <v>3.3</v>
      </c>
      <c r="G149" s="45">
        <v>276</v>
      </c>
      <c r="H149" s="22">
        <v>2.1</v>
      </c>
      <c r="I149" s="6">
        <f t="shared" si="2"/>
        <v>1817.0459999999998</v>
      </c>
      <c r="J149" s="6" t="s">
        <v>2518</v>
      </c>
    </row>
    <row r="150" spans="1:10" ht="13.95" customHeight="1" x14ac:dyDescent="0.3">
      <c r="A150" s="3">
        <v>45808</v>
      </c>
      <c r="B150" s="3" t="s">
        <v>2592</v>
      </c>
      <c r="C150" s="19" t="s">
        <v>13</v>
      </c>
      <c r="D150" s="19" t="s">
        <v>14</v>
      </c>
      <c r="E150" s="4">
        <v>1</v>
      </c>
      <c r="F150" s="42">
        <v>4.0999999999999996</v>
      </c>
      <c r="G150" s="45">
        <v>276</v>
      </c>
      <c r="H150" s="22">
        <v>2.1</v>
      </c>
      <c r="I150" s="6">
        <f t="shared" si="2"/>
        <v>2376.36</v>
      </c>
      <c r="J150" s="6" t="s">
        <v>2519</v>
      </c>
    </row>
    <row r="151" spans="1:10" ht="13.95" customHeight="1" x14ac:dyDescent="0.3">
      <c r="A151" s="3">
        <v>45809</v>
      </c>
      <c r="B151" s="3" t="s">
        <v>2592</v>
      </c>
      <c r="C151" s="19" t="s">
        <v>16</v>
      </c>
      <c r="D151" s="19" t="s">
        <v>14</v>
      </c>
      <c r="E151" s="4">
        <v>0.9</v>
      </c>
      <c r="F151" s="42">
        <v>3.45</v>
      </c>
      <c r="G151" s="45">
        <v>276</v>
      </c>
      <c r="H151" s="22">
        <v>2.2000000000000002</v>
      </c>
      <c r="I151" s="6">
        <f t="shared" si="2"/>
        <v>1885.3560000000002</v>
      </c>
      <c r="J151" s="6" t="s">
        <v>238</v>
      </c>
    </row>
    <row r="152" spans="1:10" ht="13.95" customHeight="1" x14ac:dyDescent="0.3">
      <c r="A152" s="3">
        <v>45810</v>
      </c>
      <c r="B152" s="3" t="s">
        <v>2592</v>
      </c>
      <c r="C152" s="19" t="s">
        <v>18</v>
      </c>
      <c r="D152" s="19" t="s">
        <v>9</v>
      </c>
      <c r="E152" s="4">
        <v>0.75</v>
      </c>
      <c r="F152" s="42">
        <v>2.5</v>
      </c>
      <c r="G152" s="45">
        <v>276</v>
      </c>
      <c r="H152" s="22">
        <v>2.1</v>
      </c>
      <c r="I152" s="6">
        <f t="shared" si="2"/>
        <v>1086.75</v>
      </c>
      <c r="J152" s="6" t="s">
        <v>2520</v>
      </c>
    </row>
    <row r="153" spans="1:10" ht="13.95" customHeight="1" x14ac:dyDescent="0.3">
      <c r="A153" s="3">
        <v>45811</v>
      </c>
      <c r="B153" s="3" t="s">
        <v>2592</v>
      </c>
      <c r="C153" s="19" t="s">
        <v>20</v>
      </c>
      <c r="D153" s="19" t="s">
        <v>9</v>
      </c>
      <c r="E153" s="4">
        <v>0.75</v>
      </c>
      <c r="F153" s="42">
        <v>2.5</v>
      </c>
      <c r="G153" s="45">
        <v>276</v>
      </c>
      <c r="H153" s="22">
        <v>2.1</v>
      </c>
      <c r="I153" s="6">
        <f t="shared" si="2"/>
        <v>1086.75</v>
      </c>
      <c r="J153" s="6" t="s">
        <v>2520</v>
      </c>
    </row>
    <row r="154" spans="1:10" ht="13.95" customHeight="1" x14ac:dyDescent="0.3">
      <c r="A154" s="3">
        <v>45812</v>
      </c>
      <c r="B154" s="3" t="s">
        <v>2592</v>
      </c>
      <c r="C154" s="19" t="s">
        <v>5</v>
      </c>
      <c r="D154" s="19" t="s">
        <v>9</v>
      </c>
      <c r="E154" s="4">
        <v>0.8</v>
      </c>
      <c r="F154" s="42">
        <v>2.6</v>
      </c>
      <c r="G154" s="45">
        <v>276</v>
      </c>
      <c r="H154" s="22">
        <v>2.1</v>
      </c>
      <c r="I154" s="6">
        <f t="shared" si="2"/>
        <v>1205.5680000000002</v>
      </c>
      <c r="J154" s="6" t="s">
        <v>2521</v>
      </c>
    </row>
    <row r="155" spans="1:10" ht="13.95" customHeight="1" x14ac:dyDescent="0.3">
      <c r="A155" s="3">
        <v>45813</v>
      </c>
      <c r="B155" s="3" t="s">
        <v>2592</v>
      </c>
      <c r="C155" s="19" t="s">
        <v>8</v>
      </c>
      <c r="D155" s="19" t="s">
        <v>904</v>
      </c>
      <c r="E155" s="4">
        <v>0.9</v>
      </c>
      <c r="F155" s="42">
        <v>2.95</v>
      </c>
      <c r="G155" s="45">
        <v>276</v>
      </c>
      <c r="H155" s="22">
        <v>2.1</v>
      </c>
      <c r="I155" s="6">
        <f t="shared" si="2"/>
        <v>1538.8380000000002</v>
      </c>
      <c r="J155" s="6" t="s">
        <v>2522</v>
      </c>
    </row>
    <row r="156" spans="1:10" ht="13.95" customHeight="1" x14ac:dyDescent="0.3">
      <c r="A156" s="3">
        <v>45814</v>
      </c>
      <c r="B156" s="3" t="s">
        <v>2592</v>
      </c>
      <c r="C156" s="19" t="s">
        <v>11</v>
      </c>
      <c r="D156" s="19" t="s">
        <v>2523</v>
      </c>
      <c r="E156" s="4">
        <v>1</v>
      </c>
      <c r="F156" s="42">
        <v>4.2</v>
      </c>
      <c r="G156" s="45">
        <v>276</v>
      </c>
      <c r="H156" s="22">
        <v>2.1</v>
      </c>
      <c r="I156" s="6">
        <f t="shared" si="2"/>
        <v>2434.3200000000002</v>
      </c>
      <c r="J156" s="6" t="s">
        <v>2524</v>
      </c>
    </row>
    <row r="157" spans="1:10" ht="13.95" customHeight="1" x14ac:dyDescent="0.3">
      <c r="A157" s="3">
        <v>45815</v>
      </c>
      <c r="B157" s="3" t="s">
        <v>2592</v>
      </c>
      <c r="C157" s="19" t="s">
        <v>13</v>
      </c>
      <c r="D157" s="19" t="s">
        <v>2523</v>
      </c>
      <c r="E157" s="4">
        <v>1</v>
      </c>
      <c r="F157" s="42">
        <v>4.4000000000000004</v>
      </c>
      <c r="G157" s="45">
        <v>276</v>
      </c>
      <c r="H157" s="22">
        <v>2.1</v>
      </c>
      <c r="I157" s="6">
        <f t="shared" si="2"/>
        <v>2550.2400000000002</v>
      </c>
      <c r="J157" s="6" t="s">
        <v>2525</v>
      </c>
    </row>
    <row r="158" spans="1:10" ht="13.95" customHeight="1" x14ac:dyDescent="0.3">
      <c r="A158" s="3">
        <v>45816</v>
      </c>
      <c r="B158" s="3" t="s">
        <v>2592</v>
      </c>
      <c r="C158" s="19" t="s">
        <v>16</v>
      </c>
      <c r="D158" s="19" t="s">
        <v>14</v>
      </c>
      <c r="E158" s="4">
        <v>0.95</v>
      </c>
      <c r="F158" s="42">
        <v>3.6</v>
      </c>
      <c r="G158" s="45">
        <v>276</v>
      </c>
      <c r="H158" s="22">
        <v>2.1</v>
      </c>
      <c r="I158" s="6">
        <f t="shared" si="2"/>
        <v>1982.232</v>
      </c>
      <c r="J158" s="6" t="s">
        <v>750</v>
      </c>
    </row>
    <row r="159" spans="1:10" ht="13.95" customHeight="1" x14ac:dyDescent="0.3">
      <c r="A159" s="3">
        <v>45817</v>
      </c>
      <c r="B159" s="3" t="s">
        <v>2592</v>
      </c>
      <c r="C159" s="19" t="s">
        <v>18</v>
      </c>
      <c r="D159" s="19" t="s">
        <v>9</v>
      </c>
      <c r="E159" s="4">
        <v>0.8</v>
      </c>
      <c r="F159" s="42">
        <v>2.5499999999999998</v>
      </c>
      <c r="G159" s="45">
        <v>276</v>
      </c>
      <c r="H159" s="22">
        <v>2.1</v>
      </c>
      <c r="I159" s="6">
        <f t="shared" si="2"/>
        <v>1182.384</v>
      </c>
      <c r="J159" s="6" t="s">
        <v>460</v>
      </c>
    </row>
    <row r="160" spans="1:10" ht="13.95" customHeight="1" x14ac:dyDescent="0.3">
      <c r="A160" s="3">
        <v>45818</v>
      </c>
      <c r="B160" s="3" t="s">
        <v>2592</v>
      </c>
      <c r="C160" s="19" t="s">
        <v>20</v>
      </c>
      <c r="D160" s="19" t="s">
        <v>9</v>
      </c>
      <c r="E160" s="4">
        <v>0.8</v>
      </c>
      <c r="F160" s="42">
        <v>2.5499999999999998</v>
      </c>
      <c r="G160" s="45">
        <v>276</v>
      </c>
      <c r="H160" s="22">
        <v>2.1</v>
      </c>
      <c r="I160" s="6">
        <f t="shared" si="2"/>
        <v>1182.384</v>
      </c>
      <c r="J160" s="6" t="s">
        <v>2526</v>
      </c>
    </row>
    <row r="161" spans="1:10" ht="13.95" customHeight="1" x14ac:dyDescent="0.3">
      <c r="A161" s="3">
        <v>45819</v>
      </c>
      <c r="B161" s="3" t="s">
        <v>2592</v>
      </c>
      <c r="C161" s="19" t="s">
        <v>5</v>
      </c>
      <c r="D161" s="19" t="s">
        <v>9</v>
      </c>
      <c r="E161" s="4">
        <v>0.85</v>
      </c>
      <c r="F161" s="42">
        <v>2.6</v>
      </c>
      <c r="G161" s="45">
        <v>276</v>
      </c>
      <c r="H161" s="22">
        <v>2.1</v>
      </c>
      <c r="I161" s="6">
        <f t="shared" si="2"/>
        <v>1280.9160000000002</v>
      </c>
      <c r="J161" s="6" t="s">
        <v>2527</v>
      </c>
    </row>
    <row r="162" spans="1:10" ht="13.95" customHeight="1" x14ac:dyDescent="0.3">
      <c r="A162" s="3">
        <v>45820</v>
      </c>
      <c r="B162" s="3" t="s">
        <v>2592</v>
      </c>
      <c r="C162" s="19" t="s">
        <v>8</v>
      </c>
      <c r="D162" s="19" t="s">
        <v>9</v>
      </c>
      <c r="E162" s="4">
        <v>0.85</v>
      </c>
      <c r="F162" s="42">
        <v>2.65</v>
      </c>
      <c r="G162" s="45">
        <v>276</v>
      </c>
      <c r="H162" s="22">
        <v>2.1</v>
      </c>
      <c r="I162" s="6">
        <f t="shared" si="2"/>
        <v>1305.549</v>
      </c>
      <c r="J162" s="6" t="s">
        <v>2527</v>
      </c>
    </row>
    <row r="163" spans="1:10" ht="13.95" customHeight="1" x14ac:dyDescent="0.3">
      <c r="A163" s="3">
        <v>45821</v>
      </c>
      <c r="B163" s="3" t="s">
        <v>2592</v>
      </c>
      <c r="C163" s="19" t="s">
        <v>11</v>
      </c>
      <c r="D163" s="19" t="s">
        <v>14</v>
      </c>
      <c r="E163" s="4">
        <v>0.9</v>
      </c>
      <c r="F163" s="42">
        <v>3.2</v>
      </c>
      <c r="G163" s="45">
        <v>276</v>
      </c>
      <c r="H163" s="22">
        <v>2.1</v>
      </c>
      <c r="I163" s="6">
        <f t="shared" si="2"/>
        <v>1669.2480000000003</v>
      </c>
      <c r="J163" s="6" t="s">
        <v>282</v>
      </c>
    </row>
    <row r="164" spans="1:10" ht="13.95" customHeight="1" x14ac:dyDescent="0.3">
      <c r="A164" s="3">
        <v>45822</v>
      </c>
      <c r="B164" s="3" t="s">
        <v>2592</v>
      </c>
      <c r="C164" s="19" t="s">
        <v>13</v>
      </c>
      <c r="D164" s="19" t="s">
        <v>14</v>
      </c>
      <c r="E164" s="4">
        <v>0.95</v>
      </c>
      <c r="F164" s="42">
        <v>3.85</v>
      </c>
      <c r="G164" s="45">
        <v>276</v>
      </c>
      <c r="H164" s="22">
        <v>2.1</v>
      </c>
      <c r="I164" s="6">
        <f t="shared" si="2"/>
        <v>2119.8870000000002</v>
      </c>
      <c r="J164" s="6" t="s">
        <v>2528</v>
      </c>
    </row>
    <row r="165" spans="1:10" ht="13.95" customHeight="1" x14ac:dyDescent="0.3">
      <c r="A165" s="3">
        <v>45823</v>
      </c>
      <c r="B165" s="3" t="s">
        <v>2592</v>
      </c>
      <c r="C165" s="19" t="s">
        <v>16</v>
      </c>
      <c r="D165" s="19" t="s">
        <v>14</v>
      </c>
      <c r="E165" s="4">
        <v>0.9</v>
      </c>
      <c r="F165" s="42">
        <v>3.4</v>
      </c>
      <c r="G165" s="45">
        <v>276</v>
      </c>
      <c r="H165" s="22">
        <v>2.1</v>
      </c>
      <c r="I165" s="6">
        <f t="shared" si="2"/>
        <v>1773.576</v>
      </c>
      <c r="J165" s="6" t="s">
        <v>159</v>
      </c>
    </row>
    <row r="166" spans="1:10" ht="13.95" customHeight="1" x14ac:dyDescent="0.3">
      <c r="A166" s="3">
        <v>45824</v>
      </c>
      <c r="B166" s="3" t="s">
        <v>2592</v>
      </c>
      <c r="C166" s="19" t="s">
        <v>18</v>
      </c>
      <c r="D166" s="19" t="s">
        <v>9</v>
      </c>
      <c r="E166" s="4">
        <v>0.8</v>
      </c>
      <c r="F166" s="42">
        <v>2.6</v>
      </c>
      <c r="G166" s="45">
        <v>276</v>
      </c>
      <c r="H166" s="22">
        <v>2.1</v>
      </c>
      <c r="I166" s="6">
        <f t="shared" si="2"/>
        <v>1205.5680000000002</v>
      </c>
      <c r="J166" s="6" t="s">
        <v>2442</v>
      </c>
    </row>
    <row r="167" spans="1:10" ht="13.95" customHeight="1" x14ac:dyDescent="0.3">
      <c r="A167" s="3">
        <v>45825</v>
      </c>
      <c r="B167" s="3" t="s">
        <v>2592</v>
      </c>
      <c r="C167" s="19" t="s">
        <v>20</v>
      </c>
      <c r="D167" s="19" t="s">
        <v>9</v>
      </c>
      <c r="E167" s="4">
        <v>0.8</v>
      </c>
      <c r="F167" s="42">
        <v>2.6</v>
      </c>
      <c r="G167" s="45">
        <v>276</v>
      </c>
      <c r="H167" s="22">
        <v>2.1</v>
      </c>
      <c r="I167" s="6">
        <f t="shared" si="2"/>
        <v>1205.5680000000002</v>
      </c>
      <c r="J167" s="6" t="s">
        <v>2442</v>
      </c>
    </row>
    <row r="168" spans="1:10" ht="13.95" customHeight="1" x14ac:dyDescent="0.3">
      <c r="A168" s="3">
        <v>45826</v>
      </c>
      <c r="B168" s="3" t="s">
        <v>2592</v>
      </c>
      <c r="C168" s="19" t="s">
        <v>5</v>
      </c>
      <c r="D168" s="19" t="s">
        <v>9</v>
      </c>
      <c r="E168" s="4">
        <v>0.85</v>
      </c>
      <c r="F168" s="42">
        <v>2.7</v>
      </c>
      <c r="G168" s="45">
        <v>276</v>
      </c>
      <c r="H168" s="22">
        <v>2.1</v>
      </c>
      <c r="I168" s="6">
        <f t="shared" si="2"/>
        <v>1330.1820000000002</v>
      </c>
      <c r="J168" s="6" t="s">
        <v>754</v>
      </c>
    </row>
    <row r="169" spans="1:10" ht="13.95" customHeight="1" x14ac:dyDescent="0.3">
      <c r="A169" s="3">
        <v>45827</v>
      </c>
      <c r="B169" s="3" t="s">
        <v>2592</v>
      </c>
      <c r="C169" s="19" t="s">
        <v>8</v>
      </c>
      <c r="D169" s="19" t="s">
        <v>9</v>
      </c>
      <c r="E169" s="4">
        <v>0.9</v>
      </c>
      <c r="F169" s="42">
        <v>2.8</v>
      </c>
      <c r="G169" s="45">
        <v>276</v>
      </c>
      <c r="H169" s="22">
        <v>2.1</v>
      </c>
      <c r="I169" s="6">
        <f t="shared" si="2"/>
        <v>1460.5920000000001</v>
      </c>
      <c r="J169" s="6" t="s">
        <v>2529</v>
      </c>
    </row>
    <row r="170" spans="1:10" ht="13.95" customHeight="1" x14ac:dyDescent="0.3">
      <c r="A170" s="3">
        <v>45828</v>
      </c>
      <c r="B170" s="3" t="s">
        <v>2592</v>
      </c>
      <c r="C170" s="19" t="s">
        <v>11</v>
      </c>
      <c r="D170" s="19" t="s">
        <v>14</v>
      </c>
      <c r="E170" s="4">
        <v>0.95</v>
      </c>
      <c r="F170" s="42">
        <v>3.3</v>
      </c>
      <c r="G170" s="45">
        <v>276</v>
      </c>
      <c r="H170" s="22">
        <v>2.1</v>
      </c>
      <c r="I170" s="6">
        <f t="shared" si="2"/>
        <v>1817.0459999999998</v>
      </c>
      <c r="J170" s="6" t="s">
        <v>2530</v>
      </c>
    </row>
    <row r="171" spans="1:10" ht="13.95" customHeight="1" x14ac:dyDescent="0.3">
      <c r="A171" s="3">
        <v>45829</v>
      </c>
      <c r="B171" s="3" t="s">
        <v>2592</v>
      </c>
      <c r="C171" s="19" t="s">
        <v>13</v>
      </c>
      <c r="D171" s="19" t="s">
        <v>14</v>
      </c>
      <c r="E171" s="4">
        <v>1</v>
      </c>
      <c r="F171" s="42">
        <v>4.05</v>
      </c>
      <c r="G171" s="45">
        <v>276</v>
      </c>
      <c r="H171" s="22">
        <v>2.1</v>
      </c>
      <c r="I171" s="6">
        <f t="shared" si="2"/>
        <v>2347.38</v>
      </c>
      <c r="J171" s="6" t="s">
        <v>2531</v>
      </c>
    </row>
    <row r="172" spans="1:10" ht="13.95" customHeight="1" x14ac:dyDescent="0.3">
      <c r="A172" s="3">
        <v>45830</v>
      </c>
      <c r="B172" s="3" t="s">
        <v>2592</v>
      </c>
      <c r="C172" s="19" t="s">
        <v>16</v>
      </c>
      <c r="D172" s="19" t="s">
        <v>14</v>
      </c>
      <c r="E172" s="4">
        <v>0.95</v>
      </c>
      <c r="F172" s="42">
        <v>3.55</v>
      </c>
      <c r="G172" s="45">
        <v>276</v>
      </c>
      <c r="H172" s="22">
        <v>2.1</v>
      </c>
      <c r="I172" s="6">
        <f t="shared" si="2"/>
        <v>1954.701</v>
      </c>
      <c r="J172" s="6" t="s">
        <v>2236</v>
      </c>
    </row>
    <row r="173" spans="1:10" ht="13.95" customHeight="1" x14ac:dyDescent="0.3">
      <c r="A173" s="3">
        <v>45831</v>
      </c>
      <c r="B173" s="3" t="s">
        <v>2592</v>
      </c>
      <c r="C173" s="19" t="s">
        <v>18</v>
      </c>
      <c r="D173" s="19" t="s">
        <v>2532</v>
      </c>
      <c r="E173" s="4">
        <v>0.9</v>
      </c>
      <c r="F173" s="42">
        <v>2.8</v>
      </c>
      <c r="G173" s="45">
        <v>276</v>
      </c>
      <c r="H173" s="22">
        <v>2.1</v>
      </c>
      <c r="I173" s="6">
        <f t="shared" si="2"/>
        <v>1460.5920000000001</v>
      </c>
      <c r="J173" s="6" t="s">
        <v>451</v>
      </c>
    </row>
    <row r="174" spans="1:10" ht="13.95" customHeight="1" x14ac:dyDescent="0.3">
      <c r="A174" s="3">
        <v>45832</v>
      </c>
      <c r="B174" s="3" t="s">
        <v>2592</v>
      </c>
      <c r="C174" s="19" t="s">
        <v>20</v>
      </c>
      <c r="D174" s="19" t="s">
        <v>2532</v>
      </c>
      <c r="E174" s="4">
        <v>0.9</v>
      </c>
      <c r="F174" s="42">
        <v>2.8</v>
      </c>
      <c r="G174" s="45">
        <v>276</v>
      </c>
      <c r="H174" s="22">
        <v>2.1</v>
      </c>
      <c r="I174" s="6">
        <f t="shared" si="2"/>
        <v>1460.5920000000001</v>
      </c>
      <c r="J174" s="6" t="s">
        <v>451</v>
      </c>
    </row>
    <row r="175" spans="1:10" ht="13.95" customHeight="1" x14ac:dyDescent="0.3">
      <c r="A175" s="3">
        <v>45833</v>
      </c>
      <c r="B175" s="3" t="s">
        <v>2592</v>
      </c>
      <c r="C175" s="19" t="s">
        <v>5</v>
      </c>
      <c r="D175" s="19" t="s">
        <v>2532</v>
      </c>
      <c r="E175" s="4">
        <v>0.9</v>
      </c>
      <c r="F175" s="42">
        <v>2.85</v>
      </c>
      <c r="G175" s="45">
        <v>276</v>
      </c>
      <c r="H175" s="22">
        <v>2.1</v>
      </c>
      <c r="I175" s="6">
        <f t="shared" si="2"/>
        <v>1486.6740000000002</v>
      </c>
      <c r="J175" s="6" t="s">
        <v>451</v>
      </c>
    </row>
    <row r="176" spans="1:10" ht="13.95" customHeight="1" x14ac:dyDescent="0.3">
      <c r="A176" s="3">
        <v>45834</v>
      </c>
      <c r="B176" s="3" t="s">
        <v>2592</v>
      </c>
      <c r="C176" s="19" t="s">
        <v>8</v>
      </c>
      <c r="D176" s="19" t="s">
        <v>2532</v>
      </c>
      <c r="E176" s="4">
        <v>0.95</v>
      </c>
      <c r="F176" s="42">
        <v>2.9</v>
      </c>
      <c r="G176" s="45">
        <v>276</v>
      </c>
      <c r="H176" s="22">
        <v>2.1</v>
      </c>
      <c r="I176" s="6">
        <f t="shared" si="2"/>
        <v>1596.798</v>
      </c>
      <c r="J176" s="6" t="s">
        <v>1449</v>
      </c>
    </row>
    <row r="177" spans="1:10" ht="13.95" customHeight="1" x14ac:dyDescent="0.3">
      <c r="A177" s="3">
        <v>45835</v>
      </c>
      <c r="B177" s="3" t="s">
        <v>2592</v>
      </c>
      <c r="C177" s="19" t="s">
        <v>11</v>
      </c>
      <c r="D177" s="19" t="s">
        <v>14</v>
      </c>
      <c r="E177" s="4">
        <v>1</v>
      </c>
      <c r="F177" s="42">
        <v>3.4</v>
      </c>
      <c r="G177" s="45">
        <v>276</v>
      </c>
      <c r="H177" s="22">
        <v>2.1</v>
      </c>
      <c r="I177" s="6">
        <f t="shared" si="2"/>
        <v>1970.64</v>
      </c>
      <c r="J177" s="6" t="s">
        <v>2533</v>
      </c>
    </row>
    <row r="178" spans="1:10" ht="13.95" customHeight="1" x14ac:dyDescent="0.3">
      <c r="A178" s="3">
        <v>45836</v>
      </c>
      <c r="B178" s="3" t="s">
        <v>2592</v>
      </c>
      <c r="C178" s="19" t="s">
        <v>13</v>
      </c>
      <c r="D178" s="19" t="s">
        <v>14</v>
      </c>
      <c r="E178" s="4">
        <v>1</v>
      </c>
      <c r="F178" s="42">
        <v>4.1500000000000004</v>
      </c>
      <c r="G178" s="45">
        <v>276</v>
      </c>
      <c r="H178" s="22">
        <v>2.1</v>
      </c>
      <c r="I178" s="6">
        <f t="shared" si="2"/>
        <v>2405.34</v>
      </c>
      <c r="J178" s="6" t="s">
        <v>2534</v>
      </c>
    </row>
    <row r="179" spans="1:10" ht="13.95" customHeight="1" x14ac:dyDescent="0.3">
      <c r="A179" s="3">
        <v>45837</v>
      </c>
      <c r="B179" s="3" t="s">
        <v>2592</v>
      </c>
      <c r="C179" s="19" t="s">
        <v>16</v>
      </c>
      <c r="D179" s="19" t="s">
        <v>14</v>
      </c>
      <c r="E179" s="4">
        <v>1</v>
      </c>
      <c r="F179" s="42">
        <v>3.75</v>
      </c>
      <c r="G179" s="45">
        <v>276</v>
      </c>
      <c r="H179" s="22">
        <v>2.1</v>
      </c>
      <c r="I179" s="6">
        <f t="shared" si="2"/>
        <v>2173.5</v>
      </c>
      <c r="J179" s="6" t="s">
        <v>2535</v>
      </c>
    </row>
    <row r="180" spans="1:10" ht="13.95" customHeight="1" x14ac:dyDescent="0.3">
      <c r="A180" s="3">
        <v>45838</v>
      </c>
      <c r="B180" s="3" t="s">
        <v>2592</v>
      </c>
      <c r="C180" s="19" t="s">
        <v>18</v>
      </c>
      <c r="D180" s="19" t="s">
        <v>2532</v>
      </c>
      <c r="E180" s="4">
        <v>0.95</v>
      </c>
      <c r="F180" s="42">
        <v>2.85</v>
      </c>
      <c r="G180" s="45">
        <v>276</v>
      </c>
      <c r="H180" s="22">
        <v>2.1</v>
      </c>
      <c r="I180" s="6">
        <f t="shared" si="2"/>
        <v>1569.2670000000001</v>
      </c>
      <c r="J180" s="6" t="s">
        <v>2536</v>
      </c>
    </row>
    <row r="181" spans="1:10" ht="13.95" customHeight="1" x14ac:dyDescent="0.3">
      <c r="A181" s="3">
        <v>45809</v>
      </c>
      <c r="B181" s="3" t="s">
        <v>2592</v>
      </c>
      <c r="C181" s="19" t="s">
        <v>16</v>
      </c>
      <c r="D181" s="19" t="s">
        <v>14</v>
      </c>
      <c r="E181" s="4">
        <v>0.9</v>
      </c>
      <c r="F181" s="42">
        <v>3.45</v>
      </c>
      <c r="G181" s="45">
        <v>276</v>
      </c>
      <c r="H181" s="22">
        <v>2.1</v>
      </c>
      <c r="I181" s="6">
        <f t="shared" si="2"/>
        <v>1799.6580000000001</v>
      </c>
      <c r="J181" s="6" t="s">
        <v>238</v>
      </c>
    </row>
    <row r="182" spans="1:10" ht="13.95" customHeight="1" x14ac:dyDescent="0.3">
      <c r="A182" s="3">
        <v>45810</v>
      </c>
      <c r="B182" s="3" t="s">
        <v>2592</v>
      </c>
      <c r="C182" s="19" t="s">
        <v>18</v>
      </c>
      <c r="D182" s="19" t="s">
        <v>9</v>
      </c>
      <c r="E182" s="4">
        <v>0.75</v>
      </c>
      <c r="F182" s="42">
        <v>2.5</v>
      </c>
      <c r="G182" s="45">
        <v>276</v>
      </c>
      <c r="H182" s="22">
        <v>2.1</v>
      </c>
      <c r="I182" s="6">
        <f t="shared" si="2"/>
        <v>1086.75</v>
      </c>
      <c r="J182" s="6" t="s">
        <v>2520</v>
      </c>
    </row>
    <row r="183" spans="1:10" ht="13.95" customHeight="1" x14ac:dyDescent="0.3">
      <c r="A183" s="3">
        <v>45811</v>
      </c>
      <c r="B183" s="3" t="s">
        <v>2592</v>
      </c>
      <c r="C183" s="19" t="s">
        <v>20</v>
      </c>
      <c r="D183" s="19" t="s">
        <v>9</v>
      </c>
      <c r="E183" s="4">
        <v>0.75</v>
      </c>
      <c r="F183" s="42">
        <v>2.5</v>
      </c>
      <c r="G183" s="45">
        <v>276</v>
      </c>
      <c r="H183" s="22">
        <v>2.1</v>
      </c>
      <c r="I183" s="6">
        <f t="shared" si="2"/>
        <v>1086.75</v>
      </c>
      <c r="J183" s="6" t="s">
        <v>2520</v>
      </c>
    </row>
    <row r="184" spans="1:10" ht="13.95" customHeight="1" x14ac:dyDescent="0.3">
      <c r="A184" s="3">
        <v>45812</v>
      </c>
      <c r="B184" s="3" t="s">
        <v>2592</v>
      </c>
      <c r="C184" s="19" t="s">
        <v>5</v>
      </c>
      <c r="D184" s="19" t="s">
        <v>9</v>
      </c>
      <c r="E184" s="4">
        <v>0.8</v>
      </c>
      <c r="F184" s="42">
        <v>2.6</v>
      </c>
      <c r="G184" s="45">
        <v>276</v>
      </c>
      <c r="H184" s="22">
        <v>2.1</v>
      </c>
      <c r="I184" s="6">
        <f t="shared" si="2"/>
        <v>1205.5680000000002</v>
      </c>
      <c r="J184" s="6" t="s">
        <v>2521</v>
      </c>
    </row>
    <row r="185" spans="1:10" ht="13.95" customHeight="1" x14ac:dyDescent="0.3">
      <c r="A185" s="3">
        <v>45813</v>
      </c>
      <c r="B185" s="3" t="s">
        <v>2592</v>
      </c>
      <c r="C185" s="19" t="s">
        <v>8</v>
      </c>
      <c r="D185" s="19" t="s">
        <v>904</v>
      </c>
      <c r="E185" s="4">
        <v>0.9</v>
      </c>
      <c r="F185" s="42">
        <v>2.95</v>
      </c>
      <c r="G185" s="45">
        <v>276</v>
      </c>
      <c r="H185" s="22">
        <v>2.1</v>
      </c>
      <c r="I185" s="6">
        <f t="shared" si="2"/>
        <v>1538.8380000000002</v>
      </c>
      <c r="J185" s="6" t="s">
        <v>2522</v>
      </c>
    </row>
    <row r="186" spans="1:10" ht="13.95" customHeight="1" x14ac:dyDescent="0.3">
      <c r="A186" s="3">
        <v>45814</v>
      </c>
      <c r="B186" s="3" t="s">
        <v>2592</v>
      </c>
      <c r="C186" s="19" t="s">
        <v>11</v>
      </c>
      <c r="D186" s="19" t="s">
        <v>2523</v>
      </c>
      <c r="E186" s="4">
        <v>1</v>
      </c>
      <c r="F186" s="42">
        <v>4.2</v>
      </c>
      <c r="G186" s="45">
        <v>276</v>
      </c>
      <c r="H186" s="22">
        <v>2.1</v>
      </c>
      <c r="I186" s="6">
        <f t="shared" si="2"/>
        <v>2434.3200000000002</v>
      </c>
      <c r="J186" s="6" t="s">
        <v>2524</v>
      </c>
    </row>
    <row r="187" spans="1:10" ht="13.95" customHeight="1" x14ac:dyDescent="0.3">
      <c r="A187" s="3">
        <v>45815</v>
      </c>
      <c r="B187" s="3" t="s">
        <v>2592</v>
      </c>
      <c r="C187" s="19" t="s">
        <v>13</v>
      </c>
      <c r="D187" s="19" t="s">
        <v>2523</v>
      </c>
      <c r="E187" s="4">
        <v>1</v>
      </c>
      <c r="F187" s="42">
        <v>4.4000000000000004</v>
      </c>
      <c r="G187" s="45">
        <v>276</v>
      </c>
      <c r="H187" s="22">
        <v>2.1</v>
      </c>
      <c r="I187" s="6">
        <f t="shared" si="2"/>
        <v>2550.2400000000002</v>
      </c>
      <c r="J187" s="6" t="s">
        <v>2525</v>
      </c>
    </row>
    <row r="188" spans="1:10" ht="13.95" customHeight="1" x14ac:dyDescent="0.3">
      <c r="A188" s="3">
        <v>45816</v>
      </c>
      <c r="B188" s="3" t="s">
        <v>2592</v>
      </c>
      <c r="C188" s="19" t="s">
        <v>16</v>
      </c>
      <c r="D188" s="19" t="s">
        <v>14</v>
      </c>
      <c r="E188" s="4">
        <v>0.95</v>
      </c>
      <c r="F188" s="42">
        <v>3.6</v>
      </c>
      <c r="G188" s="45">
        <v>276</v>
      </c>
      <c r="H188" s="22">
        <v>2.1</v>
      </c>
      <c r="I188" s="6">
        <f t="shared" si="2"/>
        <v>1982.232</v>
      </c>
      <c r="J188" s="6" t="s">
        <v>750</v>
      </c>
    </row>
    <row r="189" spans="1:10" ht="13.95" customHeight="1" x14ac:dyDescent="0.3">
      <c r="A189" s="3">
        <v>45817</v>
      </c>
      <c r="B189" s="3" t="s">
        <v>2592</v>
      </c>
      <c r="C189" s="19" t="s">
        <v>18</v>
      </c>
      <c r="D189" s="19" t="s">
        <v>9</v>
      </c>
      <c r="E189" s="4">
        <v>0.8</v>
      </c>
      <c r="F189" s="42">
        <v>2.5499999999999998</v>
      </c>
      <c r="G189" s="45">
        <v>276</v>
      </c>
      <c r="H189" s="22">
        <v>2.1</v>
      </c>
      <c r="I189" s="6">
        <f t="shared" si="2"/>
        <v>1182.384</v>
      </c>
      <c r="J189" s="6" t="s">
        <v>460</v>
      </c>
    </row>
    <row r="190" spans="1:10" ht="13.95" customHeight="1" x14ac:dyDescent="0.3">
      <c r="A190" s="3">
        <v>45818</v>
      </c>
      <c r="B190" s="3" t="s">
        <v>2592</v>
      </c>
      <c r="C190" s="19" t="s">
        <v>20</v>
      </c>
      <c r="D190" s="19" t="s">
        <v>9</v>
      </c>
      <c r="E190" s="4">
        <v>0.8</v>
      </c>
      <c r="F190" s="42">
        <v>2.5499999999999998</v>
      </c>
      <c r="G190" s="45">
        <v>276</v>
      </c>
      <c r="H190" s="22">
        <v>2.1</v>
      </c>
      <c r="I190" s="6">
        <f t="shared" si="2"/>
        <v>1182.384</v>
      </c>
      <c r="J190" s="6" t="s">
        <v>2526</v>
      </c>
    </row>
    <row r="191" spans="1:10" ht="13.95" customHeight="1" x14ac:dyDescent="0.3">
      <c r="A191" s="3">
        <v>45819</v>
      </c>
      <c r="B191" s="3" t="s">
        <v>2592</v>
      </c>
      <c r="C191" s="19" t="s">
        <v>5</v>
      </c>
      <c r="D191" s="19" t="s">
        <v>9</v>
      </c>
      <c r="E191" s="4">
        <v>0.85</v>
      </c>
      <c r="F191" s="42">
        <v>2.6</v>
      </c>
      <c r="G191" s="45">
        <v>276</v>
      </c>
      <c r="H191" s="22">
        <v>2.1</v>
      </c>
      <c r="I191" s="6">
        <f t="shared" si="2"/>
        <v>1280.9160000000002</v>
      </c>
      <c r="J191" s="6" t="s">
        <v>2527</v>
      </c>
    </row>
    <row r="192" spans="1:10" ht="13.95" customHeight="1" x14ac:dyDescent="0.3">
      <c r="A192" s="3">
        <v>45820</v>
      </c>
      <c r="B192" s="3" t="s">
        <v>2592</v>
      </c>
      <c r="C192" s="19" t="s">
        <v>8</v>
      </c>
      <c r="D192" s="19" t="s">
        <v>9</v>
      </c>
      <c r="E192" s="4">
        <v>0.85</v>
      </c>
      <c r="F192" s="42">
        <v>2.65</v>
      </c>
      <c r="G192" s="45">
        <v>276</v>
      </c>
      <c r="H192" s="22">
        <v>2.1</v>
      </c>
      <c r="I192" s="6">
        <f t="shared" si="2"/>
        <v>1305.549</v>
      </c>
      <c r="J192" s="6" t="s">
        <v>2527</v>
      </c>
    </row>
    <row r="193" spans="1:10" ht="13.95" customHeight="1" x14ac:dyDescent="0.3">
      <c r="A193" s="3">
        <v>45821</v>
      </c>
      <c r="B193" s="3" t="s">
        <v>2592</v>
      </c>
      <c r="C193" s="19" t="s">
        <v>11</v>
      </c>
      <c r="D193" s="19" t="s">
        <v>14</v>
      </c>
      <c r="E193" s="4">
        <v>0.9</v>
      </c>
      <c r="F193" s="42">
        <v>3.2</v>
      </c>
      <c r="G193" s="45">
        <v>276</v>
      </c>
      <c r="H193" s="22">
        <v>2.1</v>
      </c>
      <c r="I193" s="6">
        <f t="shared" si="2"/>
        <v>1669.2480000000003</v>
      </c>
      <c r="J193" s="6" t="s">
        <v>282</v>
      </c>
    </row>
    <row r="194" spans="1:10" ht="13.95" customHeight="1" x14ac:dyDescent="0.3">
      <c r="A194" s="3">
        <v>45822</v>
      </c>
      <c r="B194" s="3" t="s">
        <v>2592</v>
      </c>
      <c r="C194" s="19" t="s">
        <v>13</v>
      </c>
      <c r="D194" s="19" t="s">
        <v>14</v>
      </c>
      <c r="E194" s="4">
        <v>0.95</v>
      </c>
      <c r="F194" s="42">
        <v>3.85</v>
      </c>
      <c r="G194" s="45">
        <v>276</v>
      </c>
      <c r="H194" s="22">
        <v>2.1</v>
      </c>
      <c r="I194" s="6">
        <f t="shared" ref="I194:I257" si="3">(G194*E194)*F194*H194</f>
        <v>2119.8870000000002</v>
      </c>
      <c r="J194" s="6" t="s">
        <v>2528</v>
      </c>
    </row>
    <row r="195" spans="1:10" ht="13.95" customHeight="1" x14ac:dyDescent="0.3">
      <c r="A195" s="3">
        <v>45823</v>
      </c>
      <c r="B195" s="3" t="s">
        <v>2592</v>
      </c>
      <c r="C195" s="19" t="s">
        <v>16</v>
      </c>
      <c r="D195" s="19" t="s">
        <v>14</v>
      </c>
      <c r="E195" s="4">
        <v>0.9</v>
      </c>
      <c r="F195" s="42">
        <v>3.4</v>
      </c>
      <c r="G195" s="45">
        <v>276</v>
      </c>
      <c r="H195" s="22">
        <v>2.1</v>
      </c>
      <c r="I195" s="6">
        <f t="shared" si="3"/>
        <v>1773.576</v>
      </c>
      <c r="J195" s="6" t="s">
        <v>159</v>
      </c>
    </row>
    <row r="196" spans="1:10" ht="13.95" customHeight="1" x14ac:dyDescent="0.3">
      <c r="A196" s="3">
        <v>45824</v>
      </c>
      <c r="B196" s="3" t="s">
        <v>2592</v>
      </c>
      <c r="C196" s="19" t="s">
        <v>18</v>
      </c>
      <c r="D196" s="19" t="s">
        <v>9</v>
      </c>
      <c r="E196" s="4">
        <v>0.8</v>
      </c>
      <c r="F196" s="42">
        <v>2.6</v>
      </c>
      <c r="G196" s="45">
        <v>276</v>
      </c>
      <c r="H196" s="22">
        <v>2.1</v>
      </c>
      <c r="I196" s="6">
        <f t="shared" si="3"/>
        <v>1205.5680000000002</v>
      </c>
      <c r="J196" s="6" t="s">
        <v>2442</v>
      </c>
    </row>
    <row r="197" spans="1:10" ht="13.95" customHeight="1" x14ac:dyDescent="0.3">
      <c r="A197" s="3">
        <v>45825</v>
      </c>
      <c r="B197" s="3" t="s">
        <v>2592</v>
      </c>
      <c r="C197" s="19" t="s">
        <v>20</v>
      </c>
      <c r="D197" s="19" t="s">
        <v>9</v>
      </c>
      <c r="E197" s="4">
        <v>0.8</v>
      </c>
      <c r="F197" s="42">
        <v>2.6</v>
      </c>
      <c r="G197" s="45">
        <v>276</v>
      </c>
      <c r="H197" s="22">
        <v>2.1</v>
      </c>
      <c r="I197" s="6">
        <f t="shared" si="3"/>
        <v>1205.5680000000002</v>
      </c>
      <c r="J197" s="6" t="s">
        <v>2442</v>
      </c>
    </row>
    <row r="198" spans="1:10" ht="13.95" customHeight="1" x14ac:dyDescent="0.3">
      <c r="A198" s="3">
        <v>45826</v>
      </c>
      <c r="B198" s="3" t="s">
        <v>2592</v>
      </c>
      <c r="C198" s="19" t="s">
        <v>5</v>
      </c>
      <c r="D198" s="19" t="s">
        <v>9</v>
      </c>
      <c r="E198" s="4">
        <v>0.85</v>
      </c>
      <c r="F198" s="42">
        <v>2.7</v>
      </c>
      <c r="G198" s="45">
        <v>276</v>
      </c>
      <c r="H198" s="22">
        <v>2.1</v>
      </c>
      <c r="I198" s="6">
        <f t="shared" si="3"/>
        <v>1330.1820000000002</v>
      </c>
      <c r="J198" s="6" t="s">
        <v>754</v>
      </c>
    </row>
    <row r="199" spans="1:10" ht="13.95" customHeight="1" x14ac:dyDescent="0.3">
      <c r="A199" s="3">
        <v>45827</v>
      </c>
      <c r="B199" s="3" t="s">
        <v>2592</v>
      </c>
      <c r="C199" s="19" t="s">
        <v>8</v>
      </c>
      <c r="D199" s="19" t="s">
        <v>9</v>
      </c>
      <c r="E199" s="4">
        <v>0.9</v>
      </c>
      <c r="F199" s="42">
        <v>2.8</v>
      </c>
      <c r="G199" s="45">
        <v>276</v>
      </c>
      <c r="H199" s="22">
        <v>2.1</v>
      </c>
      <c r="I199" s="6">
        <f t="shared" si="3"/>
        <v>1460.5920000000001</v>
      </c>
      <c r="J199" s="6" t="s">
        <v>2529</v>
      </c>
    </row>
    <row r="200" spans="1:10" ht="13.95" customHeight="1" x14ac:dyDescent="0.3">
      <c r="A200" s="3">
        <v>45828</v>
      </c>
      <c r="B200" s="3" t="s">
        <v>2592</v>
      </c>
      <c r="C200" s="19" t="s">
        <v>11</v>
      </c>
      <c r="D200" s="19" t="s">
        <v>14</v>
      </c>
      <c r="E200" s="4">
        <v>0.95</v>
      </c>
      <c r="F200" s="42">
        <v>3.3</v>
      </c>
      <c r="G200" s="45">
        <v>276</v>
      </c>
      <c r="H200" s="22">
        <v>2.1</v>
      </c>
      <c r="I200" s="6">
        <f t="shared" si="3"/>
        <v>1817.0459999999998</v>
      </c>
      <c r="J200" s="6" t="s">
        <v>2530</v>
      </c>
    </row>
    <row r="201" spans="1:10" ht="13.95" customHeight="1" x14ac:dyDescent="0.3">
      <c r="A201" s="3">
        <v>45829</v>
      </c>
      <c r="B201" s="3" t="s">
        <v>2592</v>
      </c>
      <c r="C201" s="19" t="s">
        <v>13</v>
      </c>
      <c r="D201" s="19" t="s">
        <v>14</v>
      </c>
      <c r="E201" s="4">
        <v>1</v>
      </c>
      <c r="F201" s="42">
        <v>4.05</v>
      </c>
      <c r="G201" s="45">
        <v>276</v>
      </c>
      <c r="H201" s="22">
        <v>2.1</v>
      </c>
      <c r="I201" s="6">
        <f t="shared" si="3"/>
        <v>2347.38</v>
      </c>
      <c r="J201" s="6" t="s">
        <v>2531</v>
      </c>
    </row>
    <row r="202" spans="1:10" ht="13.95" customHeight="1" x14ac:dyDescent="0.3">
      <c r="A202" s="3">
        <v>45830</v>
      </c>
      <c r="B202" s="3" t="s">
        <v>2592</v>
      </c>
      <c r="C202" s="19" t="s">
        <v>16</v>
      </c>
      <c r="D202" s="19" t="s">
        <v>14</v>
      </c>
      <c r="E202" s="4">
        <v>0.95</v>
      </c>
      <c r="F202" s="42">
        <v>3.55</v>
      </c>
      <c r="G202" s="45">
        <v>276</v>
      </c>
      <c r="H202" s="22">
        <v>2.1</v>
      </c>
      <c r="I202" s="6">
        <f t="shared" si="3"/>
        <v>1954.701</v>
      </c>
      <c r="J202" s="6" t="s">
        <v>2236</v>
      </c>
    </row>
    <row r="203" spans="1:10" ht="13.95" customHeight="1" x14ac:dyDescent="0.3">
      <c r="A203" s="3">
        <v>45831</v>
      </c>
      <c r="B203" s="3" t="s">
        <v>2592</v>
      </c>
      <c r="C203" s="19" t="s">
        <v>18</v>
      </c>
      <c r="D203" s="19" t="s">
        <v>2532</v>
      </c>
      <c r="E203" s="4">
        <v>0.9</v>
      </c>
      <c r="F203" s="42">
        <v>2.8</v>
      </c>
      <c r="G203" s="45">
        <v>276</v>
      </c>
      <c r="H203" s="22">
        <v>2.1</v>
      </c>
      <c r="I203" s="6">
        <f t="shared" si="3"/>
        <v>1460.5920000000001</v>
      </c>
      <c r="J203" s="6" t="s">
        <v>451</v>
      </c>
    </row>
    <row r="204" spans="1:10" ht="13.95" customHeight="1" x14ac:dyDescent="0.3">
      <c r="A204" s="3">
        <v>45832</v>
      </c>
      <c r="B204" s="3" t="s">
        <v>2592</v>
      </c>
      <c r="C204" s="19" t="s">
        <v>20</v>
      </c>
      <c r="D204" s="19" t="s">
        <v>2532</v>
      </c>
      <c r="E204" s="4">
        <v>0.9</v>
      </c>
      <c r="F204" s="42">
        <v>2.8</v>
      </c>
      <c r="G204" s="45">
        <v>276</v>
      </c>
      <c r="H204" s="22">
        <v>2.1</v>
      </c>
      <c r="I204" s="6">
        <f t="shared" si="3"/>
        <v>1460.5920000000001</v>
      </c>
      <c r="J204" s="6" t="s">
        <v>451</v>
      </c>
    </row>
    <row r="205" spans="1:10" ht="13.95" customHeight="1" x14ac:dyDescent="0.3">
      <c r="A205" s="3">
        <v>45833</v>
      </c>
      <c r="B205" s="3" t="s">
        <v>2592</v>
      </c>
      <c r="C205" s="19" t="s">
        <v>5</v>
      </c>
      <c r="D205" s="19" t="s">
        <v>2532</v>
      </c>
      <c r="E205" s="4">
        <v>0.9</v>
      </c>
      <c r="F205" s="42">
        <v>2.85</v>
      </c>
      <c r="G205" s="45">
        <v>276</v>
      </c>
      <c r="H205" s="22">
        <v>2.1</v>
      </c>
      <c r="I205" s="6">
        <f t="shared" si="3"/>
        <v>1486.6740000000002</v>
      </c>
      <c r="J205" s="6" t="s">
        <v>451</v>
      </c>
    </row>
    <row r="206" spans="1:10" ht="13.95" customHeight="1" x14ac:dyDescent="0.3">
      <c r="A206" s="3">
        <v>45834</v>
      </c>
      <c r="B206" s="3" t="s">
        <v>2592</v>
      </c>
      <c r="C206" s="19" t="s">
        <v>8</v>
      </c>
      <c r="D206" s="19" t="s">
        <v>2532</v>
      </c>
      <c r="E206" s="4">
        <v>0.95</v>
      </c>
      <c r="F206" s="42">
        <v>2.9</v>
      </c>
      <c r="G206" s="45">
        <v>276</v>
      </c>
      <c r="H206" s="22">
        <v>2.1</v>
      </c>
      <c r="I206" s="6">
        <f t="shared" si="3"/>
        <v>1596.798</v>
      </c>
      <c r="J206" s="6" t="s">
        <v>1449</v>
      </c>
    </row>
    <row r="207" spans="1:10" ht="13.95" customHeight="1" x14ac:dyDescent="0.3">
      <c r="A207" s="3">
        <v>45835</v>
      </c>
      <c r="B207" s="3" t="s">
        <v>2592</v>
      </c>
      <c r="C207" s="19" t="s">
        <v>11</v>
      </c>
      <c r="D207" s="19" t="s">
        <v>14</v>
      </c>
      <c r="E207" s="4">
        <v>1</v>
      </c>
      <c r="F207" s="42">
        <v>3.4</v>
      </c>
      <c r="G207" s="45">
        <v>276</v>
      </c>
      <c r="H207" s="22">
        <v>2.1</v>
      </c>
      <c r="I207" s="6">
        <f t="shared" si="3"/>
        <v>1970.64</v>
      </c>
      <c r="J207" s="6" t="s">
        <v>2533</v>
      </c>
    </row>
    <row r="208" spans="1:10" ht="13.95" customHeight="1" x14ac:dyDescent="0.3">
      <c r="A208" s="3">
        <v>45836</v>
      </c>
      <c r="B208" s="3" t="s">
        <v>2592</v>
      </c>
      <c r="C208" s="19" t="s">
        <v>13</v>
      </c>
      <c r="D208" s="19" t="s">
        <v>14</v>
      </c>
      <c r="E208" s="4">
        <v>1</v>
      </c>
      <c r="F208" s="42">
        <v>4.1500000000000004</v>
      </c>
      <c r="G208" s="45">
        <v>276</v>
      </c>
      <c r="H208" s="22">
        <v>2.1</v>
      </c>
      <c r="I208" s="6">
        <f t="shared" si="3"/>
        <v>2405.34</v>
      </c>
      <c r="J208" s="6" t="s">
        <v>2534</v>
      </c>
    </row>
    <row r="209" spans="1:10" ht="13.95" customHeight="1" x14ac:dyDescent="0.3">
      <c r="A209" s="3">
        <v>45837</v>
      </c>
      <c r="B209" s="3" t="s">
        <v>2592</v>
      </c>
      <c r="C209" s="19" t="s">
        <v>16</v>
      </c>
      <c r="D209" s="19" t="s">
        <v>14</v>
      </c>
      <c r="E209" s="4">
        <v>1</v>
      </c>
      <c r="F209" s="42">
        <v>3.75</v>
      </c>
      <c r="G209" s="45">
        <v>276</v>
      </c>
      <c r="H209" s="22">
        <v>2.1</v>
      </c>
      <c r="I209" s="6">
        <f t="shared" si="3"/>
        <v>2173.5</v>
      </c>
      <c r="J209" s="6" t="s">
        <v>2535</v>
      </c>
    </row>
    <row r="210" spans="1:10" ht="13.95" customHeight="1" x14ac:dyDescent="0.3">
      <c r="A210" s="3">
        <v>45838</v>
      </c>
      <c r="B210" s="3" t="s">
        <v>2592</v>
      </c>
      <c r="C210" s="19" t="s">
        <v>18</v>
      </c>
      <c r="D210" s="19" t="s">
        <v>2532</v>
      </c>
      <c r="E210" s="4">
        <v>0.95</v>
      </c>
      <c r="F210" s="42">
        <v>2.85</v>
      </c>
      <c r="G210" s="45">
        <v>276</v>
      </c>
      <c r="H210" s="22">
        <v>2.1</v>
      </c>
      <c r="I210" s="6">
        <f t="shared" si="3"/>
        <v>1569.2670000000001</v>
      </c>
      <c r="J210" s="6" t="s">
        <v>2536</v>
      </c>
    </row>
    <row r="211" spans="1:10" ht="13.95" customHeight="1" x14ac:dyDescent="0.3">
      <c r="A211" s="3">
        <v>45839</v>
      </c>
      <c r="B211" s="3" t="s">
        <v>2592</v>
      </c>
      <c r="C211" s="19" t="s">
        <v>20</v>
      </c>
      <c r="D211" s="19" t="s">
        <v>2532</v>
      </c>
      <c r="E211" s="4">
        <v>0.95</v>
      </c>
      <c r="F211" s="42">
        <v>2.85</v>
      </c>
      <c r="G211" s="45">
        <v>276</v>
      </c>
      <c r="H211" s="22">
        <v>2.2999999999999998</v>
      </c>
      <c r="I211" s="6">
        <f t="shared" si="3"/>
        <v>1718.7209999999998</v>
      </c>
      <c r="J211" s="6" t="s">
        <v>2537</v>
      </c>
    </row>
    <row r="212" spans="1:10" ht="13.95" customHeight="1" x14ac:dyDescent="0.3">
      <c r="A212" s="3">
        <v>45840</v>
      </c>
      <c r="B212" s="3" t="s">
        <v>2592</v>
      </c>
      <c r="C212" s="19" t="s">
        <v>5</v>
      </c>
      <c r="D212" s="19" t="s">
        <v>2532</v>
      </c>
      <c r="E212" s="4">
        <v>0.95</v>
      </c>
      <c r="F212" s="42">
        <v>2.85</v>
      </c>
      <c r="G212" s="45">
        <v>276</v>
      </c>
      <c r="H212" s="22">
        <v>2.2999999999999998</v>
      </c>
      <c r="I212" s="6">
        <f t="shared" si="3"/>
        <v>1718.7209999999998</v>
      </c>
      <c r="J212" s="6" t="s">
        <v>2538</v>
      </c>
    </row>
    <row r="213" spans="1:10" ht="13.95" customHeight="1" x14ac:dyDescent="0.3">
      <c r="A213" s="3">
        <v>45841</v>
      </c>
      <c r="B213" s="3" t="s">
        <v>2592</v>
      </c>
      <c r="C213" s="19" t="s">
        <v>8</v>
      </c>
      <c r="D213" s="19" t="s">
        <v>2532</v>
      </c>
      <c r="E213" s="4">
        <v>0.95</v>
      </c>
      <c r="F213" s="42">
        <v>2.9</v>
      </c>
      <c r="G213" s="45">
        <v>276</v>
      </c>
      <c r="H213" s="22">
        <v>2.2999999999999998</v>
      </c>
      <c r="I213" s="6">
        <f t="shared" si="3"/>
        <v>1748.8739999999998</v>
      </c>
      <c r="J213" s="6" t="s">
        <v>82</v>
      </c>
    </row>
    <row r="214" spans="1:10" ht="13.95" customHeight="1" x14ac:dyDescent="0.3">
      <c r="A214" s="3">
        <v>45842</v>
      </c>
      <c r="B214" s="3" t="s">
        <v>2592</v>
      </c>
      <c r="C214" s="19" t="s">
        <v>11</v>
      </c>
      <c r="D214" s="19" t="s">
        <v>14</v>
      </c>
      <c r="E214" s="4">
        <v>1</v>
      </c>
      <c r="F214" s="42">
        <v>3.45</v>
      </c>
      <c r="G214" s="45">
        <v>276</v>
      </c>
      <c r="H214" s="22">
        <v>2.2999999999999998</v>
      </c>
      <c r="I214" s="6">
        <f t="shared" si="3"/>
        <v>2190.06</v>
      </c>
      <c r="J214" s="6" t="s">
        <v>2539</v>
      </c>
    </row>
    <row r="215" spans="1:10" ht="13.95" customHeight="1" x14ac:dyDescent="0.3">
      <c r="A215" s="3">
        <v>45843</v>
      </c>
      <c r="B215" s="3" t="s">
        <v>2592</v>
      </c>
      <c r="C215" s="19" t="s">
        <v>13</v>
      </c>
      <c r="D215" s="19" t="s">
        <v>14</v>
      </c>
      <c r="E215" s="4">
        <v>1</v>
      </c>
      <c r="F215" s="42">
        <v>4.2</v>
      </c>
      <c r="G215" s="45">
        <v>276</v>
      </c>
      <c r="H215" s="22">
        <v>2.2999999999999998</v>
      </c>
      <c r="I215" s="6">
        <f t="shared" si="3"/>
        <v>2666.16</v>
      </c>
      <c r="J215" s="6" t="s">
        <v>2540</v>
      </c>
    </row>
    <row r="216" spans="1:10" ht="13.95" customHeight="1" x14ac:dyDescent="0.3">
      <c r="A216" s="3">
        <v>45844</v>
      </c>
      <c r="B216" s="3" t="s">
        <v>2592</v>
      </c>
      <c r="C216" s="19" t="s">
        <v>16</v>
      </c>
      <c r="D216" s="19" t="s">
        <v>14</v>
      </c>
      <c r="E216" s="4">
        <v>1</v>
      </c>
      <c r="F216" s="42">
        <v>3.85</v>
      </c>
      <c r="G216" s="45">
        <v>276</v>
      </c>
      <c r="H216" s="22">
        <v>2.2999999999999998</v>
      </c>
      <c r="I216" s="6">
        <f t="shared" si="3"/>
        <v>2443.98</v>
      </c>
      <c r="J216" s="6" t="s">
        <v>2236</v>
      </c>
    </row>
    <row r="217" spans="1:10" ht="13.95" customHeight="1" x14ac:dyDescent="0.3">
      <c r="A217" s="3">
        <v>45845</v>
      </c>
      <c r="B217" s="3" t="s">
        <v>2592</v>
      </c>
      <c r="C217" s="19" t="s">
        <v>18</v>
      </c>
      <c r="D217" s="19" t="s">
        <v>2532</v>
      </c>
      <c r="E217" s="4">
        <v>0.95</v>
      </c>
      <c r="F217" s="42">
        <v>2.85</v>
      </c>
      <c r="G217" s="45">
        <v>276</v>
      </c>
      <c r="H217" s="22">
        <v>2.2999999999999998</v>
      </c>
      <c r="I217" s="6">
        <f t="shared" si="3"/>
        <v>1718.7209999999998</v>
      </c>
      <c r="J217" s="6" t="s">
        <v>2541</v>
      </c>
    </row>
    <row r="218" spans="1:10" ht="13.95" customHeight="1" x14ac:dyDescent="0.3">
      <c r="A218" s="3">
        <v>45846</v>
      </c>
      <c r="B218" s="3" t="s">
        <v>2592</v>
      </c>
      <c r="C218" s="19" t="s">
        <v>20</v>
      </c>
      <c r="D218" s="19" t="s">
        <v>2532</v>
      </c>
      <c r="E218" s="4">
        <v>0.95</v>
      </c>
      <c r="F218" s="42">
        <v>2.85</v>
      </c>
      <c r="G218" s="45">
        <v>276</v>
      </c>
      <c r="H218" s="22">
        <v>2.2999999999999998</v>
      </c>
      <c r="I218" s="6">
        <f t="shared" si="3"/>
        <v>1718.7209999999998</v>
      </c>
      <c r="J218" s="6" t="s">
        <v>717</v>
      </c>
    </row>
    <row r="219" spans="1:10" ht="13.95" customHeight="1" x14ac:dyDescent="0.3">
      <c r="A219" s="3">
        <v>45847</v>
      </c>
      <c r="B219" s="3" t="s">
        <v>2592</v>
      </c>
      <c r="C219" s="19" t="s">
        <v>5</v>
      </c>
      <c r="D219" s="19" t="s">
        <v>2532</v>
      </c>
      <c r="E219" s="4">
        <v>0.95</v>
      </c>
      <c r="F219" s="42">
        <v>2.85</v>
      </c>
      <c r="G219" s="45">
        <v>276</v>
      </c>
      <c r="H219" s="22">
        <v>2.2999999999999998</v>
      </c>
      <c r="I219" s="6">
        <f t="shared" si="3"/>
        <v>1718.7209999999998</v>
      </c>
      <c r="J219" s="6" t="s">
        <v>717</v>
      </c>
    </row>
    <row r="220" spans="1:10" ht="13.95" customHeight="1" x14ac:dyDescent="0.3">
      <c r="A220" s="3">
        <v>45848</v>
      </c>
      <c r="B220" s="3" t="s">
        <v>2592</v>
      </c>
      <c r="C220" s="19" t="s">
        <v>8</v>
      </c>
      <c r="D220" s="19" t="s">
        <v>2532</v>
      </c>
      <c r="E220" s="4">
        <v>0.95</v>
      </c>
      <c r="F220" s="42">
        <v>2.9</v>
      </c>
      <c r="G220" s="45">
        <v>276</v>
      </c>
      <c r="H220" s="22">
        <v>2.2999999999999998</v>
      </c>
      <c r="I220" s="6">
        <f t="shared" si="3"/>
        <v>1748.8739999999998</v>
      </c>
      <c r="J220" s="6" t="s">
        <v>2542</v>
      </c>
    </row>
    <row r="221" spans="1:10" ht="13.95" customHeight="1" x14ac:dyDescent="0.3">
      <c r="A221" s="3">
        <v>45849</v>
      </c>
      <c r="B221" s="3" t="s">
        <v>2592</v>
      </c>
      <c r="C221" s="19" t="s">
        <v>11</v>
      </c>
      <c r="D221" s="19" t="s">
        <v>14</v>
      </c>
      <c r="E221" s="4">
        <v>1</v>
      </c>
      <c r="F221" s="42">
        <v>3.5</v>
      </c>
      <c r="G221" s="45">
        <v>276</v>
      </c>
      <c r="H221" s="22">
        <v>2.2999999999999998</v>
      </c>
      <c r="I221" s="6">
        <f t="shared" si="3"/>
        <v>2221.7999999999997</v>
      </c>
      <c r="J221" s="6" t="s">
        <v>2530</v>
      </c>
    </row>
    <row r="222" spans="1:10" ht="13.95" customHeight="1" x14ac:dyDescent="0.3">
      <c r="A222" s="3">
        <v>45850</v>
      </c>
      <c r="B222" s="3" t="s">
        <v>2592</v>
      </c>
      <c r="C222" s="19" t="s">
        <v>13</v>
      </c>
      <c r="D222" s="19" t="s">
        <v>14</v>
      </c>
      <c r="E222" s="4">
        <v>1</v>
      </c>
      <c r="F222" s="42">
        <v>4.25</v>
      </c>
      <c r="G222" s="45">
        <v>276</v>
      </c>
      <c r="H222" s="22">
        <v>2.2999999999999998</v>
      </c>
      <c r="I222" s="6">
        <f t="shared" si="3"/>
        <v>2697.8999999999996</v>
      </c>
      <c r="J222" s="6" t="s">
        <v>2454</v>
      </c>
    </row>
    <row r="223" spans="1:10" ht="13.95" customHeight="1" x14ac:dyDescent="0.3">
      <c r="A223" s="3">
        <v>45851</v>
      </c>
      <c r="B223" s="3" t="s">
        <v>2592</v>
      </c>
      <c r="C223" s="19" t="s">
        <v>16</v>
      </c>
      <c r="D223" s="19" t="s">
        <v>14</v>
      </c>
      <c r="E223" s="4">
        <v>1</v>
      </c>
      <c r="F223" s="42">
        <v>3.9</v>
      </c>
      <c r="G223" s="45">
        <v>276</v>
      </c>
      <c r="H223" s="22">
        <v>2.2999999999999998</v>
      </c>
      <c r="I223" s="6">
        <f t="shared" si="3"/>
        <v>2475.7199999999993</v>
      </c>
      <c r="J223" s="6" t="s">
        <v>159</v>
      </c>
    </row>
    <row r="224" spans="1:10" ht="13.95" customHeight="1" x14ac:dyDescent="0.3">
      <c r="A224" s="3">
        <v>45852</v>
      </c>
      <c r="B224" s="3" t="s">
        <v>2592</v>
      </c>
      <c r="C224" s="19" t="s">
        <v>18</v>
      </c>
      <c r="D224" s="19" t="s">
        <v>2532</v>
      </c>
      <c r="E224" s="4">
        <v>0.95</v>
      </c>
      <c r="F224" s="42">
        <v>2.85</v>
      </c>
      <c r="G224" s="45">
        <v>276</v>
      </c>
      <c r="H224" s="22">
        <v>2.2999999999999998</v>
      </c>
      <c r="I224" s="6">
        <f t="shared" si="3"/>
        <v>1718.7209999999998</v>
      </c>
      <c r="J224" s="6" t="s">
        <v>88</v>
      </c>
    </row>
    <row r="225" spans="1:10" ht="13.95" customHeight="1" x14ac:dyDescent="0.3">
      <c r="A225" s="3">
        <v>45853</v>
      </c>
      <c r="B225" s="3" t="s">
        <v>2592</v>
      </c>
      <c r="C225" s="19" t="s">
        <v>20</v>
      </c>
      <c r="D225" s="19" t="s">
        <v>2532</v>
      </c>
      <c r="E225" s="4">
        <v>0.95</v>
      </c>
      <c r="F225" s="42">
        <v>2.85</v>
      </c>
      <c r="G225" s="45">
        <v>276</v>
      </c>
      <c r="H225" s="22">
        <v>2.2999999999999998</v>
      </c>
      <c r="I225" s="6">
        <f t="shared" si="3"/>
        <v>1718.7209999999998</v>
      </c>
      <c r="J225" s="6" t="s">
        <v>88</v>
      </c>
    </row>
    <row r="226" spans="1:10" ht="13.95" customHeight="1" x14ac:dyDescent="0.3">
      <c r="A226" s="3">
        <v>45854</v>
      </c>
      <c r="B226" s="3" t="s">
        <v>2592</v>
      </c>
      <c r="C226" s="19" t="s">
        <v>5</v>
      </c>
      <c r="D226" s="19" t="s">
        <v>2532</v>
      </c>
      <c r="E226" s="4">
        <v>0.95</v>
      </c>
      <c r="F226" s="42">
        <v>2.85</v>
      </c>
      <c r="G226" s="45">
        <v>276</v>
      </c>
      <c r="H226" s="22">
        <v>2.2999999999999998</v>
      </c>
      <c r="I226" s="6">
        <f t="shared" si="3"/>
        <v>1718.7209999999998</v>
      </c>
      <c r="J226" s="6" t="s">
        <v>88</v>
      </c>
    </row>
    <row r="227" spans="1:10" ht="13.95" customHeight="1" x14ac:dyDescent="0.3">
      <c r="A227" s="3">
        <v>45855</v>
      </c>
      <c r="B227" s="3" t="s">
        <v>2592</v>
      </c>
      <c r="C227" s="19" t="s">
        <v>8</v>
      </c>
      <c r="D227" s="19" t="s">
        <v>2532</v>
      </c>
      <c r="E227" s="4">
        <v>0.95</v>
      </c>
      <c r="F227" s="42">
        <v>2.9</v>
      </c>
      <c r="G227" s="45">
        <v>276</v>
      </c>
      <c r="H227" s="22">
        <v>2.2999999999999998</v>
      </c>
      <c r="I227" s="6">
        <f t="shared" si="3"/>
        <v>1748.8739999999998</v>
      </c>
      <c r="J227" s="6" t="s">
        <v>88</v>
      </c>
    </row>
    <row r="228" spans="1:10" ht="13.95" customHeight="1" x14ac:dyDescent="0.3">
      <c r="A228" s="3">
        <v>45856</v>
      </c>
      <c r="B228" s="3" t="s">
        <v>2592</v>
      </c>
      <c r="C228" s="19" t="s">
        <v>11</v>
      </c>
      <c r="D228" s="19" t="s">
        <v>14</v>
      </c>
      <c r="E228" s="4">
        <v>1</v>
      </c>
      <c r="F228" s="42">
        <v>3.55</v>
      </c>
      <c r="G228" s="45">
        <v>276</v>
      </c>
      <c r="H228" s="22">
        <v>2.2999999999999998</v>
      </c>
      <c r="I228" s="6">
        <f t="shared" si="3"/>
        <v>2253.5399999999995</v>
      </c>
      <c r="J228" s="6" t="s">
        <v>2530</v>
      </c>
    </row>
    <row r="229" spans="1:10" ht="13.95" customHeight="1" x14ac:dyDescent="0.3">
      <c r="A229" s="3">
        <v>45857</v>
      </c>
      <c r="B229" s="3" t="s">
        <v>2592</v>
      </c>
      <c r="C229" s="19" t="s">
        <v>13</v>
      </c>
      <c r="D229" s="19" t="s">
        <v>14</v>
      </c>
      <c r="E229" s="4">
        <v>1</v>
      </c>
      <c r="F229" s="42">
        <v>4.3</v>
      </c>
      <c r="G229" s="45">
        <v>276</v>
      </c>
      <c r="H229" s="22">
        <v>2.2999999999999998</v>
      </c>
      <c r="I229" s="6">
        <f t="shared" si="3"/>
        <v>2729.64</v>
      </c>
      <c r="J229" s="6" t="s">
        <v>2543</v>
      </c>
    </row>
    <row r="230" spans="1:10" ht="13.95" customHeight="1" x14ac:dyDescent="0.3">
      <c r="A230" s="3">
        <v>45858</v>
      </c>
      <c r="B230" s="3" t="s">
        <v>2592</v>
      </c>
      <c r="C230" s="19" t="s">
        <v>16</v>
      </c>
      <c r="D230" s="19" t="s">
        <v>14</v>
      </c>
      <c r="E230" s="4">
        <v>1</v>
      </c>
      <c r="F230" s="42">
        <v>3.95</v>
      </c>
      <c r="G230" s="45">
        <v>276</v>
      </c>
      <c r="H230" s="22">
        <v>2.2999999999999998</v>
      </c>
      <c r="I230" s="6">
        <f t="shared" si="3"/>
        <v>2507.46</v>
      </c>
      <c r="J230" s="6" t="s">
        <v>69</v>
      </c>
    </row>
    <row r="231" spans="1:10" ht="13.95" customHeight="1" x14ac:dyDescent="0.3">
      <c r="A231" s="3">
        <v>45859</v>
      </c>
      <c r="B231" s="3" t="s">
        <v>2592</v>
      </c>
      <c r="C231" s="19" t="s">
        <v>18</v>
      </c>
      <c r="D231" s="19" t="s">
        <v>2532</v>
      </c>
      <c r="E231" s="4">
        <v>0.95</v>
      </c>
      <c r="F231" s="42">
        <v>2.85</v>
      </c>
      <c r="G231" s="45">
        <v>276</v>
      </c>
      <c r="H231" s="22">
        <v>2.2999999999999998</v>
      </c>
      <c r="I231" s="6">
        <f t="shared" si="3"/>
        <v>1718.7209999999998</v>
      </c>
      <c r="J231" s="6" t="s">
        <v>88</v>
      </c>
    </row>
    <row r="232" spans="1:10" ht="13.95" customHeight="1" x14ac:dyDescent="0.3">
      <c r="A232" s="3">
        <v>45860</v>
      </c>
      <c r="B232" s="3" t="s">
        <v>2592</v>
      </c>
      <c r="C232" s="19" t="s">
        <v>20</v>
      </c>
      <c r="D232" s="19" t="s">
        <v>2532</v>
      </c>
      <c r="E232" s="4">
        <v>0.95</v>
      </c>
      <c r="F232" s="42">
        <v>2.85</v>
      </c>
      <c r="G232" s="45">
        <v>276</v>
      </c>
      <c r="H232" s="22">
        <v>2.2999999999999998</v>
      </c>
      <c r="I232" s="6">
        <f t="shared" si="3"/>
        <v>1718.7209999999998</v>
      </c>
      <c r="J232" s="6" t="s">
        <v>88</v>
      </c>
    </row>
    <row r="233" spans="1:10" ht="13.95" customHeight="1" x14ac:dyDescent="0.3">
      <c r="A233" s="3">
        <v>45861</v>
      </c>
      <c r="B233" s="3" t="s">
        <v>2592</v>
      </c>
      <c r="C233" s="19" t="s">
        <v>5</v>
      </c>
      <c r="D233" s="19" t="s">
        <v>2532</v>
      </c>
      <c r="E233" s="4">
        <v>0.95</v>
      </c>
      <c r="F233" s="42">
        <v>2.9</v>
      </c>
      <c r="G233" s="45">
        <v>276</v>
      </c>
      <c r="H233" s="22">
        <v>2.2999999999999998</v>
      </c>
      <c r="I233" s="6">
        <f t="shared" si="3"/>
        <v>1748.8739999999998</v>
      </c>
      <c r="J233" s="6" t="s">
        <v>88</v>
      </c>
    </row>
    <row r="234" spans="1:10" ht="13.95" customHeight="1" x14ac:dyDescent="0.3">
      <c r="A234" s="3">
        <v>45862</v>
      </c>
      <c r="B234" s="3" t="s">
        <v>2592</v>
      </c>
      <c r="C234" s="19" t="s">
        <v>8</v>
      </c>
      <c r="D234" s="19" t="s">
        <v>994</v>
      </c>
      <c r="E234" s="4">
        <v>1</v>
      </c>
      <c r="F234" s="42">
        <v>3</v>
      </c>
      <c r="G234" s="45">
        <v>276</v>
      </c>
      <c r="H234" s="22">
        <v>2.2999999999999998</v>
      </c>
      <c r="I234" s="6">
        <f t="shared" si="3"/>
        <v>1904.3999999999999</v>
      </c>
      <c r="J234" s="6" t="s">
        <v>2544</v>
      </c>
    </row>
    <row r="235" spans="1:10" ht="13.95" customHeight="1" x14ac:dyDescent="0.3">
      <c r="A235" s="3">
        <v>45863</v>
      </c>
      <c r="B235" s="3" t="s">
        <v>2592</v>
      </c>
      <c r="C235" s="19" t="s">
        <v>11</v>
      </c>
      <c r="D235" s="19" t="s">
        <v>1010</v>
      </c>
      <c r="E235" s="4">
        <v>1</v>
      </c>
      <c r="F235" s="42">
        <v>3.65</v>
      </c>
      <c r="G235" s="45">
        <v>276</v>
      </c>
      <c r="H235" s="22">
        <v>2.2999999999999998</v>
      </c>
      <c r="I235" s="6">
        <f t="shared" si="3"/>
        <v>2317.02</v>
      </c>
      <c r="J235" s="6" t="s">
        <v>2401</v>
      </c>
    </row>
    <row r="236" spans="1:10" ht="13.95" customHeight="1" x14ac:dyDescent="0.3">
      <c r="A236" s="3">
        <v>45864</v>
      </c>
      <c r="B236" s="3" t="s">
        <v>2592</v>
      </c>
      <c r="C236" s="19" t="s">
        <v>13</v>
      </c>
      <c r="D236" s="19" t="s">
        <v>14</v>
      </c>
      <c r="E236" s="4">
        <v>1</v>
      </c>
      <c r="F236" s="42">
        <v>4.3499999999999996</v>
      </c>
      <c r="G236" s="45">
        <v>276</v>
      </c>
      <c r="H236" s="22">
        <v>2.2999999999999998</v>
      </c>
      <c r="I236" s="6">
        <f t="shared" si="3"/>
        <v>2761.3799999999997</v>
      </c>
      <c r="J236" s="6" t="s">
        <v>2545</v>
      </c>
    </row>
    <row r="237" spans="1:10" ht="13.95" customHeight="1" x14ac:dyDescent="0.3">
      <c r="A237" s="3">
        <v>45865</v>
      </c>
      <c r="B237" s="3" t="s">
        <v>2592</v>
      </c>
      <c r="C237" s="19" t="s">
        <v>16</v>
      </c>
      <c r="D237" s="19" t="s">
        <v>14</v>
      </c>
      <c r="E237" s="4">
        <v>1</v>
      </c>
      <c r="F237" s="42">
        <v>4</v>
      </c>
      <c r="G237" s="45">
        <v>276</v>
      </c>
      <c r="H237" s="22">
        <v>2.2999999999999998</v>
      </c>
      <c r="I237" s="6">
        <f t="shared" si="3"/>
        <v>2539.1999999999998</v>
      </c>
      <c r="J237" s="6" t="s">
        <v>2546</v>
      </c>
    </row>
    <row r="238" spans="1:10" ht="13.95" customHeight="1" x14ac:dyDescent="0.3">
      <c r="A238" s="3">
        <v>45866</v>
      </c>
      <c r="B238" s="3" t="s">
        <v>2592</v>
      </c>
      <c r="C238" s="19" t="s">
        <v>18</v>
      </c>
      <c r="D238" s="19" t="s">
        <v>2532</v>
      </c>
      <c r="E238" s="4">
        <v>0.95</v>
      </c>
      <c r="F238" s="42">
        <v>2.9</v>
      </c>
      <c r="G238" s="45">
        <v>276</v>
      </c>
      <c r="H238" s="22">
        <v>2.2999999999999998</v>
      </c>
      <c r="I238" s="6">
        <f t="shared" si="3"/>
        <v>1748.8739999999998</v>
      </c>
      <c r="J238" s="6" t="s">
        <v>88</v>
      </c>
    </row>
    <row r="239" spans="1:10" ht="13.95" customHeight="1" x14ac:dyDescent="0.3">
      <c r="A239" s="3">
        <v>45867</v>
      </c>
      <c r="B239" s="3" t="s">
        <v>2592</v>
      </c>
      <c r="C239" s="19" t="s">
        <v>20</v>
      </c>
      <c r="D239" s="19" t="s">
        <v>2532</v>
      </c>
      <c r="E239" s="4">
        <v>0.95</v>
      </c>
      <c r="F239" s="42">
        <v>2.9</v>
      </c>
      <c r="G239" s="45">
        <v>276</v>
      </c>
      <c r="H239" s="22">
        <v>2.2999999999999998</v>
      </c>
      <c r="I239" s="6">
        <f t="shared" si="3"/>
        <v>1748.8739999999998</v>
      </c>
      <c r="J239" s="6" t="s">
        <v>88</v>
      </c>
    </row>
    <row r="240" spans="1:10" ht="13.95" customHeight="1" x14ac:dyDescent="0.3">
      <c r="A240" s="3">
        <v>45868</v>
      </c>
      <c r="B240" s="3" t="s">
        <v>2592</v>
      </c>
      <c r="C240" s="19" t="s">
        <v>5</v>
      </c>
      <c r="D240" s="19" t="s">
        <v>2532</v>
      </c>
      <c r="E240" s="4">
        <v>0.95</v>
      </c>
      <c r="F240" s="42">
        <v>2.95</v>
      </c>
      <c r="G240" s="45">
        <v>276</v>
      </c>
      <c r="H240" s="22">
        <v>2.2999999999999998</v>
      </c>
      <c r="I240" s="6">
        <f t="shared" si="3"/>
        <v>1779.0269999999998</v>
      </c>
      <c r="J240" s="6" t="s">
        <v>2547</v>
      </c>
    </row>
    <row r="241" spans="1:10" ht="13.95" customHeight="1" x14ac:dyDescent="0.3">
      <c r="A241" s="3">
        <v>45869</v>
      </c>
      <c r="B241" s="3" t="s">
        <v>2592</v>
      </c>
      <c r="C241" s="19" t="s">
        <v>8</v>
      </c>
      <c r="D241" s="19" t="s">
        <v>2532</v>
      </c>
      <c r="E241" s="4">
        <v>1</v>
      </c>
      <c r="F241" s="42">
        <v>3</v>
      </c>
      <c r="G241" s="45">
        <v>276</v>
      </c>
      <c r="H241" s="22">
        <v>2.2999999999999998</v>
      </c>
      <c r="I241" s="6">
        <f t="shared" si="3"/>
        <v>1904.3999999999999</v>
      </c>
      <c r="J241" s="6" t="s">
        <v>2548</v>
      </c>
    </row>
    <row r="242" spans="1:10" ht="13.95" customHeight="1" x14ac:dyDescent="0.3">
      <c r="A242" s="3">
        <v>45870</v>
      </c>
      <c r="B242" s="3" t="s">
        <v>2592</v>
      </c>
      <c r="C242" s="19" t="s">
        <v>11</v>
      </c>
      <c r="D242" s="19" t="s">
        <v>14</v>
      </c>
      <c r="E242" s="4">
        <v>1</v>
      </c>
      <c r="F242" s="42">
        <v>3.5</v>
      </c>
      <c r="G242" s="45">
        <v>276</v>
      </c>
      <c r="H242" s="22">
        <v>2.4</v>
      </c>
      <c r="I242" s="6">
        <f t="shared" si="3"/>
        <v>2318.4</v>
      </c>
      <c r="J242" s="6" t="s">
        <v>2549</v>
      </c>
    </row>
    <row r="243" spans="1:10" ht="13.95" customHeight="1" x14ac:dyDescent="0.3">
      <c r="A243" s="3">
        <v>45871</v>
      </c>
      <c r="B243" s="3" t="s">
        <v>2592</v>
      </c>
      <c r="C243" s="19" t="s">
        <v>13</v>
      </c>
      <c r="D243" s="19" t="s">
        <v>14</v>
      </c>
      <c r="E243" s="4">
        <v>1</v>
      </c>
      <c r="F243" s="42">
        <v>4.3</v>
      </c>
      <c r="G243" s="45">
        <v>276</v>
      </c>
      <c r="H243" s="22">
        <v>2.4</v>
      </c>
      <c r="I243" s="6">
        <f t="shared" si="3"/>
        <v>2848.3199999999997</v>
      </c>
      <c r="J243" s="6" t="s">
        <v>2513</v>
      </c>
    </row>
    <row r="244" spans="1:10" ht="13.95" customHeight="1" x14ac:dyDescent="0.3">
      <c r="A244" s="3">
        <v>45872</v>
      </c>
      <c r="B244" s="3" t="s">
        <v>2592</v>
      </c>
      <c r="C244" s="19" t="s">
        <v>16</v>
      </c>
      <c r="D244" s="19" t="s">
        <v>14</v>
      </c>
      <c r="E244" s="4">
        <v>1</v>
      </c>
      <c r="F244" s="42">
        <v>3.95</v>
      </c>
      <c r="G244" s="45">
        <v>276</v>
      </c>
      <c r="H244" s="22">
        <v>2.4</v>
      </c>
      <c r="I244" s="6">
        <f t="shared" si="3"/>
        <v>2616.48</v>
      </c>
      <c r="J244" s="6" t="s">
        <v>2550</v>
      </c>
    </row>
    <row r="245" spans="1:10" ht="13.95" customHeight="1" x14ac:dyDescent="0.3">
      <c r="A245" s="3">
        <v>45873</v>
      </c>
      <c r="B245" s="3" t="s">
        <v>2592</v>
      </c>
      <c r="C245" s="19" t="s">
        <v>18</v>
      </c>
      <c r="D245" s="19" t="s">
        <v>2551</v>
      </c>
      <c r="E245" s="4">
        <v>1</v>
      </c>
      <c r="F245" s="42">
        <v>2.9</v>
      </c>
      <c r="G245" s="45">
        <v>276</v>
      </c>
      <c r="H245" s="22">
        <v>2.4</v>
      </c>
      <c r="I245" s="6">
        <f t="shared" si="3"/>
        <v>1920.9599999999998</v>
      </c>
      <c r="J245" s="6" t="s">
        <v>2552</v>
      </c>
    </row>
    <row r="246" spans="1:10" ht="13.95" customHeight="1" x14ac:dyDescent="0.3">
      <c r="A246" s="3">
        <v>45874</v>
      </c>
      <c r="B246" s="3" t="s">
        <v>2592</v>
      </c>
      <c r="C246" s="19" t="s">
        <v>20</v>
      </c>
      <c r="D246" s="19" t="s">
        <v>2551</v>
      </c>
      <c r="E246" s="4">
        <v>1</v>
      </c>
      <c r="F246" s="42">
        <v>2.9</v>
      </c>
      <c r="G246" s="45">
        <v>276</v>
      </c>
      <c r="H246" s="22">
        <v>2.4</v>
      </c>
      <c r="I246" s="6">
        <f t="shared" si="3"/>
        <v>1920.9599999999998</v>
      </c>
      <c r="J246" s="6" t="s">
        <v>2552</v>
      </c>
    </row>
    <row r="247" spans="1:10" ht="13.95" customHeight="1" x14ac:dyDescent="0.3">
      <c r="A247" s="3">
        <v>45875</v>
      </c>
      <c r="B247" s="3" t="s">
        <v>2592</v>
      </c>
      <c r="C247" s="19" t="s">
        <v>5</v>
      </c>
      <c r="D247" s="19" t="s">
        <v>2551</v>
      </c>
      <c r="E247" s="4">
        <v>1</v>
      </c>
      <c r="F247" s="42">
        <v>2.9</v>
      </c>
      <c r="G247" s="45">
        <v>276</v>
      </c>
      <c r="H247" s="22">
        <v>2.4</v>
      </c>
      <c r="I247" s="6">
        <f t="shared" si="3"/>
        <v>1920.9599999999998</v>
      </c>
      <c r="J247" s="6" t="s">
        <v>2552</v>
      </c>
    </row>
    <row r="248" spans="1:10" ht="13.95" customHeight="1" x14ac:dyDescent="0.3">
      <c r="A248" s="3">
        <v>45876</v>
      </c>
      <c r="B248" s="3" t="s">
        <v>2592</v>
      </c>
      <c r="C248" s="19" t="s">
        <v>8</v>
      </c>
      <c r="D248" s="19" t="s">
        <v>2551</v>
      </c>
      <c r="E248" s="4">
        <v>1</v>
      </c>
      <c r="F248" s="42">
        <v>2.95</v>
      </c>
      <c r="G248" s="45">
        <v>276</v>
      </c>
      <c r="H248" s="22">
        <v>2.4</v>
      </c>
      <c r="I248" s="6">
        <f t="shared" si="3"/>
        <v>1954.08</v>
      </c>
      <c r="J248" s="6" t="s">
        <v>82</v>
      </c>
    </row>
    <row r="249" spans="1:10" ht="13.95" customHeight="1" x14ac:dyDescent="0.3">
      <c r="A249" s="3">
        <v>45877</v>
      </c>
      <c r="B249" s="3" t="s">
        <v>2592</v>
      </c>
      <c r="C249" s="19" t="s">
        <v>11</v>
      </c>
      <c r="D249" s="19" t="s">
        <v>14</v>
      </c>
      <c r="E249" s="4">
        <v>1</v>
      </c>
      <c r="F249" s="42">
        <v>3.55</v>
      </c>
      <c r="G249" s="45">
        <v>276</v>
      </c>
      <c r="H249" s="22">
        <v>2.4</v>
      </c>
      <c r="I249" s="6">
        <f t="shared" si="3"/>
        <v>2351.52</v>
      </c>
      <c r="J249" s="6" t="s">
        <v>2515</v>
      </c>
    </row>
    <row r="250" spans="1:10" ht="13.95" customHeight="1" x14ac:dyDescent="0.3">
      <c r="A250" s="3">
        <v>45878</v>
      </c>
      <c r="B250" s="3" t="s">
        <v>2592</v>
      </c>
      <c r="C250" s="19" t="s">
        <v>13</v>
      </c>
      <c r="D250" s="19" t="s">
        <v>14</v>
      </c>
      <c r="E250" s="4">
        <v>1</v>
      </c>
      <c r="F250" s="42">
        <v>4.3499999999999996</v>
      </c>
      <c r="G250" s="45">
        <v>276</v>
      </c>
      <c r="H250" s="22">
        <v>2.4</v>
      </c>
      <c r="I250" s="6">
        <f t="shared" si="3"/>
        <v>2881.4399999999996</v>
      </c>
      <c r="J250" s="6" t="s">
        <v>2528</v>
      </c>
    </row>
    <row r="251" spans="1:10" ht="13.95" customHeight="1" x14ac:dyDescent="0.3">
      <c r="A251" s="3">
        <v>45879</v>
      </c>
      <c r="B251" s="3" t="s">
        <v>2592</v>
      </c>
      <c r="C251" s="19" t="s">
        <v>16</v>
      </c>
      <c r="D251" s="19" t="s">
        <v>14</v>
      </c>
      <c r="E251" s="4">
        <v>1</v>
      </c>
      <c r="F251" s="42">
        <v>4</v>
      </c>
      <c r="G251" s="45">
        <v>276</v>
      </c>
      <c r="H251" s="22">
        <v>2.4</v>
      </c>
      <c r="I251" s="6">
        <f t="shared" si="3"/>
        <v>2649.6</v>
      </c>
      <c r="J251" s="6" t="s">
        <v>159</v>
      </c>
    </row>
    <row r="252" spans="1:10" ht="13.95" customHeight="1" x14ac:dyDescent="0.3">
      <c r="A252" s="3">
        <v>45880</v>
      </c>
      <c r="B252" s="3" t="s">
        <v>2592</v>
      </c>
      <c r="C252" s="19" t="s">
        <v>18</v>
      </c>
      <c r="D252" s="19" t="s">
        <v>2551</v>
      </c>
      <c r="E252" s="4">
        <v>1</v>
      </c>
      <c r="F252" s="42">
        <v>2.9</v>
      </c>
      <c r="G252" s="45">
        <v>276</v>
      </c>
      <c r="H252" s="22">
        <v>2.4</v>
      </c>
      <c r="I252" s="6">
        <f t="shared" si="3"/>
        <v>1920.9599999999998</v>
      </c>
      <c r="J252" s="6" t="s">
        <v>2553</v>
      </c>
    </row>
    <row r="253" spans="1:10" ht="13.95" customHeight="1" x14ac:dyDescent="0.3">
      <c r="A253" s="3">
        <v>45881</v>
      </c>
      <c r="B253" s="3" t="s">
        <v>2592</v>
      </c>
      <c r="C253" s="19" t="s">
        <v>20</v>
      </c>
      <c r="D253" s="19" t="s">
        <v>994</v>
      </c>
      <c r="E253" s="4">
        <v>1</v>
      </c>
      <c r="F253" s="42">
        <v>3.1</v>
      </c>
      <c r="G253" s="45">
        <v>276</v>
      </c>
      <c r="H253" s="22">
        <v>2.4</v>
      </c>
      <c r="I253" s="6">
        <f t="shared" si="3"/>
        <v>2053.44</v>
      </c>
      <c r="J253" s="6" t="s">
        <v>2554</v>
      </c>
    </row>
    <row r="254" spans="1:10" ht="13.95" customHeight="1" x14ac:dyDescent="0.3">
      <c r="A254" s="3">
        <v>45882</v>
      </c>
      <c r="B254" s="3" t="s">
        <v>2592</v>
      </c>
      <c r="C254" s="19" t="s">
        <v>5</v>
      </c>
      <c r="D254" s="19" t="s">
        <v>2555</v>
      </c>
      <c r="E254" s="4">
        <v>1</v>
      </c>
      <c r="F254" s="42">
        <v>3.7</v>
      </c>
      <c r="G254" s="45">
        <v>276</v>
      </c>
      <c r="H254" s="22">
        <v>2.4</v>
      </c>
      <c r="I254" s="6">
        <f t="shared" si="3"/>
        <v>2450.88</v>
      </c>
      <c r="J254" s="6" t="s">
        <v>2398</v>
      </c>
    </row>
    <row r="255" spans="1:10" ht="13.95" customHeight="1" x14ac:dyDescent="0.3">
      <c r="A255" s="3">
        <v>45883</v>
      </c>
      <c r="B255" s="3" t="s">
        <v>2592</v>
      </c>
      <c r="C255" s="19" t="s">
        <v>8</v>
      </c>
      <c r="D255" s="19" t="s">
        <v>2551</v>
      </c>
      <c r="E255" s="4">
        <v>1</v>
      </c>
      <c r="F255" s="42">
        <v>3</v>
      </c>
      <c r="G255" s="45">
        <v>276</v>
      </c>
      <c r="H255" s="22">
        <v>2.4</v>
      </c>
      <c r="I255" s="6">
        <f t="shared" si="3"/>
        <v>1987.1999999999998</v>
      </c>
      <c r="J255" s="6" t="s">
        <v>88</v>
      </c>
    </row>
    <row r="256" spans="1:10" ht="13.95" customHeight="1" x14ac:dyDescent="0.3">
      <c r="A256" s="3">
        <v>45884</v>
      </c>
      <c r="B256" s="3" t="s">
        <v>2592</v>
      </c>
      <c r="C256" s="19" t="s">
        <v>11</v>
      </c>
      <c r="D256" s="19" t="s">
        <v>14</v>
      </c>
      <c r="E256" s="4">
        <v>1</v>
      </c>
      <c r="F256" s="42">
        <v>3.6</v>
      </c>
      <c r="G256" s="45">
        <v>276</v>
      </c>
      <c r="H256" s="22">
        <v>2.4</v>
      </c>
      <c r="I256" s="6">
        <f t="shared" si="3"/>
        <v>2384.64</v>
      </c>
      <c r="J256" s="6" t="s">
        <v>2556</v>
      </c>
    </row>
    <row r="257" spans="1:10" ht="13.95" customHeight="1" x14ac:dyDescent="0.3">
      <c r="A257" s="3">
        <v>45885</v>
      </c>
      <c r="B257" s="3" t="s">
        <v>2592</v>
      </c>
      <c r="C257" s="19" t="s">
        <v>13</v>
      </c>
      <c r="D257" s="19" t="s">
        <v>14</v>
      </c>
      <c r="E257" s="4">
        <v>1</v>
      </c>
      <c r="F257" s="42">
        <v>4.4000000000000004</v>
      </c>
      <c r="G257" s="45">
        <v>276</v>
      </c>
      <c r="H257" s="22">
        <v>2.4</v>
      </c>
      <c r="I257" s="6">
        <f t="shared" si="3"/>
        <v>2914.56</v>
      </c>
      <c r="J257" s="6" t="s">
        <v>2557</v>
      </c>
    </row>
    <row r="258" spans="1:10" ht="13.95" customHeight="1" x14ac:dyDescent="0.3">
      <c r="A258" s="3">
        <v>45886</v>
      </c>
      <c r="B258" s="3" t="s">
        <v>2592</v>
      </c>
      <c r="C258" s="19" t="s">
        <v>16</v>
      </c>
      <c r="D258" s="19" t="s">
        <v>14</v>
      </c>
      <c r="E258" s="4">
        <v>1</v>
      </c>
      <c r="F258" s="42">
        <v>4.05</v>
      </c>
      <c r="G258" s="45">
        <v>276</v>
      </c>
      <c r="H258" s="22">
        <v>2.4</v>
      </c>
      <c r="I258" s="6">
        <f t="shared" ref="I258:I302" si="4">(G258*E258)*F258*H258</f>
        <v>2682.72</v>
      </c>
      <c r="J258" s="6" t="s">
        <v>2558</v>
      </c>
    </row>
    <row r="259" spans="1:10" ht="13.95" customHeight="1" x14ac:dyDescent="0.3">
      <c r="A259" s="3">
        <v>45887</v>
      </c>
      <c r="B259" s="3" t="s">
        <v>2592</v>
      </c>
      <c r="C259" s="19" t="s">
        <v>18</v>
      </c>
      <c r="D259" s="19" t="s">
        <v>2551</v>
      </c>
      <c r="E259" s="4">
        <v>1</v>
      </c>
      <c r="F259" s="42">
        <v>2.9</v>
      </c>
      <c r="G259" s="45">
        <v>276</v>
      </c>
      <c r="H259" s="22">
        <v>2.4</v>
      </c>
      <c r="I259" s="6">
        <f t="shared" si="4"/>
        <v>1920.9599999999998</v>
      </c>
      <c r="J259" s="6" t="s">
        <v>88</v>
      </c>
    </row>
    <row r="260" spans="1:10" ht="13.95" customHeight="1" x14ac:dyDescent="0.3">
      <c r="A260" s="3">
        <v>45888</v>
      </c>
      <c r="B260" s="3" t="s">
        <v>2592</v>
      </c>
      <c r="C260" s="19" t="s">
        <v>20</v>
      </c>
      <c r="D260" s="19" t="s">
        <v>2551</v>
      </c>
      <c r="E260" s="4">
        <v>1</v>
      </c>
      <c r="F260" s="42">
        <v>2.9</v>
      </c>
      <c r="G260" s="45">
        <v>276</v>
      </c>
      <c r="H260" s="22">
        <v>2.4</v>
      </c>
      <c r="I260" s="6">
        <f t="shared" si="4"/>
        <v>1920.9599999999998</v>
      </c>
      <c r="J260" s="6" t="s">
        <v>88</v>
      </c>
    </row>
    <row r="261" spans="1:10" ht="13.95" customHeight="1" x14ac:dyDescent="0.3">
      <c r="A261" s="3">
        <v>45889</v>
      </c>
      <c r="B261" s="3" t="s">
        <v>2592</v>
      </c>
      <c r="C261" s="19" t="s">
        <v>5</v>
      </c>
      <c r="D261" s="19" t="s">
        <v>2551</v>
      </c>
      <c r="E261" s="4">
        <v>1</v>
      </c>
      <c r="F261" s="42">
        <v>2.95</v>
      </c>
      <c r="G261" s="45">
        <v>276</v>
      </c>
      <c r="H261" s="22">
        <v>2.4</v>
      </c>
      <c r="I261" s="6">
        <f t="shared" si="4"/>
        <v>1954.08</v>
      </c>
      <c r="J261" s="6" t="s">
        <v>88</v>
      </c>
    </row>
    <row r="262" spans="1:10" ht="13.95" customHeight="1" x14ac:dyDescent="0.3">
      <c r="A262" s="3">
        <v>45890</v>
      </c>
      <c r="B262" s="3" t="s">
        <v>2592</v>
      </c>
      <c r="C262" s="19" t="s">
        <v>8</v>
      </c>
      <c r="D262" s="19" t="s">
        <v>2551</v>
      </c>
      <c r="E262" s="4">
        <v>1</v>
      </c>
      <c r="F262" s="42">
        <v>2.95</v>
      </c>
      <c r="G262" s="45">
        <v>276</v>
      </c>
      <c r="H262" s="22">
        <v>2.4</v>
      </c>
      <c r="I262" s="6">
        <f t="shared" si="4"/>
        <v>1954.08</v>
      </c>
      <c r="J262" s="6" t="s">
        <v>82</v>
      </c>
    </row>
    <row r="263" spans="1:10" ht="13.95" customHeight="1" x14ac:dyDescent="0.3">
      <c r="A263" s="3">
        <v>45891</v>
      </c>
      <c r="B263" s="3" t="s">
        <v>2592</v>
      </c>
      <c r="C263" s="19" t="s">
        <v>11</v>
      </c>
      <c r="D263" s="19" t="s">
        <v>14</v>
      </c>
      <c r="E263" s="4">
        <v>1</v>
      </c>
      <c r="F263" s="42">
        <v>3.55</v>
      </c>
      <c r="G263" s="45">
        <v>276</v>
      </c>
      <c r="H263" s="22">
        <v>2.4</v>
      </c>
      <c r="I263" s="6">
        <f t="shared" si="4"/>
        <v>2351.52</v>
      </c>
      <c r="J263" s="6" t="s">
        <v>97</v>
      </c>
    </row>
    <row r="264" spans="1:10" ht="13.95" customHeight="1" x14ac:dyDescent="0.3">
      <c r="A264" s="3">
        <v>45892</v>
      </c>
      <c r="B264" s="3" t="s">
        <v>2592</v>
      </c>
      <c r="C264" s="19" t="s">
        <v>13</v>
      </c>
      <c r="D264" s="19" t="s">
        <v>14</v>
      </c>
      <c r="E264" s="4">
        <v>1</v>
      </c>
      <c r="F264" s="42">
        <v>4.3499999999999996</v>
      </c>
      <c r="G264" s="45">
        <v>276</v>
      </c>
      <c r="H264" s="22">
        <v>2.4</v>
      </c>
      <c r="I264" s="6">
        <f t="shared" si="4"/>
        <v>2881.4399999999996</v>
      </c>
      <c r="J264" s="6" t="s">
        <v>2290</v>
      </c>
    </row>
    <row r="265" spans="1:10" ht="13.95" customHeight="1" x14ac:dyDescent="0.3">
      <c r="A265" s="3">
        <v>45893</v>
      </c>
      <c r="B265" s="3" t="s">
        <v>2592</v>
      </c>
      <c r="C265" s="19" t="s">
        <v>16</v>
      </c>
      <c r="D265" s="19" t="s">
        <v>14</v>
      </c>
      <c r="E265" s="4">
        <v>1</v>
      </c>
      <c r="F265" s="42">
        <v>4</v>
      </c>
      <c r="G265" s="45">
        <v>276</v>
      </c>
      <c r="H265" s="22">
        <v>2.4</v>
      </c>
      <c r="I265" s="6">
        <f t="shared" si="4"/>
        <v>2649.6</v>
      </c>
      <c r="J265" s="6" t="s">
        <v>238</v>
      </c>
    </row>
    <row r="266" spans="1:10" ht="13.95" customHeight="1" x14ac:dyDescent="0.3">
      <c r="A266" s="3">
        <v>45894</v>
      </c>
      <c r="B266" s="3" t="s">
        <v>2592</v>
      </c>
      <c r="C266" s="19" t="s">
        <v>18</v>
      </c>
      <c r="D266" s="19" t="s">
        <v>2551</v>
      </c>
      <c r="E266" s="4">
        <v>0.95</v>
      </c>
      <c r="F266" s="42">
        <v>2.9</v>
      </c>
      <c r="G266" s="45">
        <v>276</v>
      </c>
      <c r="H266" s="22">
        <v>2.4</v>
      </c>
      <c r="I266" s="6">
        <f t="shared" si="4"/>
        <v>1824.912</v>
      </c>
      <c r="J266" s="6" t="s">
        <v>2559</v>
      </c>
    </row>
    <row r="267" spans="1:10" ht="13.95" customHeight="1" x14ac:dyDescent="0.3">
      <c r="A267" s="3">
        <v>45895</v>
      </c>
      <c r="B267" s="3" t="s">
        <v>2592</v>
      </c>
      <c r="C267" s="19" t="s">
        <v>20</v>
      </c>
      <c r="D267" s="19" t="s">
        <v>2551</v>
      </c>
      <c r="E267" s="4">
        <v>0.95</v>
      </c>
      <c r="F267" s="42">
        <v>2.9</v>
      </c>
      <c r="G267" s="45">
        <v>276</v>
      </c>
      <c r="H267" s="22">
        <v>2.4</v>
      </c>
      <c r="I267" s="6">
        <f t="shared" si="4"/>
        <v>1824.912</v>
      </c>
      <c r="J267" s="6" t="s">
        <v>717</v>
      </c>
    </row>
    <row r="268" spans="1:10" ht="13.95" customHeight="1" x14ac:dyDescent="0.3">
      <c r="A268" s="3">
        <v>45896</v>
      </c>
      <c r="B268" s="3" t="s">
        <v>2592</v>
      </c>
      <c r="C268" s="19" t="s">
        <v>5</v>
      </c>
      <c r="D268" s="19" t="s">
        <v>2551</v>
      </c>
      <c r="E268" s="4">
        <v>0.9</v>
      </c>
      <c r="F268" s="42">
        <v>2.85</v>
      </c>
      <c r="G268" s="45">
        <v>276</v>
      </c>
      <c r="H268" s="22">
        <v>2.4</v>
      </c>
      <c r="I268" s="6">
        <f t="shared" si="4"/>
        <v>1699.056</v>
      </c>
      <c r="J268" s="6" t="s">
        <v>2560</v>
      </c>
    </row>
    <row r="269" spans="1:10" ht="13.95" customHeight="1" x14ac:dyDescent="0.3">
      <c r="A269" s="3">
        <v>45897</v>
      </c>
      <c r="B269" s="3" t="s">
        <v>2592</v>
      </c>
      <c r="C269" s="19" t="s">
        <v>8</v>
      </c>
      <c r="D269" s="19" t="s">
        <v>2551</v>
      </c>
      <c r="E269" s="4">
        <v>0.9</v>
      </c>
      <c r="F269" s="42">
        <v>2.9</v>
      </c>
      <c r="G269" s="45">
        <v>276</v>
      </c>
      <c r="H269" s="22">
        <v>2.4</v>
      </c>
      <c r="I269" s="6">
        <f t="shared" si="4"/>
        <v>1728.864</v>
      </c>
      <c r="J269" s="6" t="s">
        <v>131</v>
      </c>
    </row>
    <row r="270" spans="1:10" ht="13.95" customHeight="1" x14ac:dyDescent="0.3">
      <c r="A270" s="3">
        <v>45898</v>
      </c>
      <c r="B270" s="3" t="s">
        <v>2592</v>
      </c>
      <c r="C270" s="19" t="s">
        <v>11</v>
      </c>
      <c r="D270" s="19" t="s">
        <v>14</v>
      </c>
      <c r="E270" s="4">
        <v>0.95</v>
      </c>
      <c r="F270" s="42">
        <v>3.3</v>
      </c>
      <c r="G270" s="45">
        <v>276</v>
      </c>
      <c r="H270" s="22">
        <v>2.4</v>
      </c>
      <c r="I270" s="6">
        <f t="shared" si="4"/>
        <v>2076.6239999999998</v>
      </c>
      <c r="J270" s="6" t="s">
        <v>2561</v>
      </c>
    </row>
    <row r="271" spans="1:10" ht="13.95" customHeight="1" x14ac:dyDescent="0.3">
      <c r="A271" s="3">
        <v>45899</v>
      </c>
      <c r="B271" s="3" t="s">
        <v>2592</v>
      </c>
      <c r="C271" s="19" t="s">
        <v>13</v>
      </c>
      <c r="D271" s="19" t="s">
        <v>14</v>
      </c>
      <c r="E271" s="4">
        <v>1</v>
      </c>
      <c r="F271" s="42">
        <v>4.2</v>
      </c>
      <c r="G271" s="45">
        <v>276</v>
      </c>
      <c r="H271" s="22">
        <v>2.4</v>
      </c>
      <c r="I271" s="6">
        <f t="shared" si="4"/>
        <v>2782.08</v>
      </c>
      <c r="J271" s="6" t="s">
        <v>2562</v>
      </c>
    </row>
    <row r="272" spans="1:10" ht="13.95" customHeight="1" x14ac:dyDescent="0.3">
      <c r="A272" s="3">
        <v>45900</v>
      </c>
      <c r="B272" s="3" t="s">
        <v>2592</v>
      </c>
      <c r="C272" s="19" t="s">
        <v>16</v>
      </c>
      <c r="D272" s="19" t="s">
        <v>14</v>
      </c>
      <c r="E272" s="4">
        <v>0.95</v>
      </c>
      <c r="F272" s="42">
        <v>3.8</v>
      </c>
      <c r="G272" s="45">
        <v>276</v>
      </c>
      <c r="H272" s="22">
        <v>2.4</v>
      </c>
      <c r="I272" s="6">
        <f t="shared" si="4"/>
        <v>2391.2639999999997</v>
      </c>
      <c r="J272" s="6" t="s">
        <v>490</v>
      </c>
    </row>
    <row r="273" spans="1:10" ht="13.95" customHeight="1" x14ac:dyDescent="0.3">
      <c r="A273" s="3">
        <v>45901</v>
      </c>
      <c r="B273" s="3" t="s">
        <v>2592</v>
      </c>
      <c r="C273" s="19" t="s">
        <v>18</v>
      </c>
      <c r="D273" s="19" t="s">
        <v>1545</v>
      </c>
      <c r="E273" s="4">
        <v>0.75</v>
      </c>
      <c r="F273" s="42">
        <v>2.4</v>
      </c>
      <c r="G273" s="45">
        <v>276</v>
      </c>
      <c r="H273" s="22">
        <v>2</v>
      </c>
      <c r="I273" s="6">
        <f t="shared" si="4"/>
        <v>993.59999999999991</v>
      </c>
      <c r="J273" s="6" t="s">
        <v>2564</v>
      </c>
    </row>
    <row r="274" spans="1:10" ht="13.95" customHeight="1" x14ac:dyDescent="0.3">
      <c r="A274" s="3">
        <v>45902</v>
      </c>
      <c r="B274" s="3" t="s">
        <v>2592</v>
      </c>
      <c r="C274" s="19" t="s">
        <v>20</v>
      </c>
      <c r="D274" s="19" t="s">
        <v>2015</v>
      </c>
      <c r="E274" s="4">
        <v>0.65</v>
      </c>
      <c r="F274" s="42">
        <v>2.2999999999999998</v>
      </c>
      <c r="G274" s="45">
        <v>276</v>
      </c>
      <c r="H274" s="22">
        <v>2</v>
      </c>
      <c r="I274" s="6">
        <f t="shared" si="4"/>
        <v>825.24</v>
      </c>
      <c r="J274" s="6" t="s">
        <v>2565</v>
      </c>
    </row>
    <row r="275" spans="1:10" ht="13.95" customHeight="1" x14ac:dyDescent="0.3">
      <c r="A275" s="3">
        <v>45903</v>
      </c>
      <c r="B275" s="3" t="s">
        <v>2592</v>
      </c>
      <c r="C275" s="19" t="s">
        <v>5</v>
      </c>
      <c r="D275" s="19" t="s">
        <v>2015</v>
      </c>
      <c r="E275" s="4">
        <v>0.65</v>
      </c>
      <c r="F275" s="42">
        <v>2.2999999999999998</v>
      </c>
      <c r="G275" s="45">
        <v>276</v>
      </c>
      <c r="H275" s="22">
        <v>2</v>
      </c>
      <c r="I275" s="6">
        <f t="shared" si="4"/>
        <v>825.24</v>
      </c>
      <c r="J275" s="6" t="s">
        <v>2563</v>
      </c>
    </row>
    <row r="276" spans="1:10" ht="13.95" customHeight="1" x14ac:dyDescent="0.3">
      <c r="A276" s="3">
        <v>45904</v>
      </c>
      <c r="B276" s="3" t="s">
        <v>2592</v>
      </c>
      <c r="C276" s="19" t="s">
        <v>8</v>
      </c>
      <c r="D276" s="19" t="s">
        <v>2015</v>
      </c>
      <c r="E276" s="4">
        <v>0.65</v>
      </c>
      <c r="F276" s="42">
        <v>2.35</v>
      </c>
      <c r="G276" s="45">
        <v>276</v>
      </c>
      <c r="H276" s="22">
        <v>2</v>
      </c>
      <c r="I276" s="6">
        <f t="shared" si="4"/>
        <v>843.18000000000006</v>
      </c>
      <c r="J276" s="6" t="s">
        <v>2563</v>
      </c>
    </row>
    <row r="277" spans="1:10" ht="13.95" customHeight="1" x14ac:dyDescent="0.3">
      <c r="A277" s="3">
        <v>45905</v>
      </c>
      <c r="B277" s="3" t="s">
        <v>2592</v>
      </c>
      <c r="C277" s="19" t="s">
        <v>11</v>
      </c>
      <c r="D277" s="19" t="s">
        <v>14</v>
      </c>
      <c r="E277" s="4">
        <v>0.75</v>
      </c>
      <c r="F277" s="42">
        <v>2.85</v>
      </c>
      <c r="G277" s="45">
        <v>276</v>
      </c>
      <c r="H277" s="22">
        <v>2</v>
      </c>
      <c r="I277" s="6">
        <f t="shared" si="4"/>
        <v>1179.9000000000001</v>
      </c>
      <c r="J277" s="6" t="s">
        <v>2566</v>
      </c>
    </row>
    <row r="278" spans="1:10" ht="13.95" customHeight="1" x14ac:dyDescent="0.3">
      <c r="A278" s="3">
        <v>45906</v>
      </c>
      <c r="B278" s="3" t="s">
        <v>2592</v>
      </c>
      <c r="C278" s="19" t="s">
        <v>13</v>
      </c>
      <c r="D278" s="19" t="s">
        <v>14</v>
      </c>
      <c r="E278" s="4">
        <v>0.85</v>
      </c>
      <c r="F278" s="42">
        <v>3.55</v>
      </c>
      <c r="G278" s="45">
        <v>276</v>
      </c>
      <c r="H278" s="22">
        <v>2</v>
      </c>
      <c r="I278" s="6">
        <f t="shared" si="4"/>
        <v>1665.6599999999999</v>
      </c>
      <c r="J278" s="6" t="s">
        <v>2412</v>
      </c>
    </row>
    <row r="279" spans="1:10" ht="13.95" customHeight="1" x14ac:dyDescent="0.3">
      <c r="A279" s="3">
        <v>45907</v>
      </c>
      <c r="B279" s="3" t="s">
        <v>2592</v>
      </c>
      <c r="C279" s="19" t="s">
        <v>16</v>
      </c>
      <c r="D279" s="19" t="s">
        <v>14</v>
      </c>
      <c r="E279" s="4">
        <v>0.8</v>
      </c>
      <c r="F279" s="42">
        <v>3.15</v>
      </c>
      <c r="G279" s="45">
        <v>276</v>
      </c>
      <c r="H279" s="22">
        <v>2</v>
      </c>
      <c r="I279" s="6">
        <f t="shared" si="4"/>
        <v>1391.04</v>
      </c>
      <c r="J279" s="6" t="s">
        <v>238</v>
      </c>
    </row>
    <row r="280" spans="1:10" ht="13.95" customHeight="1" x14ac:dyDescent="0.3">
      <c r="A280" s="3">
        <v>45908</v>
      </c>
      <c r="B280" s="3" t="s">
        <v>2592</v>
      </c>
      <c r="C280" s="19" t="s">
        <v>18</v>
      </c>
      <c r="D280" s="19" t="s">
        <v>2015</v>
      </c>
      <c r="E280" s="4">
        <v>0.6</v>
      </c>
      <c r="F280" s="42">
        <v>2.25</v>
      </c>
      <c r="G280" s="45">
        <v>276</v>
      </c>
      <c r="H280" s="22">
        <v>2</v>
      </c>
      <c r="I280" s="6">
        <f t="shared" si="4"/>
        <v>745.19999999999993</v>
      </c>
      <c r="J280" s="6" t="s">
        <v>2567</v>
      </c>
    </row>
    <row r="281" spans="1:10" ht="13.95" customHeight="1" x14ac:dyDescent="0.3">
      <c r="A281" s="3">
        <v>45909</v>
      </c>
      <c r="B281" s="3" t="s">
        <v>2592</v>
      </c>
      <c r="C281" s="19" t="s">
        <v>20</v>
      </c>
      <c r="D281" s="19" t="s">
        <v>2015</v>
      </c>
      <c r="E281" s="4">
        <v>0.6</v>
      </c>
      <c r="F281" s="42">
        <v>2.25</v>
      </c>
      <c r="G281" s="45">
        <v>276</v>
      </c>
      <c r="H281" s="22">
        <v>2</v>
      </c>
      <c r="I281" s="6">
        <f t="shared" si="4"/>
        <v>745.19999999999993</v>
      </c>
      <c r="J281" s="6" t="s">
        <v>150</v>
      </c>
    </row>
    <row r="282" spans="1:10" ht="13.95" customHeight="1" x14ac:dyDescent="0.3">
      <c r="A282" s="3">
        <v>45910</v>
      </c>
      <c r="B282" s="3" t="s">
        <v>2592</v>
      </c>
      <c r="C282" s="19" t="s">
        <v>5</v>
      </c>
      <c r="D282" s="19" t="s">
        <v>2015</v>
      </c>
      <c r="E282" s="4">
        <v>0.6</v>
      </c>
      <c r="F282" s="42">
        <v>2.25</v>
      </c>
      <c r="G282" s="45">
        <v>276</v>
      </c>
      <c r="H282" s="22">
        <v>2</v>
      </c>
      <c r="I282" s="6">
        <f t="shared" si="4"/>
        <v>745.19999999999993</v>
      </c>
      <c r="J282" s="6" t="s">
        <v>150</v>
      </c>
    </row>
    <row r="283" spans="1:10" ht="13.95" customHeight="1" x14ac:dyDescent="0.3">
      <c r="A283" s="3">
        <v>45911</v>
      </c>
      <c r="B283" s="3" t="s">
        <v>2592</v>
      </c>
      <c r="C283" s="19" t="s">
        <v>8</v>
      </c>
      <c r="D283" s="19" t="s">
        <v>1263</v>
      </c>
      <c r="E283" s="4">
        <v>0.7</v>
      </c>
      <c r="F283" s="42">
        <v>2.4</v>
      </c>
      <c r="G283" s="45">
        <v>276</v>
      </c>
      <c r="H283" s="22">
        <v>2</v>
      </c>
      <c r="I283" s="6">
        <f t="shared" si="4"/>
        <v>927.3599999999999</v>
      </c>
      <c r="J283" s="6" t="s">
        <v>2568</v>
      </c>
    </row>
    <row r="284" spans="1:10" ht="13.95" customHeight="1" x14ac:dyDescent="0.3">
      <c r="A284" s="3">
        <v>45912</v>
      </c>
      <c r="B284" s="3" t="s">
        <v>2592</v>
      </c>
      <c r="C284" s="19" t="s">
        <v>11</v>
      </c>
      <c r="D284" s="19" t="s">
        <v>14</v>
      </c>
      <c r="E284" s="4">
        <v>0.75</v>
      </c>
      <c r="F284" s="42">
        <v>2.8</v>
      </c>
      <c r="G284" s="45">
        <v>276</v>
      </c>
      <c r="H284" s="22">
        <v>2</v>
      </c>
      <c r="I284" s="6">
        <f t="shared" si="4"/>
        <v>1159.1999999999998</v>
      </c>
      <c r="J284" s="6" t="s">
        <v>97</v>
      </c>
    </row>
    <row r="285" spans="1:10" ht="13.95" customHeight="1" x14ac:dyDescent="0.3">
      <c r="A285" s="3">
        <v>45913</v>
      </c>
      <c r="B285" s="3" t="s">
        <v>2592</v>
      </c>
      <c r="C285" s="19" t="s">
        <v>13</v>
      </c>
      <c r="D285" s="19" t="s">
        <v>14</v>
      </c>
      <c r="E285" s="4">
        <v>0.85</v>
      </c>
      <c r="F285" s="42">
        <v>3.6</v>
      </c>
      <c r="G285" s="45">
        <v>276</v>
      </c>
      <c r="H285" s="22">
        <v>2</v>
      </c>
      <c r="I285" s="6">
        <f t="shared" si="4"/>
        <v>1689.12</v>
      </c>
      <c r="J285" s="6" t="s">
        <v>2482</v>
      </c>
    </row>
    <row r="286" spans="1:10" ht="13.95" customHeight="1" x14ac:dyDescent="0.3">
      <c r="A286" s="3">
        <v>45914</v>
      </c>
      <c r="B286" s="3" t="s">
        <v>2592</v>
      </c>
      <c r="C286" s="19" t="s">
        <v>16</v>
      </c>
      <c r="D286" s="19" t="s">
        <v>14</v>
      </c>
      <c r="E286" s="4">
        <v>0.8</v>
      </c>
      <c r="F286" s="42">
        <v>3.1</v>
      </c>
      <c r="G286" s="45">
        <v>276</v>
      </c>
      <c r="H286" s="22">
        <v>2</v>
      </c>
      <c r="I286" s="6">
        <f t="shared" si="4"/>
        <v>1368.96</v>
      </c>
      <c r="J286" s="6" t="s">
        <v>69</v>
      </c>
    </row>
    <row r="287" spans="1:10" ht="13.95" customHeight="1" x14ac:dyDescent="0.3">
      <c r="A287" s="3">
        <v>45915</v>
      </c>
      <c r="B287" s="3" t="s">
        <v>2592</v>
      </c>
      <c r="C287" s="19" t="s">
        <v>18</v>
      </c>
      <c r="D287" s="19" t="s">
        <v>2015</v>
      </c>
      <c r="E287" s="4">
        <v>0.55000000000000004</v>
      </c>
      <c r="F287" s="42">
        <v>2.2000000000000002</v>
      </c>
      <c r="G287" s="45">
        <v>276</v>
      </c>
      <c r="H287" s="22">
        <v>2</v>
      </c>
      <c r="I287" s="6">
        <f t="shared" si="4"/>
        <v>667.92000000000007</v>
      </c>
      <c r="J287" s="6" t="s">
        <v>272</v>
      </c>
    </row>
    <row r="288" spans="1:10" ht="13.95" customHeight="1" x14ac:dyDescent="0.3">
      <c r="A288" s="3">
        <v>45916</v>
      </c>
      <c r="B288" s="3" t="s">
        <v>2592</v>
      </c>
      <c r="C288" s="19" t="s">
        <v>20</v>
      </c>
      <c r="D288" s="19" t="s">
        <v>2015</v>
      </c>
      <c r="E288" s="4">
        <v>0.55000000000000004</v>
      </c>
      <c r="F288" s="42">
        <v>2.2000000000000002</v>
      </c>
      <c r="G288" s="45">
        <v>276</v>
      </c>
      <c r="H288" s="22">
        <v>2</v>
      </c>
      <c r="I288" s="6">
        <f t="shared" si="4"/>
        <v>667.92000000000007</v>
      </c>
      <c r="J288" s="6" t="s">
        <v>272</v>
      </c>
    </row>
    <row r="289" spans="1:10" ht="13.95" customHeight="1" x14ac:dyDescent="0.3">
      <c r="A289" s="3">
        <v>45917</v>
      </c>
      <c r="B289" s="3" t="s">
        <v>2592</v>
      </c>
      <c r="C289" s="19" t="s">
        <v>5</v>
      </c>
      <c r="D289" s="19" t="s">
        <v>2015</v>
      </c>
      <c r="E289" s="4">
        <v>0.6</v>
      </c>
      <c r="F289" s="42">
        <v>2.25</v>
      </c>
      <c r="G289" s="45">
        <v>276</v>
      </c>
      <c r="H289" s="22">
        <v>2</v>
      </c>
      <c r="I289" s="6">
        <f t="shared" si="4"/>
        <v>745.19999999999993</v>
      </c>
      <c r="J289" s="6" t="s">
        <v>88</v>
      </c>
    </row>
    <row r="290" spans="1:10" ht="13.95" customHeight="1" x14ac:dyDescent="0.3">
      <c r="A290" s="3">
        <v>45918</v>
      </c>
      <c r="B290" s="3" t="s">
        <v>2592</v>
      </c>
      <c r="C290" s="19" t="s">
        <v>8</v>
      </c>
      <c r="D290" s="19" t="s">
        <v>1263</v>
      </c>
      <c r="E290" s="4">
        <v>0.7</v>
      </c>
      <c r="F290" s="42">
        <v>2.4500000000000002</v>
      </c>
      <c r="G290" s="45">
        <v>276</v>
      </c>
      <c r="H290" s="22">
        <v>2</v>
      </c>
      <c r="I290" s="6">
        <f t="shared" si="4"/>
        <v>946.68000000000006</v>
      </c>
      <c r="J290" s="6" t="s">
        <v>2569</v>
      </c>
    </row>
    <row r="291" spans="1:10" ht="13.95" customHeight="1" x14ac:dyDescent="0.3">
      <c r="A291" s="3">
        <v>45919</v>
      </c>
      <c r="B291" s="3" t="s">
        <v>2592</v>
      </c>
      <c r="C291" s="19" t="s">
        <v>11</v>
      </c>
      <c r="D291" s="19" t="s">
        <v>14</v>
      </c>
      <c r="E291" s="4">
        <v>0.75</v>
      </c>
      <c r="F291" s="42">
        <v>2.9</v>
      </c>
      <c r="G291" s="45">
        <v>276</v>
      </c>
      <c r="H291" s="22">
        <v>2</v>
      </c>
      <c r="I291" s="6">
        <f t="shared" si="4"/>
        <v>1200.5999999999999</v>
      </c>
      <c r="J291" s="6" t="s">
        <v>97</v>
      </c>
    </row>
    <row r="292" spans="1:10" ht="13.95" customHeight="1" x14ac:dyDescent="0.3">
      <c r="A292" s="3">
        <v>45920</v>
      </c>
      <c r="B292" s="3" t="s">
        <v>2592</v>
      </c>
      <c r="C292" s="19" t="s">
        <v>13</v>
      </c>
      <c r="D292" s="19" t="s">
        <v>14</v>
      </c>
      <c r="E292" s="4">
        <v>0.85</v>
      </c>
      <c r="F292" s="42">
        <v>3.65</v>
      </c>
      <c r="G292" s="45">
        <v>276</v>
      </c>
      <c r="H292" s="22">
        <v>2</v>
      </c>
      <c r="I292" s="6">
        <f t="shared" si="4"/>
        <v>1712.58</v>
      </c>
      <c r="J292" s="6" t="s">
        <v>2290</v>
      </c>
    </row>
    <row r="293" spans="1:10" ht="13.95" customHeight="1" x14ac:dyDescent="0.3">
      <c r="A293" s="3">
        <v>45921</v>
      </c>
      <c r="B293" s="3" t="s">
        <v>2592</v>
      </c>
      <c r="C293" s="19" t="s">
        <v>16</v>
      </c>
      <c r="D293" s="19" t="s">
        <v>14</v>
      </c>
      <c r="E293" s="4">
        <v>0.8</v>
      </c>
      <c r="F293" s="42">
        <v>3.2</v>
      </c>
      <c r="G293" s="45">
        <v>276</v>
      </c>
      <c r="H293" s="22">
        <v>2</v>
      </c>
      <c r="I293" s="6">
        <f t="shared" si="4"/>
        <v>1413.1200000000001</v>
      </c>
      <c r="J293" s="6" t="s">
        <v>69</v>
      </c>
    </row>
    <row r="294" spans="1:10" ht="13.95" customHeight="1" x14ac:dyDescent="0.3">
      <c r="A294" s="3">
        <v>45922</v>
      </c>
      <c r="B294" s="3" t="s">
        <v>2592</v>
      </c>
      <c r="C294" s="19" t="s">
        <v>18</v>
      </c>
      <c r="D294" s="19" t="s">
        <v>2015</v>
      </c>
      <c r="E294" s="4">
        <v>0.5</v>
      </c>
      <c r="F294" s="42">
        <v>2.2000000000000002</v>
      </c>
      <c r="G294" s="45">
        <v>276</v>
      </c>
      <c r="H294" s="22">
        <v>2</v>
      </c>
      <c r="I294" s="6">
        <f t="shared" si="4"/>
        <v>607.20000000000005</v>
      </c>
      <c r="J294" s="6" t="s">
        <v>2373</v>
      </c>
    </row>
    <row r="295" spans="1:10" ht="13.95" customHeight="1" x14ac:dyDescent="0.3">
      <c r="A295" s="3">
        <v>45923</v>
      </c>
      <c r="B295" s="3" t="s">
        <v>2592</v>
      </c>
      <c r="C295" s="19" t="s">
        <v>20</v>
      </c>
      <c r="D295" s="19" t="s">
        <v>2015</v>
      </c>
      <c r="E295" s="4">
        <v>0.5</v>
      </c>
      <c r="F295" s="42">
        <v>2.2000000000000002</v>
      </c>
      <c r="G295" s="45">
        <v>276</v>
      </c>
      <c r="H295" s="22">
        <v>2</v>
      </c>
      <c r="I295" s="6">
        <f t="shared" si="4"/>
        <v>607.20000000000005</v>
      </c>
      <c r="J295" s="6" t="s">
        <v>2373</v>
      </c>
    </row>
    <row r="296" spans="1:10" ht="13.95" customHeight="1" x14ac:dyDescent="0.3">
      <c r="A296" s="3">
        <v>45924</v>
      </c>
      <c r="B296" s="3" t="s">
        <v>2592</v>
      </c>
      <c r="C296" s="19" t="s">
        <v>5</v>
      </c>
      <c r="D296" s="19" t="s">
        <v>2015</v>
      </c>
      <c r="E296" s="4">
        <v>0.55000000000000004</v>
      </c>
      <c r="F296" s="42">
        <v>2.25</v>
      </c>
      <c r="G296" s="45">
        <v>276</v>
      </c>
      <c r="H296" s="22">
        <v>2</v>
      </c>
      <c r="I296" s="6">
        <f t="shared" si="4"/>
        <v>683.1</v>
      </c>
      <c r="J296" s="6" t="s">
        <v>88</v>
      </c>
    </row>
    <row r="297" spans="1:10" ht="13.95" customHeight="1" x14ac:dyDescent="0.3">
      <c r="A297" s="3">
        <v>45925</v>
      </c>
      <c r="B297" s="3" t="s">
        <v>2592</v>
      </c>
      <c r="C297" s="19" t="s">
        <v>8</v>
      </c>
      <c r="D297" s="19" t="s">
        <v>1263</v>
      </c>
      <c r="E297" s="4">
        <v>0.7</v>
      </c>
      <c r="F297" s="42">
        <v>2.4500000000000002</v>
      </c>
      <c r="G297" s="45">
        <v>276</v>
      </c>
      <c r="H297" s="22">
        <v>2</v>
      </c>
      <c r="I297" s="6">
        <f t="shared" si="4"/>
        <v>946.68000000000006</v>
      </c>
      <c r="J297" s="6" t="s">
        <v>2569</v>
      </c>
    </row>
    <row r="298" spans="1:10" ht="13.95" customHeight="1" x14ac:dyDescent="0.3">
      <c r="A298" s="3">
        <v>45926</v>
      </c>
      <c r="B298" s="3" t="s">
        <v>2592</v>
      </c>
      <c r="C298" s="19" t="s">
        <v>11</v>
      </c>
      <c r="D298" s="19" t="s">
        <v>14</v>
      </c>
      <c r="E298" s="4">
        <v>0.75</v>
      </c>
      <c r="F298" s="42">
        <v>2.85</v>
      </c>
      <c r="G298" s="45">
        <v>276</v>
      </c>
      <c r="H298" s="22">
        <v>2</v>
      </c>
      <c r="I298" s="6">
        <f t="shared" si="4"/>
        <v>1179.9000000000001</v>
      </c>
      <c r="J298" s="6" t="s">
        <v>97</v>
      </c>
    </row>
    <row r="299" spans="1:10" ht="13.95" customHeight="1" x14ac:dyDescent="0.3">
      <c r="A299" s="3">
        <v>45927</v>
      </c>
      <c r="B299" s="3" t="s">
        <v>2592</v>
      </c>
      <c r="C299" s="19" t="s">
        <v>13</v>
      </c>
      <c r="D299" s="19" t="s">
        <v>14</v>
      </c>
      <c r="E299" s="4">
        <v>0.85</v>
      </c>
      <c r="F299" s="42">
        <v>3.7</v>
      </c>
      <c r="G299" s="45">
        <v>276</v>
      </c>
      <c r="H299" s="22">
        <v>2</v>
      </c>
      <c r="I299" s="6">
        <f t="shared" si="4"/>
        <v>1736.04</v>
      </c>
      <c r="J299" s="6" t="s">
        <v>2570</v>
      </c>
    </row>
    <row r="300" spans="1:10" ht="13.95" customHeight="1" x14ac:dyDescent="0.3">
      <c r="A300" s="3">
        <v>45928</v>
      </c>
      <c r="B300" s="3" t="s">
        <v>2592</v>
      </c>
      <c r="C300" s="19" t="s">
        <v>16</v>
      </c>
      <c r="D300" s="19" t="s">
        <v>14</v>
      </c>
      <c r="E300" s="4">
        <v>0.8</v>
      </c>
      <c r="F300" s="42">
        <v>3.25</v>
      </c>
      <c r="G300" s="45">
        <v>276</v>
      </c>
      <c r="H300" s="22">
        <v>2</v>
      </c>
      <c r="I300" s="6">
        <f t="shared" si="4"/>
        <v>1435.2</v>
      </c>
      <c r="J300" s="6" t="s">
        <v>69</v>
      </c>
    </row>
    <row r="301" spans="1:10" ht="13.95" customHeight="1" x14ac:dyDescent="0.3">
      <c r="A301" s="3">
        <v>45929</v>
      </c>
      <c r="B301" s="3" t="s">
        <v>2592</v>
      </c>
      <c r="C301" s="19" t="s">
        <v>18</v>
      </c>
      <c r="D301" s="19" t="s">
        <v>2015</v>
      </c>
      <c r="E301" s="4">
        <v>0.55000000000000004</v>
      </c>
      <c r="F301" s="42">
        <v>2.2000000000000002</v>
      </c>
      <c r="G301" s="45">
        <v>276</v>
      </c>
      <c r="H301" s="22">
        <v>2</v>
      </c>
      <c r="I301" s="6">
        <f t="shared" si="4"/>
        <v>667.92000000000007</v>
      </c>
      <c r="J301" s="6" t="s">
        <v>99</v>
      </c>
    </row>
    <row r="302" spans="1:10" ht="13.95" customHeight="1" x14ac:dyDescent="0.3">
      <c r="A302" s="3">
        <v>45930</v>
      </c>
      <c r="B302" s="3" t="s">
        <v>2592</v>
      </c>
      <c r="C302" s="19" t="s">
        <v>20</v>
      </c>
      <c r="D302" s="19" t="s">
        <v>2015</v>
      </c>
      <c r="E302" s="4">
        <v>0.55000000000000004</v>
      </c>
      <c r="F302" s="42">
        <v>2.25</v>
      </c>
      <c r="G302" s="45">
        <v>276</v>
      </c>
      <c r="H302" s="22">
        <v>2</v>
      </c>
      <c r="I302" s="6">
        <f t="shared" si="4"/>
        <v>683.1</v>
      </c>
      <c r="J302" s="6" t="s">
        <v>1812</v>
      </c>
    </row>
    <row r="303" spans="1:10" ht="13.95" customHeight="1" x14ac:dyDescent="0.3">
      <c r="A303" s="3">
        <v>45992</v>
      </c>
      <c r="B303" s="3" t="s">
        <v>2592</v>
      </c>
      <c r="C303" s="19" t="s">
        <v>18</v>
      </c>
      <c r="D303" s="19" t="s">
        <v>2015</v>
      </c>
      <c r="E303" s="4">
        <v>0.4</v>
      </c>
      <c r="F303" s="42">
        <v>2.15</v>
      </c>
      <c r="G303" s="45">
        <v>276</v>
      </c>
      <c r="H303" s="22">
        <v>2</v>
      </c>
      <c r="I303" s="6">
        <f t="shared" ref="I303:I366" si="5">(G303*E303)*F303*H303</f>
        <v>474.72</v>
      </c>
      <c r="J303" s="6" t="s">
        <v>2571</v>
      </c>
    </row>
    <row r="304" spans="1:10" ht="13.95" customHeight="1" x14ac:dyDescent="0.3">
      <c r="A304" s="3">
        <v>45993</v>
      </c>
      <c r="B304" s="3" t="s">
        <v>2592</v>
      </c>
      <c r="C304" s="19" t="s">
        <v>20</v>
      </c>
      <c r="D304" s="19" t="s">
        <v>2015</v>
      </c>
      <c r="E304" s="4">
        <v>0.4</v>
      </c>
      <c r="F304" s="42">
        <v>2.15</v>
      </c>
      <c r="G304" s="45">
        <v>276</v>
      </c>
      <c r="H304" s="22">
        <v>2</v>
      </c>
      <c r="I304" s="6">
        <f t="shared" si="5"/>
        <v>474.72</v>
      </c>
      <c r="J304" s="6" t="s">
        <v>88</v>
      </c>
    </row>
    <row r="305" spans="1:10" ht="13.95" customHeight="1" x14ac:dyDescent="0.3">
      <c r="A305" s="3">
        <v>45994</v>
      </c>
      <c r="B305" s="3" t="s">
        <v>2592</v>
      </c>
      <c r="C305" s="19" t="s">
        <v>5</v>
      </c>
      <c r="D305" s="19" t="s">
        <v>2015</v>
      </c>
      <c r="E305" s="4">
        <v>0.45</v>
      </c>
      <c r="F305" s="42">
        <v>2.2000000000000002</v>
      </c>
      <c r="G305" s="45">
        <v>276</v>
      </c>
      <c r="H305" s="22">
        <v>2</v>
      </c>
      <c r="I305" s="6">
        <f t="shared" si="5"/>
        <v>546.48</v>
      </c>
      <c r="J305" s="6" t="s">
        <v>1786</v>
      </c>
    </row>
    <row r="306" spans="1:10" ht="13.95" customHeight="1" x14ac:dyDescent="0.3">
      <c r="A306" s="3">
        <v>45995</v>
      </c>
      <c r="B306" s="3" t="s">
        <v>2592</v>
      </c>
      <c r="C306" s="19" t="s">
        <v>8</v>
      </c>
      <c r="D306" s="19" t="s">
        <v>1263</v>
      </c>
      <c r="E306" s="4">
        <v>0.55000000000000004</v>
      </c>
      <c r="F306" s="42">
        <v>2.35</v>
      </c>
      <c r="G306" s="45">
        <v>276</v>
      </c>
      <c r="H306" s="22">
        <v>2</v>
      </c>
      <c r="I306" s="6">
        <f t="shared" si="5"/>
        <v>713.46</v>
      </c>
      <c r="J306" s="6" t="s">
        <v>2569</v>
      </c>
    </row>
    <row r="307" spans="1:10" ht="13.95" customHeight="1" x14ac:dyDescent="0.3">
      <c r="A307" s="3">
        <v>45996</v>
      </c>
      <c r="B307" s="3" t="s">
        <v>2592</v>
      </c>
      <c r="C307" s="19" t="s">
        <v>11</v>
      </c>
      <c r="D307" s="19" t="s">
        <v>14</v>
      </c>
      <c r="E307" s="4">
        <v>0.6</v>
      </c>
      <c r="F307" s="42">
        <v>2.8</v>
      </c>
      <c r="G307" s="45">
        <v>276</v>
      </c>
      <c r="H307" s="22">
        <v>2</v>
      </c>
      <c r="I307" s="6">
        <f t="shared" si="5"/>
        <v>927.3599999999999</v>
      </c>
      <c r="J307" s="6" t="s">
        <v>282</v>
      </c>
    </row>
    <row r="308" spans="1:10" ht="13.95" customHeight="1" x14ac:dyDescent="0.3">
      <c r="A308" s="3">
        <v>45997</v>
      </c>
      <c r="B308" s="3" t="s">
        <v>2592</v>
      </c>
      <c r="C308" s="19" t="s">
        <v>13</v>
      </c>
      <c r="D308" s="19" t="s">
        <v>14</v>
      </c>
      <c r="E308" s="4">
        <v>0.75</v>
      </c>
      <c r="F308" s="42">
        <v>3.45</v>
      </c>
      <c r="G308" s="45">
        <v>276</v>
      </c>
      <c r="H308" s="22">
        <v>2</v>
      </c>
      <c r="I308" s="6">
        <f t="shared" si="5"/>
        <v>1428.3000000000002</v>
      </c>
      <c r="J308" s="6" t="s">
        <v>2412</v>
      </c>
    </row>
    <row r="309" spans="1:10" ht="13.95" customHeight="1" x14ac:dyDescent="0.3">
      <c r="A309" s="3">
        <v>45998</v>
      </c>
      <c r="B309" s="3" t="s">
        <v>2592</v>
      </c>
      <c r="C309" s="19" t="s">
        <v>16</v>
      </c>
      <c r="D309" s="19" t="s">
        <v>14</v>
      </c>
      <c r="E309" s="4">
        <v>0.7</v>
      </c>
      <c r="F309" s="42">
        <v>3.1</v>
      </c>
      <c r="G309" s="45">
        <v>276</v>
      </c>
      <c r="H309" s="22">
        <v>2</v>
      </c>
      <c r="I309" s="6">
        <f t="shared" si="5"/>
        <v>1197.8399999999999</v>
      </c>
      <c r="J309" s="6" t="s">
        <v>238</v>
      </c>
    </row>
    <row r="310" spans="1:10" ht="13.95" customHeight="1" x14ac:dyDescent="0.3">
      <c r="A310" s="3">
        <v>45999</v>
      </c>
      <c r="B310" s="3" t="s">
        <v>2592</v>
      </c>
      <c r="C310" s="19" t="s">
        <v>18</v>
      </c>
      <c r="D310" s="19" t="s">
        <v>2015</v>
      </c>
      <c r="E310" s="4">
        <v>0.4</v>
      </c>
      <c r="F310" s="42">
        <v>2.15</v>
      </c>
      <c r="G310" s="45">
        <v>276</v>
      </c>
      <c r="H310" s="22">
        <v>2</v>
      </c>
      <c r="I310" s="6">
        <f t="shared" si="5"/>
        <v>474.72</v>
      </c>
      <c r="J310" s="6" t="s">
        <v>150</v>
      </c>
    </row>
    <row r="311" spans="1:10" ht="13.95" customHeight="1" x14ac:dyDescent="0.3">
      <c r="A311" s="3">
        <v>46004</v>
      </c>
      <c r="B311" s="3" t="s">
        <v>2592</v>
      </c>
      <c r="C311" s="19" t="s">
        <v>13</v>
      </c>
      <c r="D311" s="19" t="s">
        <v>14</v>
      </c>
      <c r="E311" s="4">
        <v>0.7</v>
      </c>
      <c r="F311" s="42">
        <v>3.3</v>
      </c>
      <c r="G311" s="45">
        <v>276</v>
      </c>
      <c r="H311" s="22">
        <v>2</v>
      </c>
      <c r="I311" s="6">
        <f t="shared" si="5"/>
        <v>1275.1199999999999</v>
      </c>
      <c r="J311" s="6" t="s">
        <v>2572</v>
      </c>
    </row>
    <row r="312" spans="1:10" ht="13.95" customHeight="1" x14ac:dyDescent="0.3">
      <c r="A312" s="3">
        <v>46005</v>
      </c>
      <c r="B312" s="3" t="s">
        <v>2592</v>
      </c>
      <c r="C312" s="19" t="s">
        <v>16</v>
      </c>
      <c r="D312" s="19" t="s">
        <v>14</v>
      </c>
      <c r="E312" s="4">
        <v>0.65</v>
      </c>
      <c r="F312" s="42">
        <v>3</v>
      </c>
      <c r="G312" s="45">
        <v>276</v>
      </c>
      <c r="H312" s="22">
        <v>2</v>
      </c>
      <c r="I312" s="6">
        <f t="shared" si="5"/>
        <v>1076.4000000000001</v>
      </c>
      <c r="J312" s="6" t="s">
        <v>69</v>
      </c>
    </row>
    <row r="313" spans="1:10" ht="13.95" customHeight="1" x14ac:dyDescent="0.3">
      <c r="A313" s="3">
        <v>46006</v>
      </c>
      <c r="B313" s="3" t="s">
        <v>2592</v>
      </c>
      <c r="C313" s="19" t="s">
        <v>18</v>
      </c>
      <c r="D313" s="19" t="s">
        <v>2573</v>
      </c>
      <c r="E313" s="4">
        <v>0.45</v>
      </c>
      <c r="F313" s="42">
        <v>2.25</v>
      </c>
      <c r="G313" s="45">
        <v>276</v>
      </c>
      <c r="H313" s="22">
        <v>2</v>
      </c>
      <c r="I313" s="6">
        <f t="shared" si="5"/>
        <v>558.9</v>
      </c>
      <c r="J313" s="6" t="s">
        <v>2574</v>
      </c>
    </row>
    <row r="314" spans="1:10" ht="13.95" customHeight="1" x14ac:dyDescent="0.3">
      <c r="A314" s="3">
        <v>46011</v>
      </c>
      <c r="B314" s="3" t="s">
        <v>2592</v>
      </c>
      <c r="C314" s="19" t="s">
        <v>13</v>
      </c>
      <c r="D314" s="19" t="s">
        <v>658</v>
      </c>
      <c r="E314" s="4">
        <v>0.8</v>
      </c>
      <c r="F314" s="42">
        <v>3.6</v>
      </c>
      <c r="G314" s="45">
        <v>276</v>
      </c>
      <c r="H314" s="22">
        <v>2</v>
      </c>
      <c r="I314" s="6">
        <f t="shared" si="5"/>
        <v>1589.7600000000002</v>
      </c>
      <c r="J314" s="6" t="s">
        <v>1489</v>
      </c>
    </row>
    <row r="315" spans="1:10" ht="13.95" customHeight="1" x14ac:dyDescent="0.3">
      <c r="A315" s="3">
        <v>46012</v>
      </c>
      <c r="B315" s="3" t="s">
        <v>2592</v>
      </c>
      <c r="C315" s="19" t="s">
        <v>16</v>
      </c>
      <c r="D315" s="19" t="s">
        <v>658</v>
      </c>
      <c r="E315" s="4">
        <v>0.75</v>
      </c>
      <c r="F315" s="42">
        <v>3.25</v>
      </c>
      <c r="G315" s="45">
        <v>276</v>
      </c>
      <c r="H315" s="22">
        <v>2</v>
      </c>
      <c r="I315" s="6">
        <f t="shared" si="5"/>
        <v>1345.5</v>
      </c>
      <c r="J315" s="6" t="s">
        <v>1911</v>
      </c>
    </row>
    <row r="316" spans="1:10" ht="13.95" customHeight="1" x14ac:dyDescent="0.3">
      <c r="A316" s="3">
        <v>46013</v>
      </c>
      <c r="B316" s="3" t="s">
        <v>2592</v>
      </c>
      <c r="C316" s="19" t="s">
        <v>18</v>
      </c>
      <c r="D316" s="19" t="s">
        <v>658</v>
      </c>
      <c r="E316" s="4">
        <v>0.7</v>
      </c>
      <c r="F316" s="42">
        <v>2.75</v>
      </c>
      <c r="G316" s="45">
        <v>276</v>
      </c>
      <c r="H316" s="22">
        <v>2</v>
      </c>
      <c r="I316" s="6">
        <f t="shared" si="5"/>
        <v>1062.5999999999999</v>
      </c>
      <c r="J316" s="6" t="s">
        <v>1899</v>
      </c>
    </row>
    <row r="317" spans="1:10" ht="13.95" customHeight="1" x14ac:dyDescent="0.3">
      <c r="A317" s="3">
        <v>46014</v>
      </c>
      <c r="B317" s="3" t="s">
        <v>2592</v>
      </c>
      <c r="C317" s="19" t="s">
        <v>20</v>
      </c>
      <c r="D317" s="19" t="s">
        <v>2575</v>
      </c>
      <c r="E317" s="4">
        <v>0.75</v>
      </c>
      <c r="F317" s="42">
        <v>2.9</v>
      </c>
      <c r="G317" s="45">
        <v>276</v>
      </c>
      <c r="H317" s="22">
        <v>2</v>
      </c>
      <c r="I317" s="6">
        <f t="shared" si="5"/>
        <v>1200.5999999999999</v>
      </c>
      <c r="J317" s="6" t="s">
        <v>1743</v>
      </c>
    </row>
    <row r="318" spans="1:10" ht="13.95" customHeight="1" x14ac:dyDescent="0.3">
      <c r="A318" s="3">
        <v>46015</v>
      </c>
      <c r="B318" s="3" t="s">
        <v>2592</v>
      </c>
      <c r="C318" s="19" t="s">
        <v>5</v>
      </c>
      <c r="D318" s="19" t="s">
        <v>2576</v>
      </c>
      <c r="E318" s="4">
        <v>0.9</v>
      </c>
      <c r="F318" s="42">
        <v>4.0999999999999996</v>
      </c>
      <c r="G318" s="45">
        <v>276</v>
      </c>
      <c r="H318" s="22">
        <v>2</v>
      </c>
      <c r="I318" s="6">
        <f t="shared" si="5"/>
        <v>2036.8799999999999</v>
      </c>
      <c r="J318" s="6" t="s">
        <v>1633</v>
      </c>
    </row>
    <row r="319" spans="1:10" ht="13.95" customHeight="1" x14ac:dyDescent="0.3">
      <c r="A319" s="3">
        <v>46016</v>
      </c>
      <c r="B319" s="3" t="s">
        <v>2592</v>
      </c>
      <c r="C319" s="19" t="s">
        <v>8</v>
      </c>
      <c r="D319" s="19" t="s">
        <v>2471</v>
      </c>
      <c r="E319" s="4">
        <v>0.95</v>
      </c>
      <c r="F319" s="42">
        <v>3.8</v>
      </c>
      <c r="G319" s="45">
        <v>276</v>
      </c>
      <c r="H319" s="22">
        <v>2</v>
      </c>
      <c r="I319" s="6">
        <f t="shared" si="5"/>
        <v>1992.7199999999998</v>
      </c>
      <c r="J319" s="6" t="s">
        <v>2337</v>
      </c>
    </row>
    <row r="320" spans="1:10" ht="13.95" customHeight="1" x14ac:dyDescent="0.3">
      <c r="A320" s="3">
        <v>46017</v>
      </c>
      <c r="B320" s="3" t="s">
        <v>2592</v>
      </c>
      <c r="C320" s="19" t="s">
        <v>11</v>
      </c>
      <c r="D320" s="19" t="s">
        <v>14</v>
      </c>
      <c r="E320" s="4">
        <v>0.85</v>
      </c>
      <c r="F320" s="42">
        <v>3.15</v>
      </c>
      <c r="G320" s="45">
        <v>276</v>
      </c>
      <c r="H320" s="22">
        <v>2</v>
      </c>
      <c r="I320" s="6">
        <f t="shared" si="5"/>
        <v>1477.98</v>
      </c>
      <c r="J320" s="6" t="s">
        <v>282</v>
      </c>
    </row>
    <row r="321" spans="1:10" ht="13.95" customHeight="1" x14ac:dyDescent="0.3">
      <c r="A321" s="3">
        <v>46018</v>
      </c>
      <c r="B321" s="3" t="s">
        <v>2592</v>
      </c>
      <c r="C321" s="19" t="s">
        <v>13</v>
      </c>
      <c r="D321" s="19" t="s">
        <v>14</v>
      </c>
      <c r="E321" s="4">
        <v>0.95</v>
      </c>
      <c r="F321" s="42">
        <v>3.95</v>
      </c>
      <c r="G321" s="45">
        <v>276</v>
      </c>
      <c r="H321" s="22">
        <v>2</v>
      </c>
      <c r="I321" s="6">
        <f t="shared" si="5"/>
        <v>2071.38</v>
      </c>
      <c r="J321" s="6" t="s">
        <v>2577</v>
      </c>
    </row>
    <row r="322" spans="1:10" ht="13.95" customHeight="1" x14ac:dyDescent="0.3">
      <c r="A322" s="3">
        <v>46019</v>
      </c>
      <c r="B322" s="3" t="s">
        <v>2592</v>
      </c>
      <c r="C322" s="19" t="s">
        <v>16</v>
      </c>
      <c r="D322" s="19" t="s">
        <v>14</v>
      </c>
      <c r="E322" s="4">
        <v>0.9</v>
      </c>
      <c r="F322" s="42">
        <v>3.45</v>
      </c>
      <c r="G322" s="45">
        <v>276</v>
      </c>
      <c r="H322" s="22">
        <v>2</v>
      </c>
      <c r="I322" s="6">
        <f t="shared" si="5"/>
        <v>1713.96</v>
      </c>
      <c r="J322" s="6" t="s">
        <v>69</v>
      </c>
    </row>
    <row r="323" spans="1:10" ht="13.95" customHeight="1" x14ac:dyDescent="0.3">
      <c r="A323" s="3">
        <v>46020</v>
      </c>
      <c r="B323" s="3" t="s">
        <v>2592</v>
      </c>
      <c r="C323" s="19" t="s">
        <v>18</v>
      </c>
      <c r="D323" s="19" t="s">
        <v>2578</v>
      </c>
      <c r="E323" s="4">
        <v>0.85</v>
      </c>
      <c r="F323" s="42">
        <v>2.8</v>
      </c>
      <c r="G323" s="45">
        <v>276</v>
      </c>
      <c r="H323" s="22">
        <v>2</v>
      </c>
      <c r="I323" s="6">
        <f t="shared" si="5"/>
        <v>1313.76</v>
      </c>
      <c r="J323" s="6" t="s">
        <v>1609</v>
      </c>
    </row>
    <row r="324" spans="1:10" ht="13.95" customHeight="1" x14ac:dyDescent="0.3">
      <c r="A324" s="3">
        <v>46021</v>
      </c>
      <c r="B324" s="3" t="s">
        <v>2592</v>
      </c>
      <c r="C324" s="19" t="s">
        <v>20</v>
      </c>
      <c r="D324" s="19" t="s">
        <v>2579</v>
      </c>
      <c r="E324" s="4">
        <v>1</v>
      </c>
      <c r="F324" s="42">
        <v>3.1</v>
      </c>
      <c r="G324" s="45">
        <v>276</v>
      </c>
      <c r="H324" s="22">
        <v>2</v>
      </c>
      <c r="I324" s="6">
        <f t="shared" si="5"/>
        <v>1711.2</v>
      </c>
      <c r="J324" s="6" t="s">
        <v>2350</v>
      </c>
    </row>
    <row r="325" spans="1:10" ht="13.95" customHeight="1" x14ac:dyDescent="0.3">
      <c r="A325" s="3">
        <v>46022</v>
      </c>
      <c r="B325" s="3" t="s">
        <v>2592</v>
      </c>
      <c r="C325" s="19" t="s">
        <v>5</v>
      </c>
      <c r="D325" s="19" t="s">
        <v>2580</v>
      </c>
      <c r="E325" s="4">
        <v>1</v>
      </c>
      <c r="F325" s="42">
        <v>4.5</v>
      </c>
      <c r="G325" s="45">
        <v>276</v>
      </c>
      <c r="H325" s="22">
        <v>2</v>
      </c>
      <c r="I325" s="6">
        <f t="shared" si="5"/>
        <v>2484</v>
      </c>
      <c r="J325" s="6" t="s">
        <v>2581</v>
      </c>
    </row>
    <row r="326" spans="1:10" ht="13.95" customHeight="1" x14ac:dyDescent="0.3">
      <c r="A326" s="3">
        <v>45962</v>
      </c>
      <c r="B326" s="3" t="s">
        <v>2592</v>
      </c>
      <c r="C326" s="19" t="s">
        <v>13</v>
      </c>
      <c r="D326" s="19" t="s">
        <v>14</v>
      </c>
      <c r="E326" s="4">
        <v>0.65</v>
      </c>
      <c r="F326" s="42">
        <v>3.1</v>
      </c>
      <c r="G326" s="45">
        <v>276</v>
      </c>
      <c r="H326" s="22">
        <v>1.9</v>
      </c>
      <c r="I326" s="6">
        <f t="shared" si="5"/>
        <v>1056.6659999999999</v>
      </c>
      <c r="J326" s="6" t="s">
        <v>2582</v>
      </c>
    </row>
    <row r="327" spans="1:10" ht="13.95" customHeight="1" x14ac:dyDescent="0.3">
      <c r="A327" s="3">
        <v>45963</v>
      </c>
      <c r="B327" s="3" t="s">
        <v>2592</v>
      </c>
      <c r="C327" s="19" t="s">
        <v>16</v>
      </c>
      <c r="D327" s="19" t="s">
        <v>14</v>
      </c>
      <c r="E327" s="4">
        <v>0.6</v>
      </c>
      <c r="F327" s="42">
        <v>2.8</v>
      </c>
      <c r="G327" s="45">
        <v>276</v>
      </c>
      <c r="H327" s="22">
        <v>1.9</v>
      </c>
      <c r="I327" s="6">
        <f t="shared" si="5"/>
        <v>880.99199999999985</v>
      </c>
      <c r="J327" s="6" t="s">
        <v>264</v>
      </c>
    </row>
    <row r="328" spans="1:10" ht="13.95" customHeight="1" x14ac:dyDescent="0.3">
      <c r="A328" s="3">
        <v>45964</v>
      </c>
      <c r="B328" s="3" t="s">
        <v>2592</v>
      </c>
      <c r="C328" s="19" t="s">
        <v>18</v>
      </c>
      <c r="D328" s="19" t="s">
        <v>2015</v>
      </c>
      <c r="E328" s="4">
        <v>0.4</v>
      </c>
      <c r="F328" s="42">
        <v>2.15</v>
      </c>
      <c r="G328" s="45">
        <v>276</v>
      </c>
      <c r="H328" s="22">
        <v>1.9</v>
      </c>
      <c r="I328" s="6">
        <f t="shared" si="5"/>
        <v>450.98399999999998</v>
      </c>
      <c r="J328" s="6" t="s">
        <v>2479</v>
      </c>
    </row>
    <row r="329" spans="1:10" ht="13.95" customHeight="1" x14ac:dyDescent="0.3">
      <c r="A329" s="3">
        <v>45965</v>
      </c>
      <c r="B329" s="3" t="s">
        <v>2592</v>
      </c>
      <c r="C329" s="19" t="s">
        <v>20</v>
      </c>
      <c r="D329" s="19" t="s">
        <v>2015</v>
      </c>
      <c r="E329" s="4">
        <v>0.4</v>
      </c>
      <c r="F329" s="42">
        <v>2.15</v>
      </c>
      <c r="G329" s="45">
        <v>276</v>
      </c>
      <c r="H329" s="22">
        <v>1.9</v>
      </c>
      <c r="I329" s="6">
        <f t="shared" si="5"/>
        <v>450.98399999999998</v>
      </c>
      <c r="J329" s="6" t="s">
        <v>2583</v>
      </c>
    </row>
    <row r="330" spans="1:10" ht="13.95" customHeight="1" x14ac:dyDescent="0.3">
      <c r="A330" s="3">
        <v>45966</v>
      </c>
      <c r="B330" s="3" t="s">
        <v>2592</v>
      </c>
      <c r="C330" s="19" t="s">
        <v>5</v>
      </c>
      <c r="D330" s="19" t="s">
        <v>1263</v>
      </c>
      <c r="E330" s="4">
        <v>0.55000000000000004</v>
      </c>
      <c r="F330" s="42">
        <v>2.2999999999999998</v>
      </c>
      <c r="G330" s="45">
        <v>276</v>
      </c>
      <c r="H330" s="22">
        <v>1.9</v>
      </c>
      <c r="I330" s="6">
        <f t="shared" si="5"/>
        <v>663.36599999999999</v>
      </c>
      <c r="J330" s="6" t="s">
        <v>2569</v>
      </c>
    </row>
    <row r="331" spans="1:10" ht="13.95" customHeight="1" x14ac:dyDescent="0.3">
      <c r="A331" s="3">
        <v>45967</v>
      </c>
      <c r="B331" s="3" t="s">
        <v>2592</v>
      </c>
      <c r="C331" s="19" t="s">
        <v>8</v>
      </c>
      <c r="D331" s="19" t="s">
        <v>1263</v>
      </c>
      <c r="E331" s="4">
        <v>0.55000000000000004</v>
      </c>
      <c r="F331" s="42">
        <v>2.2999999999999998</v>
      </c>
      <c r="G331" s="45">
        <v>276</v>
      </c>
      <c r="H331" s="22">
        <v>1.9</v>
      </c>
      <c r="I331" s="6">
        <f t="shared" si="5"/>
        <v>663.36599999999999</v>
      </c>
      <c r="J331" s="6" t="s">
        <v>2569</v>
      </c>
    </row>
    <row r="332" spans="1:10" ht="13.95" customHeight="1" x14ac:dyDescent="0.3">
      <c r="A332" s="3">
        <v>45968</v>
      </c>
      <c r="B332" s="3" t="s">
        <v>2592</v>
      </c>
      <c r="C332" s="19" t="s">
        <v>11</v>
      </c>
      <c r="D332" s="19" t="s">
        <v>14</v>
      </c>
      <c r="E332" s="4">
        <v>0.5</v>
      </c>
      <c r="F332" s="42">
        <v>2.7</v>
      </c>
      <c r="G332" s="45">
        <v>276</v>
      </c>
      <c r="H332" s="22">
        <v>1.9</v>
      </c>
      <c r="I332" s="6">
        <f t="shared" si="5"/>
        <v>707.94</v>
      </c>
      <c r="J332" s="6" t="s">
        <v>282</v>
      </c>
    </row>
    <row r="333" spans="1:10" ht="13.95" customHeight="1" x14ac:dyDescent="0.3">
      <c r="A333" s="3">
        <v>45969</v>
      </c>
      <c r="B333" s="3" t="s">
        <v>2592</v>
      </c>
      <c r="C333" s="19" t="s">
        <v>13</v>
      </c>
      <c r="D333" s="19" t="s">
        <v>14</v>
      </c>
      <c r="E333" s="4">
        <v>0.65</v>
      </c>
      <c r="F333" s="42">
        <v>3.3</v>
      </c>
      <c r="G333" s="45">
        <v>276</v>
      </c>
      <c r="H333" s="22">
        <v>1.9</v>
      </c>
      <c r="I333" s="6">
        <f t="shared" si="5"/>
        <v>1124.838</v>
      </c>
      <c r="J333" s="6" t="s">
        <v>2412</v>
      </c>
    </row>
    <row r="334" spans="1:10" ht="13.95" customHeight="1" x14ac:dyDescent="0.3">
      <c r="A334" s="3">
        <v>45970</v>
      </c>
      <c r="B334" s="3" t="s">
        <v>2592</v>
      </c>
      <c r="C334" s="19" t="s">
        <v>16</v>
      </c>
      <c r="D334" s="19" t="s">
        <v>14</v>
      </c>
      <c r="E334" s="4">
        <v>0.6</v>
      </c>
      <c r="F334" s="42">
        <v>3</v>
      </c>
      <c r="G334" s="45">
        <v>276</v>
      </c>
      <c r="H334" s="22">
        <v>1.9</v>
      </c>
      <c r="I334" s="6">
        <f t="shared" si="5"/>
        <v>943.91999999999985</v>
      </c>
      <c r="J334" s="6" t="s">
        <v>69</v>
      </c>
    </row>
    <row r="335" spans="1:10" ht="13.95" customHeight="1" x14ac:dyDescent="0.3">
      <c r="A335" s="3">
        <v>45971</v>
      </c>
      <c r="B335" s="3" t="s">
        <v>2592</v>
      </c>
      <c r="C335" s="19" t="s">
        <v>18</v>
      </c>
      <c r="D335" s="19" t="s">
        <v>2015</v>
      </c>
      <c r="E335" s="4">
        <v>0.4</v>
      </c>
      <c r="F335" s="42">
        <v>2.15</v>
      </c>
      <c r="G335" s="45">
        <v>276</v>
      </c>
      <c r="H335" s="22">
        <v>1.9</v>
      </c>
      <c r="I335" s="6">
        <f t="shared" si="5"/>
        <v>450.98399999999998</v>
      </c>
      <c r="J335" s="6" t="s">
        <v>88</v>
      </c>
    </row>
    <row r="336" spans="1:10" ht="13.95" customHeight="1" x14ac:dyDescent="0.3">
      <c r="A336" s="3">
        <v>45972</v>
      </c>
      <c r="B336" s="3" t="s">
        <v>2592</v>
      </c>
      <c r="C336" s="19" t="s">
        <v>20</v>
      </c>
      <c r="D336" s="19" t="s">
        <v>2015</v>
      </c>
      <c r="E336" s="4">
        <v>0.45</v>
      </c>
      <c r="F336" s="42">
        <v>2.15</v>
      </c>
      <c r="G336" s="45">
        <v>276</v>
      </c>
      <c r="H336" s="22">
        <v>1.9</v>
      </c>
      <c r="I336" s="6">
        <f t="shared" si="5"/>
        <v>507.35699999999991</v>
      </c>
      <c r="J336" s="6" t="s">
        <v>717</v>
      </c>
    </row>
    <row r="337" spans="1:10" ht="13.95" customHeight="1" x14ac:dyDescent="0.3">
      <c r="A337" s="3">
        <v>45973</v>
      </c>
      <c r="B337" s="3" t="s">
        <v>2592</v>
      </c>
      <c r="C337" s="19" t="s">
        <v>5</v>
      </c>
      <c r="D337" s="19" t="s">
        <v>2015</v>
      </c>
      <c r="E337" s="4">
        <v>0.45</v>
      </c>
      <c r="F337" s="42">
        <v>2.2000000000000002</v>
      </c>
      <c r="G337" s="45">
        <v>276</v>
      </c>
      <c r="H337" s="22">
        <v>1.9</v>
      </c>
      <c r="I337" s="6">
        <f t="shared" si="5"/>
        <v>519.15599999999995</v>
      </c>
      <c r="J337" s="6" t="s">
        <v>88</v>
      </c>
    </row>
    <row r="338" spans="1:10" ht="13.95" customHeight="1" x14ac:dyDescent="0.3">
      <c r="A338" s="3">
        <v>45974</v>
      </c>
      <c r="B338" s="3" t="s">
        <v>2592</v>
      </c>
      <c r="C338" s="19" t="s">
        <v>8</v>
      </c>
      <c r="D338" s="19" t="s">
        <v>1263</v>
      </c>
      <c r="E338" s="4">
        <v>0.55000000000000004</v>
      </c>
      <c r="F338" s="42">
        <v>2.35</v>
      </c>
      <c r="G338" s="45">
        <v>276</v>
      </c>
      <c r="H338" s="22">
        <v>1.9</v>
      </c>
      <c r="I338" s="6">
        <f t="shared" si="5"/>
        <v>677.78700000000003</v>
      </c>
      <c r="J338" s="6" t="s">
        <v>65</v>
      </c>
    </row>
    <row r="339" spans="1:10" ht="13.95" customHeight="1" x14ac:dyDescent="0.3">
      <c r="A339" s="3">
        <v>45975</v>
      </c>
      <c r="B339" s="3" t="s">
        <v>2592</v>
      </c>
      <c r="C339" s="19" t="s">
        <v>11</v>
      </c>
      <c r="D339" s="19" t="s">
        <v>14</v>
      </c>
      <c r="E339" s="4">
        <v>0.55000000000000004</v>
      </c>
      <c r="F339" s="42">
        <v>2.75</v>
      </c>
      <c r="G339" s="45">
        <v>276</v>
      </c>
      <c r="H339" s="22">
        <v>1.9</v>
      </c>
      <c r="I339" s="6">
        <f t="shared" si="5"/>
        <v>793.15500000000009</v>
      </c>
      <c r="J339" s="6" t="s">
        <v>97</v>
      </c>
    </row>
    <row r="340" spans="1:10" ht="13.95" customHeight="1" x14ac:dyDescent="0.3">
      <c r="A340" s="3">
        <v>45976</v>
      </c>
      <c r="B340" s="3" t="s">
        <v>2592</v>
      </c>
      <c r="C340" s="19" t="s">
        <v>13</v>
      </c>
      <c r="D340" s="19" t="s">
        <v>14</v>
      </c>
      <c r="E340" s="4">
        <v>0.7</v>
      </c>
      <c r="F340" s="42">
        <v>3.4</v>
      </c>
      <c r="G340" s="45">
        <v>276</v>
      </c>
      <c r="H340" s="22">
        <v>1.9</v>
      </c>
      <c r="I340" s="6">
        <f t="shared" si="5"/>
        <v>1248.0719999999999</v>
      </c>
      <c r="J340" s="6" t="s">
        <v>2390</v>
      </c>
    </row>
    <row r="341" spans="1:10" ht="13.95" customHeight="1" x14ac:dyDescent="0.3">
      <c r="A341" s="3">
        <v>45977</v>
      </c>
      <c r="B341" s="3" t="s">
        <v>2592</v>
      </c>
      <c r="C341" s="19" t="s">
        <v>16</v>
      </c>
      <c r="D341" s="19" t="s">
        <v>14</v>
      </c>
      <c r="E341" s="4">
        <v>0.65</v>
      </c>
      <c r="F341" s="42">
        <v>3.1</v>
      </c>
      <c r="G341" s="45">
        <v>276</v>
      </c>
      <c r="H341" s="22">
        <v>1.9</v>
      </c>
      <c r="I341" s="6">
        <f t="shared" si="5"/>
        <v>1056.6659999999999</v>
      </c>
      <c r="J341" s="6" t="s">
        <v>69</v>
      </c>
    </row>
    <row r="342" spans="1:10" ht="13.95" customHeight="1" x14ac:dyDescent="0.3">
      <c r="A342" s="3">
        <v>45978</v>
      </c>
      <c r="B342" s="3" t="s">
        <v>2592</v>
      </c>
      <c r="C342" s="19" t="s">
        <v>18</v>
      </c>
      <c r="D342" s="19" t="s">
        <v>2015</v>
      </c>
      <c r="E342" s="4">
        <v>0.4</v>
      </c>
      <c r="F342" s="42">
        <v>2.15</v>
      </c>
      <c r="G342" s="45">
        <v>276</v>
      </c>
      <c r="H342" s="22">
        <v>1.9</v>
      </c>
      <c r="I342" s="6">
        <f t="shared" si="5"/>
        <v>450.98399999999998</v>
      </c>
      <c r="J342" s="6" t="s">
        <v>88</v>
      </c>
    </row>
    <row r="343" spans="1:10" ht="13.95" customHeight="1" x14ac:dyDescent="0.3">
      <c r="A343" s="3">
        <v>45979</v>
      </c>
      <c r="B343" s="3" t="s">
        <v>2592</v>
      </c>
      <c r="C343" s="19" t="s">
        <v>20</v>
      </c>
      <c r="D343" s="19" t="s">
        <v>2015</v>
      </c>
      <c r="E343" s="4">
        <v>0.4</v>
      </c>
      <c r="F343" s="42">
        <v>2.15</v>
      </c>
      <c r="G343" s="45">
        <v>276</v>
      </c>
      <c r="H343" s="22">
        <v>1.9</v>
      </c>
      <c r="I343" s="6">
        <f t="shared" si="5"/>
        <v>450.98399999999998</v>
      </c>
      <c r="J343" s="6" t="s">
        <v>88</v>
      </c>
    </row>
    <row r="344" spans="1:10" ht="13.95" customHeight="1" x14ac:dyDescent="0.3">
      <c r="A344" s="3">
        <v>45980</v>
      </c>
      <c r="B344" s="3" t="s">
        <v>2592</v>
      </c>
      <c r="C344" s="19" t="s">
        <v>5</v>
      </c>
      <c r="D344" s="19" t="s">
        <v>2015</v>
      </c>
      <c r="E344" s="4">
        <v>0.4</v>
      </c>
      <c r="F344" s="42">
        <v>2.15</v>
      </c>
      <c r="G344" s="45">
        <v>276</v>
      </c>
      <c r="H344" s="22">
        <v>1.9</v>
      </c>
      <c r="I344" s="6">
        <f t="shared" si="5"/>
        <v>450.98399999999998</v>
      </c>
      <c r="J344" s="6" t="s">
        <v>88</v>
      </c>
    </row>
    <row r="345" spans="1:10" ht="13.95" customHeight="1" x14ac:dyDescent="0.3">
      <c r="A345" s="3">
        <v>45981</v>
      </c>
      <c r="B345" s="3" t="s">
        <v>2592</v>
      </c>
      <c r="C345" s="19" t="s">
        <v>8</v>
      </c>
      <c r="D345" s="19" t="s">
        <v>1263</v>
      </c>
      <c r="E345" s="4">
        <v>0.5</v>
      </c>
      <c r="F345" s="42">
        <v>2.2999999999999998</v>
      </c>
      <c r="G345" s="45">
        <v>276</v>
      </c>
      <c r="H345" s="22">
        <v>1.9</v>
      </c>
      <c r="I345" s="6">
        <f t="shared" si="5"/>
        <v>603.05999999999995</v>
      </c>
      <c r="J345" s="6" t="s">
        <v>65</v>
      </c>
    </row>
    <row r="346" spans="1:10" ht="13.95" customHeight="1" x14ac:dyDescent="0.3">
      <c r="A346" s="3">
        <v>45982</v>
      </c>
      <c r="B346" s="3" t="s">
        <v>2592</v>
      </c>
      <c r="C346" s="19" t="s">
        <v>11</v>
      </c>
      <c r="D346" s="19" t="s">
        <v>14</v>
      </c>
      <c r="E346" s="4">
        <v>0.5</v>
      </c>
      <c r="F346" s="42">
        <v>2.7</v>
      </c>
      <c r="G346" s="45">
        <v>276</v>
      </c>
      <c r="H346" s="22">
        <v>1.9</v>
      </c>
      <c r="I346" s="6">
        <f t="shared" si="5"/>
        <v>707.94</v>
      </c>
      <c r="J346" s="6" t="s">
        <v>97</v>
      </c>
    </row>
    <row r="347" spans="1:10" ht="13.95" customHeight="1" x14ac:dyDescent="0.3">
      <c r="A347" s="3">
        <v>45983</v>
      </c>
      <c r="B347" s="3" t="s">
        <v>2592</v>
      </c>
      <c r="C347" s="19" t="s">
        <v>13</v>
      </c>
      <c r="D347" s="19" t="s">
        <v>14</v>
      </c>
      <c r="E347" s="4">
        <v>0.6</v>
      </c>
      <c r="F347" s="42">
        <v>3.35</v>
      </c>
      <c r="G347" s="45">
        <v>276</v>
      </c>
      <c r="H347" s="22">
        <v>1.9</v>
      </c>
      <c r="I347" s="6">
        <f t="shared" si="5"/>
        <v>1054.0439999999999</v>
      </c>
      <c r="J347" s="6" t="s">
        <v>2572</v>
      </c>
    </row>
    <row r="348" spans="1:10" ht="13.95" customHeight="1" x14ac:dyDescent="0.3">
      <c r="A348" s="3">
        <v>45984</v>
      </c>
      <c r="B348" s="3" t="s">
        <v>2592</v>
      </c>
      <c r="C348" s="19" t="s">
        <v>16</v>
      </c>
      <c r="D348" s="19" t="s">
        <v>14</v>
      </c>
      <c r="E348" s="4">
        <v>0.55000000000000004</v>
      </c>
      <c r="F348" s="42">
        <v>3.05</v>
      </c>
      <c r="G348" s="45">
        <v>276</v>
      </c>
      <c r="H348" s="22">
        <v>1.9</v>
      </c>
      <c r="I348" s="6">
        <f t="shared" si="5"/>
        <v>879.68099999999993</v>
      </c>
      <c r="J348" s="6" t="s">
        <v>69</v>
      </c>
    </row>
    <row r="349" spans="1:10" ht="13.95" customHeight="1" x14ac:dyDescent="0.3">
      <c r="A349" s="3">
        <v>45985</v>
      </c>
      <c r="B349" s="3" t="s">
        <v>2592</v>
      </c>
      <c r="C349" s="19" t="s">
        <v>18</v>
      </c>
      <c r="D349" s="19" t="s">
        <v>2015</v>
      </c>
      <c r="E349" s="4">
        <v>0.35</v>
      </c>
      <c r="F349" s="42">
        <v>2.15</v>
      </c>
      <c r="G349" s="45">
        <v>276</v>
      </c>
      <c r="H349" s="22">
        <v>1.9</v>
      </c>
      <c r="I349" s="6">
        <f t="shared" si="5"/>
        <v>394.61099999999993</v>
      </c>
      <c r="J349" s="6" t="s">
        <v>272</v>
      </c>
    </row>
    <row r="350" spans="1:10" ht="13.95" customHeight="1" x14ac:dyDescent="0.3">
      <c r="A350" s="3">
        <v>45986</v>
      </c>
      <c r="B350" s="3" t="s">
        <v>2592</v>
      </c>
      <c r="C350" s="19" t="s">
        <v>20</v>
      </c>
      <c r="D350" s="19" t="s">
        <v>2015</v>
      </c>
      <c r="E350" s="4">
        <v>0.35</v>
      </c>
      <c r="F350" s="42">
        <v>2.15</v>
      </c>
      <c r="G350" s="45">
        <v>276</v>
      </c>
      <c r="H350" s="22">
        <v>1.9</v>
      </c>
      <c r="I350" s="6">
        <f t="shared" si="5"/>
        <v>394.61099999999993</v>
      </c>
      <c r="J350" s="6" t="s">
        <v>272</v>
      </c>
    </row>
    <row r="351" spans="1:10" ht="13.95" customHeight="1" x14ac:dyDescent="0.3">
      <c r="A351" s="3">
        <v>45987</v>
      </c>
      <c r="B351" s="3" t="s">
        <v>2592</v>
      </c>
      <c r="C351" s="19" t="s">
        <v>5</v>
      </c>
      <c r="D351" s="19" t="s">
        <v>2015</v>
      </c>
      <c r="E351" s="4">
        <v>0.4</v>
      </c>
      <c r="F351" s="42">
        <v>2.15</v>
      </c>
      <c r="G351" s="45">
        <v>276</v>
      </c>
      <c r="H351" s="22">
        <v>1.9</v>
      </c>
      <c r="I351" s="6">
        <f t="shared" si="5"/>
        <v>450.98399999999998</v>
      </c>
      <c r="J351" s="6" t="s">
        <v>88</v>
      </c>
    </row>
    <row r="352" spans="1:10" ht="13.95" customHeight="1" x14ac:dyDescent="0.3">
      <c r="A352" s="3">
        <v>45988</v>
      </c>
      <c r="B352" s="3" t="s">
        <v>2592</v>
      </c>
      <c r="C352" s="19" t="s">
        <v>8</v>
      </c>
      <c r="D352" s="19" t="s">
        <v>1263</v>
      </c>
      <c r="E352" s="4">
        <v>0.55000000000000004</v>
      </c>
      <c r="F352" s="42">
        <v>2.35</v>
      </c>
      <c r="G352" s="45">
        <v>276</v>
      </c>
      <c r="H352" s="22">
        <v>1.9</v>
      </c>
      <c r="I352" s="6">
        <f t="shared" si="5"/>
        <v>677.78700000000003</v>
      </c>
      <c r="J352" s="6" t="s">
        <v>65</v>
      </c>
    </row>
    <row r="353" spans="1:10" ht="13.95" customHeight="1" x14ac:dyDescent="0.3">
      <c r="A353" s="3">
        <v>45989</v>
      </c>
      <c r="B353" s="3" t="s">
        <v>2592</v>
      </c>
      <c r="C353" s="19" t="s">
        <v>11</v>
      </c>
      <c r="D353" s="19" t="s">
        <v>14</v>
      </c>
      <c r="E353" s="4">
        <v>0.6</v>
      </c>
      <c r="F353" s="42">
        <v>2.8</v>
      </c>
      <c r="G353" s="45">
        <v>276</v>
      </c>
      <c r="H353" s="22">
        <v>1.9</v>
      </c>
      <c r="I353" s="6">
        <f t="shared" si="5"/>
        <v>880.99199999999985</v>
      </c>
      <c r="J353" s="6" t="s">
        <v>282</v>
      </c>
    </row>
    <row r="354" spans="1:10" ht="13.95" customHeight="1" x14ac:dyDescent="0.3">
      <c r="A354" s="3">
        <v>45990</v>
      </c>
      <c r="B354" s="3" t="s">
        <v>2592</v>
      </c>
      <c r="C354" s="19" t="s">
        <v>13</v>
      </c>
      <c r="D354" s="19" t="s">
        <v>14</v>
      </c>
      <c r="E354" s="4">
        <v>0.75</v>
      </c>
      <c r="F354" s="42">
        <v>3.5</v>
      </c>
      <c r="G354" s="45">
        <v>276</v>
      </c>
      <c r="H354" s="22">
        <v>1.9</v>
      </c>
      <c r="I354" s="6">
        <f t="shared" si="5"/>
        <v>1376.55</v>
      </c>
      <c r="J354" s="6" t="s">
        <v>2584</v>
      </c>
    </row>
    <row r="355" spans="1:10" ht="13.95" customHeight="1" x14ac:dyDescent="0.3">
      <c r="A355" s="3">
        <v>45991</v>
      </c>
      <c r="B355" s="3" t="s">
        <v>2592</v>
      </c>
      <c r="C355" s="19" t="s">
        <v>16</v>
      </c>
      <c r="D355" s="19" t="s">
        <v>14</v>
      </c>
      <c r="E355" s="4">
        <v>0.7</v>
      </c>
      <c r="F355" s="42">
        <v>3.15</v>
      </c>
      <c r="G355" s="45">
        <v>276</v>
      </c>
      <c r="H355" s="22">
        <v>1.9</v>
      </c>
      <c r="I355" s="6">
        <f t="shared" si="5"/>
        <v>1156.3019999999999</v>
      </c>
      <c r="J355" s="6" t="s">
        <v>69</v>
      </c>
    </row>
    <row r="356" spans="1:10" ht="13.95" customHeight="1" x14ac:dyDescent="0.3">
      <c r="A356" s="3">
        <v>45931</v>
      </c>
      <c r="B356" s="3" t="s">
        <v>2592</v>
      </c>
      <c r="C356" s="19" t="s">
        <v>5</v>
      </c>
      <c r="D356" s="19" t="s">
        <v>9</v>
      </c>
      <c r="E356" s="4">
        <v>0.55000000000000004</v>
      </c>
      <c r="F356" s="42">
        <v>2.25</v>
      </c>
      <c r="G356" s="45">
        <v>276</v>
      </c>
      <c r="H356" s="22">
        <v>2.1</v>
      </c>
      <c r="I356" s="6">
        <f t="shared" si="5"/>
        <v>717.25500000000011</v>
      </c>
      <c r="J356" s="6" t="s">
        <v>2501</v>
      </c>
    </row>
    <row r="357" spans="1:10" ht="13.95" customHeight="1" x14ac:dyDescent="0.3">
      <c r="A357" s="3">
        <v>45932</v>
      </c>
      <c r="B357" s="3" t="s">
        <v>2592</v>
      </c>
      <c r="C357" s="19" t="s">
        <v>8</v>
      </c>
      <c r="D357" s="19" t="s">
        <v>9</v>
      </c>
      <c r="E357" s="4">
        <v>0.55000000000000004</v>
      </c>
      <c r="F357" s="42">
        <v>2.25</v>
      </c>
      <c r="G357" s="45">
        <v>276</v>
      </c>
      <c r="H357" s="22">
        <v>2.1</v>
      </c>
      <c r="I357" s="6">
        <f t="shared" si="5"/>
        <v>717.25500000000011</v>
      </c>
      <c r="J357" s="6" t="s">
        <v>1786</v>
      </c>
    </row>
    <row r="358" spans="1:10" ht="13.95" customHeight="1" x14ac:dyDescent="0.3">
      <c r="A358" s="3">
        <v>45933</v>
      </c>
      <c r="B358" s="3" t="s">
        <v>2592</v>
      </c>
      <c r="C358" s="19" t="s">
        <v>11</v>
      </c>
      <c r="D358" s="19" t="s">
        <v>14</v>
      </c>
      <c r="E358" s="4">
        <v>0.7</v>
      </c>
      <c r="F358" s="42">
        <v>2.85</v>
      </c>
      <c r="G358" s="45">
        <v>276</v>
      </c>
      <c r="H358" s="22">
        <v>2.1</v>
      </c>
      <c r="I358" s="6">
        <f t="shared" si="5"/>
        <v>1156.3020000000001</v>
      </c>
      <c r="J358" s="6" t="s">
        <v>282</v>
      </c>
    </row>
    <row r="359" spans="1:10" ht="13.95" customHeight="1" x14ac:dyDescent="0.3">
      <c r="A359" s="3">
        <v>45934</v>
      </c>
      <c r="B359" s="3" t="s">
        <v>2592</v>
      </c>
      <c r="C359" s="19" t="s">
        <v>13</v>
      </c>
      <c r="D359" s="19" t="s">
        <v>14</v>
      </c>
      <c r="E359" s="4">
        <v>0.85</v>
      </c>
      <c r="F359" s="42">
        <v>3.6</v>
      </c>
      <c r="G359" s="45">
        <v>276</v>
      </c>
      <c r="H359" s="22">
        <v>2.1</v>
      </c>
      <c r="I359" s="6">
        <f t="shared" si="5"/>
        <v>1773.576</v>
      </c>
      <c r="J359" s="6" t="s">
        <v>2412</v>
      </c>
    </row>
    <row r="360" spans="1:10" ht="13.95" customHeight="1" x14ac:dyDescent="0.3">
      <c r="A360" s="3">
        <v>45935</v>
      </c>
      <c r="B360" s="3" t="s">
        <v>2592</v>
      </c>
      <c r="C360" s="19" t="s">
        <v>16</v>
      </c>
      <c r="D360" s="19" t="s">
        <v>14</v>
      </c>
      <c r="E360" s="4">
        <v>0.8</v>
      </c>
      <c r="F360" s="42">
        <v>3.15</v>
      </c>
      <c r="G360" s="45">
        <v>276</v>
      </c>
      <c r="H360" s="22">
        <v>2.1</v>
      </c>
      <c r="I360" s="6">
        <f t="shared" si="5"/>
        <v>1460.5920000000001</v>
      </c>
      <c r="J360" s="6" t="s">
        <v>238</v>
      </c>
    </row>
    <row r="361" spans="1:10" ht="13.95" customHeight="1" x14ac:dyDescent="0.3">
      <c r="A361" s="3">
        <v>45936</v>
      </c>
      <c r="B361" s="3" t="s">
        <v>2592</v>
      </c>
      <c r="C361" s="19" t="s">
        <v>18</v>
      </c>
      <c r="D361" s="19" t="s">
        <v>9</v>
      </c>
      <c r="E361" s="4">
        <v>0.5</v>
      </c>
      <c r="F361" s="42">
        <v>2.2000000000000002</v>
      </c>
      <c r="G361" s="45">
        <v>276</v>
      </c>
      <c r="H361" s="22">
        <v>2.1</v>
      </c>
      <c r="I361" s="6">
        <f t="shared" si="5"/>
        <v>637.56000000000006</v>
      </c>
      <c r="J361" s="6" t="s">
        <v>150</v>
      </c>
    </row>
    <row r="362" spans="1:10" ht="13.95" customHeight="1" x14ac:dyDescent="0.3">
      <c r="A362" s="3">
        <v>45937</v>
      </c>
      <c r="B362" s="3" t="s">
        <v>2592</v>
      </c>
      <c r="C362" s="19" t="s">
        <v>20</v>
      </c>
      <c r="D362" s="19" t="s">
        <v>9</v>
      </c>
      <c r="E362" s="4">
        <v>0.5</v>
      </c>
      <c r="F362" s="42">
        <v>2.2000000000000002</v>
      </c>
      <c r="G362" s="45">
        <v>276</v>
      </c>
      <c r="H362" s="22">
        <v>2.1</v>
      </c>
      <c r="I362" s="6">
        <f t="shared" si="5"/>
        <v>637.56000000000006</v>
      </c>
      <c r="J362" s="6" t="s">
        <v>150</v>
      </c>
    </row>
    <row r="363" spans="1:10" ht="13.95" customHeight="1" x14ac:dyDescent="0.3">
      <c r="A363" s="3">
        <v>45938</v>
      </c>
      <c r="B363" s="3" t="s">
        <v>2592</v>
      </c>
      <c r="C363" s="19" t="s">
        <v>5</v>
      </c>
      <c r="D363" s="19" t="s">
        <v>9</v>
      </c>
      <c r="E363" s="4">
        <v>0.55000000000000004</v>
      </c>
      <c r="F363" s="42">
        <v>2.25</v>
      </c>
      <c r="G363" s="45">
        <v>276</v>
      </c>
      <c r="H363" s="22">
        <v>2.1</v>
      </c>
      <c r="I363" s="6">
        <f t="shared" si="5"/>
        <v>717.25500000000011</v>
      </c>
      <c r="J363" s="6" t="s">
        <v>88</v>
      </c>
    </row>
    <row r="364" spans="1:10" ht="13.95" customHeight="1" x14ac:dyDescent="0.3">
      <c r="A364" s="3">
        <v>45939</v>
      </c>
      <c r="B364" s="3" t="s">
        <v>2592</v>
      </c>
      <c r="C364" s="19" t="s">
        <v>8</v>
      </c>
      <c r="D364" s="19" t="s">
        <v>9</v>
      </c>
      <c r="E364" s="4">
        <v>0.6</v>
      </c>
      <c r="F364" s="42">
        <v>2.2999999999999998</v>
      </c>
      <c r="G364" s="45">
        <v>276</v>
      </c>
      <c r="H364" s="22">
        <v>2.1</v>
      </c>
      <c r="I364" s="6">
        <f t="shared" si="5"/>
        <v>799.84799999999996</v>
      </c>
      <c r="J364" s="6" t="s">
        <v>1676</v>
      </c>
    </row>
    <row r="365" spans="1:10" ht="13.95" customHeight="1" x14ac:dyDescent="0.3">
      <c r="A365" s="3">
        <v>45940</v>
      </c>
      <c r="B365" s="3" t="s">
        <v>2592</v>
      </c>
      <c r="C365" s="19" t="s">
        <v>11</v>
      </c>
      <c r="D365" s="19" t="s">
        <v>14</v>
      </c>
      <c r="E365" s="4">
        <v>0.7</v>
      </c>
      <c r="F365" s="42">
        <v>2.9</v>
      </c>
      <c r="G365" s="45">
        <v>276</v>
      </c>
      <c r="H365" s="22">
        <v>2.1</v>
      </c>
      <c r="I365" s="6">
        <f t="shared" si="5"/>
        <v>1176.588</v>
      </c>
      <c r="J365" s="6" t="s">
        <v>282</v>
      </c>
    </row>
    <row r="366" spans="1:10" ht="13.95" customHeight="1" x14ac:dyDescent="0.3">
      <c r="A366" s="3">
        <v>45941</v>
      </c>
      <c r="B366" s="3" t="s">
        <v>2592</v>
      </c>
      <c r="C366" s="19" t="s">
        <v>13</v>
      </c>
      <c r="D366" s="19" t="s">
        <v>14</v>
      </c>
      <c r="E366" s="4">
        <v>0.8</v>
      </c>
      <c r="F366" s="42">
        <v>3.55</v>
      </c>
      <c r="G366" s="45">
        <v>276</v>
      </c>
      <c r="H366" s="22">
        <v>2.1</v>
      </c>
      <c r="I366" s="6">
        <f t="shared" si="5"/>
        <v>1646.0640000000001</v>
      </c>
      <c r="J366" s="6" t="s">
        <v>2585</v>
      </c>
    </row>
    <row r="367" spans="1:10" ht="13.95" customHeight="1" x14ac:dyDescent="0.3">
      <c r="A367" s="3">
        <v>45942</v>
      </c>
      <c r="B367" s="3" t="s">
        <v>2592</v>
      </c>
      <c r="C367" s="19" t="s">
        <v>16</v>
      </c>
      <c r="D367" s="19" t="s">
        <v>14</v>
      </c>
      <c r="E367" s="4">
        <v>0.75</v>
      </c>
      <c r="F367" s="42">
        <v>3.1</v>
      </c>
      <c r="G367" s="45">
        <v>276</v>
      </c>
      <c r="H367" s="22">
        <v>2.1</v>
      </c>
      <c r="I367" s="6">
        <f t="shared" ref="I367:I386" si="6">(G367*E367)*F367*H367</f>
        <v>1347.5700000000002</v>
      </c>
      <c r="J367" s="6" t="s">
        <v>69</v>
      </c>
    </row>
    <row r="368" spans="1:10" ht="13.95" customHeight="1" x14ac:dyDescent="0.3">
      <c r="A368" s="3">
        <v>45943</v>
      </c>
      <c r="B368" s="3" t="s">
        <v>2592</v>
      </c>
      <c r="C368" s="19" t="s">
        <v>18</v>
      </c>
      <c r="D368" s="19" t="s">
        <v>9</v>
      </c>
      <c r="E368" s="4">
        <v>0.55000000000000004</v>
      </c>
      <c r="F368" s="42">
        <v>2.2000000000000002</v>
      </c>
      <c r="G368" s="45">
        <v>276</v>
      </c>
      <c r="H368" s="22">
        <v>2.1</v>
      </c>
      <c r="I368" s="6">
        <f t="shared" si="6"/>
        <v>701.31600000000014</v>
      </c>
      <c r="J368" s="6" t="s">
        <v>150</v>
      </c>
    </row>
    <row r="369" spans="1:10" ht="13.95" customHeight="1" x14ac:dyDescent="0.3">
      <c r="A369" s="3">
        <v>45944</v>
      </c>
      <c r="B369" s="3" t="s">
        <v>2592</v>
      </c>
      <c r="C369" s="19" t="s">
        <v>20</v>
      </c>
      <c r="D369" s="19" t="s">
        <v>994</v>
      </c>
      <c r="E369" s="4">
        <v>0.7</v>
      </c>
      <c r="F369" s="42">
        <v>2.6</v>
      </c>
      <c r="G369" s="45">
        <v>276</v>
      </c>
      <c r="H369" s="22">
        <v>2.1</v>
      </c>
      <c r="I369" s="6">
        <f t="shared" si="6"/>
        <v>1054.8720000000001</v>
      </c>
      <c r="J369" s="6" t="s">
        <v>1266</v>
      </c>
    </row>
    <row r="370" spans="1:10" ht="13.95" customHeight="1" x14ac:dyDescent="0.3">
      <c r="A370" s="3">
        <v>45945</v>
      </c>
      <c r="B370" s="3" t="s">
        <v>2592</v>
      </c>
      <c r="C370" s="19" t="s">
        <v>5</v>
      </c>
      <c r="D370" s="19" t="s">
        <v>865</v>
      </c>
      <c r="E370" s="4">
        <v>0.85</v>
      </c>
      <c r="F370" s="42">
        <v>3.4</v>
      </c>
      <c r="G370" s="45">
        <v>276</v>
      </c>
      <c r="H370" s="22">
        <v>2.1</v>
      </c>
      <c r="I370" s="6">
        <f t="shared" si="6"/>
        <v>1675.0440000000001</v>
      </c>
      <c r="J370" s="6" t="s">
        <v>2586</v>
      </c>
    </row>
    <row r="371" spans="1:10" ht="13.95" customHeight="1" x14ac:dyDescent="0.3">
      <c r="A371" s="3">
        <v>45946</v>
      </c>
      <c r="B371" s="3" t="s">
        <v>2592</v>
      </c>
      <c r="C371" s="19" t="s">
        <v>8</v>
      </c>
      <c r="D371" s="19" t="s">
        <v>9</v>
      </c>
      <c r="E371" s="4">
        <v>0.65</v>
      </c>
      <c r="F371" s="42">
        <v>2.2999999999999998</v>
      </c>
      <c r="G371" s="45">
        <v>276</v>
      </c>
      <c r="H371" s="22">
        <v>2.1</v>
      </c>
      <c r="I371" s="6">
        <f t="shared" si="6"/>
        <v>866.50200000000007</v>
      </c>
      <c r="J371" s="6" t="s">
        <v>88</v>
      </c>
    </row>
    <row r="372" spans="1:10" ht="13.95" customHeight="1" x14ac:dyDescent="0.3">
      <c r="A372" s="3">
        <v>45947</v>
      </c>
      <c r="B372" s="3" t="s">
        <v>2592</v>
      </c>
      <c r="C372" s="19" t="s">
        <v>11</v>
      </c>
      <c r="D372" s="19" t="s">
        <v>658</v>
      </c>
      <c r="E372" s="4">
        <v>0.75</v>
      </c>
      <c r="F372" s="42">
        <v>2.95</v>
      </c>
      <c r="G372" s="45">
        <v>276</v>
      </c>
      <c r="H372" s="22">
        <v>2.1</v>
      </c>
      <c r="I372" s="6">
        <f t="shared" si="6"/>
        <v>1282.3650000000002</v>
      </c>
      <c r="J372" s="6" t="s">
        <v>1818</v>
      </c>
    </row>
    <row r="373" spans="1:10" ht="13.95" customHeight="1" x14ac:dyDescent="0.3">
      <c r="A373" s="3">
        <v>45948</v>
      </c>
      <c r="B373" s="3" t="s">
        <v>2592</v>
      </c>
      <c r="C373" s="19" t="s">
        <v>13</v>
      </c>
      <c r="D373" s="19" t="s">
        <v>658</v>
      </c>
      <c r="E373" s="4">
        <v>0.9</v>
      </c>
      <c r="F373" s="42">
        <v>3.75</v>
      </c>
      <c r="G373" s="45">
        <v>276</v>
      </c>
      <c r="H373" s="22">
        <v>2.1</v>
      </c>
      <c r="I373" s="6">
        <f t="shared" si="6"/>
        <v>1956.15</v>
      </c>
      <c r="J373" s="6" t="s">
        <v>2587</v>
      </c>
    </row>
    <row r="374" spans="1:10" ht="13.95" customHeight="1" x14ac:dyDescent="0.3">
      <c r="A374" s="3">
        <v>45949</v>
      </c>
      <c r="B374" s="3" t="s">
        <v>2592</v>
      </c>
      <c r="C374" s="19" t="s">
        <v>16</v>
      </c>
      <c r="D374" s="19" t="s">
        <v>658</v>
      </c>
      <c r="E374" s="4">
        <v>0.85</v>
      </c>
      <c r="F374" s="42">
        <v>3.4</v>
      </c>
      <c r="G374" s="45">
        <v>276</v>
      </c>
      <c r="H374" s="22">
        <v>2.1</v>
      </c>
      <c r="I374" s="6">
        <f t="shared" si="6"/>
        <v>1675.0440000000001</v>
      </c>
      <c r="J374" s="6" t="s">
        <v>1911</v>
      </c>
    </row>
    <row r="375" spans="1:10" ht="13.95" customHeight="1" x14ac:dyDescent="0.3">
      <c r="A375" s="3">
        <v>45950</v>
      </c>
      <c r="B375" s="3" t="s">
        <v>2592</v>
      </c>
      <c r="C375" s="19" t="s">
        <v>18</v>
      </c>
      <c r="D375" s="19" t="s">
        <v>658</v>
      </c>
      <c r="E375" s="4">
        <v>0.8</v>
      </c>
      <c r="F375" s="42">
        <v>2.65</v>
      </c>
      <c r="G375" s="45">
        <v>276</v>
      </c>
      <c r="H375" s="22">
        <v>2.1</v>
      </c>
      <c r="I375" s="6">
        <f t="shared" si="6"/>
        <v>1228.752</v>
      </c>
      <c r="J375" s="6" t="s">
        <v>2588</v>
      </c>
    </row>
    <row r="376" spans="1:10" ht="13.95" customHeight="1" x14ac:dyDescent="0.3">
      <c r="A376" s="3">
        <v>45951</v>
      </c>
      <c r="B376" s="3" t="s">
        <v>2592</v>
      </c>
      <c r="C376" s="19" t="s">
        <v>20</v>
      </c>
      <c r="D376" s="19" t="s">
        <v>658</v>
      </c>
      <c r="E376" s="4">
        <v>0.8</v>
      </c>
      <c r="F376" s="42">
        <v>2.65</v>
      </c>
      <c r="G376" s="45">
        <v>276</v>
      </c>
      <c r="H376" s="22">
        <v>2.1</v>
      </c>
      <c r="I376" s="6">
        <f t="shared" si="6"/>
        <v>1228.752</v>
      </c>
      <c r="J376" s="6" t="s">
        <v>2589</v>
      </c>
    </row>
    <row r="377" spans="1:10" ht="13.95" customHeight="1" x14ac:dyDescent="0.3">
      <c r="A377" s="3">
        <v>45952</v>
      </c>
      <c r="B377" s="3" t="s">
        <v>2592</v>
      </c>
      <c r="C377" s="19" t="s">
        <v>5</v>
      </c>
      <c r="D377" s="19" t="s">
        <v>658</v>
      </c>
      <c r="E377" s="4">
        <v>0.8</v>
      </c>
      <c r="F377" s="42">
        <v>2.7</v>
      </c>
      <c r="G377" s="45">
        <v>276</v>
      </c>
      <c r="H377" s="22">
        <v>2.1</v>
      </c>
      <c r="I377" s="6">
        <f t="shared" si="6"/>
        <v>1251.9360000000001</v>
      </c>
      <c r="J377" s="6" t="s">
        <v>2589</v>
      </c>
    </row>
    <row r="378" spans="1:10" ht="13.95" customHeight="1" x14ac:dyDescent="0.3">
      <c r="A378" s="3">
        <v>45953</v>
      </c>
      <c r="B378" s="3" t="s">
        <v>2592</v>
      </c>
      <c r="C378" s="19" t="s">
        <v>8</v>
      </c>
      <c r="D378" s="19" t="s">
        <v>658</v>
      </c>
      <c r="E378" s="4">
        <v>0.85</v>
      </c>
      <c r="F378" s="42">
        <v>2.75</v>
      </c>
      <c r="G378" s="45">
        <v>276</v>
      </c>
      <c r="H378" s="22">
        <v>2.1</v>
      </c>
      <c r="I378" s="6">
        <f t="shared" si="6"/>
        <v>1354.8150000000001</v>
      </c>
      <c r="J378" s="6" t="s">
        <v>2458</v>
      </c>
    </row>
    <row r="379" spans="1:10" ht="13.95" customHeight="1" x14ac:dyDescent="0.3">
      <c r="A379" s="3">
        <v>45954</v>
      </c>
      <c r="B379" s="3" t="s">
        <v>2592</v>
      </c>
      <c r="C379" s="19" t="s">
        <v>11</v>
      </c>
      <c r="D379" s="19" t="s">
        <v>14</v>
      </c>
      <c r="E379" s="4">
        <v>0.9</v>
      </c>
      <c r="F379" s="42">
        <v>3.2</v>
      </c>
      <c r="G379" s="45">
        <v>276</v>
      </c>
      <c r="H379" s="22">
        <v>2.1</v>
      </c>
      <c r="I379" s="6">
        <f t="shared" si="6"/>
        <v>1669.2480000000003</v>
      </c>
      <c r="J379" s="6" t="s">
        <v>1369</v>
      </c>
    </row>
    <row r="380" spans="1:10" ht="13.95" customHeight="1" x14ac:dyDescent="0.3">
      <c r="A380" s="3">
        <v>45955</v>
      </c>
      <c r="B380" s="3" t="s">
        <v>2592</v>
      </c>
      <c r="C380" s="19" t="s">
        <v>13</v>
      </c>
      <c r="D380" s="19" t="s">
        <v>14</v>
      </c>
      <c r="E380" s="4">
        <v>1</v>
      </c>
      <c r="F380" s="42">
        <v>3.95</v>
      </c>
      <c r="G380" s="45">
        <v>276</v>
      </c>
      <c r="H380" s="22">
        <v>2.1</v>
      </c>
      <c r="I380" s="6">
        <f t="shared" si="6"/>
        <v>2289.42</v>
      </c>
      <c r="J380" s="6" t="s">
        <v>2590</v>
      </c>
    </row>
    <row r="381" spans="1:10" ht="13.95" customHeight="1" x14ac:dyDescent="0.3">
      <c r="A381" s="3">
        <v>45956</v>
      </c>
      <c r="B381" s="3" t="s">
        <v>2592</v>
      </c>
      <c r="C381" s="19" t="s">
        <v>16</v>
      </c>
      <c r="D381" s="19" t="s">
        <v>14</v>
      </c>
      <c r="E381" s="4">
        <v>0.95</v>
      </c>
      <c r="F381" s="42">
        <v>3.5</v>
      </c>
      <c r="G381" s="45">
        <v>276</v>
      </c>
      <c r="H381" s="22">
        <v>2.1</v>
      </c>
      <c r="I381" s="6">
        <f t="shared" si="6"/>
        <v>1927.1699999999998</v>
      </c>
      <c r="J381" s="6" t="s">
        <v>159</v>
      </c>
    </row>
    <row r="382" spans="1:10" ht="13.95" customHeight="1" x14ac:dyDescent="0.3">
      <c r="A382" s="3">
        <v>45957</v>
      </c>
      <c r="B382" s="3" t="s">
        <v>2592</v>
      </c>
      <c r="C382" s="19" t="s">
        <v>18</v>
      </c>
      <c r="D382" s="19" t="s">
        <v>658</v>
      </c>
      <c r="E382" s="4">
        <v>0.75</v>
      </c>
      <c r="F382" s="42">
        <v>2.6</v>
      </c>
      <c r="G382" s="45">
        <v>276</v>
      </c>
      <c r="H382" s="22">
        <v>2.1</v>
      </c>
      <c r="I382" s="6">
        <f t="shared" si="6"/>
        <v>1130.2200000000003</v>
      </c>
      <c r="J382" s="6" t="s">
        <v>88</v>
      </c>
    </row>
    <row r="383" spans="1:10" ht="13.95" customHeight="1" x14ac:dyDescent="0.3">
      <c r="A383" s="3">
        <v>45958</v>
      </c>
      <c r="B383" s="3" t="s">
        <v>2592</v>
      </c>
      <c r="C383" s="19" t="s">
        <v>20</v>
      </c>
      <c r="D383" s="19" t="s">
        <v>658</v>
      </c>
      <c r="E383" s="4">
        <v>0.7</v>
      </c>
      <c r="F383" s="42">
        <v>2.5499999999999998</v>
      </c>
      <c r="G383" s="45">
        <v>276</v>
      </c>
      <c r="H383" s="22">
        <v>2.1</v>
      </c>
      <c r="I383" s="6">
        <f t="shared" si="6"/>
        <v>1034.5859999999998</v>
      </c>
      <c r="J383" s="6" t="s">
        <v>88</v>
      </c>
    </row>
    <row r="384" spans="1:10" ht="13.95" customHeight="1" x14ac:dyDescent="0.3">
      <c r="A384" s="3">
        <v>45959</v>
      </c>
      <c r="B384" s="3" t="s">
        <v>2592</v>
      </c>
      <c r="C384" s="19" t="s">
        <v>5</v>
      </c>
      <c r="D384" s="19" t="s">
        <v>658</v>
      </c>
      <c r="E384" s="4">
        <v>0.7</v>
      </c>
      <c r="F384" s="42">
        <v>2.6</v>
      </c>
      <c r="G384" s="45">
        <v>276</v>
      </c>
      <c r="H384" s="22">
        <v>2.1</v>
      </c>
      <c r="I384" s="6">
        <f t="shared" si="6"/>
        <v>1054.8720000000001</v>
      </c>
      <c r="J384" s="6" t="s">
        <v>2152</v>
      </c>
    </row>
    <row r="385" spans="1:10" ht="13.95" customHeight="1" x14ac:dyDescent="0.3">
      <c r="A385" s="3">
        <v>45960</v>
      </c>
      <c r="B385" s="3" t="s">
        <v>2592</v>
      </c>
      <c r="C385" s="19" t="s">
        <v>8</v>
      </c>
      <c r="D385" s="19" t="s">
        <v>658</v>
      </c>
      <c r="E385" s="4">
        <v>0.75</v>
      </c>
      <c r="F385" s="42">
        <v>2.75</v>
      </c>
      <c r="G385" s="45">
        <v>276</v>
      </c>
      <c r="H385" s="22">
        <v>2.1</v>
      </c>
      <c r="I385" s="6">
        <f t="shared" si="6"/>
        <v>1195.425</v>
      </c>
      <c r="J385" s="6" t="s">
        <v>2152</v>
      </c>
    </row>
    <row r="386" spans="1:10" ht="13.95" customHeight="1" x14ac:dyDescent="0.3">
      <c r="A386" s="3">
        <v>45961</v>
      </c>
      <c r="B386" s="3" t="s">
        <v>2592</v>
      </c>
      <c r="C386" s="19" t="s">
        <v>11</v>
      </c>
      <c r="D386" s="19" t="s">
        <v>2591</v>
      </c>
      <c r="E386" s="4">
        <v>0.9</v>
      </c>
      <c r="F386" s="42">
        <v>3.9</v>
      </c>
      <c r="G386" s="45">
        <v>276</v>
      </c>
      <c r="H386" s="22">
        <v>2.1</v>
      </c>
      <c r="I386" s="6">
        <f t="shared" si="6"/>
        <v>2034.396</v>
      </c>
      <c r="J386" s="6" t="s">
        <v>1711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2FE47-EE50-411E-B8F9-09F62CAD652C}">
  <sheetPr>
    <tabColor rgb="FFFFFF00"/>
  </sheetPr>
  <dimension ref="A1:J374"/>
  <sheetViews>
    <sheetView topLeftCell="A345" workbookViewId="0">
      <selection activeCell="F375" sqref="F375"/>
    </sheetView>
  </sheetViews>
  <sheetFormatPr baseColWidth="10" defaultRowHeight="14.4" x14ac:dyDescent="0.3"/>
  <cols>
    <col min="1" max="1" width="13.109375" bestFit="1" customWidth="1"/>
    <col min="2" max="2" width="33.6640625" customWidth="1"/>
    <col min="4" max="4" width="13.21875" bestFit="1" customWidth="1"/>
    <col min="8" max="8" width="13.33203125" customWidth="1"/>
    <col min="10" max="10" width="35.88671875" style="26" customWidth="1"/>
  </cols>
  <sheetData>
    <row r="1" spans="1:10" ht="28.2" thickBot="1" x14ac:dyDescent="0.35">
      <c r="A1" s="1" t="s">
        <v>333</v>
      </c>
      <c r="B1" s="1" t="s">
        <v>670</v>
      </c>
      <c r="C1" s="34" t="s">
        <v>0</v>
      </c>
      <c r="D1" s="34" t="s">
        <v>1</v>
      </c>
      <c r="E1" s="37" t="s">
        <v>2</v>
      </c>
      <c r="F1" s="43" t="s">
        <v>3</v>
      </c>
      <c r="G1" s="47" t="s">
        <v>359</v>
      </c>
      <c r="H1" s="35" t="s">
        <v>360</v>
      </c>
      <c r="I1" s="47" t="s">
        <v>361</v>
      </c>
      <c r="J1" s="25" t="s">
        <v>4</v>
      </c>
    </row>
    <row r="2" spans="1:10" ht="13.95" customHeight="1" x14ac:dyDescent="0.3">
      <c r="A2" s="3">
        <v>45658</v>
      </c>
      <c r="B2" s="19" t="s">
        <v>2708</v>
      </c>
      <c r="C2" s="19" t="s">
        <v>5</v>
      </c>
      <c r="D2" s="19" t="s">
        <v>735</v>
      </c>
      <c r="E2" s="4">
        <v>0.95</v>
      </c>
      <c r="F2" s="42">
        <v>3.8</v>
      </c>
      <c r="G2" s="45">
        <v>250</v>
      </c>
      <c r="H2" s="22">
        <v>1.9</v>
      </c>
      <c r="I2" s="6">
        <f t="shared" ref="I2:I60" si="0">(G2*E2)*F2*H2</f>
        <v>1714.75</v>
      </c>
      <c r="J2" s="7" t="s">
        <v>2190</v>
      </c>
    </row>
    <row r="3" spans="1:10" ht="13.95" customHeight="1" x14ac:dyDescent="0.3">
      <c r="A3" s="3">
        <v>45659</v>
      </c>
      <c r="B3" s="19" t="s">
        <v>2708</v>
      </c>
      <c r="C3" s="19" t="s">
        <v>8</v>
      </c>
      <c r="D3" s="19" t="s">
        <v>2176</v>
      </c>
      <c r="E3" s="4">
        <v>0.6</v>
      </c>
      <c r="F3" s="42">
        <v>2.2000000000000002</v>
      </c>
      <c r="G3" s="45">
        <v>250</v>
      </c>
      <c r="H3" s="22">
        <v>1.9</v>
      </c>
      <c r="I3" s="6">
        <f t="shared" si="0"/>
        <v>627</v>
      </c>
      <c r="J3" s="7" t="s">
        <v>1639</v>
      </c>
    </row>
    <row r="4" spans="1:10" ht="13.95" customHeight="1" x14ac:dyDescent="0.3">
      <c r="A4" s="3">
        <v>45660</v>
      </c>
      <c r="B4" s="19" t="s">
        <v>2708</v>
      </c>
      <c r="C4" s="19" t="s">
        <v>11</v>
      </c>
      <c r="D4" s="19" t="s">
        <v>14</v>
      </c>
      <c r="E4" s="4">
        <v>0.55000000000000004</v>
      </c>
      <c r="F4" s="42">
        <v>2.6</v>
      </c>
      <c r="G4" s="45">
        <v>250</v>
      </c>
      <c r="H4" s="22">
        <v>1.9</v>
      </c>
      <c r="I4" s="6">
        <f t="shared" si="0"/>
        <v>679.25</v>
      </c>
      <c r="J4" s="7" t="s">
        <v>2477</v>
      </c>
    </row>
    <row r="5" spans="1:10" ht="13.95" customHeight="1" x14ac:dyDescent="0.3">
      <c r="A5" s="3">
        <v>45661</v>
      </c>
      <c r="B5" s="19" t="s">
        <v>2708</v>
      </c>
      <c r="C5" s="19" t="s">
        <v>13</v>
      </c>
      <c r="D5" s="19" t="s">
        <v>14</v>
      </c>
      <c r="E5" s="4">
        <v>0.7</v>
      </c>
      <c r="F5" s="42">
        <v>3.1</v>
      </c>
      <c r="G5" s="45">
        <v>250</v>
      </c>
      <c r="H5" s="22">
        <v>1.9</v>
      </c>
      <c r="I5" s="6">
        <f t="shared" si="0"/>
        <v>1030.75</v>
      </c>
      <c r="J5" s="7" t="s">
        <v>2593</v>
      </c>
    </row>
    <row r="6" spans="1:10" ht="13.95" customHeight="1" x14ac:dyDescent="0.3">
      <c r="A6" s="3">
        <v>45662</v>
      </c>
      <c r="B6" s="19" t="s">
        <v>2708</v>
      </c>
      <c r="C6" s="19" t="s">
        <v>16</v>
      </c>
      <c r="D6" s="19" t="s">
        <v>14</v>
      </c>
      <c r="E6" s="4">
        <v>0.65</v>
      </c>
      <c r="F6" s="42">
        <v>2.9</v>
      </c>
      <c r="G6" s="45">
        <v>250</v>
      </c>
      <c r="H6" s="22">
        <v>1.9</v>
      </c>
      <c r="I6" s="6">
        <f t="shared" si="0"/>
        <v>895.375</v>
      </c>
      <c r="J6" s="7" t="s">
        <v>238</v>
      </c>
    </row>
    <row r="7" spans="1:10" ht="13.95" customHeight="1" x14ac:dyDescent="0.3">
      <c r="A7" s="3">
        <v>45663</v>
      </c>
      <c r="B7" s="19" t="s">
        <v>2708</v>
      </c>
      <c r="C7" s="19" t="s">
        <v>18</v>
      </c>
      <c r="D7" s="19" t="s">
        <v>2594</v>
      </c>
      <c r="E7" s="4">
        <v>0.5</v>
      </c>
      <c r="F7" s="42">
        <v>2.4</v>
      </c>
      <c r="G7" s="45">
        <v>250</v>
      </c>
      <c r="H7" s="22">
        <v>1.9</v>
      </c>
      <c r="I7" s="6">
        <f t="shared" si="0"/>
        <v>570</v>
      </c>
      <c r="J7" s="7" t="s">
        <v>2595</v>
      </c>
    </row>
    <row r="8" spans="1:10" ht="13.95" customHeight="1" x14ac:dyDescent="0.3">
      <c r="A8" s="3">
        <v>45664</v>
      </c>
      <c r="B8" s="19" t="s">
        <v>2708</v>
      </c>
      <c r="C8" s="19" t="s">
        <v>20</v>
      </c>
      <c r="D8" s="19" t="s">
        <v>2594</v>
      </c>
      <c r="E8" s="4">
        <v>0.5</v>
      </c>
      <c r="F8" s="42">
        <v>2.4</v>
      </c>
      <c r="G8" s="45">
        <v>250</v>
      </c>
      <c r="H8" s="22">
        <v>1.9</v>
      </c>
      <c r="I8" s="6">
        <f t="shared" si="0"/>
        <v>570</v>
      </c>
      <c r="J8" s="7" t="s">
        <v>2596</v>
      </c>
    </row>
    <row r="9" spans="1:10" ht="13.95" customHeight="1" x14ac:dyDescent="0.3">
      <c r="A9" s="3">
        <v>45665</v>
      </c>
      <c r="B9" s="19" t="s">
        <v>2708</v>
      </c>
      <c r="C9" s="19" t="s">
        <v>5</v>
      </c>
      <c r="D9" s="19" t="s">
        <v>2594</v>
      </c>
      <c r="E9" s="4">
        <v>0.55000000000000004</v>
      </c>
      <c r="F9" s="42">
        <v>2.4</v>
      </c>
      <c r="G9" s="45">
        <v>250</v>
      </c>
      <c r="H9" s="22">
        <v>1.9</v>
      </c>
      <c r="I9" s="6">
        <f t="shared" si="0"/>
        <v>627</v>
      </c>
      <c r="J9" s="7" t="s">
        <v>2597</v>
      </c>
    </row>
    <row r="10" spans="1:10" ht="13.95" customHeight="1" x14ac:dyDescent="0.3">
      <c r="A10" s="3">
        <v>45666</v>
      </c>
      <c r="B10" s="19" t="s">
        <v>2708</v>
      </c>
      <c r="C10" s="19" t="s">
        <v>8</v>
      </c>
      <c r="D10" s="19" t="s">
        <v>1263</v>
      </c>
      <c r="E10" s="4">
        <v>0.65</v>
      </c>
      <c r="F10" s="42">
        <v>2.5</v>
      </c>
      <c r="G10" s="45">
        <v>250</v>
      </c>
      <c r="H10" s="22">
        <v>1.9</v>
      </c>
      <c r="I10" s="6">
        <f t="shared" si="0"/>
        <v>771.875</v>
      </c>
      <c r="J10" s="7" t="s">
        <v>2569</v>
      </c>
    </row>
    <row r="11" spans="1:10" ht="13.95" customHeight="1" x14ac:dyDescent="0.3">
      <c r="A11" s="3">
        <v>45667</v>
      </c>
      <c r="B11" s="19" t="s">
        <v>2708</v>
      </c>
      <c r="C11" s="19" t="s">
        <v>11</v>
      </c>
      <c r="D11" s="19" t="s">
        <v>14</v>
      </c>
      <c r="E11" s="4">
        <v>0.6</v>
      </c>
      <c r="F11" s="42">
        <v>2.75</v>
      </c>
      <c r="G11" s="45">
        <v>250</v>
      </c>
      <c r="H11" s="22">
        <v>1.9</v>
      </c>
      <c r="I11" s="6">
        <f t="shared" si="0"/>
        <v>783.75</v>
      </c>
      <c r="J11" s="7" t="s">
        <v>282</v>
      </c>
    </row>
    <row r="12" spans="1:10" ht="13.95" customHeight="1" x14ac:dyDescent="0.3">
      <c r="A12" s="3">
        <v>45668</v>
      </c>
      <c r="B12" s="19" t="s">
        <v>2708</v>
      </c>
      <c r="C12" s="19" t="s">
        <v>13</v>
      </c>
      <c r="D12" s="19" t="s">
        <v>14</v>
      </c>
      <c r="E12" s="4">
        <v>0.75</v>
      </c>
      <c r="F12" s="42">
        <v>3.2</v>
      </c>
      <c r="G12" s="45">
        <v>250</v>
      </c>
      <c r="H12" s="22">
        <v>1.9</v>
      </c>
      <c r="I12" s="6">
        <f t="shared" si="0"/>
        <v>1140</v>
      </c>
      <c r="J12" s="7" t="s">
        <v>2598</v>
      </c>
    </row>
    <row r="13" spans="1:10" ht="13.95" customHeight="1" x14ac:dyDescent="0.3">
      <c r="A13" s="3">
        <v>45669</v>
      </c>
      <c r="B13" s="19" t="s">
        <v>2708</v>
      </c>
      <c r="C13" s="19" t="s">
        <v>16</v>
      </c>
      <c r="D13" s="19" t="s">
        <v>14</v>
      </c>
      <c r="E13" s="4">
        <v>0.7</v>
      </c>
      <c r="F13" s="42">
        <v>2.95</v>
      </c>
      <c r="G13" s="45">
        <v>250</v>
      </c>
      <c r="H13" s="22">
        <v>1.9</v>
      </c>
      <c r="I13" s="6">
        <f t="shared" si="0"/>
        <v>980.875</v>
      </c>
      <c r="J13" s="7" t="s">
        <v>69</v>
      </c>
    </row>
    <row r="14" spans="1:10" ht="13.95" customHeight="1" x14ac:dyDescent="0.3">
      <c r="A14" s="3">
        <v>45670</v>
      </c>
      <c r="B14" s="19" t="s">
        <v>2708</v>
      </c>
      <c r="C14" s="19" t="s">
        <v>18</v>
      </c>
      <c r="D14" s="19" t="s">
        <v>2015</v>
      </c>
      <c r="E14" s="4">
        <v>0.45</v>
      </c>
      <c r="F14" s="42">
        <v>2.15</v>
      </c>
      <c r="G14" s="45">
        <v>250</v>
      </c>
      <c r="H14" s="22">
        <v>1.9</v>
      </c>
      <c r="I14" s="6">
        <f t="shared" si="0"/>
        <v>459.5625</v>
      </c>
      <c r="J14" s="7" t="s">
        <v>2310</v>
      </c>
    </row>
    <row r="15" spans="1:10" ht="13.95" customHeight="1" x14ac:dyDescent="0.3">
      <c r="A15" s="3">
        <v>45671</v>
      </c>
      <c r="B15" s="19" t="s">
        <v>2708</v>
      </c>
      <c r="C15" s="19" t="s">
        <v>20</v>
      </c>
      <c r="D15" s="19" t="s">
        <v>1269</v>
      </c>
      <c r="E15" s="4">
        <v>0.75</v>
      </c>
      <c r="F15" s="42">
        <v>3.3</v>
      </c>
      <c r="G15" s="45">
        <v>250</v>
      </c>
      <c r="H15" s="22">
        <v>1.9</v>
      </c>
      <c r="I15" s="6">
        <f t="shared" si="0"/>
        <v>1175.625</v>
      </c>
      <c r="J15" s="7" t="s">
        <v>2401</v>
      </c>
    </row>
    <row r="16" spans="1:10" ht="13.95" customHeight="1" x14ac:dyDescent="0.3">
      <c r="A16" s="3">
        <v>45672</v>
      </c>
      <c r="B16" s="19" t="s">
        <v>2708</v>
      </c>
      <c r="C16" s="19" t="s">
        <v>5</v>
      </c>
      <c r="D16" s="19" t="s">
        <v>1263</v>
      </c>
      <c r="E16" s="4">
        <v>0.6</v>
      </c>
      <c r="F16" s="42">
        <v>2.4500000000000002</v>
      </c>
      <c r="G16" s="45">
        <v>250</v>
      </c>
      <c r="H16" s="22">
        <v>1.9</v>
      </c>
      <c r="I16" s="6">
        <f t="shared" si="0"/>
        <v>698.25</v>
      </c>
      <c r="J16" s="7" t="s">
        <v>65</v>
      </c>
    </row>
    <row r="17" spans="1:10" ht="13.95" customHeight="1" x14ac:dyDescent="0.3">
      <c r="A17" s="3">
        <v>45673</v>
      </c>
      <c r="B17" s="19" t="s">
        <v>2708</v>
      </c>
      <c r="C17" s="19" t="s">
        <v>8</v>
      </c>
      <c r="D17" s="19" t="s">
        <v>1263</v>
      </c>
      <c r="E17" s="4">
        <v>0.6</v>
      </c>
      <c r="F17" s="42">
        <v>2.4500000000000002</v>
      </c>
      <c r="G17" s="45">
        <v>250</v>
      </c>
      <c r="H17" s="22">
        <v>1.9</v>
      </c>
      <c r="I17" s="6">
        <f t="shared" si="0"/>
        <v>698.25</v>
      </c>
      <c r="J17" s="7" t="s">
        <v>65</v>
      </c>
    </row>
    <row r="18" spans="1:10" ht="13.95" customHeight="1" x14ac:dyDescent="0.3">
      <c r="A18" s="3">
        <v>45674</v>
      </c>
      <c r="B18" s="19" t="s">
        <v>2708</v>
      </c>
      <c r="C18" s="19" t="s">
        <v>11</v>
      </c>
      <c r="D18" s="19" t="s">
        <v>14</v>
      </c>
      <c r="E18" s="4">
        <v>0.65</v>
      </c>
      <c r="F18" s="42">
        <v>2.8</v>
      </c>
      <c r="G18" s="45">
        <v>250</v>
      </c>
      <c r="H18" s="22">
        <v>1.9</v>
      </c>
      <c r="I18" s="6">
        <f t="shared" si="0"/>
        <v>864.49999999999989</v>
      </c>
      <c r="J18" s="7" t="s">
        <v>97</v>
      </c>
    </row>
    <row r="19" spans="1:10" ht="13.95" customHeight="1" x14ac:dyDescent="0.3">
      <c r="A19" s="3">
        <v>45675</v>
      </c>
      <c r="B19" s="19" t="s">
        <v>2708</v>
      </c>
      <c r="C19" s="19" t="s">
        <v>13</v>
      </c>
      <c r="D19" s="19" t="s">
        <v>14</v>
      </c>
      <c r="E19" s="4">
        <v>0.8</v>
      </c>
      <c r="F19" s="42">
        <v>3.35</v>
      </c>
      <c r="G19" s="45">
        <v>250</v>
      </c>
      <c r="H19" s="22">
        <v>1.9</v>
      </c>
      <c r="I19" s="6">
        <f t="shared" si="0"/>
        <v>1273</v>
      </c>
      <c r="J19" s="7" t="s">
        <v>2393</v>
      </c>
    </row>
    <row r="20" spans="1:10" ht="13.95" customHeight="1" x14ac:dyDescent="0.3">
      <c r="A20" s="3">
        <v>45676</v>
      </c>
      <c r="B20" s="19" t="s">
        <v>2708</v>
      </c>
      <c r="C20" s="19" t="s">
        <v>16</v>
      </c>
      <c r="D20" s="19" t="s">
        <v>14</v>
      </c>
      <c r="E20" s="4">
        <v>0.75</v>
      </c>
      <c r="F20" s="42">
        <v>3</v>
      </c>
      <c r="G20" s="45">
        <v>250</v>
      </c>
      <c r="H20" s="22">
        <v>1.9</v>
      </c>
      <c r="I20" s="6">
        <f t="shared" si="0"/>
        <v>1068.75</v>
      </c>
      <c r="J20" s="7" t="s">
        <v>69</v>
      </c>
    </row>
    <row r="21" spans="1:10" ht="13.95" customHeight="1" x14ac:dyDescent="0.3">
      <c r="A21" s="3">
        <v>45677</v>
      </c>
      <c r="B21" s="19" t="s">
        <v>2708</v>
      </c>
      <c r="C21" s="19" t="s">
        <v>18</v>
      </c>
      <c r="D21" s="19" t="s">
        <v>2594</v>
      </c>
      <c r="E21" s="4">
        <v>0.5</v>
      </c>
      <c r="F21" s="42">
        <v>2.4500000000000002</v>
      </c>
      <c r="G21" s="45">
        <v>250</v>
      </c>
      <c r="H21" s="22">
        <v>1.9</v>
      </c>
      <c r="I21" s="6">
        <f t="shared" si="0"/>
        <v>581.875</v>
      </c>
      <c r="J21" s="7" t="s">
        <v>2599</v>
      </c>
    </row>
    <row r="22" spans="1:10" ht="13.95" customHeight="1" x14ac:dyDescent="0.3">
      <c r="A22" s="3">
        <v>45678</v>
      </c>
      <c r="B22" s="19" t="s">
        <v>2708</v>
      </c>
      <c r="C22" s="19" t="s">
        <v>20</v>
      </c>
      <c r="D22" s="19" t="s">
        <v>2594</v>
      </c>
      <c r="E22" s="4">
        <v>0.5</v>
      </c>
      <c r="F22" s="42">
        <v>2.4500000000000002</v>
      </c>
      <c r="G22" s="45">
        <v>250</v>
      </c>
      <c r="H22" s="22">
        <v>1.9</v>
      </c>
      <c r="I22" s="6">
        <f t="shared" si="0"/>
        <v>581.875</v>
      </c>
      <c r="J22" s="7" t="s">
        <v>88</v>
      </c>
    </row>
    <row r="23" spans="1:10" ht="13.95" customHeight="1" x14ac:dyDescent="0.3">
      <c r="A23" s="3">
        <v>45679</v>
      </c>
      <c r="B23" s="19" t="s">
        <v>2708</v>
      </c>
      <c r="C23" s="19" t="s">
        <v>5</v>
      </c>
      <c r="D23" s="19" t="s">
        <v>2594</v>
      </c>
      <c r="E23" s="4">
        <v>0.5</v>
      </c>
      <c r="F23" s="42">
        <v>2.4</v>
      </c>
      <c r="G23" s="45">
        <v>250</v>
      </c>
      <c r="H23" s="22">
        <v>1.9</v>
      </c>
      <c r="I23" s="6">
        <f t="shared" si="0"/>
        <v>570</v>
      </c>
      <c r="J23" s="7" t="s">
        <v>88</v>
      </c>
    </row>
    <row r="24" spans="1:10" ht="13.95" customHeight="1" x14ac:dyDescent="0.3">
      <c r="A24" s="3">
        <v>45680</v>
      </c>
      <c r="B24" s="19" t="s">
        <v>2708</v>
      </c>
      <c r="C24" s="19" t="s">
        <v>8</v>
      </c>
      <c r="D24" s="19" t="s">
        <v>1263</v>
      </c>
      <c r="E24" s="4">
        <v>0.65</v>
      </c>
      <c r="F24" s="42">
        <v>2.5</v>
      </c>
      <c r="G24" s="45">
        <v>250</v>
      </c>
      <c r="H24" s="22">
        <v>1.9</v>
      </c>
      <c r="I24" s="6">
        <f t="shared" si="0"/>
        <v>771.875</v>
      </c>
      <c r="J24" s="7" t="s">
        <v>2569</v>
      </c>
    </row>
    <row r="25" spans="1:10" ht="13.95" customHeight="1" x14ac:dyDescent="0.3">
      <c r="A25" s="3">
        <v>45681</v>
      </c>
      <c r="B25" s="19" t="s">
        <v>2708</v>
      </c>
      <c r="C25" s="19" t="s">
        <v>11</v>
      </c>
      <c r="D25" s="19" t="s">
        <v>14</v>
      </c>
      <c r="E25" s="4">
        <v>0.65</v>
      </c>
      <c r="F25" s="42">
        <v>2.8</v>
      </c>
      <c r="G25" s="45">
        <v>250</v>
      </c>
      <c r="H25" s="22">
        <v>1.9</v>
      </c>
      <c r="I25" s="6">
        <f t="shared" si="0"/>
        <v>864.49999999999989</v>
      </c>
      <c r="J25" s="7" t="s">
        <v>97</v>
      </c>
    </row>
    <row r="26" spans="1:10" ht="13.95" customHeight="1" x14ac:dyDescent="0.3">
      <c r="A26" s="3">
        <v>45682</v>
      </c>
      <c r="B26" s="19" t="s">
        <v>2708</v>
      </c>
      <c r="C26" s="19" t="s">
        <v>13</v>
      </c>
      <c r="D26" s="19" t="s">
        <v>14</v>
      </c>
      <c r="E26" s="4">
        <v>0.85</v>
      </c>
      <c r="F26" s="42">
        <v>3.5</v>
      </c>
      <c r="G26" s="45">
        <v>250</v>
      </c>
      <c r="H26" s="22">
        <v>1.9</v>
      </c>
      <c r="I26" s="6">
        <f t="shared" si="0"/>
        <v>1413.125</v>
      </c>
      <c r="J26" s="7" t="s">
        <v>2600</v>
      </c>
    </row>
    <row r="27" spans="1:10" ht="13.95" customHeight="1" x14ac:dyDescent="0.3">
      <c r="A27" s="3">
        <v>45683</v>
      </c>
      <c r="B27" s="19" t="s">
        <v>2708</v>
      </c>
      <c r="C27" s="19" t="s">
        <v>16</v>
      </c>
      <c r="D27" s="19" t="s">
        <v>14</v>
      </c>
      <c r="E27" s="4">
        <v>0.8</v>
      </c>
      <c r="F27" s="42">
        <v>3.1</v>
      </c>
      <c r="G27" s="45">
        <v>250</v>
      </c>
      <c r="H27" s="22">
        <v>1.9</v>
      </c>
      <c r="I27" s="6">
        <f t="shared" si="0"/>
        <v>1178</v>
      </c>
      <c r="J27" s="7" t="s">
        <v>69</v>
      </c>
    </row>
    <row r="28" spans="1:10" ht="13.95" customHeight="1" x14ac:dyDescent="0.3">
      <c r="A28" s="3">
        <v>45684</v>
      </c>
      <c r="B28" s="19" t="s">
        <v>2708</v>
      </c>
      <c r="C28" s="19" t="s">
        <v>18</v>
      </c>
      <c r="D28" s="19" t="s">
        <v>2015</v>
      </c>
      <c r="E28" s="4">
        <v>0.45</v>
      </c>
      <c r="F28" s="42">
        <v>2.15</v>
      </c>
      <c r="G28" s="45">
        <v>250</v>
      </c>
      <c r="H28" s="22">
        <v>1.9</v>
      </c>
      <c r="I28" s="6">
        <f t="shared" si="0"/>
        <v>459.5625</v>
      </c>
      <c r="J28" s="7" t="s">
        <v>272</v>
      </c>
    </row>
    <row r="29" spans="1:10" ht="13.95" customHeight="1" x14ac:dyDescent="0.3">
      <c r="A29" s="3">
        <v>45685</v>
      </c>
      <c r="B29" s="19" t="s">
        <v>2708</v>
      </c>
      <c r="C29" s="19" t="s">
        <v>20</v>
      </c>
      <c r="D29" s="19" t="s">
        <v>2015</v>
      </c>
      <c r="E29" s="4">
        <v>0.45</v>
      </c>
      <c r="F29" s="42">
        <v>2.15</v>
      </c>
      <c r="G29" s="45">
        <v>250</v>
      </c>
      <c r="H29" s="22">
        <v>1.9</v>
      </c>
      <c r="I29" s="6">
        <f t="shared" si="0"/>
        <v>459.5625</v>
      </c>
      <c r="J29" s="7" t="s">
        <v>272</v>
      </c>
    </row>
    <row r="30" spans="1:10" ht="13.95" customHeight="1" x14ac:dyDescent="0.3">
      <c r="A30" s="3">
        <v>45686</v>
      </c>
      <c r="B30" s="19" t="s">
        <v>2708</v>
      </c>
      <c r="C30" s="19" t="s">
        <v>5</v>
      </c>
      <c r="D30" s="19" t="s">
        <v>2015</v>
      </c>
      <c r="E30" s="4">
        <v>0.5</v>
      </c>
      <c r="F30" s="42">
        <v>2.2000000000000002</v>
      </c>
      <c r="G30" s="45">
        <v>250</v>
      </c>
      <c r="H30" s="22">
        <v>1.9</v>
      </c>
      <c r="I30" s="6">
        <f t="shared" si="0"/>
        <v>522.5</v>
      </c>
      <c r="J30" s="7" t="s">
        <v>88</v>
      </c>
    </row>
    <row r="31" spans="1:10" ht="13.95" customHeight="1" x14ac:dyDescent="0.3">
      <c r="A31" s="3">
        <v>45687</v>
      </c>
      <c r="B31" s="19" t="s">
        <v>2708</v>
      </c>
      <c r="C31" s="19" t="s">
        <v>8</v>
      </c>
      <c r="D31" s="19" t="s">
        <v>1263</v>
      </c>
      <c r="E31" s="4">
        <v>0.6</v>
      </c>
      <c r="F31" s="42">
        <v>2.5</v>
      </c>
      <c r="G31" s="45">
        <v>250</v>
      </c>
      <c r="H31" s="22">
        <v>1.9</v>
      </c>
      <c r="I31" s="6">
        <f t="shared" si="0"/>
        <v>712.5</v>
      </c>
      <c r="J31" s="7" t="s">
        <v>65</v>
      </c>
    </row>
    <row r="32" spans="1:10" ht="13.95" customHeight="1" x14ac:dyDescent="0.3">
      <c r="A32" s="3">
        <v>45688</v>
      </c>
      <c r="B32" s="19" t="s">
        <v>2708</v>
      </c>
      <c r="C32" s="19" t="s">
        <v>11</v>
      </c>
      <c r="D32" s="19" t="s">
        <v>14</v>
      </c>
      <c r="E32" s="4">
        <v>0.7</v>
      </c>
      <c r="F32" s="42">
        <v>2.85</v>
      </c>
      <c r="G32" s="45">
        <v>250</v>
      </c>
      <c r="H32" s="22">
        <v>1.9</v>
      </c>
      <c r="I32" s="6">
        <f t="shared" si="0"/>
        <v>947.625</v>
      </c>
      <c r="J32" s="7" t="s">
        <v>99</v>
      </c>
    </row>
    <row r="33" spans="1:10" ht="13.95" customHeight="1" x14ac:dyDescent="0.3">
      <c r="A33" s="3">
        <v>45689</v>
      </c>
      <c r="B33" s="19" t="s">
        <v>2708</v>
      </c>
      <c r="C33" s="19" t="s">
        <v>13</v>
      </c>
      <c r="D33" s="19" t="s">
        <v>14</v>
      </c>
      <c r="E33" s="4">
        <v>0.75</v>
      </c>
      <c r="F33" s="42">
        <v>3.25</v>
      </c>
      <c r="G33" s="45">
        <v>250</v>
      </c>
      <c r="H33" s="22">
        <v>1.9</v>
      </c>
      <c r="I33" s="6">
        <f t="shared" si="0"/>
        <v>1157.8125</v>
      </c>
      <c r="J33" s="7" t="s">
        <v>282</v>
      </c>
    </row>
    <row r="34" spans="1:10" ht="13.95" customHeight="1" x14ac:dyDescent="0.3">
      <c r="A34" s="3">
        <v>45690</v>
      </c>
      <c r="B34" s="19" t="s">
        <v>2708</v>
      </c>
      <c r="C34" s="19" t="s">
        <v>16</v>
      </c>
      <c r="D34" s="19" t="s">
        <v>14</v>
      </c>
      <c r="E34" s="4">
        <v>0.7</v>
      </c>
      <c r="F34" s="42">
        <v>2.95</v>
      </c>
      <c r="G34" s="45">
        <v>250</v>
      </c>
      <c r="H34" s="22">
        <v>1.9</v>
      </c>
      <c r="I34" s="6">
        <f t="shared" si="0"/>
        <v>980.875</v>
      </c>
      <c r="J34" s="7" t="s">
        <v>238</v>
      </c>
    </row>
    <row r="35" spans="1:10" ht="13.95" customHeight="1" x14ac:dyDescent="0.3">
      <c r="A35" s="3">
        <v>45691</v>
      </c>
      <c r="B35" s="19" t="s">
        <v>2708</v>
      </c>
      <c r="C35" s="19" t="s">
        <v>18</v>
      </c>
      <c r="D35" s="19" t="s">
        <v>2601</v>
      </c>
      <c r="E35" s="4">
        <v>0.55000000000000004</v>
      </c>
      <c r="F35" s="42">
        <v>2.4</v>
      </c>
      <c r="G35" s="45">
        <v>250</v>
      </c>
      <c r="H35" s="22">
        <v>1.9</v>
      </c>
      <c r="I35" s="6">
        <f t="shared" si="0"/>
        <v>627</v>
      </c>
      <c r="J35" s="7" t="s">
        <v>2602</v>
      </c>
    </row>
    <row r="36" spans="1:10" ht="13.95" customHeight="1" x14ac:dyDescent="0.3">
      <c r="A36" s="3">
        <v>45692</v>
      </c>
      <c r="B36" s="19" t="s">
        <v>2708</v>
      </c>
      <c r="C36" s="19" t="s">
        <v>20</v>
      </c>
      <c r="D36" s="19" t="s">
        <v>2601</v>
      </c>
      <c r="E36" s="4">
        <v>0.55000000000000004</v>
      </c>
      <c r="F36" s="42">
        <v>2.4</v>
      </c>
      <c r="G36" s="45">
        <v>250</v>
      </c>
      <c r="H36" s="22">
        <v>1.9</v>
      </c>
      <c r="I36" s="6">
        <f t="shared" si="0"/>
        <v>627</v>
      </c>
      <c r="J36" s="7" t="s">
        <v>2603</v>
      </c>
    </row>
    <row r="37" spans="1:10" ht="13.95" customHeight="1" x14ac:dyDescent="0.3">
      <c r="A37" s="3">
        <v>45693</v>
      </c>
      <c r="B37" s="19" t="s">
        <v>2708</v>
      </c>
      <c r="C37" s="19" t="s">
        <v>5</v>
      </c>
      <c r="D37" s="19" t="s">
        <v>2601</v>
      </c>
      <c r="E37" s="4">
        <v>0.6</v>
      </c>
      <c r="F37" s="42">
        <v>2.4</v>
      </c>
      <c r="G37" s="45">
        <v>250</v>
      </c>
      <c r="H37" s="22">
        <v>1.9</v>
      </c>
      <c r="I37" s="6">
        <f t="shared" si="0"/>
        <v>684</v>
      </c>
      <c r="J37" s="7" t="s">
        <v>2603</v>
      </c>
    </row>
    <row r="38" spans="1:10" ht="13.95" customHeight="1" x14ac:dyDescent="0.3">
      <c r="A38" s="3">
        <v>45694</v>
      </c>
      <c r="B38" s="19" t="s">
        <v>2708</v>
      </c>
      <c r="C38" s="19" t="s">
        <v>8</v>
      </c>
      <c r="D38" s="19" t="s">
        <v>1263</v>
      </c>
      <c r="E38" s="4">
        <v>0.65</v>
      </c>
      <c r="F38" s="42">
        <v>2.4500000000000002</v>
      </c>
      <c r="G38" s="45">
        <v>250</v>
      </c>
      <c r="H38" s="22">
        <v>1.9</v>
      </c>
      <c r="I38" s="6">
        <f t="shared" si="0"/>
        <v>756.43750000000011</v>
      </c>
      <c r="J38" s="7" t="s">
        <v>1376</v>
      </c>
    </row>
    <row r="39" spans="1:10" ht="13.95" customHeight="1" x14ac:dyDescent="0.3">
      <c r="A39" s="3">
        <v>45695</v>
      </c>
      <c r="B39" s="19" t="s">
        <v>2708</v>
      </c>
      <c r="C39" s="19" t="s">
        <v>11</v>
      </c>
      <c r="D39" s="19" t="s">
        <v>14</v>
      </c>
      <c r="E39" s="4">
        <v>0.65</v>
      </c>
      <c r="F39" s="42">
        <v>2.8</v>
      </c>
      <c r="G39" s="45">
        <v>250</v>
      </c>
      <c r="H39" s="22">
        <v>1.9</v>
      </c>
      <c r="I39" s="6">
        <f t="shared" si="0"/>
        <v>864.49999999999989</v>
      </c>
      <c r="J39" s="7" t="s">
        <v>282</v>
      </c>
    </row>
    <row r="40" spans="1:10" ht="13.95" customHeight="1" x14ac:dyDescent="0.3">
      <c r="A40" s="3">
        <v>45696</v>
      </c>
      <c r="B40" s="19" t="s">
        <v>2708</v>
      </c>
      <c r="C40" s="19" t="s">
        <v>13</v>
      </c>
      <c r="D40" s="19" t="s">
        <v>14</v>
      </c>
      <c r="E40" s="4">
        <v>0.85</v>
      </c>
      <c r="F40" s="42">
        <v>3.45</v>
      </c>
      <c r="G40" s="45">
        <v>250</v>
      </c>
      <c r="H40" s="22">
        <v>1.9</v>
      </c>
      <c r="I40" s="6">
        <f t="shared" si="0"/>
        <v>1392.9375</v>
      </c>
      <c r="J40" s="7" t="s">
        <v>2598</v>
      </c>
    </row>
    <row r="41" spans="1:10" ht="13.95" customHeight="1" x14ac:dyDescent="0.3">
      <c r="A41" s="3">
        <v>45697</v>
      </c>
      <c r="B41" s="19" t="s">
        <v>2708</v>
      </c>
      <c r="C41" s="19" t="s">
        <v>16</v>
      </c>
      <c r="D41" s="19" t="s">
        <v>14</v>
      </c>
      <c r="E41" s="4">
        <v>0.75</v>
      </c>
      <c r="F41" s="42">
        <v>3.1</v>
      </c>
      <c r="G41" s="45">
        <v>250</v>
      </c>
      <c r="H41" s="22">
        <v>1.9</v>
      </c>
      <c r="I41" s="6">
        <f t="shared" si="0"/>
        <v>1104.375</v>
      </c>
      <c r="J41" s="7" t="s">
        <v>69</v>
      </c>
    </row>
    <row r="42" spans="1:10" ht="13.95" customHeight="1" x14ac:dyDescent="0.3">
      <c r="A42" s="3">
        <v>45698</v>
      </c>
      <c r="B42" s="19" t="s">
        <v>2708</v>
      </c>
      <c r="C42" s="19" t="s">
        <v>18</v>
      </c>
      <c r="D42" s="19" t="s">
        <v>9</v>
      </c>
      <c r="E42" s="4">
        <v>0.5</v>
      </c>
      <c r="F42" s="42">
        <v>2.15</v>
      </c>
      <c r="G42" s="45">
        <v>250</v>
      </c>
      <c r="H42" s="22">
        <v>1.9</v>
      </c>
      <c r="I42" s="6">
        <f t="shared" si="0"/>
        <v>510.625</v>
      </c>
      <c r="J42" s="7" t="s">
        <v>2604</v>
      </c>
    </row>
    <row r="43" spans="1:10" ht="13.95" customHeight="1" x14ac:dyDescent="0.3">
      <c r="A43" s="3">
        <v>45699</v>
      </c>
      <c r="B43" s="19" t="s">
        <v>2708</v>
      </c>
      <c r="C43" s="19" t="s">
        <v>20</v>
      </c>
      <c r="D43" s="19" t="s">
        <v>9</v>
      </c>
      <c r="E43" s="4">
        <v>0.5</v>
      </c>
      <c r="F43" s="42">
        <v>2.15</v>
      </c>
      <c r="G43" s="45">
        <v>250</v>
      </c>
      <c r="H43" s="22">
        <v>1.9</v>
      </c>
      <c r="I43" s="6">
        <f t="shared" si="0"/>
        <v>510.625</v>
      </c>
      <c r="J43" s="7" t="s">
        <v>2604</v>
      </c>
    </row>
    <row r="44" spans="1:10" ht="13.95" customHeight="1" x14ac:dyDescent="0.3">
      <c r="A44" s="3">
        <v>45700</v>
      </c>
      <c r="B44" s="19" t="s">
        <v>2708</v>
      </c>
      <c r="C44" s="19" t="s">
        <v>5</v>
      </c>
      <c r="D44" s="19" t="s">
        <v>9</v>
      </c>
      <c r="E44" s="4">
        <v>0.6</v>
      </c>
      <c r="F44" s="42">
        <v>2.2999999999999998</v>
      </c>
      <c r="G44" s="45">
        <v>250</v>
      </c>
      <c r="H44" s="22">
        <v>1.9</v>
      </c>
      <c r="I44" s="6">
        <f t="shared" si="0"/>
        <v>655.5</v>
      </c>
      <c r="J44" s="7" t="s">
        <v>1587</v>
      </c>
    </row>
    <row r="45" spans="1:10" ht="13.95" customHeight="1" x14ac:dyDescent="0.3">
      <c r="A45" s="3">
        <v>45701</v>
      </c>
      <c r="B45" s="19" t="s">
        <v>2708</v>
      </c>
      <c r="C45" s="19" t="s">
        <v>8</v>
      </c>
      <c r="D45" s="19" t="s">
        <v>843</v>
      </c>
      <c r="E45" s="4">
        <v>0.75</v>
      </c>
      <c r="F45" s="42">
        <v>2.6</v>
      </c>
      <c r="G45" s="45">
        <v>250</v>
      </c>
      <c r="H45" s="22">
        <v>1.9</v>
      </c>
      <c r="I45" s="6">
        <f t="shared" si="0"/>
        <v>926.25</v>
      </c>
      <c r="J45" s="7" t="s">
        <v>1498</v>
      </c>
    </row>
    <row r="46" spans="1:10" ht="13.95" customHeight="1" x14ac:dyDescent="0.3">
      <c r="A46" s="3">
        <v>45702</v>
      </c>
      <c r="B46" s="19" t="s">
        <v>2708</v>
      </c>
      <c r="C46" s="19" t="s">
        <v>11</v>
      </c>
      <c r="D46" s="19" t="s">
        <v>2488</v>
      </c>
      <c r="E46" s="4">
        <v>0.95</v>
      </c>
      <c r="F46" s="42">
        <v>3.85</v>
      </c>
      <c r="G46" s="45">
        <v>250</v>
      </c>
      <c r="H46" s="22">
        <v>1.9</v>
      </c>
      <c r="I46" s="6">
        <f t="shared" si="0"/>
        <v>1737.3125</v>
      </c>
      <c r="J46" s="7" t="s">
        <v>2605</v>
      </c>
    </row>
    <row r="47" spans="1:10" ht="13.95" customHeight="1" x14ac:dyDescent="0.3">
      <c r="A47" s="3">
        <v>45703</v>
      </c>
      <c r="B47" s="19" t="s">
        <v>2708</v>
      </c>
      <c r="C47" s="19" t="s">
        <v>13</v>
      </c>
      <c r="D47" s="19" t="s">
        <v>14</v>
      </c>
      <c r="E47" s="4">
        <v>1</v>
      </c>
      <c r="F47" s="42">
        <v>3.6</v>
      </c>
      <c r="G47" s="45">
        <v>250</v>
      </c>
      <c r="H47" s="22">
        <v>1.9</v>
      </c>
      <c r="I47" s="6">
        <f t="shared" si="0"/>
        <v>1710</v>
      </c>
      <c r="J47" s="7" t="s">
        <v>2606</v>
      </c>
    </row>
    <row r="48" spans="1:10" ht="13.95" customHeight="1" x14ac:dyDescent="0.3">
      <c r="A48" s="3">
        <v>45704</v>
      </c>
      <c r="B48" s="19" t="s">
        <v>2708</v>
      </c>
      <c r="C48" s="19" t="s">
        <v>16</v>
      </c>
      <c r="D48" s="19" t="s">
        <v>14</v>
      </c>
      <c r="E48" s="4">
        <v>0.9</v>
      </c>
      <c r="F48" s="42">
        <v>3.2</v>
      </c>
      <c r="G48" s="45">
        <v>250</v>
      </c>
      <c r="H48" s="22">
        <v>1.9</v>
      </c>
      <c r="I48" s="6">
        <f t="shared" si="0"/>
        <v>1368</v>
      </c>
      <c r="J48" s="7" t="s">
        <v>559</v>
      </c>
    </row>
    <row r="49" spans="1:10" ht="13.95" customHeight="1" x14ac:dyDescent="0.3">
      <c r="A49" s="3">
        <v>45705</v>
      </c>
      <c r="B49" s="19" t="s">
        <v>2708</v>
      </c>
      <c r="C49" s="19" t="s">
        <v>18</v>
      </c>
      <c r="D49" s="19" t="s">
        <v>658</v>
      </c>
      <c r="E49" s="4">
        <v>0.7</v>
      </c>
      <c r="F49" s="42">
        <v>2.65</v>
      </c>
      <c r="G49" s="45">
        <v>250</v>
      </c>
      <c r="H49" s="22">
        <v>1.9</v>
      </c>
      <c r="I49" s="6">
        <f t="shared" si="0"/>
        <v>881.125</v>
      </c>
      <c r="J49" s="7" t="s">
        <v>2607</v>
      </c>
    </row>
    <row r="50" spans="1:10" ht="13.95" customHeight="1" x14ac:dyDescent="0.3">
      <c r="A50" s="3">
        <v>45706</v>
      </c>
      <c r="B50" s="19" t="s">
        <v>2708</v>
      </c>
      <c r="C50" s="19" t="s">
        <v>20</v>
      </c>
      <c r="D50" s="19" t="s">
        <v>658</v>
      </c>
      <c r="E50" s="4">
        <v>0.7</v>
      </c>
      <c r="F50" s="42">
        <v>2.65</v>
      </c>
      <c r="G50" s="45">
        <v>250</v>
      </c>
      <c r="H50" s="22">
        <v>1.9</v>
      </c>
      <c r="I50" s="6">
        <f t="shared" si="0"/>
        <v>881.125</v>
      </c>
      <c r="J50" s="7" t="s">
        <v>1721</v>
      </c>
    </row>
    <row r="51" spans="1:10" ht="13.95" customHeight="1" x14ac:dyDescent="0.3">
      <c r="A51" s="3">
        <v>45707</v>
      </c>
      <c r="B51" s="19" t="s">
        <v>2708</v>
      </c>
      <c r="C51" s="19" t="s">
        <v>5</v>
      </c>
      <c r="D51" s="19" t="s">
        <v>658</v>
      </c>
      <c r="E51" s="4">
        <v>0.75</v>
      </c>
      <c r="F51" s="42">
        <v>2.7</v>
      </c>
      <c r="G51" s="45">
        <v>250</v>
      </c>
      <c r="H51" s="22">
        <v>1.9</v>
      </c>
      <c r="I51" s="6">
        <f t="shared" si="0"/>
        <v>961.87500000000011</v>
      </c>
      <c r="J51" s="7" t="s">
        <v>1721</v>
      </c>
    </row>
    <row r="52" spans="1:10" ht="13.95" customHeight="1" x14ac:dyDescent="0.3">
      <c r="A52" s="3">
        <v>45708</v>
      </c>
      <c r="B52" s="19" t="s">
        <v>2708</v>
      </c>
      <c r="C52" s="19" t="s">
        <v>8</v>
      </c>
      <c r="D52" s="19" t="s">
        <v>658</v>
      </c>
      <c r="E52" s="4">
        <v>0.75</v>
      </c>
      <c r="F52" s="42">
        <v>2.75</v>
      </c>
      <c r="G52" s="45">
        <v>250</v>
      </c>
      <c r="H52" s="22">
        <v>1.9</v>
      </c>
      <c r="I52" s="6">
        <f t="shared" si="0"/>
        <v>979.6875</v>
      </c>
      <c r="J52" s="7" t="s">
        <v>2608</v>
      </c>
    </row>
    <row r="53" spans="1:10" ht="13.95" customHeight="1" x14ac:dyDescent="0.3">
      <c r="A53" s="3">
        <v>45709</v>
      </c>
      <c r="B53" s="19" t="s">
        <v>2708</v>
      </c>
      <c r="C53" s="19" t="s">
        <v>11</v>
      </c>
      <c r="D53" s="19" t="s">
        <v>14</v>
      </c>
      <c r="E53" s="4">
        <v>0.8</v>
      </c>
      <c r="F53" s="42">
        <v>3.1</v>
      </c>
      <c r="G53" s="45">
        <v>250</v>
      </c>
      <c r="H53" s="22">
        <v>1.9</v>
      </c>
      <c r="I53" s="6">
        <f t="shared" si="0"/>
        <v>1178</v>
      </c>
      <c r="J53" s="7" t="s">
        <v>2609</v>
      </c>
    </row>
    <row r="54" spans="1:10" ht="13.95" customHeight="1" x14ac:dyDescent="0.3">
      <c r="A54" s="3">
        <v>45710</v>
      </c>
      <c r="B54" s="19" t="s">
        <v>2708</v>
      </c>
      <c r="C54" s="19" t="s">
        <v>13</v>
      </c>
      <c r="D54" s="19" t="s">
        <v>14</v>
      </c>
      <c r="E54" s="4">
        <v>0.9</v>
      </c>
      <c r="F54" s="42">
        <v>3.65</v>
      </c>
      <c r="G54" s="45">
        <v>250</v>
      </c>
      <c r="H54" s="22">
        <v>1.9</v>
      </c>
      <c r="I54" s="6">
        <f t="shared" si="0"/>
        <v>1560.375</v>
      </c>
      <c r="J54" s="7" t="s">
        <v>1811</v>
      </c>
    </row>
    <row r="55" spans="1:10" ht="13.95" customHeight="1" x14ac:dyDescent="0.3">
      <c r="A55" s="3">
        <v>45711</v>
      </c>
      <c r="B55" s="19" t="s">
        <v>2708</v>
      </c>
      <c r="C55" s="19" t="s">
        <v>16</v>
      </c>
      <c r="D55" s="19" t="s">
        <v>14</v>
      </c>
      <c r="E55" s="4">
        <v>0.85</v>
      </c>
      <c r="F55" s="42">
        <v>3.3</v>
      </c>
      <c r="G55" s="45">
        <v>250</v>
      </c>
      <c r="H55" s="22">
        <v>1.9</v>
      </c>
      <c r="I55" s="6">
        <f t="shared" si="0"/>
        <v>1332.375</v>
      </c>
      <c r="J55" s="7" t="s">
        <v>159</v>
      </c>
    </row>
    <row r="56" spans="1:10" ht="13.95" customHeight="1" x14ac:dyDescent="0.3">
      <c r="A56" s="3">
        <v>45712</v>
      </c>
      <c r="B56" s="19" t="s">
        <v>2708</v>
      </c>
      <c r="C56" s="19" t="s">
        <v>18</v>
      </c>
      <c r="D56" s="19" t="s">
        <v>2594</v>
      </c>
      <c r="E56" s="4">
        <v>0.55000000000000004</v>
      </c>
      <c r="F56" s="42">
        <v>2.4</v>
      </c>
      <c r="G56" s="45">
        <v>250</v>
      </c>
      <c r="H56" s="22">
        <v>1.9</v>
      </c>
      <c r="I56" s="6">
        <f t="shared" si="0"/>
        <v>627</v>
      </c>
      <c r="J56" s="7" t="s">
        <v>2610</v>
      </c>
    </row>
    <row r="57" spans="1:10" ht="13.95" customHeight="1" x14ac:dyDescent="0.3">
      <c r="A57" s="3">
        <v>45713</v>
      </c>
      <c r="B57" s="19" t="s">
        <v>2708</v>
      </c>
      <c r="C57" s="19" t="s">
        <v>20</v>
      </c>
      <c r="D57" s="19" t="s">
        <v>2594</v>
      </c>
      <c r="E57" s="4">
        <v>0.55000000000000004</v>
      </c>
      <c r="F57" s="42">
        <v>2.4</v>
      </c>
      <c r="G57" s="45">
        <v>250</v>
      </c>
      <c r="H57" s="22">
        <v>1.9</v>
      </c>
      <c r="I57" s="6">
        <f t="shared" si="0"/>
        <v>627</v>
      </c>
      <c r="J57" s="7" t="s">
        <v>88</v>
      </c>
    </row>
    <row r="58" spans="1:10" ht="13.95" customHeight="1" x14ac:dyDescent="0.3">
      <c r="A58" s="3">
        <v>45714</v>
      </c>
      <c r="B58" s="19" t="s">
        <v>2708</v>
      </c>
      <c r="C58" s="19" t="s">
        <v>5</v>
      </c>
      <c r="D58" s="19" t="s">
        <v>9</v>
      </c>
      <c r="E58" s="4">
        <v>0.5</v>
      </c>
      <c r="F58" s="42">
        <v>2.2000000000000002</v>
      </c>
      <c r="G58" s="45">
        <v>250</v>
      </c>
      <c r="H58" s="22">
        <v>1.9</v>
      </c>
      <c r="I58" s="6">
        <f t="shared" si="0"/>
        <v>522.5</v>
      </c>
      <c r="J58" s="7" t="s">
        <v>150</v>
      </c>
    </row>
    <row r="59" spans="1:10" ht="13.95" customHeight="1" x14ac:dyDescent="0.3">
      <c r="A59" s="3">
        <v>45715</v>
      </c>
      <c r="B59" s="19" t="s">
        <v>2708</v>
      </c>
      <c r="C59" s="19" t="s">
        <v>8</v>
      </c>
      <c r="D59" s="19" t="s">
        <v>1263</v>
      </c>
      <c r="E59" s="4">
        <v>0.65</v>
      </c>
      <c r="F59" s="42">
        <v>2.5</v>
      </c>
      <c r="G59" s="45">
        <v>250</v>
      </c>
      <c r="H59" s="22">
        <v>1.9</v>
      </c>
      <c r="I59" s="6">
        <f t="shared" si="0"/>
        <v>771.875</v>
      </c>
      <c r="J59" s="7" t="s">
        <v>2611</v>
      </c>
    </row>
    <row r="60" spans="1:10" ht="13.95" customHeight="1" x14ac:dyDescent="0.3">
      <c r="A60" s="3">
        <v>45716</v>
      </c>
      <c r="B60" s="19" t="s">
        <v>2708</v>
      </c>
      <c r="C60" s="19" t="s">
        <v>11</v>
      </c>
      <c r="D60" s="19" t="s">
        <v>1417</v>
      </c>
      <c r="E60" s="4">
        <v>0.8</v>
      </c>
      <c r="F60" s="42">
        <v>3.2</v>
      </c>
      <c r="G60" s="45">
        <v>250</v>
      </c>
      <c r="H60" s="22">
        <v>1.9</v>
      </c>
      <c r="I60" s="6">
        <f t="shared" si="0"/>
        <v>1216</v>
      </c>
      <c r="J60" s="7" t="s">
        <v>1500</v>
      </c>
    </row>
    <row r="61" spans="1:10" ht="13.95" customHeight="1" x14ac:dyDescent="0.3">
      <c r="A61" s="3">
        <v>45748</v>
      </c>
      <c r="B61" s="19" t="s">
        <v>2708</v>
      </c>
      <c r="C61" s="19" t="s">
        <v>20</v>
      </c>
      <c r="D61" s="19" t="s">
        <v>1314</v>
      </c>
      <c r="E61" s="4">
        <v>0.6</v>
      </c>
      <c r="F61" s="42">
        <v>2.2999999999999998</v>
      </c>
      <c r="G61" s="45">
        <v>250</v>
      </c>
      <c r="H61" s="22">
        <v>1.9</v>
      </c>
      <c r="I61" s="6">
        <f t="shared" ref="I61:I124" si="1">(G61*E61)*F61*H61</f>
        <v>655.5</v>
      </c>
      <c r="J61" s="7" t="s">
        <v>460</v>
      </c>
    </row>
    <row r="62" spans="1:10" ht="13.95" customHeight="1" x14ac:dyDescent="0.3">
      <c r="A62" s="3">
        <v>45749</v>
      </c>
      <c r="B62" s="19" t="s">
        <v>2708</v>
      </c>
      <c r="C62" s="19" t="s">
        <v>5</v>
      </c>
      <c r="D62" s="19" t="s">
        <v>9</v>
      </c>
      <c r="E62" s="4">
        <v>0.55000000000000004</v>
      </c>
      <c r="F62" s="42">
        <v>2.25</v>
      </c>
      <c r="G62" s="45">
        <v>250</v>
      </c>
      <c r="H62" s="22">
        <v>1.9</v>
      </c>
      <c r="I62" s="6">
        <f t="shared" si="1"/>
        <v>587.8125</v>
      </c>
      <c r="J62" s="7" t="s">
        <v>2501</v>
      </c>
    </row>
    <row r="63" spans="1:10" ht="13.95" customHeight="1" x14ac:dyDescent="0.3">
      <c r="A63" s="3">
        <v>45750</v>
      </c>
      <c r="B63" s="19" t="s">
        <v>2708</v>
      </c>
      <c r="C63" s="19" t="s">
        <v>8</v>
      </c>
      <c r="D63" s="19" t="s">
        <v>1263</v>
      </c>
      <c r="E63" s="4">
        <v>0.7</v>
      </c>
      <c r="F63" s="42">
        <v>2.4500000000000002</v>
      </c>
      <c r="G63" s="45">
        <v>250</v>
      </c>
      <c r="H63" s="22">
        <v>1.9</v>
      </c>
      <c r="I63" s="6">
        <f t="shared" si="1"/>
        <v>814.62500000000011</v>
      </c>
      <c r="J63" s="7" t="s">
        <v>1376</v>
      </c>
    </row>
    <row r="64" spans="1:10" ht="13.95" customHeight="1" x14ac:dyDescent="0.3">
      <c r="A64" s="3">
        <v>45751</v>
      </c>
      <c r="B64" s="19" t="s">
        <v>2708</v>
      </c>
      <c r="C64" s="19" t="s">
        <v>11</v>
      </c>
      <c r="D64" s="19" t="s">
        <v>14</v>
      </c>
      <c r="E64" s="4">
        <v>0.75</v>
      </c>
      <c r="F64" s="42">
        <v>2.8</v>
      </c>
      <c r="G64" s="45">
        <v>250</v>
      </c>
      <c r="H64" s="22">
        <v>1.9</v>
      </c>
      <c r="I64" s="6">
        <f t="shared" si="1"/>
        <v>997.5</v>
      </c>
      <c r="J64" s="7" t="s">
        <v>282</v>
      </c>
    </row>
    <row r="65" spans="1:10" ht="13.95" customHeight="1" x14ac:dyDescent="0.3">
      <c r="A65" s="3">
        <v>45752</v>
      </c>
      <c r="B65" s="19" t="s">
        <v>2708</v>
      </c>
      <c r="C65" s="19" t="s">
        <v>13</v>
      </c>
      <c r="D65" s="19" t="s">
        <v>14</v>
      </c>
      <c r="E65" s="4">
        <v>0.85</v>
      </c>
      <c r="F65" s="42">
        <v>3.45</v>
      </c>
      <c r="G65" s="45">
        <v>250</v>
      </c>
      <c r="H65" s="22">
        <v>1.9</v>
      </c>
      <c r="I65" s="6">
        <f t="shared" si="1"/>
        <v>1392.9375</v>
      </c>
      <c r="J65" s="7" t="s">
        <v>2621</v>
      </c>
    </row>
    <row r="66" spans="1:10" ht="13.95" customHeight="1" x14ac:dyDescent="0.3">
      <c r="A66" s="3">
        <v>45753</v>
      </c>
      <c r="B66" s="19" t="s">
        <v>2708</v>
      </c>
      <c r="C66" s="19" t="s">
        <v>16</v>
      </c>
      <c r="D66" s="19" t="s">
        <v>14</v>
      </c>
      <c r="E66" s="4">
        <v>0.8</v>
      </c>
      <c r="F66" s="42">
        <v>3.1</v>
      </c>
      <c r="G66" s="45">
        <v>250</v>
      </c>
      <c r="H66" s="22">
        <v>1.9</v>
      </c>
      <c r="I66" s="6">
        <f t="shared" si="1"/>
        <v>1178</v>
      </c>
      <c r="J66" s="7" t="s">
        <v>238</v>
      </c>
    </row>
    <row r="67" spans="1:10" ht="13.95" customHeight="1" x14ac:dyDescent="0.3">
      <c r="A67" s="3">
        <v>45754</v>
      </c>
      <c r="B67" s="19" t="s">
        <v>2708</v>
      </c>
      <c r="C67" s="19" t="s">
        <v>18</v>
      </c>
      <c r="D67" s="19" t="s">
        <v>2015</v>
      </c>
      <c r="E67" s="4">
        <v>0.55000000000000004</v>
      </c>
      <c r="F67" s="42">
        <v>2.2000000000000002</v>
      </c>
      <c r="G67" s="45">
        <v>250</v>
      </c>
      <c r="H67" s="22">
        <v>1.9</v>
      </c>
      <c r="I67" s="6">
        <f t="shared" si="1"/>
        <v>574.75</v>
      </c>
      <c r="J67" s="7" t="s">
        <v>2563</v>
      </c>
    </row>
    <row r="68" spans="1:10" ht="13.95" customHeight="1" x14ac:dyDescent="0.3">
      <c r="A68" s="3">
        <v>45758</v>
      </c>
      <c r="B68" s="19" t="s">
        <v>2708</v>
      </c>
      <c r="C68" s="19" t="s">
        <v>11</v>
      </c>
      <c r="D68" s="19" t="s">
        <v>658</v>
      </c>
      <c r="E68" s="4">
        <v>0.75</v>
      </c>
      <c r="F68" s="42">
        <v>2.95</v>
      </c>
      <c r="G68" s="45">
        <v>250</v>
      </c>
      <c r="H68" s="22">
        <v>1.9</v>
      </c>
      <c r="I68" s="6">
        <f t="shared" si="1"/>
        <v>1050.9375</v>
      </c>
      <c r="J68" s="7" t="s">
        <v>2622</v>
      </c>
    </row>
    <row r="69" spans="1:10" ht="13.95" customHeight="1" x14ac:dyDescent="0.3">
      <c r="A69" s="3">
        <v>45759</v>
      </c>
      <c r="B69" s="19" t="s">
        <v>2708</v>
      </c>
      <c r="C69" s="19" t="s">
        <v>13</v>
      </c>
      <c r="D69" s="19" t="s">
        <v>14</v>
      </c>
      <c r="E69" s="4">
        <v>0.9</v>
      </c>
      <c r="F69" s="42">
        <v>3.6</v>
      </c>
      <c r="G69" s="45">
        <v>250</v>
      </c>
      <c r="H69" s="22">
        <v>1.9</v>
      </c>
      <c r="I69" s="6">
        <f t="shared" si="1"/>
        <v>1539</v>
      </c>
      <c r="J69" s="7" t="s">
        <v>2623</v>
      </c>
    </row>
    <row r="70" spans="1:10" ht="13.95" customHeight="1" x14ac:dyDescent="0.3">
      <c r="A70" s="3">
        <v>45760</v>
      </c>
      <c r="B70" s="19" t="s">
        <v>2708</v>
      </c>
      <c r="C70" s="19" t="s">
        <v>16</v>
      </c>
      <c r="D70" s="19" t="s">
        <v>14</v>
      </c>
      <c r="E70" s="4">
        <v>0.85</v>
      </c>
      <c r="F70" s="42">
        <v>3.3</v>
      </c>
      <c r="G70" s="45">
        <v>250</v>
      </c>
      <c r="H70" s="22">
        <v>1.9</v>
      </c>
      <c r="I70" s="6">
        <f t="shared" si="1"/>
        <v>1332.375</v>
      </c>
      <c r="J70" s="7" t="s">
        <v>1911</v>
      </c>
    </row>
    <row r="71" spans="1:10" ht="13.95" customHeight="1" x14ac:dyDescent="0.3">
      <c r="A71" s="3">
        <v>45761</v>
      </c>
      <c r="B71" s="19" t="s">
        <v>2708</v>
      </c>
      <c r="C71" s="19" t="s">
        <v>18</v>
      </c>
      <c r="D71" s="19" t="s">
        <v>658</v>
      </c>
      <c r="E71" s="4">
        <v>0.7</v>
      </c>
      <c r="F71" s="42">
        <v>2.6</v>
      </c>
      <c r="G71" s="45">
        <v>250</v>
      </c>
      <c r="H71" s="22">
        <v>1.9</v>
      </c>
      <c r="I71" s="6">
        <f t="shared" si="1"/>
        <v>864.5</v>
      </c>
      <c r="J71" s="7" t="s">
        <v>2624</v>
      </c>
    </row>
    <row r="72" spans="1:10" ht="13.95" customHeight="1" x14ac:dyDescent="0.3">
      <c r="A72" s="3">
        <v>45765</v>
      </c>
      <c r="B72" s="19" t="s">
        <v>2708</v>
      </c>
      <c r="C72" s="19" t="s">
        <v>11</v>
      </c>
      <c r="D72" s="19" t="s">
        <v>905</v>
      </c>
      <c r="E72" s="4">
        <v>0.85</v>
      </c>
      <c r="F72" s="42">
        <v>3.2</v>
      </c>
      <c r="G72" s="45">
        <v>250</v>
      </c>
      <c r="H72" s="22">
        <v>1.9</v>
      </c>
      <c r="I72" s="6">
        <f t="shared" si="1"/>
        <v>1292</v>
      </c>
      <c r="J72" s="7" t="s">
        <v>2625</v>
      </c>
    </row>
    <row r="73" spans="1:10" ht="13.95" customHeight="1" x14ac:dyDescent="0.3">
      <c r="A73" s="3">
        <v>45766</v>
      </c>
      <c r="B73" s="19" t="s">
        <v>2708</v>
      </c>
      <c r="C73" s="19" t="s">
        <v>13</v>
      </c>
      <c r="D73" s="19" t="s">
        <v>1774</v>
      </c>
      <c r="E73" s="4">
        <v>0.95</v>
      </c>
      <c r="F73" s="42">
        <v>4.0999999999999996</v>
      </c>
      <c r="G73" s="45">
        <v>250</v>
      </c>
      <c r="H73" s="22">
        <v>1.9</v>
      </c>
      <c r="I73" s="6">
        <f t="shared" si="1"/>
        <v>1850.1249999999998</v>
      </c>
      <c r="J73" s="7" t="s">
        <v>2626</v>
      </c>
    </row>
    <row r="74" spans="1:10" ht="13.95" customHeight="1" x14ac:dyDescent="0.3">
      <c r="A74" s="3">
        <v>45767</v>
      </c>
      <c r="B74" s="19" t="s">
        <v>2708</v>
      </c>
      <c r="C74" s="19" t="s">
        <v>16</v>
      </c>
      <c r="D74" s="19" t="s">
        <v>1774</v>
      </c>
      <c r="E74" s="4">
        <v>0.95</v>
      </c>
      <c r="F74" s="42">
        <v>3.9</v>
      </c>
      <c r="G74" s="45">
        <v>250</v>
      </c>
      <c r="H74" s="22">
        <v>1.9</v>
      </c>
      <c r="I74" s="6">
        <f t="shared" si="1"/>
        <v>1759.875</v>
      </c>
      <c r="J74" s="7" t="s">
        <v>2627</v>
      </c>
    </row>
    <row r="75" spans="1:10" ht="13.95" customHeight="1" x14ac:dyDescent="0.3">
      <c r="A75" s="3">
        <v>45768</v>
      </c>
      <c r="B75" s="19" t="s">
        <v>2708</v>
      </c>
      <c r="C75" s="19" t="s">
        <v>18</v>
      </c>
      <c r="D75" s="19" t="s">
        <v>905</v>
      </c>
      <c r="E75" s="4">
        <v>0.8</v>
      </c>
      <c r="F75" s="42">
        <v>3</v>
      </c>
      <c r="G75" s="45">
        <v>250</v>
      </c>
      <c r="H75" s="22">
        <v>1.9</v>
      </c>
      <c r="I75" s="6">
        <f t="shared" si="1"/>
        <v>1140</v>
      </c>
      <c r="J75" s="7" t="s">
        <v>2628</v>
      </c>
    </row>
    <row r="76" spans="1:10" ht="13.95" customHeight="1" x14ac:dyDescent="0.3">
      <c r="A76" s="3">
        <v>45769</v>
      </c>
      <c r="B76" s="19" t="s">
        <v>2708</v>
      </c>
      <c r="C76" s="19" t="s">
        <v>20</v>
      </c>
      <c r="D76" s="19" t="s">
        <v>658</v>
      </c>
      <c r="E76" s="4">
        <v>0.75</v>
      </c>
      <c r="F76" s="42">
        <v>2.65</v>
      </c>
      <c r="G76" s="45">
        <v>250</v>
      </c>
      <c r="H76" s="22">
        <v>1.9</v>
      </c>
      <c r="I76" s="6">
        <f t="shared" si="1"/>
        <v>944.0625</v>
      </c>
      <c r="J76" s="7" t="s">
        <v>2629</v>
      </c>
    </row>
    <row r="77" spans="1:10" ht="13.95" customHeight="1" x14ac:dyDescent="0.3">
      <c r="A77" s="3">
        <v>45770</v>
      </c>
      <c r="B77" s="19" t="s">
        <v>2708</v>
      </c>
      <c r="C77" s="19" t="s">
        <v>5</v>
      </c>
      <c r="D77" s="19" t="s">
        <v>658</v>
      </c>
      <c r="E77" s="4">
        <v>0.75</v>
      </c>
      <c r="F77" s="42">
        <v>2.65</v>
      </c>
      <c r="G77" s="45">
        <v>250</v>
      </c>
      <c r="H77" s="22">
        <v>1.9</v>
      </c>
      <c r="I77" s="6">
        <f t="shared" si="1"/>
        <v>944.0625</v>
      </c>
      <c r="J77" s="7" t="s">
        <v>2629</v>
      </c>
    </row>
    <row r="78" spans="1:10" ht="13.95" customHeight="1" x14ac:dyDescent="0.3">
      <c r="A78" s="3">
        <v>45771</v>
      </c>
      <c r="B78" s="19" t="s">
        <v>2708</v>
      </c>
      <c r="C78" s="19" t="s">
        <v>8</v>
      </c>
      <c r="D78" s="19" t="s">
        <v>658</v>
      </c>
      <c r="E78" s="4">
        <v>0.8</v>
      </c>
      <c r="F78" s="42">
        <v>2.75</v>
      </c>
      <c r="G78" s="45">
        <v>250</v>
      </c>
      <c r="H78" s="22">
        <v>1.9</v>
      </c>
      <c r="I78" s="6">
        <f t="shared" si="1"/>
        <v>1045</v>
      </c>
      <c r="J78" s="7" t="s">
        <v>67</v>
      </c>
    </row>
    <row r="79" spans="1:10" ht="13.95" customHeight="1" x14ac:dyDescent="0.3">
      <c r="A79" s="3">
        <v>45772</v>
      </c>
      <c r="B79" s="19" t="s">
        <v>2708</v>
      </c>
      <c r="C79" s="19" t="s">
        <v>11</v>
      </c>
      <c r="D79" s="19" t="s">
        <v>14</v>
      </c>
      <c r="E79" s="4">
        <v>0.85</v>
      </c>
      <c r="F79" s="42">
        <v>3.25</v>
      </c>
      <c r="G79" s="45">
        <v>250</v>
      </c>
      <c r="H79" s="22">
        <v>1.9</v>
      </c>
      <c r="I79" s="6">
        <f t="shared" si="1"/>
        <v>1312.1875</v>
      </c>
      <c r="J79" s="7" t="s">
        <v>2405</v>
      </c>
    </row>
    <row r="80" spans="1:10" ht="13.95" customHeight="1" x14ac:dyDescent="0.3">
      <c r="A80" s="3">
        <v>45773</v>
      </c>
      <c r="B80" s="19" t="s">
        <v>2708</v>
      </c>
      <c r="C80" s="19" t="s">
        <v>13</v>
      </c>
      <c r="D80" s="19" t="s">
        <v>14</v>
      </c>
      <c r="E80" s="4">
        <v>0.95</v>
      </c>
      <c r="F80" s="42">
        <v>3.7</v>
      </c>
      <c r="G80" s="45">
        <v>250</v>
      </c>
      <c r="H80" s="22">
        <v>1.9</v>
      </c>
      <c r="I80" s="6">
        <f t="shared" si="1"/>
        <v>1669.625</v>
      </c>
      <c r="J80" s="7" t="s">
        <v>2630</v>
      </c>
    </row>
    <row r="81" spans="1:10" ht="13.95" customHeight="1" x14ac:dyDescent="0.3">
      <c r="A81" s="3">
        <v>45774</v>
      </c>
      <c r="B81" s="19" t="s">
        <v>2708</v>
      </c>
      <c r="C81" s="19" t="s">
        <v>16</v>
      </c>
      <c r="D81" s="19" t="s">
        <v>14</v>
      </c>
      <c r="E81" s="4">
        <v>0.9</v>
      </c>
      <c r="F81" s="42">
        <v>3.35</v>
      </c>
      <c r="G81" s="45">
        <v>250</v>
      </c>
      <c r="H81" s="22">
        <v>1.9</v>
      </c>
      <c r="I81" s="6">
        <f t="shared" si="1"/>
        <v>1432.125</v>
      </c>
      <c r="J81" s="7" t="s">
        <v>733</v>
      </c>
    </row>
    <row r="82" spans="1:10" ht="13.95" customHeight="1" x14ac:dyDescent="0.3">
      <c r="A82" s="3">
        <v>45777</v>
      </c>
      <c r="B82" s="19" t="s">
        <v>2708</v>
      </c>
      <c r="C82" s="19" t="s">
        <v>5</v>
      </c>
      <c r="D82" s="19" t="s">
        <v>994</v>
      </c>
      <c r="E82" s="4">
        <v>0.85</v>
      </c>
      <c r="F82" s="42">
        <v>2.9</v>
      </c>
      <c r="G82" s="45">
        <v>250</v>
      </c>
      <c r="H82" s="22">
        <v>1.9</v>
      </c>
      <c r="I82" s="6">
        <f t="shared" si="1"/>
        <v>1170.875</v>
      </c>
      <c r="J82" s="7" t="s">
        <v>2631</v>
      </c>
    </row>
    <row r="83" spans="1:10" ht="13.95" customHeight="1" x14ac:dyDescent="0.3">
      <c r="A83" s="3">
        <v>45717</v>
      </c>
      <c r="B83" s="19" t="s">
        <v>2708</v>
      </c>
      <c r="C83" s="19" t="s">
        <v>13</v>
      </c>
      <c r="D83" s="19" t="s">
        <v>708</v>
      </c>
      <c r="E83" s="4">
        <v>0.85</v>
      </c>
      <c r="F83" s="42">
        <v>4.2</v>
      </c>
      <c r="G83" s="45">
        <v>250</v>
      </c>
      <c r="H83" s="22">
        <v>1.9</v>
      </c>
      <c r="I83" s="6">
        <f t="shared" si="1"/>
        <v>1695.75</v>
      </c>
      <c r="J83" s="7" t="s">
        <v>2632</v>
      </c>
    </row>
    <row r="84" spans="1:10" ht="13.95" customHeight="1" x14ac:dyDescent="0.3">
      <c r="A84" s="3">
        <v>45718</v>
      </c>
      <c r="B84" s="19" t="s">
        <v>2708</v>
      </c>
      <c r="C84" s="19" t="s">
        <v>16</v>
      </c>
      <c r="D84" s="19" t="s">
        <v>76</v>
      </c>
      <c r="E84" s="4">
        <v>0.7</v>
      </c>
      <c r="F84" s="42">
        <v>3.8</v>
      </c>
      <c r="G84" s="45">
        <v>250</v>
      </c>
      <c r="H84" s="22">
        <v>1.9</v>
      </c>
      <c r="I84" s="6">
        <f t="shared" si="1"/>
        <v>1263.5</v>
      </c>
      <c r="J84" s="7" t="s">
        <v>2633</v>
      </c>
    </row>
    <row r="85" spans="1:10" ht="13.95" customHeight="1" x14ac:dyDescent="0.3">
      <c r="A85" s="3">
        <v>45719</v>
      </c>
      <c r="B85" s="19" t="s">
        <v>2708</v>
      </c>
      <c r="C85" s="19" t="s">
        <v>18</v>
      </c>
      <c r="D85" s="19" t="s">
        <v>76</v>
      </c>
      <c r="E85" s="4">
        <v>0.45</v>
      </c>
      <c r="F85" s="42">
        <v>3.2</v>
      </c>
      <c r="G85" s="45">
        <v>250</v>
      </c>
      <c r="H85" s="22">
        <v>1.9</v>
      </c>
      <c r="I85" s="6">
        <f t="shared" si="1"/>
        <v>684</v>
      </c>
      <c r="J85" s="7" t="s">
        <v>140</v>
      </c>
    </row>
    <row r="86" spans="1:10" ht="13.95" customHeight="1" x14ac:dyDescent="0.3">
      <c r="A86" s="3">
        <v>45720</v>
      </c>
      <c r="B86" s="19" t="s">
        <v>2708</v>
      </c>
      <c r="C86" s="19" t="s">
        <v>20</v>
      </c>
      <c r="D86" s="19" t="s">
        <v>76</v>
      </c>
      <c r="E86" s="4">
        <v>0.45</v>
      </c>
      <c r="F86" s="42">
        <v>3.2</v>
      </c>
      <c r="G86" s="45">
        <v>250</v>
      </c>
      <c r="H86" s="22">
        <v>1.9</v>
      </c>
      <c r="I86" s="6">
        <f t="shared" si="1"/>
        <v>684</v>
      </c>
      <c r="J86" s="7" t="s">
        <v>2634</v>
      </c>
    </row>
    <row r="87" spans="1:10" ht="13.95" customHeight="1" x14ac:dyDescent="0.3">
      <c r="A87" s="3">
        <v>45721</v>
      </c>
      <c r="B87" s="19" t="s">
        <v>2708</v>
      </c>
      <c r="C87" s="19" t="s">
        <v>5</v>
      </c>
      <c r="D87" s="19" t="s">
        <v>76</v>
      </c>
      <c r="E87" s="4">
        <v>0.5</v>
      </c>
      <c r="F87" s="42">
        <v>3.3</v>
      </c>
      <c r="G87" s="45">
        <v>250</v>
      </c>
      <c r="H87" s="22">
        <v>1.9</v>
      </c>
      <c r="I87" s="6">
        <f t="shared" si="1"/>
        <v>783.75</v>
      </c>
      <c r="J87" s="7" t="s">
        <v>1786</v>
      </c>
    </row>
    <row r="88" spans="1:10" ht="13.95" customHeight="1" x14ac:dyDescent="0.3">
      <c r="A88" s="3">
        <v>45722</v>
      </c>
      <c r="B88" s="19" t="s">
        <v>2708</v>
      </c>
      <c r="C88" s="19" t="s">
        <v>8</v>
      </c>
      <c r="D88" s="19" t="s">
        <v>76</v>
      </c>
      <c r="E88" s="4">
        <v>0.5</v>
      </c>
      <c r="F88" s="42">
        <v>3.3</v>
      </c>
      <c r="G88" s="45">
        <v>250</v>
      </c>
      <c r="H88" s="22">
        <v>1.9</v>
      </c>
      <c r="I88" s="6">
        <f t="shared" si="1"/>
        <v>783.75</v>
      </c>
      <c r="J88" s="7" t="s">
        <v>88</v>
      </c>
    </row>
    <row r="89" spans="1:10" ht="13.95" customHeight="1" x14ac:dyDescent="0.3">
      <c r="A89" s="3">
        <v>45723</v>
      </c>
      <c r="B89" s="19" t="s">
        <v>2708</v>
      </c>
      <c r="C89" s="19" t="s">
        <v>11</v>
      </c>
      <c r="D89" s="19" t="s">
        <v>14</v>
      </c>
      <c r="E89" s="4">
        <v>0.75</v>
      </c>
      <c r="F89" s="42">
        <v>3.9</v>
      </c>
      <c r="G89" s="45">
        <v>250</v>
      </c>
      <c r="H89" s="22">
        <v>1.9</v>
      </c>
      <c r="I89" s="6">
        <f t="shared" si="1"/>
        <v>1389.375</v>
      </c>
      <c r="J89" s="7" t="s">
        <v>2635</v>
      </c>
    </row>
    <row r="90" spans="1:10" ht="13.95" customHeight="1" x14ac:dyDescent="0.3">
      <c r="A90" s="3">
        <v>45724</v>
      </c>
      <c r="B90" s="19" t="s">
        <v>2708</v>
      </c>
      <c r="C90" s="19" t="s">
        <v>13</v>
      </c>
      <c r="D90" s="19" t="s">
        <v>14</v>
      </c>
      <c r="E90" s="4">
        <v>0.85</v>
      </c>
      <c r="F90" s="42">
        <v>4.4000000000000004</v>
      </c>
      <c r="G90" s="45">
        <v>250</v>
      </c>
      <c r="H90" s="22">
        <v>1.9</v>
      </c>
      <c r="I90" s="6">
        <f t="shared" si="1"/>
        <v>1776.5000000000002</v>
      </c>
      <c r="J90" s="7" t="s">
        <v>2636</v>
      </c>
    </row>
    <row r="91" spans="1:10" ht="13.95" customHeight="1" x14ac:dyDescent="0.3">
      <c r="A91" s="3">
        <v>45725</v>
      </c>
      <c r="B91" s="19" t="s">
        <v>2708</v>
      </c>
      <c r="C91" s="19" t="s">
        <v>16</v>
      </c>
      <c r="D91" s="19" t="s">
        <v>14</v>
      </c>
      <c r="E91" s="4">
        <v>0.8</v>
      </c>
      <c r="F91" s="42">
        <v>3.95</v>
      </c>
      <c r="G91" s="45">
        <v>250</v>
      </c>
      <c r="H91" s="22">
        <v>1.9</v>
      </c>
      <c r="I91" s="6">
        <f t="shared" si="1"/>
        <v>1501</v>
      </c>
      <c r="J91" s="7" t="s">
        <v>2612</v>
      </c>
    </row>
    <row r="92" spans="1:10" ht="13.95" customHeight="1" x14ac:dyDescent="0.3">
      <c r="A92" s="3">
        <v>45726</v>
      </c>
      <c r="B92" s="19" t="s">
        <v>2708</v>
      </c>
      <c r="C92" s="19" t="s">
        <v>18</v>
      </c>
      <c r="D92" s="19" t="s">
        <v>76</v>
      </c>
      <c r="E92" s="4">
        <v>0.45</v>
      </c>
      <c r="F92" s="42">
        <v>3.2</v>
      </c>
      <c r="G92" s="45">
        <v>250</v>
      </c>
      <c r="H92" s="22">
        <v>1.9</v>
      </c>
      <c r="I92" s="6">
        <f t="shared" si="1"/>
        <v>684</v>
      </c>
      <c r="J92" s="7" t="s">
        <v>1297</v>
      </c>
    </row>
    <row r="93" spans="1:10" ht="13.95" customHeight="1" x14ac:dyDescent="0.3">
      <c r="A93" s="3">
        <v>45727</v>
      </c>
      <c r="B93" s="19" t="s">
        <v>2708</v>
      </c>
      <c r="C93" s="19" t="s">
        <v>20</v>
      </c>
      <c r="D93" s="19" t="s">
        <v>76</v>
      </c>
      <c r="E93" s="4">
        <v>0.45</v>
      </c>
      <c r="F93" s="42">
        <v>3.2</v>
      </c>
      <c r="G93" s="45">
        <v>250</v>
      </c>
      <c r="H93" s="22">
        <v>1.9</v>
      </c>
      <c r="I93" s="6">
        <f t="shared" si="1"/>
        <v>684</v>
      </c>
      <c r="J93" s="7" t="s">
        <v>1297</v>
      </c>
    </row>
    <row r="94" spans="1:10" ht="13.95" customHeight="1" x14ac:dyDescent="0.3">
      <c r="A94" s="3">
        <v>45728</v>
      </c>
      <c r="B94" s="19" t="s">
        <v>2708</v>
      </c>
      <c r="C94" s="19" t="s">
        <v>5</v>
      </c>
      <c r="D94" s="19" t="s">
        <v>76</v>
      </c>
      <c r="E94" s="4">
        <v>0.5</v>
      </c>
      <c r="F94" s="42">
        <v>3.3</v>
      </c>
      <c r="G94" s="45">
        <v>250</v>
      </c>
      <c r="H94" s="22">
        <v>1.9</v>
      </c>
      <c r="I94" s="6">
        <f t="shared" si="1"/>
        <v>783.75</v>
      </c>
      <c r="J94" s="7" t="s">
        <v>88</v>
      </c>
    </row>
    <row r="95" spans="1:10" ht="13.95" customHeight="1" x14ac:dyDescent="0.3">
      <c r="A95" s="3">
        <v>45729</v>
      </c>
      <c r="B95" s="19" t="s">
        <v>2708</v>
      </c>
      <c r="C95" s="19" t="s">
        <v>8</v>
      </c>
      <c r="D95" s="19" t="s">
        <v>76</v>
      </c>
      <c r="E95" s="4">
        <v>0.55000000000000004</v>
      </c>
      <c r="F95" s="42">
        <v>3.4</v>
      </c>
      <c r="G95" s="45">
        <v>250</v>
      </c>
      <c r="H95" s="22">
        <v>1.9</v>
      </c>
      <c r="I95" s="6">
        <f t="shared" si="1"/>
        <v>888.25</v>
      </c>
      <c r="J95" s="7" t="s">
        <v>82</v>
      </c>
    </row>
    <row r="96" spans="1:10" ht="13.95" customHeight="1" x14ac:dyDescent="0.3">
      <c r="A96" s="3">
        <v>45730</v>
      </c>
      <c r="B96" s="19" t="s">
        <v>2708</v>
      </c>
      <c r="C96" s="19" t="s">
        <v>11</v>
      </c>
      <c r="D96" s="19" t="s">
        <v>14</v>
      </c>
      <c r="E96" s="4">
        <v>0.75</v>
      </c>
      <c r="F96" s="42">
        <v>3.9</v>
      </c>
      <c r="G96" s="45">
        <v>250</v>
      </c>
      <c r="H96" s="22">
        <v>1.9</v>
      </c>
      <c r="I96" s="6">
        <f t="shared" si="1"/>
        <v>1389.375</v>
      </c>
      <c r="J96" s="7" t="s">
        <v>282</v>
      </c>
    </row>
    <row r="97" spans="1:10" ht="13.95" customHeight="1" x14ac:dyDescent="0.3">
      <c r="A97" s="3">
        <v>45731</v>
      </c>
      <c r="B97" s="19" t="s">
        <v>2708</v>
      </c>
      <c r="C97" s="19" t="s">
        <v>13</v>
      </c>
      <c r="D97" s="19" t="s">
        <v>14</v>
      </c>
      <c r="E97" s="4">
        <v>0.85</v>
      </c>
      <c r="F97" s="42">
        <v>4.5</v>
      </c>
      <c r="G97" s="45">
        <v>250</v>
      </c>
      <c r="H97" s="22">
        <v>1.9</v>
      </c>
      <c r="I97" s="6">
        <f t="shared" si="1"/>
        <v>1816.875</v>
      </c>
      <c r="J97" s="7" t="s">
        <v>2593</v>
      </c>
    </row>
    <row r="98" spans="1:10" ht="13.95" customHeight="1" x14ac:dyDescent="0.3">
      <c r="A98" s="3">
        <v>45732</v>
      </c>
      <c r="B98" s="19" t="s">
        <v>2708</v>
      </c>
      <c r="C98" s="19" t="s">
        <v>16</v>
      </c>
      <c r="D98" s="19" t="s">
        <v>14</v>
      </c>
      <c r="E98" s="4">
        <v>0.8</v>
      </c>
      <c r="F98" s="42">
        <v>4</v>
      </c>
      <c r="G98" s="45">
        <v>250</v>
      </c>
      <c r="H98" s="22">
        <v>1.9</v>
      </c>
      <c r="I98" s="6">
        <f t="shared" si="1"/>
        <v>1520</v>
      </c>
      <c r="J98" s="7" t="s">
        <v>2614</v>
      </c>
    </row>
    <row r="99" spans="1:10" ht="13.95" customHeight="1" x14ac:dyDescent="0.3">
      <c r="A99" s="3">
        <v>45733</v>
      </c>
      <c r="B99" s="19" t="s">
        <v>2708</v>
      </c>
      <c r="C99" s="19" t="s">
        <v>18</v>
      </c>
      <c r="D99" s="19" t="s">
        <v>76</v>
      </c>
      <c r="E99" s="4">
        <v>0.5</v>
      </c>
      <c r="F99" s="42">
        <v>3.3</v>
      </c>
      <c r="G99" s="45">
        <v>250</v>
      </c>
      <c r="H99" s="22">
        <v>1.9</v>
      </c>
      <c r="I99" s="6">
        <f t="shared" si="1"/>
        <v>783.75</v>
      </c>
      <c r="J99" s="7" t="s">
        <v>88</v>
      </c>
    </row>
    <row r="100" spans="1:10" ht="13.95" customHeight="1" x14ac:dyDescent="0.3">
      <c r="A100" s="3">
        <v>45734</v>
      </c>
      <c r="B100" s="19" t="s">
        <v>2708</v>
      </c>
      <c r="C100" s="19" t="s">
        <v>20</v>
      </c>
      <c r="D100" s="19" t="s">
        <v>76</v>
      </c>
      <c r="E100" s="4">
        <v>0.5</v>
      </c>
      <c r="F100" s="42">
        <v>3.3</v>
      </c>
      <c r="G100" s="45">
        <v>250</v>
      </c>
      <c r="H100" s="22">
        <v>1.9</v>
      </c>
      <c r="I100" s="6">
        <f t="shared" si="1"/>
        <v>783.75</v>
      </c>
      <c r="J100" s="7" t="s">
        <v>88</v>
      </c>
    </row>
    <row r="101" spans="1:10" ht="13.95" customHeight="1" x14ac:dyDescent="0.3">
      <c r="A101" s="3">
        <v>45735</v>
      </c>
      <c r="B101" s="19" t="s">
        <v>2708</v>
      </c>
      <c r="C101" s="19" t="s">
        <v>5</v>
      </c>
      <c r="D101" s="19" t="s">
        <v>994</v>
      </c>
      <c r="E101" s="4">
        <v>0.75</v>
      </c>
      <c r="F101" s="42">
        <v>3.6</v>
      </c>
      <c r="G101" s="45">
        <v>250</v>
      </c>
      <c r="H101" s="22">
        <v>1.9</v>
      </c>
      <c r="I101" s="6">
        <f t="shared" si="1"/>
        <v>1282.5</v>
      </c>
      <c r="J101" s="7" t="s">
        <v>2637</v>
      </c>
    </row>
    <row r="102" spans="1:10" ht="13.95" customHeight="1" x14ac:dyDescent="0.3">
      <c r="A102" s="3">
        <v>45736</v>
      </c>
      <c r="B102" s="19" t="s">
        <v>2708</v>
      </c>
      <c r="C102" s="19" t="s">
        <v>8</v>
      </c>
      <c r="D102" s="19" t="s">
        <v>383</v>
      </c>
      <c r="E102" s="4">
        <v>0.95</v>
      </c>
      <c r="F102" s="42">
        <v>4.5999999999999996</v>
      </c>
      <c r="G102" s="45">
        <v>250</v>
      </c>
      <c r="H102" s="22">
        <v>1.9</v>
      </c>
      <c r="I102" s="6">
        <f t="shared" si="1"/>
        <v>2075.75</v>
      </c>
      <c r="J102" s="7" t="s">
        <v>2613</v>
      </c>
    </row>
    <row r="103" spans="1:10" ht="13.95" customHeight="1" x14ac:dyDescent="0.3">
      <c r="A103" s="3">
        <v>45737</v>
      </c>
      <c r="B103" s="19" t="s">
        <v>2708</v>
      </c>
      <c r="C103" s="19" t="s">
        <v>11</v>
      </c>
      <c r="D103" s="19" t="s">
        <v>14</v>
      </c>
      <c r="E103" s="4">
        <v>0.9</v>
      </c>
      <c r="F103" s="42">
        <v>4.0999999999999996</v>
      </c>
      <c r="G103" s="45">
        <v>250</v>
      </c>
      <c r="H103" s="22">
        <v>1.9</v>
      </c>
      <c r="I103" s="6">
        <f t="shared" si="1"/>
        <v>1752.7499999999998</v>
      </c>
      <c r="J103" s="7" t="s">
        <v>2638</v>
      </c>
    </row>
    <row r="104" spans="1:10" ht="13.95" customHeight="1" x14ac:dyDescent="0.3">
      <c r="A104" s="3">
        <v>45738</v>
      </c>
      <c r="B104" s="19" t="s">
        <v>2708</v>
      </c>
      <c r="C104" s="19" t="s">
        <v>13</v>
      </c>
      <c r="D104" s="19" t="s">
        <v>14</v>
      </c>
      <c r="E104" s="4">
        <v>0.95</v>
      </c>
      <c r="F104" s="42">
        <v>4.7</v>
      </c>
      <c r="G104" s="45">
        <v>250</v>
      </c>
      <c r="H104" s="22">
        <v>1.9</v>
      </c>
      <c r="I104" s="6">
        <f t="shared" si="1"/>
        <v>2120.875</v>
      </c>
      <c r="J104" s="7" t="s">
        <v>2600</v>
      </c>
    </row>
    <row r="105" spans="1:10" ht="13.95" customHeight="1" x14ac:dyDescent="0.3">
      <c r="A105" s="3">
        <v>45739</v>
      </c>
      <c r="B105" s="19" t="s">
        <v>2708</v>
      </c>
      <c r="C105" s="19" t="s">
        <v>16</v>
      </c>
      <c r="D105" s="19" t="s">
        <v>14</v>
      </c>
      <c r="E105" s="4">
        <v>0.85</v>
      </c>
      <c r="F105" s="42">
        <v>4.2</v>
      </c>
      <c r="G105" s="45">
        <v>250</v>
      </c>
      <c r="H105" s="22">
        <v>1.9</v>
      </c>
      <c r="I105" s="6">
        <f t="shared" si="1"/>
        <v>1695.75</v>
      </c>
      <c r="J105" s="7" t="s">
        <v>2639</v>
      </c>
    </row>
    <row r="106" spans="1:10" ht="13.95" customHeight="1" x14ac:dyDescent="0.3">
      <c r="A106" s="3">
        <v>45740</v>
      </c>
      <c r="B106" s="19" t="s">
        <v>2708</v>
      </c>
      <c r="C106" s="19" t="s">
        <v>18</v>
      </c>
      <c r="D106" s="19" t="s">
        <v>76</v>
      </c>
      <c r="E106" s="4">
        <v>0.55000000000000004</v>
      </c>
      <c r="F106" s="42">
        <v>3.4</v>
      </c>
      <c r="G106" s="45">
        <v>250</v>
      </c>
      <c r="H106" s="22">
        <v>1.9</v>
      </c>
      <c r="I106" s="6">
        <f t="shared" si="1"/>
        <v>888.25</v>
      </c>
      <c r="J106" s="7" t="s">
        <v>802</v>
      </c>
    </row>
    <row r="107" spans="1:10" ht="13.95" customHeight="1" x14ac:dyDescent="0.3">
      <c r="A107" s="3">
        <v>45741</v>
      </c>
      <c r="B107" s="19" t="s">
        <v>2708</v>
      </c>
      <c r="C107" s="19" t="s">
        <v>20</v>
      </c>
      <c r="D107" s="19" t="s">
        <v>76</v>
      </c>
      <c r="E107" s="4">
        <v>0.6</v>
      </c>
      <c r="F107" s="42">
        <v>3.5</v>
      </c>
      <c r="G107" s="45">
        <v>250</v>
      </c>
      <c r="H107" s="22">
        <v>1.9</v>
      </c>
      <c r="I107" s="6">
        <f t="shared" si="1"/>
        <v>997.5</v>
      </c>
      <c r="J107" s="7" t="s">
        <v>2640</v>
      </c>
    </row>
    <row r="108" spans="1:10" ht="13.95" customHeight="1" x14ac:dyDescent="0.3">
      <c r="A108" s="3">
        <v>45742</v>
      </c>
      <c r="B108" s="19" t="s">
        <v>2708</v>
      </c>
      <c r="C108" s="19" t="s">
        <v>5</v>
      </c>
      <c r="D108" s="19" t="s">
        <v>2615</v>
      </c>
      <c r="E108" s="4">
        <v>0.95</v>
      </c>
      <c r="F108" s="42">
        <v>4.95</v>
      </c>
      <c r="G108" s="45">
        <v>250</v>
      </c>
      <c r="H108" s="22">
        <v>1.9</v>
      </c>
      <c r="I108" s="6">
        <f t="shared" si="1"/>
        <v>2233.6875</v>
      </c>
      <c r="J108" s="7" t="s">
        <v>2616</v>
      </c>
    </row>
    <row r="109" spans="1:10" ht="13.95" customHeight="1" x14ac:dyDescent="0.3">
      <c r="A109" s="3">
        <v>45743</v>
      </c>
      <c r="B109" s="19" t="s">
        <v>2708</v>
      </c>
      <c r="C109" s="19" t="s">
        <v>8</v>
      </c>
      <c r="D109" s="19" t="s">
        <v>76</v>
      </c>
      <c r="E109" s="4">
        <v>0.65</v>
      </c>
      <c r="F109" s="42">
        <v>3.6</v>
      </c>
      <c r="G109" s="45">
        <v>250</v>
      </c>
      <c r="H109" s="22">
        <v>1.9</v>
      </c>
      <c r="I109" s="6">
        <f t="shared" si="1"/>
        <v>1111.5</v>
      </c>
      <c r="J109" s="7" t="s">
        <v>2641</v>
      </c>
    </row>
    <row r="110" spans="1:10" ht="13.95" customHeight="1" x14ac:dyDescent="0.3">
      <c r="A110" s="3">
        <v>45744</v>
      </c>
      <c r="B110" s="19" t="s">
        <v>2708</v>
      </c>
      <c r="C110" s="19" t="s">
        <v>11</v>
      </c>
      <c r="D110" s="19" t="s">
        <v>904</v>
      </c>
      <c r="E110" s="4">
        <v>0.85</v>
      </c>
      <c r="F110" s="42">
        <v>3.8</v>
      </c>
      <c r="G110" s="45">
        <v>250</v>
      </c>
      <c r="H110" s="22">
        <v>1.9</v>
      </c>
      <c r="I110" s="6">
        <f t="shared" si="1"/>
        <v>1534.25</v>
      </c>
      <c r="J110" s="7" t="s">
        <v>1440</v>
      </c>
    </row>
    <row r="111" spans="1:10" ht="13.95" customHeight="1" x14ac:dyDescent="0.3">
      <c r="A111" s="3">
        <v>45745</v>
      </c>
      <c r="B111" s="19" t="s">
        <v>2708</v>
      </c>
      <c r="C111" s="19" t="s">
        <v>13</v>
      </c>
      <c r="D111" s="19" t="s">
        <v>904</v>
      </c>
      <c r="E111" s="4">
        <v>0.95</v>
      </c>
      <c r="F111" s="42">
        <v>4</v>
      </c>
      <c r="G111" s="45">
        <v>250</v>
      </c>
      <c r="H111" s="22">
        <v>1.9</v>
      </c>
      <c r="I111" s="6">
        <f t="shared" si="1"/>
        <v>1805</v>
      </c>
      <c r="J111" s="7" t="s">
        <v>2642</v>
      </c>
    </row>
    <row r="112" spans="1:10" ht="13.95" customHeight="1" x14ac:dyDescent="0.3">
      <c r="A112" s="3">
        <v>45746</v>
      </c>
      <c r="B112" s="19" t="s">
        <v>2708</v>
      </c>
      <c r="C112" s="19" t="s">
        <v>16</v>
      </c>
      <c r="D112" s="19" t="s">
        <v>2617</v>
      </c>
      <c r="E112" s="4">
        <v>1</v>
      </c>
      <c r="F112" s="42">
        <v>4.7</v>
      </c>
      <c r="G112" s="45">
        <v>250</v>
      </c>
      <c r="H112" s="22">
        <v>1.9</v>
      </c>
      <c r="I112" s="6">
        <f t="shared" si="1"/>
        <v>2232.5</v>
      </c>
      <c r="J112" s="7" t="s">
        <v>2618</v>
      </c>
    </row>
    <row r="113" spans="1:10" ht="13.95" customHeight="1" x14ac:dyDescent="0.3">
      <c r="A113" s="3">
        <v>45747</v>
      </c>
      <c r="B113" s="19" t="s">
        <v>2708</v>
      </c>
      <c r="C113" s="19" t="s">
        <v>18</v>
      </c>
      <c r="D113" s="19" t="s">
        <v>2619</v>
      </c>
      <c r="E113" s="4">
        <v>1</v>
      </c>
      <c r="F113" s="42">
        <v>4.3</v>
      </c>
      <c r="G113" s="45">
        <v>250</v>
      </c>
      <c r="H113" s="22">
        <v>1.9</v>
      </c>
      <c r="I113" s="6">
        <f t="shared" si="1"/>
        <v>2042.5</v>
      </c>
      <c r="J113" s="7" t="s">
        <v>2620</v>
      </c>
    </row>
    <row r="114" spans="1:10" ht="13.95" customHeight="1" x14ac:dyDescent="0.3">
      <c r="A114" s="3">
        <v>45748</v>
      </c>
      <c r="B114" s="19" t="s">
        <v>2708</v>
      </c>
      <c r="C114" s="19" t="s">
        <v>20</v>
      </c>
      <c r="D114" s="19" t="s">
        <v>1314</v>
      </c>
      <c r="E114" s="4">
        <v>0.6</v>
      </c>
      <c r="F114" s="42">
        <v>2.2999999999999998</v>
      </c>
      <c r="G114" s="45">
        <v>250</v>
      </c>
      <c r="H114" s="22">
        <v>2</v>
      </c>
      <c r="I114" s="6">
        <f t="shared" si="1"/>
        <v>690</v>
      </c>
      <c r="J114" s="7" t="s">
        <v>2643</v>
      </c>
    </row>
    <row r="115" spans="1:10" ht="13.95" customHeight="1" x14ac:dyDescent="0.3">
      <c r="A115" s="3">
        <v>45749</v>
      </c>
      <c r="B115" s="19" t="s">
        <v>2708</v>
      </c>
      <c r="C115" s="19" t="s">
        <v>5</v>
      </c>
      <c r="D115" s="19" t="s">
        <v>9</v>
      </c>
      <c r="E115" s="4">
        <v>0.55000000000000004</v>
      </c>
      <c r="F115" s="42">
        <v>2.25</v>
      </c>
      <c r="G115" s="45">
        <v>250</v>
      </c>
      <c r="H115" s="22">
        <v>2</v>
      </c>
      <c r="I115" s="6">
        <f t="shared" si="1"/>
        <v>618.75</v>
      </c>
      <c r="J115" s="7" t="s">
        <v>2501</v>
      </c>
    </row>
    <row r="116" spans="1:10" ht="13.95" customHeight="1" x14ac:dyDescent="0.3">
      <c r="A116" s="3">
        <v>45750</v>
      </c>
      <c r="B116" s="19" t="s">
        <v>2708</v>
      </c>
      <c r="C116" s="19" t="s">
        <v>8</v>
      </c>
      <c r="D116" s="19" t="s">
        <v>1263</v>
      </c>
      <c r="E116" s="4">
        <v>0.7</v>
      </c>
      <c r="F116" s="42">
        <v>2.4500000000000002</v>
      </c>
      <c r="G116" s="45">
        <v>250</v>
      </c>
      <c r="H116" s="22">
        <v>2</v>
      </c>
      <c r="I116" s="6">
        <f t="shared" si="1"/>
        <v>857.50000000000011</v>
      </c>
      <c r="J116" s="7" t="s">
        <v>2644</v>
      </c>
    </row>
    <row r="117" spans="1:10" ht="13.95" customHeight="1" x14ac:dyDescent="0.3">
      <c r="A117" s="3">
        <v>45751</v>
      </c>
      <c r="B117" s="19" t="s">
        <v>2708</v>
      </c>
      <c r="C117" s="19" t="s">
        <v>11</v>
      </c>
      <c r="D117" s="19" t="s">
        <v>14</v>
      </c>
      <c r="E117" s="4">
        <v>0.75</v>
      </c>
      <c r="F117" s="42">
        <v>2.85</v>
      </c>
      <c r="G117" s="45">
        <v>250</v>
      </c>
      <c r="H117" s="22">
        <v>2</v>
      </c>
      <c r="I117" s="6">
        <f t="shared" si="1"/>
        <v>1068.75</v>
      </c>
      <c r="J117" s="7" t="s">
        <v>282</v>
      </c>
    </row>
    <row r="118" spans="1:10" ht="13.95" customHeight="1" x14ac:dyDescent="0.3">
      <c r="A118" s="3">
        <v>45752</v>
      </c>
      <c r="B118" s="19" t="s">
        <v>2708</v>
      </c>
      <c r="C118" s="19" t="s">
        <v>13</v>
      </c>
      <c r="D118" s="19" t="s">
        <v>14</v>
      </c>
      <c r="E118" s="4">
        <v>0.85</v>
      </c>
      <c r="F118" s="42">
        <v>3.5</v>
      </c>
      <c r="G118" s="45">
        <v>250</v>
      </c>
      <c r="H118" s="22">
        <v>2</v>
      </c>
      <c r="I118" s="6">
        <f t="shared" si="1"/>
        <v>1487.5</v>
      </c>
      <c r="J118" s="7" t="s">
        <v>2621</v>
      </c>
    </row>
    <row r="119" spans="1:10" ht="13.95" customHeight="1" x14ac:dyDescent="0.3">
      <c r="A119" s="3">
        <v>45753</v>
      </c>
      <c r="B119" s="19" t="s">
        <v>2708</v>
      </c>
      <c r="C119" s="19" t="s">
        <v>16</v>
      </c>
      <c r="D119" s="19" t="s">
        <v>14</v>
      </c>
      <c r="E119" s="4">
        <v>0.8</v>
      </c>
      <c r="F119" s="42">
        <v>3.1</v>
      </c>
      <c r="G119" s="45">
        <v>250</v>
      </c>
      <c r="H119" s="22">
        <v>2</v>
      </c>
      <c r="I119" s="6">
        <f t="shared" si="1"/>
        <v>1240</v>
      </c>
      <c r="J119" s="7" t="s">
        <v>238</v>
      </c>
    </row>
    <row r="120" spans="1:10" ht="13.95" customHeight="1" x14ac:dyDescent="0.3">
      <c r="A120" s="3">
        <v>45754</v>
      </c>
      <c r="B120" s="19" t="s">
        <v>2708</v>
      </c>
      <c r="C120" s="19" t="s">
        <v>18</v>
      </c>
      <c r="D120" s="19" t="s">
        <v>9</v>
      </c>
      <c r="E120" s="4">
        <v>0.55000000000000004</v>
      </c>
      <c r="F120" s="42">
        <v>2.2000000000000002</v>
      </c>
      <c r="G120" s="45">
        <v>250</v>
      </c>
      <c r="H120" s="22">
        <v>2</v>
      </c>
      <c r="I120" s="6">
        <f t="shared" si="1"/>
        <v>605</v>
      </c>
      <c r="J120" s="7" t="s">
        <v>1297</v>
      </c>
    </row>
    <row r="121" spans="1:10" ht="13.95" customHeight="1" x14ac:dyDescent="0.3">
      <c r="A121" s="3">
        <v>45758</v>
      </c>
      <c r="B121" s="19" t="s">
        <v>2708</v>
      </c>
      <c r="C121" s="19" t="s">
        <v>11</v>
      </c>
      <c r="D121" s="19" t="s">
        <v>658</v>
      </c>
      <c r="E121" s="4">
        <v>0.75</v>
      </c>
      <c r="F121" s="42">
        <v>2.95</v>
      </c>
      <c r="G121" s="45">
        <v>250</v>
      </c>
      <c r="H121" s="22">
        <v>2</v>
      </c>
      <c r="I121" s="6">
        <f t="shared" si="1"/>
        <v>1106.25</v>
      </c>
      <c r="J121" s="7" t="s">
        <v>2645</v>
      </c>
    </row>
    <row r="122" spans="1:10" ht="13.95" customHeight="1" x14ac:dyDescent="0.3">
      <c r="A122" s="3">
        <v>45759</v>
      </c>
      <c r="B122" s="19" t="s">
        <v>2708</v>
      </c>
      <c r="C122" s="19" t="s">
        <v>13</v>
      </c>
      <c r="D122" s="19" t="s">
        <v>14</v>
      </c>
      <c r="E122" s="4">
        <v>0.9</v>
      </c>
      <c r="F122" s="42">
        <v>3.65</v>
      </c>
      <c r="G122" s="45">
        <v>250</v>
      </c>
      <c r="H122" s="22">
        <v>2</v>
      </c>
      <c r="I122" s="6">
        <f t="shared" si="1"/>
        <v>1642.5</v>
      </c>
      <c r="J122" s="7" t="s">
        <v>2623</v>
      </c>
    </row>
    <row r="123" spans="1:10" ht="13.95" customHeight="1" x14ac:dyDescent="0.3">
      <c r="A123" s="3">
        <v>45760</v>
      </c>
      <c r="B123" s="19" t="s">
        <v>2708</v>
      </c>
      <c r="C123" s="19" t="s">
        <v>16</v>
      </c>
      <c r="D123" s="19" t="s">
        <v>14</v>
      </c>
      <c r="E123" s="4">
        <v>0.85</v>
      </c>
      <c r="F123" s="42">
        <v>3.35</v>
      </c>
      <c r="G123" s="45">
        <v>250</v>
      </c>
      <c r="H123" s="22">
        <v>2</v>
      </c>
      <c r="I123" s="6">
        <f t="shared" si="1"/>
        <v>1423.75</v>
      </c>
      <c r="J123" s="7" t="s">
        <v>1911</v>
      </c>
    </row>
    <row r="124" spans="1:10" ht="13.95" customHeight="1" x14ac:dyDescent="0.3">
      <c r="A124" s="3">
        <v>45761</v>
      </c>
      <c r="B124" s="19" t="s">
        <v>2708</v>
      </c>
      <c r="C124" s="19" t="s">
        <v>18</v>
      </c>
      <c r="D124" s="19" t="s">
        <v>658</v>
      </c>
      <c r="E124" s="4">
        <v>0.7</v>
      </c>
      <c r="F124" s="42">
        <v>2.65</v>
      </c>
      <c r="G124" s="45">
        <v>250</v>
      </c>
      <c r="H124" s="22">
        <v>2</v>
      </c>
      <c r="I124" s="6">
        <f t="shared" si="1"/>
        <v>927.5</v>
      </c>
      <c r="J124" s="7" t="s">
        <v>2646</v>
      </c>
    </row>
    <row r="125" spans="1:10" ht="13.95" customHeight="1" x14ac:dyDescent="0.3">
      <c r="A125" s="3">
        <v>45765</v>
      </c>
      <c r="B125" s="19" t="s">
        <v>2708</v>
      </c>
      <c r="C125" s="19" t="s">
        <v>11</v>
      </c>
      <c r="D125" s="19" t="s">
        <v>905</v>
      </c>
      <c r="E125" s="4">
        <v>0.85</v>
      </c>
      <c r="F125" s="42">
        <v>3.25</v>
      </c>
      <c r="G125" s="45">
        <v>250</v>
      </c>
      <c r="H125" s="22">
        <v>2</v>
      </c>
      <c r="I125" s="6">
        <f t="shared" ref="I125:I188" si="2">(G125*E125)*F125*H125</f>
        <v>1381.25</v>
      </c>
      <c r="J125" s="7" t="s">
        <v>2647</v>
      </c>
    </row>
    <row r="126" spans="1:10" ht="13.95" customHeight="1" x14ac:dyDescent="0.3">
      <c r="A126" s="3">
        <v>45766</v>
      </c>
      <c r="B126" s="19" t="s">
        <v>2708</v>
      </c>
      <c r="C126" s="19" t="s">
        <v>13</v>
      </c>
      <c r="D126" s="19" t="s">
        <v>1774</v>
      </c>
      <c r="E126" s="4">
        <v>0.95</v>
      </c>
      <c r="F126" s="42">
        <v>4.1500000000000004</v>
      </c>
      <c r="G126" s="45">
        <v>250</v>
      </c>
      <c r="H126" s="22">
        <v>2</v>
      </c>
      <c r="I126" s="6">
        <f t="shared" si="2"/>
        <v>1971.2500000000002</v>
      </c>
      <c r="J126" s="7" t="s">
        <v>2648</v>
      </c>
    </row>
    <row r="127" spans="1:10" ht="13.95" customHeight="1" x14ac:dyDescent="0.3">
      <c r="A127" s="3">
        <v>45767</v>
      </c>
      <c r="B127" s="19" t="s">
        <v>2708</v>
      </c>
      <c r="C127" s="19" t="s">
        <v>16</v>
      </c>
      <c r="D127" s="19" t="s">
        <v>1774</v>
      </c>
      <c r="E127" s="4">
        <v>0.95</v>
      </c>
      <c r="F127" s="42">
        <v>3.95</v>
      </c>
      <c r="G127" s="45">
        <v>250</v>
      </c>
      <c r="H127" s="22">
        <v>2</v>
      </c>
      <c r="I127" s="6">
        <f t="shared" si="2"/>
        <v>1876.25</v>
      </c>
      <c r="J127" s="7" t="s">
        <v>2627</v>
      </c>
    </row>
    <row r="128" spans="1:10" ht="13.95" customHeight="1" x14ac:dyDescent="0.3">
      <c r="A128" s="3">
        <v>45768</v>
      </c>
      <c r="B128" s="19" t="s">
        <v>2708</v>
      </c>
      <c r="C128" s="19" t="s">
        <v>18</v>
      </c>
      <c r="D128" s="19" t="s">
        <v>905</v>
      </c>
      <c r="E128" s="4">
        <v>0.8</v>
      </c>
      <c r="F128" s="42">
        <v>3</v>
      </c>
      <c r="G128" s="45">
        <v>250</v>
      </c>
      <c r="H128" s="22">
        <v>2</v>
      </c>
      <c r="I128" s="6">
        <f t="shared" si="2"/>
        <v>1200</v>
      </c>
      <c r="J128" s="7" t="s">
        <v>2649</v>
      </c>
    </row>
    <row r="129" spans="1:10" ht="13.95" customHeight="1" x14ac:dyDescent="0.3">
      <c r="A129" s="3">
        <v>45769</v>
      </c>
      <c r="B129" s="19" t="s">
        <v>2708</v>
      </c>
      <c r="C129" s="19" t="s">
        <v>20</v>
      </c>
      <c r="D129" s="19" t="s">
        <v>658</v>
      </c>
      <c r="E129" s="4">
        <v>0.75</v>
      </c>
      <c r="F129" s="42">
        <v>2.7</v>
      </c>
      <c r="G129" s="45">
        <v>250</v>
      </c>
      <c r="H129" s="22">
        <v>2</v>
      </c>
      <c r="I129" s="6">
        <f t="shared" si="2"/>
        <v>1012.5000000000001</v>
      </c>
      <c r="J129" s="7" t="s">
        <v>2629</v>
      </c>
    </row>
    <row r="130" spans="1:10" ht="13.95" customHeight="1" x14ac:dyDescent="0.3">
      <c r="A130" s="3">
        <v>45770</v>
      </c>
      <c r="B130" s="19" t="s">
        <v>2708</v>
      </c>
      <c r="C130" s="19" t="s">
        <v>5</v>
      </c>
      <c r="D130" s="19" t="s">
        <v>658</v>
      </c>
      <c r="E130" s="4">
        <v>0.75</v>
      </c>
      <c r="F130" s="42">
        <v>2.7</v>
      </c>
      <c r="G130" s="45">
        <v>250</v>
      </c>
      <c r="H130" s="22">
        <v>2</v>
      </c>
      <c r="I130" s="6">
        <f t="shared" si="2"/>
        <v>1012.5000000000001</v>
      </c>
      <c r="J130" s="7" t="s">
        <v>2629</v>
      </c>
    </row>
    <row r="131" spans="1:10" ht="13.95" customHeight="1" x14ac:dyDescent="0.3">
      <c r="A131" s="3">
        <v>45771</v>
      </c>
      <c r="B131" s="19" t="s">
        <v>2708</v>
      </c>
      <c r="C131" s="19" t="s">
        <v>8</v>
      </c>
      <c r="D131" s="19" t="s">
        <v>658</v>
      </c>
      <c r="E131" s="4">
        <v>0.8</v>
      </c>
      <c r="F131" s="42">
        <v>2.75</v>
      </c>
      <c r="G131" s="45">
        <v>250</v>
      </c>
      <c r="H131" s="22">
        <v>2</v>
      </c>
      <c r="I131" s="6">
        <f t="shared" si="2"/>
        <v>1100</v>
      </c>
      <c r="J131" s="7" t="s">
        <v>2466</v>
      </c>
    </row>
    <row r="132" spans="1:10" ht="13.95" customHeight="1" x14ac:dyDescent="0.3">
      <c r="A132" s="3">
        <v>45772</v>
      </c>
      <c r="B132" s="19" t="s">
        <v>2708</v>
      </c>
      <c r="C132" s="19" t="s">
        <v>11</v>
      </c>
      <c r="D132" s="19" t="s">
        <v>14</v>
      </c>
      <c r="E132" s="4">
        <v>0.9</v>
      </c>
      <c r="F132" s="42">
        <v>3.3</v>
      </c>
      <c r="G132" s="45">
        <v>250</v>
      </c>
      <c r="H132" s="22">
        <v>2</v>
      </c>
      <c r="I132" s="6">
        <f t="shared" si="2"/>
        <v>1485</v>
      </c>
      <c r="J132" s="7" t="s">
        <v>2405</v>
      </c>
    </row>
    <row r="133" spans="1:10" ht="13.95" customHeight="1" x14ac:dyDescent="0.3">
      <c r="A133" s="3">
        <v>45773</v>
      </c>
      <c r="B133" s="19" t="s">
        <v>2708</v>
      </c>
      <c r="C133" s="19" t="s">
        <v>13</v>
      </c>
      <c r="D133" s="19" t="s">
        <v>14</v>
      </c>
      <c r="E133" s="4">
        <v>0.95</v>
      </c>
      <c r="F133" s="42">
        <v>3.75</v>
      </c>
      <c r="G133" s="45">
        <v>250</v>
      </c>
      <c r="H133" s="22">
        <v>2</v>
      </c>
      <c r="I133" s="6">
        <f t="shared" si="2"/>
        <v>1781.25</v>
      </c>
      <c r="J133" s="7" t="s">
        <v>2630</v>
      </c>
    </row>
    <row r="134" spans="1:10" ht="13.95" customHeight="1" x14ac:dyDescent="0.3">
      <c r="A134" s="3">
        <v>45774</v>
      </c>
      <c r="B134" s="19" t="s">
        <v>2708</v>
      </c>
      <c r="C134" s="19" t="s">
        <v>16</v>
      </c>
      <c r="D134" s="19" t="s">
        <v>14</v>
      </c>
      <c r="E134" s="4">
        <v>0.9</v>
      </c>
      <c r="F134" s="42">
        <v>3.4</v>
      </c>
      <c r="G134" s="45">
        <v>250</v>
      </c>
      <c r="H134" s="22">
        <v>2</v>
      </c>
      <c r="I134" s="6">
        <f t="shared" si="2"/>
        <v>1530</v>
      </c>
      <c r="J134" s="7" t="s">
        <v>2650</v>
      </c>
    </row>
    <row r="135" spans="1:10" ht="13.95" customHeight="1" x14ac:dyDescent="0.3">
      <c r="A135" s="3">
        <v>45777</v>
      </c>
      <c r="B135" s="19" t="s">
        <v>2708</v>
      </c>
      <c r="C135" s="19" t="s">
        <v>5</v>
      </c>
      <c r="D135" s="19" t="s">
        <v>994</v>
      </c>
      <c r="E135" s="4">
        <v>0.85</v>
      </c>
      <c r="F135" s="42">
        <v>2.9</v>
      </c>
      <c r="G135" s="45">
        <v>250</v>
      </c>
      <c r="H135" s="22">
        <v>2</v>
      </c>
      <c r="I135" s="6">
        <f t="shared" si="2"/>
        <v>1232.5</v>
      </c>
      <c r="J135" s="7" t="s">
        <v>2631</v>
      </c>
    </row>
    <row r="136" spans="1:10" ht="13.95" customHeight="1" x14ac:dyDescent="0.3">
      <c r="A136" s="3">
        <v>45778</v>
      </c>
      <c r="B136" s="19" t="s">
        <v>2708</v>
      </c>
      <c r="C136" s="19" t="s">
        <v>8</v>
      </c>
      <c r="D136" s="19" t="s">
        <v>742</v>
      </c>
      <c r="E136" s="4">
        <v>1</v>
      </c>
      <c r="F136" s="42">
        <v>3.6</v>
      </c>
      <c r="G136" s="45">
        <v>250</v>
      </c>
      <c r="H136" s="22">
        <v>2.1</v>
      </c>
      <c r="I136" s="6">
        <f t="shared" si="2"/>
        <v>1890</v>
      </c>
      <c r="J136" s="7" t="s">
        <v>2401</v>
      </c>
    </row>
    <row r="137" spans="1:10" ht="13.95" customHeight="1" x14ac:dyDescent="0.3">
      <c r="A137" s="3">
        <v>45779</v>
      </c>
      <c r="B137" s="19" t="s">
        <v>2708</v>
      </c>
      <c r="C137" s="19" t="s">
        <v>11</v>
      </c>
      <c r="D137" s="19" t="s">
        <v>229</v>
      </c>
      <c r="E137" s="4">
        <v>0.9</v>
      </c>
      <c r="F137" s="42">
        <v>3.1</v>
      </c>
      <c r="G137" s="45">
        <v>250</v>
      </c>
      <c r="H137" s="22">
        <v>2.1</v>
      </c>
      <c r="I137" s="6">
        <f t="shared" si="2"/>
        <v>1464.75</v>
      </c>
      <c r="J137" s="7" t="s">
        <v>197</v>
      </c>
    </row>
    <row r="138" spans="1:10" ht="13.95" customHeight="1" x14ac:dyDescent="0.3">
      <c r="A138" s="3">
        <v>45780</v>
      </c>
      <c r="B138" s="19" t="s">
        <v>2708</v>
      </c>
      <c r="C138" s="19" t="s">
        <v>13</v>
      </c>
      <c r="D138" s="19" t="s">
        <v>14</v>
      </c>
      <c r="E138" s="4">
        <v>1</v>
      </c>
      <c r="F138" s="42">
        <v>4</v>
      </c>
      <c r="G138" s="45">
        <v>250</v>
      </c>
      <c r="H138" s="22">
        <v>2.1</v>
      </c>
      <c r="I138" s="6">
        <f t="shared" si="2"/>
        <v>2100</v>
      </c>
      <c r="J138" s="7" t="s">
        <v>2513</v>
      </c>
    </row>
    <row r="139" spans="1:10" ht="13.95" customHeight="1" x14ac:dyDescent="0.3">
      <c r="A139" s="3">
        <v>45781</v>
      </c>
      <c r="B139" s="19" t="s">
        <v>2708</v>
      </c>
      <c r="C139" s="19" t="s">
        <v>16</v>
      </c>
      <c r="D139" s="19" t="s">
        <v>14</v>
      </c>
      <c r="E139" s="4">
        <v>0.95</v>
      </c>
      <c r="F139" s="42">
        <v>3.45</v>
      </c>
      <c r="G139" s="45">
        <v>250</v>
      </c>
      <c r="H139" s="22">
        <v>2.1</v>
      </c>
      <c r="I139" s="6">
        <f t="shared" si="2"/>
        <v>1720.6875</v>
      </c>
      <c r="J139" s="7" t="s">
        <v>238</v>
      </c>
    </row>
    <row r="140" spans="1:10" ht="13.95" customHeight="1" x14ac:dyDescent="0.3">
      <c r="A140" s="3">
        <v>45782</v>
      </c>
      <c r="B140" s="19" t="s">
        <v>2708</v>
      </c>
      <c r="C140" s="19" t="s">
        <v>18</v>
      </c>
      <c r="D140" s="19" t="s">
        <v>1263</v>
      </c>
      <c r="E140" s="4">
        <v>0.75</v>
      </c>
      <c r="F140" s="42">
        <v>2.4500000000000002</v>
      </c>
      <c r="G140" s="45">
        <v>250</v>
      </c>
      <c r="H140" s="22">
        <v>2.1</v>
      </c>
      <c r="I140" s="6">
        <f t="shared" si="2"/>
        <v>964.68750000000011</v>
      </c>
      <c r="J140" s="7" t="s">
        <v>1376</v>
      </c>
    </row>
    <row r="141" spans="1:10" ht="13.95" customHeight="1" x14ac:dyDescent="0.3">
      <c r="A141" s="3">
        <v>45783</v>
      </c>
      <c r="B141" s="19" t="s">
        <v>2708</v>
      </c>
      <c r="C141" s="19" t="s">
        <v>20</v>
      </c>
      <c r="D141" s="19" t="s">
        <v>1263</v>
      </c>
      <c r="E141" s="4">
        <v>0.75</v>
      </c>
      <c r="F141" s="42">
        <v>2.4500000000000002</v>
      </c>
      <c r="G141" s="45">
        <v>250</v>
      </c>
      <c r="H141" s="22">
        <v>2.1</v>
      </c>
      <c r="I141" s="6">
        <f t="shared" si="2"/>
        <v>964.68750000000011</v>
      </c>
      <c r="J141" s="7" t="s">
        <v>1376</v>
      </c>
    </row>
    <row r="142" spans="1:10" ht="13.95" customHeight="1" x14ac:dyDescent="0.3">
      <c r="A142" s="3">
        <v>45784</v>
      </c>
      <c r="B142" s="19" t="s">
        <v>2708</v>
      </c>
      <c r="C142" s="19" t="s">
        <v>5</v>
      </c>
      <c r="D142" s="19" t="s">
        <v>9</v>
      </c>
      <c r="E142" s="4">
        <v>0.7</v>
      </c>
      <c r="F142" s="42">
        <v>2.2999999999999998</v>
      </c>
      <c r="G142" s="45">
        <v>250</v>
      </c>
      <c r="H142" s="22">
        <v>2.1</v>
      </c>
      <c r="I142" s="6">
        <f t="shared" si="2"/>
        <v>845.24999999999989</v>
      </c>
      <c r="J142" s="7" t="s">
        <v>2501</v>
      </c>
    </row>
    <row r="143" spans="1:10" ht="13.95" customHeight="1" x14ac:dyDescent="0.3">
      <c r="A143" s="3">
        <v>45785</v>
      </c>
      <c r="B143" s="19" t="s">
        <v>2708</v>
      </c>
      <c r="C143" s="19" t="s">
        <v>8</v>
      </c>
      <c r="D143" s="19" t="s">
        <v>9</v>
      </c>
      <c r="E143" s="4">
        <v>0.75</v>
      </c>
      <c r="F143" s="42">
        <v>2.35</v>
      </c>
      <c r="G143" s="45">
        <v>250</v>
      </c>
      <c r="H143" s="22">
        <v>2.1</v>
      </c>
      <c r="I143" s="6">
        <f t="shared" si="2"/>
        <v>925.3125</v>
      </c>
      <c r="J143" s="7" t="s">
        <v>2466</v>
      </c>
    </row>
    <row r="144" spans="1:10" ht="13.95" customHeight="1" x14ac:dyDescent="0.3">
      <c r="A144" s="3">
        <v>45786</v>
      </c>
      <c r="B144" s="19" t="s">
        <v>2708</v>
      </c>
      <c r="C144" s="19" t="s">
        <v>11</v>
      </c>
      <c r="D144" s="19" t="s">
        <v>14</v>
      </c>
      <c r="E144" s="4">
        <v>0.85</v>
      </c>
      <c r="F144" s="42">
        <v>3.15</v>
      </c>
      <c r="G144" s="45">
        <v>250</v>
      </c>
      <c r="H144" s="22">
        <v>2.1</v>
      </c>
      <c r="I144" s="6">
        <f t="shared" si="2"/>
        <v>1405.6875</v>
      </c>
      <c r="J144" s="7" t="s">
        <v>282</v>
      </c>
    </row>
    <row r="145" spans="1:10" ht="13.95" customHeight="1" x14ac:dyDescent="0.3">
      <c r="A145" s="3">
        <v>45787</v>
      </c>
      <c r="B145" s="19" t="s">
        <v>2708</v>
      </c>
      <c r="C145" s="19" t="s">
        <v>13</v>
      </c>
      <c r="D145" s="19" t="s">
        <v>14</v>
      </c>
      <c r="E145" s="4">
        <v>0.95</v>
      </c>
      <c r="F145" s="42">
        <v>3.75</v>
      </c>
      <c r="G145" s="45">
        <v>250</v>
      </c>
      <c r="H145" s="22">
        <v>2.1</v>
      </c>
      <c r="I145" s="6">
        <f t="shared" si="2"/>
        <v>1870.3125</v>
      </c>
      <c r="J145" s="7" t="s">
        <v>2593</v>
      </c>
    </row>
    <row r="146" spans="1:10" ht="13.95" customHeight="1" x14ac:dyDescent="0.3">
      <c r="A146" s="3">
        <v>45941</v>
      </c>
      <c r="B146" s="19" t="s">
        <v>2708</v>
      </c>
      <c r="C146" s="19" t="s">
        <v>16</v>
      </c>
      <c r="D146" s="19" t="s">
        <v>14</v>
      </c>
      <c r="E146" s="4">
        <v>0.9</v>
      </c>
      <c r="F146" s="42">
        <v>3.35</v>
      </c>
      <c r="G146" s="45">
        <v>250</v>
      </c>
      <c r="H146" s="22">
        <v>2.1</v>
      </c>
      <c r="I146" s="6">
        <f t="shared" si="2"/>
        <v>1582.875</v>
      </c>
      <c r="J146" s="7" t="s">
        <v>1911</v>
      </c>
    </row>
    <row r="147" spans="1:10" ht="13.95" customHeight="1" x14ac:dyDescent="0.3">
      <c r="A147" s="3">
        <v>45789</v>
      </c>
      <c r="B147" s="19" t="s">
        <v>2708</v>
      </c>
      <c r="C147" s="19" t="s">
        <v>18</v>
      </c>
      <c r="D147" s="19" t="s">
        <v>9</v>
      </c>
      <c r="E147" s="4">
        <v>0.65</v>
      </c>
      <c r="F147" s="42">
        <v>2.25</v>
      </c>
      <c r="G147" s="45">
        <v>250</v>
      </c>
      <c r="H147" s="22">
        <v>2.1</v>
      </c>
      <c r="I147" s="6">
        <f t="shared" si="2"/>
        <v>767.8125</v>
      </c>
      <c r="J147" s="7" t="s">
        <v>88</v>
      </c>
    </row>
    <row r="148" spans="1:10" ht="13.95" customHeight="1" x14ac:dyDescent="0.3">
      <c r="A148" s="3">
        <v>45790</v>
      </c>
      <c r="B148" s="19" t="s">
        <v>2708</v>
      </c>
      <c r="C148" s="19" t="s">
        <v>20</v>
      </c>
      <c r="D148" s="19" t="s">
        <v>9</v>
      </c>
      <c r="E148" s="4">
        <v>0.65</v>
      </c>
      <c r="F148" s="42">
        <v>2.25</v>
      </c>
      <c r="G148" s="45">
        <v>250</v>
      </c>
      <c r="H148" s="22">
        <v>2.1</v>
      </c>
      <c r="I148" s="6">
        <f t="shared" si="2"/>
        <v>767.8125</v>
      </c>
      <c r="J148" s="7" t="s">
        <v>88</v>
      </c>
    </row>
    <row r="149" spans="1:10" ht="13.95" customHeight="1" x14ac:dyDescent="0.3">
      <c r="A149" s="3">
        <v>45791</v>
      </c>
      <c r="B149" s="19" t="s">
        <v>2708</v>
      </c>
      <c r="C149" s="19" t="s">
        <v>5</v>
      </c>
      <c r="D149" s="19" t="s">
        <v>9</v>
      </c>
      <c r="E149" s="4">
        <v>0.7</v>
      </c>
      <c r="F149" s="42">
        <v>2.2999999999999998</v>
      </c>
      <c r="G149" s="45">
        <v>250</v>
      </c>
      <c r="H149" s="22">
        <v>2.1</v>
      </c>
      <c r="I149" s="6">
        <f t="shared" si="2"/>
        <v>845.24999999999989</v>
      </c>
      <c r="J149" s="7" t="s">
        <v>88</v>
      </c>
    </row>
    <row r="150" spans="1:10" ht="13.95" customHeight="1" x14ac:dyDescent="0.3">
      <c r="A150" s="3">
        <v>45792</v>
      </c>
      <c r="B150" s="19" t="s">
        <v>2708</v>
      </c>
      <c r="C150" s="19" t="s">
        <v>8</v>
      </c>
      <c r="D150" s="19" t="s">
        <v>1263</v>
      </c>
      <c r="E150" s="4">
        <v>0.8</v>
      </c>
      <c r="F150" s="42">
        <v>2.5</v>
      </c>
      <c r="G150" s="45">
        <v>250</v>
      </c>
      <c r="H150" s="22">
        <v>2.1</v>
      </c>
      <c r="I150" s="6">
        <f t="shared" si="2"/>
        <v>1050</v>
      </c>
      <c r="J150" s="7" t="s">
        <v>2569</v>
      </c>
    </row>
    <row r="151" spans="1:10" ht="13.95" customHeight="1" x14ac:dyDescent="0.3">
      <c r="A151" s="3">
        <v>45793</v>
      </c>
      <c r="B151" s="19" t="s">
        <v>2708</v>
      </c>
      <c r="C151" s="19" t="s">
        <v>11</v>
      </c>
      <c r="D151" s="19" t="s">
        <v>14</v>
      </c>
      <c r="E151" s="4">
        <v>0.85</v>
      </c>
      <c r="F151" s="42">
        <v>3.2</v>
      </c>
      <c r="G151" s="45">
        <v>250</v>
      </c>
      <c r="H151" s="22">
        <v>2.1</v>
      </c>
      <c r="I151" s="6">
        <f t="shared" si="2"/>
        <v>1428</v>
      </c>
      <c r="J151" s="7" t="s">
        <v>97</v>
      </c>
    </row>
    <row r="152" spans="1:10" ht="13.95" customHeight="1" x14ac:dyDescent="0.3">
      <c r="A152" s="3">
        <v>45794</v>
      </c>
      <c r="B152" s="19" t="s">
        <v>2708</v>
      </c>
      <c r="C152" s="19" t="s">
        <v>13</v>
      </c>
      <c r="D152" s="19" t="s">
        <v>14</v>
      </c>
      <c r="E152" s="4">
        <v>1</v>
      </c>
      <c r="F152" s="42">
        <v>3.9</v>
      </c>
      <c r="G152" s="45">
        <v>250</v>
      </c>
      <c r="H152" s="22">
        <v>2.1</v>
      </c>
      <c r="I152" s="6">
        <f t="shared" si="2"/>
        <v>2047.5</v>
      </c>
      <c r="J152" s="7" t="s">
        <v>2307</v>
      </c>
    </row>
    <row r="153" spans="1:10" ht="13.95" customHeight="1" x14ac:dyDescent="0.3">
      <c r="A153" s="3">
        <v>45795</v>
      </c>
      <c r="B153" s="19" t="s">
        <v>2708</v>
      </c>
      <c r="C153" s="19" t="s">
        <v>16</v>
      </c>
      <c r="D153" s="19" t="s">
        <v>14</v>
      </c>
      <c r="E153" s="4">
        <v>0.95</v>
      </c>
      <c r="F153" s="42">
        <v>3.5</v>
      </c>
      <c r="G153" s="45">
        <v>250</v>
      </c>
      <c r="H153" s="22">
        <v>2.1</v>
      </c>
      <c r="I153" s="6">
        <f t="shared" si="2"/>
        <v>1745.625</v>
      </c>
      <c r="J153" s="7" t="s">
        <v>159</v>
      </c>
    </row>
    <row r="154" spans="1:10" ht="13.95" customHeight="1" x14ac:dyDescent="0.3">
      <c r="A154" s="3">
        <v>45796</v>
      </c>
      <c r="B154" s="19" t="s">
        <v>2708</v>
      </c>
      <c r="C154" s="19" t="s">
        <v>18</v>
      </c>
      <c r="D154" s="19" t="s">
        <v>9</v>
      </c>
      <c r="E154" s="4">
        <v>0.7</v>
      </c>
      <c r="F154" s="42">
        <v>2.2999999999999998</v>
      </c>
      <c r="G154" s="45">
        <v>250</v>
      </c>
      <c r="H154" s="22">
        <v>2.1</v>
      </c>
      <c r="I154" s="6">
        <f t="shared" si="2"/>
        <v>845.24999999999989</v>
      </c>
      <c r="J154" s="7" t="s">
        <v>527</v>
      </c>
    </row>
    <row r="155" spans="1:10" ht="13.95" customHeight="1" x14ac:dyDescent="0.3">
      <c r="A155" s="3">
        <v>45797</v>
      </c>
      <c r="B155" s="19" t="s">
        <v>2708</v>
      </c>
      <c r="C155" s="19" t="s">
        <v>20</v>
      </c>
      <c r="D155" s="19" t="s">
        <v>9</v>
      </c>
      <c r="E155" s="4">
        <v>0.7</v>
      </c>
      <c r="F155" s="42">
        <v>2.2999999999999998</v>
      </c>
      <c r="G155" s="45">
        <v>250</v>
      </c>
      <c r="H155" s="22">
        <v>2.1</v>
      </c>
      <c r="I155" s="6">
        <f t="shared" si="2"/>
        <v>845.24999999999989</v>
      </c>
      <c r="J155" s="7" t="s">
        <v>88</v>
      </c>
    </row>
    <row r="156" spans="1:10" ht="13.95" customHeight="1" x14ac:dyDescent="0.3">
      <c r="A156" s="3">
        <v>45798</v>
      </c>
      <c r="B156" s="19" t="s">
        <v>2708</v>
      </c>
      <c r="C156" s="19" t="s">
        <v>5</v>
      </c>
      <c r="D156" s="19" t="s">
        <v>9</v>
      </c>
      <c r="E156" s="4">
        <v>0.75</v>
      </c>
      <c r="F156" s="42">
        <v>2.35</v>
      </c>
      <c r="G156" s="45">
        <v>250</v>
      </c>
      <c r="H156" s="22">
        <v>2.1</v>
      </c>
      <c r="I156" s="6">
        <f t="shared" si="2"/>
        <v>925.3125</v>
      </c>
      <c r="J156" s="7" t="s">
        <v>88</v>
      </c>
    </row>
    <row r="157" spans="1:10" ht="13.95" customHeight="1" x14ac:dyDescent="0.3">
      <c r="A157" s="3">
        <v>45799</v>
      </c>
      <c r="B157" s="19" t="s">
        <v>2708</v>
      </c>
      <c r="C157" s="19" t="s">
        <v>8</v>
      </c>
      <c r="D157" s="19" t="s">
        <v>1263</v>
      </c>
      <c r="E157" s="4">
        <v>0.85</v>
      </c>
      <c r="F157" s="42">
        <v>2.5499999999999998</v>
      </c>
      <c r="G157" s="45">
        <v>250</v>
      </c>
      <c r="H157" s="22">
        <v>2.1</v>
      </c>
      <c r="I157" s="6">
        <f t="shared" si="2"/>
        <v>1137.9375</v>
      </c>
      <c r="J157" s="7" t="s">
        <v>2569</v>
      </c>
    </row>
    <row r="158" spans="1:10" ht="13.95" customHeight="1" x14ac:dyDescent="0.3">
      <c r="A158" s="3">
        <v>45800</v>
      </c>
      <c r="B158" s="19" t="s">
        <v>2708</v>
      </c>
      <c r="C158" s="19" t="s">
        <v>11</v>
      </c>
      <c r="D158" s="19" t="s">
        <v>14</v>
      </c>
      <c r="E158" s="4">
        <v>0.9</v>
      </c>
      <c r="F158" s="42">
        <v>3.3</v>
      </c>
      <c r="G158" s="45">
        <v>250</v>
      </c>
      <c r="H158" s="22">
        <v>2.1</v>
      </c>
      <c r="I158" s="6">
        <f t="shared" si="2"/>
        <v>1559.25</v>
      </c>
      <c r="J158" s="7" t="s">
        <v>2515</v>
      </c>
    </row>
    <row r="159" spans="1:10" ht="13.95" customHeight="1" x14ac:dyDescent="0.3">
      <c r="A159" s="3">
        <v>45801</v>
      </c>
      <c r="B159" s="19" t="s">
        <v>2708</v>
      </c>
      <c r="C159" s="19" t="s">
        <v>13</v>
      </c>
      <c r="D159" s="19" t="s">
        <v>14</v>
      </c>
      <c r="E159" s="4">
        <v>1</v>
      </c>
      <c r="F159" s="42">
        <v>4.0999999999999996</v>
      </c>
      <c r="G159" s="45">
        <v>250</v>
      </c>
      <c r="H159" s="22">
        <v>2.1</v>
      </c>
      <c r="I159" s="6">
        <f t="shared" si="2"/>
        <v>2152.5</v>
      </c>
      <c r="J159" s="7" t="s">
        <v>1959</v>
      </c>
    </row>
    <row r="160" spans="1:10" ht="13.95" customHeight="1" x14ac:dyDescent="0.3">
      <c r="A160" s="3">
        <v>45802</v>
      </c>
      <c r="B160" s="19" t="s">
        <v>2708</v>
      </c>
      <c r="C160" s="19" t="s">
        <v>16</v>
      </c>
      <c r="D160" s="19" t="s">
        <v>14</v>
      </c>
      <c r="E160" s="4">
        <v>1</v>
      </c>
      <c r="F160" s="42">
        <v>3.6</v>
      </c>
      <c r="G160" s="45">
        <v>250</v>
      </c>
      <c r="H160" s="22">
        <v>2.1</v>
      </c>
      <c r="I160" s="6">
        <f t="shared" si="2"/>
        <v>1890</v>
      </c>
      <c r="J160" s="7" t="s">
        <v>2236</v>
      </c>
    </row>
    <row r="161" spans="1:10" ht="13.95" customHeight="1" x14ac:dyDescent="0.3">
      <c r="A161" s="3">
        <v>45803</v>
      </c>
      <c r="B161" s="19" t="s">
        <v>2708</v>
      </c>
      <c r="C161" s="19" t="s">
        <v>18</v>
      </c>
      <c r="D161" s="19" t="s">
        <v>9</v>
      </c>
      <c r="E161" s="4">
        <v>0.75</v>
      </c>
      <c r="F161" s="42">
        <v>2.4</v>
      </c>
      <c r="G161" s="45">
        <v>250</v>
      </c>
      <c r="H161" s="22">
        <v>2.1</v>
      </c>
      <c r="I161" s="6">
        <f t="shared" si="2"/>
        <v>945</v>
      </c>
      <c r="J161" s="7" t="s">
        <v>88</v>
      </c>
    </row>
    <row r="162" spans="1:10" ht="13.95" customHeight="1" x14ac:dyDescent="0.3">
      <c r="A162" s="3">
        <v>45804</v>
      </c>
      <c r="B162" s="19" t="s">
        <v>2708</v>
      </c>
      <c r="C162" s="19" t="s">
        <v>20</v>
      </c>
      <c r="D162" s="19" t="s">
        <v>9</v>
      </c>
      <c r="E162" s="4">
        <v>0.75</v>
      </c>
      <c r="F162" s="42">
        <v>2.4</v>
      </c>
      <c r="G162" s="45">
        <v>250</v>
      </c>
      <c r="H162" s="22">
        <v>2.1</v>
      </c>
      <c r="I162" s="6">
        <f t="shared" si="2"/>
        <v>945</v>
      </c>
      <c r="J162" s="7" t="s">
        <v>88</v>
      </c>
    </row>
    <row r="163" spans="1:10" ht="13.95" customHeight="1" x14ac:dyDescent="0.3">
      <c r="A163" s="3">
        <v>45805</v>
      </c>
      <c r="B163" s="19" t="s">
        <v>2708</v>
      </c>
      <c r="C163" s="19" t="s">
        <v>5</v>
      </c>
      <c r="D163" s="19" t="s">
        <v>9</v>
      </c>
      <c r="E163" s="4">
        <v>0.8</v>
      </c>
      <c r="F163" s="42">
        <v>2.4500000000000002</v>
      </c>
      <c r="G163" s="45">
        <v>250</v>
      </c>
      <c r="H163" s="22">
        <v>2.1</v>
      </c>
      <c r="I163" s="6">
        <f t="shared" si="2"/>
        <v>1029.0000000000002</v>
      </c>
      <c r="J163" s="7" t="s">
        <v>2651</v>
      </c>
    </row>
    <row r="164" spans="1:10" ht="13.95" customHeight="1" x14ac:dyDescent="0.3">
      <c r="A164" s="3">
        <v>45806</v>
      </c>
      <c r="B164" s="19" t="s">
        <v>2708</v>
      </c>
      <c r="C164" s="19" t="s">
        <v>8</v>
      </c>
      <c r="D164" s="19" t="s">
        <v>2652</v>
      </c>
      <c r="E164" s="4">
        <v>0.9</v>
      </c>
      <c r="F164" s="42">
        <v>2.9</v>
      </c>
      <c r="G164" s="45">
        <v>250</v>
      </c>
      <c r="H164" s="22">
        <v>2.1</v>
      </c>
      <c r="I164" s="6">
        <f t="shared" si="2"/>
        <v>1370.25</v>
      </c>
      <c r="J164" s="7" t="s">
        <v>2653</v>
      </c>
    </row>
    <row r="165" spans="1:10" ht="13.95" customHeight="1" x14ac:dyDescent="0.3">
      <c r="A165" s="3">
        <v>45807</v>
      </c>
      <c r="B165" s="19" t="s">
        <v>2708</v>
      </c>
      <c r="C165" s="19" t="s">
        <v>11</v>
      </c>
      <c r="D165" s="19" t="s">
        <v>14</v>
      </c>
      <c r="E165" s="4">
        <v>1</v>
      </c>
      <c r="F165" s="42">
        <v>3.4</v>
      </c>
      <c r="G165" s="45">
        <v>250</v>
      </c>
      <c r="H165" s="22">
        <v>2.1</v>
      </c>
      <c r="I165" s="6">
        <f t="shared" si="2"/>
        <v>1785</v>
      </c>
      <c r="J165" s="7" t="s">
        <v>2654</v>
      </c>
    </row>
    <row r="166" spans="1:10" ht="13.95" customHeight="1" x14ac:dyDescent="0.3">
      <c r="A166" s="3">
        <v>45808</v>
      </c>
      <c r="B166" s="19" t="s">
        <v>2708</v>
      </c>
      <c r="C166" s="19" t="s">
        <v>13</v>
      </c>
      <c r="D166" s="19" t="s">
        <v>14</v>
      </c>
      <c r="E166" s="4">
        <v>1</v>
      </c>
      <c r="F166" s="42">
        <v>4.2</v>
      </c>
      <c r="G166" s="45">
        <v>250</v>
      </c>
      <c r="H166" s="22">
        <v>2.1</v>
      </c>
      <c r="I166" s="6">
        <f t="shared" si="2"/>
        <v>2205</v>
      </c>
      <c r="J166" s="7" t="s">
        <v>2353</v>
      </c>
    </row>
    <row r="167" spans="1:10" ht="13.95" customHeight="1" x14ac:dyDescent="0.3">
      <c r="A167" s="3">
        <v>45809</v>
      </c>
      <c r="B167" s="19" t="s">
        <v>2708</v>
      </c>
      <c r="C167" s="19" t="s">
        <v>16</v>
      </c>
      <c r="D167" s="19" t="s">
        <v>14</v>
      </c>
      <c r="E167" s="4">
        <v>0.9</v>
      </c>
      <c r="F167" s="42">
        <v>3.45</v>
      </c>
      <c r="G167" s="45">
        <v>250</v>
      </c>
      <c r="H167" s="22">
        <v>2.2000000000000002</v>
      </c>
      <c r="I167" s="6">
        <f t="shared" si="2"/>
        <v>1707.7500000000002</v>
      </c>
      <c r="J167" s="7" t="s">
        <v>181</v>
      </c>
    </row>
    <row r="168" spans="1:10" ht="13.95" customHeight="1" x14ac:dyDescent="0.3">
      <c r="A168" s="3">
        <v>45810</v>
      </c>
      <c r="B168" s="19" t="s">
        <v>2708</v>
      </c>
      <c r="C168" s="19" t="s">
        <v>18</v>
      </c>
      <c r="D168" s="19" t="s">
        <v>9</v>
      </c>
      <c r="E168" s="4">
        <v>0.75</v>
      </c>
      <c r="F168" s="42">
        <v>2.4</v>
      </c>
      <c r="G168" s="45">
        <v>250</v>
      </c>
      <c r="H168" s="22">
        <v>2.2000000000000002</v>
      </c>
      <c r="I168" s="6">
        <f t="shared" si="2"/>
        <v>990.00000000000011</v>
      </c>
      <c r="J168" s="7" t="s">
        <v>2526</v>
      </c>
    </row>
    <row r="169" spans="1:10" ht="13.95" customHeight="1" x14ac:dyDescent="0.3">
      <c r="A169" s="3">
        <v>45811</v>
      </c>
      <c r="B169" s="19" t="s">
        <v>2708</v>
      </c>
      <c r="C169" s="19" t="s">
        <v>20</v>
      </c>
      <c r="D169" s="19" t="s">
        <v>9</v>
      </c>
      <c r="E169" s="4">
        <v>0.75</v>
      </c>
      <c r="F169" s="42">
        <v>2.4</v>
      </c>
      <c r="G169" s="45">
        <v>250</v>
      </c>
      <c r="H169" s="22">
        <v>2.2000000000000002</v>
      </c>
      <c r="I169" s="6">
        <f t="shared" si="2"/>
        <v>990.00000000000011</v>
      </c>
      <c r="J169" s="7" t="s">
        <v>2526</v>
      </c>
    </row>
    <row r="170" spans="1:10" ht="13.95" customHeight="1" x14ac:dyDescent="0.3">
      <c r="A170" s="3">
        <v>45812</v>
      </c>
      <c r="B170" s="19" t="s">
        <v>2708</v>
      </c>
      <c r="C170" s="19" t="s">
        <v>5</v>
      </c>
      <c r="D170" s="19" t="s">
        <v>9</v>
      </c>
      <c r="E170" s="4">
        <v>0.8</v>
      </c>
      <c r="F170" s="42">
        <v>2.5</v>
      </c>
      <c r="G170" s="45">
        <v>250</v>
      </c>
      <c r="H170" s="22">
        <v>2.2000000000000002</v>
      </c>
      <c r="I170" s="6">
        <f t="shared" si="2"/>
        <v>1100</v>
      </c>
      <c r="J170" s="7" t="s">
        <v>2466</v>
      </c>
    </row>
    <row r="171" spans="1:10" ht="13.95" customHeight="1" x14ac:dyDescent="0.3">
      <c r="A171" s="3">
        <v>45813</v>
      </c>
      <c r="B171" s="19" t="s">
        <v>2708</v>
      </c>
      <c r="C171" s="19" t="s">
        <v>8</v>
      </c>
      <c r="D171" s="19" t="s">
        <v>904</v>
      </c>
      <c r="E171" s="4">
        <v>0.9</v>
      </c>
      <c r="F171" s="42">
        <v>3.15</v>
      </c>
      <c r="G171" s="45">
        <v>250</v>
      </c>
      <c r="H171" s="22">
        <v>2.2000000000000002</v>
      </c>
      <c r="I171" s="6">
        <f t="shared" si="2"/>
        <v>1559.2500000000002</v>
      </c>
      <c r="J171" s="7" t="s">
        <v>2655</v>
      </c>
    </row>
    <row r="172" spans="1:10" ht="13.95" customHeight="1" x14ac:dyDescent="0.3">
      <c r="A172" s="3">
        <v>45814</v>
      </c>
      <c r="B172" s="19" t="s">
        <v>2708</v>
      </c>
      <c r="C172" s="19" t="s">
        <v>11</v>
      </c>
      <c r="D172" s="19" t="s">
        <v>2523</v>
      </c>
      <c r="E172" s="4">
        <v>1</v>
      </c>
      <c r="F172" s="42">
        <v>4.1500000000000004</v>
      </c>
      <c r="G172" s="45">
        <v>250</v>
      </c>
      <c r="H172" s="22">
        <v>2.2000000000000002</v>
      </c>
      <c r="I172" s="6">
        <f t="shared" si="2"/>
        <v>2282.5</v>
      </c>
      <c r="J172" s="7" t="s">
        <v>2660</v>
      </c>
    </row>
    <row r="173" spans="1:10" ht="13.95" customHeight="1" x14ac:dyDescent="0.3">
      <c r="A173" s="3">
        <v>45815</v>
      </c>
      <c r="B173" s="19" t="s">
        <v>2708</v>
      </c>
      <c r="C173" s="19" t="s">
        <v>13</v>
      </c>
      <c r="D173" s="19" t="s">
        <v>2656</v>
      </c>
      <c r="E173" s="4">
        <v>1</v>
      </c>
      <c r="F173" s="42">
        <v>4.3</v>
      </c>
      <c r="G173" s="45">
        <v>250</v>
      </c>
      <c r="H173" s="22">
        <v>2.2000000000000002</v>
      </c>
      <c r="I173" s="6">
        <f t="shared" si="2"/>
        <v>2365</v>
      </c>
      <c r="J173" s="7" t="s">
        <v>2657</v>
      </c>
    </row>
    <row r="174" spans="1:10" ht="13.95" customHeight="1" x14ac:dyDescent="0.3">
      <c r="A174" s="3">
        <v>45816</v>
      </c>
      <c r="B174" s="19" t="s">
        <v>2708</v>
      </c>
      <c r="C174" s="19" t="s">
        <v>16</v>
      </c>
      <c r="D174" s="19" t="s">
        <v>14</v>
      </c>
      <c r="E174" s="4">
        <v>0.95</v>
      </c>
      <c r="F174" s="42">
        <v>3.65</v>
      </c>
      <c r="G174" s="45">
        <v>250</v>
      </c>
      <c r="H174" s="22">
        <v>2.2000000000000002</v>
      </c>
      <c r="I174" s="6">
        <f t="shared" si="2"/>
        <v>1907.1250000000002</v>
      </c>
      <c r="J174" s="7" t="s">
        <v>576</v>
      </c>
    </row>
    <row r="175" spans="1:10" ht="13.95" customHeight="1" x14ac:dyDescent="0.3">
      <c r="A175" s="3">
        <v>45817</v>
      </c>
      <c r="B175" s="19" t="s">
        <v>2708</v>
      </c>
      <c r="C175" s="19" t="s">
        <v>18</v>
      </c>
      <c r="D175" s="19" t="s">
        <v>9</v>
      </c>
      <c r="E175" s="4">
        <v>0.75</v>
      </c>
      <c r="F175" s="42">
        <v>2.4</v>
      </c>
      <c r="G175" s="45">
        <v>250</v>
      </c>
      <c r="H175" s="22">
        <v>2.2000000000000002</v>
      </c>
      <c r="I175" s="6">
        <f t="shared" si="2"/>
        <v>990.00000000000011</v>
      </c>
      <c r="J175" s="7" t="s">
        <v>460</v>
      </c>
    </row>
    <row r="176" spans="1:10" ht="13.95" customHeight="1" x14ac:dyDescent="0.3">
      <c r="A176" s="3">
        <v>45818</v>
      </c>
      <c r="B176" s="19" t="s">
        <v>2708</v>
      </c>
      <c r="C176" s="19" t="s">
        <v>20</v>
      </c>
      <c r="D176" s="19" t="s">
        <v>9</v>
      </c>
      <c r="E176" s="4">
        <v>0.7</v>
      </c>
      <c r="F176" s="42">
        <v>2.35</v>
      </c>
      <c r="G176" s="45">
        <v>250</v>
      </c>
      <c r="H176" s="22">
        <v>2.2000000000000002</v>
      </c>
      <c r="I176" s="6">
        <f t="shared" si="2"/>
        <v>904.75000000000011</v>
      </c>
      <c r="J176" s="7" t="s">
        <v>88</v>
      </c>
    </row>
    <row r="177" spans="1:10" ht="13.95" customHeight="1" x14ac:dyDescent="0.3">
      <c r="A177" s="3">
        <v>45819</v>
      </c>
      <c r="B177" s="19" t="s">
        <v>2708</v>
      </c>
      <c r="C177" s="19" t="s">
        <v>5</v>
      </c>
      <c r="D177" s="19" t="s">
        <v>9</v>
      </c>
      <c r="E177" s="4">
        <v>0.75</v>
      </c>
      <c r="F177" s="42">
        <v>2.4</v>
      </c>
      <c r="G177" s="45">
        <v>250</v>
      </c>
      <c r="H177" s="22">
        <v>2.2000000000000002</v>
      </c>
      <c r="I177" s="6">
        <f t="shared" si="2"/>
        <v>990.00000000000011</v>
      </c>
      <c r="J177" s="7" t="s">
        <v>88</v>
      </c>
    </row>
    <row r="178" spans="1:10" ht="13.95" customHeight="1" x14ac:dyDescent="0.3">
      <c r="A178" s="3">
        <v>45820</v>
      </c>
      <c r="B178" s="19" t="s">
        <v>2708</v>
      </c>
      <c r="C178" s="19" t="s">
        <v>8</v>
      </c>
      <c r="D178" s="19" t="s">
        <v>9</v>
      </c>
      <c r="E178" s="4">
        <v>0.8</v>
      </c>
      <c r="F178" s="42">
        <v>2.5</v>
      </c>
      <c r="G178" s="45">
        <v>250</v>
      </c>
      <c r="H178" s="22">
        <v>2.2000000000000002</v>
      </c>
      <c r="I178" s="6">
        <f t="shared" si="2"/>
        <v>1100</v>
      </c>
      <c r="J178" s="7" t="s">
        <v>82</v>
      </c>
    </row>
    <row r="179" spans="1:10" ht="13.95" customHeight="1" x14ac:dyDescent="0.3">
      <c r="A179" s="3">
        <v>45821</v>
      </c>
      <c r="B179" s="19" t="s">
        <v>2708</v>
      </c>
      <c r="C179" s="19" t="s">
        <v>11</v>
      </c>
      <c r="D179" s="19" t="s">
        <v>14</v>
      </c>
      <c r="E179" s="4">
        <v>0.9</v>
      </c>
      <c r="F179" s="42">
        <v>3.25</v>
      </c>
      <c r="G179" s="45">
        <v>250</v>
      </c>
      <c r="H179" s="22">
        <v>2.2000000000000002</v>
      </c>
      <c r="I179" s="6">
        <f t="shared" si="2"/>
        <v>1608.7500000000002</v>
      </c>
      <c r="J179" s="7" t="s">
        <v>752</v>
      </c>
    </row>
    <row r="180" spans="1:10" ht="13.95" customHeight="1" x14ac:dyDescent="0.3">
      <c r="A180" s="3">
        <v>45822</v>
      </c>
      <c r="B180" s="19" t="s">
        <v>2708</v>
      </c>
      <c r="C180" s="19" t="s">
        <v>13</v>
      </c>
      <c r="D180" s="19" t="s">
        <v>14</v>
      </c>
      <c r="E180" s="4">
        <v>0.95</v>
      </c>
      <c r="F180" s="42">
        <v>3.85</v>
      </c>
      <c r="G180" s="45">
        <v>250</v>
      </c>
      <c r="H180" s="22">
        <v>2.2000000000000002</v>
      </c>
      <c r="I180" s="6">
        <f t="shared" si="2"/>
        <v>2011.6250000000002</v>
      </c>
      <c r="J180" s="7" t="s">
        <v>2593</v>
      </c>
    </row>
    <row r="181" spans="1:10" ht="13.95" customHeight="1" x14ac:dyDescent="0.3">
      <c r="A181" s="3">
        <v>45823</v>
      </c>
      <c r="B181" s="19" t="s">
        <v>2708</v>
      </c>
      <c r="C181" s="19" t="s">
        <v>16</v>
      </c>
      <c r="D181" s="19" t="s">
        <v>14</v>
      </c>
      <c r="E181" s="4">
        <v>0.9</v>
      </c>
      <c r="F181" s="42">
        <v>3.4</v>
      </c>
      <c r="G181" s="45">
        <v>250</v>
      </c>
      <c r="H181" s="22">
        <v>2.2000000000000002</v>
      </c>
      <c r="I181" s="6">
        <f t="shared" si="2"/>
        <v>1683.0000000000002</v>
      </c>
      <c r="J181" s="7" t="s">
        <v>238</v>
      </c>
    </row>
    <row r="182" spans="1:10" ht="13.95" customHeight="1" x14ac:dyDescent="0.3">
      <c r="A182" s="3">
        <v>45824</v>
      </c>
      <c r="B182" s="19" t="s">
        <v>2708</v>
      </c>
      <c r="C182" s="19" t="s">
        <v>18</v>
      </c>
      <c r="D182" s="19" t="s">
        <v>9</v>
      </c>
      <c r="E182" s="4">
        <v>0.8</v>
      </c>
      <c r="F182" s="42">
        <v>2.6</v>
      </c>
      <c r="G182" s="45">
        <v>250</v>
      </c>
      <c r="H182" s="22">
        <v>2.2000000000000002</v>
      </c>
      <c r="I182" s="6">
        <f t="shared" si="2"/>
        <v>1144</v>
      </c>
      <c r="J182" s="7" t="s">
        <v>2659</v>
      </c>
    </row>
    <row r="183" spans="1:10" ht="13.95" customHeight="1" x14ac:dyDescent="0.3">
      <c r="A183" s="3">
        <v>45825</v>
      </c>
      <c r="B183" s="19" t="s">
        <v>2708</v>
      </c>
      <c r="C183" s="19" t="s">
        <v>20</v>
      </c>
      <c r="D183" s="19" t="s">
        <v>9</v>
      </c>
      <c r="E183" s="4">
        <v>0.8</v>
      </c>
      <c r="F183" s="42">
        <v>2.6</v>
      </c>
      <c r="G183" s="45">
        <v>250</v>
      </c>
      <c r="H183" s="22">
        <v>2.2000000000000002</v>
      </c>
      <c r="I183" s="6">
        <f t="shared" si="2"/>
        <v>1144</v>
      </c>
      <c r="J183" s="7" t="s">
        <v>88</v>
      </c>
    </row>
    <row r="184" spans="1:10" ht="13.95" customHeight="1" x14ac:dyDescent="0.3">
      <c r="A184" s="3">
        <v>45826</v>
      </c>
      <c r="B184" s="19" t="s">
        <v>2708</v>
      </c>
      <c r="C184" s="19" t="s">
        <v>5</v>
      </c>
      <c r="D184" s="19" t="s">
        <v>9</v>
      </c>
      <c r="E184" s="4">
        <v>0.85</v>
      </c>
      <c r="F184" s="42">
        <v>2.7</v>
      </c>
      <c r="G184" s="45">
        <v>250</v>
      </c>
      <c r="H184" s="22">
        <v>2.2000000000000002</v>
      </c>
      <c r="I184" s="6">
        <f t="shared" si="2"/>
        <v>1262.25</v>
      </c>
      <c r="J184" s="7" t="s">
        <v>88</v>
      </c>
    </row>
    <row r="185" spans="1:10" ht="13.95" customHeight="1" x14ac:dyDescent="0.3">
      <c r="A185" s="3">
        <v>45827</v>
      </c>
      <c r="B185" s="19" t="s">
        <v>2708</v>
      </c>
      <c r="C185" s="19" t="s">
        <v>8</v>
      </c>
      <c r="D185" s="19" t="s">
        <v>9</v>
      </c>
      <c r="E185" s="4">
        <v>0.85</v>
      </c>
      <c r="F185" s="42">
        <v>2.75</v>
      </c>
      <c r="G185" s="45">
        <v>250</v>
      </c>
      <c r="H185" s="22">
        <v>2.2000000000000002</v>
      </c>
      <c r="I185" s="6">
        <f t="shared" si="2"/>
        <v>1285.625</v>
      </c>
      <c r="J185" s="7" t="s">
        <v>82</v>
      </c>
    </row>
    <row r="186" spans="1:10" ht="13.95" customHeight="1" x14ac:dyDescent="0.3">
      <c r="A186" s="3">
        <v>45828</v>
      </c>
      <c r="B186" s="19" t="s">
        <v>2708</v>
      </c>
      <c r="C186" s="19" t="s">
        <v>11</v>
      </c>
      <c r="D186" s="19" t="s">
        <v>14</v>
      </c>
      <c r="E186" s="4">
        <v>0.95</v>
      </c>
      <c r="F186" s="42">
        <v>3.35</v>
      </c>
      <c r="G186" s="45">
        <v>250</v>
      </c>
      <c r="H186" s="22">
        <v>2.2000000000000002</v>
      </c>
      <c r="I186" s="6">
        <f t="shared" si="2"/>
        <v>1750.3750000000002</v>
      </c>
      <c r="J186" s="7" t="s">
        <v>2661</v>
      </c>
    </row>
    <row r="187" spans="1:10" ht="13.95" customHeight="1" x14ac:dyDescent="0.3">
      <c r="A187" s="3">
        <v>45829</v>
      </c>
      <c r="B187" s="19" t="s">
        <v>2708</v>
      </c>
      <c r="C187" s="19" t="s">
        <v>13</v>
      </c>
      <c r="D187" s="19" t="s">
        <v>2662</v>
      </c>
      <c r="E187" s="4">
        <v>1</v>
      </c>
      <c r="F187" s="42">
        <v>4.2</v>
      </c>
      <c r="G187" s="45">
        <v>250</v>
      </c>
      <c r="H187" s="22">
        <v>2.2000000000000002</v>
      </c>
      <c r="I187" s="6">
        <f t="shared" si="2"/>
        <v>2310</v>
      </c>
      <c r="J187" s="7" t="s">
        <v>2663</v>
      </c>
    </row>
    <row r="188" spans="1:10" ht="13.95" customHeight="1" x14ac:dyDescent="0.3">
      <c r="A188" s="3">
        <v>45830</v>
      </c>
      <c r="B188" s="19" t="s">
        <v>2708</v>
      </c>
      <c r="C188" s="19" t="s">
        <v>16</v>
      </c>
      <c r="D188" s="19" t="s">
        <v>14</v>
      </c>
      <c r="E188" s="4">
        <v>0.95</v>
      </c>
      <c r="F188" s="42">
        <v>3.7</v>
      </c>
      <c r="G188" s="45">
        <v>250</v>
      </c>
      <c r="H188" s="22">
        <v>2.2000000000000002</v>
      </c>
      <c r="I188" s="6">
        <f t="shared" si="2"/>
        <v>1933.2500000000002</v>
      </c>
      <c r="J188" s="7" t="s">
        <v>159</v>
      </c>
    </row>
    <row r="189" spans="1:10" ht="13.95" customHeight="1" x14ac:dyDescent="0.3">
      <c r="A189" s="3">
        <v>45831</v>
      </c>
      <c r="B189" s="19" t="s">
        <v>2708</v>
      </c>
      <c r="C189" s="19" t="s">
        <v>18</v>
      </c>
      <c r="D189" s="19" t="s">
        <v>2551</v>
      </c>
      <c r="E189" s="4">
        <v>0.9</v>
      </c>
      <c r="F189" s="42">
        <v>2.85</v>
      </c>
      <c r="G189" s="45">
        <v>250</v>
      </c>
      <c r="H189" s="22">
        <v>2.2000000000000002</v>
      </c>
      <c r="I189" s="6">
        <f t="shared" ref="I189:I252" si="3">(G189*E189)*F189*H189</f>
        <v>1410.7500000000002</v>
      </c>
      <c r="J189" s="7" t="s">
        <v>2664</v>
      </c>
    </row>
    <row r="190" spans="1:10" ht="13.95" customHeight="1" x14ac:dyDescent="0.3">
      <c r="A190" s="3">
        <v>45832</v>
      </c>
      <c r="B190" s="19" t="s">
        <v>2708</v>
      </c>
      <c r="C190" s="19" t="s">
        <v>20</v>
      </c>
      <c r="D190" s="19" t="s">
        <v>2551</v>
      </c>
      <c r="E190" s="4">
        <v>0.9</v>
      </c>
      <c r="F190" s="42">
        <v>2.85</v>
      </c>
      <c r="G190" s="45">
        <v>250</v>
      </c>
      <c r="H190" s="22">
        <v>2.2000000000000002</v>
      </c>
      <c r="I190" s="6">
        <f t="shared" si="3"/>
        <v>1410.7500000000002</v>
      </c>
      <c r="J190" s="7" t="s">
        <v>2664</v>
      </c>
    </row>
    <row r="191" spans="1:10" ht="13.95" customHeight="1" x14ac:dyDescent="0.3">
      <c r="A191" s="3">
        <v>45833</v>
      </c>
      <c r="B191" s="19" t="s">
        <v>2708</v>
      </c>
      <c r="C191" s="19" t="s">
        <v>5</v>
      </c>
      <c r="D191" s="19" t="s">
        <v>2551</v>
      </c>
      <c r="E191" s="4">
        <v>0.9</v>
      </c>
      <c r="F191" s="42">
        <v>2.9</v>
      </c>
      <c r="G191" s="45">
        <v>250</v>
      </c>
      <c r="H191" s="22">
        <v>2.2000000000000002</v>
      </c>
      <c r="I191" s="6">
        <f t="shared" si="3"/>
        <v>1435.5000000000002</v>
      </c>
      <c r="J191" s="7" t="s">
        <v>2526</v>
      </c>
    </row>
    <row r="192" spans="1:10" ht="13.95" customHeight="1" x14ac:dyDescent="0.3">
      <c r="A192" s="3">
        <v>45834</v>
      </c>
      <c r="B192" s="19" t="s">
        <v>2708</v>
      </c>
      <c r="C192" s="19" t="s">
        <v>8</v>
      </c>
      <c r="D192" s="19" t="s">
        <v>2551</v>
      </c>
      <c r="E192" s="4">
        <v>0.95</v>
      </c>
      <c r="F192" s="42">
        <v>3</v>
      </c>
      <c r="G192" s="45">
        <v>250</v>
      </c>
      <c r="H192" s="22">
        <v>2.2000000000000002</v>
      </c>
      <c r="I192" s="6">
        <f t="shared" si="3"/>
        <v>1567.5000000000002</v>
      </c>
      <c r="J192" s="7" t="s">
        <v>82</v>
      </c>
    </row>
    <row r="193" spans="1:10" ht="13.95" customHeight="1" x14ac:dyDescent="0.3">
      <c r="A193" s="3">
        <v>45835</v>
      </c>
      <c r="B193" s="19" t="s">
        <v>2708</v>
      </c>
      <c r="C193" s="19" t="s">
        <v>11</v>
      </c>
      <c r="D193" s="19" t="s">
        <v>14</v>
      </c>
      <c r="E193" s="4">
        <v>1</v>
      </c>
      <c r="F193" s="42">
        <v>3.5</v>
      </c>
      <c r="G193" s="45">
        <v>250</v>
      </c>
      <c r="H193" s="22">
        <v>2.2000000000000002</v>
      </c>
      <c r="I193" s="6">
        <f t="shared" si="3"/>
        <v>1925.0000000000002</v>
      </c>
      <c r="J193" s="7" t="s">
        <v>2665</v>
      </c>
    </row>
    <row r="194" spans="1:10" ht="13.95" customHeight="1" x14ac:dyDescent="0.3">
      <c r="A194" s="3">
        <v>45836</v>
      </c>
      <c r="B194" s="19" t="s">
        <v>2708</v>
      </c>
      <c r="C194" s="19" t="s">
        <v>13</v>
      </c>
      <c r="D194" s="19" t="s">
        <v>14</v>
      </c>
      <c r="E194" s="4">
        <v>1</v>
      </c>
      <c r="F194" s="42">
        <v>4.3499999999999996</v>
      </c>
      <c r="G194" s="45">
        <v>250</v>
      </c>
      <c r="H194" s="22">
        <v>2.2000000000000002</v>
      </c>
      <c r="I194" s="6">
        <f t="shared" si="3"/>
        <v>2392.5</v>
      </c>
      <c r="J194" s="7" t="s">
        <v>1888</v>
      </c>
    </row>
    <row r="195" spans="1:10" ht="13.95" customHeight="1" x14ac:dyDescent="0.3">
      <c r="A195" s="3">
        <v>45837</v>
      </c>
      <c r="B195" s="19" t="s">
        <v>2708</v>
      </c>
      <c r="C195" s="19" t="s">
        <v>16</v>
      </c>
      <c r="D195" s="19" t="s">
        <v>14</v>
      </c>
      <c r="E195" s="4">
        <v>1</v>
      </c>
      <c r="F195" s="42">
        <v>3.9</v>
      </c>
      <c r="G195" s="45">
        <v>250</v>
      </c>
      <c r="H195" s="22">
        <v>2.2000000000000002</v>
      </c>
      <c r="I195" s="6">
        <f t="shared" si="3"/>
        <v>2145</v>
      </c>
      <c r="J195" s="7" t="s">
        <v>2558</v>
      </c>
    </row>
    <row r="196" spans="1:10" ht="13.95" customHeight="1" x14ac:dyDescent="0.3">
      <c r="A196" s="3">
        <v>45838</v>
      </c>
      <c r="B196" s="19" t="s">
        <v>2708</v>
      </c>
      <c r="C196" s="19" t="s">
        <v>18</v>
      </c>
      <c r="D196" s="19" t="s">
        <v>2551</v>
      </c>
      <c r="E196" s="4">
        <v>0.95</v>
      </c>
      <c r="F196" s="42">
        <v>2.95</v>
      </c>
      <c r="G196" s="45">
        <v>250</v>
      </c>
      <c r="H196" s="22">
        <v>2.2000000000000002</v>
      </c>
      <c r="I196" s="6">
        <f t="shared" si="3"/>
        <v>1541.3750000000002</v>
      </c>
      <c r="J196" s="7" t="s">
        <v>462</v>
      </c>
    </row>
    <row r="197" spans="1:10" ht="13.95" customHeight="1" x14ac:dyDescent="0.3">
      <c r="A197" s="3">
        <v>45839</v>
      </c>
      <c r="B197" s="19" t="s">
        <v>2708</v>
      </c>
      <c r="C197" s="19" t="s">
        <v>20</v>
      </c>
      <c r="D197" s="19" t="s">
        <v>2551</v>
      </c>
      <c r="E197" s="4">
        <v>1</v>
      </c>
      <c r="F197" s="42">
        <v>3</v>
      </c>
      <c r="G197" s="45">
        <v>250</v>
      </c>
      <c r="H197" s="22">
        <v>2.4</v>
      </c>
      <c r="I197" s="6">
        <f t="shared" si="3"/>
        <v>1800</v>
      </c>
      <c r="J197" s="7" t="s">
        <v>2442</v>
      </c>
    </row>
    <row r="198" spans="1:10" ht="13.95" customHeight="1" x14ac:dyDescent="0.3">
      <c r="A198" s="3">
        <v>45840</v>
      </c>
      <c r="B198" s="19" t="s">
        <v>2708</v>
      </c>
      <c r="C198" s="19" t="s">
        <v>5</v>
      </c>
      <c r="D198" s="19" t="s">
        <v>2551</v>
      </c>
      <c r="E198" s="4">
        <v>1</v>
      </c>
      <c r="F198" s="42">
        <v>3</v>
      </c>
      <c r="G198" s="45">
        <v>250</v>
      </c>
      <c r="H198" s="22">
        <v>2.4</v>
      </c>
      <c r="I198" s="6">
        <f t="shared" si="3"/>
        <v>1800</v>
      </c>
      <c r="J198" s="7" t="s">
        <v>2442</v>
      </c>
    </row>
    <row r="199" spans="1:10" ht="13.95" customHeight="1" x14ac:dyDescent="0.3">
      <c r="A199" s="3">
        <v>45841</v>
      </c>
      <c r="B199" s="19" t="s">
        <v>2708</v>
      </c>
      <c r="C199" s="19" t="s">
        <v>8</v>
      </c>
      <c r="D199" s="19" t="s">
        <v>2551</v>
      </c>
      <c r="E199" s="4">
        <v>1</v>
      </c>
      <c r="F199" s="42">
        <v>3.1</v>
      </c>
      <c r="G199" s="45">
        <v>250</v>
      </c>
      <c r="H199" s="22">
        <v>2.4</v>
      </c>
      <c r="I199" s="6">
        <f t="shared" si="3"/>
        <v>1860</v>
      </c>
      <c r="J199" s="7" t="s">
        <v>82</v>
      </c>
    </row>
    <row r="200" spans="1:10" ht="13.95" customHeight="1" x14ac:dyDescent="0.3">
      <c r="A200" s="3">
        <v>45842</v>
      </c>
      <c r="B200" s="19" t="s">
        <v>2708</v>
      </c>
      <c r="C200" s="19" t="s">
        <v>11</v>
      </c>
      <c r="D200" s="19" t="s">
        <v>14</v>
      </c>
      <c r="E200" s="4">
        <v>1</v>
      </c>
      <c r="F200" s="42">
        <v>3.65</v>
      </c>
      <c r="G200" s="45">
        <v>250</v>
      </c>
      <c r="H200" s="22">
        <v>2.4</v>
      </c>
      <c r="I200" s="6">
        <f t="shared" si="3"/>
        <v>2190</v>
      </c>
      <c r="J200" s="7" t="s">
        <v>2666</v>
      </c>
    </row>
    <row r="201" spans="1:10" ht="13.95" customHeight="1" x14ac:dyDescent="0.3">
      <c r="A201" s="3">
        <v>45843</v>
      </c>
      <c r="B201" s="19" t="s">
        <v>2708</v>
      </c>
      <c r="C201" s="19" t="s">
        <v>13</v>
      </c>
      <c r="D201" s="19" t="s">
        <v>14</v>
      </c>
      <c r="E201" s="4">
        <v>1</v>
      </c>
      <c r="F201" s="42">
        <v>4.45</v>
      </c>
      <c r="G201" s="45">
        <v>250</v>
      </c>
      <c r="H201" s="22">
        <v>2.4</v>
      </c>
      <c r="I201" s="6">
        <f t="shared" si="3"/>
        <v>2670</v>
      </c>
      <c r="J201" s="7" t="s">
        <v>2513</v>
      </c>
    </row>
    <row r="202" spans="1:10" ht="13.95" customHeight="1" x14ac:dyDescent="0.3">
      <c r="A202" s="3">
        <v>45844</v>
      </c>
      <c r="B202" s="19" t="s">
        <v>2708</v>
      </c>
      <c r="C202" s="19" t="s">
        <v>16</v>
      </c>
      <c r="D202" s="19" t="s">
        <v>14</v>
      </c>
      <c r="E202" s="4">
        <v>1</v>
      </c>
      <c r="F202" s="42">
        <v>4.05</v>
      </c>
      <c r="G202" s="45">
        <v>250</v>
      </c>
      <c r="H202" s="22">
        <v>2.4</v>
      </c>
      <c r="I202" s="6">
        <f t="shared" si="3"/>
        <v>2430</v>
      </c>
      <c r="J202" s="7" t="s">
        <v>2558</v>
      </c>
    </row>
    <row r="203" spans="1:10" ht="13.95" customHeight="1" x14ac:dyDescent="0.3">
      <c r="A203" s="3">
        <v>45845</v>
      </c>
      <c r="B203" s="19" t="s">
        <v>2708</v>
      </c>
      <c r="C203" s="19" t="s">
        <v>18</v>
      </c>
      <c r="D203" s="19" t="s">
        <v>2551</v>
      </c>
      <c r="E203" s="4">
        <v>1</v>
      </c>
      <c r="F203" s="42">
        <v>3.05</v>
      </c>
      <c r="G203" s="45">
        <v>250</v>
      </c>
      <c r="H203" s="22">
        <v>2.4</v>
      </c>
      <c r="I203" s="6">
        <f t="shared" si="3"/>
        <v>1830</v>
      </c>
      <c r="J203" s="7" t="s">
        <v>88</v>
      </c>
    </row>
    <row r="204" spans="1:10" ht="13.95" customHeight="1" x14ac:dyDescent="0.3">
      <c r="A204" s="3">
        <v>45846</v>
      </c>
      <c r="B204" s="19" t="s">
        <v>2708</v>
      </c>
      <c r="C204" s="19" t="s">
        <v>20</v>
      </c>
      <c r="D204" s="19" t="s">
        <v>2551</v>
      </c>
      <c r="E204" s="4">
        <v>1</v>
      </c>
      <c r="F204" s="42">
        <v>3.05</v>
      </c>
      <c r="G204" s="45">
        <v>250</v>
      </c>
      <c r="H204" s="22">
        <v>2.4</v>
      </c>
      <c r="I204" s="6">
        <f t="shared" si="3"/>
        <v>1830</v>
      </c>
      <c r="J204" s="7" t="s">
        <v>88</v>
      </c>
    </row>
    <row r="205" spans="1:10" ht="13.95" customHeight="1" x14ac:dyDescent="0.3">
      <c r="A205" s="3">
        <v>45847</v>
      </c>
      <c r="B205" s="19" t="s">
        <v>2708</v>
      </c>
      <c r="C205" s="19" t="s">
        <v>5</v>
      </c>
      <c r="D205" s="19" t="s">
        <v>2551</v>
      </c>
      <c r="E205" s="4">
        <v>1</v>
      </c>
      <c r="F205" s="42">
        <v>3.1</v>
      </c>
      <c r="G205" s="45">
        <v>250</v>
      </c>
      <c r="H205" s="22">
        <v>2.4</v>
      </c>
      <c r="I205" s="6">
        <f t="shared" si="3"/>
        <v>1860</v>
      </c>
      <c r="J205" s="7" t="s">
        <v>88</v>
      </c>
    </row>
    <row r="206" spans="1:10" ht="13.95" customHeight="1" x14ac:dyDescent="0.3">
      <c r="A206" s="3">
        <v>45848</v>
      </c>
      <c r="B206" s="19" t="s">
        <v>2708</v>
      </c>
      <c r="C206" s="19" t="s">
        <v>8</v>
      </c>
      <c r="D206" s="19" t="s">
        <v>2551</v>
      </c>
      <c r="E206" s="4">
        <v>1</v>
      </c>
      <c r="F206" s="42">
        <v>3.15</v>
      </c>
      <c r="G206" s="45">
        <v>250</v>
      </c>
      <c r="H206" s="22">
        <v>2.4</v>
      </c>
      <c r="I206" s="6">
        <f t="shared" si="3"/>
        <v>1890</v>
      </c>
      <c r="J206" s="7" t="s">
        <v>2466</v>
      </c>
    </row>
    <row r="207" spans="1:10" ht="13.95" customHeight="1" x14ac:dyDescent="0.3">
      <c r="A207" s="3">
        <v>45849</v>
      </c>
      <c r="B207" s="19" t="s">
        <v>2708</v>
      </c>
      <c r="C207" s="19" t="s">
        <v>11</v>
      </c>
      <c r="D207" s="19" t="s">
        <v>14</v>
      </c>
      <c r="E207" s="4">
        <v>1</v>
      </c>
      <c r="F207" s="42">
        <v>3.7</v>
      </c>
      <c r="G207" s="45">
        <v>250</v>
      </c>
      <c r="H207" s="22">
        <v>2.4</v>
      </c>
      <c r="I207" s="6">
        <f t="shared" si="3"/>
        <v>2220</v>
      </c>
      <c r="J207" s="7" t="s">
        <v>282</v>
      </c>
    </row>
    <row r="208" spans="1:10" ht="13.95" customHeight="1" x14ac:dyDescent="0.3">
      <c r="A208" s="3">
        <v>45850</v>
      </c>
      <c r="B208" s="19" t="s">
        <v>2708</v>
      </c>
      <c r="C208" s="19" t="s">
        <v>13</v>
      </c>
      <c r="D208" s="19" t="s">
        <v>14</v>
      </c>
      <c r="E208" s="4">
        <v>1</v>
      </c>
      <c r="F208" s="42">
        <v>4.5</v>
      </c>
      <c r="G208" s="45">
        <v>250</v>
      </c>
      <c r="H208" s="22">
        <v>2.4</v>
      </c>
      <c r="I208" s="6">
        <f t="shared" si="3"/>
        <v>2700</v>
      </c>
      <c r="J208" s="7" t="s">
        <v>2593</v>
      </c>
    </row>
    <row r="209" spans="1:10" ht="13.95" customHeight="1" x14ac:dyDescent="0.3">
      <c r="A209" s="3">
        <v>45851</v>
      </c>
      <c r="B209" s="19" t="s">
        <v>2708</v>
      </c>
      <c r="C209" s="19" t="s">
        <v>16</v>
      </c>
      <c r="D209" s="19" t="s">
        <v>14</v>
      </c>
      <c r="E209" s="4">
        <v>1</v>
      </c>
      <c r="F209" s="42">
        <v>4.0999999999999996</v>
      </c>
      <c r="G209" s="45">
        <v>250</v>
      </c>
      <c r="H209" s="22">
        <v>2.4</v>
      </c>
      <c r="I209" s="6">
        <f t="shared" si="3"/>
        <v>2460</v>
      </c>
      <c r="J209" s="7" t="s">
        <v>159</v>
      </c>
    </row>
    <row r="210" spans="1:10" ht="13.95" customHeight="1" x14ac:dyDescent="0.3">
      <c r="A210" s="3">
        <v>45852</v>
      </c>
      <c r="B210" s="19" t="s">
        <v>2708</v>
      </c>
      <c r="C210" s="19" t="s">
        <v>18</v>
      </c>
      <c r="D210" s="19" t="s">
        <v>2551</v>
      </c>
      <c r="E210" s="4">
        <v>1</v>
      </c>
      <c r="F210" s="42">
        <v>3.05</v>
      </c>
      <c r="G210" s="45">
        <v>250</v>
      </c>
      <c r="H210" s="22">
        <v>2.4</v>
      </c>
      <c r="I210" s="6">
        <f t="shared" si="3"/>
        <v>1830</v>
      </c>
      <c r="J210" s="7" t="s">
        <v>88</v>
      </c>
    </row>
    <row r="211" spans="1:10" ht="13.95" customHeight="1" x14ac:dyDescent="0.3">
      <c r="A211" s="3">
        <v>45853</v>
      </c>
      <c r="B211" s="19" t="s">
        <v>2708</v>
      </c>
      <c r="C211" s="19" t="s">
        <v>20</v>
      </c>
      <c r="D211" s="19" t="s">
        <v>2551</v>
      </c>
      <c r="E211" s="4">
        <v>1</v>
      </c>
      <c r="F211" s="42">
        <v>3.05</v>
      </c>
      <c r="G211" s="45">
        <v>250</v>
      </c>
      <c r="H211" s="22">
        <v>2.4</v>
      </c>
      <c r="I211" s="6">
        <f t="shared" si="3"/>
        <v>1830</v>
      </c>
      <c r="J211" s="7" t="s">
        <v>88</v>
      </c>
    </row>
    <row r="212" spans="1:10" ht="13.95" customHeight="1" x14ac:dyDescent="0.3">
      <c r="A212" s="3">
        <v>45854</v>
      </c>
      <c r="B212" s="19" t="s">
        <v>2708</v>
      </c>
      <c r="C212" s="19" t="s">
        <v>5</v>
      </c>
      <c r="D212" s="19" t="s">
        <v>2551</v>
      </c>
      <c r="E212" s="4">
        <v>1</v>
      </c>
      <c r="F212" s="42">
        <v>3.1</v>
      </c>
      <c r="G212" s="45">
        <v>250</v>
      </c>
      <c r="H212" s="22">
        <v>2.4</v>
      </c>
      <c r="I212" s="6">
        <f t="shared" si="3"/>
        <v>1860</v>
      </c>
      <c r="J212" s="7" t="s">
        <v>88</v>
      </c>
    </row>
    <row r="213" spans="1:10" ht="13.95" customHeight="1" x14ac:dyDescent="0.3">
      <c r="A213" s="3">
        <v>45855</v>
      </c>
      <c r="B213" s="19" t="s">
        <v>2708</v>
      </c>
      <c r="C213" s="19" t="s">
        <v>8</v>
      </c>
      <c r="D213" s="19" t="s">
        <v>2551</v>
      </c>
      <c r="E213" s="4">
        <v>1</v>
      </c>
      <c r="F213" s="42">
        <v>3.2</v>
      </c>
      <c r="G213" s="45">
        <v>250</v>
      </c>
      <c r="H213" s="22">
        <v>2.4</v>
      </c>
      <c r="I213" s="6">
        <f t="shared" si="3"/>
        <v>1920</v>
      </c>
      <c r="J213" s="7" t="s">
        <v>82</v>
      </c>
    </row>
    <row r="214" spans="1:10" ht="13.95" customHeight="1" x14ac:dyDescent="0.3">
      <c r="A214" s="3">
        <v>45856</v>
      </c>
      <c r="B214" s="19" t="s">
        <v>2708</v>
      </c>
      <c r="C214" s="19" t="s">
        <v>11</v>
      </c>
      <c r="D214" s="19" t="s">
        <v>14</v>
      </c>
      <c r="E214" s="4">
        <v>1</v>
      </c>
      <c r="F214" s="42">
        <v>3.75</v>
      </c>
      <c r="G214" s="45">
        <v>250</v>
      </c>
      <c r="H214" s="22">
        <v>2.4</v>
      </c>
      <c r="I214" s="6">
        <f t="shared" si="3"/>
        <v>2250</v>
      </c>
      <c r="J214" s="7" t="s">
        <v>97</v>
      </c>
    </row>
    <row r="215" spans="1:10" ht="13.95" customHeight="1" x14ac:dyDescent="0.3">
      <c r="A215" s="3">
        <v>45857</v>
      </c>
      <c r="B215" s="19" t="s">
        <v>2708</v>
      </c>
      <c r="C215" s="19" t="s">
        <v>13</v>
      </c>
      <c r="D215" s="19" t="s">
        <v>14</v>
      </c>
      <c r="E215" s="4">
        <v>1</v>
      </c>
      <c r="F215" s="42">
        <v>4.55</v>
      </c>
      <c r="G215" s="45">
        <v>250</v>
      </c>
      <c r="H215" s="22">
        <v>2.4</v>
      </c>
      <c r="I215" s="6">
        <f t="shared" si="3"/>
        <v>2730</v>
      </c>
      <c r="J215" s="7" t="s">
        <v>1888</v>
      </c>
    </row>
    <row r="216" spans="1:10" ht="13.95" customHeight="1" x14ac:dyDescent="0.3">
      <c r="A216" s="3">
        <v>45858</v>
      </c>
      <c r="B216" s="19" t="s">
        <v>2708</v>
      </c>
      <c r="C216" s="19" t="s">
        <v>16</v>
      </c>
      <c r="D216" s="19" t="s">
        <v>14</v>
      </c>
      <c r="E216" s="4">
        <v>1</v>
      </c>
      <c r="F216" s="42">
        <v>4.1500000000000004</v>
      </c>
      <c r="G216" s="45">
        <v>250</v>
      </c>
      <c r="H216" s="22">
        <v>2.4</v>
      </c>
      <c r="I216" s="6">
        <f t="shared" si="3"/>
        <v>2490</v>
      </c>
      <c r="J216" s="7" t="s">
        <v>69</v>
      </c>
    </row>
    <row r="217" spans="1:10" ht="13.95" customHeight="1" x14ac:dyDescent="0.3">
      <c r="A217" s="3">
        <v>45859</v>
      </c>
      <c r="B217" s="19" t="s">
        <v>2708</v>
      </c>
      <c r="C217" s="19" t="s">
        <v>18</v>
      </c>
      <c r="D217" s="19" t="s">
        <v>2551</v>
      </c>
      <c r="E217" s="4">
        <v>1</v>
      </c>
      <c r="F217" s="42">
        <v>3.1</v>
      </c>
      <c r="G217" s="45">
        <v>250</v>
      </c>
      <c r="H217" s="22">
        <v>2.4</v>
      </c>
      <c r="I217" s="6">
        <f t="shared" si="3"/>
        <v>1860</v>
      </c>
      <c r="J217" s="7" t="s">
        <v>88</v>
      </c>
    </row>
    <row r="218" spans="1:10" ht="13.95" customHeight="1" x14ac:dyDescent="0.3">
      <c r="A218" s="3">
        <v>45860</v>
      </c>
      <c r="B218" s="19" t="s">
        <v>2708</v>
      </c>
      <c r="C218" s="19" t="s">
        <v>20</v>
      </c>
      <c r="D218" s="19" t="s">
        <v>2551</v>
      </c>
      <c r="E218" s="4">
        <v>1</v>
      </c>
      <c r="F218" s="42">
        <v>3.1</v>
      </c>
      <c r="G218" s="45">
        <v>250</v>
      </c>
      <c r="H218" s="22">
        <v>2.4</v>
      </c>
      <c r="I218" s="6">
        <f t="shared" si="3"/>
        <v>1860</v>
      </c>
      <c r="J218" s="7" t="s">
        <v>88</v>
      </c>
    </row>
    <row r="219" spans="1:10" ht="13.95" customHeight="1" x14ac:dyDescent="0.3">
      <c r="A219" s="3">
        <v>45861</v>
      </c>
      <c r="B219" s="19" t="s">
        <v>2708</v>
      </c>
      <c r="C219" s="19" t="s">
        <v>5</v>
      </c>
      <c r="D219" s="19" t="s">
        <v>2551</v>
      </c>
      <c r="E219" s="4">
        <v>1</v>
      </c>
      <c r="F219" s="42">
        <v>3.15</v>
      </c>
      <c r="G219" s="45">
        <v>250</v>
      </c>
      <c r="H219" s="22">
        <v>2.4</v>
      </c>
      <c r="I219" s="6">
        <f t="shared" si="3"/>
        <v>1890</v>
      </c>
      <c r="J219" s="7" t="s">
        <v>88</v>
      </c>
    </row>
    <row r="220" spans="1:10" ht="13.95" customHeight="1" x14ac:dyDescent="0.3">
      <c r="A220" s="3">
        <v>45862</v>
      </c>
      <c r="B220" s="19" t="s">
        <v>2708</v>
      </c>
      <c r="C220" s="19" t="s">
        <v>8</v>
      </c>
      <c r="D220" s="19" t="s">
        <v>994</v>
      </c>
      <c r="E220" s="4">
        <v>1</v>
      </c>
      <c r="F220" s="42">
        <v>3.3</v>
      </c>
      <c r="G220" s="45">
        <v>250</v>
      </c>
      <c r="H220" s="22">
        <v>2.4</v>
      </c>
      <c r="I220" s="6">
        <f t="shared" si="3"/>
        <v>1980</v>
      </c>
      <c r="J220" s="7" t="s">
        <v>2667</v>
      </c>
    </row>
    <row r="221" spans="1:10" ht="13.95" customHeight="1" x14ac:dyDescent="0.3">
      <c r="A221" s="3">
        <v>45863</v>
      </c>
      <c r="B221" s="19" t="s">
        <v>2708</v>
      </c>
      <c r="C221" s="19" t="s">
        <v>11</v>
      </c>
      <c r="D221" s="19" t="s">
        <v>1010</v>
      </c>
      <c r="E221" s="4">
        <v>1</v>
      </c>
      <c r="F221" s="42">
        <v>4.25</v>
      </c>
      <c r="G221" s="45">
        <v>250</v>
      </c>
      <c r="H221" s="22">
        <v>2.4</v>
      </c>
      <c r="I221" s="6">
        <f t="shared" si="3"/>
        <v>2550</v>
      </c>
      <c r="J221" s="7" t="s">
        <v>2401</v>
      </c>
    </row>
    <row r="222" spans="1:10" ht="13.95" customHeight="1" x14ac:dyDescent="0.3">
      <c r="A222" s="3">
        <v>45864</v>
      </c>
      <c r="B222" s="19" t="s">
        <v>2708</v>
      </c>
      <c r="C222" s="19" t="s">
        <v>13</v>
      </c>
      <c r="D222" s="19" t="s">
        <v>14</v>
      </c>
      <c r="E222" s="4">
        <v>1</v>
      </c>
      <c r="F222" s="42">
        <v>4.6500000000000004</v>
      </c>
      <c r="G222" s="45">
        <v>250</v>
      </c>
      <c r="H222" s="22">
        <v>2.4</v>
      </c>
      <c r="I222" s="6">
        <f t="shared" si="3"/>
        <v>2790</v>
      </c>
      <c r="J222" s="7" t="s">
        <v>2668</v>
      </c>
    </row>
    <row r="223" spans="1:10" ht="13.95" customHeight="1" x14ac:dyDescent="0.3">
      <c r="A223" s="3">
        <v>45865</v>
      </c>
      <c r="B223" s="19" t="s">
        <v>2708</v>
      </c>
      <c r="C223" s="19" t="s">
        <v>16</v>
      </c>
      <c r="D223" s="19" t="s">
        <v>14</v>
      </c>
      <c r="E223" s="4">
        <v>1</v>
      </c>
      <c r="F223" s="42">
        <v>4.2</v>
      </c>
      <c r="G223" s="45">
        <v>250</v>
      </c>
      <c r="H223" s="22">
        <v>2.4</v>
      </c>
      <c r="I223" s="6">
        <f t="shared" si="3"/>
        <v>2520</v>
      </c>
      <c r="J223" s="7" t="s">
        <v>490</v>
      </c>
    </row>
    <row r="224" spans="1:10" ht="13.95" customHeight="1" x14ac:dyDescent="0.3">
      <c r="A224" s="3">
        <v>45866</v>
      </c>
      <c r="B224" s="19" t="s">
        <v>2708</v>
      </c>
      <c r="C224" s="19" t="s">
        <v>18</v>
      </c>
      <c r="D224" s="19" t="s">
        <v>2551</v>
      </c>
      <c r="E224" s="4">
        <v>1</v>
      </c>
      <c r="F224" s="42">
        <v>3.15</v>
      </c>
      <c r="G224" s="45">
        <v>250</v>
      </c>
      <c r="H224" s="22">
        <v>2.4</v>
      </c>
      <c r="I224" s="6">
        <f t="shared" si="3"/>
        <v>1890</v>
      </c>
      <c r="J224" s="7" t="s">
        <v>88</v>
      </c>
    </row>
    <row r="225" spans="1:10" ht="13.95" customHeight="1" x14ac:dyDescent="0.3">
      <c r="A225" s="3">
        <v>45867</v>
      </c>
      <c r="B225" s="19" t="s">
        <v>2708</v>
      </c>
      <c r="C225" s="19" t="s">
        <v>20</v>
      </c>
      <c r="D225" s="19" t="s">
        <v>2551</v>
      </c>
      <c r="E225" s="4">
        <v>1</v>
      </c>
      <c r="F225" s="42">
        <v>3.15</v>
      </c>
      <c r="G225" s="45">
        <v>250</v>
      </c>
      <c r="H225" s="22">
        <v>2.4</v>
      </c>
      <c r="I225" s="6">
        <f t="shared" si="3"/>
        <v>1890</v>
      </c>
      <c r="J225" s="7" t="s">
        <v>88</v>
      </c>
    </row>
    <row r="226" spans="1:10" ht="13.95" customHeight="1" x14ac:dyDescent="0.3">
      <c r="A226" s="3">
        <v>45868</v>
      </c>
      <c r="B226" s="19" t="s">
        <v>2708</v>
      </c>
      <c r="C226" s="19" t="s">
        <v>5</v>
      </c>
      <c r="D226" s="19" t="s">
        <v>2551</v>
      </c>
      <c r="E226" s="4">
        <v>1</v>
      </c>
      <c r="F226" s="42">
        <v>3.2</v>
      </c>
      <c r="G226" s="45">
        <v>250</v>
      </c>
      <c r="H226" s="22">
        <v>2.4</v>
      </c>
      <c r="I226" s="6">
        <f t="shared" si="3"/>
        <v>1920</v>
      </c>
      <c r="J226" s="7" t="s">
        <v>88</v>
      </c>
    </row>
    <row r="227" spans="1:10" ht="13.95" customHeight="1" x14ac:dyDescent="0.3">
      <c r="A227" s="3">
        <v>45869</v>
      </c>
      <c r="B227" s="19" t="s">
        <v>2708</v>
      </c>
      <c r="C227" s="19" t="s">
        <v>8</v>
      </c>
      <c r="D227" s="19" t="s">
        <v>2551</v>
      </c>
      <c r="E227" s="4">
        <v>1</v>
      </c>
      <c r="F227" s="42">
        <v>3.25</v>
      </c>
      <c r="G227" s="45">
        <v>250</v>
      </c>
      <c r="H227" s="22">
        <v>2.4</v>
      </c>
      <c r="I227" s="6">
        <f t="shared" si="3"/>
        <v>1950</v>
      </c>
      <c r="J227" s="7" t="s">
        <v>846</v>
      </c>
    </row>
    <row r="228" spans="1:10" ht="13.95" customHeight="1" x14ac:dyDescent="0.3">
      <c r="A228" s="3">
        <v>45870</v>
      </c>
      <c r="B228" s="19" t="s">
        <v>2708</v>
      </c>
      <c r="C228" s="19" t="s">
        <v>11</v>
      </c>
      <c r="D228" s="19" t="s">
        <v>14</v>
      </c>
      <c r="E228" s="4">
        <v>1</v>
      </c>
      <c r="F228" s="42">
        <v>3.85</v>
      </c>
      <c r="G228" s="45">
        <v>250</v>
      </c>
      <c r="H228" s="22">
        <v>2.5</v>
      </c>
      <c r="I228" s="6">
        <f t="shared" si="3"/>
        <v>2406.25</v>
      </c>
      <c r="J228" s="7" t="s">
        <v>2666</v>
      </c>
    </row>
    <row r="229" spans="1:10" ht="13.95" customHeight="1" x14ac:dyDescent="0.3">
      <c r="A229" s="3">
        <v>45871</v>
      </c>
      <c r="B229" s="19" t="s">
        <v>2708</v>
      </c>
      <c r="C229" s="19" t="s">
        <v>13</v>
      </c>
      <c r="D229" s="19" t="s">
        <v>14</v>
      </c>
      <c r="E229" s="4">
        <v>1</v>
      </c>
      <c r="F229" s="42">
        <v>4.6500000000000004</v>
      </c>
      <c r="G229" s="45">
        <v>250</v>
      </c>
      <c r="H229" s="22">
        <v>2.5</v>
      </c>
      <c r="I229" s="6">
        <f t="shared" si="3"/>
        <v>2906.25</v>
      </c>
      <c r="J229" s="7" t="s">
        <v>2513</v>
      </c>
    </row>
    <row r="230" spans="1:10" ht="13.95" customHeight="1" x14ac:dyDescent="0.3">
      <c r="A230" s="3">
        <v>45872</v>
      </c>
      <c r="B230" s="19" t="s">
        <v>2708</v>
      </c>
      <c r="C230" s="19" t="s">
        <v>16</v>
      </c>
      <c r="D230" s="19" t="s">
        <v>14</v>
      </c>
      <c r="E230" s="4">
        <v>1</v>
      </c>
      <c r="F230" s="42">
        <v>4.2</v>
      </c>
      <c r="G230" s="45">
        <v>250</v>
      </c>
      <c r="H230" s="22">
        <v>2.5</v>
      </c>
      <c r="I230" s="6">
        <f t="shared" si="3"/>
        <v>2625</v>
      </c>
      <c r="J230" s="7" t="s">
        <v>2558</v>
      </c>
    </row>
    <row r="231" spans="1:10" ht="13.95" customHeight="1" x14ac:dyDescent="0.3">
      <c r="A231" s="3">
        <v>45873</v>
      </c>
      <c r="B231" s="19" t="s">
        <v>2708</v>
      </c>
      <c r="C231" s="19" t="s">
        <v>18</v>
      </c>
      <c r="D231" s="19" t="s">
        <v>2551</v>
      </c>
      <c r="E231" s="4">
        <v>1</v>
      </c>
      <c r="F231" s="42">
        <v>3.3</v>
      </c>
      <c r="G231" s="45">
        <v>250</v>
      </c>
      <c r="H231" s="22">
        <v>2.5</v>
      </c>
      <c r="I231" s="6">
        <f t="shared" si="3"/>
        <v>2062.5</v>
      </c>
      <c r="J231" s="7" t="s">
        <v>2442</v>
      </c>
    </row>
    <row r="232" spans="1:10" ht="13.95" customHeight="1" x14ac:dyDescent="0.3">
      <c r="A232" s="3">
        <v>45874</v>
      </c>
      <c r="B232" s="19" t="s">
        <v>2708</v>
      </c>
      <c r="C232" s="19" t="s">
        <v>20</v>
      </c>
      <c r="D232" s="19" t="s">
        <v>2551</v>
      </c>
      <c r="E232" s="4">
        <v>1</v>
      </c>
      <c r="F232" s="42">
        <v>3.3</v>
      </c>
      <c r="G232" s="45">
        <v>250</v>
      </c>
      <c r="H232" s="22">
        <v>2.5</v>
      </c>
      <c r="I232" s="6">
        <f t="shared" si="3"/>
        <v>2062.5</v>
      </c>
      <c r="J232" s="7" t="s">
        <v>2442</v>
      </c>
    </row>
    <row r="233" spans="1:10" ht="13.95" customHeight="1" x14ac:dyDescent="0.3">
      <c r="A233" s="3">
        <v>45875</v>
      </c>
      <c r="B233" s="19" t="s">
        <v>2708</v>
      </c>
      <c r="C233" s="19" t="s">
        <v>5</v>
      </c>
      <c r="D233" s="19" t="s">
        <v>2551</v>
      </c>
      <c r="E233" s="4">
        <v>1</v>
      </c>
      <c r="F233" s="42">
        <v>3.35</v>
      </c>
      <c r="G233" s="45">
        <v>250</v>
      </c>
      <c r="H233" s="22">
        <v>2.5</v>
      </c>
      <c r="I233" s="6">
        <f t="shared" si="3"/>
        <v>2093.75</v>
      </c>
      <c r="J233" s="7" t="s">
        <v>2442</v>
      </c>
    </row>
    <row r="234" spans="1:10" ht="13.95" customHeight="1" x14ac:dyDescent="0.3">
      <c r="A234" s="3">
        <v>45876</v>
      </c>
      <c r="B234" s="19" t="s">
        <v>2708</v>
      </c>
      <c r="C234" s="19" t="s">
        <v>8</v>
      </c>
      <c r="D234" s="19" t="s">
        <v>2551</v>
      </c>
      <c r="E234" s="4">
        <v>1</v>
      </c>
      <c r="F234" s="42">
        <v>3.4</v>
      </c>
      <c r="G234" s="45">
        <v>250</v>
      </c>
      <c r="H234" s="22">
        <v>2.5</v>
      </c>
      <c r="I234" s="6">
        <f t="shared" si="3"/>
        <v>2125</v>
      </c>
      <c r="J234" s="7" t="s">
        <v>2669</v>
      </c>
    </row>
    <row r="235" spans="1:10" ht="13.95" customHeight="1" x14ac:dyDescent="0.3">
      <c r="A235" s="3">
        <v>45877</v>
      </c>
      <c r="B235" s="19" t="s">
        <v>2708</v>
      </c>
      <c r="C235" s="19" t="s">
        <v>11</v>
      </c>
      <c r="D235" s="19" t="s">
        <v>14</v>
      </c>
      <c r="E235" s="4">
        <v>1</v>
      </c>
      <c r="F235" s="42">
        <v>3.9</v>
      </c>
      <c r="G235" s="45">
        <v>250</v>
      </c>
      <c r="H235" s="22">
        <v>2.5</v>
      </c>
      <c r="I235" s="6">
        <f t="shared" si="3"/>
        <v>2437.5</v>
      </c>
      <c r="J235" s="7" t="s">
        <v>2515</v>
      </c>
    </row>
    <row r="236" spans="1:10" ht="13.95" customHeight="1" x14ac:dyDescent="0.3">
      <c r="A236" s="3">
        <v>45878</v>
      </c>
      <c r="B236" s="19" t="s">
        <v>2708</v>
      </c>
      <c r="C236" s="19" t="s">
        <v>13</v>
      </c>
      <c r="D236" s="19" t="s">
        <v>14</v>
      </c>
      <c r="E236" s="4">
        <v>1</v>
      </c>
      <c r="F236" s="42">
        <v>4.75</v>
      </c>
      <c r="G236" s="45">
        <v>250</v>
      </c>
      <c r="H236" s="22">
        <v>2.5</v>
      </c>
      <c r="I236" s="6">
        <f t="shared" si="3"/>
        <v>2968.75</v>
      </c>
      <c r="J236" s="7" t="s">
        <v>2593</v>
      </c>
    </row>
    <row r="237" spans="1:10" ht="13.95" customHeight="1" x14ac:dyDescent="0.3">
      <c r="A237" s="3">
        <v>45879</v>
      </c>
      <c r="B237" s="19" t="s">
        <v>2708</v>
      </c>
      <c r="C237" s="19" t="s">
        <v>16</v>
      </c>
      <c r="D237" s="19" t="s">
        <v>14</v>
      </c>
      <c r="E237" s="4">
        <v>1</v>
      </c>
      <c r="F237" s="42">
        <v>4.3</v>
      </c>
      <c r="G237" s="45">
        <v>250</v>
      </c>
      <c r="H237" s="22">
        <v>2.5</v>
      </c>
      <c r="I237" s="6">
        <f t="shared" si="3"/>
        <v>2687.5</v>
      </c>
      <c r="J237" s="7" t="s">
        <v>159</v>
      </c>
    </row>
    <row r="238" spans="1:10" ht="13.95" customHeight="1" x14ac:dyDescent="0.3">
      <c r="A238" s="3">
        <v>45880</v>
      </c>
      <c r="B238" s="19" t="s">
        <v>2708</v>
      </c>
      <c r="C238" s="19" t="s">
        <v>18</v>
      </c>
      <c r="D238" s="19" t="s">
        <v>2551</v>
      </c>
      <c r="E238" s="4">
        <v>1</v>
      </c>
      <c r="F238" s="42">
        <v>3.35</v>
      </c>
      <c r="G238" s="45">
        <v>250</v>
      </c>
      <c r="H238" s="22">
        <v>2.5</v>
      </c>
      <c r="I238" s="6">
        <f t="shared" si="3"/>
        <v>2093.75</v>
      </c>
      <c r="J238" s="7" t="s">
        <v>88</v>
      </c>
    </row>
    <row r="239" spans="1:10" ht="13.95" customHeight="1" x14ac:dyDescent="0.3">
      <c r="A239" s="3">
        <v>45881</v>
      </c>
      <c r="B239" s="19" t="s">
        <v>2708</v>
      </c>
      <c r="C239" s="19" t="s">
        <v>20</v>
      </c>
      <c r="D239" s="19" t="s">
        <v>994</v>
      </c>
      <c r="E239" s="4">
        <v>1</v>
      </c>
      <c r="F239" s="42">
        <v>3.6</v>
      </c>
      <c r="G239" s="45">
        <v>250</v>
      </c>
      <c r="H239" s="22">
        <v>2.5</v>
      </c>
      <c r="I239" s="6">
        <f t="shared" si="3"/>
        <v>2250</v>
      </c>
      <c r="J239" s="7" t="s">
        <v>849</v>
      </c>
    </row>
    <row r="240" spans="1:10" ht="13.95" customHeight="1" x14ac:dyDescent="0.3">
      <c r="A240" s="3">
        <v>45882</v>
      </c>
      <c r="B240" s="19" t="s">
        <v>2708</v>
      </c>
      <c r="C240" s="19" t="s">
        <v>5</v>
      </c>
      <c r="D240" s="19" t="s">
        <v>2670</v>
      </c>
      <c r="E240" s="4">
        <v>1</v>
      </c>
      <c r="F240" s="42">
        <v>4.5</v>
      </c>
      <c r="G240" s="45">
        <v>250</v>
      </c>
      <c r="H240" s="22">
        <v>2.5</v>
      </c>
      <c r="I240" s="6">
        <f t="shared" si="3"/>
        <v>2812.5</v>
      </c>
      <c r="J240" s="7" t="s">
        <v>1699</v>
      </c>
    </row>
    <row r="241" spans="1:10" ht="13.95" customHeight="1" x14ac:dyDescent="0.3">
      <c r="A241" s="3">
        <v>45883</v>
      </c>
      <c r="B241" s="19" t="s">
        <v>2708</v>
      </c>
      <c r="C241" s="19" t="s">
        <v>8</v>
      </c>
      <c r="D241" s="19" t="s">
        <v>2551</v>
      </c>
      <c r="E241" s="4">
        <v>1</v>
      </c>
      <c r="F241" s="42">
        <v>3.5</v>
      </c>
      <c r="G241" s="45">
        <v>250</v>
      </c>
      <c r="H241" s="22">
        <v>2.5</v>
      </c>
      <c r="I241" s="6">
        <f t="shared" si="3"/>
        <v>2187.5</v>
      </c>
      <c r="J241" s="7" t="s">
        <v>2671</v>
      </c>
    </row>
    <row r="242" spans="1:10" ht="13.95" customHeight="1" x14ac:dyDescent="0.3">
      <c r="A242" s="3">
        <v>45884</v>
      </c>
      <c r="B242" s="19" t="s">
        <v>2708</v>
      </c>
      <c r="C242" s="19" t="s">
        <v>11</v>
      </c>
      <c r="D242" s="19" t="s">
        <v>14</v>
      </c>
      <c r="E242" s="4">
        <v>1</v>
      </c>
      <c r="F242" s="42">
        <v>4</v>
      </c>
      <c r="G242" s="45">
        <v>250</v>
      </c>
      <c r="H242" s="22">
        <v>2.5</v>
      </c>
      <c r="I242" s="6">
        <f t="shared" si="3"/>
        <v>2500</v>
      </c>
      <c r="J242" s="7" t="s">
        <v>1020</v>
      </c>
    </row>
    <row r="243" spans="1:10" ht="13.95" customHeight="1" x14ac:dyDescent="0.3">
      <c r="A243" s="3">
        <v>45885</v>
      </c>
      <c r="B243" s="19" t="s">
        <v>2708</v>
      </c>
      <c r="C243" s="19" t="s">
        <v>13</v>
      </c>
      <c r="D243" s="19" t="s">
        <v>14</v>
      </c>
      <c r="E243" s="4">
        <v>1</v>
      </c>
      <c r="F243" s="42">
        <v>4.8499999999999996</v>
      </c>
      <c r="G243" s="45">
        <v>250</v>
      </c>
      <c r="H243" s="22">
        <v>2.5</v>
      </c>
      <c r="I243" s="6">
        <f t="shared" si="3"/>
        <v>3031.25</v>
      </c>
      <c r="J243" s="7" t="s">
        <v>2672</v>
      </c>
    </row>
    <row r="244" spans="1:10" ht="13.95" customHeight="1" x14ac:dyDescent="0.3">
      <c r="A244" s="3">
        <v>45886</v>
      </c>
      <c r="B244" s="19" t="s">
        <v>2708</v>
      </c>
      <c r="C244" s="19" t="s">
        <v>16</v>
      </c>
      <c r="D244" s="19" t="s">
        <v>14</v>
      </c>
      <c r="E244" s="4">
        <v>1</v>
      </c>
      <c r="F244" s="42">
        <v>4.4000000000000004</v>
      </c>
      <c r="G244" s="45">
        <v>250</v>
      </c>
      <c r="H244" s="22">
        <v>2.5</v>
      </c>
      <c r="I244" s="6">
        <f t="shared" si="3"/>
        <v>2750</v>
      </c>
      <c r="J244" s="7" t="s">
        <v>2558</v>
      </c>
    </row>
    <row r="245" spans="1:10" ht="13.95" customHeight="1" x14ac:dyDescent="0.3">
      <c r="A245" s="3">
        <v>45887</v>
      </c>
      <c r="B245" s="19" t="s">
        <v>2708</v>
      </c>
      <c r="C245" s="19" t="s">
        <v>18</v>
      </c>
      <c r="D245" s="19" t="s">
        <v>2551</v>
      </c>
      <c r="E245" s="4">
        <v>1</v>
      </c>
      <c r="F245" s="42">
        <v>3.4</v>
      </c>
      <c r="G245" s="45">
        <v>250</v>
      </c>
      <c r="H245" s="22">
        <v>2.5</v>
      </c>
      <c r="I245" s="6">
        <f t="shared" si="3"/>
        <v>2125</v>
      </c>
      <c r="J245" s="7" t="s">
        <v>88</v>
      </c>
    </row>
    <row r="246" spans="1:10" ht="13.95" customHeight="1" x14ac:dyDescent="0.3">
      <c r="A246" s="3">
        <v>45888</v>
      </c>
      <c r="B246" s="19" t="s">
        <v>2708</v>
      </c>
      <c r="C246" s="19" t="s">
        <v>20</v>
      </c>
      <c r="D246" s="19" t="s">
        <v>2551</v>
      </c>
      <c r="E246" s="4">
        <v>1</v>
      </c>
      <c r="F246" s="42">
        <v>3.4</v>
      </c>
      <c r="G246" s="45">
        <v>250</v>
      </c>
      <c r="H246" s="22">
        <v>2.5</v>
      </c>
      <c r="I246" s="6">
        <f t="shared" si="3"/>
        <v>2125</v>
      </c>
      <c r="J246" s="7" t="s">
        <v>88</v>
      </c>
    </row>
    <row r="247" spans="1:10" ht="13.95" customHeight="1" x14ac:dyDescent="0.3">
      <c r="A247" s="3">
        <v>45889</v>
      </c>
      <c r="B247" s="19" t="s">
        <v>2708</v>
      </c>
      <c r="C247" s="19" t="s">
        <v>5</v>
      </c>
      <c r="D247" s="19" t="s">
        <v>2551</v>
      </c>
      <c r="E247" s="4">
        <v>1</v>
      </c>
      <c r="F247" s="42">
        <v>3.45</v>
      </c>
      <c r="G247" s="45">
        <v>250</v>
      </c>
      <c r="H247" s="22">
        <v>2.5</v>
      </c>
      <c r="I247" s="6">
        <f t="shared" si="3"/>
        <v>2156.25</v>
      </c>
      <c r="J247" s="7" t="s">
        <v>88</v>
      </c>
    </row>
    <row r="248" spans="1:10" ht="13.95" customHeight="1" x14ac:dyDescent="0.3">
      <c r="A248" s="3">
        <v>45890</v>
      </c>
      <c r="B248" s="19" t="s">
        <v>2708</v>
      </c>
      <c r="C248" s="19" t="s">
        <v>8</v>
      </c>
      <c r="D248" s="19" t="s">
        <v>2551</v>
      </c>
      <c r="E248" s="4">
        <v>1</v>
      </c>
      <c r="F248" s="42">
        <v>3.5</v>
      </c>
      <c r="G248" s="45">
        <v>250</v>
      </c>
      <c r="H248" s="22">
        <v>2.5</v>
      </c>
      <c r="I248" s="6">
        <f t="shared" si="3"/>
        <v>2187.5</v>
      </c>
      <c r="J248" s="7" t="s">
        <v>540</v>
      </c>
    </row>
    <row r="249" spans="1:10" ht="13.95" customHeight="1" x14ac:dyDescent="0.3">
      <c r="A249" s="3">
        <v>45891</v>
      </c>
      <c r="B249" s="19" t="s">
        <v>2708</v>
      </c>
      <c r="C249" s="19" t="s">
        <v>11</v>
      </c>
      <c r="D249" s="19" t="s">
        <v>14</v>
      </c>
      <c r="E249" s="4">
        <v>1</v>
      </c>
      <c r="F249" s="42">
        <v>4.0999999999999996</v>
      </c>
      <c r="G249" s="45">
        <v>250</v>
      </c>
      <c r="H249" s="22">
        <v>2.5</v>
      </c>
      <c r="I249" s="6">
        <f t="shared" si="3"/>
        <v>2562.5</v>
      </c>
      <c r="J249" s="7" t="s">
        <v>282</v>
      </c>
    </row>
    <row r="250" spans="1:10" ht="13.95" customHeight="1" x14ac:dyDescent="0.3">
      <c r="A250" s="3">
        <v>45892</v>
      </c>
      <c r="B250" s="19" t="s">
        <v>2708</v>
      </c>
      <c r="C250" s="19" t="s">
        <v>13</v>
      </c>
      <c r="D250" s="19" t="s">
        <v>14</v>
      </c>
      <c r="E250" s="4">
        <v>1</v>
      </c>
      <c r="F250" s="42">
        <v>4.8</v>
      </c>
      <c r="G250" s="45">
        <v>250</v>
      </c>
      <c r="H250" s="22">
        <v>2.5</v>
      </c>
      <c r="I250" s="6">
        <f t="shared" si="3"/>
        <v>3000</v>
      </c>
      <c r="J250" s="7" t="s">
        <v>2307</v>
      </c>
    </row>
    <row r="251" spans="1:10" ht="13.95" customHeight="1" x14ac:dyDescent="0.3">
      <c r="A251" s="3">
        <v>45893</v>
      </c>
      <c r="B251" s="19" t="s">
        <v>2708</v>
      </c>
      <c r="C251" s="19" t="s">
        <v>16</v>
      </c>
      <c r="D251" s="19" t="s">
        <v>14</v>
      </c>
      <c r="E251" s="4">
        <v>1</v>
      </c>
      <c r="F251" s="42">
        <v>4.3</v>
      </c>
      <c r="G251" s="45">
        <v>250</v>
      </c>
      <c r="H251" s="22">
        <v>2.5</v>
      </c>
      <c r="I251" s="6">
        <f t="shared" si="3"/>
        <v>2687.5</v>
      </c>
      <c r="J251" s="7" t="s">
        <v>69</v>
      </c>
    </row>
    <row r="252" spans="1:10" ht="13.95" customHeight="1" x14ac:dyDescent="0.3">
      <c r="A252" s="3">
        <v>45894</v>
      </c>
      <c r="B252" s="19" t="s">
        <v>2708</v>
      </c>
      <c r="C252" s="19" t="s">
        <v>18</v>
      </c>
      <c r="D252" s="19" t="s">
        <v>2551</v>
      </c>
      <c r="E252" s="4">
        <v>1</v>
      </c>
      <c r="F252" s="42">
        <v>3.45</v>
      </c>
      <c r="G252" s="45">
        <v>250</v>
      </c>
      <c r="H252" s="22">
        <v>2.5</v>
      </c>
      <c r="I252" s="6">
        <f t="shared" si="3"/>
        <v>2156.25</v>
      </c>
      <c r="J252" s="7" t="s">
        <v>88</v>
      </c>
    </row>
    <row r="253" spans="1:10" ht="13.95" customHeight="1" x14ac:dyDescent="0.3">
      <c r="A253" s="3">
        <v>45895</v>
      </c>
      <c r="B253" s="19" t="s">
        <v>2708</v>
      </c>
      <c r="C253" s="19" t="s">
        <v>20</v>
      </c>
      <c r="D253" s="19" t="s">
        <v>2551</v>
      </c>
      <c r="E253" s="4">
        <v>1</v>
      </c>
      <c r="F253" s="42">
        <v>3.45</v>
      </c>
      <c r="G253" s="45">
        <v>250</v>
      </c>
      <c r="H253" s="22">
        <v>2.5</v>
      </c>
      <c r="I253" s="6">
        <f t="shared" ref="I253:I316" si="4">(G253*E253)*F253*H253</f>
        <v>2156.25</v>
      </c>
      <c r="J253" s="7" t="s">
        <v>88</v>
      </c>
    </row>
    <row r="254" spans="1:10" ht="13.95" customHeight="1" x14ac:dyDescent="0.3">
      <c r="A254" s="3">
        <v>45896</v>
      </c>
      <c r="B254" s="19" t="s">
        <v>2708</v>
      </c>
      <c r="C254" s="19" t="s">
        <v>5</v>
      </c>
      <c r="D254" s="19" t="s">
        <v>2551</v>
      </c>
      <c r="E254" s="4">
        <v>1</v>
      </c>
      <c r="F254" s="42">
        <v>3.5</v>
      </c>
      <c r="G254" s="45">
        <v>250</v>
      </c>
      <c r="H254" s="22">
        <v>2.5</v>
      </c>
      <c r="I254" s="6">
        <f t="shared" si="4"/>
        <v>2187.5</v>
      </c>
      <c r="J254" s="7" t="s">
        <v>88</v>
      </c>
    </row>
    <row r="255" spans="1:10" ht="13.95" customHeight="1" x14ac:dyDescent="0.3">
      <c r="A255" s="3">
        <v>45897</v>
      </c>
      <c r="B255" s="19" t="s">
        <v>2708</v>
      </c>
      <c r="C255" s="19" t="s">
        <v>8</v>
      </c>
      <c r="D255" s="19" t="s">
        <v>2551</v>
      </c>
      <c r="E255" s="4">
        <v>1</v>
      </c>
      <c r="F255" s="42">
        <v>3.6</v>
      </c>
      <c r="G255" s="45">
        <v>250</v>
      </c>
      <c r="H255" s="22">
        <v>2.5</v>
      </c>
      <c r="I255" s="6">
        <f t="shared" si="4"/>
        <v>2250</v>
      </c>
      <c r="J255" s="7" t="s">
        <v>2673</v>
      </c>
    </row>
    <row r="256" spans="1:10" ht="13.95" customHeight="1" x14ac:dyDescent="0.3">
      <c r="A256" s="3">
        <v>45898</v>
      </c>
      <c r="B256" s="19" t="s">
        <v>2708</v>
      </c>
      <c r="C256" s="19" t="s">
        <v>11</v>
      </c>
      <c r="D256" s="19" t="s">
        <v>14</v>
      </c>
      <c r="E256" s="4">
        <v>1</v>
      </c>
      <c r="F256" s="42">
        <v>4.2</v>
      </c>
      <c r="G256" s="45">
        <v>250</v>
      </c>
      <c r="H256" s="22">
        <v>2.5</v>
      </c>
      <c r="I256" s="6">
        <f t="shared" si="4"/>
        <v>2625</v>
      </c>
      <c r="J256" s="7" t="s">
        <v>2674</v>
      </c>
    </row>
    <row r="257" spans="1:10" ht="13.95" customHeight="1" x14ac:dyDescent="0.3">
      <c r="A257" s="3">
        <v>45899</v>
      </c>
      <c r="B257" s="19" t="s">
        <v>2708</v>
      </c>
      <c r="C257" s="19" t="s">
        <v>13</v>
      </c>
      <c r="D257" s="19" t="s">
        <v>14</v>
      </c>
      <c r="E257" s="4">
        <v>1</v>
      </c>
      <c r="F257" s="42">
        <v>4.5999999999999996</v>
      </c>
      <c r="G257" s="45">
        <v>250</v>
      </c>
      <c r="H257" s="22">
        <v>2.5</v>
      </c>
      <c r="I257" s="6">
        <f t="shared" si="4"/>
        <v>2875</v>
      </c>
      <c r="J257" s="7" t="s">
        <v>2675</v>
      </c>
    </row>
    <row r="258" spans="1:10" ht="13.95" customHeight="1" x14ac:dyDescent="0.3">
      <c r="A258" s="3">
        <v>45900</v>
      </c>
      <c r="B258" s="19" t="s">
        <v>2708</v>
      </c>
      <c r="C258" s="19" t="s">
        <v>16</v>
      </c>
      <c r="D258" s="19" t="s">
        <v>14</v>
      </c>
      <c r="E258" s="4">
        <v>1</v>
      </c>
      <c r="F258" s="42">
        <v>4.0999999999999996</v>
      </c>
      <c r="G258" s="45">
        <v>250</v>
      </c>
      <c r="H258" s="22">
        <v>2.5</v>
      </c>
      <c r="I258" s="6">
        <f t="shared" si="4"/>
        <v>2562.5</v>
      </c>
      <c r="J258" s="7" t="s">
        <v>2676</v>
      </c>
    </row>
    <row r="259" spans="1:10" ht="13.95" customHeight="1" x14ac:dyDescent="0.3">
      <c r="A259" s="3">
        <v>45901</v>
      </c>
      <c r="B259" s="19" t="s">
        <v>2708</v>
      </c>
      <c r="C259" s="19" t="s">
        <v>18</v>
      </c>
      <c r="D259" s="19" t="s">
        <v>2677</v>
      </c>
      <c r="E259" s="4">
        <v>0.85</v>
      </c>
      <c r="F259" s="42">
        <v>2.9</v>
      </c>
      <c r="G259" s="45">
        <v>250</v>
      </c>
      <c r="H259" s="22">
        <v>2.1</v>
      </c>
      <c r="I259" s="6">
        <f t="shared" si="4"/>
        <v>1294.125</v>
      </c>
      <c r="J259" s="7" t="s">
        <v>2678</v>
      </c>
    </row>
    <row r="260" spans="1:10" ht="13.95" customHeight="1" x14ac:dyDescent="0.3">
      <c r="A260" s="3">
        <v>45902</v>
      </c>
      <c r="B260" s="19" t="s">
        <v>2708</v>
      </c>
      <c r="C260" s="19" t="s">
        <v>20</v>
      </c>
      <c r="D260" s="19" t="s">
        <v>2677</v>
      </c>
      <c r="E260" s="4">
        <v>0.8</v>
      </c>
      <c r="F260" s="42">
        <v>2.85</v>
      </c>
      <c r="G260" s="45">
        <v>250</v>
      </c>
      <c r="H260" s="22">
        <v>2.1</v>
      </c>
      <c r="I260" s="6">
        <f t="shared" si="4"/>
        <v>1197</v>
      </c>
      <c r="J260" s="7" t="s">
        <v>2679</v>
      </c>
    </row>
    <row r="261" spans="1:10" ht="13.95" customHeight="1" x14ac:dyDescent="0.3">
      <c r="A261" s="3">
        <v>45903</v>
      </c>
      <c r="B261" s="19" t="s">
        <v>2708</v>
      </c>
      <c r="C261" s="19" t="s">
        <v>5</v>
      </c>
      <c r="D261" s="19" t="s">
        <v>2677</v>
      </c>
      <c r="E261" s="4">
        <v>0.8</v>
      </c>
      <c r="F261" s="42">
        <v>2.85</v>
      </c>
      <c r="G261" s="45">
        <v>250</v>
      </c>
      <c r="H261" s="22">
        <v>2.1</v>
      </c>
      <c r="I261" s="6">
        <f t="shared" si="4"/>
        <v>1197</v>
      </c>
      <c r="J261" s="7" t="s">
        <v>88</v>
      </c>
    </row>
    <row r="262" spans="1:10" ht="13.95" customHeight="1" x14ac:dyDescent="0.3">
      <c r="A262" s="3">
        <v>45904</v>
      </c>
      <c r="B262" s="19" t="s">
        <v>2708</v>
      </c>
      <c r="C262" s="19" t="s">
        <v>8</v>
      </c>
      <c r="D262" s="19" t="s">
        <v>2677</v>
      </c>
      <c r="E262" s="4">
        <v>0.8</v>
      </c>
      <c r="F262" s="42">
        <v>2.9</v>
      </c>
      <c r="G262" s="45">
        <v>250</v>
      </c>
      <c r="H262" s="22">
        <v>2.1</v>
      </c>
      <c r="I262" s="6">
        <f t="shared" si="4"/>
        <v>1218</v>
      </c>
      <c r="J262" s="7" t="s">
        <v>2680</v>
      </c>
    </row>
    <row r="263" spans="1:10" ht="13.95" customHeight="1" x14ac:dyDescent="0.3">
      <c r="A263" s="3">
        <v>45905</v>
      </c>
      <c r="B263" s="19" t="s">
        <v>2708</v>
      </c>
      <c r="C263" s="19" t="s">
        <v>11</v>
      </c>
      <c r="D263" s="19" t="s">
        <v>14</v>
      </c>
      <c r="E263" s="4">
        <v>0.9</v>
      </c>
      <c r="F263" s="42">
        <v>3.35</v>
      </c>
      <c r="G263" s="45">
        <v>250</v>
      </c>
      <c r="H263" s="22">
        <v>2.1</v>
      </c>
      <c r="I263" s="6">
        <f t="shared" si="4"/>
        <v>1582.875</v>
      </c>
      <c r="J263" s="7" t="s">
        <v>2681</v>
      </c>
    </row>
    <row r="264" spans="1:10" ht="13.95" customHeight="1" x14ac:dyDescent="0.3">
      <c r="A264" s="3">
        <v>45906</v>
      </c>
      <c r="B264" s="19" t="s">
        <v>2708</v>
      </c>
      <c r="C264" s="19" t="s">
        <v>13</v>
      </c>
      <c r="D264" s="19" t="s">
        <v>14</v>
      </c>
      <c r="E264" s="4">
        <v>1</v>
      </c>
      <c r="F264" s="42">
        <v>4.0999999999999996</v>
      </c>
      <c r="G264" s="45">
        <v>250</v>
      </c>
      <c r="H264" s="22">
        <v>2.1</v>
      </c>
      <c r="I264" s="6">
        <f t="shared" si="4"/>
        <v>2152.5</v>
      </c>
      <c r="J264" s="7" t="s">
        <v>2513</v>
      </c>
    </row>
    <row r="265" spans="1:10" ht="13.95" customHeight="1" x14ac:dyDescent="0.3">
      <c r="A265" s="3">
        <v>45907</v>
      </c>
      <c r="B265" s="19" t="s">
        <v>2708</v>
      </c>
      <c r="C265" s="19" t="s">
        <v>16</v>
      </c>
      <c r="D265" s="19" t="s">
        <v>14</v>
      </c>
      <c r="E265" s="4">
        <v>0.95</v>
      </c>
      <c r="F265" s="42">
        <v>3.7</v>
      </c>
      <c r="G265" s="45">
        <v>250</v>
      </c>
      <c r="H265" s="22">
        <v>2.1</v>
      </c>
      <c r="I265" s="6">
        <f t="shared" si="4"/>
        <v>1845.375</v>
      </c>
      <c r="J265" s="7" t="s">
        <v>1911</v>
      </c>
    </row>
    <row r="266" spans="1:10" ht="13.95" customHeight="1" x14ac:dyDescent="0.3">
      <c r="A266" s="3">
        <v>45908</v>
      </c>
      <c r="B266" s="19" t="s">
        <v>2708</v>
      </c>
      <c r="C266" s="19" t="s">
        <v>18</v>
      </c>
      <c r="D266" s="19" t="s">
        <v>2677</v>
      </c>
      <c r="E266" s="4">
        <v>0.7</v>
      </c>
      <c r="F266" s="42">
        <v>2.6</v>
      </c>
      <c r="G266" s="45">
        <v>250</v>
      </c>
      <c r="H266" s="22">
        <v>2.1</v>
      </c>
      <c r="I266" s="6">
        <f t="shared" si="4"/>
        <v>955.5</v>
      </c>
      <c r="J266" s="7" t="s">
        <v>1639</v>
      </c>
    </row>
    <row r="267" spans="1:10" ht="13.95" customHeight="1" x14ac:dyDescent="0.3">
      <c r="A267" s="3">
        <v>45909</v>
      </c>
      <c r="B267" s="19" t="s">
        <v>2708</v>
      </c>
      <c r="C267" s="19" t="s">
        <v>20</v>
      </c>
      <c r="D267" s="19" t="s">
        <v>2677</v>
      </c>
      <c r="E267" s="4">
        <v>0.65</v>
      </c>
      <c r="F267" s="42">
        <v>2.5499999999999998</v>
      </c>
      <c r="G267" s="45">
        <v>250</v>
      </c>
      <c r="H267" s="22">
        <v>2.1</v>
      </c>
      <c r="I267" s="6">
        <f t="shared" si="4"/>
        <v>870.18749999999989</v>
      </c>
      <c r="J267" s="7" t="s">
        <v>2310</v>
      </c>
    </row>
    <row r="268" spans="1:10" ht="13.95" customHeight="1" x14ac:dyDescent="0.3">
      <c r="A268" s="3">
        <v>45910</v>
      </c>
      <c r="B268" s="19" t="s">
        <v>2708</v>
      </c>
      <c r="C268" s="19" t="s">
        <v>5</v>
      </c>
      <c r="D268" s="19" t="s">
        <v>2677</v>
      </c>
      <c r="E268" s="4">
        <v>0.65</v>
      </c>
      <c r="F268" s="42">
        <v>2.5499999999999998</v>
      </c>
      <c r="G268" s="45">
        <v>250</v>
      </c>
      <c r="H268" s="22">
        <v>2.1</v>
      </c>
      <c r="I268" s="6">
        <f t="shared" si="4"/>
        <v>870.18749999999989</v>
      </c>
      <c r="J268" s="7" t="s">
        <v>88</v>
      </c>
    </row>
    <row r="269" spans="1:10" ht="13.95" customHeight="1" x14ac:dyDescent="0.3">
      <c r="A269" s="3">
        <v>45911</v>
      </c>
      <c r="B269" s="19" t="s">
        <v>2708</v>
      </c>
      <c r="C269" s="19" t="s">
        <v>8</v>
      </c>
      <c r="D269" s="19" t="s">
        <v>9</v>
      </c>
      <c r="E269" s="4">
        <v>0.6</v>
      </c>
      <c r="F269" s="42">
        <v>2.4</v>
      </c>
      <c r="G269" s="45">
        <v>250</v>
      </c>
      <c r="H269" s="22">
        <v>2.1</v>
      </c>
      <c r="I269" s="6">
        <f t="shared" si="4"/>
        <v>756</v>
      </c>
      <c r="J269" s="7" t="s">
        <v>2682</v>
      </c>
    </row>
    <row r="270" spans="1:10" ht="13.95" customHeight="1" x14ac:dyDescent="0.3">
      <c r="A270" s="3">
        <v>45912</v>
      </c>
      <c r="B270" s="19" t="s">
        <v>2708</v>
      </c>
      <c r="C270" s="19" t="s">
        <v>11</v>
      </c>
      <c r="D270" s="19" t="s">
        <v>14</v>
      </c>
      <c r="E270" s="4">
        <v>0.75</v>
      </c>
      <c r="F270" s="42">
        <v>3.1</v>
      </c>
      <c r="G270" s="45">
        <v>250</v>
      </c>
      <c r="H270" s="22">
        <v>2.1</v>
      </c>
      <c r="I270" s="6">
        <f t="shared" si="4"/>
        <v>1220.625</v>
      </c>
      <c r="J270" s="7" t="s">
        <v>282</v>
      </c>
    </row>
    <row r="271" spans="1:10" ht="13.95" customHeight="1" x14ac:dyDescent="0.3">
      <c r="A271" s="3">
        <v>45913</v>
      </c>
      <c r="B271" s="19" t="s">
        <v>2708</v>
      </c>
      <c r="C271" s="19" t="s">
        <v>13</v>
      </c>
      <c r="D271" s="19" t="s">
        <v>14</v>
      </c>
      <c r="E271" s="4">
        <v>0.85</v>
      </c>
      <c r="F271" s="42">
        <v>3.75</v>
      </c>
      <c r="G271" s="45">
        <v>250</v>
      </c>
      <c r="H271" s="22">
        <v>2.1</v>
      </c>
      <c r="I271" s="6">
        <f t="shared" si="4"/>
        <v>1673.4375</v>
      </c>
      <c r="J271" s="7" t="s">
        <v>2593</v>
      </c>
    </row>
    <row r="272" spans="1:10" ht="13.95" customHeight="1" x14ac:dyDescent="0.3">
      <c r="A272" s="3">
        <v>45914</v>
      </c>
      <c r="B272" s="19" t="s">
        <v>2708</v>
      </c>
      <c r="C272" s="19" t="s">
        <v>16</v>
      </c>
      <c r="D272" s="19" t="s">
        <v>14</v>
      </c>
      <c r="E272" s="4">
        <v>0.8</v>
      </c>
      <c r="F272" s="42">
        <v>3.3</v>
      </c>
      <c r="G272" s="45">
        <v>250</v>
      </c>
      <c r="H272" s="22">
        <v>2.1</v>
      </c>
      <c r="I272" s="6">
        <f t="shared" si="4"/>
        <v>1386</v>
      </c>
      <c r="J272" s="7" t="s">
        <v>2683</v>
      </c>
    </row>
    <row r="273" spans="1:10" ht="13.95" customHeight="1" x14ac:dyDescent="0.3">
      <c r="A273" s="3">
        <v>45915</v>
      </c>
      <c r="B273" s="19" t="s">
        <v>2708</v>
      </c>
      <c r="C273" s="19" t="s">
        <v>18</v>
      </c>
      <c r="D273" s="19" t="s">
        <v>2684</v>
      </c>
      <c r="E273" s="4">
        <v>0.5</v>
      </c>
      <c r="F273" s="42">
        <v>2.15</v>
      </c>
      <c r="G273" s="45">
        <v>250</v>
      </c>
      <c r="H273" s="22">
        <v>2.1</v>
      </c>
      <c r="I273" s="6">
        <f t="shared" si="4"/>
        <v>564.375</v>
      </c>
      <c r="J273" s="7" t="s">
        <v>2685</v>
      </c>
    </row>
    <row r="274" spans="1:10" ht="13.95" customHeight="1" x14ac:dyDescent="0.3">
      <c r="A274" s="3">
        <v>45916</v>
      </c>
      <c r="B274" s="19" t="s">
        <v>2708</v>
      </c>
      <c r="C274" s="19" t="s">
        <v>20</v>
      </c>
      <c r="D274" s="19" t="s">
        <v>2015</v>
      </c>
      <c r="E274" s="4">
        <v>0.45</v>
      </c>
      <c r="F274" s="42">
        <v>2.1</v>
      </c>
      <c r="G274" s="45">
        <v>250</v>
      </c>
      <c r="H274" s="22">
        <v>2.1</v>
      </c>
      <c r="I274" s="6">
        <f t="shared" si="4"/>
        <v>496.125</v>
      </c>
      <c r="J274" s="7" t="s">
        <v>2686</v>
      </c>
    </row>
    <row r="275" spans="1:10" ht="13.95" customHeight="1" x14ac:dyDescent="0.3">
      <c r="A275" s="3">
        <v>45917</v>
      </c>
      <c r="B275" s="19" t="s">
        <v>2708</v>
      </c>
      <c r="C275" s="19" t="s">
        <v>5</v>
      </c>
      <c r="D275" s="19" t="s">
        <v>2015</v>
      </c>
      <c r="E275" s="4">
        <v>0.45</v>
      </c>
      <c r="F275" s="42">
        <v>2.1</v>
      </c>
      <c r="G275" s="45">
        <v>250</v>
      </c>
      <c r="H275" s="22">
        <v>2.1</v>
      </c>
      <c r="I275" s="6">
        <f t="shared" si="4"/>
        <v>496.125</v>
      </c>
      <c r="J275" s="7" t="s">
        <v>2563</v>
      </c>
    </row>
    <row r="276" spans="1:10" ht="13.95" customHeight="1" x14ac:dyDescent="0.3">
      <c r="A276" s="3">
        <v>45918</v>
      </c>
      <c r="B276" s="19" t="s">
        <v>2708</v>
      </c>
      <c r="C276" s="19" t="s">
        <v>8</v>
      </c>
      <c r="D276" s="19" t="s">
        <v>1263</v>
      </c>
      <c r="E276" s="4">
        <v>0.65</v>
      </c>
      <c r="F276" s="42">
        <v>2.5</v>
      </c>
      <c r="G276" s="45">
        <v>250</v>
      </c>
      <c r="H276" s="22">
        <v>2.1</v>
      </c>
      <c r="I276" s="6">
        <f t="shared" si="4"/>
        <v>853.125</v>
      </c>
      <c r="J276" s="7" t="s">
        <v>2687</v>
      </c>
    </row>
    <row r="277" spans="1:10" ht="13.95" customHeight="1" x14ac:dyDescent="0.3">
      <c r="A277" s="3">
        <v>45919</v>
      </c>
      <c r="B277" s="19" t="s">
        <v>2708</v>
      </c>
      <c r="C277" s="19" t="s">
        <v>11</v>
      </c>
      <c r="D277" s="19" t="s">
        <v>14</v>
      </c>
      <c r="E277" s="4">
        <v>0.7</v>
      </c>
      <c r="F277" s="42">
        <v>2.95</v>
      </c>
      <c r="G277" s="45">
        <v>250</v>
      </c>
      <c r="H277" s="22">
        <v>2.1</v>
      </c>
      <c r="I277" s="6">
        <f t="shared" si="4"/>
        <v>1084.125</v>
      </c>
      <c r="J277" s="7" t="s">
        <v>2477</v>
      </c>
    </row>
    <row r="278" spans="1:10" ht="13.95" customHeight="1" x14ac:dyDescent="0.3">
      <c r="A278" s="3">
        <v>45920</v>
      </c>
      <c r="B278" s="19" t="s">
        <v>2708</v>
      </c>
      <c r="C278" s="19" t="s">
        <v>13</v>
      </c>
      <c r="D278" s="19" t="s">
        <v>14</v>
      </c>
      <c r="E278" s="4">
        <v>0.8</v>
      </c>
      <c r="F278" s="42">
        <v>3.4</v>
      </c>
      <c r="G278" s="45">
        <v>250</v>
      </c>
      <c r="H278" s="22">
        <v>2.1</v>
      </c>
      <c r="I278" s="6">
        <f t="shared" si="4"/>
        <v>1428</v>
      </c>
      <c r="J278" s="7" t="s">
        <v>2598</v>
      </c>
    </row>
    <row r="279" spans="1:10" ht="13.95" customHeight="1" x14ac:dyDescent="0.3">
      <c r="A279" s="3">
        <v>45921</v>
      </c>
      <c r="B279" s="19" t="s">
        <v>2708</v>
      </c>
      <c r="C279" s="19" t="s">
        <v>16</v>
      </c>
      <c r="D279" s="19" t="s">
        <v>14</v>
      </c>
      <c r="E279" s="4">
        <v>0.75</v>
      </c>
      <c r="F279" s="42">
        <v>3</v>
      </c>
      <c r="G279" s="45">
        <v>250</v>
      </c>
      <c r="H279" s="22">
        <v>2.1</v>
      </c>
      <c r="I279" s="6">
        <f t="shared" si="4"/>
        <v>1181.25</v>
      </c>
      <c r="J279" s="7" t="s">
        <v>238</v>
      </c>
    </row>
    <row r="280" spans="1:10" ht="13.95" customHeight="1" x14ac:dyDescent="0.3">
      <c r="A280" s="3">
        <v>45922</v>
      </c>
      <c r="B280" s="19" t="s">
        <v>2708</v>
      </c>
      <c r="C280" s="19" t="s">
        <v>18</v>
      </c>
      <c r="D280" s="19" t="s">
        <v>2015</v>
      </c>
      <c r="E280" s="4">
        <v>0.4</v>
      </c>
      <c r="F280" s="42">
        <v>2.1</v>
      </c>
      <c r="G280" s="45">
        <v>250</v>
      </c>
      <c r="H280" s="22">
        <v>2.1</v>
      </c>
      <c r="I280" s="6">
        <f t="shared" si="4"/>
        <v>441</v>
      </c>
      <c r="J280" s="7" t="s">
        <v>1297</v>
      </c>
    </row>
    <row r="281" spans="1:10" ht="13.95" customHeight="1" x14ac:dyDescent="0.3">
      <c r="A281" s="3">
        <v>45923</v>
      </c>
      <c r="B281" s="19" t="s">
        <v>2708</v>
      </c>
      <c r="C281" s="19" t="s">
        <v>20</v>
      </c>
      <c r="D281" s="19" t="s">
        <v>2015</v>
      </c>
      <c r="E281" s="4">
        <v>0.4</v>
      </c>
      <c r="F281" s="42">
        <v>2.1</v>
      </c>
      <c r="G281" s="45">
        <v>250</v>
      </c>
      <c r="H281" s="22">
        <v>2.1</v>
      </c>
      <c r="I281" s="6">
        <f t="shared" si="4"/>
        <v>441</v>
      </c>
      <c r="J281" s="7" t="s">
        <v>88</v>
      </c>
    </row>
    <row r="282" spans="1:10" ht="13.95" customHeight="1" x14ac:dyDescent="0.3">
      <c r="A282" s="3">
        <v>45924</v>
      </c>
      <c r="B282" s="19" t="s">
        <v>2708</v>
      </c>
      <c r="C282" s="19" t="s">
        <v>5</v>
      </c>
      <c r="D282" s="19" t="s">
        <v>2015</v>
      </c>
      <c r="E282" s="4">
        <v>0.45</v>
      </c>
      <c r="F282" s="42">
        <v>2.15</v>
      </c>
      <c r="G282" s="45">
        <v>250</v>
      </c>
      <c r="H282" s="22">
        <v>2.1</v>
      </c>
      <c r="I282" s="6">
        <f t="shared" si="4"/>
        <v>507.9375</v>
      </c>
      <c r="J282" s="7" t="s">
        <v>88</v>
      </c>
    </row>
    <row r="283" spans="1:10" ht="13.95" customHeight="1" x14ac:dyDescent="0.3">
      <c r="A283" s="3">
        <v>45925</v>
      </c>
      <c r="B283" s="19" t="s">
        <v>2708</v>
      </c>
      <c r="C283" s="19" t="s">
        <v>8</v>
      </c>
      <c r="D283" s="19" t="s">
        <v>1263</v>
      </c>
      <c r="E283" s="4">
        <v>0.7</v>
      </c>
      <c r="F283" s="42">
        <v>2.4500000000000002</v>
      </c>
      <c r="G283" s="45">
        <v>250</v>
      </c>
      <c r="H283" s="22">
        <v>2.1</v>
      </c>
      <c r="I283" s="6">
        <f t="shared" si="4"/>
        <v>900.37500000000011</v>
      </c>
      <c r="J283" s="7" t="s">
        <v>1376</v>
      </c>
    </row>
    <row r="284" spans="1:10" ht="13.95" customHeight="1" x14ac:dyDescent="0.3">
      <c r="A284" s="3">
        <v>45926</v>
      </c>
      <c r="B284" s="19" t="s">
        <v>2708</v>
      </c>
      <c r="C284" s="19" t="s">
        <v>11</v>
      </c>
      <c r="D284" s="19" t="s">
        <v>14</v>
      </c>
      <c r="E284" s="4">
        <v>0.75</v>
      </c>
      <c r="F284" s="42">
        <v>2.9</v>
      </c>
      <c r="G284" s="45">
        <v>250</v>
      </c>
      <c r="H284" s="22">
        <v>2.1</v>
      </c>
      <c r="I284" s="6">
        <f t="shared" si="4"/>
        <v>1141.875</v>
      </c>
      <c r="J284" s="7" t="s">
        <v>282</v>
      </c>
    </row>
    <row r="285" spans="1:10" ht="13.95" customHeight="1" x14ac:dyDescent="0.3">
      <c r="A285" s="3">
        <v>45927</v>
      </c>
      <c r="B285" s="19" t="s">
        <v>2708</v>
      </c>
      <c r="C285" s="19" t="s">
        <v>13</v>
      </c>
      <c r="D285" s="19" t="s">
        <v>14</v>
      </c>
      <c r="E285" s="4">
        <v>0.85</v>
      </c>
      <c r="F285" s="42">
        <v>3.6</v>
      </c>
      <c r="G285" s="45">
        <v>250</v>
      </c>
      <c r="H285" s="22">
        <v>2.1</v>
      </c>
      <c r="I285" s="6">
        <f t="shared" si="4"/>
        <v>1606.5</v>
      </c>
      <c r="J285" s="7" t="s">
        <v>2290</v>
      </c>
    </row>
    <row r="286" spans="1:10" ht="13.95" customHeight="1" x14ac:dyDescent="0.3">
      <c r="A286" s="3">
        <v>45928</v>
      </c>
      <c r="B286" s="19" t="s">
        <v>2708</v>
      </c>
      <c r="C286" s="19" t="s">
        <v>16</v>
      </c>
      <c r="D286" s="19" t="s">
        <v>14</v>
      </c>
      <c r="E286" s="4">
        <v>0.8</v>
      </c>
      <c r="F286" s="42">
        <v>3.2</v>
      </c>
      <c r="G286" s="45">
        <v>250</v>
      </c>
      <c r="H286" s="22">
        <v>2.1</v>
      </c>
      <c r="I286" s="6">
        <f t="shared" si="4"/>
        <v>1344</v>
      </c>
      <c r="J286" s="7" t="s">
        <v>2688</v>
      </c>
    </row>
    <row r="287" spans="1:10" ht="13.95" customHeight="1" x14ac:dyDescent="0.3">
      <c r="A287" s="3">
        <v>45929</v>
      </c>
      <c r="B287" s="19" t="s">
        <v>2708</v>
      </c>
      <c r="C287" s="19" t="s">
        <v>18</v>
      </c>
      <c r="D287" s="19" t="s">
        <v>2015</v>
      </c>
      <c r="E287" s="4">
        <v>0.4</v>
      </c>
      <c r="F287" s="42">
        <v>2.1</v>
      </c>
      <c r="G287" s="45">
        <v>250</v>
      </c>
      <c r="H287" s="22">
        <v>2.1</v>
      </c>
      <c r="I287" s="6">
        <f t="shared" si="4"/>
        <v>441</v>
      </c>
      <c r="J287" s="7" t="s">
        <v>275</v>
      </c>
    </row>
    <row r="288" spans="1:10" ht="13.95" customHeight="1" x14ac:dyDescent="0.3">
      <c r="A288" s="3">
        <v>45930</v>
      </c>
      <c r="B288" s="19" t="s">
        <v>2708</v>
      </c>
      <c r="C288" s="19" t="s">
        <v>20</v>
      </c>
      <c r="D288" s="19" t="s">
        <v>2015</v>
      </c>
      <c r="E288" s="4">
        <v>0.4</v>
      </c>
      <c r="F288" s="42">
        <v>2.1</v>
      </c>
      <c r="G288" s="45">
        <v>250</v>
      </c>
      <c r="H288" s="22">
        <v>2.1</v>
      </c>
      <c r="I288" s="6">
        <f t="shared" si="4"/>
        <v>441</v>
      </c>
      <c r="J288" s="7" t="s">
        <v>2689</v>
      </c>
    </row>
    <row r="289" spans="1:10" ht="13.95" customHeight="1" x14ac:dyDescent="0.3">
      <c r="A289" s="3">
        <v>45931</v>
      </c>
      <c r="B289" s="19" t="s">
        <v>2708</v>
      </c>
      <c r="C289" s="19" t="s">
        <v>5</v>
      </c>
      <c r="D289" s="19" t="s">
        <v>2015</v>
      </c>
      <c r="E289" s="4">
        <v>0.45</v>
      </c>
      <c r="F289" s="42">
        <v>2.15</v>
      </c>
      <c r="G289" s="45">
        <v>250</v>
      </c>
      <c r="H289" s="22">
        <v>2.1</v>
      </c>
      <c r="I289" s="6">
        <f t="shared" si="4"/>
        <v>507.9375</v>
      </c>
      <c r="J289" s="7" t="s">
        <v>2298</v>
      </c>
    </row>
    <row r="290" spans="1:10" ht="13.95" customHeight="1" x14ac:dyDescent="0.3">
      <c r="A290" s="3">
        <v>45932</v>
      </c>
      <c r="B290" s="19" t="s">
        <v>2708</v>
      </c>
      <c r="C290" s="19" t="s">
        <v>8</v>
      </c>
      <c r="D290" s="19" t="s">
        <v>1263</v>
      </c>
      <c r="E290" s="4">
        <v>0.6</v>
      </c>
      <c r="F290" s="42">
        <v>2.4</v>
      </c>
      <c r="G290" s="45">
        <v>250</v>
      </c>
      <c r="H290" s="22">
        <v>2.1</v>
      </c>
      <c r="I290" s="6">
        <f t="shared" si="4"/>
        <v>756</v>
      </c>
      <c r="J290" s="7" t="s">
        <v>1376</v>
      </c>
    </row>
    <row r="291" spans="1:10" ht="13.95" customHeight="1" x14ac:dyDescent="0.3">
      <c r="A291" s="3">
        <v>45933</v>
      </c>
      <c r="B291" s="19" t="s">
        <v>2708</v>
      </c>
      <c r="C291" s="19" t="s">
        <v>11</v>
      </c>
      <c r="D291" s="19" t="s">
        <v>14</v>
      </c>
      <c r="E291" s="4">
        <v>0.7</v>
      </c>
      <c r="F291" s="42">
        <v>2.95</v>
      </c>
      <c r="G291" s="45">
        <v>250</v>
      </c>
      <c r="H291" s="22">
        <v>2.1</v>
      </c>
      <c r="I291" s="6">
        <f t="shared" si="4"/>
        <v>1084.125</v>
      </c>
      <c r="J291" s="7" t="s">
        <v>282</v>
      </c>
    </row>
    <row r="292" spans="1:10" ht="13.95" customHeight="1" x14ac:dyDescent="0.3">
      <c r="A292" s="3">
        <v>45934</v>
      </c>
      <c r="B292" s="19" t="s">
        <v>2708</v>
      </c>
      <c r="C292" s="19" t="s">
        <v>13</v>
      </c>
      <c r="D292" s="19" t="s">
        <v>14</v>
      </c>
      <c r="E292" s="4">
        <v>0.85</v>
      </c>
      <c r="F292" s="42">
        <v>3.6</v>
      </c>
      <c r="G292" s="45">
        <v>250</v>
      </c>
      <c r="H292" s="22">
        <v>2.1</v>
      </c>
      <c r="I292" s="6">
        <f t="shared" si="4"/>
        <v>1606.5</v>
      </c>
      <c r="J292" s="7" t="s">
        <v>2593</v>
      </c>
    </row>
    <row r="293" spans="1:10" ht="13.95" customHeight="1" x14ac:dyDescent="0.3">
      <c r="A293" s="3">
        <v>45935</v>
      </c>
      <c r="B293" s="19" t="s">
        <v>2708</v>
      </c>
      <c r="C293" s="19" t="s">
        <v>16</v>
      </c>
      <c r="D293" s="19" t="s">
        <v>14</v>
      </c>
      <c r="E293" s="4">
        <v>0.75</v>
      </c>
      <c r="F293" s="42">
        <v>3.1</v>
      </c>
      <c r="G293" s="45">
        <v>250</v>
      </c>
      <c r="H293" s="22">
        <v>2.1</v>
      </c>
      <c r="I293" s="6">
        <f t="shared" si="4"/>
        <v>1220.625</v>
      </c>
      <c r="J293" s="7" t="s">
        <v>238</v>
      </c>
    </row>
    <row r="294" spans="1:10" ht="13.95" customHeight="1" x14ac:dyDescent="0.3">
      <c r="A294" s="3">
        <v>45936</v>
      </c>
      <c r="B294" s="19" t="s">
        <v>2708</v>
      </c>
      <c r="C294" s="19" t="s">
        <v>18</v>
      </c>
      <c r="D294" s="19" t="s">
        <v>2015</v>
      </c>
      <c r="E294" s="4">
        <v>0.4</v>
      </c>
      <c r="F294" s="42">
        <v>2.1</v>
      </c>
      <c r="G294" s="45">
        <v>250</v>
      </c>
      <c r="H294" s="22">
        <v>2.1</v>
      </c>
      <c r="I294" s="6">
        <f t="shared" si="4"/>
        <v>441</v>
      </c>
      <c r="J294" s="7" t="s">
        <v>1297</v>
      </c>
    </row>
    <row r="295" spans="1:10" ht="13.95" customHeight="1" x14ac:dyDescent="0.3">
      <c r="A295" s="3">
        <v>45940</v>
      </c>
      <c r="B295" s="19" t="s">
        <v>2708</v>
      </c>
      <c r="C295" s="19" t="s">
        <v>11</v>
      </c>
      <c r="D295" s="19" t="s">
        <v>14</v>
      </c>
      <c r="E295" s="4">
        <v>0.75</v>
      </c>
      <c r="F295" s="42">
        <v>3</v>
      </c>
      <c r="G295" s="45">
        <v>250</v>
      </c>
      <c r="H295" s="22">
        <v>2.1</v>
      </c>
      <c r="I295" s="6">
        <f t="shared" si="4"/>
        <v>1181.25</v>
      </c>
      <c r="J295" s="7" t="s">
        <v>282</v>
      </c>
    </row>
    <row r="296" spans="1:10" ht="13.95" customHeight="1" x14ac:dyDescent="0.3">
      <c r="A296" s="3">
        <v>45941</v>
      </c>
      <c r="B296" s="19" t="s">
        <v>2708</v>
      </c>
      <c r="C296" s="19" t="s">
        <v>13</v>
      </c>
      <c r="D296" s="19" t="s">
        <v>14</v>
      </c>
      <c r="E296" s="4">
        <v>0.85</v>
      </c>
      <c r="F296" s="42">
        <v>3.7</v>
      </c>
      <c r="G296" s="45">
        <v>250</v>
      </c>
      <c r="H296" s="22">
        <v>2.1</v>
      </c>
      <c r="I296" s="6">
        <f t="shared" si="4"/>
        <v>1651.125</v>
      </c>
      <c r="J296" s="7" t="s">
        <v>2513</v>
      </c>
    </row>
    <row r="297" spans="1:10" ht="13.95" customHeight="1" x14ac:dyDescent="0.3">
      <c r="A297" s="3">
        <v>45942</v>
      </c>
      <c r="B297" s="19" t="s">
        <v>2708</v>
      </c>
      <c r="C297" s="19" t="s">
        <v>16</v>
      </c>
      <c r="D297" s="19" t="s">
        <v>14</v>
      </c>
      <c r="E297" s="4">
        <v>0.8</v>
      </c>
      <c r="F297" s="42">
        <v>3.2</v>
      </c>
      <c r="G297" s="45">
        <v>250</v>
      </c>
      <c r="H297" s="22">
        <v>2.1</v>
      </c>
      <c r="I297" s="6">
        <f t="shared" si="4"/>
        <v>1344</v>
      </c>
      <c r="J297" s="7" t="s">
        <v>69</v>
      </c>
    </row>
    <row r="298" spans="1:10" ht="13.95" customHeight="1" x14ac:dyDescent="0.3">
      <c r="A298" s="3">
        <v>45943</v>
      </c>
      <c r="B298" s="19" t="s">
        <v>2708</v>
      </c>
      <c r="C298" s="19" t="s">
        <v>18</v>
      </c>
      <c r="D298" s="19" t="s">
        <v>2015</v>
      </c>
      <c r="E298" s="4">
        <v>0.45</v>
      </c>
      <c r="F298" s="42">
        <v>2.15</v>
      </c>
      <c r="G298" s="45">
        <v>250</v>
      </c>
      <c r="H298" s="22">
        <v>2.1</v>
      </c>
      <c r="I298" s="6">
        <f t="shared" si="4"/>
        <v>507.9375</v>
      </c>
      <c r="J298" s="7" t="s">
        <v>88</v>
      </c>
    </row>
    <row r="299" spans="1:10" ht="13.95" customHeight="1" x14ac:dyDescent="0.3">
      <c r="A299" s="3">
        <v>45944</v>
      </c>
      <c r="B299" s="19" t="s">
        <v>2708</v>
      </c>
      <c r="C299" s="19" t="s">
        <v>20</v>
      </c>
      <c r="D299" s="19" t="s">
        <v>994</v>
      </c>
      <c r="E299" s="4">
        <v>0.65</v>
      </c>
      <c r="F299" s="42">
        <v>2.6</v>
      </c>
      <c r="G299" s="45">
        <v>250</v>
      </c>
      <c r="H299" s="22">
        <v>2.1</v>
      </c>
      <c r="I299" s="6">
        <f t="shared" si="4"/>
        <v>887.25</v>
      </c>
      <c r="J299" s="7" t="s">
        <v>2690</v>
      </c>
    </row>
    <row r="300" spans="1:10" ht="13.95" customHeight="1" x14ac:dyDescent="0.3">
      <c r="A300" s="3">
        <v>45945</v>
      </c>
      <c r="B300" s="19" t="s">
        <v>2708</v>
      </c>
      <c r="C300" s="19" t="s">
        <v>5</v>
      </c>
      <c r="D300" s="19" t="s">
        <v>2691</v>
      </c>
      <c r="E300" s="4">
        <v>0.85</v>
      </c>
      <c r="F300" s="42">
        <v>3.5</v>
      </c>
      <c r="G300" s="45">
        <v>250</v>
      </c>
      <c r="H300" s="22">
        <v>2.1</v>
      </c>
      <c r="I300" s="6">
        <f t="shared" si="4"/>
        <v>1561.875</v>
      </c>
      <c r="J300" s="7" t="s">
        <v>2586</v>
      </c>
    </row>
    <row r="301" spans="1:10" ht="13.95" customHeight="1" x14ac:dyDescent="0.3">
      <c r="A301" s="3">
        <v>45946</v>
      </c>
      <c r="B301" s="19" t="s">
        <v>2708</v>
      </c>
      <c r="C301" s="19" t="s">
        <v>8</v>
      </c>
      <c r="D301" s="19" t="s">
        <v>9</v>
      </c>
      <c r="E301" s="4">
        <v>0.6</v>
      </c>
      <c r="F301" s="42">
        <v>2.2999999999999998</v>
      </c>
      <c r="G301" s="45">
        <v>250</v>
      </c>
      <c r="H301" s="22">
        <v>2.1</v>
      </c>
      <c r="I301" s="6">
        <f t="shared" si="4"/>
        <v>724.5</v>
      </c>
      <c r="J301" s="7" t="s">
        <v>774</v>
      </c>
    </row>
    <row r="302" spans="1:10" ht="13.95" customHeight="1" x14ac:dyDescent="0.3">
      <c r="A302" s="3">
        <v>45947</v>
      </c>
      <c r="B302" s="19" t="s">
        <v>2708</v>
      </c>
      <c r="C302" s="19" t="s">
        <v>11</v>
      </c>
      <c r="D302" s="19" t="s">
        <v>658</v>
      </c>
      <c r="E302" s="4">
        <v>0.75</v>
      </c>
      <c r="F302" s="42">
        <v>3</v>
      </c>
      <c r="G302" s="45">
        <v>250</v>
      </c>
      <c r="H302" s="22">
        <v>2.1</v>
      </c>
      <c r="I302" s="6">
        <f t="shared" si="4"/>
        <v>1181.25</v>
      </c>
      <c r="J302" s="7" t="s">
        <v>2692</v>
      </c>
    </row>
    <row r="303" spans="1:10" ht="13.95" customHeight="1" x14ac:dyDescent="0.3">
      <c r="A303" s="3">
        <v>45948</v>
      </c>
      <c r="B303" s="19" t="s">
        <v>2708</v>
      </c>
      <c r="C303" s="19" t="s">
        <v>13</v>
      </c>
      <c r="D303" s="19" t="s">
        <v>658</v>
      </c>
      <c r="E303" s="4">
        <v>0.9</v>
      </c>
      <c r="F303" s="42">
        <v>3.85</v>
      </c>
      <c r="G303" s="45">
        <v>250</v>
      </c>
      <c r="H303" s="22">
        <v>2.1</v>
      </c>
      <c r="I303" s="6">
        <f t="shared" si="4"/>
        <v>1819.125</v>
      </c>
      <c r="J303" s="7" t="s">
        <v>2587</v>
      </c>
    </row>
    <row r="304" spans="1:10" ht="13.95" customHeight="1" x14ac:dyDescent="0.3">
      <c r="A304" s="3">
        <v>45766</v>
      </c>
      <c r="B304" s="19" t="s">
        <v>2708</v>
      </c>
      <c r="C304" s="19" t="s">
        <v>16</v>
      </c>
      <c r="D304" s="19" t="s">
        <v>658</v>
      </c>
      <c r="E304" s="4">
        <v>0.85</v>
      </c>
      <c r="F304" s="42">
        <v>3.4</v>
      </c>
      <c r="G304" s="45">
        <v>250</v>
      </c>
      <c r="H304" s="22">
        <v>2.1</v>
      </c>
      <c r="I304" s="6">
        <f t="shared" si="4"/>
        <v>1517.25</v>
      </c>
      <c r="J304" s="7" t="s">
        <v>1911</v>
      </c>
    </row>
    <row r="305" spans="1:10" ht="13.95" customHeight="1" x14ac:dyDescent="0.3">
      <c r="A305" s="3">
        <v>45950</v>
      </c>
      <c r="B305" s="19" t="s">
        <v>2708</v>
      </c>
      <c r="C305" s="19" t="s">
        <v>18</v>
      </c>
      <c r="D305" s="19" t="s">
        <v>658</v>
      </c>
      <c r="E305" s="4">
        <v>0.8</v>
      </c>
      <c r="F305" s="42">
        <v>2.75</v>
      </c>
      <c r="G305" s="45">
        <v>250</v>
      </c>
      <c r="H305" s="22">
        <v>2.1</v>
      </c>
      <c r="I305" s="6">
        <f t="shared" si="4"/>
        <v>1155</v>
      </c>
      <c r="J305" s="7" t="s">
        <v>2588</v>
      </c>
    </row>
    <row r="306" spans="1:10" ht="13.95" customHeight="1" x14ac:dyDescent="0.3">
      <c r="A306" s="3">
        <v>45951</v>
      </c>
      <c r="B306" s="19" t="s">
        <v>2708</v>
      </c>
      <c r="C306" s="19" t="s">
        <v>20</v>
      </c>
      <c r="D306" s="19" t="s">
        <v>658</v>
      </c>
      <c r="E306" s="4">
        <v>0.8</v>
      </c>
      <c r="F306" s="42">
        <v>2.75</v>
      </c>
      <c r="G306" s="45">
        <v>250</v>
      </c>
      <c r="H306" s="22">
        <v>2.1</v>
      </c>
      <c r="I306" s="6">
        <f t="shared" si="4"/>
        <v>1155</v>
      </c>
      <c r="J306" s="7" t="s">
        <v>2589</v>
      </c>
    </row>
    <row r="307" spans="1:10" ht="13.95" customHeight="1" x14ac:dyDescent="0.3">
      <c r="A307" s="3">
        <v>45955</v>
      </c>
      <c r="B307" s="19" t="s">
        <v>2708</v>
      </c>
      <c r="C307" s="19" t="s">
        <v>13</v>
      </c>
      <c r="D307" s="19" t="s">
        <v>14</v>
      </c>
      <c r="E307" s="4">
        <v>0.95</v>
      </c>
      <c r="F307" s="42">
        <v>3.9</v>
      </c>
      <c r="G307" s="45">
        <v>250</v>
      </c>
      <c r="H307" s="22">
        <v>2.1</v>
      </c>
      <c r="I307" s="6">
        <f t="shared" si="4"/>
        <v>1945.125</v>
      </c>
      <c r="J307" s="7" t="s">
        <v>2590</v>
      </c>
    </row>
    <row r="308" spans="1:10" ht="13.95" customHeight="1" x14ac:dyDescent="0.3">
      <c r="A308" s="3">
        <v>45956</v>
      </c>
      <c r="B308" s="19" t="s">
        <v>2708</v>
      </c>
      <c r="C308" s="19" t="s">
        <v>16</v>
      </c>
      <c r="D308" s="19" t="s">
        <v>14</v>
      </c>
      <c r="E308" s="4">
        <v>0.9</v>
      </c>
      <c r="F308" s="42">
        <v>3.45</v>
      </c>
      <c r="G308" s="45">
        <v>250</v>
      </c>
      <c r="H308" s="22">
        <v>2.1</v>
      </c>
      <c r="I308" s="6">
        <f t="shared" si="4"/>
        <v>1630.125</v>
      </c>
      <c r="J308" s="7" t="s">
        <v>159</v>
      </c>
    </row>
    <row r="309" spans="1:10" ht="13.95" customHeight="1" x14ac:dyDescent="0.3">
      <c r="A309" s="3">
        <v>45957</v>
      </c>
      <c r="B309" s="19" t="s">
        <v>2708</v>
      </c>
      <c r="C309" s="19" t="s">
        <v>18</v>
      </c>
      <c r="D309" s="19" t="s">
        <v>658</v>
      </c>
      <c r="E309" s="4">
        <v>0.75</v>
      </c>
      <c r="F309" s="42">
        <v>2.7</v>
      </c>
      <c r="G309" s="45">
        <v>250</v>
      </c>
      <c r="H309" s="22">
        <v>2.1</v>
      </c>
      <c r="I309" s="6">
        <f t="shared" si="4"/>
        <v>1063.1250000000002</v>
      </c>
      <c r="J309" s="7" t="s">
        <v>88</v>
      </c>
    </row>
    <row r="310" spans="1:10" ht="13.95" customHeight="1" x14ac:dyDescent="0.3">
      <c r="A310" s="3">
        <v>45958</v>
      </c>
      <c r="B310" s="19" t="s">
        <v>2708</v>
      </c>
      <c r="C310" s="19" t="s">
        <v>20</v>
      </c>
      <c r="D310" s="19" t="s">
        <v>658</v>
      </c>
      <c r="E310" s="4">
        <v>0.7</v>
      </c>
      <c r="F310" s="42">
        <v>2.65</v>
      </c>
      <c r="G310" s="45">
        <v>250</v>
      </c>
      <c r="H310" s="22">
        <v>2.1</v>
      </c>
      <c r="I310" s="6">
        <f t="shared" si="4"/>
        <v>973.875</v>
      </c>
      <c r="J310" s="7" t="s">
        <v>88</v>
      </c>
    </row>
    <row r="311" spans="1:10" ht="13.95" customHeight="1" x14ac:dyDescent="0.3">
      <c r="A311" s="3">
        <v>45959</v>
      </c>
      <c r="B311" s="19" t="s">
        <v>2708</v>
      </c>
      <c r="C311" s="19" t="s">
        <v>5</v>
      </c>
      <c r="D311" s="19" t="s">
        <v>658</v>
      </c>
      <c r="E311" s="4">
        <v>0.7</v>
      </c>
      <c r="F311" s="42">
        <v>2.7</v>
      </c>
      <c r="G311" s="45">
        <v>250</v>
      </c>
      <c r="H311" s="22">
        <v>2.1</v>
      </c>
      <c r="I311" s="6">
        <f t="shared" si="4"/>
        <v>992.25000000000011</v>
      </c>
      <c r="J311" s="7" t="s">
        <v>2152</v>
      </c>
    </row>
    <row r="312" spans="1:10" ht="13.95" customHeight="1" x14ac:dyDescent="0.3">
      <c r="A312" s="3">
        <v>45960</v>
      </c>
      <c r="B312" s="19" t="s">
        <v>2708</v>
      </c>
      <c r="C312" s="19" t="s">
        <v>8</v>
      </c>
      <c r="D312" s="19" t="s">
        <v>658</v>
      </c>
      <c r="E312" s="4">
        <v>0.75</v>
      </c>
      <c r="F312" s="42">
        <v>2.8</v>
      </c>
      <c r="G312" s="45">
        <v>250</v>
      </c>
      <c r="H312" s="22">
        <v>2.1</v>
      </c>
      <c r="I312" s="6">
        <f t="shared" si="4"/>
        <v>1102.5</v>
      </c>
      <c r="J312" s="7" t="s">
        <v>2152</v>
      </c>
    </row>
    <row r="313" spans="1:10" ht="13.95" customHeight="1" x14ac:dyDescent="0.3">
      <c r="A313" s="3">
        <v>45961</v>
      </c>
      <c r="B313" s="19" t="s">
        <v>2708</v>
      </c>
      <c r="C313" s="19" t="s">
        <v>11</v>
      </c>
      <c r="D313" s="19" t="s">
        <v>2591</v>
      </c>
      <c r="E313" s="4">
        <v>0.9</v>
      </c>
      <c r="F313" s="42">
        <v>4.0999999999999996</v>
      </c>
      <c r="G313" s="45">
        <v>250</v>
      </c>
      <c r="H313" s="22">
        <v>2.1</v>
      </c>
      <c r="I313" s="6">
        <f t="shared" si="4"/>
        <v>1937.2499999999998</v>
      </c>
      <c r="J313" s="7" t="s">
        <v>1711</v>
      </c>
    </row>
    <row r="314" spans="1:10" ht="13.95" customHeight="1" x14ac:dyDescent="0.3">
      <c r="A314" s="3">
        <v>45962</v>
      </c>
      <c r="B314" s="19" t="s">
        <v>2708</v>
      </c>
      <c r="C314" s="19" t="s">
        <v>13</v>
      </c>
      <c r="D314" s="19" t="s">
        <v>14</v>
      </c>
      <c r="E314" s="4">
        <v>0.75</v>
      </c>
      <c r="F314" s="42">
        <v>3.2</v>
      </c>
      <c r="G314" s="45">
        <v>250</v>
      </c>
      <c r="H314" s="22">
        <v>1.9</v>
      </c>
      <c r="I314" s="6">
        <f t="shared" si="4"/>
        <v>1140</v>
      </c>
      <c r="J314" s="7" t="s">
        <v>2693</v>
      </c>
    </row>
    <row r="315" spans="1:10" ht="13.95" customHeight="1" x14ac:dyDescent="0.3">
      <c r="A315" s="3">
        <v>45963</v>
      </c>
      <c r="B315" s="19" t="s">
        <v>2708</v>
      </c>
      <c r="C315" s="19" t="s">
        <v>16</v>
      </c>
      <c r="D315" s="19" t="s">
        <v>14</v>
      </c>
      <c r="E315" s="4">
        <v>0.7</v>
      </c>
      <c r="F315" s="42">
        <v>2.9</v>
      </c>
      <c r="G315" s="45">
        <v>250</v>
      </c>
      <c r="H315" s="22">
        <v>1.9</v>
      </c>
      <c r="I315" s="6">
        <f t="shared" si="4"/>
        <v>964.25</v>
      </c>
      <c r="J315" s="7" t="s">
        <v>238</v>
      </c>
    </row>
    <row r="316" spans="1:10" ht="13.95" customHeight="1" x14ac:dyDescent="0.3">
      <c r="A316" s="3">
        <v>45964</v>
      </c>
      <c r="B316" s="19" t="s">
        <v>2708</v>
      </c>
      <c r="C316" s="19" t="s">
        <v>18</v>
      </c>
      <c r="D316" s="19" t="s">
        <v>2015</v>
      </c>
      <c r="E316" s="4">
        <v>0.4</v>
      </c>
      <c r="F316" s="42">
        <v>2.1</v>
      </c>
      <c r="G316" s="45">
        <v>250</v>
      </c>
      <c r="H316" s="22">
        <v>1.9</v>
      </c>
      <c r="I316" s="6">
        <f t="shared" si="4"/>
        <v>399</v>
      </c>
      <c r="J316" s="7" t="s">
        <v>2485</v>
      </c>
    </row>
    <row r="317" spans="1:10" ht="13.95" customHeight="1" x14ac:dyDescent="0.3">
      <c r="A317" s="3">
        <v>45965</v>
      </c>
      <c r="B317" s="19" t="s">
        <v>2708</v>
      </c>
      <c r="C317" s="19" t="s">
        <v>20</v>
      </c>
      <c r="D317" s="19" t="s">
        <v>2015</v>
      </c>
      <c r="E317" s="4">
        <v>0.4</v>
      </c>
      <c r="F317" s="42">
        <v>2.1</v>
      </c>
      <c r="G317" s="45">
        <v>250</v>
      </c>
      <c r="H317" s="22">
        <v>1.9</v>
      </c>
      <c r="I317" s="6">
        <f t="shared" ref="I317:I374" si="5">(G317*E317)*F317*H317</f>
        <v>399</v>
      </c>
      <c r="J317" s="7" t="s">
        <v>2485</v>
      </c>
    </row>
    <row r="318" spans="1:10" ht="13.95" customHeight="1" x14ac:dyDescent="0.3">
      <c r="A318" s="3">
        <v>45966</v>
      </c>
      <c r="B318" s="19" t="s">
        <v>2708</v>
      </c>
      <c r="C318" s="19" t="s">
        <v>5</v>
      </c>
      <c r="D318" s="19" t="s">
        <v>2015</v>
      </c>
      <c r="E318" s="4">
        <v>0.45</v>
      </c>
      <c r="F318" s="42">
        <v>2.15</v>
      </c>
      <c r="G318" s="45">
        <v>250</v>
      </c>
      <c r="H318" s="22">
        <v>1.9</v>
      </c>
      <c r="I318" s="6">
        <f t="shared" si="5"/>
        <v>459.5625</v>
      </c>
      <c r="J318" s="7" t="s">
        <v>88</v>
      </c>
    </row>
    <row r="319" spans="1:10" ht="13.95" customHeight="1" x14ac:dyDescent="0.3">
      <c r="A319" s="3">
        <v>45967</v>
      </c>
      <c r="B319" s="19" t="s">
        <v>2708</v>
      </c>
      <c r="C319" s="19" t="s">
        <v>8</v>
      </c>
      <c r="D319" s="19" t="s">
        <v>1263</v>
      </c>
      <c r="E319" s="4">
        <v>0.65</v>
      </c>
      <c r="F319" s="42">
        <v>2.4500000000000002</v>
      </c>
      <c r="G319" s="45">
        <v>250</v>
      </c>
      <c r="H319" s="22">
        <v>1.9</v>
      </c>
      <c r="I319" s="6">
        <f t="shared" si="5"/>
        <v>756.43750000000011</v>
      </c>
      <c r="J319" s="7" t="s">
        <v>1376</v>
      </c>
    </row>
    <row r="320" spans="1:10" ht="13.95" customHeight="1" x14ac:dyDescent="0.3">
      <c r="A320" s="3">
        <v>45968</v>
      </c>
      <c r="B320" s="19" t="s">
        <v>2708</v>
      </c>
      <c r="C320" s="19" t="s">
        <v>11</v>
      </c>
      <c r="D320" s="19" t="s">
        <v>14</v>
      </c>
      <c r="E320" s="4">
        <v>0.6</v>
      </c>
      <c r="F320" s="42">
        <v>2.8</v>
      </c>
      <c r="G320" s="45">
        <v>250</v>
      </c>
      <c r="H320" s="22">
        <v>1.9</v>
      </c>
      <c r="I320" s="6">
        <f t="shared" si="5"/>
        <v>798</v>
      </c>
      <c r="J320" s="7" t="s">
        <v>728</v>
      </c>
    </row>
    <row r="321" spans="1:10" ht="13.95" customHeight="1" x14ac:dyDescent="0.3">
      <c r="A321" s="3">
        <v>45969</v>
      </c>
      <c r="B321" s="19" t="s">
        <v>2708</v>
      </c>
      <c r="C321" s="19" t="s">
        <v>13</v>
      </c>
      <c r="D321" s="19" t="s">
        <v>14</v>
      </c>
      <c r="E321" s="4">
        <v>0.75</v>
      </c>
      <c r="F321" s="42">
        <v>3.3</v>
      </c>
      <c r="G321" s="45">
        <v>250</v>
      </c>
      <c r="H321" s="22">
        <v>1.9</v>
      </c>
      <c r="I321" s="6">
        <f t="shared" si="5"/>
        <v>1175.625</v>
      </c>
      <c r="J321" s="7" t="s">
        <v>2593</v>
      </c>
    </row>
    <row r="322" spans="1:10" ht="13.95" customHeight="1" x14ac:dyDescent="0.3">
      <c r="A322" s="3">
        <v>45970</v>
      </c>
      <c r="B322" s="19" t="s">
        <v>2708</v>
      </c>
      <c r="C322" s="19" t="s">
        <v>16</v>
      </c>
      <c r="D322" s="19" t="s">
        <v>14</v>
      </c>
      <c r="E322" s="4">
        <v>0.7</v>
      </c>
      <c r="F322" s="42">
        <v>2.95</v>
      </c>
      <c r="G322" s="45">
        <v>250</v>
      </c>
      <c r="H322" s="22">
        <v>1.9</v>
      </c>
      <c r="I322" s="6">
        <f t="shared" si="5"/>
        <v>980.875</v>
      </c>
      <c r="J322" s="7" t="s">
        <v>69</v>
      </c>
    </row>
    <row r="323" spans="1:10" ht="13.95" customHeight="1" x14ac:dyDescent="0.3">
      <c r="A323" s="3">
        <v>45971</v>
      </c>
      <c r="B323" s="19" t="s">
        <v>2708</v>
      </c>
      <c r="C323" s="19" t="s">
        <v>18</v>
      </c>
      <c r="D323" s="19" t="s">
        <v>2015</v>
      </c>
      <c r="E323" s="4">
        <v>0.45</v>
      </c>
      <c r="F323" s="42">
        <v>2.1</v>
      </c>
      <c r="G323" s="45">
        <v>250</v>
      </c>
      <c r="H323" s="22">
        <v>1.9</v>
      </c>
      <c r="I323" s="6">
        <f t="shared" si="5"/>
        <v>448.875</v>
      </c>
      <c r="J323" s="7" t="s">
        <v>1297</v>
      </c>
    </row>
    <row r="324" spans="1:10" ht="13.95" customHeight="1" x14ac:dyDescent="0.3">
      <c r="A324" s="3">
        <v>45972</v>
      </c>
      <c r="B324" s="19" t="s">
        <v>2708</v>
      </c>
      <c r="C324" s="19" t="s">
        <v>20</v>
      </c>
      <c r="D324" s="19" t="s">
        <v>2015</v>
      </c>
      <c r="E324" s="4">
        <v>0.45</v>
      </c>
      <c r="F324" s="42">
        <v>2.1</v>
      </c>
      <c r="G324" s="45">
        <v>250</v>
      </c>
      <c r="H324" s="22">
        <v>1.9</v>
      </c>
      <c r="I324" s="6">
        <f t="shared" si="5"/>
        <v>448.875</v>
      </c>
      <c r="J324" s="7" t="s">
        <v>1297</v>
      </c>
    </row>
    <row r="325" spans="1:10" ht="13.95" customHeight="1" x14ac:dyDescent="0.3">
      <c r="A325" s="3">
        <v>45973</v>
      </c>
      <c r="B325" s="19" t="s">
        <v>2708</v>
      </c>
      <c r="C325" s="19" t="s">
        <v>5</v>
      </c>
      <c r="D325" s="19" t="s">
        <v>2015</v>
      </c>
      <c r="E325" s="4">
        <v>0.45</v>
      </c>
      <c r="F325" s="42">
        <v>2.1</v>
      </c>
      <c r="G325" s="45">
        <v>250</v>
      </c>
      <c r="H325" s="22">
        <v>1.9</v>
      </c>
      <c r="I325" s="6">
        <f t="shared" si="5"/>
        <v>448.875</v>
      </c>
      <c r="J325" s="7" t="s">
        <v>88</v>
      </c>
    </row>
    <row r="326" spans="1:10" ht="13.95" customHeight="1" x14ac:dyDescent="0.3">
      <c r="A326" s="3">
        <v>45974</v>
      </c>
      <c r="B326" s="19" t="s">
        <v>2708</v>
      </c>
      <c r="C326" s="19" t="s">
        <v>8</v>
      </c>
      <c r="D326" s="19" t="s">
        <v>1263</v>
      </c>
      <c r="E326" s="4">
        <v>0.7</v>
      </c>
      <c r="F326" s="42">
        <v>2.5</v>
      </c>
      <c r="G326" s="45">
        <v>250</v>
      </c>
      <c r="H326" s="22">
        <v>1.9</v>
      </c>
      <c r="I326" s="6">
        <f t="shared" si="5"/>
        <v>831.25</v>
      </c>
      <c r="J326" s="7" t="s">
        <v>2694</v>
      </c>
    </row>
    <row r="327" spans="1:10" ht="13.95" customHeight="1" x14ac:dyDescent="0.3">
      <c r="A327" s="3">
        <v>45975</v>
      </c>
      <c r="B327" s="19" t="s">
        <v>2708</v>
      </c>
      <c r="C327" s="19" t="s">
        <v>11</v>
      </c>
      <c r="D327" s="19" t="s">
        <v>14</v>
      </c>
      <c r="E327" s="4">
        <v>0.6</v>
      </c>
      <c r="F327" s="42">
        <v>2.85</v>
      </c>
      <c r="G327" s="45">
        <v>250</v>
      </c>
      <c r="H327" s="22">
        <v>1.9</v>
      </c>
      <c r="I327" s="6">
        <f t="shared" si="5"/>
        <v>812.25</v>
      </c>
      <c r="J327" s="7" t="s">
        <v>282</v>
      </c>
    </row>
    <row r="328" spans="1:10" ht="13.95" customHeight="1" x14ac:dyDescent="0.3">
      <c r="A328" s="3">
        <v>45976</v>
      </c>
      <c r="B328" s="19" t="s">
        <v>2708</v>
      </c>
      <c r="C328" s="19" t="s">
        <v>13</v>
      </c>
      <c r="D328" s="19" t="s">
        <v>14</v>
      </c>
      <c r="E328" s="4">
        <v>0.7</v>
      </c>
      <c r="F328" s="42">
        <v>3.25</v>
      </c>
      <c r="G328" s="45">
        <v>250</v>
      </c>
      <c r="H328" s="22">
        <v>1.9</v>
      </c>
      <c r="I328" s="6">
        <f t="shared" si="5"/>
        <v>1080.625</v>
      </c>
      <c r="J328" s="7" t="s">
        <v>2695</v>
      </c>
    </row>
    <row r="329" spans="1:10" ht="13.95" customHeight="1" x14ac:dyDescent="0.3">
      <c r="A329" s="3">
        <v>45977</v>
      </c>
      <c r="B329" s="19" t="s">
        <v>2708</v>
      </c>
      <c r="C329" s="19" t="s">
        <v>16</v>
      </c>
      <c r="D329" s="19" t="s">
        <v>14</v>
      </c>
      <c r="E329" s="4">
        <v>0.65</v>
      </c>
      <c r="F329" s="42">
        <v>2.9</v>
      </c>
      <c r="G329" s="45">
        <v>250</v>
      </c>
      <c r="H329" s="22">
        <v>1.9</v>
      </c>
      <c r="I329" s="6">
        <f t="shared" si="5"/>
        <v>895.375</v>
      </c>
      <c r="J329" s="7" t="s">
        <v>69</v>
      </c>
    </row>
    <row r="330" spans="1:10" ht="13.95" customHeight="1" x14ac:dyDescent="0.3">
      <c r="A330" s="3">
        <v>45978</v>
      </c>
      <c r="B330" s="19" t="s">
        <v>2708</v>
      </c>
      <c r="C330" s="19" t="s">
        <v>18</v>
      </c>
      <c r="D330" s="19" t="s">
        <v>2015</v>
      </c>
      <c r="E330" s="4">
        <v>0.4</v>
      </c>
      <c r="F330" s="42">
        <v>2.1</v>
      </c>
      <c r="G330" s="45">
        <v>250</v>
      </c>
      <c r="H330" s="22">
        <v>1.9</v>
      </c>
      <c r="I330" s="6">
        <f t="shared" si="5"/>
        <v>399</v>
      </c>
      <c r="J330" s="7" t="s">
        <v>2696</v>
      </c>
    </row>
    <row r="331" spans="1:10" ht="13.95" customHeight="1" x14ac:dyDescent="0.3">
      <c r="A331" s="3">
        <v>45979</v>
      </c>
      <c r="B331" s="19" t="s">
        <v>2708</v>
      </c>
      <c r="C331" s="19" t="s">
        <v>20</v>
      </c>
      <c r="D331" s="19" t="s">
        <v>2015</v>
      </c>
      <c r="E331" s="4">
        <v>0.4</v>
      </c>
      <c r="F331" s="42">
        <v>2.1</v>
      </c>
      <c r="G331" s="45">
        <v>250</v>
      </c>
      <c r="H331" s="22">
        <v>1.9</v>
      </c>
      <c r="I331" s="6">
        <f t="shared" si="5"/>
        <v>399</v>
      </c>
      <c r="J331" s="7" t="s">
        <v>2696</v>
      </c>
    </row>
    <row r="332" spans="1:10" ht="13.95" customHeight="1" x14ac:dyDescent="0.3">
      <c r="A332" s="3">
        <v>45980</v>
      </c>
      <c r="B332" s="19" t="s">
        <v>2708</v>
      </c>
      <c r="C332" s="19" t="s">
        <v>5</v>
      </c>
      <c r="D332" s="19" t="s">
        <v>2015</v>
      </c>
      <c r="E332" s="4">
        <v>0.45</v>
      </c>
      <c r="F332" s="42">
        <v>2.1</v>
      </c>
      <c r="G332" s="45">
        <v>250</v>
      </c>
      <c r="H332" s="22">
        <v>1.9</v>
      </c>
      <c r="I332" s="6">
        <f t="shared" si="5"/>
        <v>448.875</v>
      </c>
      <c r="J332" s="7" t="s">
        <v>88</v>
      </c>
    </row>
    <row r="333" spans="1:10" ht="13.95" customHeight="1" x14ac:dyDescent="0.3">
      <c r="A333" s="3">
        <v>45981</v>
      </c>
      <c r="B333" s="19" t="s">
        <v>2708</v>
      </c>
      <c r="C333" s="19" t="s">
        <v>8</v>
      </c>
      <c r="D333" s="19" t="s">
        <v>1263</v>
      </c>
      <c r="E333" s="4">
        <v>0.65</v>
      </c>
      <c r="F333" s="42">
        <v>2.4500000000000002</v>
      </c>
      <c r="G333" s="45">
        <v>250</v>
      </c>
      <c r="H333" s="22">
        <v>1.9</v>
      </c>
      <c r="I333" s="6">
        <f t="shared" si="5"/>
        <v>756.43750000000011</v>
      </c>
      <c r="J333" s="7" t="s">
        <v>2569</v>
      </c>
    </row>
    <row r="334" spans="1:10" ht="13.95" customHeight="1" x14ac:dyDescent="0.3">
      <c r="A334" s="3">
        <v>45982</v>
      </c>
      <c r="B334" s="19" t="s">
        <v>2708</v>
      </c>
      <c r="C334" s="19" t="s">
        <v>11</v>
      </c>
      <c r="D334" s="19" t="s">
        <v>14</v>
      </c>
      <c r="E334" s="4">
        <v>0.6</v>
      </c>
      <c r="F334" s="42">
        <v>2.8</v>
      </c>
      <c r="G334" s="45">
        <v>250</v>
      </c>
      <c r="H334" s="22">
        <v>1.9</v>
      </c>
      <c r="I334" s="6">
        <f t="shared" si="5"/>
        <v>798</v>
      </c>
      <c r="J334" s="7" t="s">
        <v>728</v>
      </c>
    </row>
    <row r="335" spans="1:10" ht="13.95" customHeight="1" x14ac:dyDescent="0.3">
      <c r="A335" s="3">
        <v>45983</v>
      </c>
      <c r="B335" s="19" t="s">
        <v>2708</v>
      </c>
      <c r="C335" s="19" t="s">
        <v>13</v>
      </c>
      <c r="D335" s="19" t="s">
        <v>14</v>
      </c>
      <c r="E335" s="4">
        <v>0.75</v>
      </c>
      <c r="F335" s="42">
        <v>3.3</v>
      </c>
      <c r="G335" s="45">
        <v>250</v>
      </c>
      <c r="H335" s="22">
        <v>1.9</v>
      </c>
      <c r="I335" s="6">
        <f t="shared" si="5"/>
        <v>1175.625</v>
      </c>
      <c r="J335" s="7" t="s">
        <v>2290</v>
      </c>
    </row>
    <row r="336" spans="1:10" ht="13.95" customHeight="1" x14ac:dyDescent="0.3">
      <c r="A336" s="3">
        <v>45984</v>
      </c>
      <c r="B336" s="19" t="s">
        <v>2708</v>
      </c>
      <c r="C336" s="19" t="s">
        <v>16</v>
      </c>
      <c r="D336" s="19" t="s">
        <v>14</v>
      </c>
      <c r="E336" s="4">
        <v>0.7</v>
      </c>
      <c r="F336" s="42">
        <v>2.9</v>
      </c>
      <c r="G336" s="45">
        <v>250</v>
      </c>
      <c r="H336" s="22">
        <v>1.9</v>
      </c>
      <c r="I336" s="6">
        <f t="shared" si="5"/>
        <v>964.25</v>
      </c>
      <c r="J336" s="7" t="s">
        <v>69</v>
      </c>
    </row>
    <row r="337" spans="1:10" ht="13.95" customHeight="1" x14ac:dyDescent="0.3">
      <c r="A337" s="3">
        <v>45985</v>
      </c>
      <c r="B337" s="19" t="s">
        <v>2708</v>
      </c>
      <c r="C337" s="19" t="s">
        <v>18</v>
      </c>
      <c r="D337" s="19" t="s">
        <v>2015</v>
      </c>
      <c r="E337" s="4">
        <v>0.4</v>
      </c>
      <c r="F337" s="42">
        <v>2.1</v>
      </c>
      <c r="G337" s="45">
        <v>250</v>
      </c>
      <c r="H337" s="22">
        <v>1.9</v>
      </c>
      <c r="I337" s="6">
        <f t="shared" si="5"/>
        <v>399</v>
      </c>
      <c r="J337" s="7" t="s">
        <v>272</v>
      </c>
    </row>
    <row r="338" spans="1:10" ht="13.95" customHeight="1" x14ac:dyDescent="0.3">
      <c r="A338" s="3">
        <v>45986</v>
      </c>
      <c r="B338" s="19" t="s">
        <v>2708</v>
      </c>
      <c r="C338" s="19" t="s">
        <v>20</v>
      </c>
      <c r="D338" s="19" t="s">
        <v>2015</v>
      </c>
      <c r="E338" s="4">
        <v>0.4</v>
      </c>
      <c r="F338" s="42">
        <v>2.1</v>
      </c>
      <c r="G338" s="45">
        <v>250</v>
      </c>
      <c r="H338" s="22">
        <v>1.9</v>
      </c>
      <c r="I338" s="6">
        <f t="shared" si="5"/>
        <v>399</v>
      </c>
      <c r="J338" s="7" t="s">
        <v>272</v>
      </c>
    </row>
    <row r="339" spans="1:10" ht="13.95" customHeight="1" x14ac:dyDescent="0.3">
      <c r="A339" s="3">
        <v>45987</v>
      </c>
      <c r="B339" s="19" t="s">
        <v>2708</v>
      </c>
      <c r="C339" s="19" t="s">
        <v>5</v>
      </c>
      <c r="D339" s="19" t="s">
        <v>2015</v>
      </c>
      <c r="E339" s="4">
        <v>0.4</v>
      </c>
      <c r="F339" s="42">
        <v>2.1</v>
      </c>
      <c r="G339" s="45">
        <v>250</v>
      </c>
      <c r="H339" s="22">
        <v>1.9</v>
      </c>
      <c r="I339" s="6">
        <f t="shared" si="5"/>
        <v>399</v>
      </c>
      <c r="J339" s="7" t="s">
        <v>88</v>
      </c>
    </row>
    <row r="340" spans="1:10" ht="13.95" customHeight="1" x14ac:dyDescent="0.3">
      <c r="A340" s="3">
        <v>45988</v>
      </c>
      <c r="B340" s="19" t="s">
        <v>2708</v>
      </c>
      <c r="C340" s="19" t="s">
        <v>8</v>
      </c>
      <c r="D340" s="19" t="s">
        <v>1263</v>
      </c>
      <c r="E340" s="4">
        <v>0.6</v>
      </c>
      <c r="F340" s="42">
        <v>2.4</v>
      </c>
      <c r="G340" s="45">
        <v>250</v>
      </c>
      <c r="H340" s="22">
        <v>1.9</v>
      </c>
      <c r="I340" s="6">
        <f t="shared" si="5"/>
        <v>684</v>
      </c>
      <c r="J340" s="7" t="s">
        <v>2697</v>
      </c>
    </row>
    <row r="341" spans="1:10" ht="13.95" customHeight="1" x14ac:dyDescent="0.3">
      <c r="A341" s="3">
        <v>45989</v>
      </c>
      <c r="B341" s="19" t="s">
        <v>2708</v>
      </c>
      <c r="C341" s="19" t="s">
        <v>11</v>
      </c>
      <c r="D341" s="19" t="s">
        <v>14</v>
      </c>
      <c r="E341" s="4">
        <v>0.65</v>
      </c>
      <c r="F341" s="42">
        <v>2.9</v>
      </c>
      <c r="G341" s="45">
        <v>250</v>
      </c>
      <c r="H341" s="22">
        <v>1.9</v>
      </c>
      <c r="I341" s="6">
        <f t="shared" si="5"/>
        <v>895.375</v>
      </c>
      <c r="J341" s="7" t="s">
        <v>282</v>
      </c>
    </row>
    <row r="342" spans="1:10" ht="13.95" customHeight="1" x14ac:dyDescent="0.3">
      <c r="A342" s="3">
        <v>45990</v>
      </c>
      <c r="B342" s="19" t="s">
        <v>2708</v>
      </c>
      <c r="C342" s="19" t="s">
        <v>13</v>
      </c>
      <c r="D342" s="19" t="s">
        <v>14</v>
      </c>
      <c r="E342" s="4">
        <v>0.8</v>
      </c>
      <c r="F342" s="42">
        <v>3.4</v>
      </c>
      <c r="G342" s="45">
        <v>250</v>
      </c>
      <c r="H342" s="22">
        <v>1.9</v>
      </c>
      <c r="I342" s="6">
        <f t="shared" si="5"/>
        <v>1292</v>
      </c>
      <c r="J342" s="7" t="s">
        <v>2698</v>
      </c>
    </row>
    <row r="343" spans="1:10" ht="13.95" customHeight="1" x14ac:dyDescent="0.3">
      <c r="A343" s="3">
        <v>45991</v>
      </c>
      <c r="B343" s="19" t="s">
        <v>2708</v>
      </c>
      <c r="C343" s="19" t="s">
        <v>16</v>
      </c>
      <c r="D343" s="19" t="s">
        <v>14</v>
      </c>
      <c r="E343" s="4">
        <v>0.75</v>
      </c>
      <c r="F343" s="42">
        <v>3.1</v>
      </c>
      <c r="G343" s="45">
        <v>250</v>
      </c>
      <c r="H343" s="22">
        <v>1.9</v>
      </c>
      <c r="I343" s="6">
        <f t="shared" si="5"/>
        <v>1104.375</v>
      </c>
      <c r="J343" s="7" t="s">
        <v>69</v>
      </c>
    </row>
    <row r="344" spans="1:10" ht="13.95" customHeight="1" x14ac:dyDescent="0.3">
      <c r="A344" s="3">
        <v>45992</v>
      </c>
      <c r="B344" s="19" t="s">
        <v>2708</v>
      </c>
      <c r="C344" s="19" t="s">
        <v>18</v>
      </c>
      <c r="D344" s="19" t="s">
        <v>2015</v>
      </c>
      <c r="E344" s="4">
        <v>0.4</v>
      </c>
      <c r="F344" s="42">
        <v>2.1</v>
      </c>
      <c r="G344" s="45">
        <v>250</v>
      </c>
      <c r="H344" s="22">
        <v>2</v>
      </c>
      <c r="I344" s="6">
        <f t="shared" si="5"/>
        <v>420</v>
      </c>
      <c r="J344" s="7" t="s">
        <v>2699</v>
      </c>
    </row>
    <row r="345" spans="1:10" ht="13.95" customHeight="1" x14ac:dyDescent="0.3">
      <c r="A345" s="3">
        <v>45993</v>
      </c>
      <c r="B345" s="19" t="s">
        <v>2708</v>
      </c>
      <c r="C345" s="19" t="s">
        <v>20</v>
      </c>
      <c r="D345" s="19" t="s">
        <v>2015</v>
      </c>
      <c r="E345" s="4">
        <v>0.4</v>
      </c>
      <c r="F345" s="42">
        <v>2.1</v>
      </c>
      <c r="G345" s="45">
        <v>250</v>
      </c>
      <c r="H345" s="22">
        <v>2</v>
      </c>
      <c r="I345" s="6">
        <f t="shared" si="5"/>
        <v>420</v>
      </c>
      <c r="J345" s="7" t="s">
        <v>88</v>
      </c>
    </row>
    <row r="346" spans="1:10" ht="13.95" customHeight="1" x14ac:dyDescent="0.3">
      <c r="A346" s="3">
        <v>45994</v>
      </c>
      <c r="B346" s="19" t="s">
        <v>2708</v>
      </c>
      <c r="C346" s="19" t="s">
        <v>5</v>
      </c>
      <c r="D346" s="19" t="s">
        <v>2015</v>
      </c>
      <c r="E346" s="4">
        <v>0.45</v>
      </c>
      <c r="F346" s="42">
        <v>2.15</v>
      </c>
      <c r="G346" s="45">
        <v>250</v>
      </c>
      <c r="H346" s="22">
        <v>2</v>
      </c>
      <c r="I346" s="6">
        <f t="shared" si="5"/>
        <v>483.75</v>
      </c>
      <c r="J346" s="7" t="s">
        <v>88</v>
      </c>
    </row>
    <row r="347" spans="1:10" ht="13.95" customHeight="1" x14ac:dyDescent="0.3">
      <c r="A347" s="3">
        <v>45995</v>
      </c>
      <c r="B347" s="19" t="s">
        <v>2708</v>
      </c>
      <c r="C347" s="19" t="s">
        <v>8</v>
      </c>
      <c r="D347" s="19" t="s">
        <v>1263</v>
      </c>
      <c r="E347" s="4">
        <v>0.65</v>
      </c>
      <c r="F347" s="42">
        <v>2.5</v>
      </c>
      <c r="G347" s="45">
        <v>250</v>
      </c>
      <c r="H347" s="22">
        <v>2</v>
      </c>
      <c r="I347" s="6">
        <f t="shared" si="5"/>
        <v>812.5</v>
      </c>
      <c r="J347" s="7" t="s">
        <v>2700</v>
      </c>
    </row>
    <row r="348" spans="1:10" ht="13.95" customHeight="1" x14ac:dyDescent="0.3">
      <c r="A348" s="3">
        <v>45996</v>
      </c>
      <c r="B348" s="19" t="s">
        <v>2708</v>
      </c>
      <c r="C348" s="19" t="s">
        <v>11</v>
      </c>
      <c r="D348" s="19" t="s">
        <v>14</v>
      </c>
      <c r="E348" s="4">
        <v>0.6</v>
      </c>
      <c r="F348" s="42">
        <v>2.85</v>
      </c>
      <c r="G348" s="45">
        <v>250</v>
      </c>
      <c r="H348" s="22">
        <v>2</v>
      </c>
      <c r="I348" s="6">
        <f t="shared" si="5"/>
        <v>855</v>
      </c>
      <c r="J348" s="7" t="s">
        <v>2477</v>
      </c>
    </row>
    <row r="349" spans="1:10" ht="13.95" customHeight="1" x14ac:dyDescent="0.3">
      <c r="A349" s="3">
        <v>45997</v>
      </c>
      <c r="B349" s="19" t="s">
        <v>2708</v>
      </c>
      <c r="C349" s="19" t="s">
        <v>13</v>
      </c>
      <c r="D349" s="19" t="s">
        <v>14</v>
      </c>
      <c r="E349" s="4">
        <v>0.75</v>
      </c>
      <c r="F349" s="42">
        <v>3.4</v>
      </c>
      <c r="G349" s="45">
        <v>250</v>
      </c>
      <c r="H349" s="22">
        <v>2</v>
      </c>
      <c r="I349" s="6">
        <f t="shared" si="5"/>
        <v>1275</v>
      </c>
      <c r="J349" s="7" t="s">
        <v>2593</v>
      </c>
    </row>
    <row r="350" spans="1:10" ht="13.95" customHeight="1" x14ac:dyDescent="0.3">
      <c r="A350" s="3">
        <v>45998</v>
      </c>
      <c r="B350" s="19" t="s">
        <v>2708</v>
      </c>
      <c r="C350" s="19" t="s">
        <v>16</v>
      </c>
      <c r="D350" s="19" t="s">
        <v>14</v>
      </c>
      <c r="E350" s="4">
        <v>0.7</v>
      </c>
      <c r="F350" s="42">
        <v>3</v>
      </c>
      <c r="G350" s="45">
        <v>250</v>
      </c>
      <c r="H350" s="22">
        <v>2</v>
      </c>
      <c r="I350" s="6">
        <f t="shared" si="5"/>
        <v>1050</v>
      </c>
      <c r="J350" s="7" t="s">
        <v>238</v>
      </c>
    </row>
    <row r="351" spans="1:10" ht="13.95" customHeight="1" x14ac:dyDescent="0.3">
      <c r="A351" s="3">
        <v>45999</v>
      </c>
      <c r="B351" s="19" t="s">
        <v>2708</v>
      </c>
      <c r="C351" s="19" t="s">
        <v>18</v>
      </c>
      <c r="D351" s="19" t="s">
        <v>2015</v>
      </c>
      <c r="E351" s="4">
        <v>0.4</v>
      </c>
      <c r="F351" s="42">
        <v>2.1</v>
      </c>
      <c r="G351" s="45">
        <v>250</v>
      </c>
      <c r="H351" s="22">
        <v>2</v>
      </c>
      <c r="I351" s="6">
        <f t="shared" si="5"/>
        <v>420</v>
      </c>
      <c r="J351" s="7" t="s">
        <v>272</v>
      </c>
    </row>
    <row r="352" spans="1:10" ht="13.95" customHeight="1" x14ac:dyDescent="0.3">
      <c r="A352" s="3">
        <v>46000</v>
      </c>
      <c r="B352" s="19" t="s">
        <v>2708</v>
      </c>
      <c r="C352" s="19" t="s">
        <v>20</v>
      </c>
      <c r="D352" s="19" t="s">
        <v>2015</v>
      </c>
      <c r="E352" s="4">
        <v>0.4</v>
      </c>
      <c r="F352" s="42">
        <v>2.1</v>
      </c>
      <c r="G352" s="45">
        <v>250</v>
      </c>
      <c r="H352" s="22">
        <v>2</v>
      </c>
      <c r="I352" s="6">
        <f t="shared" si="5"/>
        <v>420</v>
      </c>
      <c r="J352" s="7" t="s">
        <v>272</v>
      </c>
    </row>
    <row r="353" spans="1:10" ht="13.95" customHeight="1" x14ac:dyDescent="0.3">
      <c r="A353" s="3">
        <v>46001</v>
      </c>
      <c r="B353" s="19" t="s">
        <v>2708</v>
      </c>
      <c r="C353" s="19" t="s">
        <v>5</v>
      </c>
      <c r="D353" s="19" t="s">
        <v>2015</v>
      </c>
      <c r="E353" s="4">
        <v>0.45</v>
      </c>
      <c r="F353" s="42">
        <v>2.15</v>
      </c>
      <c r="G353" s="45">
        <v>250</v>
      </c>
      <c r="H353" s="22">
        <v>2</v>
      </c>
      <c r="I353" s="6">
        <f t="shared" si="5"/>
        <v>483.75</v>
      </c>
      <c r="J353" s="7" t="s">
        <v>88</v>
      </c>
    </row>
    <row r="354" spans="1:10" ht="13.95" customHeight="1" x14ac:dyDescent="0.3">
      <c r="A354" s="3">
        <v>46002</v>
      </c>
      <c r="B354" s="19" t="s">
        <v>2708</v>
      </c>
      <c r="C354" s="19" t="s">
        <v>8</v>
      </c>
      <c r="D354" s="19" t="s">
        <v>1263</v>
      </c>
      <c r="E354" s="4">
        <v>0.7</v>
      </c>
      <c r="F354" s="42">
        <v>2.5499999999999998</v>
      </c>
      <c r="G354" s="45">
        <v>250</v>
      </c>
      <c r="H354" s="22">
        <v>2</v>
      </c>
      <c r="I354" s="6">
        <f t="shared" si="5"/>
        <v>892.49999999999989</v>
      </c>
      <c r="J354" s="7" t="s">
        <v>2707</v>
      </c>
    </row>
    <row r="355" spans="1:10" ht="13.95" customHeight="1" x14ac:dyDescent="0.3">
      <c r="A355" s="3">
        <v>46003</v>
      </c>
      <c r="B355" s="19" t="s">
        <v>2708</v>
      </c>
      <c r="C355" s="19" t="s">
        <v>11</v>
      </c>
      <c r="D355" s="19" t="s">
        <v>14</v>
      </c>
      <c r="E355" s="4">
        <v>0.65</v>
      </c>
      <c r="F355" s="42">
        <v>2.9</v>
      </c>
      <c r="G355" s="45">
        <v>250</v>
      </c>
      <c r="H355" s="22">
        <v>2</v>
      </c>
      <c r="I355" s="6">
        <f t="shared" si="5"/>
        <v>942.5</v>
      </c>
      <c r="J355" s="7" t="s">
        <v>97</v>
      </c>
    </row>
    <row r="356" spans="1:10" ht="13.95" customHeight="1" x14ac:dyDescent="0.3">
      <c r="A356" s="3">
        <v>46004</v>
      </c>
      <c r="B356" s="19" t="s">
        <v>2708</v>
      </c>
      <c r="C356" s="19" t="s">
        <v>13</v>
      </c>
      <c r="D356" s="19" t="s">
        <v>14</v>
      </c>
      <c r="E356" s="4">
        <v>0.75</v>
      </c>
      <c r="F356" s="42">
        <v>3.45</v>
      </c>
      <c r="G356" s="45">
        <v>250</v>
      </c>
      <c r="H356" s="22">
        <v>2</v>
      </c>
      <c r="I356" s="6">
        <f t="shared" si="5"/>
        <v>1293.75</v>
      </c>
      <c r="J356" s="7" t="s">
        <v>282</v>
      </c>
    </row>
    <row r="357" spans="1:10" ht="13.95" customHeight="1" x14ac:dyDescent="0.3">
      <c r="A357" s="3">
        <v>46005</v>
      </c>
      <c r="B357" s="19" t="s">
        <v>2708</v>
      </c>
      <c r="C357" s="19" t="s">
        <v>16</v>
      </c>
      <c r="D357" s="19" t="s">
        <v>14</v>
      </c>
      <c r="E357" s="4">
        <v>0.7</v>
      </c>
      <c r="F357" s="42">
        <v>3.1</v>
      </c>
      <c r="G357" s="45">
        <v>250</v>
      </c>
      <c r="H357" s="22">
        <v>2</v>
      </c>
      <c r="I357" s="6">
        <f t="shared" si="5"/>
        <v>1085</v>
      </c>
      <c r="J357" s="7" t="s">
        <v>69</v>
      </c>
    </row>
    <row r="358" spans="1:10" ht="13.95" customHeight="1" x14ac:dyDescent="0.3">
      <c r="A358" s="3">
        <v>46006</v>
      </c>
      <c r="B358" s="19" t="s">
        <v>2708</v>
      </c>
      <c r="C358" s="19" t="s">
        <v>18</v>
      </c>
      <c r="D358" s="19" t="s">
        <v>2015</v>
      </c>
      <c r="E358" s="4">
        <v>0.45</v>
      </c>
      <c r="F358" s="42">
        <v>2.15</v>
      </c>
      <c r="G358" s="45">
        <v>250</v>
      </c>
      <c r="H358" s="22">
        <v>2</v>
      </c>
      <c r="I358" s="6">
        <f t="shared" si="5"/>
        <v>483.75</v>
      </c>
      <c r="J358" s="7" t="s">
        <v>2701</v>
      </c>
    </row>
    <row r="359" spans="1:10" ht="13.95" customHeight="1" x14ac:dyDescent="0.3">
      <c r="A359" s="3">
        <v>46007</v>
      </c>
      <c r="B359" s="19" t="s">
        <v>2708</v>
      </c>
      <c r="C359" s="19" t="s">
        <v>20</v>
      </c>
      <c r="D359" s="19" t="s">
        <v>2015</v>
      </c>
      <c r="E359" s="4">
        <v>0.45</v>
      </c>
      <c r="F359" s="42">
        <v>2.1</v>
      </c>
      <c r="G359" s="45">
        <v>250</v>
      </c>
      <c r="H359" s="22">
        <v>2</v>
      </c>
      <c r="I359" s="6">
        <f t="shared" si="5"/>
        <v>472.5</v>
      </c>
      <c r="J359" s="7" t="s">
        <v>88</v>
      </c>
    </row>
    <row r="360" spans="1:10" ht="13.95" customHeight="1" x14ac:dyDescent="0.3">
      <c r="A360" s="3">
        <v>46008</v>
      </c>
      <c r="B360" s="19" t="s">
        <v>2708</v>
      </c>
      <c r="C360" s="19" t="s">
        <v>5</v>
      </c>
      <c r="D360" s="19" t="s">
        <v>2015</v>
      </c>
      <c r="E360" s="4">
        <v>0.5</v>
      </c>
      <c r="F360" s="42">
        <v>2.2000000000000002</v>
      </c>
      <c r="G360" s="45">
        <v>250</v>
      </c>
      <c r="H360" s="22">
        <v>2</v>
      </c>
      <c r="I360" s="6">
        <f t="shared" si="5"/>
        <v>550</v>
      </c>
      <c r="J360" s="7" t="s">
        <v>2466</v>
      </c>
    </row>
    <row r="361" spans="1:10" ht="13.95" customHeight="1" x14ac:dyDescent="0.3">
      <c r="A361" s="3">
        <v>46009</v>
      </c>
      <c r="B361" s="19" t="s">
        <v>2708</v>
      </c>
      <c r="C361" s="19" t="s">
        <v>8</v>
      </c>
      <c r="D361" s="19" t="s">
        <v>658</v>
      </c>
      <c r="E361" s="4">
        <v>0.6</v>
      </c>
      <c r="F361" s="42">
        <v>2.4</v>
      </c>
      <c r="G361" s="45">
        <v>250</v>
      </c>
      <c r="H361" s="22">
        <v>2</v>
      </c>
      <c r="I361" s="6">
        <f t="shared" si="5"/>
        <v>720</v>
      </c>
      <c r="J361" s="7" t="s">
        <v>1488</v>
      </c>
    </row>
    <row r="362" spans="1:10" ht="13.95" customHeight="1" x14ac:dyDescent="0.3">
      <c r="A362" s="3">
        <v>46010</v>
      </c>
      <c r="B362" s="19" t="s">
        <v>2708</v>
      </c>
      <c r="C362" s="19" t="s">
        <v>11</v>
      </c>
      <c r="D362" s="19" t="s">
        <v>658</v>
      </c>
      <c r="E362" s="4">
        <v>0.7</v>
      </c>
      <c r="F362" s="42">
        <v>3</v>
      </c>
      <c r="G362" s="45">
        <v>250</v>
      </c>
      <c r="H362" s="22">
        <v>2</v>
      </c>
      <c r="I362" s="6">
        <f t="shared" si="5"/>
        <v>1050</v>
      </c>
      <c r="J362" s="7" t="s">
        <v>2702</v>
      </c>
    </row>
    <row r="363" spans="1:10" ht="13.95" customHeight="1" x14ac:dyDescent="0.3">
      <c r="A363" s="3">
        <v>46011</v>
      </c>
      <c r="B363" s="19" t="s">
        <v>2708</v>
      </c>
      <c r="C363" s="19" t="s">
        <v>13</v>
      </c>
      <c r="D363" s="19" t="s">
        <v>14</v>
      </c>
      <c r="E363" s="4">
        <v>0.85</v>
      </c>
      <c r="F363" s="42">
        <v>3.8</v>
      </c>
      <c r="G363" s="45">
        <v>250</v>
      </c>
      <c r="H363" s="22">
        <v>2</v>
      </c>
      <c r="I363" s="6">
        <f t="shared" si="5"/>
        <v>1615</v>
      </c>
      <c r="J363" s="7" t="s">
        <v>2703</v>
      </c>
    </row>
    <row r="364" spans="1:10" ht="13.95" customHeight="1" x14ac:dyDescent="0.3">
      <c r="A364" s="3">
        <v>46012</v>
      </c>
      <c r="B364" s="19" t="s">
        <v>2708</v>
      </c>
      <c r="C364" s="19" t="s">
        <v>16</v>
      </c>
      <c r="D364" s="19" t="s">
        <v>14</v>
      </c>
      <c r="E364" s="4">
        <v>0.8</v>
      </c>
      <c r="F364" s="42">
        <v>3.35</v>
      </c>
      <c r="G364" s="45">
        <v>250</v>
      </c>
      <c r="H364" s="22">
        <v>2</v>
      </c>
      <c r="I364" s="6">
        <f t="shared" si="5"/>
        <v>1340</v>
      </c>
      <c r="J364" s="7" t="s">
        <v>1911</v>
      </c>
    </row>
    <row r="365" spans="1:10" ht="13.95" customHeight="1" x14ac:dyDescent="0.3">
      <c r="A365" s="3">
        <v>46013</v>
      </c>
      <c r="B365" s="19" t="s">
        <v>2708</v>
      </c>
      <c r="C365" s="19" t="s">
        <v>18</v>
      </c>
      <c r="D365" s="19" t="s">
        <v>658</v>
      </c>
      <c r="E365" s="4">
        <v>0.75</v>
      </c>
      <c r="F365" s="42">
        <v>2.8</v>
      </c>
      <c r="G365" s="45">
        <v>250</v>
      </c>
      <c r="H365" s="22">
        <v>2</v>
      </c>
      <c r="I365" s="6">
        <f t="shared" si="5"/>
        <v>1050</v>
      </c>
      <c r="J365" s="7" t="s">
        <v>754</v>
      </c>
    </row>
    <row r="366" spans="1:10" ht="13.95" customHeight="1" x14ac:dyDescent="0.3">
      <c r="A366" s="3">
        <v>46014</v>
      </c>
      <c r="B366" s="19" t="s">
        <v>2708</v>
      </c>
      <c r="C366" s="19" t="s">
        <v>20</v>
      </c>
      <c r="D366" s="19" t="s">
        <v>658</v>
      </c>
      <c r="E366" s="4">
        <v>0.8</v>
      </c>
      <c r="F366" s="42">
        <v>2.9</v>
      </c>
      <c r="G366" s="45">
        <v>250</v>
      </c>
      <c r="H366" s="22">
        <v>2</v>
      </c>
      <c r="I366" s="6">
        <f t="shared" si="5"/>
        <v>1160</v>
      </c>
      <c r="J366" s="7" t="s">
        <v>514</v>
      </c>
    </row>
    <row r="367" spans="1:10" ht="13.95" customHeight="1" x14ac:dyDescent="0.3">
      <c r="A367" s="3">
        <v>46015</v>
      </c>
      <c r="B367" s="19" t="s">
        <v>2708</v>
      </c>
      <c r="C367" s="19" t="s">
        <v>5</v>
      </c>
      <c r="D367" s="19" t="s">
        <v>2471</v>
      </c>
      <c r="E367" s="4">
        <v>0.95</v>
      </c>
      <c r="F367" s="42">
        <v>4.3</v>
      </c>
      <c r="G367" s="45">
        <v>250</v>
      </c>
      <c r="H367" s="22">
        <v>2</v>
      </c>
      <c r="I367" s="6">
        <f t="shared" si="5"/>
        <v>2042.5</v>
      </c>
      <c r="J367" s="7" t="s">
        <v>2281</v>
      </c>
    </row>
    <row r="368" spans="1:10" ht="13.95" customHeight="1" x14ac:dyDescent="0.3">
      <c r="A368" s="3">
        <v>46016</v>
      </c>
      <c r="B368" s="19" t="s">
        <v>2708</v>
      </c>
      <c r="C368" s="19" t="s">
        <v>8</v>
      </c>
      <c r="D368" s="19" t="s">
        <v>299</v>
      </c>
      <c r="E368" s="4">
        <v>0.9</v>
      </c>
      <c r="F368" s="42">
        <v>3.6</v>
      </c>
      <c r="G368" s="45">
        <v>250</v>
      </c>
      <c r="H368" s="22">
        <v>2</v>
      </c>
      <c r="I368" s="6">
        <f t="shared" si="5"/>
        <v>1620</v>
      </c>
      <c r="J368" s="7" t="s">
        <v>664</v>
      </c>
    </row>
    <row r="369" spans="1:10" ht="13.95" customHeight="1" x14ac:dyDescent="0.3">
      <c r="A369" s="3">
        <v>46017</v>
      </c>
      <c r="B369" s="19" t="s">
        <v>2708</v>
      </c>
      <c r="C369" s="19" t="s">
        <v>11</v>
      </c>
      <c r="D369" s="19" t="s">
        <v>658</v>
      </c>
      <c r="E369" s="4">
        <v>0.9</v>
      </c>
      <c r="F369" s="42">
        <v>3.2</v>
      </c>
      <c r="G369" s="45">
        <v>250</v>
      </c>
      <c r="H369" s="22">
        <v>2</v>
      </c>
      <c r="I369" s="6">
        <f t="shared" si="5"/>
        <v>1440</v>
      </c>
      <c r="J369" s="7" t="s">
        <v>197</v>
      </c>
    </row>
    <row r="370" spans="1:10" ht="13.95" customHeight="1" x14ac:dyDescent="0.3">
      <c r="A370" s="3">
        <v>46018</v>
      </c>
      <c r="B370" s="19" t="s">
        <v>2708</v>
      </c>
      <c r="C370" s="19" t="s">
        <v>13</v>
      </c>
      <c r="D370" s="19" t="s">
        <v>14</v>
      </c>
      <c r="E370" s="4">
        <v>1</v>
      </c>
      <c r="F370" s="42">
        <v>3.95</v>
      </c>
      <c r="G370" s="45">
        <v>250</v>
      </c>
      <c r="H370" s="22">
        <v>2</v>
      </c>
      <c r="I370" s="6">
        <f t="shared" si="5"/>
        <v>1975</v>
      </c>
      <c r="J370" s="7" t="s">
        <v>2704</v>
      </c>
    </row>
    <row r="371" spans="1:10" ht="13.95" customHeight="1" x14ac:dyDescent="0.3">
      <c r="A371" s="3">
        <v>46019</v>
      </c>
      <c r="B371" s="19" t="s">
        <v>2708</v>
      </c>
      <c r="C371" s="19" t="s">
        <v>16</v>
      </c>
      <c r="D371" s="19" t="s">
        <v>14</v>
      </c>
      <c r="E371" s="4">
        <v>0.95</v>
      </c>
      <c r="F371" s="42">
        <v>3.55</v>
      </c>
      <c r="G371" s="45">
        <v>250</v>
      </c>
      <c r="H371" s="22">
        <v>2</v>
      </c>
      <c r="I371" s="6">
        <f t="shared" si="5"/>
        <v>1686.25</v>
      </c>
      <c r="J371" s="7" t="s">
        <v>69</v>
      </c>
    </row>
    <row r="372" spans="1:10" ht="13.95" customHeight="1" x14ac:dyDescent="0.3">
      <c r="A372" s="3">
        <v>46020</v>
      </c>
      <c r="B372" s="19" t="s">
        <v>2708</v>
      </c>
      <c r="C372" s="19" t="s">
        <v>18</v>
      </c>
      <c r="D372" s="19" t="s">
        <v>658</v>
      </c>
      <c r="E372" s="4">
        <v>0.9</v>
      </c>
      <c r="F372" s="42">
        <v>3.25</v>
      </c>
      <c r="G372" s="45">
        <v>250</v>
      </c>
      <c r="H372" s="22">
        <v>2</v>
      </c>
      <c r="I372" s="6">
        <f t="shared" si="5"/>
        <v>1462.5</v>
      </c>
      <c r="J372" s="7" t="s">
        <v>2705</v>
      </c>
    </row>
    <row r="373" spans="1:10" ht="13.95" customHeight="1" x14ac:dyDescent="0.3">
      <c r="A373" s="3">
        <v>46021</v>
      </c>
      <c r="B373" s="19" t="s">
        <v>2708</v>
      </c>
      <c r="C373" s="19" t="s">
        <v>20</v>
      </c>
      <c r="D373" s="19" t="s">
        <v>658</v>
      </c>
      <c r="E373" s="4">
        <v>1</v>
      </c>
      <c r="F373" s="42">
        <v>3.4</v>
      </c>
      <c r="G373" s="45">
        <v>250</v>
      </c>
      <c r="H373" s="22">
        <v>2</v>
      </c>
      <c r="I373" s="6">
        <f t="shared" si="5"/>
        <v>1700</v>
      </c>
      <c r="J373" s="7" t="s">
        <v>1722</v>
      </c>
    </row>
    <row r="374" spans="1:10" ht="13.95" customHeight="1" x14ac:dyDescent="0.3">
      <c r="A374" s="3">
        <v>46022</v>
      </c>
      <c r="B374" s="19" t="s">
        <v>2708</v>
      </c>
      <c r="C374" s="19" t="s">
        <v>5</v>
      </c>
      <c r="D374" s="19" t="s">
        <v>2469</v>
      </c>
      <c r="E374" s="4">
        <v>1</v>
      </c>
      <c r="F374" s="42">
        <v>5.0999999999999996</v>
      </c>
      <c r="G374" s="45">
        <v>250</v>
      </c>
      <c r="H374" s="22">
        <v>2</v>
      </c>
      <c r="I374" s="6">
        <f t="shared" si="5"/>
        <v>2550</v>
      </c>
      <c r="J374" s="7" t="s">
        <v>2706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1CBFC-0072-497C-9406-AFFE2FCC754F}">
  <sheetPr>
    <tabColor rgb="FFFFFF00"/>
  </sheetPr>
  <dimension ref="A1:J330"/>
  <sheetViews>
    <sheetView workbookViewId="0">
      <selection activeCell="A16" sqref="A16"/>
    </sheetView>
  </sheetViews>
  <sheetFormatPr baseColWidth="10" defaultRowHeight="14.4" x14ac:dyDescent="0.3"/>
  <cols>
    <col min="1" max="1" width="13.109375" bestFit="1" customWidth="1"/>
    <col min="2" max="2" width="15.33203125" bestFit="1" customWidth="1"/>
    <col min="4" max="4" width="18.21875" customWidth="1"/>
    <col min="8" max="8" width="17.6640625" bestFit="1" customWidth="1"/>
    <col min="10" max="10" width="28.6640625" bestFit="1" customWidth="1"/>
  </cols>
  <sheetData>
    <row r="1" spans="1:10" ht="28.2" thickBot="1" x14ac:dyDescent="0.35">
      <c r="A1" s="1" t="s">
        <v>333</v>
      </c>
      <c r="B1" s="1" t="s">
        <v>1637</v>
      </c>
      <c r="C1" s="34" t="s">
        <v>0</v>
      </c>
      <c r="D1" s="34" t="s">
        <v>1</v>
      </c>
      <c r="E1" s="37" t="s">
        <v>2</v>
      </c>
      <c r="F1" s="43" t="s">
        <v>3</v>
      </c>
      <c r="G1" s="47" t="s">
        <v>359</v>
      </c>
      <c r="H1" s="35" t="s">
        <v>360</v>
      </c>
      <c r="I1" s="47" t="s">
        <v>361</v>
      </c>
      <c r="J1" s="25" t="s">
        <v>4</v>
      </c>
    </row>
    <row r="2" spans="1:10" ht="13.95" customHeight="1" x14ac:dyDescent="0.3">
      <c r="A2" s="3">
        <v>45658</v>
      </c>
      <c r="B2" s="3" t="s">
        <v>2858</v>
      </c>
      <c r="C2" s="19" t="s">
        <v>5</v>
      </c>
      <c r="D2" s="19" t="s">
        <v>2709</v>
      </c>
      <c r="E2" s="4">
        <v>0.95</v>
      </c>
      <c r="F2" s="42">
        <v>4.3</v>
      </c>
      <c r="G2" s="45">
        <v>274</v>
      </c>
      <c r="H2" s="22">
        <v>1.8</v>
      </c>
      <c r="I2" s="6">
        <f t="shared" ref="I2:I65" si="0">(G2*E2)*F2*H2</f>
        <v>2014.722</v>
      </c>
      <c r="J2" s="7" t="s">
        <v>2710</v>
      </c>
    </row>
    <row r="3" spans="1:10" ht="13.95" customHeight="1" x14ac:dyDescent="0.3">
      <c r="A3" s="3">
        <v>45659</v>
      </c>
      <c r="B3" s="3" t="s">
        <v>2858</v>
      </c>
      <c r="C3" s="19" t="s">
        <v>8</v>
      </c>
      <c r="D3" s="19" t="s">
        <v>2711</v>
      </c>
      <c r="E3" s="4">
        <v>0.65</v>
      </c>
      <c r="F3" s="42">
        <v>2.6</v>
      </c>
      <c r="G3" s="45">
        <v>274</v>
      </c>
      <c r="H3" s="22">
        <v>1.8</v>
      </c>
      <c r="I3" s="6">
        <f t="shared" si="0"/>
        <v>833.50800000000004</v>
      </c>
      <c r="J3" s="7" t="s">
        <v>2712</v>
      </c>
    </row>
    <row r="4" spans="1:10" ht="13.95" customHeight="1" x14ac:dyDescent="0.3">
      <c r="A4" s="3">
        <v>45660</v>
      </c>
      <c r="B4" s="3" t="s">
        <v>2858</v>
      </c>
      <c r="C4" s="19" t="s">
        <v>11</v>
      </c>
      <c r="D4" s="19" t="s">
        <v>14</v>
      </c>
      <c r="E4" s="4">
        <v>0.55000000000000004</v>
      </c>
      <c r="F4" s="42">
        <v>2.8</v>
      </c>
      <c r="G4" s="45">
        <v>274</v>
      </c>
      <c r="H4" s="22">
        <v>1.8</v>
      </c>
      <c r="I4" s="6">
        <f t="shared" si="0"/>
        <v>759.52800000000013</v>
      </c>
      <c r="J4" s="7" t="s">
        <v>2713</v>
      </c>
    </row>
    <row r="5" spans="1:10" ht="13.95" customHeight="1" x14ac:dyDescent="0.3">
      <c r="A5" s="3">
        <v>45661</v>
      </c>
      <c r="B5" s="3" t="s">
        <v>2858</v>
      </c>
      <c r="C5" s="19" t="s">
        <v>13</v>
      </c>
      <c r="D5" s="19" t="s">
        <v>14</v>
      </c>
      <c r="E5" s="4">
        <v>0.75</v>
      </c>
      <c r="F5" s="42">
        <v>3.6</v>
      </c>
      <c r="G5" s="45">
        <v>274</v>
      </c>
      <c r="H5" s="22">
        <v>1.8</v>
      </c>
      <c r="I5" s="6">
        <f t="shared" si="0"/>
        <v>1331.64</v>
      </c>
      <c r="J5" s="7" t="s">
        <v>2714</v>
      </c>
    </row>
    <row r="6" spans="1:10" ht="13.95" customHeight="1" x14ac:dyDescent="0.3">
      <c r="A6" s="3">
        <v>45662</v>
      </c>
      <c r="B6" s="3" t="s">
        <v>2858</v>
      </c>
      <c r="C6" s="19" t="s">
        <v>16</v>
      </c>
      <c r="D6" s="19" t="s">
        <v>14</v>
      </c>
      <c r="E6" s="4">
        <v>0.7</v>
      </c>
      <c r="F6" s="42">
        <v>3.2</v>
      </c>
      <c r="G6" s="45">
        <v>274</v>
      </c>
      <c r="H6" s="22">
        <v>1.8</v>
      </c>
      <c r="I6" s="6">
        <f t="shared" si="0"/>
        <v>1104.768</v>
      </c>
      <c r="J6" s="7" t="s">
        <v>238</v>
      </c>
    </row>
    <row r="7" spans="1:10" ht="13.95" customHeight="1" x14ac:dyDescent="0.3">
      <c r="A7" s="3">
        <v>45663</v>
      </c>
      <c r="B7" s="3" t="s">
        <v>2858</v>
      </c>
      <c r="C7" s="19" t="s">
        <v>18</v>
      </c>
      <c r="D7" s="19" t="s">
        <v>9</v>
      </c>
      <c r="E7" s="4">
        <v>0.45</v>
      </c>
      <c r="F7" s="42">
        <v>2.2000000000000002</v>
      </c>
      <c r="G7" s="45">
        <v>274</v>
      </c>
      <c r="H7" s="22">
        <v>1.8</v>
      </c>
      <c r="I7" s="6">
        <f t="shared" si="0"/>
        <v>488.26799999999997</v>
      </c>
      <c r="J7" s="7" t="s">
        <v>2715</v>
      </c>
    </row>
    <row r="8" spans="1:10" ht="13.95" customHeight="1" x14ac:dyDescent="0.3">
      <c r="A8" s="3">
        <v>45664</v>
      </c>
      <c r="B8" s="3" t="s">
        <v>2858</v>
      </c>
      <c r="C8" s="19" t="s">
        <v>20</v>
      </c>
      <c r="D8" s="19" t="s">
        <v>9</v>
      </c>
      <c r="E8" s="4">
        <v>0.45</v>
      </c>
      <c r="F8" s="42">
        <v>2.2000000000000002</v>
      </c>
      <c r="G8" s="45">
        <v>274</v>
      </c>
      <c r="H8" s="22">
        <v>1.8</v>
      </c>
      <c r="I8" s="6">
        <f t="shared" si="0"/>
        <v>488.26799999999997</v>
      </c>
      <c r="J8" s="7" t="s">
        <v>2501</v>
      </c>
    </row>
    <row r="9" spans="1:10" ht="13.95" customHeight="1" x14ac:dyDescent="0.3">
      <c r="A9" s="3">
        <v>45665</v>
      </c>
      <c r="B9" s="3" t="s">
        <v>2858</v>
      </c>
      <c r="C9" s="19" t="s">
        <v>5</v>
      </c>
      <c r="D9" s="19" t="s">
        <v>9</v>
      </c>
      <c r="E9" s="4">
        <v>0.5</v>
      </c>
      <c r="F9" s="42">
        <v>2.25</v>
      </c>
      <c r="G9" s="45">
        <v>274</v>
      </c>
      <c r="H9" s="22">
        <v>1.8</v>
      </c>
      <c r="I9" s="6">
        <f t="shared" si="0"/>
        <v>554.85</v>
      </c>
      <c r="J9" s="7" t="s">
        <v>88</v>
      </c>
    </row>
    <row r="10" spans="1:10" ht="13.95" customHeight="1" x14ac:dyDescent="0.3">
      <c r="A10" s="3">
        <v>45666</v>
      </c>
      <c r="B10" s="3" t="s">
        <v>2858</v>
      </c>
      <c r="C10" s="19" t="s">
        <v>8</v>
      </c>
      <c r="D10" s="19" t="s">
        <v>1263</v>
      </c>
      <c r="E10" s="4">
        <v>0.7</v>
      </c>
      <c r="F10" s="42">
        <v>2.5</v>
      </c>
      <c r="G10" s="45">
        <v>274</v>
      </c>
      <c r="H10" s="22">
        <v>1.8</v>
      </c>
      <c r="I10" s="6">
        <f t="shared" si="0"/>
        <v>863.09999999999991</v>
      </c>
      <c r="J10" s="7" t="s">
        <v>2716</v>
      </c>
    </row>
    <row r="11" spans="1:10" ht="13.95" customHeight="1" x14ac:dyDescent="0.3">
      <c r="A11" s="3">
        <v>45667</v>
      </c>
      <c r="B11" s="3" t="s">
        <v>2858</v>
      </c>
      <c r="C11" s="19" t="s">
        <v>11</v>
      </c>
      <c r="D11" s="19" t="s">
        <v>14</v>
      </c>
      <c r="E11" s="4">
        <v>0.75</v>
      </c>
      <c r="F11" s="42">
        <v>3.1</v>
      </c>
      <c r="G11" s="45">
        <v>274</v>
      </c>
      <c r="H11" s="22">
        <v>1.8</v>
      </c>
      <c r="I11" s="6">
        <f t="shared" si="0"/>
        <v>1146.69</v>
      </c>
      <c r="J11" s="7" t="s">
        <v>2717</v>
      </c>
    </row>
    <row r="12" spans="1:10" ht="13.95" customHeight="1" x14ac:dyDescent="0.3">
      <c r="A12" s="3">
        <v>45668</v>
      </c>
      <c r="B12" s="3" t="s">
        <v>2858</v>
      </c>
      <c r="C12" s="19" t="s">
        <v>13</v>
      </c>
      <c r="D12" s="19" t="s">
        <v>14</v>
      </c>
      <c r="E12" s="4">
        <v>0.85</v>
      </c>
      <c r="F12" s="42">
        <v>3.75</v>
      </c>
      <c r="G12" s="45">
        <v>274</v>
      </c>
      <c r="H12" s="22">
        <v>1.8</v>
      </c>
      <c r="I12" s="6">
        <f t="shared" si="0"/>
        <v>1572.075</v>
      </c>
      <c r="J12" s="7" t="s">
        <v>1727</v>
      </c>
    </row>
    <row r="13" spans="1:10" ht="13.95" customHeight="1" x14ac:dyDescent="0.3">
      <c r="A13" s="3">
        <v>45669</v>
      </c>
      <c r="B13" s="3" t="s">
        <v>2858</v>
      </c>
      <c r="C13" s="19" t="s">
        <v>16</v>
      </c>
      <c r="D13" s="19" t="s">
        <v>14</v>
      </c>
      <c r="E13" s="4">
        <v>0.8</v>
      </c>
      <c r="F13" s="42">
        <v>3.3</v>
      </c>
      <c r="G13" s="45">
        <v>274</v>
      </c>
      <c r="H13" s="22">
        <v>1.8</v>
      </c>
      <c r="I13" s="6">
        <f t="shared" si="0"/>
        <v>1302.048</v>
      </c>
      <c r="J13" s="7" t="s">
        <v>2718</v>
      </c>
    </row>
    <row r="14" spans="1:10" ht="13.95" customHeight="1" x14ac:dyDescent="0.3">
      <c r="A14" s="3">
        <v>45670</v>
      </c>
      <c r="B14" s="3" t="s">
        <v>2858</v>
      </c>
      <c r="C14" s="19" t="s">
        <v>18</v>
      </c>
      <c r="D14" s="19" t="s">
        <v>994</v>
      </c>
      <c r="E14" s="4">
        <v>0.6</v>
      </c>
      <c r="F14" s="42">
        <v>2.4</v>
      </c>
      <c r="G14" s="45">
        <v>274</v>
      </c>
      <c r="H14" s="22">
        <v>1.8</v>
      </c>
      <c r="I14" s="6">
        <f t="shared" si="0"/>
        <v>710.20799999999997</v>
      </c>
      <c r="J14" s="7" t="s">
        <v>2719</v>
      </c>
    </row>
    <row r="15" spans="1:10" ht="13.95" customHeight="1" x14ac:dyDescent="0.3">
      <c r="A15" s="3">
        <v>45671</v>
      </c>
      <c r="B15" s="3" t="s">
        <v>2858</v>
      </c>
      <c r="C15" s="19" t="s">
        <v>20</v>
      </c>
      <c r="D15" s="19" t="s">
        <v>2720</v>
      </c>
      <c r="E15" s="4">
        <v>0.85</v>
      </c>
      <c r="F15" s="42">
        <v>3.6</v>
      </c>
      <c r="G15" s="45">
        <v>274</v>
      </c>
      <c r="H15" s="22">
        <v>1.8</v>
      </c>
      <c r="I15" s="6">
        <f t="shared" si="0"/>
        <v>1509.1920000000002</v>
      </c>
      <c r="J15" s="7" t="s">
        <v>2721</v>
      </c>
    </row>
    <row r="16" spans="1:10" ht="13.95" customHeight="1" x14ac:dyDescent="0.3">
      <c r="A16" s="3">
        <v>45672</v>
      </c>
      <c r="B16" s="3" t="s">
        <v>2858</v>
      </c>
      <c r="C16" s="19" t="s">
        <v>5</v>
      </c>
      <c r="D16" s="19" t="s">
        <v>9</v>
      </c>
      <c r="E16" s="4">
        <v>0.5</v>
      </c>
      <c r="F16" s="42">
        <v>2.2000000000000002</v>
      </c>
      <c r="G16" s="45">
        <v>274</v>
      </c>
      <c r="H16" s="22">
        <v>1.8</v>
      </c>
      <c r="I16" s="6">
        <f t="shared" si="0"/>
        <v>542.5200000000001</v>
      </c>
      <c r="J16" s="7" t="s">
        <v>2019</v>
      </c>
    </row>
    <row r="17" spans="1:10" ht="13.95" customHeight="1" x14ac:dyDescent="0.3">
      <c r="A17" s="3">
        <v>45673</v>
      </c>
      <c r="B17" s="3" t="s">
        <v>2858</v>
      </c>
      <c r="C17" s="19" t="s">
        <v>8</v>
      </c>
      <c r="D17" s="19" t="s">
        <v>9</v>
      </c>
      <c r="E17" s="4">
        <v>0.5</v>
      </c>
      <c r="F17" s="42">
        <v>2.2000000000000002</v>
      </c>
      <c r="G17" s="45">
        <v>274</v>
      </c>
      <c r="H17" s="22">
        <v>1.8</v>
      </c>
      <c r="I17" s="6">
        <f t="shared" si="0"/>
        <v>542.5200000000001</v>
      </c>
      <c r="J17" s="7" t="s">
        <v>88</v>
      </c>
    </row>
    <row r="18" spans="1:10" ht="13.95" customHeight="1" x14ac:dyDescent="0.3">
      <c r="A18" s="3">
        <v>45674</v>
      </c>
      <c r="B18" s="3" t="s">
        <v>2858</v>
      </c>
      <c r="C18" s="19" t="s">
        <v>11</v>
      </c>
      <c r="D18" s="19" t="s">
        <v>14</v>
      </c>
      <c r="E18" s="4">
        <v>0.65</v>
      </c>
      <c r="F18" s="42">
        <v>3</v>
      </c>
      <c r="G18" s="45">
        <v>274</v>
      </c>
      <c r="H18" s="22">
        <v>1.8</v>
      </c>
      <c r="I18" s="6">
        <f t="shared" si="0"/>
        <v>961.7399999999999</v>
      </c>
      <c r="J18" s="7" t="s">
        <v>390</v>
      </c>
    </row>
    <row r="19" spans="1:10" ht="13.95" customHeight="1" x14ac:dyDescent="0.3">
      <c r="A19" s="3">
        <v>45675</v>
      </c>
      <c r="B19" s="3" t="s">
        <v>2858</v>
      </c>
      <c r="C19" s="19" t="s">
        <v>13</v>
      </c>
      <c r="D19" s="19" t="s">
        <v>14</v>
      </c>
      <c r="E19" s="4">
        <v>0.8</v>
      </c>
      <c r="F19" s="42">
        <v>3.7</v>
      </c>
      <c r="G19" s="45">
        <v>274</v>
      </c>
      <c r="H19" s="22">
        <v>1.8</v>
      </c>
      <c r="I19" s="6">
        <f t="shared" si="0"/>
        <v>1459.8720000000001</v>
      </c>
      <c r="J19" s="7" t="s">
        <v>2722</v>
      </c>
    </row>
    <row r="20" spans="1:10" ht="13.95" customHeight="1" x14ac:dyDescent="0.3">
      <c r="A20" s="3">
        <v>45676</v>
      </c>
      <c r="B20" s="3" t="s">
        <v>2858</v>
      </c>
      <c r="C20" s="19" t="s">
        <v>16</v>
      </c>
      <c r="D20" s="19" t="s">
        <v>14</v>
      </c>
      <c r="E20" s="4">
        <v>0.75</v>
      </c>
      <c r="F20" s="42">
        <v>3.25</v>
      </c>
      <c r="G20" s="45">
        <v>274</v>
      </c>
      <c r="H20" s="22">
        <v>1.8</v>
      </c>
      <c r="I20" s="6">
        <f t="shared" si="0"/>
        <v>1202.175</v>
      </c>
      <c r="J20" s="7" t="s">
        <v>69</v>
      </c>
    </row>
    <row r="21" spans="1:10" ht="13.95" customHeight="1" x14ac:dyDescent="0.3">
      <c r="A21" s="3">
        <v>45677</v>
      </c>
      <c r="B21" s="3" t="s">
        <v>2858</v>
      </c>
      <c r="C21" s="19" t="s">
        <v>18</v>
      </c>
      <c r="D21" s="19" t="s">
        <v>9</v>
      </c>
      <c r="E21" s="4">
        <v>0.4</v>
      </c>
      <c r="F21" s="42">
        <v>2.15</v>
      </c>
      <c r="G21" s="45">
        <v>274</v>
      </c>
      <c r="H21" s="22">
        <v>1.8</v>
      </c>
      <c r="I21" s="6">
        <f t="shared" si="0"/>
        <v>424.15200000000004</v>
      </c>
      <c r="J21" s="7" t="s">
        <v>1628</v>
      </c>
    </row>
    <row r="22" spans="1:10" ht="13.95" customHeight="1" x14ac:dyDescent="0.3">
      <c r="A22" s="3">
        <v>45678</v>
      </c>
      <c r="B22" s="3" t="s">
        <v>2858</v>
      </c>
      <c r="C22" s="19" t="s">
        <v>20</v>
      </c>
      <c r="D22" s="19" t="s">
        <v>9</v>
      </c>
      <c r="E22" s="4">
        <v>0.4</v>
      </c>
      <c r="F22" s="42">
        <v>2.15</v>
      </c>
      <c r="G22" s="45">
        <v>274</v>
      </c>
      <c r="H22" s="22">
        <v>1.8</v>
      </c>
      <c r="I22" s="6">
        <f t="shared" si="0"/>
        <v>424.15200000000004</v>
      </c>
      <c r="J22" s="7" t="s">
        <v>88</v>
      </c>
    </row>
    <row r="23" spans="1:10" ht="13.95" customHeight="1" x14ac:dyDescent="0.3">
      <c r="A23" s="3">
        <v>45679</v>
      </c>
      <c r="B23" s="3" t="s">
        <v>2858</v>
      </c>
      <c r="C23" s="19" t="s">
        <v>5</v>
      </c>
      <c r="D23" s="19" t="s">
        <v>9</v>
      </c>
      <c r="E23" s="4">
        <v>0.45</v>
      </c>
      <c r="F23" s="42">
        <v>2.2000000000000002</v>
      </c>
      <c r="G23" s="45">
        <v>274</v>
      </c>
      <c r="H23" s="22">
        <v>1.8</v>
      </c>
      <c r="I23" s="6">
        <f t="shared" si="0"/>
        <v>488.26799999999997</v>
      </c>
      <c r="J23" s="7" t="s">
        <v>88</v>
      </c>
    </row>
    <row r="24" spans="1:10" ht="13.95" customHeight="1" x14ac:dyDescent="0.3">
      <c r="A24" s="3">
        <v>45680</v>
      </c>
      <c r="B24" s="3" t="s">
        <v>2858</v>
      </c>
      <c r="C24" s="19" t="s">
        <v>8</v>
      </c>
      <c r="D24" s="19" t="s">
        <v>1263</v>
      </c>
      <c r="E24" s="4">
        <v>0.75</v>
      </c>
      <c r="F24" s="42">
        <v>2.6</v>
      </c>
      <c r="G24" s="45">
        <v>274</v>
      </c>
      <c r="H24" s="22">
        <v>1.8</v>
      </c>
      <c r="I24" s="6">
        <f t="shared" si="0"/>
        <v>961.74000000000012</v>
      </c>
      <c r="J24" s="7" t="s">
        <v>2723</v>
      </c>
    </row>
    <row r="25" spans="1:10" ht="13.95" customHeight="1" x14ac:dyDescent="0.3">
      <c r="A25" s="3">
        <v>45681</v>
      </c>
      <c r="B25" s="3" t="s">
        <v>2858</v>
      </c>
      <c r="C25" s="19" t="s">
        <v>11</v>
      </c>
      <c r="D25" s="19" t="s">
        <v>14</v>
      </c>
      <c r="E25" s="4">
        <v>0.8</v>
      </c>
      <c r="F25" s="42">
        <v>3.15</v>
      </c>
      <c r="G25" s="45">
        <v>274</v>
      </c>
      <c r="H25" s="22">
        <v>1.8</v>
      </c>
      <c r="I25" s="6">
        <f t="shared" si="0"/>
        <v>1242.864</v>
      </c>
      <c r="J25" s="7" t="s">
        <v>1095</v>
      </c>
    </row>
    <row r="26" spans="1:10" ht="13.95" customHeight="1" x14ac:dyDescent="0.3">
      <c r="A26" s="3">
        <v>45682</v>
      </c>
      <c r="B26" s="3" t="s">
        <v>2858</v>
      </c>
      <c r="C26" s="19" t="s">
        <v>13</v>
      </c>
      <c r="D26" s="19" t="s">
        <v>14</v>
      </c>
      <c r="E26" s="4">
        <v>0.95</v>
      </c>
      <c r="F26" s="42">
        <v>3.9</v>
      </c>
      <c r="G26" s="45">
        <v>274</v>
      </c>
      <c r="H26" s="22">
        <v>1.8</v>
      </c>
      <c r="I26" s="6">
        <f t="shared" si="0"/>
        <v>1827.3060000000003</v>
      </c>
      <c r="J26" s="7" t="s">
        <v>2724</v>
      </c>
    </row>
    <row r="27" spans="1:10" ht="13.95" customHeight="1" x14ac:dyDescent="0.3">
      <c r="A27" s="3">
        <v>45683</v>
      </c>
      <c r="B27" s="3" t="s">
        <v>2858</v>
      </c>
      <c r="C27" s="19" t="s">
        <v>16</v>
      </c>
      <c r="D27" s="19" t="s">
        <v>14</v>
      </c>
      <c r="E27" s="4">
        <v>0.9</v>
      </c>
      <c r="F27" s="42">
        <v>3.45</v>
      </c>
      <c r="G27" s="45">
        <v>274</v>
      </c>
      <c r="H27" s="22">
        <v>1.8</v>
      </c>
      <c r="I27" s="6">
        <f t="shared" si="0"/>
        <v>1531.386</v>
      </c>
      <c r="J27" s="7" t="s">
        <v>159</v>
      </c>
    </row>
    <row r="28" spans="1:10" ht="13.95" customHeight="1" x14ac:dyDescent="0.3">
      <c r="A28" s="3">
        <v>45684</v>
      </c>
      <c r="B28" s="3" t="s">
        <v>2858</v>
      </c>
      <c r="C28" s="19" t="s">
        <v>18</v>
      </c>
      <c r="D28" s="19" t="s">
        <v>9</v>
      </c>
      <c r="E28" s="4">
        <v>0.45</v>
      </c>
      <c r="F28" s="42">
        <v>2.2000000000000002</v>
      </c>
      <c r="G28" s="45">
        <v>274</v>
      </c>
      <c r="H28" s="22">
        <v>1.8</v>
      </c>
      <c r="I28" s="6">
        <f t="shared" si="0"/>
        <v>488.26799999999997</v>
      </c>
      <c r="J28" s="7" t="s">
        <v>150</v>
      </c>
    </row>
    <row r="29" spans="1:10" ht="13.95" customHeight="1" x14ac:dyDescent="0.3">
      <c r="A29" s="3">
        <v>45685</v>
      </c>
      <c r="B29" s="3" t="s">
        <v>2858</v>
      </c>
      <c r="C29" s="19" t="s">
        <v>20</v>
      </c>
      <c r="D29" s="19" t="s">
        <v>9</v>
      </c>
      <c r="E29" s="4">
        <v>0.45</v>
      </c>
      <c r="F29" s="42">
        <v>2.2000000000000002</v>
      </c>
      <c r="G29" s="45">
        <v>274</v>
      </c>
      <c r="H29" s="22">
        <v>1.8</v>
      </c>
      <c r="I29" s="6">
        <f t="shared" si="0"/>
        <v>488.26799999999997</v>
      </c>
      <c r="J29" s="7" t="s">
        <v>150</v>
      </c>
    </row>
    <row r="30" spans="1:10" ht="13.95" customHeight="1" x14ac:dyDescent="0.3">
      <c r="A30" s="3">
        <v>45686</v>
      </c>
      <c r="B30" s="3" t="s">
        <v>2858</v>
      </c>
      <c r="C30" s="19" t="s">
        <v>5</v>
      </c>
      <c r="D30" s="19" t="s">
        <v>9</v>
      </c>
      <c r="E30" s="4">
        <v>0.5</v>
      </c>
      <c r="F30" s="42">
        <v>2.25</v>
      </c>
      <c r="G30" s="45">
        <v>274</v>
      </c>
      <c r="H30" s="22">
        <v>1.8</v>
      </c>
      <c r="I30" s="6">
        <f t="shared" si="0"/>
        <v>554.85</v>
      </c>
      <c r="J30" s="7" t="s">
        <v>88</v>
      </c>
    </row>
    <row r="31" spans="1:10" ht="13.95" customHeight="1" x14ac:dyDescent="0.3">
      <c r="A31" s="3">
        <v>45687</v>
      </c>
      <c r="B31" s="3" t="s">
        <v>2858</v>
      </c>
      <c r="C31" s="19" t="s">
        <v>8</v>
      </c>
      <c r="D31" s="19" t="s">
        <v>9</v>
      </c>
      <c r="E31" s="4">
        <v>0.55000000000000004</v>
      </c>
      <c r="F31" s="42">
        <v>2.2999999999999998</v>
      </c>
      <c r="G31" s="45">
        <v>274</v>
      </c>
      <c r="H31" s="22">
        <v>1.8</v>
      </c>
      <c r="I31" s="6">
        <f t="shared" si="0"/>
        <v>623.89800000000002</v>
      </c>
      <c r="J31" s="7" t="s">
        <v>82</v>
      </c>
    </row>
    <row r="32" spans="1:10" ht="13.95" customHeight="1" x14ac:dyDescent="0.3">
      <c r="A32" s="3">
        <v>45688</v>
      </c>
      <c r="B32" s="3" t="s">
        <v>2858</v>
      </c>
      <c r="C32" s="19" t="s">
        <v>11</v>
      </c>
      <c r="D32" s="19" t="s">
        <v>14</v>
      </c>
      <c r="E32" s="4">
        <v>0.75</v>
      </c>
      <c r="F32" s="42">
        <v>3.1</v>
      </c>
      <c r="G32" s="45">
        <v>274</v>
      </c>
      <c r="H32" s="22">
        <v>1.8</v>
      </c>
      <c r="I32" s="6">
        <f t="shared" si="0"/>
        <v>1146.69</v>
      </c>
      <c r="J32" s="7" t="s">
        <v>67</v>
      </c>
    </row>
    <row r="33" spans="1:10" ht="13.95" customHeight="1" x14ac:dyDescent="0.3">
      <c r="A33" s="3">
        <v>45689</v>
      </c>
      <c r="B33" s="3" t="s">
        <v>2858</v>
      </c>
      <c r="C33" s="19" t="s">
        <v>13</v>
      </c>
      <c r="D33" s="19" t="s">
        <v>14</v>
      </c>
      <c r="E33" s="4">
        <v>0.85</v>
      </c>
      <c r="F33" s="42">
        <v>3.7</v>
      </c>
      <c r="G33" s="45">
        <v>274</v>
      </c>
      <c r="H33" s="22">
        <v>1.9</v>
      </c>
      <c r="I33" s="6">
        <f t="shared" si="0"/>
        <v>1637.287</v>
      </c>
      <c r="J33" s="7" t="s">
        <v>2380</v>
      </c>
    </row>
    <row r="34" spans="1:10" ht="13.95" customHeight="1" x14ac:dyDescent="0.3">
      <c r="A34" s="3">
        <v>45690</v>
      </c>
      <c r="B34" s="3" t="s">
        <v>2858</v>
      </c>
      <c r="C34" s="19" t="s">
        <v>16</v>
      </c>
      <c r="D34" s="19" t="s">
        <v>2725</v>
      </c>
      <c r="E34" s="4">
        <v>0.8</v>
      </c>
      <c r="F34" s="42">
        <v>3.5</v>
      </c>
      <c r="G34" s="45">
        <v>274</v>
      </c>
      <c r="H34" s="22">
        <v>1.9</v>
      </c>
      <c r="I34" s="6">
        <f t="shared" si="0"/>
        <v>1457.68</v>
      </c>
      <c r="J34" s="7" t="s">
        <v>2726</v>
      </c>
    </row>
    <row r="35" spans="1:10" ht="13.95" customHeight="1" x14ac:dyDescent="0.3">
      <c r="A35" s="3">
        <v>45691</v>
      </c>
      <c r="B35" s="3" t="s">
        <v>2858</v>
      </c>
      <c r="C35" s="19" t="s">
        <v>18</v>
      </c>
      <c r="D35" s="19" t="s">
        <v>2015</v>
      </c>
      <c r="E35" s="4">
        <v>0.45</v>
      </c>
      <c r="F35" s="42">
        <v>2.2000000000000002</v>
      </c>
      <c r="G35" s="45">
        <v>274</v>
      </c>
      <c r="H35" s="22">
        <v>1.9</v>
      </c>
      <c r="I35" s="6">
        <f t="shared" si="0"/>
        <v>515.39400000000001</v>
      </c>
      <c r="J35" s="7" t="s">
        <v>2485</v>
      </c>
    </row>
    <row r="36" spans="1:10" ht="13.95" customHeight="1" x14ac:dyDescent="0.3">
      <c r="A36" s="3">
        <v>45692</v>
      </c>
      <c r="B36" s="3" t="s">
        <v>2858</v>
      </c>
      <c r="C36" s="19" t="s">
        <v>20</v>
      </c>
      <c r="D36" s="19" t="s">
        <v>2015</v>
      </c>
      <c r="E36" s="4">
        <v>0.45</v>
      </c>
      <c r="F36" s="42">
        <v>2.2000000000000002</v>
      </c>
      <c r="G36" s="45">
        <v>274</v>
      </c>
      <c r="H36" s="22">
        <v>1.9</v>
      </c>
      <c r="I36" s="6">
        <f t="shared" si="0"/>
        <v>515.39400000000001</v>
      </c>
      <c r="J36" s="7" t="s">
        <v>88</v>
      </c>
    </row>
    <row r="37" spans="1:10" ht="13.95" customHeight="1" x14ac:dyDescent="0.3">
      <c r="A37" s="3">
        <v>45693</v>
      </c>
      <c r="B37" s="3" t="s">
        <v>2858</v>
      </c>
      <c r="C37" s="19" t="s">
        <v>5</v>
      </c>
      <c r="D37" s="19" t="s">
        <v>2015</v>
      </c>
      <c r="E37" s="4">
        <v>0.5</v>
      </c>
      <c r="F37" s="42">
        <v>2.25</v>
      </c>
      <c r="G37" s="45">
        <v>274</v>
      </c>
      <c r="H37" s="22">
        <v>1.9</v>
      </c>
      <c r="I37" s="6">
        <f t="shared" si="0"/>
        <v>585.67499999999995</v>
      </c>
      <c r="J37" s="7" t="s">
        <v>88</v>
      </c>
    </row>
    <row r="38" spans="1:10" ht="13.95" customHeight="1" x14ac:dyDescent="0.3">
      <c r="A38" s="3">
        <v>45694</v>
      </c>
      <c r="B38" s="3" t="s">
        <v>2858</v>
      </c>
      <c r="C38" s="19" t="s">
        <v>8</v>
      </c>
      <c r="D38" s="19" t="s">
        <v>1263</v>
      </c>
      <c r="E38" s="4">
        <v>0.7</v>
      </c>
      <c r="F38" s="42">
        <v>2.5</v>
      </c>
      <c r="G38" s="45">
        <v>274</v>
      </c>
      <c r="H38" s="22">
        <v>1.9</v>
      </c>
      <c r="I38" s="6">
        <f t="shared" si="0"/>
        <v>911.04999999999984</v>
      </c>
      <c r="J38" s="7" t="s">
        <v>1376</v>
      </c>
    </row>
    <row r="39" spans="1:10" ht="13.95" customHeight="1" x14ac:dyDescent="0.3">
      <c r="A39" s="3">
        <v>45695</v>
      </c>
      <c r="B39" s="3" t="s">
        <v>2858</v>
      </c>
      <c r="C39" s="19" t="s">
        <v>11</v>
      </c>
      <c r="D39" s="19" t="s">
        <v>14</v>
      </c>
      <c r="E39" s="4">
        <v>0.75</v>
      </c>
      <c r="F39" s="42">
        <v>3.1</v>
      </c>
      <c r="G39" s="45">
        <v>274</v>
      </c>
      <c r="H39" s="22">
        <v>1.9</v>
      </c>
      <c r="I39" s="6">
        <f t="shared" si="0"/>
        <v>1210.395</v>
      </c>
      <c r="J39" s="7" t="s">
        <v>282</v>
      </c>
    </row>
    <row r="40" spans="1:10" ht="13.95" customHeight="1" x14ac:dyDescent="0.3">
      <c r="A40" s="3">
        <v>45696</v>
      </c>
      <c r="B40" s="3" t="s">
        <v>2858</v>
      </c>
      <c r="C40" s="19" t="s">
        <v>13</v>
      </c>
      <c r="D40" s="19" t="s">
        <v>14</v>
      </c>
      <c r="E40" s="4">
        <v>0.85</v>
      </c>
      <c r="F40" s="42">
        <v>3.75</v>
      </c>
      <c r="G40" s="45">
        <v>274</v>
      </c>
      <c r="H40" s="22">
        <v>1.9</v>
      </c>
      <c r="I40" s="6">
        <f t="shared" si="0"/>
        <v>1659.4124999999999</v>
      </c>
      <c r="J40" s="7" t="s">
        <v>2727</v>
      </c>
    </row>
    <row r="41" spans="1:10" ht="13.95" customHeight="1" x14ac:dyDescent="0.3">
      <c r="A41" s="3">
        <v>45697</v>
      </c>
      <c r="B41" s="3" t="s">
        <v>2858</v>
      </c>
      <c r="C41" s="19" t="s">
        <v>16</v>
      </c>
      <c r="D41" s="19" t="s">
        <v>14</v>
      </c>
      <c r="E41" s="4">
        <v>0.8</v>
      </c>
      <c r="F41" s="42">
        <v>3.35</v>
      </c>
      <c r="G41" s="45">
        <v>274</v>
      </c>
      <c r="H41" s="22">
        <v>1.9</v>
      </c>
      <c r="I41" s="6">
        <f t="shared" si="0"/>
        <v>1395.2080000000001</v>
      </c>
      <c r="J41" s="7" t="s">
        <v>238</v>
      </c>
    </row>
    <row r="42" spans="1:10" ht="13.95" customHeight="1" x14ac:dyDescent="0.3">
      <c r="A42" s="3">
        <v>45698</v>
      </c>
      <c r="B42" s="3" t="s">
        <v>2858</v>
      </c>
      <c r="C42" s="19" t="s">
        <v>18</v>
      </c>
      <c r="D42" s="19" t="s">
        <v>9</v>
      </c>
      <c r="E42" s="4">
        <v>0.45</v>
      </c>
      <c r="F42" s="42">
        <v>2.2000000000000002</v>
      </c>
      <c r="G42" s="45">
        <v>274</v>
      </c>
      <c r="H42" s="22">
        <v>1.9</v>
      </c>
      <c r="I42" s="6">
        <f t="shared" si="0"/>
        <v>515.39400000000001</v>
      </c>
      <c r="J42" s="7" t="s">
        <v>150</v>
      </c>
    </row>
    <row r="43" spans="1:10" ht="13.95" customHeight="1" x14ac:dyDescent="0.3">
      <c r="A43" s="3">
        <v>45699</v>
      </c>
      <c r="B43" s="3" t="s">
        <v>2858</v>
      </c>
      <c r="C43" s="19" t="s">
        <v>20</v>
      </c>
      <c r="D43" s="19" t="s">
        <v>9</v>
      </c>
      <c r="E43" s="4">
        <v>0.45</v>
      </c>
      <c r="F43" s="42">
        <v>2.2000000000000002</v>
      </c>
      <c r="G43" s="45">
        <v>274</v>
      </c>
      <c r="H43" s="22">
        <v>1.9</v>
      </c>
      <c r="I43" s="6">
        <f t="shared" si="0"/>
        <v>515.39400000000001</v>
      </c>
      <c r="J43" s="7" t="s">
        <v>150</v>
      </c>
    </row>
    <row r="44" spans="1:10" ht="13.95" customHeight="1" x14ac:dyDescent="0.3">
      <c r="A44" s="3">
        <v>45700</v>
      </c>
      <c r="B44" s="3" t="s">
        <v>2858</v>
      </c>
      <c r="C44" s="19" t="s">
        <v>5</v>
      </c>
      <c r="D44" s="19" t="s">
        <v>9</v>
      </c>
      <c r="E44" s="4">
        <v>0.5</v>
      </c>
      <c r="F44" s="42">
        <v>2.25</v>
      </c>
      <c r="G44" s="45">
        <v>274</v>
      </c>
      <c r="H44" s="22">
        <v>1.9</v>
      </c>
      <c r="I44" s="6">
        <f t="shared" si="0"/>
        <v>585.67499999999995</v>
      </c>
      <c r="J44" s="7" t="s">
        <v>2728</v>
      </c>
    </row>
    <row r="45" spans="1:10" ht="13.95" customHeight="1" x14ac:dyDescent="0.3">
      <c r="A45" s="3">
        <v>45701</v>
      </c>
      <c r="B45" s="3" t="s">
        <v>2858</v>
      </c>
      <c r="C45" s="19" t="s">
        <v>8</v>
      </c>
      <c r="D45" s="19" t="s">
        <v>2729</v>
      </c>
      <c r="E45" s="4">
        <v>0.75</v>
      </c>
      <c r="F45" s="42">
        <v>2.7</v>
      </c>
      <c r="G45" s="45">
        <v>274</v>
      </c>
      <c r="H45" s="22">
        <v>1.9</v>
      </c>
      <c r="I45" s="6">
        <f t="shared" si="0"/>
        <v>1054.2149999999999</v>
      </c>
      <c r="J45" s="7" t="s">
        <v>2304</v>
      </c>
    </row>
    <row r="46" spans="1:10" ht="13.95" customHeight="1" x14ac:dyDescent="0.3">
      <c r="A46" s="3">
        <v>45702</v>
      </c>
      <c r="B46" s="3" t="s">
        <v>2858</v>
      </c>
      <c r="C46" s="19" t="s">
        <v>11</v>
      </c>
      <c r="D46" s="19" t="s">
        <v>2488</v>
      </c>
      <c r="E46" s="4">
        <v>1</v>
      </c>
      <c r="F46" s="42">
        <v>4.5999999999999996</v>
      </c>
      <c r="G46" s="45">
        <v>274</v>
      </c>
      <c r="H46" s="22">
        <v>1.9</v>
      </c>
      <c r="I46" s="6">
        <f t="shared" si="0"/>
        <v>2394.7599999999998</v>
      </c>
      <c r="J46" s="7" t="s">
        <v>2730</v>
      </c>
    </row>
    <row r="47" spans="1:10" ht="13.95" customHeight="1" x14ac:dyDescent="0.3">
      <c r="A47" s="3">
        <v>45703</v>
      </c>
      <c r="B47" s="3" t="s">
        <v>2858</v>
      </c>
      <c r="C47" s="19" t="s">
        <v>13</v>
      </c>
      <c r="D47" s="19" t="s">
        <v>2731</v>
      </c>
      <c r="E47" s="4">
        <v>1</v>
      </c>
      <c r="F47" s="42">
        <v>4.0999999999999996</v>
      </c>
      <c r="G47" s="45">
        <v>274</v>
      </c>
      <c r="H47" s="22">
        <v>1.9</v>
      </c>
      <c r="I47" s="6">
        <f t="shared" si="0"/>
        <v>2134.4599999999996</v>
      </c>
      <c r="J47" s="7" t="s">
        <v>2732</v>
      </c>
    </row>
    <row r="48" spans="1:10" ht="13.95" customHeight="1" x14ac:dyDescent="0.3">
      <c r="A48" s="3">
        <v>45704</v>
      </c>
      <c r="B48" s="3" t="s">
        <v>2858</v>
      </c>
      <c r="C48" s="19" t="s">
        <v>16</v>
      </c>
      <c r="D48" s="19" t="s">
        <v>14</v>
      </c>
      <c r="E48" s="4">
        <v>0.9</v>
      </c>
      <c r="F48" s="42">
        <v>3.65</v>
      </c>
      <c r="G48" s="45">
        <v>274</v>
      </c>
      <c r="H48" s="22">
        <v>1.9</v>
      </c>
      <c r="I48" s="6">
        <f t="shared" si="0"/>
        <v>1710.1709999999998</v>
      </c>
      <c r="J48" s="7" t="s">
        <v>559</v>
      </c>
    </row>
    <row r="49" spans="1:10" ht="13.95" customHeight="1" x14ac:dyDescent="0.3">
      <c r="A49" s="3">
        <v>45705</v>
      </c>
      <c r="B49" s="3" t="s">
        <v>2858</v>
      </c>
      <c r="C49" s="19" t="s">
        <v>18</v>
      </c>
      <c r="D49" s="19" t="s">
        <v>658</v>
      </c>
      <c r="E49" s="4">
        <v>0.65</v>
      </c>
      <c r="F49" s="42">
        <v>2.4</v>
      </c>
      <c r="G49" s="45">
        <v>274</v>
      </c>
      <c r="H49" s="22">
        <v>1.9</v>
      </c>
      <c r="I49" s="6">
        <f t="shared" si="0"/>
        <v>812.13599999999997</v>
      </c>
      <c r="J49" s="7" t="s">
        <v>2733</v>
      </c>
    </row>
    <row r="50" spans="1:10" ht="13.95" customHeight="1" x14ac:dyDescent="0.3">
      <c r="A50" s="3">
        <v>45706</v>
      </c>
      <c r="B50" s="3" t="s">
        <v>2858</v>
      </c>
      <c r="C50" s="19" t="s">
        <v>20</v>
      </c>
      <c r="D50" s="19" t="s">
        <v>658</v>
      </c>
      <c r="E50" s="4">
        <v>0.65</v>
      </c>
      <c r="F50" s="42">
        <v>2.4</v>
      </c>
      <c r="G50" s="45">
        <v>274</v>
      </c>
      <c r="H50" s="22">
        <v>1.9</v>
      </c>
      <c r="I50" s="6">
        <f t="shared" si="0"/>
        <v>812.13599999999997</v>
      </c>
      <c r="J50" s="7" t="s">
        <v>2458</v>
      </c>
    </row>
    <row r="51" spans="1:10" ht="13.95" customHeight="1" x14ac:dyDescent="0.3">
      <c r="A51" s="3">
        <v>45707</v>
      </c>
      <c r="B51" s="3" t="s">
        <v>2858</v>
      </c>
      <c r="C51" s="19" t="s">
        <v>5</v>
      </c>
      <c r="D51" s="19" t="s">
        <v>658</v>
      </c>
      <c r="E51" s="4">
        <v>0.7</v>
      </c>
      <c r="F51" s="42">
        <v>2.5</v>
      </c>
      <c r="G51" s="45">
        <v>274</v>
      </c>
      <c r="H51" s="22">
        <v>1.9</v>
      </c>
      <c r="I51" s="6">
        <f t="shared" si="0"/>
        <v>911.04999999999984</v>
      </c>
      <c r="J51" s="7" t="s">
        <v>2458</v>
      </c>
    </row>
    <row r="52" spans="1:10" ht="13.95" customHeight="1" x14ac:dyDescent="0.3">
      <c r="A52" s="3">
        <v>45708</v>
      </c>
      <c r="B52" s="3" t="s">
        <v>2858</v>
      </c>
      <c r="C52" s="19" t="s">
        <v>8</v>
      </c>
      <c r="D52" s="19" t="s">
        <v>1263</v>
      </c>
      <c r="E52" s="4">
        <v>0.8</v>
      </c>
      <c r="F52" s="42">
        <v>2.65</v>
      </c>
      <c r="G52" s="45">
        <v>274</v>
      </c>
      <c r="H52" s="22">
        <v>1.9</v>
      </c>
      <c r="I52" s="6">
        <f t="shared" si="0"/>
        <v>1103.672</v>
      </c>
      <c r="J52" s="7" t="s">
        <v>2734</v>
      </c>
    </row>
    <row r="53" spans="1:10" ht="13.95" customHeight="1" x14ac:dyDescent="0.3">
      <c r="A53" s="3">
        <v>45709</v>
      </c>
      <c r="B53" s="3" t="s">
        <v>2858</v>
      </c>
      <c r="C53" s="19" t="s">
        <v>11</v>
      </c>
      <c r="D53" s="19" t="s">
        <v>14</v>
      </c>
      <c r="E53" s="4">
        <v>0.85</v>
      </c>
      <c r="F53" s="42">
        <v>3.3</v>
      </c>
      <c r="G53" s="45">
        <v>274</v>
      </c>
      <c r="H53" s="22">
        <v>1.9</v>
      </c>
      <c r="I53" s="6">
        <f t="shared" si="0"/>
        <v>1460.2829999999999</v>
      </c>
      <c r="J53" s="7" t="s">
        <v>2515</v>
      </c>
    </row>
    <row r="54" spans="1:10" ht="13.95" customHeight="1" x14ac:dyDescent="0.3">
      <c r="A54" s="3">
        <v>45710</v>
      </c>
      <c r="B54" s="3" t="s">
        <v>2858</v>
      </c>
      <c r="C54" s="19" t="s">
        <v>13</v>
      </c>
      <c r="D54" s="19" t="s">
        <v>14</v>
      </c>
      <c r="E54" s="4">
        <v>0.95</v>
      </c>
      <c r="F54" s="42">
        <v>3.95</v>
      </c>
      <c r="G54" s="45">
        <v>274</v>
      </c>
      <c r="H54" s="22">
        <v>1.9</v>
      </c>
      <c r="I54" s="6">
        <f t="shared" si="0"/>
        <v>1953.5515000000003</v>
      </c>
      <c r="J54" s="7" t="s">
        <v>2735</v>
      </c>
    </row>
    <row r="55" spans="1:10" ht="13.95" customHeight="1" x14ac:dyDescent="0.3">
      <c r="A55" s="3">
        <v>45711</v>
      </c>
      <c r="B55" s="3" t="s">
        <v>2858</v>
      </c>
      <c r="C55" s="19" t="s">
        <v>16</v>
      </c>
      <c r="D55" s="19" t="s">
        <v>14</v>
      </c>
      <c r="E55" s="4">
        <v>0.9</v>
      </c>
      <c r="F55" s="42">
        <v>3.55</v>
      </c>
      <c r="G55" s="45">
        <v>274</v>
      </c>
      <c r="H55" s="22">
        <v>1.9</v>
      </c>
      <c r="I55" s="6">
        <f t="shared" si="0"/>
        <v>1663.3169999999998</v>
      </c>
      <c r="J55" s="7" t="s">
        <v>159</v>
      </c>
    </row>
    <row r="56" spans="1:10" ht="13.95" customHeight="1" x14ac:dyDescent="0.3">
      <c r="A56" s="3">
        <v>45712</v>
      </c>
      <c r="B56" s="3" t="s">
        <v>2858</v>
      </c>
      <c r="C56" s="19" t="s">
        <v>18</v>
      </c>
      <c r="D56" s="19" t="s">
        <v>9</v>
      </c>
      <c r="E56" s="4">
        <v>0.5</v>
      </c>
      <c r="F56" s="42">
        <v>2.2000000000000002</v>
      </c>
      <c r="G56" s="45">
        <v>274</v>
      </c>
      <c r="H56" s="22">
        <v>1.9</v>
      </c>
      <c r="I56" s="6">
        <f t="shared" si="0"/>
        <v>572.66000000000008</v>
      </c>
      <c r="J56" s="7" t="s">
        <v>2019</v>
      </c>
    </row>
    <row r="57" spans="1:10" ht="13.95" customHeight="1" x14ac:dyDescent="0.3">
      <c r="A57" s="3">
        <v>45713</v>
      </c>
      <c r="B57" s="3" t="s">
        <v>2858</v>
      </c>
      <c r="C57" s="19" t="s">
        <v>20</v>
      </c>
      <c r="D57" s="19" t="s">
        <v>9</v>
      </c>
      <c r="E57" s="4">
        <v>0.5</v>
      </c>
      <c r="F57" s="42">
        <v>2.2000000000000002</v>
      </c>
      <c r="G57" s="45">
        <v>274</v>
      </c>
      <c r="H57" s="22">
        <v>1.9</v>
      </c>
      <c r="I57" s="6">
        <f t="shared" si="0"/>
        <v>572.66000000000008</v>
      </c>
      <c r="J57" s="7" t="s">
        <v>88</v>
      </c>
    </row>
    <row r="58" spans="1:10" ht="13.95" customHeight="1" x14ac:dyDescent="0.3">
      <c r="A58" s="3">
        <v>45714</v>
      </c>
      <c r="B58" s="3" t="s">
        <v>2858</v>
      </c>
      <c r="C58" s="19" t="s">
        <v>5</v>
      </c>
      <c r="D58" s="19" t="s">
        <v>9</v>
      </c>
      <c r="E58" s="4">
        <v>0.55000000000000004</v>
      </c>
      <c r="F58" s="42">
        <v>2.25</v>
      </c>
      <c r="G58" s="45">
        <v>274</v>
      </c>
      <c r="H58" s="22">
        <v>1.9</v>
      </c>
      <c r="I58" s="6">
        <f t="shared" si="0"/>
        <v>644.24250000000006</v>
      </c>
      <c r="J58" s="7" t="s">
        <v>88</v>
      </c>
    </row>
    <row r="59" spans="1:10" ht="13.95" customHeight="1" x14ac:dyDescent="0.3">
      <c r="A59" s="3">
        <v>45715</v>
      </c>
      <c r="B59" s="3" t="s">
        <v>2858</v>
      </c>
      <c r="C59" s="19" t="s">
        <v>8</v>
      </c>
      <c r="D59" s="19" t="s">
        <v>1263</v>
      </c>
      <c r="E59" s="4">
        <v>0.7</v>
      </c>
      <c r="F59" s="42">
        <v>2.5499999999999998</v>
      </c>
      <c r="G59" s="45">
        <v>274</v>
      </c>
      <c r="H59" s="22">
        <v>1.9</v>
      </c>
      <c r="I59" s="6">
        <f t="shared" si="0"/>
        <v>929.27099999999984</v>
      </c>
      <c r="J59" s="7" t="s">
        <v>2569</v>
      </c>
    </row>
    <row r="60" spans="1:10" ht="13.95" customHeight="1" x14ac:dyDescent="0.3">
      <c r="A60" s="3">
        <v>45716</v>
      </c>
      <c r="B60" s="3" t="s">
        <v>2858</v>
      </c>
      <c r="C60" s="19" t="s">
        <v>11</v>
      </c>
      <c r="D60" s="19" t="s">
        <v>14</v>
      </c>
      <c r="E60" s="4">
        <v>0.8</v>
      </c>
      <c r="F60" s="42">
        <v>3.15</v>
      </c>
      <c r="G60" s="45">
        <v>274</v>
      </c>
      <c r="H60" s="22">
        <v>1.9</v>
      </c>
      <c r="I60" s="6">
        <f t="shared" si="0"/>
        <v>1311.912</v>
      </c>
      <c r="J60" s="7" t="s">
        <v>2005</v>
      </c>
    </row>
    <row r="61" spans="1:10" ht="13.95" customHeight="1" x14ac:dyDescent="0.3">
      <c r="A61" s="3">
        <v>45717</v>
      </c>
      <c r="B61" s="3" t="s">
        <v>2858</v>
      </c>
      <c r="C61" s="19" t="s">
        <v>13</v>
      </c>
      <c r="D61" s="19" t="s">
        <v>2736</v>
      </c>
      <c r="E61" s="4">
        <v>0.85</v>
      </c>
      <c r="F61" s="42">
        <v>4.2</v>
      </c>
      <c r="G61" s="45">
        <v>274</v>
      </c>
      <c r="H61" s="22">
        <v>1.9</v>
      </c>
      <c r="I61" s="6">
        <f t="shared" si="0"/>
        <v>1858.5420000000001</v>
      </c>
      <c r="J61" s="7" t="s">
        <v>2745</v>
      </c>
    </row>
    <row r="62" spans="1:10" ht="13.95" customHeight="1" x14ac:dyDescent="0.3">
      <c r="A62" s="3">
        <v>45718</v>
      </c>
      <c r="B62" s="3" t="s">
        <v>2858</v>
      </c>
      <c r="C62" s="19" t="s">
        <v>16</v>
      </c>
      <c r="D62" s="19" t="s">
        <v>76</v>
      </c>
      <c r="E62" s="4">
        <v>0.75</v>
      </c>
      <c r="F62" s="42">
        <v>3.4</v>
      </c>
      <c r="G62" s="45">
        <v>274</v>
      </c>
      <c r="H62" s="22">
        <v>1.9</v>
      </c>
      <c r="I62" s="6">
        <f t="shared" si="0"/>
        <v>1327.5299999999997</v>
      </c>
      <c r="J62" s="7" t="s">
        <v>2737</v>
      </c>
    </row>
    <row r="63" spans="1:10" ht="13.95" customHeight="1" x14ac:dyDescent="0.3">
      <c r="A63" s="3">
        <v>45719</v>
      </c>
      <c r="B63" s="3" t="s">
        <v>2858</v>
      </c>
      <c r="C63" s="19" t="s">
        <v>18</v>
      </c>
      <c r="D63" s="19" t="s">
        <v>76</v>
      </c>
      <c r="E63" s="4">
        <v>0.45</v>
      </c>
      <c r="F63" s="42">
        <v>2.75</v>
      </c>
      <c r="G63" s="45">
        <v>274</v>
      </c>
      <c r="H63" s="22">
        <v>1.9</v>
      </c>
      <c r="I63" s="6">
        <f t="shared" si="0"/>
        <v>644.24249999999995</v>
      </c>
      <c r="J63" s="7" t="s">
        <v>2501</v>
      </c>
    </row>
    <row r="64" spans="1:10" ht="13.95" customHeight="1" x14ac:dyDescent="0.3">
      <c r="A64" s="3">
        <v>45720</v>
      </c>
      <c r="B64" s="3" t="s">
        <v>2858</v>
      </c>
      <c r="C64" s="19" t="s">
        <v>20</v>
      </c>
      <c r="D64" s="19" t="s">
        <v>76</v>
      </c>
      <c r="E64" s="4">
        <v>0.45</v>
      </c>
      <c r="F64" s="42">
        <v>2.75</v>
      </c>
      <c r="G64" s="45">
        <v>274</v>
      </c>
      <c r="H64" s="22">
        <v>1.9</v>
      </c>
      <c r="I64" s="6">
        <f t="shared" si="0"/>
        <v>644.24249999999995</v>
      </c>
      <c r="J64" s="7" t="s">
        <v>88</v>
      </c>
    </row>
    <row r="65" spans="1:10" ht="13.95" customHeight="1" x14ac:dyDescent="0.3">
      <c r="A65" s="3">
        <v>45721</v>
      </c>
      <c r="B65" s="3" t="s">
        <v>2858</v>
      </c>
      <c r="C65" s="19" t="s">
        <v>5</v>
      </c>
      <c r="D65" s="19" t="s">
        <v>76</v>
      </c>
      <c r="E65" s="4">
        <v>0.5</v>
      </c>
      <c r="F65" s="42">
        <v>2.8</v>
      </c>
      <c r="G65" s="45">
        <v>274</v>
      </c>
      <c r="H65" s="22">
        <v>1.9</v>
      </c>
      <c r="I65" s="6">
        <f t="shared" si="0"/>
        <v>728.83999999999992</v>
      </c>
      <c r="J65" s="7" t="s">
        <v>88</v>
      </c>
    </row>
    <row r="66" spans="1:10" ht="13.95" customHeight="1" x14ac:dyDescent="0.3">
      <c r="A66" s="3">
        <v>45722</v>
      </c>
      <c r="B66" s="3" t="s">
        <v>2858</v>
      </c>
      <c r="C66" s="19" t="s">
        <v>8</v>
      </c>
      <c r="D66" s="19" t="s">
        <v>1263</v>
      </c>
      <c r="E66" s="4">
        <v>0.7</v>
      </c>
      <c r="F66" s="42">
        <v>3.15</v>
      </c>
      <c r="G66" s="45">
        <v>274</v>
      </c>
      <c r="H66" s="22">
        <v>1.9</v>
      </c>
      <c r="I66" s="6">
        <f t="shared" ref="I66:I129" si="1">(G66*E66)*F66*H66</f>
        <v>1147.9229999999998</v>
      </c>
      <c r="J66" s="7" t="s">
        <v>2738</v>
      </c>
    </row>
    <row r="67" spans="1:10" ht="13.95" customHeight="1" x14ac:dyDescent="0.3">
      <c r="A67" s="3">
        <v>45723</v>
      </c>
      <c r="B67" s="3" t="s">
        <v>2858</v>
      </c>
      <c r="C67" s="19" t="s">
        <v>11</v>
      </c>
      <c r="D67" s="19" t="s">
        <v>14</v>
      </c>
      <c r="E67" s="4">
        <v>0.8</v>
      </c>
      <c r="F67" s="42">
        <v>3.85</v>
      </c>
      <c r="G67" s="45">
        <v>274</v>
      </c>
      <c r="H67" s="22">
        <v>1.9</v>
      </c>
      <c r="I67" s="6">
        <f t="shared" si="1"/>
        <v>1603.4480000000001</v>
      </c>
      <c r="J67" s="7" t="s">
        <v>2515</v>
      </c>
    </row>
    <row r="68" spans="1:10" ht="13.95" customHeight="1" x14ac:dyDescent="0.3">
      <c r="A68" s="3">
        <v>45724</v>
      </c>
      <c r="B68" s="3" t="s">
        <v>2858</v>
      </c>
      <c r="C68" s="19" t="s">
        <v>13</v>
      </c>
      <c r="D68" s="19" t="s">
        <v>14</v>
      </c>
      <c r="E68" s="4">
        <v>0.95</v>
      </c>
      <c r="F68" s="42">
        <v>4.4000000000000004</v>
      </c>
      <c r="G68" s="45">
        <v>274</v>
      </c>
      <c r="H68" s="22">
        <v>1.9</v>
      </c>
      <c r="I68" s="6">
        <f t="shared" si="1"/>
        <v>2176.1080000000002</v>
      </c>
      <c r="J68" s="7" t="s">
        <v>2746</v>
      </c>
    </row>
    <row r="69" spans="1:10" ht="13.95" customHeight="1" x14ac:dyDescent="0.3">
      <c r="A69" s="3">
        <v>45725</v>
      </c>
      <c r="B69" s="3" t="s">
        <v>2858</v>
      </c>
      <c r="C69" s="19" t="s">
        <v>16</v>
      </c>
      <c r="D69" s="19" t="s">
        <v>14</v>
      </c>
      <c r="E69" s="4">
        <v>0.85</v>
      </c>
      <c r="F69" s="42">
        <v>3.65</v>
      </c>
      <c r="G69" s="45">
        <v>274</v>
      </c>
      <c r="H69" s="22">
        <v>1.9</v>
      </c>
      <c r="I69" s="6">
        <f t="shared" si="1"/>
        <v>1615.1614999999999</v>
      </c>
      <c r="J69" s="7" t="s">
        <v>2210</v>
      </c>
    </row>
    <row r="70" spans="1:10" ht="13.95" customHeight="1" x14ac:dyDescent="0.3">
      <c r="A70" s="3">
        <v>45726</v>
      </c>
      <c r="B70" s="3" t="s">
        <v>2858</v>
      </c>
      <c r="C70" s="19" t="s">
        <v>18</v>
      </c>
      <c r="D70" s="19" t="s">
        <v>76</v>
      </c>
      <c r="E70" s="4">
        <v>0.45</v>
      </c>
      <c r="F70" s="42">
        <v>2.7</v>
      </c>
      <c r="G70" s="45">
        <v>274</v>
      </c>
      <c r="H70" s="22">
        <v>1.9</v>
      </c>
      <c r="I70" s="6">
        <f t="shared" si="1"/>
        <v>632.529</v>
      </c>
      <c r="J70" s="7" t="s">
        <v>1297</v>
      </c>
    </row>
    <row r="71" spans="1:10" ht="13.95" customHeight="1" x14ac:dyDescent="0.3">
      <c r="A71" s="3">
        <v>45727</v>
      </c>
      <c r="B71" s="3" t="s">
        <v>2858</v>
      </c>
      <c r="C71" s="19" t="s">
        <v>20</v>
      </c>
      <c r="D71" s="19" t="s">
        <v>76</v>
      </c>
      <c r="E71" s="4">
        <v>0.45</v>
      </c>
      <c r="F71" s="42">
        <v>2.7</v>
      </c>
      <c r="G71" s="45">
        <v>274</v>
      </c>
      <c r="H71" s="22">
        <v>1.9</v>
      </c>
      <c r="I71" s="6">
        <f t="shared" si="1"/>
        <v>632.529</v>
      </c>
      <c r="J71" s="7" t="s">
        <v>1297</v>
      </c>
    </row>
    <row r="72" spans="1:10" ht="13.95" customHeight="1" x14ac:dyDescent="0.3">
      <c r="A72" s="3">
        <v>45728</v>
      </c>
      <c r="B72" s="3" t="s">
        <v>2858</v>
      </c>
      <c r="C72" s="19" t="s">
        <v>5</v>
      </c>
      <c r="D72" s="19" t="s">
        <v>76</v>
      </c>
      <c r="E72" s="4">
        <v>0.5</v>
      </c>
      <c r="F72" s="42">
        <v>2.75</v>
      </c>
      <c r="G72" s="45">
        <v>274</v>
      </c>
      <c r="H72" s="22">
        <v>1.9</v>
      </c>
      <c r="I72" s="6">
        <f t="shared" si="1"/>
        <v>715.82499999999993</v>
      </c>
      <c r="J72" s="7" t="s">
        <v>88</v>
      </c>
    </row>
    <row r="73" spans="1:10" ht="13.95" customHeight="1" x14ac:dyDescent="0.3">
      <c r="A73" s="3">
        <v>45729</v>
      </c>
      <c r="B73" s="3" t="s">
        <v>2858</v>
      </c>
      <c r="C73" s="19" t="s">
        <v>8</v>
      </c>
      <c r="D73" s="19" t="s">
        <v>76</v>
      </c>
      <c r="E73" s="4">
        <v>0.6</v>
      </c>
      <c r="F73" s="42">
        <v>2.85</v>
      </c>
      <c r="G73" s="45">
        <v>274</v>
      </c>
      <c r="H73" s="22">
        <v>1.9</v>
      </c>
      <c r="I73" s="6">
        <f t="shared" si="1"/>
        <v>890.226</v>
      </c>
      <c r="J73" s="7" t="s">
        <v>2466</v>
      </c>
    </row>
    <row r="74" spans="1:10" ht="13.95" customHeight="1" x14ac:dyDescent="0.3">
      <c r="A74" s="3">
        <v>45730</v>
      </c>
      <c r="B74" s="3" t="s">
        <v>2858</v>
      </c>
      <c r="C74" s="19" t="s">
        <v>11</v>
      </c>
      <c r="D74" s="19" t="s">
        <v>14</v>
      </c>
      <c r="E74" s="4">
        <v>0.85</v>
      </c>
      <c r="F74" s="42">
        <v>3.9</v>
      </c>
      <c r="G74" s="45">
        <v>274</v>
      </c>
      <c r="H74" s="22">
        <v>1.9</v>
      </c>
      <c r="I74" s="6">
        <f t="shared" si="1"/>
        <v>1725.7889999999998</v>
      </c>
      <c r="J74" s="7" t="s">
        <v>1302</v>
      </c>
    </row>
    <row r="75" spans="1:10" ht="13.95" customHeight="1" x14ac:dyDescent="0.3">
      <c r="A75" s="3">
        <v>45731</v>
      </c>
      <c r="B75" s="3" t="s">
        <v>2858</v>
      </c>
      <c r="C75" s="19" t="s">
        <v>13</v>
      </c>
      <c r="D75" s="19" t="s">
        <v>14</v>
      </c>
      <c r="E75" s="4">
        <v>1</v>
      </c>
      <c r="F75" s="42">
        <v>4.5</v>
      </c>
      <c r="G75" s="45">
        <v>274</v>
      </c>
      <c r="H75" s="22">
        <v>1.9</v>
      </c>
      <c r="I75" s="6">
        <f t="shared" si="1"/>
        <v>2342.6999999999998</v>
      </c>
      <c r="J75" s="7" t="s">
        <v>2747</v>
      </c>
    </row>
    <row r="76" spans="1:10" ht="13.95" customHeight="1" x14ac:dyDescent="0.3">
      <c r="A76" s="3">
        <v>45732</v>
      </c>
      <c r="B76" s="3" t="s">
        <v>2858</v>
      </c>
      <c r="C76" s="19" t="s">
        <v>16</v>
      </c>
      <c r="D76" s="19" t="s">
        <v>14</v>
      </c>
      <c r="E76" s="4">
        <v>0.9</v>
      </c>
      <c r="F76" s="42">
        <v>3.7</v>
      </c>
      <c r="G76" s="45">
        <v>274</v>
      </c>
      <c r="H76" s="22">
        <v>1.9</v>
      </c>
      <c r="I76" s="6">
        <f t="shared" si="1"/>
        <v>1733.598</v>
      </c>
      <c r="J76" s="7" t="s">
        <v>2207</v>
      </c>
    </row>
    <row r="77" spans="1:10" ht="13.95" customHeight="1" x14ac:dyDescent="0.3">
      <c r="A77" s="3">
        <v>45733</v>
      </c>
      <c r="B77" s="3" t="s">
        <v>2858</v>
      </c>
      <c r="C77" s="19" t="s">
        <v>18</v>
      </c>
      <c r="D77" s="19" t="s">
        <v>76</v>
      </c>
      <c r="E77" s="4">
        <v>0.5</v>
      </c>
      <c r="F77" s="42">
        <v>2.7</v>
      </c>
      <c r="G77" s="45">
        <v>274</v>
      </c>
      <c r="H77" s="22">
        <v>1.9</v>
      </c>
      <c r="I77" s="6">
        <f t="shared" si="1"/>
        <v>702.81000000000006</v>
      </c>
      <c r="J77" s="7" t="s">
        <v>88</v>
      </c>
    </row>
    <row r="78" spans="1:10" ht="13.95" customHeight="1" x14ac:dyDescent="0.3">
      <c r="A78" s="3">
        <v>45734</v>
      </c>
      <c r="B78" s="3" t="s">
        <v>2858</v>
      </c>
      <c r="C78" s="19" t="s">
        <v>20</v>
      </c>
      <c r="D78" s="19" t="s">
        <v>76</v>
      </c>
      <c r="E78" s="4">
        <v>0.5</v>
      </c>
      <c r="F78" s="42">
        <v>2.7</v>
      </c>
      <c r="G78" s="45">
        <v>274</v>
      </c>
      <c r="H78" s="22">
        <v>1.9</v>
      </c>
      <c r="I78" s="6">
        <f t="shared" si="1"/>
        <v>702.81000000000006</v>
      </c>
      <c r="J78" s="7" t="s">
        <v>88</v>
      </c>
    </row>
    <row r="79" spans="1:10" ht="13.95" customHeight="1" x14ac:dyDescent="0.3">
      <c r="A79" s="3">
        <v>45735</v>
      </c>
      <c r="B79" s="3" t="s">
        <v>2858</v>
      </c>
      <c r="C79" s="19" t="s">
        <v>5</v>
      </c>
      <c r="D79" s="19" t="s">
        <v>994</v>
      </c>
      <c r="E79" s="4">
        <v>0.75</v>
      </c>
      <c r="F79" s="42">
        <v>3.3</v>
      </c>
      <c r="G79" s="45">
        <v>274</v>
      </c>
      <c r="H79" s="22">
        <v>1.9</v>
      </c>
      <c r="I79" s="6">
        <f t="shared" si="1"/>
        <v>1288.4849999999999</v>
      </c>
      <c r="J79" s="7" t="s">
        <v>2739</v>
      </c>
    </row>
    <row r="80" spans="1:10" ht="13.95" customHeight="1" x14ac:dyDescent="0.3">
      <c r="A80" s="3">
        <v>45736</v>
      </c>
      <c r="B80" s="3" t="s">
        <v>2858</v>
      </c>
      <c r="C80" s="19" t="s">
        <v>8</v>
      </c>
      <c r="D80" s="19" t="s">
        <v>2740</v>
      </c>
      <c r="E80" s="4">
        <v>1</v>
      </c>
      <c r="F80" s="42">
        <v>4.7</v>
      </c>
      <c r="G80" s="45">
        <v>274</v>
      </c>
      <c r="H80" s="22">
        <v>1.9</v>
      </c>
      <c r="I80" s="6">
        <f t="shared" si="1"/>
        <v>2446.8199999999997</v>
      </c>
      <c r="J80" s="7" t="s">
        <v>1859</v>
      </c>
    </row>
    <row r="81" spans="1:10" ht="13.95" customHeight="1" x14ac:dyDescent="0.3">
      <c r="A81" s="3">
        <v>45737</v>
      </c>
      <c r="B81" s="3" t="s">
        <v>2858</v>
      </c>
      <c r="C81" s="19" t="s">
        <v>11</v>
      </c>
      <c r="D81" s="19" t="s">
        <v>14</v>
      </c>
      <c r="E81" s="4">
        <v>0.9</v>
      </c>
      <c r="F81" s="42">
        <v>4</v>
      </c>
      <c r="G81" s="45">
        <v>274</v>
      </c>
      <c r="H81" s="22">
        <v>1.9</v>
      </c>
      <c r="I81" s="6">
        <f t="shared" si="1"/>
        <v>1874.1599999999999</v>
      </c>
      <c r="J81" s="7" t="s">
        <v>197</v>
      </c>
    </row>
    <row r="82" spans="1:10" ht="13.95" customHeight="1" x14ac:dyDescent="0.3">
      <c r="A82" s="3">
        <v>45738</v>
      </c>
      <c r="B82" s="3" t="s">
        <v>2858</v>
      </c>
      <c r="C82" s="19" t="s">
        <v>13</v>
      </c>
      <c r="D82" s="19" t="s">
        <v>14</v>
      </c>
      <c r="E82" s="4">
        <v>0.95</v>
      </c>
      <c r="F82" s="42">
        <v>4.55</v>
      </c>
      <c r="G82" s="45">
        <v>274</v>
      </c>
      <c r="H82" s="22">
        <v>1.9</v>
      </c>
      <c r="I82" s="6">
        <f t="shared" si="1"/>
        <v>2250.2934999999998</v>
      </c>
      <c r="J82" s="7" t="s">
        <v>2748</v>
      </c>
    </row>
    <row r="83" spans="1:10" ht="13.95" customHeight="1" x14ac:dyDescent="0.3">
      <c r="A83" s="3">
        <v>45739</v>
      </c>
      <c r="B83" s="3" t="s">
        <v>2858</v>
      </c>
      <c r="C83" s="19" t="s">
        <v>16</v>
      </c>
      <c r="D83" s="19" t="s">
        <v>14</v>
      </c>
      <c r="E83" s="4">
        <v>0.85</v>
      </c>
      <c r="F83" s="42">
        <v>3.75</v>
      </c>
      <c r="G83" s="45">
        <v>274</v>
      </c>
      <c r="H83" s="22">
        <v>1.9</v>
      </c>
      <c r="I83" s="6">
        <f t="shared" si="1"/>
        <v>1659.4124999999999</v>
      </c>
      <c r="J83" s="7" t="s">
        <v>2741</v>
      </c>
    </row>
    <row r="84" spans="1:10" ht="13.95" customHeight="1" x14ac:dyDescent="0.3">
      <c r="A84" s="3">
        <v>45740</v>
      </c>
      <c r="B84" s="3" t="s">
        <v>2858</v>
      </c>
      <c r="C84" s="19" t="s">
        <v>18</v>
      </c>
      <c r="D84" s="19" t="s">
        <v>76</v>
      </c>
      <c r="E84" s="4">
        <v>0.55000000000000004</v>
      </c>
      <c r="F84" s="42">
        <v>2.75</v>
      </c>
      <c r="G84" s="45">
        <v>274</v>
      </c>
      <c r="H84" s="22">
        <v>1.9</v>
      </c>
      <c r="I84" s="6">
        <f t="shared" si="1"/>
        <v>787.40750000000014</v>
      </c>
      <c r="J84" s="7" t="s">
        <v>88</v>
      </c>
    </row>
    <row r="85" spans="1:10" ht="13.95" customHeight="1" x14ac:dyDescent="0.3">
      <c r="A85" s="3">
        <v>45741</v>
      </c>
      <c r="B85" s="3" t="s">
        <v>2858</v>
      </c>
      <c r="C85" s="19" t="s">
        <v>20</v>
      </c>
      <c r="D85" s="19" t="s">
        <v>76</v>
      </c>
      <c r="E85" s="4">
        <v>0.55000000000000004</v>
      </c>
      <c r="F85" s="42">
        <v>2.75</v>
      </c>
      <c r="G85" s="45">
        <v>274</v>
      </c>
      <c r="H85" s="22">
        <v>1.9</v>
      </c>
      <c r="I85" s="6">
        <f t="shared" si="1"/>
        <v>787.40750000000014</v>
      </c>
      <c r="J85" s="7" t="s">
        <v>88</v>
      </c>
    </row>
    <row r="86" spans="1:10" ht="13.95" customHeight="1" x14ac:dyDescent="0.3">
      <c r="A86" s="3">
        <v>45742</v>
      </c>
      <c r="B86" s="3" t="s">
        <v>2858</v>
      </c>
      <c r="C86" s="19" t="s">
        <v>5</v>
      </c>
      <c r="D86" s="19" t="s">
        <v>2742</v>
      </c>
      <c r="E86" s="4">
        <v>1</v>
      </c>
      <c r="F86" s="42">
        <v>4.8499999999999996</v>
      </c>
      <c r="G86" s="45">
        <v>274</v>
      </c>
      <c r="H86" s="22">
        <v>1.9</v>
      </c>
      <c r="I86" s="6">
        <f t="shared" si="1"/>
        <v>2524.9099999999994</v>
      </c>
      <c r="J86" s="7" t="s">
        <v>2749</v>
      </c>
    </row>
    <row r="87" spans="1:10" ht="13.95" customHeight="1" x14ac:dyDescent="0.3">
      <c r="A87" s="3">
        <v>45743</v>
      </c>
      <c r="B87" s="3" t="s">
        <v>2858</v>
      </c>
      <c r="C87" s="19" t="s">
        <v>8</v>
      </c>
      <c r="D87" s="19" t="s">
        <v>76</v>
      </c>
      <c r="E87" s="4">
        <v>0.7</v>
      </c>
      <c r="F87" s="42">
        <v>3</v>
      </c>
      <c r="G87" s="45">
        <v>274</v>
      </c>
      <c r="H87" s="22">
        <v>1.9</v>
      </c>
      <c r="I87" s="6">
        <f t="shared" si="1"/>
        <v>1093.26</v>
      </c>
      <c r="J87" s="7" t="s">
        <v>2641</v>
      </c>
    </row>
    <row r="88" spans="1:10" ht="13.95" customHeight="1" x14ac:dyDescent="0.3">
      <c r="A88" s="3">
        <v>45744</v>
      </c>
      <c r="B88" s="3" t="s">
        <v>2858</v>
      </c>
      <c r="C88" s="19" t="s">
        <v>11</v>
      </c>
      <c r="D88" s="19" t="s">
        <v>764</v>
      </c>
      <c r="E88" s="4">
        <v>0.8</v>
      </c>
      <c r="F88" s="42">
        <v>3.4</v>
      </c>
      <c r="G88" s="45">
        <v>274</v>
      </c>
      <c r="H88" s="22">
        <v>1.9</v>
      </c>
      <c r="I88" s="6">
        <f t="shared" si="1"/>
        <v>1416.0320000000002</v>
      </c>
      <c r="J88" s="7" t="s">
        <v>1440</v>
      </c>
    </row>
    <row r="89" spans="1:10" ht="13.95" customHeight="1" x14ac:dyDescent="0.3">
      <c r="A89" s="3">
        <v>45745</v>
      </c>
      <c r="B89" s="3" t="s">
        <v>2858</v>
      </c>
      <c r="C89" s="19" t="s">
        <v>13</v>
      </c>
      <c r="D89" s="19" t="s">
        <v>904</v>
      </c>
      <c r="E89" s="4">
        <v>0.9</v>
      </c>
      <c r="F89" s="42">
        <v>3.5</v>
      </c>
      <c r="G89" s="45">
        <v>274</v>
      </c>
      <c r="H89" s="22">
        <v>1.9</v>
      </c>
      <c r="I89" s="6">
        <f t="shared" si="1"/>
        <v>1639.8899999999999</v>
      </c>
      <c r="J89" s="7" t="s">
        <v>2743</v>
      </c>
    </row>
    <row r="90" spans="1:10" ht="13.95" customHeight="1" x14ac:dyDescent="0.3">
      <c r="A90" s="3">
        <v>45746</v>
      </c>
      <c r="B90" s="3" t="s">
        <v>2858</v>
      </c>
      <c r="C90" s="19" t="s">
        <v>16</v>
      </c>
      <c r="D90" s="19" t="s">
        <v>2744</v>
      </c>
      <c r="E90" s="4">
        <v>1</v>
      </c>
      <c r="F90" s="42">
        <v>4.95</v>
      </c>
      <c r="G90" s="45">
        <v>274</v>
      </c>
      <c r="H90" s="22">
        <v>1.9</v>
      </c>
      <c r="I90" s="6">
        <f t="shared" si="1"/>
        <v>2576.9699999999998</v>
      </c>
      <c r="J90" s="7" t="s">
        <v>2750</v>
      </c>
    </row>
    <row r="91" spans="1:10" ht="13.95" customHeight="1" x14ac:dyDescent="0.3">
      <c r="A91" s="3">
        <v>45747</v>
      </c>
      <c r="B91" s="3" t="s">
        <v>2858</v>
      </c>
      <c r="C91" s="19" t="s">
        <v>18</v>
      </c>
      <c r="D91" s="19" t="s">
        <v>2656</v>
      </c>
      <c r="E91" s="4">
        <v>1</v>
      </c>
      <c r="F91" s="42">
        <v>4.3</v>
      </c>
      <c r="G91" s="45">
        <v>274</v>
      </c>
      <c r="H91" s="22">
        <v>1.9</v>
      </c>
      <c r="I91" s="6">
        <f t="shared" si="1"/>
        <v>2238.58</v>
      </c>
      <c r="J91" s="7" t="s">
        <v>576</v>
      </c>
    </row>
    <row r="92" spans="1:10" ht="13.95" customHeight="1" x14ac:dyDescent="0.3">
      <c r="A92" s="3">
        <v>45748</v>
      </c>
      <c r="B92" s="3" t="s">
        <v>2858</v>
      </c>
      <c r="C92" s="19" t="s">
        <v>20</v>
      </c>
      <c r="D92" s="19" t="s">
        <v>9</v>
      </c>
      <c r="E92" s="4">
        <v>0.5</v>
      </c>
      <c r="F92" s="42">
        <v>2.25</v>
      </c>
      <c r="G92" s="45">
        <v>274</v>
      </c>
      <c r="H92" s="22">
        <v>2</v>
      </c>
      <c r="I92" s="6">
        <f t="shared" si="1"/>
        <v>616.5</v>
      </c>
      <c r="J92" s="7" t="s">
        <v>2751</v>
      </c>
    </row>
    <row r="93" spans="1:10" ht="13.95" customHeight="1" x14ac:dyDescent="0.3">
      <c r="A93" s="3">
        <v>45749</v>
      </c>
      <c r="B93" s="3" t="s">
        <v>2858</v>
      </c>
      <c r="C93" s="19" t="s">
        <v>5</v>
      </c>
      <c r="D93" s="19" t="s">
        <v>9</v>
      </c>
      <c r="E93" s="4">
        <v>0.5</v>
      </c>
      <c r="F93" s="42">
        <v>2.25</v>
      </c>
      <c r="G93" s="45">
        <v>274</v>
      </c>
      <c r="H93" s="22">
        <v>2</v>
      </c>
      <c r="I93" s="6">
        <f t="shared" si="1"/>
        <v>616.5</v>
      </c>
      <c r="J93" s="7" t="s">
        <v>2563</v>
      </c>
    </row>
    <row r="94" spans="1:10" ht="13.95" customHeight="1" x14ac:dyDescent="0.3">
      <c r="A94" s="3">
        <v>45750</v>
      </c>
      <c r="B94" s="3" t="s">
        <v>2858</v>
      </c>
      <c r="C94" s="19" t="s">
        <v>8</v>
      </c>
      <c r="D94" s="19" t="s">
        <v>1263</v>
      </c>
      <c r="E94" s="4">
        <v>0.7</v>
      </c>
      <c r="F94" s="42">
        <v>2.6</v>
      </c>
      <c r="G94" s="45">
        <v>274</v>
      </c>
      <c r="H94" s="22">
        <v>2</v>
      </c>
      <c r="I94" s="6">
        <f t="shared" si="1"/>
        <v>997.3599999999999</v>
      </c>
      <c r="J94" s="7" t="s">
        <v>2752</v>
      </c>
    </row>
    <row r="95" spans="1:10" ht="13.95" customHeight="1" x14ac:dyDescent="0.3">
      <c r="A95" s="3">
        <v>45751</v>
      </c>
      <c r="B95" s="3" t="s">
        <v>2858</v>
      </c>
      <c r="C95" s="19" t="s">
        <v>11</v>
      </c>
      <c r="D95" s="19" t="s">
        <v>14</v>
      </c>
      <c r="E95" s="4">
        <v>0.75</v>
      </c>
      <c r="F95" s="42">
        <v>3.15</v>
      </c>
      <c r="G95" s="45">
        <v>274</v>
      </c>
      <c r="H95" s="22">
        <v>2</v>
      </c>
      <c r="I95" s="6">
        <f t="shared" si="1"/>
        <v>1294.6499999999999</v>
      </c>
      <c r="J95" s="7" t="s">
        <v>282</v>
      </c>
    </row>
    <row r="96" spans="1:10" ht="13.95" customHeight="1" x14ac:dyDescent="0.3">
      <c r="A96" s="3">
        <v>45752</v>
      </c>
      <c r="B96" s="3" t="s">
        <v>2858</v>
      </c>
      <c r="C96" s="19" t="s">
        <v>13</v>
      </c>
      <c r="D96" s="19" t="s">
        <v>14</v>
      </c>
      <c r="E96" s="4">
        <v>0.85</v>
      </c>
      <c r="F96" s="42">
        <v>3.7</v>
      </c>
      <c r="G96" s="45">
        <v>274</v>
      </c>
      <c r="H96" s="22">
        <v>2</v>
      </c>
      <c r="I96" s="6">
        <f t="shared" si="1"/>
        <v>1723.46</v>
      </c>
      <c r="J96" s="7" t="s">
        <v>2413</v>
      </c>
    </row>
    <row r="97" spans="1:10" ht="13.95" customHeight="1" x14ac:dyDescent="0.3">
      <c r="A97" s="3">
        <v>45753</v>
      </c>
      <c r="B97" s="3" t="s">
        <v>2858</v>
      </c>
      <c r="C97" s="19" t="s">
        <v>16</v>
      </c>
      <c r="D97" s="19" t="s">
        <v>14</v>
      </c>
      <c r="E97" s="4">
        <v>0.8</v>
      </c>
      <c r="F97" s="42">
        <v>3.3</v>
      </c>
      <c r="G97" s="45">
        <v>274</v>
      </c>
      <c r="H97" s="22">
        <v>2</v>
      </c>
      <c r="I97" s="6">
        <f t="shared" si="1"/>
        <v>1446.72</v>
      </c>
      <c r="J97" s="7" t="s">
        <v>238</v>
      </c>
    </row>
    <row r="98" spans="1:10" ht="13.95" customHeight="1" x14ac:dyDescent="0.3">
      <c r="A98" s="3">
        <v>45754</v>
      </c>
      <c r="B98" s="3" t="s">
        <v>2858</v>
      </c>
      <c r="C98" s="19" t="s">
        <v>18</v>
      </c>
      <c r="D98" s="19" t="s">
        <v>9</v>
      </c>
      <c r="E98" s="4">
        <v>0.55000000000000004</v>
      </c>
      <c r="F98" s="42">
        <v>2.2999999999999998</v>
      </c>
      <c r="G98" s="45">
        <v>274</v>
      </c>
      <c r="H98" s="22">
        <v>2</v>
      </c>
      <c r="I98" s="6">
        <f t="shared" si="1"/>
        <v>693.22</v>
      </c>
      <c r="J98" s="7" t="s">
        <v>88</v>
      </c>
    </row>
    <row r="99" spans="1:10" ht="13.95" customHeight="1" x14ac:dyDescent="0.3">
      <c r="A99" s="3">
        <v>45755</v>
      </c>
      <c r="B99" s="3" t="s">
        <v>2858</v>
      </c>
      <c r="C99" s="19" t="s">
        <v>20</v>
      </c>
      <c r="D99" s="19" t="s">
        <v>9</v>
      </c>
      <c r="E99" s="4">
        <v>0.55000000000000004</v>
      </c>
      <c r="F99" s="42">
        <v>2.2999999999999998</v>
      </c>
      <c r="G99" s="45">
        <v>274</v>
      </c>
      <c r="H99" s="22">
        <v>2</v>
      </c>
      <c r="I99" s="6">
        <f t="shared" si="1"/>
        <v>693.22</v>
      </c>
      <c r="J99" s="7" t="s">
        <v>88</v>
      </c>
    </row>
    <row r="100" spans="1:10" ht="13.95" customHeight="1" x14ac:dyDescent="0.3">
      <c r="A100" s="3">
        <v>45756</v>
      </c>
      <c r="B100" s="3" t="s">
        <v>2858</v>
      </c>
      <c r="C100" s="19" t="s">
        <v>5</v>
      </c>
      <c r="D100" s="19" t="s">
        <v>2753</v>
      </c>
      <c r="E100" s="4">
        <v>0.8</v>
      </c>
      <c r="F100" s="42">
        <v>3.6</v>
      </c>
      <c r="G100" s="45">
        <v>274</v>
      </c>
      <c r="H100" s="22">
        <v>2</v>
      </c>
      <c r="I100" s="6">
        <f t="shared" si="1"/>
        <v>1578.2400000000002</v>
      </c>
      <c r="J100" s="7" t="s">
        <v>2754</v>
      </c>
    </row>
    <row r="101" spans="1:10" ht="13.95" customHeight="1" x14ac:dyDescent="0.3">
      <c r="A101" s="3">
        <v>45757</v>
      </c>
      <c r="B101" s="3" t="s">
        <v>2858</v>
      </c>
      <c r="C101" s="19" t="s">
        <v>8</v>
      </c>
      <c r="D101" s="19" t="s">
        <v>9</v>
      </c>
      <c r="E101" s="4">
        <v>0.6</v>
      </c>
      <c r="F101" s="42">
        <v>2.4</v>
      </c>
      <c r="G101" s="45">
        <v>274</v>
      </c>
      <c r="H101" s="22">
        <v>2</v>
      </c>
      <c r="I101" s="6">
        <f t="shared" si="1"/>
        <v>789.12</v>
      </c>
      <c r="J101" s="7" t="s">
        <v>2466</v>
      </c>
    </row>
    <row r="102" spans="1:10" ht="13.95" customHeight="1" x14ac:dyDescent="0.3">
      <c r="A102" s="3">
        <v>45758</v>
      </c>
      <c r="B102" s="3" t="s">
        <v>2858</v>
      </c>
      <c r="C102" s="19" t="s">
        <v>11</v>
      </c>
      <c r="D102" s="19" t="s">
        <v>658</v>
      </c>
      <c r="E102" s="4">
        <v>0.75</v>
      </c>
      <c r="F102" s="42">
        <v>3.1</v>
      </c>
      <c r="G102" s="45">
        <v>274</v>
      </c>
      <c r="H102" s="22">
        <v>2</v>
      </c>
      <c r="I102" s="6">
        <f t="shared" si="1"/>
        <v>1274.1000000000001</v>
      </c>
      <c r="J102" s="7" t="s">
        <v>2755</v>
      </c>
    </row>
    <row r="103" spans="1:10" ht="13.95" customHeight="1" x14ac:dyDescent="0.3">
      <c r="A103" s="3">
        <v>45759</v>
      </c>
      <c r="B103" s="3" t="s">
        <v>2858</v>
      </c>
      <c r="C103" s="19" t="s">
        <v>13</v>
      </c>
      <c r="D103" s="19" t="s">
        <v>658</v>
      </c>
      <c r="E103" s="4">
        <v>0.9</v>
      </c>
      <c r="F103" s="42">
        <v>3.85</v>
      </c>
      <c r="G103" s="45">
        <v>274</v>
      </c>
      <c r="H103" s="22">
        <v>2</v>
      </c>
      <c r="I103" s="6">
        <f t="shared" si="1"/>
        <v>1898.82</v>
      </c>
      <c r="J103" s="7" t="s">
        <v>2727</v>
      </c>
    </row>
    <row r="104" spans="1:10" ht="13.95" customHeight="1" x14ac:dyDescent="0.3">
      <c r="A104" s="3">
        <v>45760</v>
      </c>
      <c r="B104" s="3" t="s">
        <v>2858</v>
      </c>
      <c r="C104" s="19" t="s">
        <v>16</v>
      </c>
      <c r="D104" s="19" t="s">
        <v>658</v>
      </c>
      <c r="E104" s="4">
        <v>0.85</v>
      </c>
      <c r="F104" s="42">
        <v>3.45</v>
      </c>
      <c r="G104" s="45">
        <v>274</v>
      </c>
      <c r="H104" s="22">
        <v>2</v>
      </c>
      <c r="I104" s="6">
        <f t="shared" si="1"/>
        <v>1607.0100000000002</v>
      </c>
      <c r="J104" s="7" t="s">
        <v>1911</v>
      </c>
    </row>
    <row r="105" spans="1:10" ht="13.95" customHeight="1" x14ac:dyDescent="0.3">
      <c r="A105" s="3">
        <v>45761</v>
      </c>
      <c r="B105" s="3" t="s">
        <v>2858</v>
      </c>
      <c r="C105" s="19" t="s">
        <v>18</v>
      </c>
      <c r="D105" s="19" t="s">
        <v>658</v>
      </c>
      <c r="E105" s="4">
        <v>0.8</v>
      </c>
      <c r="F105" s="42">
        <v>2.75</v>
      </c>
      <c r="G105" s="45">
        <v>274</v>
      </c>
      <c r="H105" s="22">
        <v>2</v>
      </c>
      <c r="I105" s="6">
        <f t="shared" si="1"/>
        <v>1205.6000000000001</v>
      </c>
      <c r="J105" s="7" t="s">
        <v>2756</v>
      </c>
    </row>
    <row r="106" spans="1:10" ht="13.95" customHeight="1" x14ac:dyDescent="0.3">
      <c r="A106" s="3">
        <v>45765</v>
      </c>
      <c r="B106" s="3" t="s">
        <v>2858</v>
      </c>
      <c r="C106" s="19" t="s">
        <v>11</v>
      </c>
      <c r="D106" s="19" t="s">
        <v>2757</v>
      </c>
      <c r="E106" s="4">
        <v>0.85</v>
      </c>
      <c r="F106" s="42">
        <v>3.2</v>
      </c>
      <c r="G106" s="45">
        <v>274</v>
      </c>
      <c r="H106" s="22">
        <v>2</v>
      </c>
      <c r="I106" s="6">
        <f t="shared" si="1"/>
        <v>1490.5600000000002</v>
      </c>
      <c r="J106" s="7" t="s">
        <v>1332</v>
      </c>
    </row>
    <row r="107" spans="1:10" ht="13.95" customHeight="1" x14ac:dyDescent="0.3">
      <c r="A107" s="3">
        <v>45766</v>
      </c>
      <c r="B107" s="3" t="s">
        <v>2858</v>
      </c>
      <c r="C107" s="19" t="s">
        <v>13</v>
      </c>
      <c r="D107" s="19" t="s">
        <v>2758</v>
      </c>
      <c r="E107" s="4">
        <v>1</v>
      </c>
      <c r="F107" s="42">
        <v>3.9</v>
      </c>
      <c r="G107" s="45">
        <v>274</v>
      </c>
      <c r="H107" s="22">
        <v>2</v>
      </c>
      <c r="I107" s="6">
        <f t="shared" si="1"/>
        <v>2137.1999999999998</v>
      </c>
      <c r="J107" s="7" t="s">
        <v>2759</v>
      </c>
    </row>
    <row r="108" spans="1:10" ht="13.95" customHeight="1" x14ac:dyDescent="0.3">
      <c r="A108" s="3">
        <v>45767</v>
      </c>
      <c r="B108" s="3" t="s">
        <v>2858</v>
      </c>
      <c r="C108" s="19" t="s">
        <v>16</v>
      </c>
      <c r="D108" s="19" t="s">
        <v>1774</v>
      </c>
      <c r="E108" s="4">
        <v>1</v>
      </c>
      <c r="F108" s="42">
        <v>4.8499999999999996</v>
      </c>
      <c r="G108" s="45">
        <v>274</v>
      </c>
      <c r="H108" s="22">
        <v>2</v>
      </c>
      <c r="I108" s="6">
        <f t="shared" si="1"/>
        <v>2657.7999999999997</v>
      </c>
      <c r="J108" s="7" t="s">
        <v>2760</v>
      </c>
    </row>
    <row r="109" spans="1:10" ht="13.95" customHeight="1" x14ac:dyDescent="0.3">
      <c r="A109" s="3">
        <v>45768</v>
      </c>
      <c r="B109" s="3" t="s">
        <v>2858</v>
      </c>
      <c r="C109" s="19" t="s">
        <v>18</v>
      </c>
      <c r="D109" s="19" t="s">
        <v>2761</v>
      </c>
      <c r="E109" s="4">
        <v>0.9</v>
      </c>
      <c r="F109" s="42">
        <v>3.5</v>
      </c>
      <c r="G109" s="45">
        <v>274</v>
      </c>
      <c r="H109" s="22">
        <v>2</v>
      </c>
      <c r="I109" s="6">
        <f t="shared" si="1"/>
        <v>1726.2</v>
      </c>
      <c r="J109" s="7" t="s">
        <v>2762</v>
      </c>
    </row>
    <row r="110" spans="1:10" ht="13.95" customHeight="1" x14ac:dyDescent="0.3">
      <c r="A110" s="3">
        <v>45769</v>
      </c>
      <c r="B110" s="3" t="s">
        <v>2858</v>
      </c>
      <c r="C110" s="19" t="s">
        <v>20</v>
      </c>
      <c r="D110" s="19" t="s">
        <v>658</v>
      </c>
      <c r="E110" s="4">
        <v>0.7</v>
      </c>
      <c r="F110" s="42">
        <v>2.5</v>
      </c>
      <c r="G110" s="45">
        <v>274</v>
      </c>
      <c r="H110" s="22">
        <v>2</v>
      </c>
      <c r="I110" s="6">
        <f t="shared" si="1"/>
        <v>958.99999999999989</v>
      </c>
      <c r="J110" s="7" t="s">
        <v>2763</v>
      </c>
    </row>
    <row r="111" spans="1:10" ht="13.95" customHeight="1" x14ac:dyDescent="0.3">
      <c r="A111" s="3">
        <v>45770</v>
      </c>
      <c r="B111" s="3" t="s">
        <v>2858</v>
      </c>
      <c r="C111" s="19" t="s">
        <v>5</v>
      </c>
      <c r="D111" s="19" t="s">
        <v>658</v>
      </c>
      <c r="E111" s="4">
        <v>0.7</v>
      </c>
      <c r="F111" s="42">
        <v>2.5</v>
      </c>
      <c r="G111" s="45">
        <v>274</v>
      </c>
      <c r="H111" s="22">
        <v>2</v>
      </c>
      <c r="I111" s="6">
        <f t="shared" si="1"/>
        <v>958.99999999999989</v>
      </c>
      <c r="J111" s="7" t="s">
        <v>88</v>
      </c>
    </row>
    <row r="112" spans="1:10" ht="13.95" customHeight="1" x14ac:dyDescent="0.3">
      <c r="A112" s="3">
        <v>45771</v>
      </c>
      <c r="B112" s="3" t="s">
        <v>2858</v>
      </c>
      <c r="C112" s="19" t="s">
        <v>8</v>
      </c>
      <c r="D112" s="19" t="s">
        <v>1263</v>
      </c>
      <c r="E112" s="4">
        <v>0.8</v>
      </c>
      <c r="F112" s="42">
        <v>2.7</v>
      </c>
      <c r="G112" s="45">
        <v>274</v>
      </c>
      <c r="H112" s="22">
        <v>2</v>
      </c>
      <c r="I112" s="6">
        <f t="shared" si="1"/>
        <v>1183.68</v>
      </c>
      <c r="J112" s="7" t="s">
        <v>1376</v>
      </c>
    </row>
    <row r="113" spans="1:10" ht="13.95" customHeight="1" x14ac:dyDescent="0.3">
      <c r="A113" s="3">
        <v>45772</v>
      </c>
      <c r="B113" s="3" t="s">
        <v>2858</v>
      </c>
      <c r="C113" s="19" t="s">
        <v>11</v>
      </c>
      <c r="D113" s="19" t="s">
        <v>14</v>
      </c>
      <c r="E113" s="4">
        <v>0.85</v>
      </c>
      <c r="F113" s="42">
        <v>3.25</v>
      </c>
      <c r="G113" s="45">
        <v>274</v>
      </c>
      <c r="H113" s="22">
        <v>2</v>
      </c>
      <c r="I113" s="6">
        <f t="shared" si="1"/>
        <v>1513.8500000000001</v>
      </c>
      <c r="J113" s="7" t="s">
        <v>282</v>
      </c>
    </row>
    <row r="114" spans="1:10" ht="13.95" customHeight="1" x14ac:dyDescent="0.3">
      <c r="A114" s="3">
        <v>45773</v>
      </c>
      <c r="B114" s="3" t="s">
        <v>2858</v>
      </c>
      <c r="C114" s="19" t="s">
        <v>13</v>
      </c>
      <c r="D114" s="19" t="s">
        <v>14</v>
      </c>
      <c r="E114" s="4">
        <v>0.95</v>
      </c>
      <c r="F114" s="42">
        <v>3.95</v>
      </c>
      <c r="G114" s="45">
        <v>274</v>
      </c>
      <c r="H114" s="22">
        <v>2</v>
      </c>
      <c r="I114" s="6">
        <f t="shared" si="1"/>
        <v>2056.3700000000003</v>
      </c>
      <c r="J114" s="7" t="s">
        <v>2764</v>
      </c>
    </row>
    <row r="115" spans="1:10" ht="13.95" customHeight="1" x14ac:dyDescent="0.3">
      <c r="A115" s="3">
        <v>45774</v>
      </c>
      <c r="B115" s="3" t="s">
        <v>2858</v>
      </c>
      <c r="C115" s="19" t="s">
        <v>16</v>
      </c>
      <c r="D115" s="19" t="s">
        <v>14</v>
      </c>
      <c r="E115" s="4">
        <v>0.9</v>
      </c>
      <c r="F115" s="42">
        <v>3.5</v>
      </c>
      <c r="G115" s="45">
        <v>274</v>
      </c>
      <c r="H115" s="22">
        <v>2</v>
      </c>
      <c r="I115" s="6">
        <f t="shared" si="1"/>
        <v>1726.2</v>
      </c>
      <c r="J115" s="7" t="s">
        <v>159</v>
      </c>
    </row>
    <row r="116" spans="1:10" ht="13.95" customHeight="1" x14ac:dyDescent="0.3">
      <c r="A116" s="3">
        <v>45775</v>
      </c>
      <c r="B116" s="3" t="s">
        <v>2858</v>
      </c>
      <c r="C116" s="19" t="s">
        <v>18</v>
      </c>
      <c r="D116" s="19" t="s">
        <v>9</v>
      </c>
      <c r="E116" s="4">
        <v>0.6</v>
      </c>
      <c r="F116" s="42">
        <v>2.2999999999999998</v>
      </c>
      <c r="G116" s="45">
        <v>274</v>
      </c>
      <c r="H116" s="22">
        <v>2</v>
      </c>
      <c r="I116" s="6">
        <f t="shared" si="1"/>
        <v>756.24</v>
      </c>
      <c r="J116" s="7" t="s">
        <v>1297</v>
      </c>
    </row>
    <row r="117" spans="1:10" ht="13.95" customHeight="1" x14ac:dyDescent="0.3">
      <c r="A117" s="3">
        <v>45776</v>
      </c>
      <c r="B117" s="3" t="s">
        <v>2858</v>
      </c>
      <c r="C117" s="19" t="s">
        <v>20</v>
      </c>
      <c r="D117" s="19" t="s">
        <v>9</v>
      </c>
      <c r="E117" s="4">
        <v>0.6</v>
      </c>
      <c r="F117" s="42">
        <v>2.2999999999999998</v>
      </c>
      <c r="G117" s="45">
        <v>274</v>
      </c>
      <c r="H117" s="22">
        <v>2</v>
      </c>
      <c r="I117" s="6">
        <f t="shared" si="1"/>
        <v>756.24</v>
      </c>
      <c r="J117" s="7" t="s">
        <v>88</v>
      </c>
    </row>
    <row r="118" spans="1:10" ht="13.95" customHeight="1" x14ac:dyDescent="0.3">
      <c r="A118" s="3">
        <v>45777</v>
      </c>
      <c r="B118" s="3" t="s">
        <v>2858</v>
      </c>
      <c r="C118" s="19" t="s">
        <v>5</v>
      </c>
      <c r="D118" s="19" t="s">
        <v>994</v>
      </c>
      <c r="E118" s="4">
        <v>0.8</v>
      </c>
      <c r="F118" s="42">
        <v>2.8</v>
      </c>
      <c r="G118" s="45">
        <v>274</v>
      </c>
      <c r="H118" s="22">
        <v>2</v>
      </c>
      <c r="I118" s="6">
        <f t="shared" si="1"/>
        <v>1227.52</v>
      </c>
      <c r="J118" s="7" t="s">
        <v>2765</v>
      </c>
    </row>
    <row r="119" spans="1:10" ht="13.95" customHeight="1" x14ac:dyDescent="0.3">
      <c r="A119" s="3">
        <v>45778</v>
      </c>
      <c r="B119" s="3" t="s">
        <v>2858</v>
      </c>
      <c r="C119" s="19" t="s">
        <v>8</v>
      </c>
      <c r="D119" s="19" t="s">
        <v>2766</v>
      </c>
      <c r="E119" s="4">
        <v>0.9</v>
      </c>
      <c r="F119" s="42">
        <v>3.8</v>
      </c>
      <c r="G119" s="45">
        <v>274</v>
      </c>
      <c r="H119" s="22">
        <v>2</v>
      </c>
      <c r="I119" s="6">
        <f t="shared" si="1"/>
        <v>1874.1599999999999</v>
      </c>
      <c r="J119" s="7" t="s">
        <v>2767</v>
      </c>
    </row>
    <row r="120" spans="1:10" ht="13.95" customHeight="1" x14ac:dyDescent="0.3">
      <c r="A120" s="3">
        <v>45779</v>
      </c>
      <c r="B120" s="3" t="s">
        <v>2858</v>
      </c>
      <c r="C120" s="19" t="s">
        <v>11</v>
      </c>
      <c r="D120" s="19" t="s">
        <v>229</v>
      </c>
      <c r="E120" s="4">
        <v>0.8</v>
      </c>
      <c r="F120" s="42">
        <v>3.1</v>
      </c>
      <c r="G120" s="45">
        <v>274</v>
      </c>
      <c r="H120" s="22">
        <v>2</v>
      </c>
      <c r="I120" s="6">
        <f t="shared" si="1"/>
        <v>1359.0400000000002</v>
      </c>
      <c r="J120" s="7" t="s">
        <v>2773</v>
      </c>
    </row>
    <row r="121" spans="1:10" ht="13.95" customHeight="1" x14ac:dyDescent="0.3">
      <c r="A121" s="3">
        <v>45780</v>
      </c>
      <c r="B121" s="3" t="s">
        <v>2858</v>
      </c>
      <c r="C121" s="19" t="s">
        <v>13</v>
      </c>
      <c r="D121" s="19" t="s">
        <v>14</v>
      </c>
      <c r="E121" s="4">
        <v>0.95</v>
      </c>
      <c r="F121" s="42">
        <v>3.9</v>
      </c>
      <c r="G121" s="45">
        <v>274</v>
      </c>
      <c r="H121" s="22">
        <v>2</v>
      </c>
      <c r="I121" s="6">
        <f t="shared" si="1"/>
        <v>2030.3400000000001</v>
      </c>
      <c r="J121" s="7" t="s">
        <v>2727</v>
      </c>
    </row>
    <row r="122" spans="1:10" ht="13.95" customHeight="1" x14ac:dyDescent="0.3">
      <c r="A122" s="3">
        <v>45781</v>
      </c>
      <c r="B122" s="3" t="s">
        <v>2858</v>
      </c>
      <c r="C122" s="19" t="s">
        <v>16</v>
      </c>
      <c r="D122" s="19" t="s">
        <v>14</v>
      </c>
      <c r="E122" s="4">
        <v>0.9</v>
      </c>
      <c r="F122" s="42">
        <v>3.45</v>
      </c>
      <c r="G122" s="45">
        <v>274</v>
      </c>
      <c r="H122" s="22">
        <v>2</v>
      </c>
      <c r="I122" s="6">
        <f t="shared" si="1"/>
        <v>1701.54</v>
      </c>
      <c r="J122" s="7" t="s">
        <v>2768</v>
      </c>
    </row>
    <row r="123" spans="1:10" ht="13.95" customHeight="1" x14ac:dyDescent="0.3">
      <c r="A123" s="3">
        <v>45782</v>
      </c>
      <c r="B123" s="3" t="s">
        <v>2858</v>
      </c>
      <c r="C123" s="19" t="s">
        <v>18</v>
      </c>
      <c r="D123" s="19" t="s">
        <v>9</v>
      </c>
      <c r="E123" s="4">
        <v>0.55000000000000004</v>
      </c>
      <c r="F123" s="42">
        <v>2.2999999999999998</v>
      </c>
      <c r="G123" s="45">
        <v>274</v>
      </c>
      <c r="H123" s="22">
        <v>2</v>
      </c>
      <c r="I123" s="6">
        <f t="shared" si="1"/>
        <v>693.22</v>
      </c>
      <c r="J123" s="7" t="s">
        <v>2501</v>
      </c>
    </row>
    <row r="124" spans="1:10" ht="13.95" customHeight="1" x14ac:dyDescent="0.3">
      <c r="A124" s="3">
        <v>45783</v>
      </c>
      <c r="B124" s="3" t="s">
        <v>2858</v>
      </c>
      <c r="C124" s="19" t="s">
        <v>20</v>
      </c>
      <c r="D124" s="19" t="s">
        <v>9</v>
      </c>
      <c r="E124" s="4">
        <v>0.55000000000000004</v>
      </c>
      <c r="F124" s="42">
        <v>2.2999999999999998</v>
      </c>
      <c r="G124" s="45">
        <v>274</v>
      </c>
      <c r="H124" s="22">
        <v>2</v>
      </c>
      <c r="I124" s="6">
        <f t="shared" si="1"/>
        <v>693.22</v>
      </c>
      <c r="J124" s="7" t="s">
        <v>88</v>
      </c>
    </row>
    <row r="125" spans="1:10" ht="13.95" customHeight="1" x14ac:dyDescent="0.3">
      <c r="A125" s="3">
        <v>45784</v>
      </c>
      <c r="B125" s="3" t="s">
        <v>2858</v>
      </c>
      <c r="C125" s="19" t="s">
        <v>5</v>
      </c>
      <c r="D125" s="19" t="s">
        <v>9</v>
      </c>
      <c r="E125" s="4">
        <v>0.6</v>
      </c>
      <c r="F125" s="42">
        <v>2.35</v>
      </c>
      <c r="G125" s="45">
        <v>274</v>
      </c>
      <c r="H125" s="22">
        <v>2</v>
      </c>
      <c r="I125" s="6">
        <f t="shared" si="1"/>
        <v>772.68000000000006</v>
      </c>
      <c r="J125" s="7" t="s">
        <v>88</v>
      </c>
    </row>
    <row r="126" spans="1:10" ht="13.95" customHeight="1" x14ac:dyDescent="0.3">
      <c r="A126" s="3">
        <v>45785</v>
      </c>
      <c r="B126" s="3" t="s">
        <v>2858</v>
      </c>
      <c r="C126" s="19" t="s">
        <v>8</v>
      </c>
      <c r="D126" s="19" t="s">
        <v>1263</v>
      </c>
      <c r="E126" s="4">
        <v>0.75</v>
      </c>
      <c r="F126" s="42">
        <v>2.65</v>
      </c>
      <c r="G126" s="45">
        <v>274</v>
      </c>
      <c r="H126" s="22">
        <v>2</v>
      </c>
      <c r="I126" s="6">
        <f t="shared" si="1"/>
        <v>1089.1499999999999</v>
      </c>
      <c r="J126" s="7" t="s">
        <v>2774</v>
      </c>
    </row>
    <row r="127" spans="1:10" ht="13.95" customHeight="1" x14ac:dyDescent="0.3">
      <c r="A127" s="3">
        <v>45786</v>
      </c>
      <c r="B127" s="3" t="s">
        <v>2858</v>
      </c>
      <c r="C127" s="19" t="s">
        <v>11</v>
      </c>
      <c r="D127" s="19" t="s">
        <v>14</v>
      </c>
      <c r="E127" s="4">
        <v>0.75</v>
      </c>
      <c r="F127" s="42">
        <v>3.1</v>
      </c>
      <c r="G127" s="45">
        <v>274</v>
      </c>
      <c r="H127" s="22">
        <v>2</v>
      </c>
      <c r="I127" s="6">
        <f t="shared" si="1"/>
        <v>1274.1000000000001</v>
      </c>
      <c r="J127" s="7" t="s">
        <v>1574</v>
      </c>
    </row>
    <row r="128" spans="1:10" ht="13.95" customHeight="1" x14ac:dyDescent="0.3">
      <c r="A128" s="3">
        <v>45787</v>
      </c>
      <c r="B128" s="3" t="s">
        <v>2858</v>
      </c>
      <c r="C128" s="19" t="s">
        <v>13</v>
      </c>
      <c r="D128" s="19" t="s">
        <v>14</v>
      </c>
      <c r="E128" s="4">
        <v>0.85</v>
      </c>
      <c r="F128" s="42">
        <v>3.75</v>
      </c>
      <c r="G128" s="45">
        <v>274</v>
      </c>
      <c r="H128" s="22">
        <v>2</v>
      </c>
      <c r="I128" s="6">
        <f t="shared" si="1"/>
        <v>1746.75</v>
      </c>
      <c r="J128" s="7" t="s">
        <v>2513</v>
      </c>
    </row>
    <row r="129" spans="1:10" ht="13.95" customHeight="1" x14ac:dyDescent="0.3">
      <c r="A129" s="3">
        <v>45788</v>
      </c>
      <c r="B129" s="3" t="s">
        <v>2858</v>
      </c>
      <c r="C129" s="19" t="s">
        <v>16</v>
      </c>
      <c r="D129" s="19" t="s">
        <v>14</v>
      </c>
      <c r="E129" s="4">
        <v>0.8</v>
      </c>
      <c r="F129" s="42">
        <v>3.35</v>
      </c>
      <c r="G129" s="45">
        <v>274</v>
      </c>
      <c r="H129" s="22">
        <v>2</v>
      </c>
      <c r="I129" s="6">
        <f t="shared" si="1"/>
        <v>1468.64</v>
      </c>
      <c r="J129" s="7" t="s">
        <v>238</v>
      </c>
    </row>
    <row r="130" spans="1:10" ht="13.95" customHeight="1" x14ac:dyDescent="0.3">
      <c r="A130" s="3">
        <v>45789</v>
      </c>
      <c r="B130" s="3" t="s">
        <v>2858</v>
      </c>
      <c r="C130" s="19" t="s">
        <v>18</v>
      </c>
      <c r="D130" s="19" t="s">
        <v>9</v>
      </c>
      <c r="E130" s="4">
        <v>0.5</v>
      </c>
      <c r="F130" s="42">
        <v>2.2000000000000002</v>
      </c>
      <c r="G130" s="45">
        <v>274</v>
      </c>
      <c r="H130" s="22">
        <v>2</v>
      </c>
      <c r="I130" s="6">
        <f t="shared" ref="I130:I193" si="2">(G130*E130)*F130*H130</f>
        <v>602.80000000000007</v>
      </c>
      <c r="J130" s="7" t="s">
        <v>1297</v>
      </c>
    </row>
    <row r="131" spans="1:10" ht="13.95" customHeight="1" x14ac:dyDescent="0.3">
      <c r="A131" s="3">
        <v>45792</v>
      </c>
      <c r="B131" s="3" t="s">
        <v>2858</v>
      </c>
      <c r="C131" s="19" t="s">
        <v>8</v>
      </c>
      <c r="D131" s="19" t="s">
        <v>1263</v>
      </c>
      <c r="E131" s="4">
        <v>0.8</v>
      </c>
      <c r="F131" s="42">
        <v>2.7</v>
      </c>
      <c r="G131" s="45">
        <v>274</v>
      </c>
      <c r="H131" s="22">
        <v>2</v>
      </c>
      <c r="I131" s="6">
        <f t="shared" si="2"/>
        <v>1183.68</v>
      </c>
      <c r="J131" s="7" t="s">
        <v>1376</v>
      </c>
    </row>
    <row r="132" spans="1:10" ht="13.95" customHeight="1" x14ac:dyDescent="0.3">
      <c r="A132" s="3">
        <v>45793</v>
      </c>
      <c r="B132" s="3" t="s">
        <v>2858</v>
      </c>
      <c r="C132" s="19" t="s">
        <v>11</v>
      </c>
      <c r="D132" s="19" t="s">
        <v>14</v>
      </c>
      <c r="E132" s="4">
        <v>0.75</v>
      </c>
      <c r="F132" s="42">
        <v>3.15</v>
      </c>
      <c r="G132" s="45">
        <v>274</v>
      </c>
      <c r="H132" s="22">
        <v>2</v>
      </c>
      <c r="I132" s="6">
        <f t="shared" si="2"/>
        <v>1294.6499999999999</v>
      </c>
      <c r="J132" s="7" t="s">
        <v>67</v>
      </c>
    </row>
    <row r="133" spans="1:10" ht="13.95" customHeight="1" x14ac:dyDescent="0.3">
      <c r="A133" s="3">
        <v>45794</v>
      </c>
      <c r="B133" s="3" t="s">
        <v>2858</v>
      </c>
      <c r="C133" s="19" t="s">
        <v>13</v>
      </c>
      <c r="D133" s="19" t="s">
        <v>14</v>
      </c>
      <c r="E133" s="4">
        <v>0.9</v>
      </c>
      <c r="F133" s="42">
        <v>3.85</v>
      </c>
      <c r="G133" s="45">
        <v>274</v>
      </c>
      <c r="H133" s="22">
        <v>2</v>
      </c>
      <c r="I133" s="6">
        <f t="shared" si="2"/>
        <v>1898.82</v>
      </c>
      <c r="J133" s="7" t="s">
        <v>2769</v>
      </c>
    </row>
    <row r="134" spans="1:10" ht="13.95" customHeight="1" x14ac:dyDescent="0.3">
      <c r="A134" s="3">
        <v>45795</v>
      </c>
      <c r="B134" s="3" t="s">
        <v>2858</v>
      </c>
      <c r="C134" s="19" t="s">
        <v>16</v>
      </c>
      <c r="D134" s="19" t="s">
        <v>14</v>
      </c>
      <c r="E134" s="4">
        <v>0.85</v>
      </c>
      <c r="F134" s="42">
        <v>3.4</v>
      </c>
      <c r="G134" s="45">
        <v>274</v>
      </c>
      <c r="H134" s="22">
        <v>2</v>
      </c>
      <c r="I134" s="6">
        <f t="shared" si="2"/>
        <v>1583.72</v>
      </c>
      <c r="J134" s="7" t="s">
        <v>1911</v>
      </c>
    </row>
    <row r="135" spans="1:10" ht="13.95" customHeight="1" x14ac:dyDescent="0.3">
      <c r="A135" s="3">
        <v>45796</v>
      </c>
      <c r="B135" s="3" t="s">
        <v>2858</v>
      </c>
      <c r="C135" s="19" t="s">
        <v>18</v>
      </c>
      <c r="D135" s="19" t="s">
        <v>9</v>
      </c>
      <c r="E135" s="4">
        <v>0.55000000000000004</v>
      </c>
      <c r="F135" s="42">
        <v>2.25</v>
      </c>
      <c r="G135" s="45">
        <v>274</v>
      </c>
      <c r="H135" s="22">
        <v>2</v>
      </c>
      <c r="I135" s="6">
        <f t="shared" si="2"/>
        <v>678.15000000000009</v>
      </c>
      <c r="J135" s="7" t="s">
        <v>88</v>
      </c>
    </row>
    <row r="136" spans="1:10" ht="13.95" customHeight="1" x14ac:dyDescent="0.3">
      <c r="A136" s="3">
        <v>45797</v>
      </c>
      <c r="B136" s="3" t="s">
        <v>2858</v>
      </c>
      <c r="C136" s="19" t="s">
        <v>20</v>
      </c>
      <c r="D136" s="19" t="s">
        <v>9</v>
      </c>
      <c r="E136" s="4">
        <v>0.55000000000000004</v>
      </c>
      <c r="F136" s="42">
        <v>2.25</v>
      </c>
      <c r="G136" s="45">
        <v>274</v>
      </c>
      <c r="H136" s="22">
        <v>2</v>
      </c>
      <c r="I136" s="6">
        <f t="shared" si="2"/>
        <v>678.15000000000009</v>
      </c>
      <c r="J136" s="7" t="s">
        <v>88</v>
      </c>
    </row>
    <row r="137" spans="1:10" ht="13.95" customHeight="1" x14ac:dyDescent="0.3">
      <c r="A137" s="3">
        <v>45799</v>
      </c>
      <c r="B137" s="3" t="s">
        <v>2858</v>
      </c>
      <c r="C137" s="19" t="s">
        <v>8</v>
      </c>
      <c r="D137" s="19" t="s">
        <v>1263</v>
      </c>
      <c r="E137" s="4">
        <v>0.75</v>
      </c>
      <c r="F137" s="42">
        <v>2.65</v>
      </c>
      <c r="G137" s="45">
        <v>274</v>
      </c>
      <c r="H137" s="22">
        <v>2</v>
      </c>
      <c r="I137" s="6">
        <f t="shared" si="2"/>
        <v>1089.1499999999999</v>
      </c>
      <c r="J137" s="7" t="s">
        <v>2082</v>
      </c>
    </row>
    <row r="138" spans="1:10" ht="13.95" customHeight="1" x14ac:dyDescent="0.3">
      <c r="A138" s="3">
        <v>45800</v>
      </c>
      <c r="B138" s="3" t="s">
        <v>2858</v>
      </c>
      <c r="C138" s="19" t="s">
        <v>11</v>
      </c>
      <c r="D138" s="19" t="s">
        <v>14</v>
      </c>
      <c r="E138" s="4">
        <v>0.85</v>
      </c>
      <c r="F138" s="42">
        <v>3.25</v>
      </c>
      <c r="G138" s="45">
        <v>274</v>
      </c>
      <c r="H138" s="22">
        <v>2</v>
      </c>
      <c r="I138" s="6">
        <f t="shared" si="2"/>
        <v>1513.8500000000001</v>
      </c>
      <c r="J138" s="7" t="s">
        <v>2515</v>
      </c>
    </row>
    <row r="139" spans="1:10" ht="13.95" customHeight="1" x14ac:dyDescent="0.3">
      <c r="A139" s="3">
        <v>45801</v>
      </c>
      <c r="B139" s="3" t="s">
        <v>2858</v>
      </c>
      <c r="C139" s="19" t="s">
        <v>13</v>
      </c>
      <c r="D139" s="19" t="s">
        <v>14</v>
      </c>
      <c r="E139" s="4">
        <v>0.95</v>
      </c>
      <c r="F139" s="42">
        <v>3.95</v>
      </c>
      <c r="G139" s="45">
        <v>274</v>
      </c>
      <c r="H139" s="22">
        <v>2</v>
      </c>
      <c r="I139" s="6">
        <f t="shared" si="2"/>
        <v>2056.3700000000003</v>
      </c>
      <c r="J139" s="7" t="s">
        <v>2770</v>
      </c>
    </row>
    <row r="140" spans="1:10" ht="13.95" customHeight="1" x14ac:dyDescent="0.3">
      <c r="A140" s="3">
        <v>45802</v>
      </c>
      <c r="B140" s="3" t="s">
        <v>2858</v>
      </c>
      <c r="C140" s="19" t="s">
        <v>16</v>
      </c>
      <c r="D140" s="19" t="s">
        <v>14</v>
      </c>
      <c r="E140" s="4">
        <v>0.9</v>
      </c>
      <c r="F140" s="42">
        <v>3.55</v>
      </c>
      <c r="G140" s="45">
        <v>274</v>
      </c>
      <c r="H140" s="22">
        <v>2</v>
      </c>
      <c r="I140" s="6">
        <f t="shared" si="2"/>
        <v>1750.86</v>
      </c>
      <c r="J140" s="7" t="s">
        <v>159</v>
      </c>
    </row>
    <row r="141" spans="1:10" ht="13.95" customHeight="1" x14ac:dyDescent="0.3">
      <c r="A141" s="3">
        <v>45803</v>
      </c>
      <c r="B141" s="3" t="s">
        <v>2858</v>
      </c>
      <c r="C141" s="19" t="s">
        <v>18</v>
      </c>
      <c r="D141" s="19" t="s">
        <v>9</v>
      </c>
      <c r="E141" s="4">
        <v>0.6</v>
      </c>
      <c r="F141" s="42">
        <v>2.2999999999999998</v>
      </c>
      <c r="G141" s="45">
        <v>274</v>
      </c>
      <c r="H141" s="22">
        <v>2</v>
      </c>
      <c r="I141" s="6">
        <f t="shared" si="2"/>
        <v>756.24</v>
      </c>
      <c r="J141" s="7" t="s">
        <v>2501</v>
      </c>
    </row>
    <row r="142" spans="1:10" ht="13.95" customHeight="1" x14ac:dyDescent="0.3">
      <c r="A142" s="3">
        <v>45806</v>
      </c>
      <c r="B142" s="3" t="s">
        <v>2858</v>
      </c>
      <c r="C142" s="19" t="s">
        <v>8</v>
      </c>
      <c r="D142" s="19" t="s">
        <v>2771</v>
      </c>
      <c r="E142" s="4">
        <v>0.75</v>
      </c>
      <c r="F142" s="42">
        <v>2.8</v>
      </c>
      <c r="G142" s="45">
        <v>274</v>
      </c>
      <c r="H142" s="22">
        <v>2</v>
      </c>
      <c r="I142" s="6">
        <f t="shared" si="2"/>
        <v>1150.8</v>
      </c>
      <c r="J142" s="7" t="s">
        <v>2775</v>
      </c>
    </row>
    <row r="143" spans="1:10" ht="13.95" customHeight="1" x14ac:dyDescent="0.3">
      <c r="A143" s="3">
        <v>45807</v>
      </c>
      <c r="B143" s="3" t="s">
        <v>2858</v>
      </c>
      <c r="C143" s="19" t="s">
        <v>11</v>
      </c>
      <c r="D143" s="19" t="s">
        <v>14</v>
      </c>
      <c r="E143" s="4">
        <v>0.85</v>
      </c>
      <c r="F143" s="42">
        <v>3.3</v>
      </c>
      <c r="G143" s="45">
        <v>274</v>
      </c>
      <c r="H143" s="22">
        <v>2</v>
      </c>
      <c r="I143" s="6">
        <f t="shared" si="2"/>
        <v>1537.1399999999999</v>
      </c>
      <c r="J143" s="7" t="s">
        <v>2776</v>
      </c>
    </row>
    <row r="144" spans="1:10" ht="13.95" customHeight="1" x14ac:dyDescent="0.3">
      <c r="A144" s="3">
        <v>45808</v>
      </c>
      <c r="B144" s="3" t="s">
        <v>2858</v>
      </c>
      <c r="C144" s="19" t="s">
        <v>13</v>
      </c>
      <c r="D144" s="19" t="s">
        <v>14</v>
      </c>
      <c r="E144" s="4">
        <v>1</v>
      </c>
      <c r="F144" s="42">
        <v>4.1500000000000004</v>
      </c>
      <c r="G144" s="45">
        <v>274</v>
      </c>
      <c r="H144" s="22">
        <v>2</v>
      </c>
      <c r="I144" s="6">
        <f t="shared" si="2"/>
        <v>2274.2000000000003</v>
      </c>
      <c r="J144" s="7" t="s">
        <v>2772</v>
      </c>
    </row>
    <row r="145" spans="1:10" ht="13.95" customHeight="1" x14ac:dyDescent="0.3">
      <c r="A145" s="3">
        <v>45809</v>
      </c>
      <c r="B145" s="3" t="s">
        <v>2858</v>
      </c>
      <c r="C145" s="19" t="s">
        <v>16</v>
      </c>
      <c r="D145" s="19" t="s">
        <v>14</v>
      </c>
      <c r="E145" s="4">
        <v>0.9</v>
      </c>
      <c r="F145" s="42">
        <v>3.5</v>
      </c>
      <c r="G145" s="45">
        <v>274</v>
      </c>
      <c r="H145" s="22">
        <v>2.1</v>
      </c>
      <c r="I145" s="6">
        <f t="shared" si="2"/>
        <v>1812.5100000000002</v>
      </c>
      <c r="J145" s="7" t="s">
        <v>2777</v>
      </c>
    </row>
    <row r="146" spans="1:10" ht="13.95" customHeight="1" x14ac:dyDescent="0.3">
      <c r="A146" s="3">
        <v>45810</v>
      </c>
      <c r="B146" s="3" t="s">
        <v>2858</v>
      </c>
      <c r="C146" s="19" t="s">
        <v>18</v>
      </c>
      <c r="D146" s="19" t="s">
        <v>9</v>
      </c>
      <c r="E146" s="4">
        <v>0.65</v>
      </c>
      <c r="F146" s="42">
        <v>2.4</v>
      </c>
      <c r="G146" s="45">
        <v>274</v>
      </c>
      <c r="H146" s="22">
        <v>2.1</v>
      </c>
      <c r="I146" s="6">
        <f t="shared" si="2"/>
        <v>897.62400000000002</v>
      </c>
      <c r="J146" s="7" t="s">
        <v>2784</v>
      </c>
    </row>
    <row r="147" spans="1:10" ht="13.95" customHeight="1" x14ac:dyDescent="0.3">
      <c r="A147" s="3">
        <v>45811</v>
      </c>
      <c r="B147" s="3" t="s">
        <v>2858</v>
      </c>
      <c r="C147" s="19" t="s">
        <v>20</v>
      </c>
      <c r="D147" s="19" t="s">
        <v>9</v>
      </c>
      <c r="E147" s="4">
        <v>0.65</v>
      </c>
      <c r="F147" s="42">
        <v>2.4</v>
      </c>
      <c r="G147" s="45">
        <v>274</v>
      </c>
      <c r="H147" s="22">
        <v>2.1</v>
      </c>
      <c r="I147" s="6">
        <f t="shared" si="2"/>
        <v>897.62400000000002</v>
      </c>
      <c r="J147" s="7" t="s">
        <v>88</v>
      </c>
    </row>
    <row r="148" spans="1:10" ht="13.95" customHeight="1" x14ac:dyDescent="0.3">
      <c r="A148" s="3">
        <v>45812</v>
      </c>
      <c r="B148" s="3" t="s">
        <v>2858</v>
      </c>
      <c r="C148" s="19" t="s">
        <v>5</v>
      </c>
      <c r="D148" s="19" t="s">
        <v>2785</v>
      </c>
      <c r="E148" s="4">
        <v>0.75</v>
      </c>
      <c r="F148" s="42">
        <v>2.8</v>
      </c>
      <c r="G148" s="45">
        <v>274</v>
      </c>
      <c r="H148" s="22">
        <v>2.1</v>
      </c>
      <c r="I148" s="6">
        <f t="shared" si="2"/>
        <v>1208.3399999999999</v>
      </c>
      <c r="J148" s="7" t="s">
        <v>1742</v>
      </c>
    </row>
    <row r="149" spans="1:10" ht="13.95" customHeight="1" x14ac:dyDescent="0.3">
      <c r="A149" s="3">
        <v>45813</v>
      </c>
      <c r="B149" s="3" t="s">
        <v>2858</v>
      </c>
      <c r="C149" s="19" t="s">
        <v>8</v>
      </c>
      <c r="D149" s="19" t="s">
        <v>904</v>
      </c>
      <c r="E149" s="4">
        <v>0.85</v>
      </c>
      <c r="F149" s="42">
        <v>3.3</v>
      </c>
      <c r="G149" s="45">
        <v>274</v>
      </c>
      <c r="H149" s="22">
        <v>2.1</v>
      </c>
      <c r="I149" s="6">
        <f t="shared" si="2"/>
        <v>1613.9969999999998</v>
      </c>
      <c r="J149" s="7" t="s">
        <v>2786</v>
      </c>
    </row>
    <row r="150" spans="1:10" ht="13.95" customHeight="1" x14ac:dyDescent="0.3">
      <c r="A150" s="3">
        <v>45814</v>
      </c>
      <c r="B150" s="3" t="s">
        <v>2858</v>
      </c>
      <c r="C150" s="19" t="s">
        <v>11</v>
      </c>
      <c r="D150" s="19" t="s">
        <v>2787</v>
      </c>
      <c r="E150" s="4">
        <v>0.95</v>
      </c>
      <c r="F150" s="42">
        <v>4.2</v>
      </c>
      <c r="G150" s="45">
        <v>274</v>
      </c>
      <c r="H150" s="22">
        <v>2.1</v>
      </c>
      <c r="I150" s="6">
        <f t="shared" si="2"/>
        <v>2295.846</v>
      </c>
      <c r="J150" s="7" t="s">
        <v>2586</v>
      </c>
    </row>
    <row r="151" spans="1:10" ht="13.95" customHeight="1" x14ac:dyDescent="0.3">
      <c r="A151" s="3">
        <v>45815</v>
      </c>
      <c r="B151" s="3" t="s">
        <v>2858</v>
      </c>
      <c r="C151" s="19" t="s">
        <v>13</v>
      </c>
      <c r="D151" s="19" t="s">
        <v>2656</v>
      </c>
      <c r="E151" s="4">
        <v>1</v>
      </c>
      <c r="F151" s="42">
        <v>4.0999999999999996</v>
      </c>
      <c r="G151" s="45">
        <v>274</v>
      </c>
      <c r="H151" s="22">
        <v>2.1</v>
      </c>
      <c r="I151" s="6">
        <f t="shared" si="2"/>
        <v>2359.14</v>
      </c>
      <c r="J151" s="7" t="s">
        <v>2778</v>
      </c>
    </row>
    <row r="152" spans="1:10" ht="13.95" customHeight="1" x14ac:dyDescent="0.3">
      <c r="A152" s="3">
        <v>45816</v>
      </c>
      <c r="B152" s="3" t="s">
        <v>2858</v>
      </c>
      <c r="C152" s="19" t="s">
        <v>16</v>
      </c>
      <c r="D152" s="19" t="s">
        <v>2779</v>
      </c>
      <c r="E152" s="4">
        <v>0.95</v>
      </c>
      <c r="F152" s="42">
        <v>3.8</v>
      </c>
      <c r="G152" s="45">
        <v>274</v>
      </c>
      <c r="H152" s="22">
        <v>2.1</v>
      </c>
      <c r="I152" s="6">
        <f t="shared" si="2"/>
        <v>2077.194</v>
      </c>
      <c r="J152" s="7" t="s">
        <v>576</v>
      </c>
    </row>
    <row r="153" spans="1:10" ht="13.95" customHeight="1" x14ac:dyDescent="0.3">
      <c r="A153" s="3">
        <v>45817</v>
      </c>
      <c r="B153" s="3" t="s">
        <v>2858</v>
      </c>
      <c r="C153" s="19" t="s">
        <v>18</v>
      </c>
      <c r="D153" s="19" t="s">
        <v>2780</v>
      </c>
      <c r="E153" s="4">
        <v>0.75</v>
      </c>
      <c r="F153" s="42">
        <v>2.6</v>
      </c>
      <c r="G153" s="45">
        <v>274</v>
      </c>
      <c r="H153" s="22">
        <v>2.1</v>
      </c>
      <c r="I153" s="6">
        <f t="shared" si="2"/>
        <v>1122.0300000000002</v>
      </c>
      <c r="J153" s="7" t="s">
        <v>2788</v>
      </c>
    </row>
    <row r="154" spans="1:10" ht="13.95" customHeight="1" x14ac:dyDescent="0.3">
      <c r="A154" s="3">
        <v>45820</v>
      </c>
      <c r="B154" s="3" t="s">
        <v>2858</v>
      </c>
      <c r="C154" s="19" t="s">
        <v>8</v>
      </c>
      <c r="D154" s="19" t="s">
        <v>1263</v>
      </c>
      <c r="E154" s="4">
        <v>0.85</v>
      </c>
      <c r="F154" s="42">
        <v>2.75</v>
      </c>
      <c r="G154" s="45">
        <v>274</v>
      </c>
      <c r="H154" s="22">
        <v>2.1</v>
      </c>
      <c r="I154" s="6">
        <f t="shared" si="2"/>
        <v>1344.9975000000002</v>
      </c>
      <c r="J154" s="7" t="s">
        <v>2789</v>
      </c>
    </row>
    <row r="155" spans="1:10" ht="13.95" customHeight="1" x14ac:dyDescent="0.3">
      <c r="A155" s="3">
        <v>45821</v>
      </c>
      <c r="B155" s="3" t="s">
        <v>2858</v>
      </c>
      <c r="C155" s="19" t="s">
        <v>11</v>
      </c>
      <c r="D155" s="19" t="s">
        <v>14</v>
      </c>
      <c r="E155" s="4">
        <v>0.9</v>
      </c>
      <c r="F155" s="42">
        <v>3.4</v>
      </c>
      <c r="G155" s="45">
        <v>274</v>
      </c>
      <c r="H155" s="22">
        <v>2.1</v>
      </c>
      <c r="I155" s="6">
        <f t="shared" si="2"/>
        <v>1760.7239999999999</v>
      </c>
      <c r="J155" s="7" t="s">
        <v>2515</v>
      </c>
    </row>
    <row r="156" spans="1:10" ht="13.95" customHeight="1" x14ac:dyDescent="0.3">
      <c r="A156" s="3">
        <v>45822</v>
      </c>
      <c r="B156" s="3" t="s">
        <v>2858</v>
      </c>
      <c r="C156" s="19" t="s">
        <v>13</v>
      </c>
      <c r="D156" s="19" t="s">
        <v>14</v>
      </c>
      <c r="E156" s="4">
        <v>0.95</v>
      </c>
      <c r="F156" s="42">
        <v>3.95</v>
      </c>
      <c r="G156" s="45">
        <v>274</v>
      </c>
      <c r="H156" s="22">
        <v>2.1</v>
      </c>
      <c r="I156" s="6">
        <f t="shared" si="2"/>
        <v>2159.1885000000007</v>
      </c>
      <c r="J156" s="7" t="s">
        <v>2727</v>
      </c>
    </row>
    <row r="157" spans="1:10" ht="13.95" customHeight="1" x14ac:dyDescent="0.3">
      <c r="A157" s="3">
        <v>45823</v>
      </c>
      <c r="B157" s="3" t="s">
        <v>2858</v>
      </c>
      <c r="C157" s="19" t="s">
        <v>16</v>
      </c>
      <c r="D157" s="19" t="s">
        <v>14</v>
      </c>
      <c r="E157" s="4">
        <v>0.9</v>
      </c>
      <c r="F157" s="42">
        <v>3.6</v>
      </c>
      <c r="G157" s="45">
        <v>274</v>
      </c>
      <c r="H157" s="22">
        <v>2.1</v>
      </c>
      <c r="I157" s="6">
        <f t="shared" si="2"/>
        <v>1864.296</v>
      </c>
      <c r="J157" s="7" t="s">
        <v>1911</v>
      </c>
    </row>
    <row r="158" spans="1:10" ht="13.95" customHeight="1" x14ac:dyDescent="0.3">
      <c r="A158" s="3">
        <v>45824</v>
      </c>
      <c r="B158" s="3" t="s">
        <v>2858</v>
      </c>
      <c r="C158" s="19" t="s">
        <v>18</v>
      </c>
      <c r="D158" s="19" t="s">
        <v>2532</v>
      </c>
      <c r="E158" s="4">
        <v>0.75</v>
      </c>
      <c r="F158" s="42">
        <v>2.8</v>
      </c>
      <c r="G158" s="45">
        <v>274</v>
      </c>
      <c r="H158" s="22">
        <v>2.1</v>
      </c>
      <c r="I158" s="6">
        <f t="shared" si="2"/>
        <v>1208.3399999999999</v>
      </c>
      <c r="J158" s="7" t="s">
        <v>2781</v>
      </c>
    </row>
    <row r="159" spans="1:10" ht="13.95" customHeight="1" x14ac:dyDescent="0.3">
      <c r="A159" s="3">
        <v>45827</v>
      </c>
      <c r="B159" s="3" t="s">
        <v>2858</v>
      </c>
      <c r="C159" s="19" t="s">
        <v>8</v>
      </c>
      <c r="D159" s="19" t="s">
        <v>2532</v>
      </c>
      <c r="E159" s="4">
        <v>0.8</v>
      </c>
      <c r="F159" s="42">
        <v>2.85</v>
      </c>
      <c r="G159" s="45">
        <v>274</v>
      </c>
      <c r="H159" s="22">
        <v>2.1</v>
      </c>
      <c r="I159" s="6">
        <f t="shared" si="2"/>
        <v>1311.912</v>
      </c>
      <c r="J159" s="7" t="s">
        <v>1769</v>
      </c>
    </row>
    <row r="160" spans="1:10" ht="13.95" customHeight="1" x14ac:dyDescent="0.3">
      <c r="A160" s="3">
        <v>45828</v>
      </c>
      <c r="B160" s="3" t="s">
        <v>2858</v>
      </c>
      <c r="C160" s="19" t="s">
        <v>11</v>
      </c>
      <c r="D160" s="19" t="s">
        <v>14</v>
      </c>
      <c r="E160" s="4">
        <v>0.9</v>
      </c>
      <c r="F160" s="42">
        <v>3.5</v>
      </c>
      <c r="G160" s="45">
        <v>274</v>
      </c>
      <c r="H160" s="22">
        <v>2.1</v>
      </c>
      <c r="I160" s="6">
        <f t="shared" si="2"/>
        <v>1812.5100000000002</v>
      </c>
      <c r="J160" s="7" t="s">
        <v>752</v>
      </c>
    </row>
    <row r="161" spans="1:10" ht="13.95" customHeight="1" x14ac:dyDescent="0.3">
      <c r="A161" s="3">
        <v>45829</v>
      </c>
      <c r="B161" s="3" t="s">
        <v>2858</v>
      </c>
      <c r="C161" s="19" t="s">
        <v>13</v>
      </c>
      <c r="D161" s="19" t="s">
        <v>2790</v>
      </c>
      <c r="E161" s="4">
        <v>1</v>
      </c>
      <c r="F161" s="42">
        <v>4.25</v>
      </c>
      <c r="G161" s="45">
        <v>274</v>
      </c>
      <c r="H161" s="22">
        <v>2.1</v>
      </c>
      <c r="I161" s="6">
        <f t="shared" si="2"/>
        <v>2445.4500000000003</v>
      </c>
      <c r="J161" s="7" t="s">
        <v>2791</v>
      </c>
    </row>
    <row r="162" spans="1:10" ht="13.95" customHeight="1" x14ac:dyDescent="0.3">
      <c r="A162" s="3">
        <v>45830</v>
      </c>
      <c r="B162" s="3" t="s">
        <v>2858</v>
      </c>
      <c r="C162" s="19" t="s">
        <v>16</v>
      </c>
      <c r="D162" s="19" t="s">
        <v>14</v>
      </c>
      <c r="E162" s="4">
        <v>0.95</v>
      </c>
      <c r="F162" s="42">
        <v>3.85</v>
      </c>
      <c r="G162" s="45">
        <v>274</v>
      </c>
      <c r="H162" s="22">
        <v>2.1</v>
      </c>
      <c r="I162" s="6">
        <f t="shared" si="2"/>
        <v>2104.5255000000002</v>
      </c>
      <c r="J162" s="7" t="s">
        <v>2558</v>
      </c>
    </row>
    <row r="163" spans="1:10" ht="13.95" customHeight="1" x14ac:dyDescent="0.3">
      <c r="A163" s="3">
        <v>45831</v>
      </c>
      <c r="B163" s="3" t="s">
        <v>2858</v>
      </c>
      <c r="C163" s="19" t="s">
        <v>18</v>
      </c>
      <c r="D163" s="19" t="s">
        <v>1347</v>
      </c>
      <c r="E163" s="4">
        <v>0.85</v>
      </c>
      <c r="F163" s="42">
        <v>3</v>
      </c>
      <c r="G163" s="45">
        <v>274</v>
      </c>
      <c r="H163" s="22">
        <v>2.1</v>
      </c>
      <c r="I163" s="6">
        <f t="shared" si="2"/>
        <v>1467.2700000000002</v>
      </c>
      <c r="J163" s="7" t="s">
        <v>1769</v>
      </c>
    </row>
    <row r="164" spans="1:10" ht="13.95" customHeight="1" x14ac:dyDescent="0.3">
      <c r="A164" s="3">
        <v>45832</v>
      </c>
      <c r="B164" s="3" t="s">
        <v>2858</v>
      </c>
      <c r="C164" s="19" t="s">
        <v>20</v>
      </c>
      <c r="D164" s="19" t="s">
        <v>1347</v>
      </c>
      <c r="E164" s="4">
        <v>0.85</v>
      </c>
      <c r="F164" s="42">
        <v>3</v>
      </c>
      <c r="G164" s="45">
        <v>274</v>
      </c>
      <c r="H164" s="22">
        <v>2.1</v>
      </c>
      <c r="I164" s="6">
        <f t="shared" si="2"/>
        <v>1467.2700000000002</v>
      </c>
    </row>
    <row r="165" spans="1:10" ht="13.95" customHeight="1" x14ac:dyDescent="0.3">
      <c r="A165" s="3">
        <v>45834</v>
      </c>
      <c r="B165" s="3" t="s">
        <v>2858</v>
      </c>
      <c r="C165" s="19" t="s">
        <v>8</v>
      </c>
      <c r="D165" s="19" t="s">
        <v>1347</v>
      </c>
      <c r="E165" s="4">
        <v>0.9</v>
      </c>
      <c r="F165" s="42">
        <v>3.1</v>
      </c>
      <c r="G165" s="45">
        <v>274</v>
      </c>
      <c r="H165" s="22">
        <v>2.1</v>
      </c>
      <c r="I165" s="6">
        <f t="shared" si="2"/>
        <v>1605.3660000000002</v>
      </c>
      <c r="J165" s="7" t="s">
        <v>2442</v>
      </c>
    </row>
    <row r="166" spans="1:10" ht="13.95" customHeight="1" x14ac:dyDescent="0.3">
      <c r="A166" s="3">
        <v>45835</v>
      </c>
      <c r="B166" s="3" t="s">
        <v>2858</v>
      </c>
      <c r="C166" s="19" t="s">
        <v>11</v>
      </c>
      <c r="D166" s="19" t="s">
        <v>14</v>
      </c>
      <c r="E166" s="4">
        <v>0.95</v>
      </c>
      <c r="F166" s="42">
        <v>3.65</v>
      </c>
      <c r="G166" s="45">
        <v>274</v>
      </c>
      <c r="H166" s="22">
        <v>2.1</v>
      </c>
      <c r="I166" s="6">
        <f t="shared" si="2"/>
        <v>1995.1995000000002</v>
      </c>
      <c r="J166" s="7" t="s">
        <v>2654</v>
      </c>
    </row>
    <row r="167" spans="1:10" ht="13.95" customHeight="1" x14ac:dyDescent="0.3">
      <c r="A167" s="3">
        <v>45836</v>
      </c>
      <c r="B167" s="3" t="s">
        <v>2858</v>
      </c>
      <c r="C167" s="19" t="s">
        <v>13</v>
      </c>
      <c r="D167" s="19" t="s">
        <v>14</v>
      </c>
      <c r="E167" s="4">
        <v>1</v>
      </c>
      <c r="F167" s="42">
        <v>4.4000000000000004</v>
      </c>
      <c r="G167" s="45">
        <v>274</v>
      </c>
      <c r="H167" s="22">
        <v>2.1</v>
      </c>
      <c r="I167" s="6">
        <f t="shared" si="2"/>
        <v>2531.7600000000002</v>
      </c>
      <c r="J167" s="7" t="s">
        <v>2782</v>
      </c>
    </row>
    <row r="168" spans="1:10" ht="13.95" customHeight="1" x14ac:dyDescent="0.3">
      <c r="A168" s="3">
        <v>45837</v>
      </c>
      <c r="B168" s="3" t="s">
        <v>2858</v>
      </c>
      <c r="C168" s="19" t="s">
        <v>16</v>
      </c>
      <c r="D168" s="19" t="s">
        <v>14</v>
      </c>
      <c r="E168" s="4">
        <v>1</v>
      </c>
      <c r="F168" s="42">
        <v>3.95</v>
      </c>
      <c r="G168" s="45">
        <v>274</v>
      </c>
      <c r="H168" s="22">
        <v>2.1</v>
      </c>
      <c r="I168" s="6">
        <f t="shared" si="2"/>
        <v>2272.83</v>
      </c>
      <c r="J168" s="7" t="s">
        <v>2792</v>
      </c>
    </row>
    <row r="169" spans="1:10" ht="13.95" customHeight="1" x14ac:dyDescent="0.3">
      <c r="A169" s="3">
        <v>45838</v>
      </c>
      <c r="B169" s="3" t="s">
        <v>2858</v>
      </c>
      <c r="C169" s="19" t="s">
        <v>18</v>
      </c>
      <c r="D169" s="19" t="s">
        <v>2783</v>
      </c>
      <c r="E169" s="4">
        <v>0.95</v>
      </c>
      <c r="F169" s="42">
        <v>3.3</v>
      </c>
      <c r="G169" s="45">
        <v>274</v>
      </c>
      <c r="H169" s="22">
        <v>2.1</v>
      </c>
      <c r="I169" s="6">
        <f t="shared" si="2"/>
        <v>1803.8790000000001</v>
      </c>
      <c r="J169" s="7" t="s">
        <v>2793</v>
      </c>
    </row>
    <row r="170" spans="1:10" ht="13.95" customHeight="1" x14ac:dyDescent="0.3">
      <c r="A170" s="3">
        <v>45839</v>
      </c>
      <c r="B170" s="3" t="s">
        <v>2858</v>
      </c>
      <c r="C170" s="19" t="s">
        <v>20</v>
      </c>
      <c r="D170" s="19" t="s">
        <v>9</v>
      </c>
      <c r="E170" s="4">
        <v>0.9</v>
      </c>
      <c r="F170" s="42">
        <v>3.1</v>
      </c>
      <c r="G170" s="45">
        <v>274</v>
      </c>
      <c r="H170" s="22">
        <v>2.2999999999999998</v>
      </c>
      <c r="I170" s="6">
        <f t="shared" si="2"/>
        <v>1758.258</v>
      </c>
      <c r="J170" s="7" t="s">
        <v>2794</v>
      </c>
    </row>
    <row r="171" spans="1:10" ht="13.95" customHeight="1" x14ac:dyDescent="0.3">
      <c r="A171" s="3">
        <v>45840</v>
      </c>
      <c r="B171" s="3" t="s">
        <v>2858</v>
      </c>
      <c r="C171" s="19" t="s">
        <v>5</v>
      </c>
      <c r="D171" s="19" t="s">
        <v>9</v>
      </c>
      <c r="E171" s="4">
        <v>0.9</v>
      </c>
      <c r="F171" s="42">
        <v>3.1</v>
      </c>
      <c r="G171" s="45">
        <v>274</v>
      </c>
      <c r="H171" s="22">
        <v>2.2999999999999998</v>
      </c>
      <c r="I171" s="6">
        <f t="shared" si="2"/>
        <v>1758.258</v>
      </c>
      <c r="J171" s="7" t="s">
        <v>2526</v>
      </c>
    </row>
    <row r="172" spans="1:10" ht="13.95" customHeight="1" x14ac:dyDescent="0.3">
      <c r="A172" s="3">
        <v>45841</v>
      </c>
      <c r="B172" s="3" t="s">
        <v>2858</v>
      </c>
      <c r="C172" s="19" t="s">
        <v>8</v>
      </c>
      <c r="D172" s="19" t="s">
        <v>9</v>
      </c>
      <c r="E172" s="4">
        <v>0.95</v>
      </c>
      <c r="F172" s="42">
        <v>3.2</v>
      </c>
      <c r="G172" s="45">
        <v>274</v>
      </c>
      <c r="H172" s="22">
        <v>2.2999999999999998</v>
      </c>
      <c r="I172" s="6">
        <f t="shared" si="2"/>
        <v>1915.808</v>
      </c>
      <c r="J172" s="7" t="s">
        <v>2795</v>
      </c>
    </row>
    <row r="173" spans="1:10" ht="13.95" customHeight="1" x14ac:dyDescent="0.3">
      <c r="A173" s="3">
        <v>45842</v>
      </c>
      <c r="B173" s="3" t="s">
        <v>2858</v>
      </c>
      <c r="C173" s="19" t="s">
        <v>11</v>
      </c>
      <c r="D173" s="19" t="s">
        <v>14</v>
      </c>
      <c r="E173" s="4">
        <v>0.95</v>
      </c>
      <c r="F173" s="42">
        <v>3.6</v>
      </c>
      <c r="G173" s="45">
        <v>274</v>
      </c>
      <c r="H173" s="22">
        <v>2.2999999999999998</v>
      </c>
      <c r="I173" s="6">
        <f t="shared" si="2"/>
        <v>2155.2840000000001</v>
      </c>
      <c r="J173" s="7" t="s">
        <v>2654</v>
      </c>
    </row>
    <row r="174" spans="1:10" ht="13.95" customHeight="1" x14ac:dyDescent="0.3">
      <c r="A174" s="3">
        <v>45843</v>
      </c>
      <c r="B174" s="3" t="s">
        <v>2858</v>
      </c>
      <c r="C174" s="19" t="s">
        <v>13</v>
      </c>
      <c r="D174" s="19" t="s">
        <v>14</v>
      </c>
      <c r="E174" s="4">
        <v>1</v>
      </c>
      <c r="F174" s="42">
        <v>4.3</v>
      </c>
      <c r="G174" s="45">
        <v>274</v>
      </c>
      <c r="H174" s="22">
        <v>2.2999999999999998</v>
      </c>
      <c r="I174" s="6">
        <f t="shared" si="2"/>
        <v>2709.8599999999997</v>
      </c>
      <c r="J174" s="7" t="s">
        <v>2796</v>
      </c>
    </row>
    <row r="175" spans="1:10" ht="13.95" customHeight="1" x14ac:dyDescent="0.3">
      <c r="A175" s="3">
        <v>45844</v>
      </c>
      <c r="B175" s="3" t="s">
        <v>2858</v>
      </c>
      <c r="C175" s="19" t="s">
        <v>16</v>
      </c>
      <c r="D175" s="19" t="s">
        <v>14</v>
      </c>
      <c r="E175" s="4">
        <v>1</v>
      </c>
      <c r="F175" s="42">
        <v>3.85</v>
      </c>
      <c r="G175" s="45">
        <v>274</v>
      </c>
      <c r="H175" s="22">
        <v>2.2999999999999998</v>
      </c>
      <c r="I175" s="6">
        <f t="shared" si="2"/>
        <v>2426.27</v>
      </c>
      <c r="J175" s="7" t="s">
        <v>2797</v>
      </c>
    </row>
    <row r="176" spans="1:10" ht="13.95" customHeight="1" x14ac:dyDescent="0.3">
      <c r="A176" s="3">
        <v>45845</v>
      </c>
      <c r="B176" s="3" t="s">
        <v>2858</v>
      </c>
      <c r="C176" s="19" t="s">
        <v>18</v>
      </c>
      <c r="D176" s="19" t="s">
        <v>9</v>
      </c>
      <c r="E176" s="4">
        <v>0.95</v>
      </c>
      <c r="F176" s="42">
        <v>3.15</v>
      </c>
      <c r="G176" s="45">
        <v>274</v>
      </c>
      <c r="H176" s="22">
        <v>2.2999999999999998</v>
      </c>
      <c r="I176" s="6">
        <f t="shared" si="2"/>
        <v>1885.8734999999999</v>
      </c>
      <c r="J176" s="7" t="s">
        <v>1332</v>
      </c>
    </row>
    <row r="177" spans="1:10" ht="13.95" customHeight="1" x14ac:dyDescent="0.3">
      <c r="A177" s="3">
        <v>45846</v>
      </c>
      <c r="B177" s="3" t="s">
        <v>2858</v>
      </c>
      <c r="C177" s="19" t="s">
        <v>20</v>
      </c>
      <c r="D177" s="19" t="s">
        <v>9</v>
      </c>
      <c r="E177" s="4">
        <v>0.95</v>
      </c>
      <c r="F177" s="42">
        <v>3.15</v>
      </c>
      <c r="G177" s="45">
        <v>274</v>
      </c>
      <c r="H177" s="22">
        <v>2.2999999999999998</v>
      </c>
      <c r="I177" s="6">
        <f t="shared" si="2"/>
        <v>1885.8734999999999</v>
      </c>
      <c r="J177" s="7" t="s">
        <v>88</v>
      </c>
    </row>
    <row r="178" spans="1:10" ht="13.95" customHeight="1" x14ac:dyDescent="0.3">
      <c r="A178" s="3">
        <v>45847</v>
      </c>
      <c r="B178" s="3" t="s">
        <v>2858</v>
      </c>
      <c r="C178" s="19" t="s">
        <v>5</v>
      </c>
      <c r="D178" s="19" t="s">
        <v>9</v>
      </c>
      <c r="E178" s="4">
        <v>0.95</v>
      </c>
      <c r="F178" s="42">
        <v>3.15</v>
      </c>
      <c r="G178" s="45">
        <v>274</v>
      </c>
      <c r="H178" s="22">
        <v>2.2999999999999998</v>
      </c>
      <c r="I178" s="6">
        <f t="shared" si="2"/>
        <v>1885.8734999999999</v>
      </c>
      <c r="J178" s="7" t="s">
        <v>88</v>
      </c>
    </row>
    <row r="179" spans="1:10" ht="13.95" customHeight="1" x14ac:dyDescent="0.3">
      <c r="A179" s="3">
        <v>45848</v>
      </c>
      <c r="B179" s="3" t="s">
        <v>2858</v>
      </c>
      <c r="C179" s="19" t="s">
        <v>8</v>
      </c>
      <c r="D179" s="19" t="s">
        <v>9</v>
      </c>
      <c r="E179" s="4">
        <v>0.95</v>
      </c>
      <c r="F179" s="42">
        <v>3.25</v>
      </c>
      <c r="G179" s="45">
        <v>274</v>
      </c>
      <c r="H179" s="22">
        <v>2.2999999999999998</v>
      </c>
      <c r="I179" s="6">
        <f t="shared" si="2"/>
        <v>1945.7424999999998</v>
      </c>
      <c r="J179" s="7" t="s">
        <v>2798</v>
      </c>
    </row>
    <row r="180" spans="1:10" ht="13.95" customHeight="1" x14ac:dyDescent="0.3">
      <c r="A180" s="3">
        <v>45849</v>
      </c>
      <c r="B180" s="3" t="s">
        <v>2858</v>
      </c>
      <c r="C180" s="19" t="s">
        <v>11</v>
      </c>
      <c r="D180" s="19" t="s">
        <v>14</v>
      </c>
      <c r="E180" s="4">
        <v>1</v>
      </c>
      <c r="F180" s="42">
        <v>3.7</v>
      </c>
      <c r="G180" s="45">
        <v>274</v>
      </c>
      <c r="H180" s="22">
        <v>2.2999999999999998</v>
      </c>
      <c r="I180" s="6">
        <f t="shared" si="2"/>
        <v>2331.7399999999998</v>
      </c>
      <c r="J180" s="7" t="s">
        <v>2799</v>
      </c>
    </row>
    <row r="181" spans="1:10" ht="13.95" customHeight="1" x14ac:dyDescent="0.3">
      <c r="A181" s="3">
        <v>45850</v>
      </c>
      <c r="B181" s="3" t="s">
        <v>2858</v>
      </c>
      <c r="C181" s="19" t="s">
        <v>13</v>
      </c>
      <c r="D181" s="19" t="s">
        <v>14</v>
      </c>
      <c r="E181" s="4">
        <v>1</v>
      </c>
      <c r="F181" s="42">
        <v>4.4000000000000004</v>
      </c>
      <c r="G181" s="45">
        <v>274</v>
      </c>
      <c r="H181" s="22">
        <v>2.2999999999999998</v>
      </c>
      <c r="I181" s="6">
        <f t="shared" si="2"/>
        <v>2772.88</v>
      </c>
      <c r="J181" s="7" t="s">
        <v>2727</v>
      </c>
    </row>
    <row r="182" spans="1:10" ht="13.95" customHeight="1" x14ac:dyDescent="0.3">
      <c r="A182" s="3">
        <v>45851</v>
      </c>
      <c r="B182" s="3" t="s">
        <v>2858</v>
      </c>
      <c r="C182" s="19" t="s">
        <v>16</v>
      </c>
      <c r="D182" s="19" t="s">
        <v>14</v>
      </c>
      <c r="E182" s="4">
        <v>1</v>
      </c>
      <c r="F182" s="42">
        <v>3.9</v>
      </c>
      <c r="G182" s="45">
        <v>274</v>
      </c>
      <c r="H182" s="22">
        <v>2.2999999999999998</v>
      </c>
      <c r="I182" s="6">
        <f t="shared" si="2"/>
        <v>2457.7799999999997</v>
      </c>
      <c r="J182" s="7" t="s">
        <v>2558</v>
      </c>
    </row>
    <row r="183" spans="1:10" ht="13.95" customHeight="1" x14ac:dyDescent="0.3">
      <c r="A183" s="3">
        <v>45852</v>
      </c>
      <c r="B183" s="3" t="s">
        <v>2858</v>
      </c>
      <c r="C183" s="19" t="s">
        <v>18</v>
      </c>
      <c r="D183" s="19" t="s">
        <v>2800</v>
      </c>
      <c r="E183" s="4">
        <v>0.95</v>
      </c>
      <c r="F183" s="42">
        <v>3.5</v>
      </c>
      <c r="G183" s="45">
        <v>274</v>
      </c>
      <c r="H183" s="22">
        <v>2.2999999999999998</v>
      </c>
      <c r="I183" s="6">
        <f t="shared" si="2"/>
        <v>2095.415</v>
      </c>
      <c r="J183" s="7" t="s">
        <v>2801</v>
      </c>
    </row>
    <row r="184" spans="1:10" ht="13.95" customHeight="1" x14ac:dyDescent="0.3">
      <c r="A184" s="3">
        <v>45853</v>
      </c>
      <c r="B184" s="3" t="s">
        <v>2858</v>
      </c>
      <c r="C184" s="19" t="s">
        <v>20</v>
      </c>
      <c r="D184" s="19" t="s">
        <v>9</v>
      </c>
      <c r="E184" s="4">
        <v>0.95</v>
      </c>
      <c r="F184" s="42">
        <v>3.15</v>
      </c>
      <c r="G184" s="45">
        <v>274</v>
      </c>
      <c r="H184" s="22">
        <v>2.2999999999999998</v>
      </c>
      <c r="I184" s="6">
        <f t="shared" si="2"/>
        <v>1885.8734999999999</v>
      </c>
      <c r="J184" s="7" t="s">
        <v>88</v>
      </c>
    </row>
    <row r="185" spans="1:10" ht="13.95" customHeight="1" x14ac:dyDescent="0.3">
      <c r="A185" s="3">
        <v>45854</v>
      </c>
      <c r="B185" s="3" t="s">
        <v>2858</v>
      </c>
      <c r="C185" s="19" t="s">
        <v>5</v>
      </c>
      <c r="D185" s="19" t="s">
        <v>9</v>
      </c>
      <c r="E185" s="4">
        <v>0.95</v>
      </c>
      <c r="F185" s="42">
        <v>3.15</v>
      </c>
      <c r="G185" s="45">
        <v>274</v>
      </c>
      <c r="H185" s="22">
        <v>2.2999999999999998</v>
      </c>
      <c r="I185" s="6">
        <f t="shared" si="2"/>
        <v>1885.8734999999999</v>
      </c>
      <c r="J185" s="7" t="s">
        <v>88</v>
      </c>
    </row>
    <row r="186" spans="1:10" ht="13.95" customHeight="1" x14ac:dyDescent="0.3">
      <c r="A186" s="3">
        <v>45855</v>
      </c>
      <c r="B186" s="3" t="s">
        <v>2858</v>
      </c>
      <c r="C186" s="19" t="s">
        <v>8</v>
      </c>
      <c r="D186" s="19" t="s">
        <v>9</v>
      </c>
      <c r="E186" s="4">
        <v>0.95</v>
      </c>
      <c r="F186" s="42">
        <v>3.2</v>
      </c>
      <c r="G186" s="45">
        <v>274</v>
      </c>
      <c r="H186" s="22">
        <v>2.2999999999999998</v>
      </c>
      <c r="I186" s="6">
        <f t="shared" si="2"/>
        <v>1915.808</v>
      </c>
      <c r="J186" s="7" t="s">
        <v>67</v>
      </c>
    </row>
    <row r="187" spans="1:10" ht="13.95" customHeight="1" x14ac:dyDescent="0.3">
      <c r="A187" s="3">
        <v>45856</v>
      </c>
      <c r="B187" s="3" t="s">
        <v>2858</v>
      </c>
      <c r="C187" s="19" t="s">
        <v>11</v>
      </c>
      <c r="D187" s="19" t="s">
        <v>14</v>
      </c>
      <c r="E187" s="4">
        <v>1</v>
      </c>
      <c r="F187" s="42">
        <v>3.75</v>
      </c>
      <c r="G187" s="45">
        <v>274</v>
      </c>
      <c r="H187" s="22">
        <v>2.2999999999999998</v>
      </c>
      <c r="I187" s="6">
        <f t="shared" si="2"/>
        <v>2363.25</v>
      </c>
      <c r="J187" s="7" t="s">
        <v>2802</v>
      </c>
    </row>
    <row r="188" spans="1:10" ht="13.95" customHeight="1" x14ac:dyDescent="0.3">
      <c r="A188" s="3">
        <v>45857</v>
      </c>
      <c r="B188" s="3" t="s">
        <v>2858</v>
      </c>
      <c r="C188" s="19" t="s">
        <v>13</v>
      </c>
      <c r="D188" s="19" t="s">
        <v>14</v>
      </c>
      <c r="E188" s="4">
        <v>1</v>
      </c>
      <c r="F188" s="42">
        <v>4.5</v>
      </c>
      <c r="G188" s="45">
        <v>274</v>
      </c>
      <c r="H188" s="22">
        <v>2.2999999999999998</v>
      </c>
      <c r="I188" s="6">
        <f t="shared" si="2"/>
        <v>2835.8999999999996</v>
      </c>
      <c r="J188" s="7" t="s">
        <v>2513</v>
      </c>
    </row>
    <row r="189" spans="1:10" ht="13.95" customHeight="1" x14ac:dyDescent="0.3">
      <c r="A189" s="3">
        <v>45858</v>
      </c>
      <c r="B189" s="3" t="s">
        <v>2858</v>
      </c>
      <c r="C189" s="19" t="s">
        <v>16</v>
      </c>
      <c r="D189" s="19" t="s">
        <v>14</v>
      </c>
      <c r="E189" s="4">
        <v>1</v>
      </c>
      <c r="F189" s="42">
        <v>3.95</v>
      </c>
      <c r="G189" s="45">
        <v>274</v>
      </c>
      <c r="H189" s="22">
        <v>2.2999999999999998</v>
      </c>
      <c r="I189" s="6">
        <f t="shared" si="2"/>
        <v>2489.2899999999995</v>
      </c>
      <c r="J189" s="7" t="s">
        <v>159</v>
      </c>
    </row>
    <row r="190" spans="1:10" ht="13.95" customHeight="1" x14ac:dyDescent="0.3">
      <c r="A190" s="3">
        <v>45859</v>
      </c>
      <c r="B190" s="3" t="s">
        <v>2858</v>
      </c>
      <c r="C190" s="19" t="s">
        <v>18</v>
      </c>
      <c r="D190" s="19" t="s">
        <v>9</v>
      </c>
      <c r="E190" s="4">
        <v>0.95</v>
      </c>
      <c r="F190" s="42">
        <v>3.15</v>
      </c>
      <c r="G190" s="45">
        <v>274</v>
      </c>
      <c r="H190" s="22">
        <v>2.2999999999999998</v>
      </c>
      <c r="I190" s="6">
        <f t="shared" si="2"/>
        <v>1885.8734999999999</v>
      </c>
      <c r="J190" s="7" t="s">
        <v>88</v>
      </c>
    </row>
    <row r="191" spans="1:10" ht="13.95" customHeight="1" x14ac:dyDescent="0.3">
      <c r="A191" s="3">
        <v>45860</v>
      </c>
      <c r="B191" s="3" t="s">
        <v>2858</v>
      </c>
      <c r="C191" s="19" t="s">
        <v>20</v>
      </c>
      <c r="D191" s="19" t="s">
        <v>9</v>
      </c>
      <c r="E191" s="4">
        <v>0.95</v>
      </c>
      <c r="F191" s="42">
        <v>3.15</v>
      </c>
      <c r="G191" s="45">
        <v>274</v>
      </c>
      <c r="H191" s="22">
        <v>2.2999999999999998</v>
      </c>
      <c r="I191" s="6">
        <f t="shared" si="2"/>
        <v>1885.8734999999999</v>
      </c>
      <c r="J191" s="7" t="s">
        <v>88</v>
      </c>
    </row>
    <row r="192" spans="1:10" ht="13.95" customHeight="1" x14ac:dyDescent="0.3">
      <c r="A192" s="3">
        <v>45861</v>
      </c>
      <c r="B192" s="3" t="s">
        <v>2858</v>
      </c>
      <c r="C192" s="19" t="s">
        <v>5</v>
      </c>
      <c r="D192" s="19" t="s">
        <v>9</v>
      </c>
      <c r="E192" s="4">
        <v>0.95</v>
      </c>
      <c r="F192" s="42">
        <v>3.15</v>
      </c>
      <c r="G192" s="45">
        <v>274</v>
      </c>
      <c r="H192" s="22">
        <v>2.2999999999999998</v>
      </c>
      <c r="I192" s="6">
        <f t="shared" si="2"/>
        <v>1885.8734999999999</v>
      </c>
      <c r="J192" s="7" t="s">
        <v>844</v>
      </c>
    </row>
    <row r="193" spans="1:10" ht="13.95" customHeight="1" x14ac:dyDescent="0.3">
      <c r="A193" s="3">
        <v>45862</v>
      </c>
      <c r="B193" s="3" t="s">
        <v>2858</v>
      </c>
      <c r="C193" s="19" t="s">
        <v>8</v>
      </c>
      <c r="D193" s="19" t="s">
        <v>994</v>
      </c>
      <c r="E193" s="4">
        <v>1</v>
      </c>
      <c r="F193" s="42">
        <v>3.4</v>
      </c>
      <c r="G193" s="45">
        <v>274</v>
      </c>
      <c r="H193" s="22">
        <v>2.2999999999999998</v>
      </c>
      <c r="I193" s="6">
        <f t="shared" si="2"/>
        <v>2142.6799999999998</v>
      </c>
      <c r="J193" s="7" t="s">
        <v>531</v>
      </c>
    </row>
    <row r="194" spans="1:10" ht="13.95" customHeight="1" x14ac:dyDescent="0.3">
      <c r="A194" s="3">
        <v>45863</v>
      </c>
      <c r="B194" s="3" t="s">
        <v>2858</v>
      </c>
      <c r="C194" s="19" t="s">
        <v>11</v>
      </c>
      <c r="D194" s="19" t="s">
        <v>2803</v>
      </c>
      <c r="E194" s="4">
        <v>1</v>
      </c>
      <c r="F194" s="42">
        <v>4.3499999999999996</v>
      </c>
      <c r="G194" s="45">
        <v>274</v>
      </c>
      <c r="H194" s="22">
        <v>2.2999999999999998</v>
      </c>
      <c r="I194" s="6">
        <f t="shared" ref="I194:I257" si="3">(G194*E194)*F194*H194</f>
        <v>2741.3699999999994</v>
      </c>
      <c r="J194" s="7" t="s">
        <v>2721</v>
      </c>
    </row>
    <row r="195" spans="1:10" ht="13.95" customHeight="1" x14ac:dyDescent="0.3">
      <c r="A195" s="3">
        <v>45864</v>
      </c>
      <c r="B195" s="3" t="s">
        <v>2858</v>
      </c>
      <c r="C195" s="19" t="s">
        <v>13</v>
      </c>
      <c r="D195" s="19" t="s">
        <v>14</v>
      </c>
      <c r="E195" s="4">
        <v>1</v>
      </c>
      <c r="F195" s="42">
        <v>4.4000000000000004</v>
      </c>
      <c r="G195" s="45">
        <v>274</v>
      </c>
      <c r="H195" s="22">
        <v>2.2999999999999998</v>
      </c>
      <c r="I195" s="6">
        <f t="shared" si="3"/>
        <v>2772.88</v>
      </c>
      <c r="J195" s="7" t="s">
        <v>2804</v>
      </c>
    </row>
    <row r="196" spans="1:10" ht="13.95" customHeight="1" x14ac:dyDescent="0.3">
      <c r="A196" s="3">
        <v>45865</v>
      </c>
      <c r="B196" s="3" t="s">
        <v>2858</v>
      </c>
      <c r="C196" s="19" t="s">
        <v>16</v>
      </c>
      <c r="D196" s="19" t="s">
        <v>14</v>
      </c>
      <c r="E196" s="4">
        <v>1</v>
      </c>
      <c r="F196" s="42">
        <v>3.95</v>
      </c>
      <c r="G196" s="45">
        <v>274</v>
      </c>
      <c r="H196" s="22">
        <v>2.2999999999999998</v>
      </c>
      <c r="I196" s="6">
        <f t="shared" si="3"/>
        <v>2489.2899999999995</v>
      </c>
      <c r="J196" s="7" t="s">
        <v>2805</v>
      </c>
    </row>
    <row r="197" spans="1:10" ht="13.95" customHeight="1" x14ac:dyDescent="0.3">
      <c r="A197" s="3">
        <v>45866</v>
      </c>
      <c r="B197" s="3" t="s">
        <v>2858</v>
      </c>
      <c r="C197" s="19" t="s">
        <v>18</v>
      </c>
      <c r="D197" s="19" t="s">
        <v>9</v>
      </c>
      <c r="E197" s="4">
        <v>0.95</v>
      </c>
      <c r="F197" s="42">
        <v>3.2</v>
      </c>
      <c r="G197" s="45">
        <v>274</v>
      </c>
      <c r="H197" s="22">
        <v>2.2999999999999998</v>
      </c>
      <c r="I197" s="6">
        <f t="shared" si="3"/>
        <v>1915.808</v>
      </c>
      <c r="J197" s="7" t="s">
        <v>2806</v>
      </c>
    </row>
    <row r="198" spans="1:10" ht="13.95" customHeight="1" x14ac:dyDescent="0.3">
      <c r="A198" s="3">
        <v>45867</v>
      </c>
      <c r="B198" s="3" t="s">
        <v>2858</v>
      </c>
      <c r="C198" s="19" t="s">
        <v>20</v>
      </c>
      <c r="D198" s="19" t="s">
        <v>9</v>
      </c>
      <c r="E198" s="4">
        <v>0.95</v>
      </c>
      <c r="F198" s="42">
        <v>3.2</v>
      </c>
      <c r="G198" s="45">
        <v>274</v>
      </c>
      <c r="H198" s="22">
        <v>2.2999999999999998</v>
      </c>
      <c r="I198" s="6">
        <f t="shared" si="3"/>
        <v>1915.808</v>
      </c>
      <c r="J198" s="7" t="s">
        <v>88</v>
      </c>
    </row>
    <row r="199" spans="1:10" ht="13.95" customHeight="1" x14ac:dyDescent="0.3">
      <c r="A199" s="3">
        <v>45868</v>
      </c>
      <c r="B199" s="3" t="s">
        <v>2858</v>
      </c>
      <c r="C199" s="19" t="s">
        <v>5</v>
      </c>
      <c r="D199" s="19" t="s">
        <v>9</v>
      </c>
      <c r="E199" s="4">
        <v>0.95</v>
      </c>
      <c r="F199" s="42">
        <v>3.25</v>
      </c>
      <c r="G199" s="45">
        <v>274</v>
      </c>
      <c r="H199" s="22">
        <v>2.2999999999999998</v>
      </c>
      <c r="I199" s="6">
        <f t="shared" si="3"/>
        <v>1945.7424999999998</v>
      </c>
      <c r="J199" s="7" t="s">
        <v>88</v>
      </c>
    </row>
    <row r="200" spans="1:10" ht="13.95" customHeight="1" x14ac:dyDescent="0.3">
      <c r="A200" s="3">
        <v>45869</v>
      </c>
      <c r="B200" s="3" t="s">
        <v>2858</v>
      </c>
      <c r="C200" s="19" t="s">
        <v>8</v>
      </c>
      <c r="D200" s="19" t="s">
        <v>2783</v>
      </c>
      <c r="E200" s="4">
        <v>1</v>
      </c>
      <c r="F200" s="42">
        <v>3.45</v>
      </c>
      <c r="G200" s="45">
        <v>274</v>
      </c>
      <c r="H200" s="22">
        <v>2.2999999999999998</v>
      </c>
      <c r="I200" s="6">
        <f t="shared" si="3"/>
        <v>2174.19</v>
      </c>
      <c r="J200" s="7" t="s">
        <v>463</v>
      </c>
    </row>
    <row r="201" spans="1:10" ht="13.95" customHeight="1" x14ac:dyDescent="0.3">
      <c r="A201" s="3">
        <v>45870</v>
      </c>
      <c r="B201" s="3" t="s">
        <v>2858</v>
      </c>
      <c r="C201" s="19" t="s">
        <v>11</v>
      </c>
      <c r="D201" s="19" t="s">
        <v>14</v>
      </c>
      <c r="E201" s="4">
        <v>1</v>
      </c>
      <c r="F201" s="42">
        <v>3.8</v>
      </c>
      <c r="G201" s="45">
        <v>274</v>
      </c>
      <c r="H201" s="22">
        <v>2.4</v>
      </c>
      <c r="I201" s="6">
        <f t="shared" si="3"/>
        <v>2498.88</v>
      </c>
      <c r="J201" s="7" t="s">
        <v>2802</v>
      </c>
    </row>
    <row r="202" spans="1:10" ht="13.95" customHeight="1" x14ac:dyDescent="0.3">
      <c r="A202" s="3">
        <v>45871</v>
      </c>
      <c r="B202" s="3" t="s">
        <v>2858</v>
      </c>
      <c r="C202" s="19" t="s">
        <v>13</v>
      </c>
      <c r="D202" s="19" t="s">
        <v>14</v>
      </c>
      <c r="E202" s="4">
        <v>1</v>
      </c>
      <c r="F202" s="42">
        <v>4.5</v>
      </c>
      <c r="G202" s="45">
        <v>274</v>
      </c>
      <c r="H202" s="22">
        <v>2.4</v>
      </c>
      <c r="I202" s="6">
        <f t="shared" si="3"/>
        <v>2959.2</v>
      </c>
      <c r="J202" s="7" t="s">
        <v>1895</v>
      </c>
    </row>
    <row r="203" spans="1:10" ht="13.95" customHeight="1" x14ac:dyDescent="0.3">
      <c r="A203" s="3">
        <v>45872</v>
      </c>
      <c r="B203" s="3" t="s">
        <v>2858</v>
      </c>
      <c r="C203" s="19" t="s">
        <v>16</v>
      </c>
      <c r="D203" s="19" t="s">
        <v>14</v>
      </c>
      <c r="E203" s="4">
        <v>1</v>
      </c>
      <c r="F203" s="42">
        <v>3.95</v>
      </c>
      <c r="G203" s="45">
        <v>274</v>
      </c>
      <c r="H203" s="22">
        <v>2.4</v>
      </c>
      <c r="I203" s="6">
        <f t="shared" si="3"/>
        <v>2597.52</v>
      </c>
      <c r="J203" s="7" t="s">
        <v>2558</v>
      </c>
    </row>
    <row r="204" spans="1:10" ht="13.95" customHeight="1" x14ac:dyDescent="0.3">
      <c r="A204" s="3">
        <v>45873</v>
      </c>
      <c r="B204" s="3" t="s">
        <v>2858</v>
      </c>
      <c r="C204" s="19" t="s">
        <v>18</v>
      </c>
      <c r="D204" s="19" t="s">
        <v>1347</v>
      </c>
      <c r="E204" s="4">
        <v>1</v>
      </c>
      <c r="F204" s="42">
        <v>3.3</v>
      </c>
      <c r="G204" s="45">
        <v>274</v>
      </c>
      <c r="H204" s="22">
        <v>2.4</v>
      </c>
      <c r="I204" s="6">
        <f t="shared" si="3"/>
        <v>2170.08</v>
      </c>
      <c r="J204" s="7" t="s">
        <v>1605</v>
      </c>
    </row>
    <row r="205" spans="1:10" ht="13.95" customHeight="1" x14ac:dyDescent="0.3">
      <c r="A205" s="3">
        <v>45874</v>
      </c>
      <c r="B205" s="3" t="s">
        <v>2858</v>
      </c>
      <c r="C205" s="19" t="s">
        <v>20</v>
      </c>
      <c r="D205" s="19" t="s">
        <v>1347</v>
      </c>
      <c r="E205" s="4">
        <v>1</v>
      </c>
      <c r="F205" s="42">
        <v>3.3</v>
      </c>
      <c r="G205" s="45">
        <v>274</v>
      </c>
      <c r="H205" s="22">
        <v>2.4</v>
      </c>
      <c r="I205" s="6">
        <f t="shared" si="3"/>
        <v>2170.08</v>
      </c>
      <c r="J205" s="7" t="s">
        <v>2526</v>
      </c>
    </row>
    <row r="206" spans="1:10" ht="13.95" customHeight="1" x14ac:dyDescent="0.3">
      <c r="A206" s="3">
        <v>45875</v>
      </c>
      <c r="B206" s="3" t="s">
        <v>2858</v>
      </c>
      <c r="C206" s="19" t="s">
        <v>5</v>
      </c>
      <c r="D206" s="19" t="s">
        <v>1347</v>
      </c>
      <c r="E206" s="4">
        <v>1</v>
      </c>
      <c r="F206" s="42">
        <v>3.3</v>
      </c>
      <c r="G206" s="45">
        <v>274</v>
      </c>
      <c r="H206" s="22">
        <v>2.4</v>
      </c>
      <c r="I206" s="6">
        <f t="shared" si="3"/>
        <v>2170.08</v>
      </c>
      <c r="J206" s="7" t="s">
        <v>88</v>
      </c>
    </row>
    <row r="207" spans="1:10" ht="13.95" customHeight="1" x14ac:dyDescent="0.3">
      <c r="A207" s="3">
        <v>45876</v>
      </c>
      <c r="B207" s="3" t="s">
        <v>2858</v>
      </c>
      <c r="C207" s="19" t="s">
        <v>8</v>
      </c>
      <c r="D207" s="19" t="s">
        <v>1347</v>
      </c>
      <c r="E207" s="4">
        <v>1</v>
      </c>
      <c r="F207" s="42">
        <v>3.4</v>
      </c>
      <c r="G207" s="45">
        <v>274</v>
      </c>
      <c r="H207" s="22">
        <v>2.4</v>
      </c>
      <c r="I207" s="6">
        <f t="shared" si="3"/>
        <v>2235.84</v>
      </c>
      <c r="J207" s="7" t="s">
        <v>67</v>
      </c>
    </row>
    <row r="208" spans="1:10" ht="13.95" customHeight="1" x14ac:dyDescent="0.3">
      <c r="A208" s="3">
        <v>45877</v>
      </c>
      <c r="B208" s="3" t="s">
        <v>2858</v>
      </c>
      <c r="C208" s="19" t="s">
        <v>11</v>
      </c>
      <c r="D208" s="19" t="s">
        <v>14</v>
      </c>
      <c r="E208" s="4">
        <v>1</v>
      </c>
      <c r="F208" s="42">
        <v>3.85</v>
      </c>
      <c r="G208" s="45">
        <v>274</v>
      </c>
      <c r="H208" s="22">
        <v>2.4</v>
      </c>
      <c r="I208" s="6">
        <f t="shared" si="3"/>
        <v>2531.7600000000002</v>
      </c>
      <c r="J208" s="7" t="s">
        <v>2515</v>
      </c>
    </row>
    <row r="209" spans="1:10" ht="13.95" customHeight="1" x14ac:dyDescent="0.3">
      <c r="A209" s="3">
        <v>45878</v>
      </c>
      <c r="B209" s="3" t="s">
        <v>2858</v>
      </c>
      <c r="C209" s="19" t="s">
        <v>13</v>
      </c>
      <c r="D209" s="19" t="s">
        <v>14</v>
      </c>
      <c r="E209" s="4">
        <v>1</v>
      </c>
      <c r="F209" s="42">
        <v>4.5999999999999996</v>
      </c>
      <c r="G209" s="45">
        <v>274</v>
      </c>
      <c r="H209" s="22">
        <v>2.4</v>
      </c>
      <c r="I209" s="6">
        <f t="shared" si="3"/>
        <v>3024.9599999999996</v>
      </c>
      <c r="J209" s="7" t="s">
        <v>2727</v>
      </c>
    </row>
    <row r="210" spans="1:10" ht="13.95" customHeight="1" x14ac:dyDescent="0.3">
      <c r="A210" s="3">
        <v>45879</v>
      </c>
      <c r="B210" s="3" t="s">
        <v>2858</v>
      </c>
      <c r="C210" s="19" t="s">
        <v>16</v>
      </c>
      <c r="D210" s="19" t="s">
        <v>14</v>
      </c>
      <c r="E210" s="4">
        <v>1</v>
      </c>
      <c r="F210" s="42">
        <v>4</v>
      </c>
      <c r="G210" s="45">
        <v>274</v>
      </c>
      <c r="H210" s="22">
        <v>2.4</v>
      </c>
      <c r="I210" s="6">
        <f t="shared" si="3"/>
        <v>2630.4</v>
      </c>
      <c r="J210" s="7" t="s">
        <v>159</v>
      </c>
    </row>
    <row r="211" spans="1:10" ht="13.95" customHeight="1" x14ac:dyDescent="0.3">
      <c r="A211" s="3">
        <v>45880</v>
      </c>
      <c r="B211" s="3" t="s">
        <v>2858</v>
      </c>
      <c r="C211" s="19" t="s">
        <v>18</v>
      </c>
      <c r="D211" s="19" t="s">
        <v>1347</v>
      </c>
      <c r="E211" s="4">
        <v>1</v>
      </c>
      <c r="F211" s="42">
        <v>3.3</v>
      </c>
      <c r="G211" s="45">
        <v>274</v>
      </c>
      <c r="H211" s="22">
        <v>2.4</v>
      </c>
      <c r="I211" s="6">
        <f t="shared" si="3"/>
        <v>2170.08</v>
      </c>
      <c r="J211" s="7" t="s">
        <v>88</v>
      </c>
    </row>
    <row r="212" spans="1:10" ht="13.95" customHeight="1" x14ac:dyDescent="0.3">
      <c r="A212" s="3">
        <v>45881</v>
      </c>
      <c r="B212" s="3" t="s">
        <v>2858</v>
      </c>
      <c r="C212" s="19" t="s">
        <v>20</v>
      </c>
      <c r="D212" s="19" t="s">
        <v>994</v>
      </c>
      <c r="E212" s="4">
        <v>1</v>
      </c>
      <c r="F212" s="42">
        <v>3.5</v>
      </c>
      <c r="G212" s="45">
        <v>274</v>
      </c>
      <c r="H212" s="22">
        <v>2.4</v>
      </c>
      <c r="I212" s="6">
        <f t="shared" si="3"/>
        <v>2301.6</v>
      </c>
      <c r="J212" s="7" t="s">
        <v>2807</v>
      </c>
    </row>
    <row r="213" spans="1:10" ht="13.95" customHeight="1" x14ac:dyDescent="0.3">
      <c r="A213" s="3">
        <v>45882</v>
      </c>
      <c r="B213" s="3" t="s">
        <v>2858</v>
      </c>
      <c r="C213" s="19" t="s">
        <v>5</v>
      </c>
      <c r="D213" s="19" t="s">
        <v>2670</v>
      </c>
      <c r="E213" s="4">
        <v>1</v>
      </c>
      <c r="F213" s="42">
        <v>4.45</v>
      </c>
      <c r="G213" s="45">
        <v>274</v>
      </c>
      <c r="H213" s="22">
        <v>2.4</v>
      </c>
      <c r="I213" s="6">
        <f t="shared" si="3"/>
        <v>2926.3199999999997</v>
      </c>
      <c r="J213" s="7" t="s">
        <v>2808</v>
      </c>
    </row>
    <row r="214" spans="1:10" ht="13.95" customHeight="1" x14ac:dyDescent="0.3">
      <c r="A214" s="3">
        <v>45883</v>
      </c>
      <c r="B214" s="3" t="s">
        <v>2858</v>
      </c>
      <c r="C214" s="19" t="s">
        <v>8</v>
      </c>
      <c r="D214" s="19" t="s">
        <v>1347</v>
      </c>
      <c r="E214" s="4">
        <v>1</v>
      </c>
      <c r="F214" s="42">
        <v>3.4</v>
      </c>
      <c r="G214" s="45">
        <v>274</v>
      </c>
      <c r="H214" s="22">
        <v>2.4</v>
      </c>
      <c r="I214" s="6">
        <f t="shared" si="3"/>
        <v>2235.84</v>
      </c>
      <c r="J214" s="7" t="s">
        <v>754</v>
      </c>
    </row>
    <row r="215" spans="1:10" ht="13.95" customHeight="1" x14ac:dyDescent="0.3">
      <c r="A215" s="3">
        <v>45884</v>
      </c>
      <c r="B215" s="3" t="s">
        <v>2858</v>
      </c>
      <c r="C215" s="19" t="s">
        <v>11</v>
      </c>
      <c r="D215" s="19" t="s">
        <v>2809</v>
      </c>
      <c r="E215" s="4">
        <v>1</v>
      </c>
      <c r="F215" s="42">
        <v>4.0999999999999996</v>
      </c>
      <c r="G215" s="45">
        <v>274</v>
      </c>
      <c r="H215" s="22">
        <v>2.4</v>
      </c>
      <c r="I215" s="6">
        <f t="shared" si="3"/>
        <v>2696.1599999999994</v>
      </c>
      <c r="J215" s="7" t="s">
        <v>2810</v>
      </c>
    </row>
    <row r="216" spans="1:10" ht="13.95" customHeight="1" x14ac:dyDescent="0.3">
      <c r="A216" s="3">
        <v>45885</v>
      </c>
      <c r="B216" s="3" t="s">
        <v>2858</v>
      </c>
      <c r="C216" s="19" t="s">
        <v>13</v>
      </c>
      <c r="D216" s="19" t="s">
        <v>14</v>
      </c>
      <c r="E216" s="4">
        <v>1</v>
      </c>
      <c r="F216" s="42">
        <v>4.6500000000000004</v>
      </c>
      <c r="G216" s="45">
        <v>274</v>
      </c>
      <c r="H216" s="22">
        <v>2.4</v>
      </c>
      <c r="I216" s="6">
        <f t="shared" si="3"/>
        <v>3057.84</v>
      </c>
      <c r="J216" s="7" t="s">
        <v>2811</v>
      </c>
    </row>
    <row r="217" spans="1:10" ht="13.95" customHeight="1" x14ac:dyDescent="0.3">
      <c r="A217" s="3">
        <v>45886</v>
      </c>
      <c r="B217" s="3" t="s">
        <v>2858</v>
      </c>
      <c r="C217" s="19" t="s">
        <v>16</v>
      </c>
      <c r="D217" s="19" t="s">
        <v>14</v>
      </c>
      <c r="E217" s="4">
        <v>1</v>
      </c>
      <c r="F217" s="42">
        <v>4.05</v>
      </c>
      <c r="G217" s="45">
        <v>274</v>
      </c>
      <c r="H217" s="22">
        <v>2.4</v>
      </c>
      <c r="I217" s="6">
        <f t="shared" si="3"/>
        <v>2663.28</v>
      </c>
      <c r="J217" s="7" t="s">
        <v>238</v>
      </c>
    </row>
    <row r="218" spans="1:10" ht="13.95" customHeight="1" x14ac:dyDescent="0.3">
      <c r="A218" s="3">
        <v>45887</v>
      </c>
      <c r="B218" s="3" t="s">
        <v>2858</v>
      </c>
      <c r="C218" s="19" t="s">
        <v>18</v>
      </c>
      <c r="D218" s="19" t="s">
        <v>1347</v>
      </c>
      <c r="E218" s="4">
        <v>1</v>
      </c>
      <c r="F218" s="42">
        <v>3.3</v>
      </c>
      <c r="G218" s="45">
        <v>274</v>
      </c>
      <c r="H218" s="22">
        <v>2.4</v>
      </c>
      <c r="I218" s="6">
        <f t="shared" si="3"/>
        <v>2170.08</v>
      </c>
      <c r="J218" s="7" t="s">
        <v>88</v>
      </c>
    </row>
    <row r="219" spans="1:10" ht="13.95" customHeight="1" x14ac:dyDescent="0.3">
      <c r="A219" s="3">
        <v>45888</v>
      </c>
      <c r="B219" s="3" t="s">
        <v>2858</v>
      </c>
      <c r="C219" s="19" t="s">
        <v>106</v>
      </c>
      <c r="D219" s="19" t="s">
        <v>1347</v>
      </c>
      <c r="E219" s="4">
        <v>1</v>
      </c>
      <c r="F219" s="42">
        <v>3.3</v>
      </c>
      <c r="G219" s="45">
        <v>274</v>
      </c>
      <c r="H219" s="22">
        <v>2.4</v>
      </c>
      <c r="I219" s="6">
        <f t="shared" si="3"/>
        <v>2170.08</v>
      </c>
      <c r="J219" s="7"/>
    </row>
    <row r="220" spans="1:10" ht="13.95" customHeight="1" x14ac:dyDescent="0.3">
      <c r="A220" s="3">
        <v>45889</v>
      </c>
      <c r="B220" s="3" t="s">
        <v>2858</v>
      </c>
      <c r="C220" s="19" t="s">
        <v>109</v>
      </c>
      <c r="D220" s="19" t="s">
        <v>1347</v>
      </c>
      <c r="E220" s="4">
        <v>1</v>
      </c>
      <c r="F220" s="42">
        <v>3.3</v>
      </c>
      <c r="G220" s="45">
        <v>274</v>
      </c>
      <c r="H220" s="22">
        <v>2.4</v>
      </c>
      <c r="I220" s="6">
        <f t="shared" si="3"/>
        <v>2170.08</v>
      </c>
      <c r="J220" s="7"/>
    </row>
    <row r="221" spans="1:10" ht="13.95" customHeight="1" x14ac:dyDescent="0.3">
      <c r="A221" s="3">
        <v>45890</v>
      </c>
      <c r="B221" s="3" t="s">
        <v>2858</v>
      </c>
      <c r="C221" s="19" t="s">
        <v>112</v>
      </c>
      <c r="D221" s="19" t="s">
        <v>2815</v>
      </c>
      <c r="E221" s="4">
        <v>1</v>
      </c>
      <c r="F221" s="42">
        <v>3.45</v>
      </c>
      <c r="G221" s="45">
        <v>274</v>
      </c>
      <c r="H221" s="22">
        <v>2.4</v>
      </c>
      <c r="I221" s="6">
        <f t="shared" si="3"/>
        <v>2268.7200000000003</v>
      </c>
      <c r="J221" s="7"/>
    </row>
    <row r="222" spans="1:10" ht="13.95" customHeight="1" x14ac:dyDescent="0.3">
      <c r="A222" s="3">
        <v>45891</v>
      </c>
      <c r="B222" s="3" t="s">
        <v>2858</v>
      </c>
      <c r="C222" s="19" t="s">
        <v>11</v>
      </c>
      <c r="D222" s="19" t="s">
        <v>14</v>
      </c>
      <c r="E222" s="4">
        <v>1</v>
      </c>
      <c r="F222" s="42">
        <v>3.8</v>
      </c>
      <c r="G222" s="45">
        <v>274</v>
      </c>
      <c r="H222" s="22">
        <v>2.4</v>
      </c>
      <c r="I222" s="6">
        <f t="shared" si="3"/>
        <v>2498.88</v>
      </c>
      <c r="J222" s="7" t="s">
        <v>2802</v>
      </c>
    </row>
    <row r="223" spans="1:10" ht="13.95" customHeight="1" x14ac:dyDescent="0.3">
      <c r="A223" s="3">
        <v>45892</v>
      </c>
      <c r="B223" s="3" t="s">
        <v>2858</v>
      </c>
      <c r="C223" s="19" t="s">
        <v>13</v>
      </c>
      <c r="D223" s="19" t="s">
        <v>14</v>
      </c>
      <c r="E223" s="4">
        <v>1</v>
      </c>
      <c r="F223" s="42">
        <v>4.55</v>
      </c>
      <c r="G223" s="45">
        <v>274</v>
      </c>
      <c r="H223" s="22">
        <v>2.4</v>
      </c>
      <c r="I223" s="6">
        <f t="shared" si="3"/>
        <v>2992.08</v>
      </c>
      <c r="J223" s="7" t="s">
        <v>2513</v>
      </c>
    </row>
    <row r="224" spans="1:10" ht="13.95" customHeight="1" x14ac:dyDescent="0.3">
      <c r="A224" s="3">
        <v>45893</v>
      </c>
      <c r="B224" s="3" t="s">
        <v>2858</v>
      </c>
      <c r="C224" s="19" t="s">
        <v>16</v>
      </c>
      <c r="D224" s="19" t="s">
        <v>14</v>
      </c>
      <c r="E224" s="4">
        <v>1</v>
      </c>
      <c r="F224" s="42">
        <v>3.95</v>
      </c>
      <c r="G224" s="45">
        <v>274</v>
      </c>
      <c r="H224" s="22">
        <v>2.4</v>
      </c>
      <c r="I224" s="6">
        <f t="shared" si="3"/>
        <v>2597.52</v>
      </c>
      <c r="J224" s="7" t="s">
        <v>69</v>
      </c>
    </row>
    <row r="225" spans="1:10" ht="13.95" customHeight="1" x14ac:dyDescent="0.3">
      <c r="A225" s="3">
        <v>45894</v>
      </c>
      <c r="B225" s="3" t="s">
        <v>2858</v>
      </c>
      <c r="C225" s="19" t="s">
        <v>18</v>
      </c>
      <c r="D225" s="19" t="s">
        <v>1347</v>
      </c>
      <c r="E225" s="4">
        <v>0.95</v>
      </c>
      <c r="F225" s="42">
        <v>3.2</v>
      </c>
      <c r="G225" s="45">
        <v>274</v>
      </c>
      <c r="H225" s="22">
        <v>2.4</v>
      </c>
      <c r="I225" s="6">
        <f t="shared" si="3"/>
        <v>1999.104</v>
      </c>
      <c r="J225" s="7" t="s">
        <v>2812</v>
      </c>
    </row>
    <row r="226" spans="1:10" ht="13.95" customHeight="1" x14ac:dyDescent="0.3">
      <c r="A226" s="3">
        <v>45897</v>
      </c>
      <c r="B226" s="3" t="s">
        <v>2858</v>
      </c>
      <c r="C226" s="19" t="s">
        <v>8</v>
      </c>
      <c r="D226" s="19" t="s">
        <v>2813</v>
      </c>
      <c r="E226" s="4">
        <v>0.95</v>
      </c>
      <c r="F226" s="42">
        <v>3.2</v>
      </c>
      <c r="G226" s="45">
        <v>274</v>
      </c>
      <c r="H226" s="22">
        <v>2.4</v>
      </c>
      <c r="I226" s="6">
        <f t="shared" si="3"/>
        <v>1999.104</v>
      </c>
      <c r="J226" s="7" t="s">
        <v>220</v>
      </c>
    </row>
    <row r="227" spans="1:10" ht="13.95" customHeight="1" x14ac:dyDescent="0.3">
      <c r="A227" s="3">
        <v>45899</v>
      </c>
      <c r="B227" s="3" t="s">
        <v>2858</v>
      </c>
      <c r="C227" s="19" t="s">
        <v>13</v>
      </c>
      <c r="D227" s="19" t="s">
        <v>14</v>
      </c>
      <c r="E227" s="4">
        <v>1</v>
      </c>
      <c r="F227" s="42">
        <v>4.3499999999999996</v>
      </c>
      <c r="G227" s="45">
        <v>274</v>
      </c>
      <c r="H227" s="22">
        <v>2.4</v>
      </c>
      <c r="I227" s="6">
        <f t="shared" si="3"/>
        <v>2860.5599999999995</v>
      </c>
      <c r="J227" s="7" t="s">
        <v>2814</v>
      </c>
    </row>
    <row r="228" spans="1:10" ht="13.95" customHeight="1" x14ac:dyDescent="0.3">
      <c r="A228" s="3">
        <v>45900</v>
      </c>
      <c r="B228" s="3" t="s">
        <v>2858</v>
      </c>
      <c r="C228" s="19" t="s">
        <v>16</v>
      </c>
      <c r="D228" s="19" t="s">
        <v>14</v>
      </c>
      <c r="E228" s="4">
        <v>0.95</v>
      </c>
      <c r="F228" s="42">
        <v>3.7</v>
      </c>
      <c r="G228" s="45">
        <v>274</v>
      </c>
      <c r="H228" s="22">
        <v>2.4</v>
      </c>
      <c r="I228" s="6">
        <f t="shared" si="3"/>
        <v>2311.4640000000004</v>
      </c>
      <c r="J228" s="7" t="s">
        <v>857</v>
      </c>
    </row>
    <row r="229" spans="1:10" ht="13.95" customHeight="1" x14ac:dyDescent="0.3">
      <c r="A229" s="3">
        <v>45901</v>
      </c>
      <c r="B229" s="3" t="s">
        <v>2858</v>
      </c>
      <c r="C229" s="19" t="s">
        <v>18</v>
      </c>
      <c r="D229" s="19" t="s">
        <v>1545</v>
      </c>
      <c r="E229" s="4">
        <v>0.7</v>
      </c>
      <c r="F229" s="42">
        <v>2.4</v>
      </c>
      <c r="G229" s="45">
        <v>274</v>
      </c>
      <c r="H229" s="22">
        <v>1.9</v>
      </c>
      <c r="I229" s="6">
        <f t="shared" si="3"/>
        <v>874.60799999999983</v>
      </c>
      <c r="J229" s="7" t="s">
        <v>2817</v>
      </c>
    </row>
    <row r="230" spans="1:10" ht="13.95" customHeight="1" x14ac:dyDescent="0.3">
      <c r="A230" s="3">
        <v>45902</v>
      </c>
      <c r="B230" s="3" t="s">
        <v>2858</v>
      </c>
      <c r="C230" s="19" t="s">
        <v>20</v>
      </c>
      <c r="D230" s="19" t="s">
        <v>2015</v>
      </c>
      <c r="E230" s="4">
        <v>0.6</v>
      </c>
      <c r="F230" s="42">
        <v>2.2999999999999998</v>
      </c>
      <c r="G230" s="45">
        <v>274</v>
      </c>
      <c r="H230" s="22">
        <v>1.9</v>
      </c>
      <c r="I230" s="6">
        <f t="shared" si="3"/>
        <v>718.428</v>
      </c>
      <c r="J230" s="7" t="s">
        <v>2818</v>
      </c>
    </row>
    <row r="231" spans="1:10" ht="13.95" customHeight="1" x14ac:dyDescent="0.3">
      <c r="A231" s="3">
        <v>45903</v>
      </c>
      <c r="B231" s="3" t="s">
        <v>2858</v>
      </c>
      <c r="C231" s="19" t="s">
        <v>5</v>
      </c>
      <c r="D231" s="19" t="s">
        <v>2015</v>
      </c>
      <c r="E231" s="4">
        <v>0.6</v>
      </c>
      <c r="F231" s="42">
        <v>2.2999999999999998</v>
      </c>
      <c r="G231" s="45">
        <v>274</v>
      </c>
      <c r="H231" s="22">
        <v>1.9</v>
      </c>
      <c r="I231" s="6">
        <f t="shared" si="3"/>
        <v>718.428</v>
      </c>
      <c r="J231" s="7" t="s">
        <v>2501</v>
      </c>
    </row>
    <row r="232" spans="1:10" ht="13.95" customHeight="1" x14ac:dyDescent="0.3">
      <c r="A232" s="3">
        <v>45904</v>
      </c>
      <c r="B232" s="3" t="s">
        <v>2858</v>
      </c>
      <c r="C232" s="19" t="s">
        <v>8</v>
      </c>
      <c r="D232" s="19" t="s">
        <v>1263</v>
      </c>
      <c r="E232" s="4">
        <v>0.75</v>
      </c>
      <c r="F232" s="42">
        <v>2.65</v>
      </c>
      <c r="G232" s="45">
        <v>274</v>
      </c>
      <c r="H232" s="22">
        <v>1.9</v>
      </c>
      <c r="I232" s="6">
        <f t="shared" si="3"/>
        <v>1034.6924999999999</v>
      </c>
      <c r="J232" s="7" t="s">
        <v>2819</v>
      </c>
    </row>
    <row r="233" spans="1:10" ht="13.95" customHeight="1" x14ac:dyDescent="0.3">
      <c r="A233" s="3">
        <v>45905</v>
      </c>
      <c r="B233" s="3" t="s">
        <v>2858</v>
      </c>
      <c r="C233" s="19" t="s">
        <v>11</v>
      </c>
      <c r="D233" s="19" t="s">
        <v>14</v>
      </c>
      <c r="E233" s="4">
        <v>0.8</v>
      </c>
      <c r="F233" s="42">
        <v>3.15</v>
      </c>
      <c r="G233" s="45">
        <v>274</v>
      </c>
      <c r="H233" s="22">
        <v>1.9</v>
      </c>
      <c r="I233" s="6">
        <f t="shared" si="3"/>
        <v>1311.912</v>
      </c>
      <c r="J233" s="7" t="s">
        <v>2820</v>
      </c>
    </row>
    <row r="234" spans="1:10" ht="13.95" customHeight="1" x14ac:dyDescent="0.3">
      <c r="A234" s="3">
        <v>45906</v>
      </c>
      <c r="B234" s="3" t="s">
        <v>2858</v>
      </c>
      <c r="C234" s="19" t="s">
        <v>13</v>
      </c>
      <c r="D234" s="19" t="s">
        <v>14</v>
      </c>
      <c r="E234" s="4">
        <v>0.9</v>
      </c>
      <c r="F234" s="42">
        <v>3.9</v>
      </c>
      <c r="G234" s="45">
        <v>274</v>
      </c>
      <c r="H234" s="22">
        <v>1.9</v>
      </c>
      <c r="I234" s="6">
        <f t="shared" si="3"/>
        <v>1827.306</v>
      </c>
      <c r="J234" s="7" t="s">
        <v>2727</v>
      </c>
    </row>
    <row r="235" spans="1:10" ht="13.95" customHeight="1" x14ac:dyDescent="0.3">
      <c r="A235" s="3">
        <v>45907</v>
      </c>
      <c r="B235" s="3" t="s">
        <v>2858</v>
      </c>
      <c r="C235" s="19" t="s">
        <v>16</v>
      </c>
      <c r="D235" s="19" t="s">
        <v>14</v>
      </c>
      <c r="E235" s="4">
        <v>0.85</v>
      </c>
      <c r="F235" s="42">
        <v>3.5</v>
      </c>
      <c r="G235" s="45">
        <v>274</v>
      </c>
      <c r="H235" s="22">
        <v>1.9</v>
      </c>
      <c r="I235" s="6">
        <f t="shared" si="3"/>
        <v>1548.7849999999999</v>
      </c>
      <c r="J235" s="7" t="s">
        <v>238</v>
      </c>
    </row>
    <row r="236" spans="1:10" ht="13.95" customHeight="1" x14ac:dyDescent="0.3">
      <c r="A236" s="3">
        <v>45908</v>
      </c>
      <c r="B236" s="3" t="s">
        <v>2858</v>
      </c>
      <c r="C236" s="19" t="s">
        <v>18</v>
      </c>
      <c r="D236" s="19" t="s">
        <v>9</v>
      </c>
      <c r="E236" s="4">
        <v>0.6</v>
      </c>
      <c r="F236" s="42">
        <v>2.2999999999999998</v>
      </c>
      <c r="G236" s="45">
        <v>274</v>
      </c>
      <c r="H236" s="22">
        <v>1.9</v>
      </c>
      <c r="I236" s="6">
        <f t="shared" si="3"/>
        <v>718.428</v>
      </c>
      <c r="J236" s="7" t="s">
        <v>2821</v>
      </c>
    </row>
    <row r="237" spans="1:10" ht="13.95" customHeight="1" x14ac:dyDescent="0.3">
      <c r="A237" s="3">
        <v>45909</v>
      </c>
      <c r="B237" s="3" t="s">
        <v>2858</v>
      </c>
      <c r="C237" s="19" t="s">
        <v>20</v>
      </c>
      <c r="D237" s="19" t="s">
        <v>9</v>
      </c>
      <c r="E237" s="4">
        <v>0.6</v>
      </c>
      <c r="F237" s="42">
        <v>2.2999999999999998</v>
      </c>
      <c r="G237" s="45">
        <v>274</v>
      </c>
      <c r="H237" s="22">
        <v>1.9</v>
      </c>
      <c r="I237" s="6">
        <f t="shared" si="3"/>
        <v>718.428</v>
      </c>
      <c r="J237" s="7" t="s">
        <v>88</v>
      </c>
    </row>
    <row r="238" spans="1:10" ht="13.95" customHeight="1" x14ac:dyDescent="0.3">
      <c r="A238" s="3">
        <v>45910</v>
      </c>
      <c r="B238" s="3" t="s">
        <v>2858</v>
      </c>
      <c r="C238" s="19" t="s">
        <v>5</v>
      </c>
      <c r="D238" s="19" t="s">
        <v>9</v>
      </c>
      <c r="E238" s="4">
        <v>0.65</v>
      </c>
      <c r="F238" s="42">
        <v>2.35</v>
      </c>
      <c r="G238" s="45">
        <v>274</v>
      </c>
      <c r="H238" s="22">
        <v>1.9</v>
      </c>
      <c r="I238" s="6">
        <f t="shared" si="3"/>
        <v>795.2165</v>
      </c>
      <c r="J238" s="7" t="s">
        <v>88</v>
      </c>
    </row>
    <row r="239" spans="1:10" ht="13.95" customHeight="1" x14ac:dyDescent="0.3">
      <c r="A239" s="3">
        <v>45911</v>
      </c>
      <c r="B239" s="3" t="s">
        <v>2858</v>
      </c>
      <c r="C239" s="19" t="s">
        <v>8</v>
      </c>
      <c r="D239" s="19" t="s">
        <v>1263</v>
      </c>
      <c r="E239" s="4">
        <v>0.8</v>
      </c>
      <c r="F239" s="42">
        <v>2.7</v>
      </c>
      <c r="G239" s="45">
        <v>274</v>
      </c>
      <c r="H239" s="22">
        <v>1.9</v>
      </c>
      <c r="I239" s="6">
        <f t="shared" si="3"/>
        <v>1124.4960000000001</v>
      </c>
      <c r="J239" s="7" t="s">
        <v>2822</v>
      </c>
    </row>
    <row r="240" spans="1:10" ht="13.95" customHeight="1" x14ac:dyDescent="0.3">
      <c r="A240" s="3">
        <v>45912</v>
      </c>
      <c r="B240" s="3" t="s">
        <v>2858</v>
      </c>
      <c r="C240" s="19" t="s">
        <v>11</v>
      </c>
      <c r="D240" s="19" t="s">
        <v>14</v>
      </c>
      <c r="E240" s="4">
        <v>0.85</v>
      </c>
      <c r="F240" s="42">
        <v>3.2</v>
      </c>
      <c r="G240" s="45">
        <v>274</v>
      </c>
      <c r="H240" s="22">
        <v>1.9</v>
      </c>
      <c r="I240" s="6">
        <f t="shared" si="3"/>
        <v>1416.0320000000002</v>
      </c>
      <c r="J240" s="7" t="s">
        <v>2823</v>
      </c>
    </row>
    <row r="241" spans="1:10" ht="13.95" customHeight="1" x14ac:dyDescent="0.3">
      <c r="A241" s="3">
        <v>45913</v>
      </c>
      <c r="B241" s="3" t="s">
        <v>2858</v>
      </c>
      <c r="C241" s="19" t="s">
        <v>13</v>
      </c>
      <c r="D241" s="19" t="s">
        <v>14</v>
      </c>
      <c r="E241" s="4">
        <v>0.95</v>
      </c>
      <c r="F241" s="42">
        <v>4</v>
      </c>
      <c r="G241" s="45">
        <v>274</v>
      </c>
      <c r="H241" s="22">
        <v>1.9</v>
      </c>
      <c r="I241" s="6">
        <f t="shared" si="3"/>
        <v>1978.28</v>
      </c>
      <c r="J241" s="7" t="s">
        <v>2457</v>
      </c>
    </row>
    <row r="242" spans="1:10" ht="13.95" customHeight="1" x14ac:dyDescent="0.3">
      <c r="A242" s="3">
        <v>45914</v>
      </c>
      <c r="B242" s="3" t="s">
        <v>2858</v>
      </c>
      <c r="C242" s="19" t="s">
        <v>16</v>
      </c>
      <c r="D242" s="19" t="s">
        <v>14</v>
      </c>
      <c r="E242" s="4">
        <v>0.9</v>
      </c>
      <c r="F242" s="42">
        <v>3.6</v>
      </c>
      <c r="G242" s="45">
        <v>274</v>
      </c>
      <c r="H242" s="22">
        <v>1.9</v>
      </c>
      <c r="I242" s="6">
        <f t="shared" si="3"/>
        <v>1686.7439999999999</v>
      </c>
      <c r="J242" s="7" t="s">
        <v>159</v>
      </c>
    </row>
    <row r="243" spans="1:10" ht="13.95" customHeight="1" x14ac:dyDescent="0.3">
      <c r="A243" s="3">
        <v>45915</v>
      </c>
      <c r="B243" s="3" t="s">
        <v>2858</v>
      </c>
      <c r="C243" s="19" t="s">
        <v>18</v>
      </c>
      <c r="D243" s="19" t="s">
        <v>2015</v>
      </c>
      <c r="E243" s="4">
        <v>0.65</v>
      </c>
      <c r="F243" s="42">
        <v>2.35</v>
      </c>
      <c r="G243" s="45">
        <v>274</v>
      </c>
      <c r="H243" s="22">
        <v>1.9</v>
      </c>
      <c r="I243" s="6">
        <f t="shared" si="3"/>
        <v>795.2165</v>
      </c>
      <c r="J243" s="7" t="s">
        <v>2824</v>
      </c>
    </row>
    <row r="244" spans="1:10" ht="13.95" customHeight="1" x14ac:dyDescent="0.3">
      <c r="A244" s="3">
        <v>45916</v>
      </c>
      <c r="B244" s="3" t="s">
        <v>2858</v>
      </c>
      <c r="C244" s="19" t="s">
        <v>20</v>
      </c>
      <c r="D244" s="19" t="s">
        <v>2015</v>
      </c>
      <c r="E244" s="4">
        <v>0.65</v>
      </c>
      <c r="F244" s="42">
        <v>2.35</v>
      </c>
      <c r="G244" s="45">
        <v>274</v>
      </c>
      <c r="H244" s="22">
        <v>1.9</v>
      </c>
      <c r="I244" s="6">
        <f t="shared" si="3"/>
        <v>795.2165</v>
      </c>
      <c r="J244" s="7" t="s">
        <v>2485</v>
      </c>
    </row>
    <row r="245" spans="1:10" ht="13.95" customHeight="1" x14ac:dyDescent="0.3">
      <c r="A245" s="3">
        <v>45917</v>
      </c>
      <c r="B245" s="3" t="s">
        <v>2858</v>
      </c>
      <c r="C245" s="19" t="s">
        <v>5</v>
      </c>
      <c r="D245" s="19" t="s">
        <v>9</v>
      </c>
      <c r="E245" s="4">
        <v>0.65</v>
      </c>
      <c r="F245" s="42">
        <v>2.35</v>
      </c>
      <c r="G245" s="45">
        <v>274</v>
      </c>
      <c r="H245" s="22">
        <v>1.9</v>
      </c>
      <c r="I245" s="6">
        <f t="shared" si="3"/>
        <v>795.2165</v>
      </c>
      <c r="J245" s="7" t="s">
        <v>88</v>
      </c>
    </row>
    <row r="246" spans="1:10" ht="13.95" customHeight="1" x14ac:dyDescent="0.3">
      <c r="A246" s="3">
        <v>45918</v>
      </c>
      <c r="B246" s="3" t="s">
        <v>2858</v>
      </c>
      <c r="C246" s="19" t="s">
        <v>8</v>
      </c>
      <c r="D246" s="19" t="s">
        <v>1263</v>
      </c>
      <c r="E246" s="4">
        <v>0.8</v>
      </c>
      <c r="F246" s="42">
        <v>2.75</v>
      </c>
      <c r="G246" s="45">
        <v>274</v>
      </c>
      <c r="H246" s="22">
        <v>1.9</v>
      </c>
      <c r="I246" s="6">
        <f t="shared" si="3"/>
        <v>1145.3200000000002</v>
      </c>
      <c r="J246" s="7" t="s">
        <v>2825</v>
      </c>
    </row>
    <row r="247" spans="1:10" ht="13.95" customHeight="1" x14ac:dyDescent="0.3">
      <c r="A247" s="3">
        <v>45919</v>
      </c>
      <c r="B247" s="3" t="s">
        <v>2858</v>
      </c>
      <c r="C247" s="19" t="s">
        <v>11</v>
      </c>
      <c r="D247" s="19" t="s">
        <v>14</v>
      </c>
      <c r="E247" s="4">
        <v>0.85</v>
      </c>
      <c r="F247" s="42">
        <v>3.3</v>
      </c>
      <c r="G247" s="45">
        <v>274</v>
      </c>
      <c r="H247" s="22">
        <v>1.9</v>
      </c>
      <c r="I247" s="6">
        <f t="shared" si="3"/>
        <v>1460.2829999999999</v>
      </c>
      <c r="J247" s="7" t="s">
        <v>1095</v>
      </c>
    </row>
    <row r="248" spans="1:10" ht="13.95" customHeight="1" x14ac:dyDescent="0.3">
      <c r="A248" s="3">
        <v>45920</v>
      </c>
      <c r="B248" s="3" t="s">
        <v>2858</v>
      </c>
      <c r="C248" s="19" t="s">
        <v>13</v>
      </c>
      <c r="D248" s="19" t="s">
        <v>14</v>
      </c>
      <c r="E248" s="4">
        <v>0.95</v>
      </c>
      <c r="F248" s="42">
        <v>4.1500000000000004</v>
      </c>
      <c r="G248" s="45">
        <v>274</v>
      </c>
      <c r="H248" s="22">
        <v>1.9</v>
      </c>
      <c r="I248" s="6">
        <f t="shared" si="3"/>
        <v>2052.4655000000002</v>
      </c>
      <c r="J248" s="7" t="s">
        <v>2816</v>
      </c>
    </row>
    <row r="249" spans="1:10" ht="13.95" customHeight="1" x14ac:dyDescent="0.3">
      <c r="A249" s="3">
        <v>45921</v>
      </c>
      <c r="B249" s="3" t="s">
        <v>2858</v>
      </c>
      <c r="C249" s="19" t="s">
        <v>16</v>
      </c>
      <c r="D249" s="19" t="s">
        <v>14</v>
      </c>
      <c r="E249" s="4">
        <v>0.9</v>
      </c>
      <c r="F249" s="42">
        <v>3.65</v>
      </c>
      <c r="G249" s="45">
        <v>274</v>
      </c>
      <c r="H249" s="22">
        <v>1.9</v>
      </c>
      <c r="I249" s="6">
        <f t="shared" si="3"/>
        <v>1710.1709999999998</v>
      </c>
      <c r="J249" s="7" t="s">
        <v>69</v>
      </c>
    </row>
    <row r="250" spans="1:10" ht="13.95" customHeight="1" x14ac:dyDescent="0.3">
      <c r="A250" s="3">
        <v>45922</v>
      </c>
      <c r="B250" s="3" t="s">
        <v>2858</v>
      </c>
      <c r="C250" s="19" t="s">
        <v>18</v>
      </c>
      <c r="D250" s="19" t="s">
        <v>2015</v>
      </c>
      <c r="E250" s="4">
        <v>0.6</v>
      </c>
      <c r="F250" s="42">
        <v>2.35</v>
      </c>
      <c r="G250" s="45">
        <v>274</v>
      </c>
      <c r="H250" s="22">
        <v>1.9</v>
      </c>
      <c r="I250" s="6">
        <f t="shared" si="3"/>
        <v>734.04600000000005</v>
      </c>
      <c r="J250" s="7" t="s">
        <v>2826</v>
      </c>
    </row>
    <row r="251" spans="1:10" ht="13.95" customHeight="1" x14ac:dyDescent="0.3">
      <c r="A251" s="3">
        <v>45923</v>
      </c>
      <c r="B251" s="3" t="s">
        <v>2858</v>
      </c>
      <c r="C251" s="19" t="s">
        <v>20</v>
      </c>
      <c r="D251" s="19" t="s">
        <v>1263</v>
      </c>
      <c r="E251" s="4">
        <v>0.75</v>
      </c>
      <c r="F251" s="42">
        <v>2.65</v>
      </c>
      <c r="G251" s="45">
        <v>274</v>
      </c>
      <c r="H251" s="22">
        <v>1.9</v>
      </c>
      <c r="I251" s="6">
        <f t="shared" si="3"/>
        <v>1034.6924999999999</v>
      </c>
      <c r="J251" s="7" t="s">
        <v>2827</v>
      </c>
    </row>
    <row r="252" spans="1:10" ht="13.95" customHeight="1" x14ac:dyDescent="0.3">
      <c r="A252" s="3">
        <v>45924</v>
      </c>
      <c r="B252" s="3" t="s">
        <v>2858</v>
      </c>
      <c r="C252" s="19" t="s">
        <v>5</v>
      </c>
      <c r="D252" s="19" t="s">
        <v>1263</v>
      </c>
      <c r="E252" s="4">
        <v>0.8</v>
      </c>
      <c r="F252" s="42">
        <v>2.7</v>
      </c>
      <c r="G252" s="45">
        <v>274</v>
      </c>
      <c r="H252" s="22">
        <v>1.9</v>
      </c>
      <c r="I252" s="6">
        <f t="shared" si="3"/>
        <v>1124.4960000000001</v>
      </c>
      <c r="J252" s="7" t="s">
        <v>2828</v>
      </c>
    </row>
    <row r="253" spans="1:10" ht="13.95" customHeight="1" x14ac:dyDescent="0.3">
      <c r="A253" s="3">
        <v>45925</v>
      </c>
      <c r="B253" s="3" t="s">
        <v>2858</v>
      </c>
      <c r="C253" s="19" t="s">
        <v>8</v>
      </c>
      <c r="D253" s="19" t="s">
        <v>9</v>
      </c>
      <c r="E253" s="4">
        <v>0.7</v>
      </c>
      <c r="F253" s="42">
        <v>2.4</v>
      </c>
      <c r="G253" s="45">
        <v>274</v>
      </c>
      <c r="H253" s="22">
        <v>1.9</v>
      </c>
      <c r="I253" s="6">
        <f t="shared" si="3"/>
        <v>874.60799999999983</v>
      </c>
      <c r="J253" s="7" t="s">
        <v>1297</v>
      </c>
    </row>
    <row r="254" spans="1:10" ht="13.95" customHeight="1" x14ac:dyDescent="0.3">
      <c r="A254" s="3">
        <v>45926</v>
      </c>
      <c r="B254" s="3" t="s">
        <v>2858</v>
      </c>
      <c r="C254" s="19" t="s">
        <v>11</v>
      </c>
      <c r="D254" s="19" t="s">
        <v>14</v>
      </c>
      <c r="E254" s="4">
        <v>0.8</v>
      </c>
      <c r="F254" s="42">
        <v>3.25</v>
      </c>
      <c r="G254" s="45">
        <v>274</v>
      </c>
      <c r="H254" s="22">
        <v>1.9</v>
      </c>
      <c r="I254" s="6">
        <f t="shared" si="3"/>
        <v>1353.5600000000002</v>
      </c>
      <c r="J254" s="7" t="s">
        <v>282</v>
      </c>
    </row>
    <row r="255" spans="1:10" ht="13.95" customHeight="1" x14ac:dyDescent="0.3">
      <c r="A255" s="3">
        <v>45927</v>
      </c>
      <c r="B255" s="3" t="s">
        <v>2858</v>
      </c>
      <c r="C255" s="19" t="s">
        <v>13</v>
      </c>
      <c r="D255" s="19" t="s">
        <v>14</v>
      </c>
      <c r="E255" s="4">
        <v>0.9</v>
      </c>
      <c r="F255" s="42">
        <v>3.95</v>
      </c>
      <c r="G255" s="45">
        <v>274</v>
      </c>
      <c r="H255" s="22">
        <v>1.9</v>
      </c>
      <c r="I255" s="6">
        <f t="shared" si="3"/>
        <v>1850.7329999999999</v>
      </c>
      <c r="J255" s="7" t="s">
        <v>2829</v>
      </c>
    </row>
    <row r="256" spans="1:10" ht="13.95" customHeight="1" x14ac:dyDescent="0.3">
      <c r="A256" s="3">
        <v>45928</v>
      </c>
      <c r="B256" s="3" t="s">
        <v>2858</v>
      </c>
      <c r="C256" s="19" t="s">
        <v>16</v>
      </c>
      <c r="D256" s="19" t="s">
        <v>14</v>
      </c>
      <c r="E256" s="4">
        <v>0.85</v>
      </c>
      <c r="F256" s="42">
        <v>3.55</v>
      </c>
      <c r="G256" s="45">
        <v>274</v>
      </c>
      <c r="H256" s="22">
        <v>1.9</v>
      </c>
      <c r="I256" s="6">
        <f t="shared" si="3"/>
        <v>1570.9105</v>
      </c>
      <c r="J256" s="7" t="s">
        <v>69</v>
      </c>
    </row>
    <row r="257" spans="1:10" ht="13.95" customHeight="1" x14ac:dyDescent="0.3">
      <c r="A257" s="3">
        <v>45929</v>
      </c>
      <c r="B257" s="3" t="s">
        <v>2858</v>
      </c>
      <c r="C257" s="19" t="s">
        <v>18</v>
      </c>
      <c r="D257" s="19" t="s">
        <v>9</v>
      </c>
      <c r="E257" s="4">
        <v>0.6</v>
      </c>
      <c r="F257" s="42">
        <v>2.2999999999999998</v>
      </c>
      <c r="G257" s="45">
        <v>274</v>
      </c>
      <c r="H257" s="22">
        <v>1.9</v>
      </c>
      <c r="I257" s="6">
        <f t="shared" si="3"/>
        <v>718.428</v>
      </c>
      <c r="J257" s="7" t="s">
        <v>88</v>
      </c>
    </row>
    <row r="258" spans="1:10" ht="13.95" customHeight="1" x14ac:dyDescent="0.3">
      <c r="A258" s="3">
        <v>45930</v>
      </c>
      <c r="B258" s="3" t="s">
        <v>2858</v>
      </c>
      <c r="C258" s="19" t="s">
        <v>20</v>
      </c>
      <c r="D258" s="19" t="s">
        <v>2783</v>
      </c>
      <c r="E258" s="4">
        <v>0.65</v>
      </c>
      <c r="F258" s="42">
        <v>2.35</v>
      </c>
      <c r="G258" s="45">
        <v>274</v>
      </c>
      <c r="H258" s="22">
        <v>1.9</v>
      </c>
      <c r="I258" s="6">
        <f t="shared" ref="I258:I321" si="4">(G258*E258)*F258*H258</f>
        <v>795.2165</v>
      </c>
      <c r="J258" s="7" t="s">
        <v>2689</v>
      </c>
    </row>
    <row r="259" spans="1:10" ht="13.95" customHeight="1" x14ac:dyDescent="0.3">
      <c r="A259" s="3">
        <v>45931</v>
      </c>
      <c r="B259" s="3" t="s">
        <v>2858</v>
      </c>
      <c r="C259" s="19" t="s">
        <v>5</v>
      </c>
      <c r="D259" s="19" t="s">
        <v>9</v>
      </c>
      <c r="E259" s="4">
        <v>0.6</v>
      </c>
      <c r="F259" s="42">
        <v>2.2999999999999998</v>
      </c>
      <c r="G259" s="45">
        <v>274</v>
      </c>
      <c r="H259" s="22">
        <v>1.9</v>
      </c>
      <c r="I259" s="6">
        <f t="shared" si="4"/>
        <v>718.428</v>
      </c>
      <c r="J259" s="7" t="s">
        <v>2501</v>
      </c>
    </row>
    <row r="260" spans="1:10" ht="13.95" customHeight="1" x14ac:dyDescent="0.3">
      <c r="A260" s="3">
        <v>45932</v>
      </c>
      <c r="B260" s="3" t="s">
        <v>2858</v>
      </c>
      <c r="C260" s="19" t="s">
        <v>8</v>
      </c>
      <c r="D260" s="19" t="s">
        <v>1263</v>
      </c>
      <c r="E260" s="4">
        <v>0.75</v>
      </c>
      <c r="F260" s="42">
        <v>2.65</v>
      </c>
      <c r="G260" s="45">
        <v>274</v>
      </c>
      <c r="H260" s="22">
        <v>1.9</v>
      </c>
      <c r="I260" s="6">
        <f t="shared" si="4"/>
        <v>1034.6924999999999</v>
      </c>
      <c r="J260" s="7" t="s">
        <v>1376</v>
      </c>
    </row>
    <row r="261" spans="1:10" ht="13.95" customHeight="1" x14ac:dyDescent="0.3">
      <c r="A261" s="3">
        <v>45933</v>
      </c>
      <c r="B261" s="3" t="s">
        <v>2858</v>
      </c>
      <c r="C261" s="19" t="s">
        <v>11</v>
      </c>
      <c r="D261" s="19" t="s">
        <v>14</v>
      </c>
      <c r="E261" s="4">
        <v>0.75</v>
      </c>
      <c r="F261" s="42">
        <v>3.1</v>
      </c>
      <c r="G261" s="45">
        <v>274</v>
      </c>
      <c r="H261" s="22">
        <v>1.9</v>
      </c>
      <c r="I261" s="6">
        <f t="shared" si="4"/>
        <v>1210.395</v>
      </c>
      <c r="J261" s="7" t="s">
        <v>268</v>
      </c>
    </row>
    <row r="262" spans="1:10" ht="13.95" customHeight="1" x14ac:dyDescent="0.3">
      <c r="A262" s="3">
        <v>45934</v>
      </c>
      <c r="B262" s="3" t="s">
        <v>2858</v>
      </c>
      <c r="C262" s="19" t="s">
        <v>13</v>
      </c>
      <c r="D262" s="19" t="s">
        <v>14</v>
      </c>
      <c r="E262" s="4">
        <v>0.85</v>
      </c>
      <c r="F262" s="42">
        <v>3.85</v>
      </c>
      <c r="G262" s="45">
        <v>274</v>
      </c>
      <c r="H262" s="22">
        <v>1.9</v>
      </c>
      <c r="I262" s="6">
        <f t="shared" si="4"/>
        <v>1703.6635000000001</v>
      </c>
      <c r="J262" s="7" t="s">
        <v>2830</v>
      </c>
    </row>
    <row r="263" spans="1:10" ht="13.95" customHeight="1" x14ac:dyDescent="0.3">
      <c r="A263" s="3">
        <v>45935</v>
      </c>
      <c r="B263" s="3" t="s">
        <v>2858</v>
      </c>
      <c r="C263" s="19" t="s">
        <v>16</v>
      </c>
      <c r="D263" s="19" t="s">
        <v>14</v>
      </c>
      <c r="E263" s="4">
        <v>0.8</v>
      </c>
      <c r="F263" s="42">
        <v>3.4</v>
      </c>
      <c r="G263" s="45">
        <v>274</v>
      </c>
      <c r="H263" s="22">
        <v>1.9</v>
      </c>
      <c r="I263" s="6">
        <f t="shared" si="4"/>
        <v>1416.0320000000002</v>
      </c>
      <c r="J263" s="7" t="s">
        <v>238</v>
      </c>
    </row>
    <row r="264" spans="1:10" ht="13.95" customHeight="1" x14ac:dyDescent="0.3">
      <c r="A264" s="3">
        <v>45939</v>
      </c>
      <c r="B264" s="3" t="s">
        <v>2858</v>
      </c>
      <c r="C264" s="19" t="s">
        <v>8</v>
      </c>
      <c r="D264" s="19" t="s">
        <v>1263</v>
      </c>
      <c r="E264" s="4">
        <v>0.85</v>
      </c>
      <c r="F264" s="42">
        <v>2.75</v>
      </c>
      <c r="G264" s="45">
        <v>274</v>
      </c>
      <c r="H264" s="22">
        <v>1.9</v>
      </c>
      <c r="I264" s="6">
        <f t="shared" si="4"/>
        <v>1216.9024999999999</v>
      </c>
      <c r="J264" s="7" t="s">
        <v>2831</v>
      </c>
    </row>
    <row r="265" spans="1:10" ht="13.95" customHeight="1" x14ac:dyDescent="0.3">
      <c r="A265" s="3">
        <v>45940</v>
      </c>
      <c r="B265" s="3" t="s">
        <v>2858</v>
      </c>
      <c r="C265" s="19" t="s">
        <v>11</v>
      </c>
      <c r="D265" s="19" t="s">
        <v>14</v>
      </c>
      <c r="E265" s="4">
        <v>0.8</v>
      </c>
      <c r="F265" s="42">
        <v>3.15</v>
      </c>
      <c r="G265" s="45">
        <v>274</v>
      </c>
      <c r="H265" s="22">
        <v>1.9</v>
      </c>
      <c r="I265" s="6">
        <f t="shared" si="4"/>
        <v>1311.912</v>
      </c>
      <c r="J265" s="7" t="s">
        <v>390</v>
      </c>
    </row>
    <row r="266" spans="1:10" ht="13.95" customHeight="1" x14ac:dyDescent="0.3">
      <c r="A266" s="3">
        <v>45941</v>
      </c>
      <c r="B266" s="3" t="s">
        <v>2858</v>
      </c>
      <c r="C266" s="19" t="s">
        <v>13</v>
      </c>
      <c r="D266" s="19" t="s">
        <v>14</v>
      </c>
      <c r="E266" s="4">
        <v>0.9</v>
      </c>
      <c r="F266" s="42">
        <v>3.95</v>
      </c>
      <c r="G266" s="45">
        <v>274</v>
      </c>
      <c r="H266" s="22">
        <v>1.9</v>
      </c>
      <c r="I266" s="6">
        <f t="shared" si="4"/>
        <v>1850.7329999999999</v>
      </c>
      <c r="J266" s="7" t="s">
        <v>2722</v>
      </c>
    </row>
    <row r="267" spans="1:10" ht="13.95" customHeight="1" x14ac:dyDescent="0.3">
      <c r="A267" s="3">
        <v>45942</v>
      </c>
      <c r="B267" s="3" t="s">
        <v>2858</v>
      </c>
      <c r="C267" s="19" t="s">
        <v>16</v>
      </c>
      <c r="D267" s="19" t="s">
        <v>14</v>
      </c>
      <c r="E267" s="4">
        <v>0.85</v>
      </c>
      <c r="F267" s="42">
        <v>3.5</v>
      </c>
      <c r="G267" s="45">
        <v>274</v>
      </c>
      <c r="H267" s="22">
        <v>1.9</v>
      </c>
      <c r="I267" s="6">
        <f t="shared" si="4"/>
        <v>1548.7849999999999</v>
      </c>
      <c r="J267" s="7" t="s">
        <v>159</v>
      </c>
    </row>
    <row r="268" spans="1:10" ht="13.95" customHeight="1" x14ac:dyDescent="0.3">
      <c r="A268" s="3">
        <v>45945</v>
      </c>
      <c r="B268" s="3" t="s">
        <v>2858</v>
      </c>
      <c r="C268" s="19" t="s">
        <v>5</v>
      </c>
      <c r="D268" s="19" t="s">
        <v>2691</v>
      </c>
      <c r="E268" s="4">
        <v>0.95</v>
      </c>
      <c r="F268" s="42">
        <v>3.7</v>
      </c>
      <c r="G268" s="45">
        <v>274</v>
      </c>
      <c r="H268" s="22">
        <v>1.9</v>
      </c>
      <c r="I268" s="6">
        <f t="shared" si="4"/>
        <v>1829.9090000000001</v>
      </c>
      <c r="J268" s="7" t="s">
        <v>2754</v>
      </c>
    </row>
    <row r="269" spans="1:10" ht="13.95" customHeight="1" x14ac:dyDescent="0.3">
      <c r="A269" s="3">
        <v>45946</v>
      </c>
      <c r="B269" s="3" t="s">
        <v>2858</v>
      </c>
      <c r="C269" s="19" t="s">
        <v>8</v>
      </c>
      <c r="D269" s="19" t="s">
        <v>9</v>
      </c>
      <c r="E269" s="4">
        <v>0.7</v>
      </c>
      <c r="F269" s="42">
        <v>2.4</v>
      </c>
      <c r="G269" s="45">
        <v>274</v>
      </c>
      <c r="H269" s="22">
        <v>1.9</v>
      </c>
      <c r="I269" s="6">
        <f t="shared" si="4"/>
        <v>874.60799999999983</v>
      </c>
      <c r="J269" s="7" t="s">
        <v>2832</v>
      </c>
    </row>
    <row r="270" spans="1:10" ht="13.95" customHeight="1" x14ac:dyDescent="0.3">
      <c r="A270" s="3">
        <v>45947</v>
      </c>
      <c r="B270" s="3" t="s">
        <v>2858</v>
      </c>
      <c r="C270" s="19" t="s">
        <v>11</v>
      </c>
      <c r="D270" s="19" t="s">
        <v>2833</v>
      </c>
      <c r="E270" s="4">
        <v>0.75</v>
      </c>
      <c r="F270" s="42">
        <v>3.1</v>
      </c>
      <c r="G270" s="45">
        <v>274</v>
      </c>
      <c r="H270" s="22">
        <v>1.9</v>
      </c>
      <c r="I270" s="6">
        <f t="shared" si="4"/>
        <v>1210.395</v>
      </c>
      <c r="J270" s="7" t="s">
        <v>2834</v>
      </c>
    </row>
    <row r="271" spans="1:10" ht="13.95" customHeight="1" x14ac:dyDescent="0.3">
      <c r="A271" s="3">
        <v>45948</v>
      </c>
      <c r="B271" s="3" t="s">
        <v>2858</v>
      </c>
      <c r="C271" s="19" t="s">
        <v>13</v>
      </c>
      <c r="D271" s="19" t="s">
        <v>14</v>
      </c>
      <c r="E271" s="4">
        <v>0.95</v>
      </c>
      <c r="F271" s="42">
        <v>4.0999999999999996</v>
      </c>
      <c r="G271" s="45">
        <v>274</v>
      </c>
      <c r="H271" s="22">
        <v>1.9</v>
      </c>
      <c r="I271" s="6">
        <f t="shared" si="4"/>
        <v>2027.7369999999999</v>
      </c>
      <c r="J271" s="7" t="s">
        <v>2835</v>
      </c>
    </row>
    <row r="272" spans="1:10" ht="13.95" customHeight="1" x14ac:dyDescent="0.3">
      <c r="A272" s="3">
        <v>45949</v>
      </c>
      <c r="B272" s="3" t="s">
        <v>2858</v>
      </c>
      <c r="C272" s="19" t="s">
        <v>16</v>
      </c>
      <c r="D272" s="19" t="s">
        <v>14</v>
      </c>
      <c r="E272" s="4">
        <v>0.9</v>
      </c>
      <c r="F272" s="42">
        <v>3.65</v>
      </c>
      <c r="G272" s="45">
        <v>274</v>
      </c>
      <c r="H272" s="22">
        <v>1.9</v>
      </c>
      <c r="I272" s="6">
        <f t="shared" si="4"/>
        <v>1710.1709999999998</v>
      </c>
      <c r="J272" s="7" t="s">
        <v>2836</v>
      </c>
    </row>
    <row r="273" spans="1:10" ht="13.95" customHeight="1" x14ac:dyDescent="0.3">
      <c r="A273" s="3">
        <v>45950</v>
      </c>
      <c r="B273" s="3" t="s">
        <v>2858</v>
      </c>
      <c r="C273" s="19" t="s">
        <v>18</v>
      </c>
      <c r="D273" s="19" t="s">
        <v>658</v>
      </c>
      <c r="E273" s="4">
        <v>0.7</v>
      </c>
      <c r="F273" s="42">
        <v>2.4500000000000002</v>
      </c>
      <c r="G273" s="45">
        <v>274</v>
      </c>
      <c r="H273" s="22">
        <v>1.9</v>
      </c>
      <c r="I273" s="6">
        <f t="shared" si="4"/>
        <v>892.82899999999995</v>
      </c>
      <c r="J273" s="7" t="s">
        <v>1332</v>
      </c>
    </row>
    <row r="274" spans="1:10" ht="13.95" customHeight="1" x14ac:dyDescent="0.3">
      <c r="A274" s="3">
        <v>45953</v>
      </c>
      <c r="B274" s="3" t="s">
        <v>2858</v>
      </c>
      <c r="C274" s="19" t="s">
        <v>8</v>
      </c>
      <c r="D274" s="19" t="s">
        <v>1263</v>
      </c>
      <c r="E274" s="4">
        <v>0.8</v>
      </c>
      <c r="F274" s="42">
        <v>2.7</v>
      </c>
      <c r="G274" s="45">
        <v>274</v>
      </c>
      <c r="H274" s="22">
        <v>1.9</v>
      </c>
      <c r="I274" s="6">
        <f t="shared" si="4"/>
        <v>1124.4960000000001</v>
      </c>
      <c r="J274" s="7" t="s">
        <v>2082</v>
      </c>
    </row>
    <row r="275" spans="1:10" ht="13.95" customHeight="1" x14ac:dyDescent="0.3">
      <c r="A275" s="3">
        <v>45954</v>
      </c>
      <c r="B275" s="3" t="s">
        <v>2858</v>
      </c>
      <c r="C275" s="19" t="s">
        <v>11</v>
      </c>
      <c r="D275" s="19" t="s">
        <v>14</v>
      </c>
      <c r="E275" s="4">
        <v>0.85</v>
      </c>
      <c r="F275" s="42">
        <v>3.25</v>
      </c>
      <c r="G275" s="45">
        <v>274</v>
      </c>
      <c r="H275" s="22">
        <v>1.9</v>
      </c>
      <c r="I275" s="6">
        <f t="shared" si="4"/>
        <v>1438.1575</v>
      </c>
      <c r="J275" s="7" t="s">
        <v>2837</v>
      </c>
    </row>
    <row r="276" spans="1:10" ht="13.95" customHeight="1" x14ac:dyDescent="0.3">
      <c r="A276" s="3">
        <v>45955</v>
      </c>
      <c r="B276" s="3" t="s">
        <v>2858</v>
      </c>
      <c r="C276" s="19" t="s">
        <v>13</v>
      </c>
      <c r="D276" s="19" t="s">
        <v>14</v>
      </c>
      <c r="E276" s="4">
        <v>0.95</v>
      </c>
      <c r="F276" s="42">
        <v>4</v>
      </c>
      <c r="G276" s="45">
        <v>274</v>
      </c>
      <c r="H276" s="22">
        <v>1.9</v>
      </c>
      <c r="I276" s="6">
        <f t="shared" si="4"/>
        <v>1978.28</v>
      </c>
      <c r="J276" s="7" t="s">
        <v>1811</v>
      </c>
    </row>
    <row r="277" spans="1:10" ht="13.95" customHeight="1" x14ac:dyDescent="0.3">
      <c r="A277" s="3">
        <v>45956</v>
      </c>
      <c r="B277" s="3" t="s">
        <v>2858</v>
      </c>
      <c r="C277" s="19" t="s">
        <v>16</v>
      </c>
      <c r="D277" s="19" t="s">
        <v>14</v>
      </c>
      <c r="E277" s="4">
        <v>0.9</v>
      </c>
      <c r="F277" s="42">
        <v>3.6</v>
      </c>
      <c r="G277" s="45">
        <v>274</v>
      </c>
      <c r="H277" s="22">
        <v>1.9</v>
      </c>
      <c r="I277" s="6">
        <f t="shared" si="4"/>
        <v>1686.7439999999999</v>
      </c>
      <c r="J277" s="7" t="s">
        <v>159</v>
      </c>
    </row>
    <row r="278" spans="1:10" ht="13.95" customHeight="1" x14ac:dyDescent="0.3">
      <c r="A278" s="3">
        <v>45957</v>
      </c>
      <c r="B278" s="3" t="s">
        <v>2858</v>
      </c>
      <c r="C278" s="19" t="s">
        <v>18</v>
      </c>
      <c r="D278" s="19" t="s">
        <v>9</v>
      </c>
      <c r="E278" s="4">
        <v>0.6</v>
      </c>
      <c r="F278" s="42">
        <v>2.2999999999999998</v>
      </c>
      <c r="G278" s="45">
        <v>274</v>
      </c>
      <c r="H278" s="22">
        <v>1.9</v>
      </c>
      <c r="I278" s="6">
        <f t="shared" si="4"/>
        <v>718.428</v>
      </c>
      <c r="J278" s="7" t="s">
        <v>2501</v>
      </c>
    </row>
    <row r="279" spans="1:10" ht="13.95" customHeight="1" x14ac:dyDescent="0.3">
      <c r="A279" s="3">
        <v>45960</v>
      </c>
      <c r="B279" s="3" t="s">
        <v>2858</v>
      </c>
      <c r="C279" s="19" t="s">
        <v>8</v>
      </c>
      <c r="D279" s="19" t="s">
        <v>1465</v>
      </c>
      <c r="E279" s="4">
        <v>0.75</v>
      </c>
      <c r="F279" s="42">
        <v>2.6</v>
      </c>
      <c r="G279" s="45">
        <v>274</v>
      </c>
      <c r="H279" s="22">
        <v>1.9</v>
      </c>
      <c r="I279" s="6">
        <f t="shared" si="4"/>
        <v>1015.1700000000001</v>
      </c>
      <c r="J279" s="7" t="s">
        <v>2838</v>
      </c>
    </row>
    <row r="280" spans="1:10" ht="13.95" customHeight="1" x14ac:dyDescent="0.3">
      <c r="A280" s="3">
        <v>45961</v>
      </c>
      <c r="B280" s="3" t="s">
        <v>2858</v>
      </c>
      <c r="C280" s="19" t="s">
        <v>11</v>
      </c>
      <c r="D280" s="19" t="s">
        <v>2591</v>
      </c>
      <c r="E280" s="4">
        <v>0.9</v>
      </c>
      <c r="F280" s="42">
        <v>3.8</v>
      </c>
      <c r="G280" s="45">
        <v>274</v>
      </c>
      <c r="H280" s="22">
        <v>1.9</v>
      </c>
      <c r="I280" s="6">
        <f t="shared" si="4"/>
        <v>1780.4519999999998</v>
      </c>
      <c r="J280" s="7" t="s">
        <v>1234</v>
      </c>
    </row>
    <row r="281" spans="1:10" ht="13.95" customHeight="1" x14ac:dyDescent="0.3">
      <c r="A281" s="3">
        <v>45962</v>
      </c>
      <c r="B281" s="3" t="s">
        <v>2858</v>
      </c>
      <c r="C281" s="19" t="s">
        <v>13</v>
      </c>
      <c r="D281" s="19" t="s">
        <v>14</v>
      </c>
      <c r="E281" s="4">
        <v>0.8</v>
      </c>
      <c r="F281" s="42">
        <v>3.7</v>
      </c>
      <c r="G281" s="45">
        <v>274</v>
      </c>
      <c r="H281" s="22">
        <v>1.8</v>
      </c>
      <c r="I281" s="6">
        <f t="shared" si="4"/>
        <v>1459.8720000000001</v>
      </c>
      <c r="J281" s="7" t="s">
        <v>2457</v>
      </c>
    </row>
    <row r="282" spans="1:10" ht="13.95" customHeight="1" x14ac:dyDescent="0.3">
      <c r="A282" s="3">
        <v>45963</v>
      </c>
      <c r="B282" s="3" t="s">
        <v>2858</v>
      </c>
      <c r="C282" s="19" t="s">
        <v>16</v>
      </c>
      <c r="D282" s="19" t="s">
        <v>14</v>
      </c>
      <c r="E282" s="4">
        <v>0.75</v>
      </c>
      <c r="F282" s="42">
        <v>3.35</v>
      </c>
      <c r="G282" s="45">
        <v>274</v>
      </c>
      <c r="H282" s="22">
        <v>1.8</v>
      </c>
      <c r="I282" s="6">
        <f t="shared" si="4"/>
        <v>1239.1650000000002</v>
      </c>
      <c r="J282" s="7" t="s">
        <v>238</v>
      </c>
    </row>
    <row r="283" spans="1:10" ht="13.95" customHeight="1" x14ac:dyDescent="0.3">
      <c r="A283" s="3">
        <v>45964</v>
      </c>
      <c r="B283" s="3" t="s">
        <v>2858</v>
      </c>
      <c r="C283" s="19" t="s">
        <v>18</v>
      </c>
      <c r="D283" s="19" t="s">
        <v>2015</v>
      </c>
      <c r="E283" s="4">
        <v>0.45</v>
      </c>
      <c r="F283" s="42">
        <v>2.2000000000000002</v>
      </c>
      <c r="G283" s="45">
        <v>274</v>
      </c>
      <c r="H283" s="22">
        <v>1.8</v>
      </c>
      <c r="I283" s="6">
        <f t="shared" si="4"/>
        <v>488.26799999999997</v>
      </c>
      <c r="J283" s="7" t="s">
        <v>2485</v>
      </c>
    </row>
    <row r="284" spans="1:10" ht="13.95" customHeight="1" x14ac:dyDescent="0.3">
      <c r="A284" s="3">
        <v>45965</v>
      </c>
      <c r="B284" s="3" t="s">
        <v>2858</v>
      </c>
      <c r="C284" s="19" t="s">
        <v>20</v>
      </c>
      <c r="D284" s="19" t="s">
        <v>2015</v>
      </c>
      <c r="E284" s="4">
        <v>0.45</v>
      </c>
      <c r="F284" s="42">
        <v>2.2000000000000002</v>
      </c>
      <c r="G284" s="45">
        <v>274</v>
      </c>
      <c r="H284" s="22">
        <v>1.8</v>
      </c>
      <c r="I284" s="6">
        <f t="shared" si="4"/>
        <v>488.26799999999997</v>
      </c>
      <c r="J284" s="7" t="s">
        <v>88</v>
      </c>
    </row>
    <row r="285" spans="1:10" ht="13.95" customHeight="1" x14ac:dyDescent="0.3">
      <c r="A285" s="3">
        <v>45966</v>
      </c>
      <c r="B285" s="3" t="s">
        <v>2858</v>
      </c>
      <c r="C285" s="19" t="s">
        <v>5</v>
      </c>
      <c r="D285" s="19" t="s">
        <v>9</v>
      </c>
      <c r="E285" s="4">
        <v>0.5</v>
      </c>
      <c r="F285" s="42">
        <v>2.25</v>
      </c>
      <c r="G285" s="45">
        <v>274</v>
      </c>
      <c r="H285" s="22">
        <v>1.8</v>
      </c>
      <c r="I285" s="6">
        <f t="shared" si="4"/>
        <v>554.85</v>
      </c>
      <c r="J285" s="7" t="s">
        <v>88</v>
      </c>
    </row>
    <row r="286" spans="1:10" ht="13.95" customHeight="1" x14ac:dyDescent="0.3">
      <c r="A286" s="3">
        <v>45967</v>
      </c>
      <c r="B286" s="3" t="s">
        <v>2858</v>
      </c>
      <c r="C286" s="19" t="s">
        <v>8</v>
      </c>
      <c r="D286" s="19" t="s">
        <v>1263</v>
      </c>
      <c r="E286" s="4">
        <v>0.7</v>
      </c>
      <c r="F286" s="42">
        <v>2.65</v>
      </c>
      <c r="G286" s="45">
        <v>274</v>
      </c>
      <c r="H286" s="22">
        <v>1.8</v>
      </c>
      <c r="I286" s="6">
        <f t="shared" si="4"/>
        <v>914.88599999999985</v>
      </c>
      <c r="J286" s="7" t="s">
        <v>1376</v>
      </c>
    </row>
    <row r="287" spans="1:10" ht="13.95" customHeight="1" x14ac:dyDescent="0.3">
      <c r="A287" s="3">
        <v>45968</v>
      </c>
      <c r="B287" s="3" t="s">
        <v>2858</v>
      </c>
      <c r="C287" s="19" t="s">
        <v>11</v>
      </c>
      <c r="D287" s="19" t="s">
        <v>14</v>
      </c>
      <c r="E287" s="4">
        <v>0.7</v>
      </c>
      <c r="F287" s="42">
        <v>3.1</v>
      </c>
      <c r="G287" s="45">
        <v>274</v>
      </c>
      <c r="H287" s="22">
        <v>1.8</v>
      </c>
      <c r="I287" s="6">
        <f t="shared" si="4"/>
        <v>1070.2439999999999</v>
      </c>
      <c r="J287" s="7" t="s">
        <v>268</v>
      </c>
    </row>
    <row r="288" spans="1:10" ht="13.95" customHeight="1" x14ac:dyDescent="0.3">
      <c r="A288" s="3">
        <v>45969</v>
      </c>
      <c r="B288" s="3" t="s">
        <v>2858</v>
      </c>
      <c r="C288" s="19" t="s">
        <v>13</v>
      </c>
      <c r="D288" s="19" t="s">
        <v>14</v>
      </c>
      <c r="E288" s="4">
        <v>0.85</v>
      </c>
      <c r="F288" s="42">
        <v>3.8</v>
      </c>
      <c r="G288" s="45">
        <v>274</v>
      </c>
      <c r="H288" s="22">
        <v>1.8</v>
      </c>
      <c r="I288" s="6">
        <f t="shared" si="4"/>
        <v>1593.0360000000001</v>
      </c>
      <c r="J288" s="7" t="s">
        <v>2727</v>
      </c>
    </row>
    <row r="289" spans="1:10" ht="13.95" customHeight="1" x14ac:dyDescent="0.3">
      <c r="A289" s="3">
        <v>45970</v>
      </c>
      <c r="B289" s="3" t="s">
        <v>2858</v>
      </c>
      <c r="C289" s="19" t="s">
        <v>16</v>
      </c>
      <c r="D289" s="19" t="s">
        <v>14</v>
      </c>
      <c r="E289" s="4">
        <v>0.8</v>
      </c>
      <c r="F289" s="42">
        <v>3.4</v>
      </c>
      <c r="G289" s="45">
        <v>274</v>
      </c>
      <c r="H289" s="22">
        <v>1.8</v>
      </c>
      <c r="I289" s="6">
        <f t="shared" si="4"/>
        <v>1341.5040000000001</v>
      </c>
      <c r="J289" s="7" t="s">
        <v>2840</v>
      </c>
    </row>
    <row r="290" spans="1:10" ht="13.95" customHeight="1" x14ac:dyDescent="0.3">
      <c r="A290" s="3">
        <v>45971</v>
      </c>
      <c r="B290" s="3" t="s">
        <v>2858</v>
      </c>
      <c r="C290" s="19" t="s">
        <v>18</v>
      </c>
      <c r="D290" s="19" t="s">
        <v>9</v>
      </c>
      <c r="E290" s="4">
        <v>0.45</v>
      </c>
      <c r="F290" s="42">
        <v>2.2000000000000002</v>
      </c>
      <c r="G290" s="45">
        <v>274</v>
      </c>
      <c r="H290" s="22">
        <v>1.8</v>
      </c>
      <c r="I290" s="6">
        <f t="shared" si="4"/>
        <v>488.26799999999997</v>
      </c>
      <c r="J290" s="7" t="s">
        <v>1297</v>
      </c>
    </row>
    <row r="291" spans="1:10" ht="13.95" customHeight="1" x14ac:dyDescent="0.3">
      <c r="A291" s="3">
        <v>45972</v>
      </c>
      <c r="B291" s="3" t="s">
        <v>2858</v>
      </c>
      <c r="C291" s="19" t="s">
        <v>20</v>
      </c>
      <c r="D291" s="19" t="s">
        <v>9</v>
      </c>
      <c r="E291" s="4">
        <v>0.45</v>
      </c>
      <c r="F291" s="42">
        <v>2.2000000000000002</v>
      </c>
      <c r="G291" s="45">
        <v>274</v>
      </c>
      <c r="H291" s="22">
        <v>1.8</v>
      </c>
      <c r="I291" s="6">
        <f t="shared" si="4"/>
        <v>488.26799999999997</v>
      </c>
      <c r="J291" s="7" t="s">
        <v>88</v>
      </c>
    </row>
    <row r="292" spans="1:10" ht="13.95" customHeight="1" x14ac:dyDescent="0.3">
      <c r="A292" s="3">
        <v>45973</v>
      </c>
      <c r="B292" s="3" t="s">
        <v>2858</v>
      </c>
      <c r="C292" s="19" t="s">
        <v>5</v>
      </c>
      <c r="D292" s="19" t="s">
        <v>9</v>
      </c>
      <c r="E292" s="4">
        <v>0.5</v>
      </c>
      <c r="F292" s="42">
        <v>2.25</v>
      </c>
      <c r="G292" s="45">
        <v>274</v>
      </c>
      <c r="H292" s="22">
        <v>1.8</v>
      </c>
      <c r="I292" s="6">
        <f t="shared" si="4"/>
        <v>554.85</v>
      </c>
      <c r="J292" s="7" t="s">
        <v>88</v>
      </c>
    </row>
    <row r="293" spans="1:10" ht="13.95" customHeight="1" x14ac:dyDescent="0.3">
      <c r="A293" s="3">
        <v>45974</v>
      </c>
      <c r="B293" s="3" t="s">
        <v>2858</v>
      </c>
      <c r="C293" s="19" t="s">
        <v>8</v>
      </c>
      <c r="D293" s="19" t="s">
        <v>1263</v>
      </c>
      <c r="E293" s="4">
        <v>0.75</v>
      </c>
      <c r="F293" s="42">
        <v>2.7</v>
      </c>
      <c r="G293" s="45">
        <v>274</v>
      </c>
      <c r="H293" s="22">
        <v>1.8</v>
      </c>
      <c r="I293" s="6">
        <f t="shared" si="4"/>
        <v>998.73</v>
      </c>
      <c r="J293" s="7" t="s">
        <v>2839</v>
      </c>
    </row>
    <row r="294" spans="1:10" ht="13.95" customHeight="1" x14ac:dyDescent="0.3">
      <c r="A294" s="3">
        <v>45975</v>
      </c>
      <c r="B294" s="3" t="s">
        <v>2858</v>
      </c>
      <c r="C294" s="19" t="s">
        <v>11</v>
      </c>
      <c r="D294" s="19" t="s">
        <v>14</v>
      </c>
      <c r="E294" s="4">
        <v>0.7</v>
      </c>
      <c r="F294" s="42">
        <v>3.15</v>
      </c>
      <c r="G294" s="45">
        <v>274</v>
      </c>
      <c r="H294" s="22">
        <v>1.8</v>
      </c>
      <c r="I294" s="6">
        <f t="shared" si="4"/>
        <v>1087.5059999999999</v>
      </c>
      <c r="J294" s="7" t="s">
        <v>1095</v>
      </c>
    </row>
    <row r="295" spans="1:10" ht="13.95" customHeight="1" x14ac:dyDescent="0.3">
      <c r="A295" s="3">
        <v>45976</v>
      </c>
      <c r="B295" s="3" t="s">
        <v>2858</v>
      </c>
      <c r="C295" s="19" t="s">
        <v>13</v>
      </c>
      <c r="D295" s="19" t="s">
        <v>14</v>
      </c>
      <c r="E295" s="4">
        <v>0.9</v>
      </c>
      <c r="F295" s="42">
        <v>3.9</v>
      </c>
      <c r="G295" s="45">
        <v>274</v>
      </c>
      <c r="H295" s="22">
        <v>1.8</v>
      </c>
      <c r="I295" s="6">
        <f t="shared" si="4"/>
        <v>1731.1320000000001</v>
      </c>
      <c r="J295" s="7" t="s">
        <v>2843</v>
      </c>
    </row>
    <row r="296" spans="1:10" ht="13.95" customHeight="1" x14ac:dyDescent="0.3">
      <c r="A296" s="3">
        <v>45977</v>
      </c>
      <c r="B296" s="3" t="s">
        <v>2858</v>
      </c>
      <c r="C296" s="19" t="s">
        <v>16</v>
      </c>
      <c r="D296" s="19" t="s">
        <v>14</v>
      </c>
      <c r="E296" s="4">
        <v>0.85</v>
      </c>
      <c r="F296" s="42">
        <v>3.5</v>
      </c>
      <c r="G296" s="45">
        <v>274</v>
      </c>
      <c r="H296" s="22">
        <v>1.8</v>
      </c>
      <c r="I296" s="6">
        <f t="shared" si="4"/>
        <v>1467.27</v>
      </c>
      <c r="J296" s="7" t="s">
        <v>159</v>
      </c>
    </row>
    <row r="297" spans="1:10" ht="13.95" customHeight="1" x14ac:dyDescent="0.3">
      <c r="A297" s="3">
        <v>45978</v>
      </c>
      <c r="B297" s="3" t="s">
        <v>2858</v>
      </c>
      <c r="C297" s="19" t="s">
        <v>18</v>
      </c>
      <c r="D297" s="19" t="s">
        <v>9</v>
      </c>
      <c r="E297" s="4">
        <v>0.45</v>
      </c>
      <c r="F297" s="42">
        <v>2.2000000000000002</v>
      </c>
      <c r="G297" s="45">
        <v>274</v>
      </c>
      <c r="H297" s="22">
        <v>1.8</v>
      </c>
      <c r="I297" s="6">
        <f t="shared" si="4"/>
        <v>488.26799999999997</v>
      </c>
      <c r="J297" s="7" t="s">
        <v>88</v>
      </c>
    </row>
    <row r="298" spans="1:10" ht="13.95" customHeight="1" x14ac:dyDescent="0.3">
      <c r="A298" s="3">
        <v>45979</v>
      </c>
      <c r="B298" s="3" t="s">
        <v>2858</v>
      </c>
      <c r="C298" s="19" t="s">
        <v>20</v>
      </c>
      <c r="D298" s="19" t="s">
        <v>9</v>
      </c>
      <c r="E298" s="4">
        <v>0.45</v>
      </c>
      <c r="F298" s="42">
        <v>2.2000000000000002</v>
      </c>
      <c r="G298" s="45">
        <v>274</v>
      </c>
      <c r="H298" s="22">
        <v>1.8</v>
      </c>
      <c r="I298" s="6">
        <f t="shared" si="4"/>
        <v>488.26799999999997</v>
      </c>
      <c r="J298" s="7" t="s">
        <v>88</v>
      </c>
    </row>
    <row r="299" spans="1:10" ht="13.95" customHeight="1" x14ac:dyDescent="0.3">
      <c r="A299" s="3">
        <v>45980</v>
      </c>
      <c r="B299" s="3" t="s">
        <v>2858</v>
      </c>
      <c r="C299" s="19" t="s">
        <v>5</v>
      </c>
      <c r="D299" s="19" t="s">
        <v>9</v>
      </c>
      <c r="E299" s="4">
        <v>0.5</v>
      </c>
      <c r="F299" s="42">
        <v>2.25</v>
      </c>
      <c r="G299" s="45">
        <v>274</v>
      </c>
      <c r="H299" s="22">
        <v>1.8</v>
      </c>
      <c r="I299" s="6">
        <f t="shared" si="4"/>
        <v>554.85</v>
      </c>
      <c r="J299" s="7" t="s">
        <v>88</v>
      </c>
    </row>
    <row r="300" spans="1:10" ht="13.95" customHeight="1" x14ac:dyDescent="0.3">
      <c r="A300" s="3">
        <v>45981</v>
      </c>
      <c r="B300" s="3" t="s">
        <v>2858</v>
      </c>
      <c r="C300" s="19" t="s">
        <v>8</v>
      </c>
      <c r="D300" s="19" t="s">
        <v>1263</v>
      </c>
      <c r="E300" s="4">
        <v>0.7</v>
      </c>
      <c r="F300" s="42">
        <v>2.65</v>
      </c>
      <c r="G300" s="45">
        <v>274</v>
      </c>
      <c r="H300" s="22">
        <v>1.8</v>
      </c>
      <c r="I300" s="6">
        <f t="shared" si="4"/>
        <v>914.88599999999985</v>
      </c>
      <c r="J300" s="7" t="s">
        <v>2082</v>
      </c>
    </row>
    <row r="301" spans="1:10" ht="13.95" customHeight="1" x14ac:dyDescent="0.3">
      <c r="A301" s="3">
        <v>45982</v>
      </c>
      <c r="B301" s="3" t="s">
        <v>2858</v>
      </c>
      <c r="C301" s="19" t="s">
        <v>11</v>
      </c>
      <c r="D301" s="19" t="s">
        <v>14</v>
      </c>
      <c r="E301" s="4">
        <v>0.75</v>
      </c>
      <c r="F301" s="42">
        <v>3.2</v>
      </c>
      <c r="G301" s="45">
        <v>274</v>
      </c>
      <c r="H301" s="22">
        <v>1.8</v>
      </c>
      <c r="I301" s="6">
        <f t="shared" si="4"/>
        <v>1183.68</v>
      </c>
      <c r="J301" s="7" t="s">
        <v>2515</v>
      </c>
    </row>
    <row r="302" spans="1:10" ht="13.95" customHeight="1" x14ac:dyDescent="0.3">
      <c r="A302" s="3">
        <v>45983</v>
      </c>
      <c r="B302" s="3" t="s">
        <v>2858</v>
      </c>
      <c r="C302" s="19" t="s">
        <v>13</v>
      </c>
      <c r="D302" s="19" t="s">
        <v>14</v>
      </c>
      <c r="E302" s="4">
        <v>0.9</v>
      </c>
      <c r="F302" s="42">
        <v>3.95</v>
      </c>
      <c r="G302" s="45">
        <v>274</v>
      </c>
      <c r="H302" s="22">
        <v>1.8</v>
      </c>
      <c r="I302" s="6">
        <f t="shared" si="4"/>
        <v>1753.326</v>
      </c>
      <c r="J302" s="7" t="s">
        <v>2748</v>
      </c>
    </row>
    <row r="303" spans="1:10" ht="13.95" customHeight="1" x14ac:dyDescent="0.3">
      <c r="A303" s="3">
        <v>45984</v>
      </c>
      <c r="B303" s="3" t="s">
        <v>2858</v>
      </c>
      <c r="C303" s="19" t="s">
        <v>16</v>
      </c>
      <c r="D303" s="19" t="s">
        <v>14</v>
      </c>
      <c r="E303" s="4">
        <v>0.85</v>
      </c>
      <c r="F303" s="42">
        <v>3.55</v>
      </c>
      <c r="G303" s="45">
        <v>274</v>
      </c>
      <c r="H303" s="22">
        <v>1.8</v>
      </c>
      <c r="I303" s="6">
        <f t="shared" si="4"/>
        <v>1488.231</v>
      </c>
      <c r="J303" s="7" t="s">
        <v>69</v>
      </c>
    </row>
    <row r="304" spans="1:10" ht="13.95" customHeight="1" x14ac:dyDescent="0.3">
      <c r="A304" s="3">
        <v>45985</v>
      </c>
      <c r="B304" s="3" t="s">
        <v>2858</v>
      </c>
      <c r="C304" s="19" t="s">
        <v>18</v>
      </c>
      <c r="D304" s="19" t="s">
        <v>9</v>
      </c>
      <c r="E304" s="4">
        <v>0.4</v>
      </c>
      <c r="F304" s="42">
        <v>2.2000000000000002</v>
      </c>
      <c r="G304" s="45">
        <v>274</v>
      </c>
      <c r="H304" s="22">
        <v>1.8</v>
      </c>
      <c r="I304" s="6">
        <f t="shared" si="4"/>
        <v>434.01600000000008</v>
      </c>
      <c r="J304" s="7" t="s">
        <v>2501</v>
      </c>
    </row>
    <row r="305" spans="1:10" ht="13.95" customHeight="1" x14ac:dyDescent="0.3">
      <c r="A305" s="3">
        <v>45986</v>
      </c>
      <c r="B305" s="3" t="s">
        <v>2858</v>
      </c>
      <c r="C305" s="19" t="s">
        <v>20</v>
      </c>
      <c r="D305" s="19" t="s">
        <v>9</v>
      </c>
      <c r="E305" s="4">
        <v>0.4</v>
      </c>
      <c r="F305" s="42">
        <v>2.2000000000000002</v>
      </c>
      <c r="G305" s="45">
        <v>274</v>
      </c>
      <c r="H305" s="22">
        <v>1.8</v>
      </c>
      <c r="I305" s="6">
        <f t="shared" si="4"/>
        <v>434.01600000000008</v>
      </c>
      <c r="J305" s="7" t="s">
        <v>88</v>
      </c>
    </row>
    <row r="306" spans="1:10" ht="13.95" customHeight="1" x14ac:dyDescent="0.3">
      <c r="A306" s="3">
        <v>45987</v>
      </c>
      <c r="B306" s="3" t="s">
        <v>2858</v>
      </c>
      <c r="C306" s="19" t="s">
        <v>5</v>
      </c>
      <c r="D306" s="19" t="s">
        <v>9</v>
      </c>
      <c r="E306" s="4">
        <v>0.45</v>
      </c>
      <c r="F306" s="42">
        <v>2.25</v>
      </c>
      <c r="G306" s="45">
        <v>274</v>
      </c>
      <c r="H306" s="22">
        <v>1.8</v>
      </c>
      <c r="I306" s="6">
        <f t="shared" si="4"/>
        <v>499.36500000000001</v>
      </c>
      <c r="J306" s="7" t="s">
        <v>88</v>
      </c>
    </row>
    <row r="307" spans="1:10" ht="13.95" customHeight="1" x14ac:dyDescent="0.3">
      <c r="A307" s="3">
        <v>45988</v>
      </c>
      <c r="B307" s="3" t="s">
        <v>2858</v>
      </c>
      <c r="C307" s="19" t="s">
        <v>8</v>
      </c>
      <c r="D307" s="19" t="s">
        <v>1263</v>
      </c>
      <c r="E307" s="4">
        <v>0.65</v>
      </c>
      <c r="F307" s="42">
        <v>2.6</v>
      </c>
      <c r="G307" s="45">
        <v>274</v>
      </c>
      <c r="H307" s="22">
        <v>1.8</v>
      </c>
      <c r="I307" s="6">
        <f t="shared" si="4"/>
        <v>833.50800000000004</v>
      </c>
      <c r="J307" s="7" t="s">
        <v>2569</v>
      </c>
    </row>
    <row r="308" spans="1:10" ht="13.95" customHeight="1" x14ac:dyDescent="0.3">
      <c r="A308" s="3">
        <v>45989</v>
      </c>
      <c r="B308" s="3" t="s">
        <v>2858</v>
      </c>
      <c r="C308" s="19" t="s">
        <v>11</v>
      </c>
      <c r="D308" s="19" t="s">
        <v>14</v>
      </c>
      <c r="E308" s="4">
        <v>0.75</v>
      </c>
      <c r="F308" s="42">
        <v>3.15</v>
      </c>
      <c r="G308" s="45">
        <v>274</v>
      </c>
      <c r="H308" s="22">
        <v>1.8</v>
      </c>
      <c r="I308" s="6">
        <f t="shared" si="4"/>
        <v>1165.1849999999999</v>
      </c>
      <c r="J308" s="7" t="s">
        <v>72</v>
      </c>
    </row>
    <row r="309" spans="1:10" ht="13.95" customHeight="1" x14ac:dyDescent="0.3">
      <c r="A309" s="3">
        <v>45990</v>
      </c>
      <c r="B309" s="3" t="s">
        <v>2858</v>
      </c>
      <c r="C309" s="19" t="s">
        <v>13</v>
      </c>
      <c r="D309" s="19" t="s">
        <v>14</v>
      </c>
      <c r="E309" s="4">
        <v>0.85</v>
      </c>
      <c r="F309" s="42">
        <v>3.85</v>
      </c>
      <c r="G309" s="45">
        <v>274</v>
      </c>
      <c r="H309" s="22">
        <v>1.8</v>
      </c>
      <c r="I309" s="6">
        <f t="shared" si="4"/>
        <v>1613.9970000000001</v>
      </c>
      <c r="J309" s="7" t="s">
        <v>2844</v>
      </c>
    </row>
    <row r="310" spans="1:10" ht="13.95" customHeight="1" x14ac:dyDescent="0.3">
      <c r="A310" s="3">
        <v>45991</v>
      </c>
      <c r="B310" s="3" t="s">
        <v>2858</v>
      </c>
      <c r="C310" s="19" t="s">
        <v>16</v>
      </c>
      <c r="D310" s="19" t="s">
        <v>14</v>
      </c>
      <c r="E310" s="4">
        <v>0.8</v>
      </c>
      <c r="F310" s="42">
        <v>3.45</v>
      </c>
      <c r="G310" s="45">
        <v>274</v>
      </c>
      <c r="H310" s="22">
        <v>1.8</v>
      </c>
      <c r="I310" s="6">
        <f t="shared" si="4"/>
        <v>1361.2320000000002</v>
      </c>
      <c r="J310" s="7" t="s">
        <v>63</v>
      </c>
    </row>
    <row r="311" spans="1:10" ht="13.95" customHeight="1" x14ac:dyDescent="0.3">
      <c r="A311" s="3">
        <v>45992</v>
      </c>
      <c r="B311" s="3" t="s">
        <v>2858</v>
      </c>
      <c r="C311" s="19" t="s">
        <v>18</v>
      </c>
      <c r="D311" s="19" t="s">
        <v>2015</v>
      </c>
      <c r="E311" s="4">
        <v>0.4</v>
      </c>
      <c r="F311" s="42">
        <v>2.2000000000000002</v>
      </c>
      <c r="G311" s="45">
        <v>274</v>
      </c>
      <c r="H311" s="22">
        <v>2.1</v>
      </c>
      <c r="I311" s="6">
        <f t="shared" si="4"/>
        <v>506.35200000000009</v>
      </c>
      <c r="J311" s="7" t="s">
        <v>2845</v>
      </c>
    </row>
    <row r="312" spans="1:10" ht="13.95" customHeight="1" x14ac:dyDescent="0.3">
      <c r="A312" s="3">
        <v>45995</v>
      </c>
      <c r="B312" s="3" t="s">
        <v>2858</v>
      </c>
      <c r="C312" s="19" t="s">
        <v>8</v>
      </c>
      <c r="D312" s="19" t="s">
        <v>1263</v>
      </c>
      <c r="E312" s="4">
        <v>0.65</v>
      </c>
      <c r="F312" s="42">
        <v>2.6</v>
      </c>
      <c r="G312" s="45">
        <v>274</v>
      </c>
      <c r="H312" s="22">
        <v>2.1</v>
      </c>
      <c r="I312" s="6">
        <f t="shared" si="4"/>
        <v>972.42600000000004</v>
      </c>
      <c r="J312" s="7" t="s">
        <v>2846</v>
      </c>
    </row>
    <row r="313" spans="1:10" ht="13.95" customHeight="1" x14ac:dyDescent="0.3">
      <c r="A313" s="3">
        <v>45997</v>
      </c>
      <c r="B313" s="3" t="s">
        <v>2858</v>
      </c>
      <c r="C313" s="19" t="s">
        <v>13</v>
      </c>
      <c r="D313" s="19" t="s">
        <v>14</v>
      </c>
      <c r="E313" s="4">
        <v>0.75</v>
      </c>
      <c r="F313" s="42">
        <v>3.6</v>
      </c>
      <c r="G313" s="45">
        <v>274</v>
      </c>
      <c r="H313" s="22">
        <v>2.1</v>
      </c>
      <c r="I313" s="6">
        <f t="shared" si="4"/>
        <v>1553.5800000000002</v>
      </c>
      <c r="J313" s="7" t="s">
        <v>2823</v>
      </c>
    </row>
    <row r="314" spans="1:10" ht="13.95" customHeight="1" x14ac:dyDescent="0.3">
      <c r="A314" s="3">
        <v>45998</v>
      </c>
      <c r="B314" s="3" t="s">
        <v>2858</v>
      </c>
      <c r="C314" s="19" t="s">
        <v>16</v>
      </c>
      <c r="D314" s="19" t="s">
        <v>14</v>
      </c>
      <c r="E314" s="4">
        <v>0.7</v>
      </c>
      <c r="F314" s="42">
        <v>3.3</v>
      </c>
      <c r="G314" s="45">
        <v>274</v>
      </c>
      <c r="H314" s="22">
        <v>2.1</v>
      </c>
      <c r="I314" s="6">
        <f t="shared" si="4"/>
        <v>1329.174</v>
      </c>
      <c r="J314" s="7" t="s">
        <v>284</v>
      </c>
    </row>
    <row r="315" spans="1:10" ht="13.95" customHeight="1" x14ac:dyDescent="0.3">
      <c r="A315" s="3">
        <v>46004</v>
      </c>
      <c r="B315" s="3" t="s">
        <v>2858</v>
      </c>
      <c r="C315" s="19" t="s">
        <v>13</v>
      </c>
      <c r="D315" s="19" t="s">
        <v>14</v>
      </c>
      <c r="E315" s="4">
        <v>0.8</v>
      </c>
      <c r="F315" s="42">
        <v>3.7</v>
      </c>
      <c r="G315" s="45">
        <v>274</v>
      </c>
      <c r="H315" s="22">
        <v>2.1</v>
      </c>
      <c r="I315" s="6">
        <f t="shared" si="4"/>
        <v>1703.1840000000002</v>
      </c>
      <c r="J315" s="7" t="s">
        <v>2847</v>
      </c>
    </row>
    <row r="316" spans="1:10" ht="13.95" customHeight="1" x14ac:dyDescent="0.3">
      <c r="A316" s="3">
        <v>46005</v>
      </c>
      <c r="B316" s="3" t="s">
        <v>2858</v>
      </c>
      <c r="C316" s="19" t="s">
        <v>16</v>
      </c>
      <c r="D316" s="19" t="s">
        <v>14</v>
      </c>
      <c r="E316" s="4">
        <v>0.75</v>
      </c>
      <c r="F316" s="42">
        <v>3.35</v>
      </c>
      <c r="G316" s="45">
        <v>274</v>
      </c>
      <c r="H316" s="22">
        <v>2.1</v>
      </c>
      <c r="I316" s="6">
        <f t="shared" si="4"/>
        <v>1445.6925000000001</v>
      </c>
      <c r="J316" s="7" t="s">
        <v>69</v>
      </c>
    </row>
    <row r="317" spans="1:10" ht="13.95" customHeight="1" x14ac:dyDescent="0.3">
      <c r="A317" s="3">
        <v>46006</v>
      </c>
      <c r="B317" s="3" t="s">
        <v>2858</v>
      </c>
      <c r="C317" s="19" t="s">
        <v>18</v>
      </c>
      <c r="D317" s="19" t="s">
        <v>736</v>
      </c>
      <c r="E317" s="4">
        <v>0.4</v>
      </c>
      <c r="F317" s="42">
        <v>2.2000000000000002</v>
      </c>
      <c r="G317" s="45">
        <v>274</v>
      </c>
      <c r="H317" s="22">
        <v>2.1</v>
      </c>
      <c r="I317" s="6">
        <f t="shared" si="4"/>
        <v>506.35200000000009</v>
      </c>
      <c r="J317" s="7" t="s">
        <v>2848</v>
      </c>
    </row>
    <row r="318" spans="1:10" ht="13.95" customHeight="1" x14ac:dyDescent="0.3">
      <c r="A318" s="3">
        <v>46009</v>
      </c>
      <c r="B318" s="3" t="s">
        <v>2858</v>
      </c>
      <c r="C318" s="19" t="s">
        <v>8</v>
      </c>
      <c r="D318" s="19" t="s">
        <v>2833</v>
      </c>
      <c r="E318" s="4">
        <v>0.65</v>
      </c>
      <c r="F318" s="42">
        <v>2.7</v>
      </c>
      <c r="G318" s="45">
        <v>274</v>
      </c>
      <c r="H318" s="22">
        <v>2.1</v>
      </c>
      <c r="I318" s="6">
        <f t="shared" si="4"/>
        <v>1009.827</v>
      </c>
      <c r="J318" s="7" t="s">
        <v>2849</v>
      </c>
    </row>
    <row r="319" spans="1:10" ht="13.95" customHeight="1" x14ac:dyDescent="0.3">
      <c r="A319" s="3">
        <v>46011</v>
      </c>
      <c r="B319" s="3" t="s">
        <v>2858</v>
      </c>
      <c r="C319" s="19" t="s">
        <v>13</v>
      </c>
      <c r="D319" s="19" t="s">
        <v>14</v>
      </c>
      <c r="E319" s="4">
        <v>0.85</v>
      </c>
      <c r="F319" s="42">
        <v>3.85</v>
      </c>
      <c r="G319" s="45">
        <v>274</v>
      </c>
      <c r="H319" s="22">
        <v>2.1</v>
      </c>
      <c r="I319" s="6">
        <f t="shared" si="4"/>
        <v>1882.9965000000002</v>
      </c>
      <c r="J319" s="7" t="s">
        <v>2850</v>
      </c>
    </row>
    <row r="320" spans="1:10" ht="13.95" customHeight="1" x14ac:dyDescent="0.3">
      <c r="A320" s="3">
        <v>46012</v>
      </c>
      <c r="B320" s="3" t="s">
        <v>2858</v>
      </c>
      <c r="C320" s="19" t="s">
        <v>16</v>
      </c>
      <c r="D320" s="19" t="s">
        <v>14</v>
      </c>
      <c r="E320" s="4">
        <v>0.8</v>
      </c>
      <c r="F320" s="42">
        <v>3.5</v>
      </c>
      <c r="G320" s="45">
        <v>274</v>
      </c>
      <c r="H320" s="22">
        <v>2.1</v>
      </c>
      <c r="I320" s="6">
        <f t="shared" si="4"/>
        <v>1611.1200000000001</v>
      </c>
      <c r="J320" s="7" t="s">
        <v>2851</v>
      </c>
    </row>
    <row r="321" spans="1:10" ht="13.95" customHeight="1" x14ac:dyDescent="0.3">
      <c r="A321" s="3">
        <v>46013</v>
      </c>
      <c r="B321" s="3" t="s">
        <v>2858</v>
      </c>
      <c r="C321" s="19" t="s">
        <v>18</v>
      </c>
      <c r="D321" s="19" t="s">
        <v>658</v>
      </c>
      <c r="E321" s="4">
        <v>0.75</v>
      </c>
      <c r="F321" s="42">
        <v>2.8</v>
      </c>
      <c r="G321" s="45">
        <v>274</v>
      </c>
      <c r="H321" s="22">
        <v>2.1</v>
      </c>
      <c r="I321" s="6">
        <f t="shared" si="4"/>
        <v>1208.3399999999999</v>
      </c>
      <c r="J321" s="7" t="s">
        <v>2852</v>
      </c>
    </row>
    <row r="322" spans="1:10" ht="13.95" customHeight="1" x14ac:dyDescent="0.3">
      <c r="A322" s="3">
        <v>46014</v>
      </c>
      <c r="B322" s="3" t="s">
        <v>2858</v>
      </c>
      <c r="C322" s="19" t="s">
        <v>20</v>
      </c>
      <c r="D322" s="19" t="s">
        <v>658</v>
      </c>
      <c r="E322" s="4">
        <v>0.8</v>
      </c>
      <c r="F322" s="42">
        <v>2.9</v>
      </c>
      <c r="G322" s="45">
        <v>274</v>
      </c>
      <c r="H322" s="22">
        <v>2.1</v>
      </c>
      <c r="I322" s="6">
        <f t="shared" ref="I322:I330" si="5">(G322*E322)*F322*H322</f>
        <v>1334.9280000000001</v>
      </c>
      <c r="J322" s="7" t="s">
        <v>2853</v>
      </c>
    </row>
    <row r="323" spans="1:10" ht="13.95" customHeight="1" x14ac:dyDescent="0.3">
      <c r="A323" s="3">
        <v>46015</v>
      </c>
      <c r="B323" s="3" t="s">
        <v>2858</v>
      </c>
      <c r="C323" s="19" t="s">
        <v>5</v>
      </c>
      <c r="D323" s="19" t="s">
        <v>2576</v>
      </c>
      <c r="E323" s="4">
        <v>0.9</v>
      </c>
      <c r="F323" s="42">
        <v>4.3</v>
      </c>
      <c r="G323" s="45">
        <v>274</v>
      </c>
      <c r="H323" s="22">
        <v>2.1</v>
      </c>
      <c r="I323" s="6">
        <f t="shared" si="5"/>
        <v>2226.7979999999998</v>
      </c>
      <c r="J323" s="7" t="s">
        <v>2854</v>
      </c>
    </row>
    <row r="324" spans="1:10" ht="13.95" customHeight="1" x14ac:dyDescent="0.3">
      <c r="A324" s="3">
        <v>46016</v>
      </c>
      <c r="B324" s="3" t="s">
        <v>2858</v>
      </c>
      <c r="C324" s="19" t="s">
        <v>8</v>
      </c>
      <c r="D324" s="19" t="s">
        <v>2471</v>
      </c>
      <c r="E324" s="4">
        <v>0.95</v>
      </c>
      <c r="F324" s="42">
        <v>4.0999999999999996</v>
      </c>
      <c r="G324" s="45">
        <v>274</v>
      </c>
      <c r="H324" s="22">
        <v>2.1</v>
      </c>
      <c r="I324" s="6">
        <f t="shared" si="5"/>
        <v>2241.183</v>
      </c>
      <c r="J324" s="7" t="s">
        <v>2472</v>
      </c>
    </row>
    <row r="325" spans="1:10" ht="13.95" customHeight="1" x14ac:dyDescent="0.3">
      <c r="A325" s="3">
        <v>46017</v>
      </c>
      <c r="B325" s="3" t="s">
        <v>2858</v>
      </c>
      <c r="C325" s="19" t="s">
        <v>11</v>
      </c>
      <c r="D325" s="19" t="s">
        <v>14</v>
      </c>
      <c r="E325" s="4">
        <v>0.85</v>
      </c>
      <c r="F325" s="42">
        <v>3.3</v>
      </c>
      <c r="G325" s="45">
        <v>274</v>
      </c>
      <c r="H325" s="22">
        <v>2.1</v>
      </c>
      <c r="I325" s="6">
        <f t="shared" si="5"/>
        <v>1613.9969999999998</v>
      </c>
      <c r="J325" s="7" t="s">
        <v>2855</v>
      </c>
    </row>
    <row r="326" spans="1:10" ht="13.95" customHeight="1" x14ac:dyDescent="0.3">
      <c r="A326" s="3">
        <v>46018</v>
      </c>
      <c r="B326" s="3" t="s">
        <v>2858</v>
      </c>
      <c r="C326" s="19" t="s">
        <v>13</v>
      </c>
      <c r="D326" s="19" t="s">
        <v>14</v>
      </c>
      <c r="E326" s="4">
        <v>0.95</v>
      </c>
      <c r="F326" s="42">
        <v>4.2</v>
      </c>
      <c r="G326" s="45">
        <v>274</v>
      </c>
      <c r="H326" s="22">
        <v>2.1</v>
      </c>
      <c r="I326" s="6">
        <f t="shared" si="5"/>
        <v>2295.846</v>
      </c>
      <c r="J326" s="7" t="s">
        <v>1811</v>
      </c>
    </row>
    <row r="327" spans="1:10" ht="13.95" customHeight="1" x14ac:dyDescent="0.3">
      <c r="A327" s="3">
        <v>46019</v>
      </c>
      <c r="B327" s="3" t="s">
        <v>2858</v>
      </c>
      <c r="C327" s="19" t="s">
        <v>16</v>
      </c>
      <c r="D327" s="19" t="s">
        <v>14</v>
      </c>
      <c r="E327" s="4">
        <v>0.9</v>
      </c>
      <c r="F327" s="42">
        <v>3.8</v>
      </c>
      <c r="G327" s="45">
        <v>274</v>
      </c>
      <c r="H327" s="22">
        <v>2.1</v>
      </c>
      <c r="I327" s="6">
        <f t="shared" si="5"/>
        <v>1967.8679999999999</v>
      </c>
      <c r="J327" s="7" t="s">
        <v>238</v>
      </c>
    </row>
    <row r="328" spans="1:10" ht="13.95" customHeight="1" x14ac:dyDescent="0.3">
      <c r="A328" s="3">
        <v>46020</v>
      </c>
      <c r="B328" s="3" t="s">
        <v>2858</v>
      </c>
      <c r="C328" s="19" t="s">
        <v>18</v>
      </c>
      <c r="D328" s="19" t="s">
        <v>1565</v>
      </c>
      <c r="E328" s="4">
        <v>0.9</v>
      </c>
      <c r="F328" s="42">
        <v>3.1</v>
      </c>
      <c r="G328" s="45">
        <v>274</v>
      </c>
      <c r="H328" s="22">
        <v>2.1</v>
      </c>
      <c r="I328" s="6">
        <f t="shared" si="5"/>
        <v>1605.3660000000002</v>
      </c>
      <c r="J328" s="7" t="s">
        <v>531</v>
      </c>
    </row>
    <row r="329" spans="1:10" ht="13.95" customHeight="1" x14ac:dyDescent="0.3">
      <c r="A329" s="3">
        <v>46021</v>
      </c>
      <c r="B329" s="3" t="s">
        <v>2858</v>
      </c>
      <c r="C329" s="19" t="s">
        <v>20</v>
      </c>
      <c r="D329" s="19" t="s">
        <v>1565</v>
      </c>
      <c r="E329" s="4">
        <v>0.95</v>
      </c>
      <c r="F329" s="42">
        <v>3.3</v>
      </c>
      <c r="G329" s="45">
        <v>274</v>
      </c>
      <c r="H329" s="22">
        <v>2.1</v>
      </c>
      <c r="I329" s="6">
        <f t="shared" si="5"/>
        <v>1803.8790000000001</v>
      </c>
      <c r="J329" s="7" t="s">
        <v>2856</v>
      </c>
    </row>
    <row r="330" spans="1:10" ht="13.95" customHeight="1" x14ac:dyDescent="0.3">
      <c r="A330" s="3">
        <v>46022</v>
      </c>
      <c r="B330" s="3" t="s">
        <v>2858</v>
      </c>
      <c r="C330" s="19" t="s">
        <v>5</v>
      </c>
      <c r="D330" s="19" t="s">
        <v>2580</v>
      </c>
      <c r="E330" s="4">
        <v>1</v>
      </c>
      <c r="F330" s="42">
        <v>4.8</v>
      </c>
      <c r="G330" s="45">
        <v>274</v>
      </c>
      <c r="H330" s="22">
        <v>2.1</v>
      </c>
      <c r="I330" s="6">
        <f t="shared" si="5"/>
        <v>2761.92</v>
      </c>
      <c r="J330" s="7" t="s">
        <v>2857</v>
      </c>
    </row>
  </sheetData>
  <phoneticPr fontId="1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77EB0-BED7-4B3A-98CA-F832E6FCA869}">
  <sheetPr>
    <tabColor rgb="FFFFFF00"/>
  </sheetPr>
  <dimension ref="A1:L341"/>
  <sheetViews>
    <sheetView topLeftCell="A142" workbookViewId="0">
      <selection activeCell="A143" sqref="A143:XFD143"/>
    </sheetView>
  </sheetViews>
  <sheetFormatPr baseColWidth="10" defaultRowHeight="14.4" x14ac:dyDescent="0.3"/>
  <cols>
    <col min="1" max="1" width="13.109375" bestFit="1" customWidth="1"/>
    <col min="2" max="2" width="13.109375" customWidth="1"/>
    <col min="4" max="4" width="20.6640625" bestFit="1" customWidth="1"/>
    <col min="10" max="10" width="40" bestFit="1" customWidth="1"/>
  </cols>
  <sheetData>
    <row r="1" spans="1:12" ht="28.2" thickBot="1" x14ac:dyDescent="0.35">
      <c r="A1" s="1" t="s">
        <v>333</v>
      </c>
      <c r="B1" s="1" t="s">
        <v>670</v>
      </c>
      <c r="C1" s="34" t="s">
        <v>0</v>
      </c>
      <c r="D1" s="34" t="s">
        <v>1</v>
      </c>
      <c r="E1" s="37" t="s">
        <v>2</v>
      </c>
      <c r="F1" s="43" t="s">
        <v>3</v>
      </c>
      <c r="G1" s="47" t="s">
        <v>359</v>
      </c>
      <c r="H1" s="35" t="s">
        <v>360</v>
      </c>
      <c r="I1" s="47" t="s">
        <v>361</v>
      </c>
      <c r="J1" s="25" t="s">
        <v>4</v>
      </c>
      <c r="K1">
        <v>130</v>
      </c>
      <c r="L1">
        <v>1.9</v>
      </c>
    </row>
    <row r="2" spans="1:12" ht="13.95" customHeight="1" x14ac:dyDescent="0.3">
      <c r="A2" s="20">
        <v>45658</v>
      </c>
      <c r="B2" s="20" t="s">
        <v>3042</v>
      </c>
      <c r="C2" s="19" t="s">
        <v>5</v>
      </c>
      <c r="D2" s="19" t="s">
        <v>2859</v>
      </c>
      <c r="E2" s="4">
        <v>1</v>
      </c>
      <c r="F2" s="42">
        <v>4.8</v>
      </c>
      <c r="G2" s="45">
        <v>130</v>
      </c>
      <c r="H2" s="22">
        <v>1.9</v>
      </c>
      <c r="I2" s="6">
        <f t="shared" ref="I2" si="0">(G2*E2)*F2*H2</f>
        <v>1185.5999999999999</v>
      </c>
      <c r="J2" s="7" t="s">
        <v>2860</v>
      </c>
    </row>
    <row r="3" spans="1:12" ht="13.95" customHeight="1" x14ac:dyDescent="0.3">
      <c r="A3" s="20">
        <v>45659</v>
      </c>
      <c r="B3" s="20" t="s">
        <v>3042</v>
      </c>
      <c r="C3" s="19" t="s">
        <v>8</v>
      </c>
      <c r="D3" s="19" t="s">
        <v>1052</v>
      </c>
      <c r="E3" s="4">
        <v>0.6</v>
      </c>
      <c r="F3" s="42">
        <v>2.8</v>
      </c>
      <c r="G3" s="45">
        <v>130</v>
      </c>
      <c r="H3" s="22">
        <v>1.9</v>
      </c>
      <c r="I3" s="6">
        <f t="shared" ref="I3:I4" si="1">(G3*E3)*F3*H3</f>
        <v>414.95999999999992</v>
      </c>
      <c r="J3" s="7" t="s">
        <v>2861</v>
      </c>
    </row>
    <row r="4" spans="1:12" ht="13.95" customHeight="1" x14ac:dyDescent="0.3">
      <c r="A4" s="20">
        <v>45660</v>
      </c>
      <c r="B4" s="20" t="s">
        <v>3042</v>
      </c>
      <c r="C4" s="19" t="s">
        <v>11</v>
      </c>
      <c r="D4" s="19" t="s">
        <v>14</v>
      </c>
      <c r="E4" s="4">
        <v>0.7</v>
      </c>
      <c r="F4" s="42">
        <v>3.3</v>
      </c>
      <c r="G4" s="45">
        <v>130</v>
      </c>
      <c r="H4" s="22">
        <v>1.9</v>
      </c>
      <c r="I4" s="6">
        <f t="shared" si="1"/>
        <v>570.57000000000005</v>
      </c>
      <c r="J4" s="7" t="s">
        <v>1095</v>
      </c>
    </row>
    <row r="5" spans="1:12" ht="13.95" customHeight="1" x14ac:dyDescent="0.3">
      <c r="A5" s="20">
        <v>45661</v>
      </c>
      <c r="B5" s="20" t="s">
        <v>3042</v>
      </c>
      <c r="C5" s="19" t="s">
        <v>13</v>
      </c>
      <c r="D5" s="19" t="s">
        <v>14</v>
      </c>
      <c r="E5" s="4">
        <v>0.85</v>
      </c>
      <c r="F5" s="42">
        <v>3.9</v>
      </c>
      <c r="G5" s="45">
        <v>130</v>
      </c>
      <c r="H5" s="22">
        <v>1.9</v>
      </c>
      <c r="I5" s="6">
        <f t="shared" ref="I5:I22" si="2">(G5*E5)*F5*H5</f>
        <v>818.80499999999995</v>
      </c>
      <c r="J5" s="7" t="s">
        <v>2009</v>
      </c>
    </row>
    <row r="6" spans="1:12" ht="13.95" customHeight="1" x14ac:dyDescent="0.3">
      <c r="A6" s="20">
        <v>45662</v>
      </c>
      <c r="B6" s="20" t="s">
        <v>3042</v>
      </c>
      <c r="C6" s="19" t="s">
        <v>16</v>
      </c>
      <c r="D6" s="19" t="s">
        <v>14</v>
      </c>
      <c r="E6" s="4">
        <v>0.8</v>
      </c>
      <c r="F6" s="42">
        <v>3.5</v>
      </c>
      <c r="G6" s="45">
        <v>130</v>
      </c>
      <c r="H6" s="22">
        <v>1.9</v>
      </c>
      <c r="I6" s="6">
        <f t="shared" si="2"/>
        <v>691.6</v>
      </c>
      <c r="J6" s="7" t="s">
        <v>2862</v>
      </c>
    </row>
    <row r="7" spans="1:12" ht="13.95" customHeight="1" x14ac:dyDescent="0.3">
      <c r="A7" s="20">
        <v>45665</v>
      </c>
      <c r="B7" s="20" t="s">
        <v>3042</v>
      </c>
      <c r="C7" s="19" t="s">
        <v>5</v>
      </c>
      <c r="D7" s="19" t="s">
        <v>9</v>
      </c>
      <c r="E7" s="4">
        <v>0.45</v>
      </c>
      <c r="F7" s="42">
        <v>2.5</v>
      </c>
      <c r="G7" s="45">
        <v>130</v>
      </c>
      <c r="H7" s="22">
        <v>1.9</v>
      </c>
      <c r="I7" s="6">
        <f t="shared" si="2"/>
        <v>277.875</v>
      </c>
      <c r="J7" s="7" t="s">
        <v>1332</v>
      </c>
    </row>
    <row r="8" spans="1:12" ht="13.95" customHeight="1" x14ac:dyDescent="0.3">
      <c r="A8" s="20">
        <v>45667</v>
      </c>
      <c r="B8" s="20" t="s">
        <v>3042</v>
      </c>
      <c r="C8" s="19" t="s">
        <v>11</v>
      </c>
      <c r="D8" s="19" t="s">
        <v>14</v>
      </c>
      <c r="E8" s="4">
        <v>0.65</v>
      </c>
      <c r="F8" s="42">
        <v>3.2</v>
      </c>
      <c r="G8" s="45">
        <v>130</v>
      </c>
      <c r="H8" s="22">
        <v>1.9</v>
      </c>
      <c r="I8" s="6">
        <f t="shared" si="2"/>
        <v>513.76</v>
      </c>
      <c r="J8" s="7" t="s">
        <v>2863</v>
      </c>
    </row>
    <row r="9" spans="1:12" ht="13.95" customHeight="1" x14ac:dyDescent="0.3">
      <c r="A9" s="20">
        <v>45668</v>
      </c>
      <c r="B9" s="20" t="s">
        <v>3042</v>
      </c>
      <c r="C9" s="19" t="s">
        <v>13</v>
      </c>
      <c r="D9" s="19" t="s">
        <v>14</v>
      </c>
      <c r="E9" s="4">
        <v>0.8</v>
      </c>
      <c r="F9" s="42">
        <v>3.9</v>
      </c>
      <c r="G9" s="45">
        <v>130</v>
      </c>
      <c r="H9" s="22">
        <v>1.9</v>
      </c>
      <c r="I9" s="6">
        <f t="shared" si="2"/>
        <v>770.63999999999987</v>
      </c>
      <c r="J9" s="7" t="s">
        <v>2864</v>
      </c>
    </row>
    <row r="10" spans="1:12" ht="13.95" customHeight="1" x14ac:dyDescent="0.3">
      <c r="A10" s="20">
        <v>45669</v>
      </c>
      <c r="B10" s="20" t="s">
        <v>3042</v>
      </c>
      <c r="C10" s="19" t="s">
        <v>16</v>
      </c>
      <c r="D10" s="19" t="s">
        <v>14</v>
      </c>
      <c r="E10" s="4">
        <v>0.75</v>
      </c>
      <c r="F10" s="42">
        <v>3.5</v>
      </c>
      <c r="G10" s="45">
        <v>130</v>
      </c>
      <c r="H10" s="22">
        <v>1.9</v>
      </c>
      <c r="I10" s="6">
        <f t="shared" si="2"/>
        <v>648.375</v>
      </c>
      <c r="J10" s="7" t="s">
        <v>2865</v>
      </c>
    </row>
    <row r="11" spans="1:12" ht="13.95" customHeight="1" x14ac:dyDescent="0.3">
      <c r="A11" s="20">
        <v>45671</v>
      </c>
      <c r="B11" s="20" t="s">
        <v>3042</v>
      </c>
      <c r="C11" s="19" t="s">
        <v>20</v>
      </c>
      <c r="D11" s="19" t="s">
        <v>2720</v>
      </c>
      <c r="E11" s="4">
        <v>0.75</v>
      </c>
      <c r="F11" s="42">
        <v>3.6</v>
      </c>
      <c r="G11" s="45">
        <v>130</v>
      </c>
      <c r="H11" s="22">
        <v>1.9</v>
      </c>
      <c r="I11" s="6">
        <f t="shared" si="2"/>
        <v>666.9</v>
      </c>
      <c r="J11" s="7" t="s">
        <v>2866</v>
      </c>
    </row>
    <row r="12" spans="1:12" ht="13.95" customHeight="1" x14ac:dyDescent="0.3">
      <c r="A12" s="20">
        <v>45674</v>
      </c>
      <c r="B12" s="20" t="s">
        <v>3042</v>
      </c>
      <c r="C12" s="19" t="s">
        <v>11</v>
      </c>
      <c r="D12" s="19" t="s">
        <v>14</v>
      </c>
      <c r="E12" s="4">
        <v>0.6</v>
      </c>
      <c r="F12" s="42">
        <v>3.2</v>
      </c>
      <c r="G12" s="45">
        <v>130</v>
      </c>
      <c r="H12" s="22">
        <v>1.9</v>
      </c>
      <c r="I12" s="6">
        <f t="shared" si="2"/>
        <v>474.24</v>
      </c>
      <c r="J12" s="7" t="s">
        <v>2867</v>
      </c>
    </row>
    <row r="13" spans="1:12" ht="13.95" customHeight="1" x14ac:dyDescent="0.3">
      <c r="A13" s="20">
        <v>45675</v>
      </c>
      <c r="B13" s="20" t="s">
        <v>3042</v>
      </c>
      <c r="C13" s="19" t="s">
        <v>13</v>
      </c>
      <c r="D13" s="19" t="s">
        <v>14</v>
      </c>
      <c r="E13" s="4">
        <v>0.8</v>
      </c>
      <c r="F13" s="42">
        <v>4.0999999999999996</v>
      </c>
      <c r="G13" s="45">
        <v>130</v>
      </c>
      <c r="H13" s="22">
        <v>1.9</v>
      </c>
      <c r="I13" s="6">
        <f t="shared" si="2"/>
        <v>810.16</v>
      </c>
      <c r="J13" s="7" t="s">
        <v>2294</v>
      </c>
    </row>
    <row r="14" spans="1:12" ht="13.95" customHeight="1" x14ac:dyDescent="0.3">
      <c r="A14" s="20">
        <v>45676</v>
      </c>
      <c r="B14" s="20" t="s">
        <v>3042</v>
      </c>
      <c r="C14" s="19" t="s">
        <v>16</v>
      </c>
      <c r="D14" s="19" t="s">
        <v>14</v>
      </c>
      <c r="E14" s="4">
        <v>0.75</v>
      </c>
      <c r="F14" s="42">
        <v>3.6</v>
      </c>
      <c r="G14" s="45">
        <v>130</v>
      </c>
      <c r="H14" s="22">
        <v>1.9</v>
      </c>
      <c r="I14" s="6">
        <f t="shared" si="2"/>
        <v>666.9</v>
      </c>
      <c r="J14" s="7" t="s">
        <v>69</v>
      </c>
    </row>
    <row r="15" spans="1:12" ht="13.95" customHeight="1" x14ac:dyDescent="0.3">
      <c r="A15" s="20">
        <v>45680</v>
      </c>
      <c r="B15" s="20" t="s">
        <v>3042</v>
      </c>
      <c r="C15" s="19" t="s">
        <v>8</v>
      </c>
      <c r="D15" s="19" t="s">
        <v>1738</v>
      </c>
      <c r="E15" s="4">
        <v>0.65</v>
      </c>
      <c r="F15" s="42">
        <v>2.8</v>
      </c>
      <c r="G15" s="45">
        <v>130</v>
      </c>
      <c r="H15" s="22">
        <v>1.9</v>
      </c>
      <c r="I15" s="6">
        <f t="shared" si="2"/>
        <v>449.53999999999996</v>
      </c>
      <c r="J15" s="7" t="s">
        <v>2868</v>
      </c>
    </row>
    <row r="16" spans="1:12" ht="13.95" customHeight="1" x14ac:dyDescent="0.3">
      <c r="A16" s="20">
        <v>45681</v>
      </c>
      <c r="B16" s="20" t="s">
        <v>3042</v>
      </c>
      <c r="C16" s="19" t="s">
        <v>11</v>
      </c>
      <c r="D16" s="19" t="s">
        <v>14</v>
      </c>
      <c r="E16" s="4">
        <v>0.7</v>
      </c>
      <c r="F16" s="42">
        <v>3.3</v>
      </c>
      <c r="G16" s="45">
        <v>130</v>
      </c>
      <c r="H16" s="22">
        <v>1.9</v>
      </c>
      <c r="I16" s="6">
        <f t="shared" si="2"/>
        <v>570.57000000000005</v>
      </c>
      <c r="J16" s="7" t="s">
        <v>503</v>
      </c>
    </row>
    <row r="17" spans="1:10" ht="13.95" customHeight="1" x14ac:dyDescent="0.3">
      <c r="A17" s="20">
        <v>45682</v>
      </c>
      <c r="B17" s="20" t="s">
        <v>3042</v>
      </c>
      <c r="C17" s="19" t="s">
        <v>13</v>
      </c>
      <c r="D17" s="19" t="s">
        <v>14</v>
      </c>
      <c r="E17" s="4">
        <v>0.85</v>
      </c>
      <c r="F17" s="42">
        <v>4.1500000000000004</v>
      </c>
      <c r="G17" s="45">
        <v>130</v>
      </c>
      <c r="H17" s="22">
        <v>1.9</v>
      </c>
      <c r="I17" s="6">
        <f t="shared" si="2"/>
        <v>871.29250000000002</v>
      </c>
      <c r="J17" s="7" t="s">
        <v>2380</v>
      </c>
    </row>
    <row r="18" spans="1:10" ht="13.95" customHeight="1" x14ac:dyDescent="0.3">
      <c r="A18" s="20">
        <v>45683</v>
      </c>
      <c r="B18" s="20" t="s">
        <v>3042</v>
      </c>
      <c r="C18" s="19" t="s">
        <v>16</v>
      </c>
      <c r="D18" s="19" t="s">
        <v>14</v>
      </c>
      <c r="E18" s="4">
        <v>0.8</v>
      </c>
      <c r="F18" s="42">
        <v>3.7</v>
      </c>
      <c r="G18" s="45">
        <v>130</v>
      </c>
      <c r="H18" s="22">
        <v>1.9</v>
      </c>
      <c r="I18" s="6">
        <f t="shared" si="2"/>
        <v>731.12</v>
      </c>
      <c r="J18" s="7" t="s">
        <v>2558</v>
      </c>
    </row>
    <row r="19" spans="1:10" ht="13.95" customHeight="1" x14ac:dyDescent="0.3">
      <c r="A19" s="20">
        <v>45684</v>
      </c>
      <c r="B19" s="20" t="s">
        <v>3042</v>
      </c>
      <c r="C19" s="19" t="s">
        <v>18</v>
      </c>
      <c r="D19" s="19" t="s">
        <v>2870</v>
      </c>
      <c r="E19" s="4">
        <v>0.5</v>
      </c>
      <c r="F19" s="42">
        <v>2.4</v>
      </c>
      <c r="G19" s="45">
        <v>130</v>
      </c>
      <c r="H19" s="22">
        <v>1.9</v>
      </c>
      <c r="I19" s="6">
        <f t="shared" si="2"/>
        <v>296.39999999999998</v>
      </c>
      <c r="J19" s="7" t="s">
        <v>2871</v>
      </c>
    </row>
    <row r="20" spans="1:10" ht="13.95" customHeight="1" x14ac:dyDescent="0.3">
      <c r="A20" s="20">
        <v>45685</v>
      </c>
      <c r="B20" s="20" t="s">
        <v>3042</v>
      </c>
      <c r="C20" s="19" t="s">
        <v>20</v>
      </c>
      <c r="D20" s="19" t="s">
        <v>2870</v>
      </c>
      <c r="E20" s="4">
        <v>0.45</v>
      </c>
      <c r="F20" s="42">
        <v>2.4</v>
      </c>
      <c r="G20" s="45">
        <v>130</v>
      </c>
      <c r="H20" s="22">
        <v>1.9</v>
      </c>
      <c r="I20" s="6">
        <f t="shared" si="2"/>
        <v>266.76</v>
      </c>
      <c r="J20" s="7" t="s">
        <v>2872</v>
      </c>
    </row>
    <row r="21" spans="1:10" ht="13.95" customHeight="1" x14ac:dyDescent="0.3">
      <c r="A21" s="20">
        <v>45686</v>
      </c>
      <c r="B21" s="20" t="s">
        <v>3042</v>
      </c>
      <c r="C21" s="19" t="s">
        <v>5</v>
      </c>
      <c r="D21" s="19" t="s">
        <v>1738</v>
      </c>
      <c r="E21" s="4">
        <v>0.6</v>
      </c>
      <c r="F21" s="42">
        <v>2.75</v>
      </c>
      <c r="G21" s="45">
        <v>130</v>
      </c>
      <c r="H21" s="22">
        <v>1.9</v>
      </c>
      <c r="I21" s="6">
        <f t="shared" si="2"/>
        <v>407.54999999999995</v>
      </c>
      <c r="J21" s="7" t="s">
        <v>2873</v>
      </c>
    </row>
    <row r="22" spans="1:10" ht="13.95" customHeight="1" x14ac:dyDescent="0.3">
      <c r="A22" s="20">
        <v>45687</v>
      </c>
      <c r="B22" s="20" t="s">
        <v>3042</v>
      </c>
      <c r="C22" s="19" t="s">
        <v>8</v>
      </c>
      <c r="D22" s="19" t="s">
        <v>2874</v>
      </c>
      <c r="E22" s="4">
        <v>0.6</v>
      </c>
      <c r="F22" s="42">
        <v>2.85</v>
      </c>
      <c r="G22" s="45">
        <v>130</v>
      </c>
      <c r="H22" s="22">
        <v>1.9</v>
      </c>
      <c r="I22" s="6">
        <f t="shared" si="2"/>
        <v>422.37</v>
      </c>
      <c r="J22" s="7" t="s">
        <v>2875</v>
      </c>
    </row>
    <row r="23" spans="1:10" ht="13.95" customHeight="1" x14ac:dyDescent="0.3">
      <c r="A23" s="20">
        <v>45688</v>
      </c>
      <c r="B23" s="20" t="s">
        <v>3042</v>
      </c>
      <c r="C23" s="19" t="s">
        <v>11</v>
      </c>
      <c r="D23" s="19" t="s">
        <v>2783</v>
      </c>
      <c r="E23" s="4">
        <v>0.6</v>
      </c>
      <c r="F23" s="42">
        <v>3.2</v>
      </c>
      <c r="G23" s="45">
        <v>130</v>
      </c>
      <c r="H23" s="22">
        <v>1.9</v>
      </c>
      <c r="I23" s="6">
        <f>(G23*E23)*F23*H23</f>
        <v>474.24</v>
      </c>
      <c r="J23" s="7" t="s">
        <v>2296</v>
      </c>
    </row>
    <row r="24" spans="1:10" ht="13.95" customHeight="1" x14ac:dyDescent="0.3">
      <c r="A24" s="20">
        <v>45689</v>
      </c>
      <c r="B24" s="20" t="s">
        <v>3042</v>
      </c>
      <c r="C24" s="19" t="s">
        <v>13</v>
      </c>
      <c r="D24" s="19" t="s">
        <v>14</v>
      </c>
      <c r="E24" s="4">
        <v>0.75</v>
      </c>
      <c r="F24" s="42">
        <v>3.85</v>
      </c>
      <c r="G24" s="45">
        <v>130</v>
      </c>
      <c r="H24" s="22">
        <v>2</v>
      </c>
      <c r="I24" s="6">
        <f>(G24*E24)*F24*H24</f>
        <v>750.75</v>
      </c>
      <c r="J24" s="7" t="s">
        <v>503</v>
      </c>
    </row>
    <row r="25" spans="1:10" ht="13.95" customHeight="1" x14ac:dyDescent="0.3">
      <c r="A25" s="20">
        <v>45690</v>
      </c>
      <c r="B25" s="20" t="s">
        <v>3042</v>
      </c>
      <c r="C25" s="19" t="s">
        <v>16</v>
      </c>
      <c r="D25" s="19" t="s">
        <v>14</v>
      </c>
      <c r="E25" s="4">
        <v>0.7</v>
      </c>
      <c r="F25" s="42">
        <v>3.55</v>
      </c>
      <c r="G25" s="45">
        <v>130</v>
      </c>
      <c r="H25" s="22">
        <v>2</v>
      </c>
      <c r="I25" s="6">
        <f t="shared" ref="I25:I88" si="3">(G25*E25)*F25*H25</f>
        <v>646.1</v>
      </c>
      <c r="J25" s="7" t="s">
        <v>238</v>
      </c>
    </row>
    <row r="26" spans="1:10" ht="13.95" customHeight="1" x14ac:dyDescent="0.3">
      <c r="A26" s="20">
        <v>45691</v>
      </c>
      <c r="B26" s="20" t="s">
        <v>3042</v>
      </c>
      <c r="C26" s="19" t="s">
        <v>18</v>
      </c>
      <c r="D26" s="19" t="s">
        <v>2015</v>
      </c>
      <c r="E26" s="4">
        <v>0.45</v>
      </c>
      <c r="F26" s="42">
        <v>2.4</v>
      </c>
      <c r="G26" s="45">
        <v>130</v>
      </c>
      <c r="H26" s="22">
        <v>2</v>
      </c>
      <c r="I26" s="6">
        <f t="shared" si="3"/>
        <v>280.8</v>
      </c>
      <c r="J26" s="7" t="s">
        <v>2485</v>
      </c>
    </row>
    <row r="27" spans="1:10" ht="13.95" customHeight="1" x14ac:dyDescent="0.3">
      <c r="A27" s="20">
        <v>45692</v>
      </c>
      <c r="B27" s="20" t="s">
        <v>3042</v>
      </c>
      <c r="C27" s="19" t="s">
        <v>20</v>
      </c>
      <c r="D27" s="19" t="s">
        <v>2015</v>
      </c>
      <c r="E27" s="4">
        <v>0.45</v>
      </c>
      <c r="F27" s="42">
        <v>2.4</v>
      </c>
      <c r="G27" s="45">
        <v>130</v>
      </c>
      <c r="H27" s="22">
        <v>2</v>
      </c>
      <c r="I27" s="6">
        <f t="shared" si="3"/>
        <v>280.8</v>
      </c>
      <c r="J27" s="7" t="s">
        <v>88</v>
      </c>
    </row>
    <row r="28" spans="1:10" ht="13.95" customHeight="1" x14ac:dyDescent="0.3">
      <c r="A28" s="20">
        <v>45693</v>
      </c>
      <c r="B28" s="20" t="s">
        <v>3042</v>
      </c>
      <c r="C28" s="19" t="s">
        <v>5</v>
      </c>
      <c r="D28" s="19" t="s">
        <v>9</v>
      </c>
      <c r="E28" s="4">
        <v>0.45</v>
      </c>
      <c r="F28" s="42">
        <v>2.4500000000000002</v>
      </c>
      <c r="G28" s="45">
        <v>130</v>
      </c>
      <c r="H28" s="22">
        <v>2</v>
      </c>
      <c r="I28" s="6">
        <f t="shared" si="3"/>
        <v>286.65000000000003</v>
      </c>
      <c r="J28" s="7" t="s">
        <v>1332</v>
      </c>
    </row>
    <row r="29" spans="1:10" ht="13.95" customHeight="1" x14ac:dyDescent="0.3">
      <c r="A29" s="20">
        <v>45694</v>
      </c>
      <c r="B29" s="20" t="s">
        <v>3042</v>
      </c>
      <c r="C29" s="19" t="s">
        <v>8</v>
      </c>
      <c r="D29" s="19" t="s">
        <v>1263</v>
      </c>
      <c r="E29" s="4">
        <v>0.65</v>
      </c>
      <c r="F29" s="42">
        <v>2.8</v>
      </c>
      <c r="G29" s="45">
        <v>130</v>
      </c>
      <c r="H29" s="22">
        <v>2</v>
      </c>
      <c r="I29" s="6">
        <f t="shared" si="3"/>
        <v>473.2</v>
      </c>
      <c r="J29" s="7" t="s">
        <v>2879</v>
      </c>
    </row>
    <row r="30" spans="1:10" ht="13.95" customHeight="1" x14ac:dyDescent="0.3">
      <c r="A30" s="20">
        <v>45695</v>
      </c>
      <c r="B30" s="20" t="s">
        <v>3042</v>
      </c>
      <c r="C30" s="19" t="s">
        <v>11</v>
      </c>
      <c r="D30" s="19" t="s">
        <v>14</v>
      </c>
      <c r="E30" s="4">
        <v>0.65</v>
      </c>
      <c r="F30" s="42">
        <v>3.25</v>
      </c>
      <c r="G30" s="45">
        <v>130</v>
      </c>
      <c r="H30" s="22">
        <v>2</v>
      </c>
      <c r="I30" s="6">
        <f t="shared" si="3"/>
        <v>549.25</v>
      </c>
      <c r="J30" s="7" t="s">
        <v>2880</v>
      </c>
    </row>
    <row r="31" spans="1:10" ht="13.95" customHeight="1" x14ac:dyDescent="0.3">
      <c r="A31" s="20">
        <v>45696</v>
      </c>
      <c r="B31" s="20" t="s">
        <v>3042</v>
      </c>
      <c r="C31" s="19" t="s">
        <v>13</v>
      </c>
      <c r="D31" s="19" t="s">
        <v>14</v>
      </c>
      <c r="E31" s="4">
        <v>0.8</v>
      </c>
      <c r="F31" s="42">
        <v>4.0999999999999996</v>
      </c>
      <c r="G31" s="45">
        <v>130</v>
      </c>
      <c r="H31" s="22">
        <v>2</v>
      </c>
      <c r="I31" s="6">
        <f t="shared" si="3"/>
        <v>852.8</v>
      </c>
      <c r="J31" s="7" t="s">
        <v>2009</v>
      </c>
    </row>
    <row r="32" spans="1:10" ht="13.95" customHeight="1" x14ac:dyDescent="0.3">
      <c r="A32" s="20">
        <v>45697</v>
      </c>
      <c r="B32" s="20" t="s">
        <v>3042</v>
      </c>
      <c r="C32" s="19" t="s">
        <v>16</v>
      </c>
      <c r="D32" s="19" t="s">
        <v>14</v>
      </c>
      <c r="E32" s="4">
        <v>0.75</v>
      </c>
      <c r="F32" s="42">
        <v>3.65</v>
      </c>
      <c r="G32" s="45">
        <v>130</v>
      </c>
      <c r="H32" s="22">
        <v>2</v>
      </c>
      <c r="I32" s="6">
        <f t="shared" si="3"/>
        <v>711.75</v>
      </c>
      <c r="J32" s="7" t="s">
        <v>2876</v>
      </c>
    </row>
    <row r="33" spans="1:10" ht="13.95" customHeight="1" x14ac:dyDescent="0.3">
      <c r="A33" s="20">
        <v>45698</v>
      </c>
      <c r="B33" s="20" t="s">
        <v>3042</v>
      </c>
      <c r="C33" s="19" t="s">
        <v>18</v>
      </c>
      <c r="D33" s="19" t="s">
        <v>9</v>
      </c>
      <c r="E33" s="4">
        <v>0.5</v>
      </c>
      <c r="F33" s="42">
        <v>2.4500000000000002</v>
      </c>
      <c r="G33" s="45">
        <v>130</v>
      </c>
      <c r="H33" s="22">
        <v>2</v>
      </c>
      <c r="I33" s="6">
        <f t="shared" si="3"/>
        <v>318.5</v>
      </c>
      <c r="J33" s="7" t="s">
        <v>2881</v>
      </c>
    </row>
    <row r="34" spans="1:10" ht="13.95" customHeight="1" x14ac:dyDescent="0.3">
      <c r="A34" s="20">
        <v>45699</v>
      </c>
      <c r="B34" s="20" t="s">
        <v>3042</v>
      </c>
      <c r="C34" s="19" t="s">
        <v>20</v>
      </c>
      <c r="D34" s="19" t="s">
        <v>9</v>
      </c>
      <c r="E34" s="4">
        <v>0.55000000000000004</v>
      </c>
      <c r="F34" s="42">
        <v>2.5</v>
      </c>
      <c r="G34" s="45">
        <v>130</v>
      </c>
      <c r="H34" s="22">
        <v>2</v>
      </c>
      <c r="I34" s="6">
        <f t="shared" si="3"/>
        <v>357.5</v>
      </c>
      <c r="J34" s="7" t="s">
        <v>88</v>
      </c>
    </row>
    <row r="35" spans="1:10" ht="13.95" customHeight="1" x14ac:dyDescent="0.3">
      <c r="A35" s="20">
        <v>45700</v>
      </c>
      <c r="B35" s="20" t="s">
        <v>3042</v>
      </c>
      <c r="C35" s="19" t="s">
        <v>5</v>
      </c>
      <c r="D35" s="19" t="s">
        <v>2487</v>
      </c>
      <c r="E35" s="4">
        <v>0.6</v>
      </c>
      <c r="F35" s="42">
        <v>2.85</v>
      </c>
      <c r="G35" s="45">
        <v>130</v>
      </c>
      <c r="H35" s="22">
        <v>2</v>
      </c>
      <c r="I35" s="6">
        <f t="shared" si="3"/>
        <v>444.6</v>
      </c>
      <c r="J35" s="7" t="s">
        <v>1587</v>
      </c>
    </row>
    <row r="36" spans="1:10" ht="13.95" customHeight="1" x14ac:dyDescent="0.3">
      <c r="A36" s="20">
        <v>45701</v>
      </c>
      <c r="B36" s="20" t="s">
        <v>3042</v>
      </c>
      <c r="C36" s="19" t="s">
        <v>8</v>
      </c>
      <c r="D36" s="19" t="s">
        <v>1411</v>
      </c>
      <c r="E36" s="4">
        <v>0.85</v>
      </c>
      <c r="F36" s="42">
        <v>3.25</v>
      </c>
      <c r="G36" s="45">
        <v>130</v>
      </c>
      <c r="H36" s="22">
        <v>2</v>
      </c>
      <c r="I36" s="6">
        <f t="shared" si="3"/>
        <v>718.25</v>
      </c>
      <c r="J36" s="7" t="s">
        <v>531</v>
      </c>
    </row>
    <row r="37" spans="1:10" ht="13.95" customHeight="1" x14ac:dyDescent="0.3">
      <c r="A37" s="20">
        <v>45702</v>
      </c>
      <c r="B37" s="20" t="s">
        <v>3042</v>
      </c>
      <c r="C37" s="19" t="s">
        <v>11</v>
      </c>
      <c r="D37" s="19" t="s">
        <v>1939</v>
      </c>
      <c r="E37" s="4">
        <v>1</v>
      </c>
      <c r="F37" s="42">
        <v>5.0999999999999996</v>
      </c>
      <c r="G37" s="45">
        <v>130</v>
      </c>
      <c r="H37" s="22">
        <v>2</v>
      </c>
      <c r="I37" s="6">
        <f t="shared" si="3"/>
        <v>1326</v>
      </c>
      <c r="J37" s="7" t="s">
        <v>2882</v>
      </c>
    </row>
    <row r="38" spans="1:10" ht="13.95" customHeight="1" x14ac:dyDescent="0.3">
      <c r="A38" s="20">
        <v>45703</v>
      </c>
      <c r="B38" s="20" t="s">
        <v>3042</v>
      </c>
      <c r="C38" s="19" t="s">
        <v>13</v>
      </c>
      <c r="D38" s="19" t="s">
        <v>2877</v>
      </c>
      <c r="E38" s="4">
        <v>1</v>
      </c>
      <c r="F38" s="42">
        <v>4.45</v>
      </c>
      <c r="G38" s="45">
        <v>130</v>
      </c>
      <c r="H38" s="22">
        <v>2</v>
      </c>
      <c r="I38" s="6">
        <f t="shared" si="3"/>
        <v>1157</v>
      </c>
      <c r="J38" s="7" t="s">
        <v>2883</v>
      </c>
    </row>
    <row r="39" spans="1:10" ht="13.95" customHeight="1" x14ac:dyDescent="0.3">
      <c r="A39" s="20">
        <v>45704</v>
      </c>
      <c r="B39" s="20" t="s">
        <v>3042</v>
      </c>
      <c r="C39" s="19" t="s">
        <v>16</v>
      </c>
      <c r="D39" s="19" t="s">
        <v>14</v>
      </c>
      <c r="E39" s="4">
        <v>0.95</v>
      </c>
      <c r="F39" s="42">
        <v>3.9</v>
      </c>
      <c r="G39" s="45">
        <v>130</v>
      </c>
      <c r="H39" s="22">
        <v>2</v>
      </c>
      <c r="I39" s="6">
        <f t="shared" si="3"/>
        <v>963.3</v>
      </c>
      <c r="J39" s="7" t="s">
        <v>2091</v>
      </c>
    </row>
    <row r="40" spans="1:10" ht="13.95" customHeight="1" x14ac:dyDescent="0.3">
      <c r="A40" s="20">
        <v>45705</v>
      </c>
      <c r="B40" s="20" t="s">
        <v>3042</v>
      </c>
      <c r="C40" s="19" t="s">
        <v>18</v>
      </c>
      <c r="D40" s="19" t="s">
        <v>2015</v>
      </c>
      <c r="E40" s="4">
        <v>0.55000000000000004</v>
      </c>
      <c r="F40" s="42">
        <v>2.5</v>
      </c>
      <c r="G40" s="45">
        <v>130</v>
      </c>
      <c r="H40" s="22">
        <v>2</v>
      </c>
      <c r="I40" s="6">
        <f t="shared" si="3"/>
        <v>357.5</v>
      </c>
      <c r="J40" s="7" t="s">
        <v>774</v>
      </c>
    </row>
    <row r="41" spans="1:10" ht="13.95" customHeight="1" x14ac:dyDescent="0.3">
      <c r="A41" s="20">
        <v>45706</v>
      </c>
      <c r="B41" s="20" t="s">
        <v>3042</v>
      </c>
      <c r="C41" s="19" t="s">
        <v>20</v>
      </c>
      <c r="D41" s="19" t="s">
        <v>9</v>
      </c>
      <c r="E41" s="4">
        <v>0.5</v>
      </c>
      <c r="F41" s="42">
        <v>2.4500000000000002</v>
      </c>
      <c r="G41" s="45">
        <v>130</v>
      </c>
      <c r="H41" s="22">
        <v>2</v>
      </c>
      <c r="I41" s="6">
        <f t="shared" si="3"/>
        <v>318.5</v>
      </c>
      <c r="J41" s="7" t="s">
        <v>88</v>
      </c>
    </row>
    <row r="42" spans="1:10" ht="13.95" customHeight="1" x14ac:dyDescent="0.3">
      <c r="A42" s="20">
        <v>45707</v>
      </c>
      <c r="B42" s="20" t="s">
        <v>3042</v>
      </c>
      <c r="C42" s="19" t="s">
        <v>5</v>
      </c>
      <c r="D42" s="19" t="s">
        <v>9</v>
      </c>
      <c r="E42" s="4">
        <v>0.5</v>
      </c>
      <c r="F42" s="42">
        <v>2.4500000000000002</v>
      </c>
      <c r="G42" s="45">
        <v>130</v>
      </c>
      <c r="H42" s="22">
        <v>2</v>
      </c>
      <c r="I42" s="6">
        <f t="shared" si="3"/>
        <v>318.5</v>
      </c>
      <c r="J42" s="7" t="s">
        <v>88</v>
      </c>
    </row>
    <row r="43" spans="1:10" ht="13.95" customHeight="1" x14ac:dyDescent="0.3">
      <c r="A43" s="20">
        <v>45708</v>
      </c>
      <c r="B43" s="20" t="s">
        <v>3042</v>
      </c>
      <c r="C43" s="19" t="s">
        <v>8</v>
      </c>
      <c r="D43" s="19" t="s">
        <v>1263</v>
      </c>
      <c r="E43" s="4">
        <v>0.7</v>
      </c>
      <c r="F43" s="42">
        <v>2.85</v>
      </c>
      <c r="G43" s="45">
        <v>130</v>
      </c>
      <c r="H43" s="22">
        <v>2</v>
      </c>
      <c r="I43" s="6">
        <f t="shared" si="3"/>
        <v>518.70000000000005</v>
      </c>
      <c r="J43" s="7" t="s">
        <v>2884</v>
      </c>
    </row>
    <row r="44" spans="1:10" ht="13.95" customHeight="1" x14ac:dyDescent="0.3">
      <c r="A44" s="20">
        <v>45709</v>
      </c>
      <c r="B44" s="20" t="s">
        <v>3042</v>
      </c>
      <c r="C44" s="19" t="s">
        <v>11</v>
      </c>
      <c r="D44" s="19" t="s">
        <v>14</v>
      </c>
      <c r="E44" s="4">
        <v>0.75</v>
      </c>
      <c r="F44" s="42">
        <v>3.35</v>
      </c>
      <c r="G44" s="45">
        <v>130</v>
      </c>
      <c r="H44" s="22">
        <v>2</v>
      </c>
      <c r="I44" s="6">
        <f t="shared" si="3"/>
        <v>653.25</v>
      </c>
      <c r="J44" s="7" t="s">
        <v>1095</v>
      </c>
    </row>
    <row r="45" spans="1:10" ht="13.95" customHeight="1" x14ac:dyDescent="0.3">
      <c r="A45" s="20">
        <v>45710</v>
      </c>
      <c r="B45" s="20" t="s">
        <v>3042</v>
      </c>
      <c r="C45" s="19" t="s">
        <v>13</v>
      </c>
      <c r="D45" s="19" t="s">
        <v>14</v>
      </c>
      <c r="E45" s="4">
        <v>0.9</v>
      </c>
      <c r="F45" s="42">
        <v>4.2</v>
      </c>
      <c r="G45" s="45">
        <v>130</v>
      </c>
      <c r="H45" s="22">
        <v>2</v>
      </c>
      <c r="I45" s="6">
        <f t="shared" si="3"/>
        <v>982.80000000000007</v>
      </c>
      <c r="J45" s="7" t="s">
        <v>2878</v>
      </c>
    </row>
    <row r="46" spans="1:10" ht="13.95" customHeight="1" x14ac:dyDescent="0.3">
      <c r="A46" s="20">
        <v>45711</v>
      </c>
      <c r="B46" s="20" t="s">
        <v>3042</v>
      </c>
      <c r="C46" s="19" t="s">
        <v>16</v>
      </c>
      <c r="D46" s="19" t="s">
        <v>14</v>
      </c>
      <c r="E46" s="4">
        <v>0.85</v>
      </c>
      <c r="F46" s="42">
        <v>3.75</v>
      </c>
      <c r="G46" s="45">
        <v>130</v>
      </c>
      <c r="H46" s="22">
        <v>2</v>
      </c>
      <c r="I46" s="6">
        <f t="shared" si="3"/>
        <v>828.75</v>
      </c>
      <c r="J46" s="7" t="s">
        <v>159</v>
      </c>
    </row>
    <row r="47" spans="1:10" ht="13.95" customHeight="1" x14ac:dyDescent="0.3">
      <c r="A47" s="20">
        <v>45712</v>
      </c>
      <c r="B47" s="20" t="s">
        <v>3042</v>
      </c>
      <c r="C47" s="19" t="s">
        <v>18</v>
      </c>
      <c r="D47" s="19" t="s">
        <v>9</v>
      </c>
      <c r="E47" s="4">
        <v>0.5</v>
      </c>
      <c r="F47" s="42">
        <v>2.4500000000000002</v>
      </c>
      <c r="G47" s="45">
        <v>130</v>
      </c>
      <c r="H47" s="22">
        <v>2</v>
      </c>
      <c r="I47" s="6">
        <f t="shared" si="3"/>
        <v>318.5</v>
      </c>
      <c r="J47" s="7" t="s">
        <v>2193</v>
      </c>
    </row>
    <row r="48" spans="1:10" ht="13.95" customHeight="1" x14ac:dyDescent="0.3">
      <c r="A48" s="20">
        <v>45713</v>
      </c>
      <c r="B48" s="20" t="s">
        <v>3042</v>
      </c>
      <c r="C48" s="19" t="s">
        <v>20</v>
      </c>
      <c r="D48" s="19" t="s">
        <v>9</v>
      </c>
      <c r="E48" s="4">
        <v>0.5</v>
      </c>
      <c r="F48" s="42">
        <v>2.4500000000000002</v>
      </c>
      <c r="G48" s="45">
        <v>130</v>
      </c>
      <c r="H48" s="22">
        <v>2</v>
      </c>
      <c r="I48" s="6">
        <f t="shared" si="3"/>
        <v>318.5</v>
      </c>
      <c r="J48" s="7" t="s">
        <v>88</v>
      </c>
    </row>
    <row r="49" spans="1:10" ht="13.95" customHeight="1" x14ac:dyDescent="0.3">
      <c r="A49" s="20">
        <v>45714</v>
      </c>
      <c r="B49" s="20" t="s">
        <v>3042</v>
      </c>
      <c r="C49" s="19" t="s">
        <v>5</v>
      </c>
      <c r="D49" s="19" t="s">
        <v>9</v>
      </c>
      <c r="E49" s="4">
        <v>0.55000000000000004</v>
      </c>
      <c r="F49" s="42">
        <v>2.5</v>
      </c>
      <c r="G49" s="45">
        <v>130</v>
      </c>
      <c r="H49" s="22">
        <v>2</v>
      </c>
      <c r="I49" s="6">
        <f t="shared" si="3"/>
        <v>357.5</v>
      </c>
      <c r="J49" s="7" t="s">
        <v>88</v>
      </c>
    </row>
    <row r="50" spans="1:10" ht="13.95" customHeight="1" x14ac:dyDescent="0.3">
      <c r="A50" s="20">
        <v>45715</v>
      </c>
      <c r="B50" s="20" t="s">
        <v>3042</v>
      </c>
      <c r="C50" s="19" t="s">
        <v>8</v>
      </c>
      <c r="D50" s="19" t="s">
        <v>1263</v>
      </c>
      <c r="E50" s="4">
        <v>0.7</v>
      </c>
      <c r="F50" s="42">
        <v>2.9</v>
      </c>
      <c r="G50" s="45">
        <v>130</v>
      </c>
      <c r="H50" s="22">
        <v>2</v>
      </c>
      <c r="I50" s="6">
        <f t="shared" si="3"/>
        <v>527.79999999999995</v>
      </c>
      <c r="J50" s="7" t="s">
        <v>151</v>
      </c>
    </row>
    <row r="51" spans="1:10" ht="13.95" customHeight="1" x14ac:dyDescent="0.3">
      <c r="A51" s="20">
        <v>45716</v>
      </c>
      <c r="B51" s="20" t="s">
        <v>3042</v>
      </c>
      <c r="C51" s="19" t="s">
        <v>11</v>
      </c>
      <c r="D51" s="19" t="s">
        <v>14</v>
      </c>
      <c r="E51" s="4">
        <v>0.75</v>
      </c>
      <c r="F51" s="42">
        <v>3.45</v>
      </c>
      <c r="G51" s="45">
        <v>130</v>
      </c>
      <c r="H51" s="22">
        <v>2</v>
      </c>
      <c r="I51" s="6">
        <f t="shared" si="3"/>
        <v>672.75</v>
      </c>
      <c r="J51" s="7" t="s">
        <v>1416</v>
      </c>
    </row>
    <row r="52" spans="1:10" ht="13.95" customHeight="1" x14ac:dyDescent="0.3">
      <c r="A52" s="20">
        <v>45717</v>
      </c>
      <c r="B52" s="20" t="s">
        <v>3042</v>
      </c>
      <c r="C52" s="19" t="s">
        <v>13</v>
      </c>
      <c r="D52" s="19" t="s">
        <v>1294</v>
      </c>
      <c r="E52" s="4">
        <v>0.75</v>
      </c>
      <c r="F52" s="42">
        <v>3.9</v>
      </c>
      <c r="G52" s="45">
        <v>130</v>
      </c>
      <c r="H52" s="22">
        <v>1.9</v>
      </c>
      <c r="I52" s="6">
        <f t="shared" si="3"/>
        <v>722.47500000000002</v>
      </c>
      <c r="J52" s="7" t="s">
        <v>2885</v>
      </c>
    </row>
    <row r="53" spans="1:10" ht="13.95" customHeight="1" x14ac:dyDescent="0.3">
      <c r="A53" s="20">
        <v>45718</v>
      </c>
      <c r="B53" s="20" t="s">
        <v>3042</v>
      </c>
      <c r="C53" s="19" t="s">
        <v>16</v>
      </c>
      <c r="D53" s="19" t="s">
        <v>14</v>
      </c>
      <c r="E53" s="4">
        <v>0.7</v>
      </c>
      <c r="F53" s="42">
        <v>3.4</v>
      </c>
      <c r="G53" s="45">
        <v>130</v>
      </c>
      <c r="H53" s="22">
        <v>1.9</v>
      </c>
      <c r="I53" s="6">
        <f t="shared" si="3"/>
        <v>587.8599999999999</v>
      </c>
      <c r="J53" s="7" t="s">
        <v>2886</v>
      </c>
    </row>
    <row r="54" spans="1:10" ht="13.95" customHeight="1" x14ac:dyDescent="0.3">
      <c r="A54" s="20">
        <v>45719</v>
      </c>
      <c r="B54" s="20" t="s">
        <v>3042</v>
      </c>
      <c r="C54" s="19" t="s">
        <v>18</v>
      </c>
      <c r="D54" s="19" t="s">
        <v>76</v>
      </c>
      <c r="E54" s="4">
        <v>0.4</v>
      </c>
      <c r="F54" s="42">
        <v>2.8</v>
      </c>
      <c r="G54" s="45">
        <v>130</v>
      </c>
      <c r="H54" s="22">
        <v>1.9</v>
      </c>
      <c r="I54" s="6">
        <f t="shared" si="3"/>
        <v>276.64</v>
      </c>
      <c r="J54" s="7" t="s">
        <v>2887</v>
      </c>
    </row>
    <row r="55" spans="1:10" ht="13.95" customHeight="1" x14ac:dyDescent="0.3">
      <c r="A55" s="20">
        <v>45720</v>
      </c>
      <c r="B55" s="20" t="s">
        <v>3042</v>
      </c>
      <c r="C55" s="19" t="s">
        <v>20</v>
      </c>
      <c r="D55" s="19" t="s">
        <v>76</v>
      </c>
      <c r="E55" s="4">
        <v>0.4</v>
      </c>
      <c r="F55" s="42">
        <v>2.8</v>
      </c>
      <c r="G55" s="45">
        <v>130</v>
      </c>
      <c r="H55" s="22">
        <v>1.9</v>
      </c>
      <c r="I55" s="6">
        <f t="shared" si="3"/>
        <v>276.64</v>
      </c>
      <c r="J55" s="7" t="s">
        <v>88</v>
      </c>
    </row>
    <row r="56" spans="1:10" ht="13.95" customHeight="1" x14ac:dyDescent="0.3">
      <c r="A56" s="20">
        <v>45721</v>
      </c>
      <c r="B56" s="20" t="s">
        <v>3042</v>
      </c>
      <c r="C56" s="19" t="s">
        <v>5</v>
      </c>
      <c r="D56" s="19" t="s">
        <v>76</v>
      </c>
      <c r="E56" s="4">
        <v>0.45</v>
      </c>
      <c r="F56" s="42">
        <v>2.85</v>
      </c>
      <c r="G56" s="45">
        <v>130</v>
      </c>
      <c r="H56" s="22">
        <v>1.9</v>
      </c>
      <c r="I56" s="6">
        <f t="shared" si="3"/>
        <v>316.77749999999997</v>
      </c>
      <c r="J56" s="7" t="s">
        <v>88</v>
      </c>
    </row>
    <row r="57" spans="1:10" ht="13.95" customHeight="1" x14ac:dyDescent="0.3">
      <c r="A57" s="20">
        <v>45722</v>
      </c>
      <c r="B57" s="20" t="s">
        <v>3042</v>
      </c>
      <c r="C57" s="19" t="s">
        <v>8</v>
      </c>
      <c r="D57" s="19" t="s">
        <v>1263</v>
      </c>
      <c r="E57" s="4">
        <v>0.6</v>
      </c>
      <c r="F57" s="42">
        <v>3.1</v>
      </c>
      <c r="G57" s="45">
        <v>130</v>
      </c>
      <c r="H57" s="22">
        <v>1.9</v>
      </c>
      <c r="I57" s="6">
        <f t="shared" si="3"/>
        <v>459.42</v>
      </c>
      <c r="J57" s="7" t="s">
        <v>2888</v>
      </c>
    </row>
    <row r="58" spans="1:10" ht="13.95" customHeight="1" x14ac:dyDescent="0.3">
      <c r="A58" s="20">
        <v>45723</v>
      </c>
      <c r="B58" s="20" t="s">
        <v>3042</v>
      </c>
      <c r="C58" s="19" t="s">
        <v>11</v>
      </c>
      <c r="D58" s="19" t="s">
        <v>14</v>
      </c>
      <c r="E58" s="4">
        <v>0.65</v>
      </c>
      <c r="F58" s="42">
        <v>3.6</v>
      </c>
      <c r="G58" s="45">
        <v>130</v>
      </c>
      <c r="H58" s="22">
        <v>1.9</v>
      </c>
      <c r="I58" s="6">
        <f t="shared" si="3"/>
        <v>577.9799999999999</v>
      </c>
      <c r="J58" s="7" t="s">
        <v>2889</v>
      </c>
    </row>
    <row r="59" spans="1:10" ht="13.95" customHeight="1" x14ac:dyDescent="0.3">
      <c r="A59" s="20">
        <v>45724</v>
      </c>
      <c r="B59" s="20" t="s">
        <v>3042</v>
      </c>
      <c r="C59" s="19" t="s">
        <v>13</v>
      </c>
      <c r="D59" s="19" t="s">
        <v>14</v>
      </c>
      <c r="E59" s="4">
        <v>0.85</v>
      </c>
      <c r="F59" s="42">
        <v>4.2</v>
      </c>
      <c r="G59" s="45">
        <v>130</v>
      </c>
      <c r="H59" s="22">
        <v>1.9</v>
      </c>
      <c r="I59" s="6">
        <f t="shared" si="3"/>
        <v>881.79</v>
      </c>
      <c r="J59" s="7" t="s">
        <v>2890</v>
      </c>
    </row>
    <row r="60" spans="1:10" ht="13.95" customHeight="1" x14ac:dyDescent="0.3">
      <c r="A60" s="20">
        <v>45725</v>
      </c>
      <c r="B60" s="20" t="s">
        <v>3042</v>
      </c>
      <c r="C60" s="19" t="s">
        <v>16</v>
      </c>
      <c r="D60" s="19" t="s">
        <v>14</v>
      </c>
      <c r="E60" s="4">
        <v>0.8</v>
      </c>
      <c r="F60" s="42">
        <v>3.5</v>
      </c>
      <c r="G60" s="45">
        <v>130</v>
      </c>
      <c r="H60" s="22">
        <v>1.9</v>
      </c>
      <c r="I60" s="6">
        <f t="shared" si="3"/>
        <v>691.6</v>
      </c>
      <c r="J60" s="7" t="s">
        <v>2407</v>
      </c>
    </row>
    <row r="61" spans="1:10" ht="13.95" customHeight="1" x14ac:dyDescent="0.3">
      <c r="A61" s="20">
        <v>45726</v>
      </c>
      <c r="B61" s="20" t="s">
        <v>3042</v>
      </c>
      <c r="C61" s="19" t="s">
        <v>18</v>
      </c>
      <c r="D61" s="19" t="s">
        <v>76</v>
      </c>
      <c r="E61" s="4">
        <v>0.45</v>
      </c>
      <c r="F61" s="42">
        <v>2.85</v>
      </c>
      <c r="G61" s="45">
        <v>130</v>
      </c>
      <c r="H61" s="22">
        <v>1.9</v>
      </c>
      <c r="I61" s="6">
        <f t="shared" si="3"/>
        <v>316.77749999999997</v>
      </c>
      <c r="J61" s="7" t="s">
        <v>88</v>
      </c>
    </row>
    <row r="62" spans="1:10" ht="13.95" customHeight="1" x14ac:dyDescent="0.3">
      <c r="A62" s="20">
        <v>45727</v>
      </c>
      <c r="B62" s="20" t="s">
        <v>3042</v>
      </c>
      <c r="C62" s="19" t="s">
        <v>20</v>
      </c>
      <c r="D62" s="19" t="s">
        <v>76</v>
      </c>
      <c r="E62" s="4">
        <v>0.45</v>
      </c>
      <c r="F62" s="42">
        <v>2.85</v>
      </c>
      <c r="G62" s="45">
        <v>130</v>
      </c>
      <c r="H62" s="22">
        <v>1.9</v>
      </c>
      <c r="I62" s="6">
        <f t="shared" si="3"/>
        <v>316.77749999999997</v>
      </c>
      <c r="J62" s="7" t="s">
        <v>88</v>
      </c>
    </row>
    <row r="63" spans="1:10" ht="13.95" customHeight="1" x14ac:dyDescent="0.3">
      <c r="A63" s="20">
        <v>45728</v>
      </c>
      <c r="B63" s="20" t="s">
        <v>3042</v>
      </c>
      <c r="C63" s="19" t="s">
        <v>5</v>
      </c>
      <c r="D63" s="19" t="s">
        <v>76</v>
      </c>
      <c r="E63" s="4">
        <v>0.5</v>
      </c>
      <c r="F63" s="42">
        <v>2.9</v>
      </c>
      <c r="G63" s="45">
        <v>130</v>
      </c>
      <c r="H63" s="22">
        <v>1.9</v>
      </c>
      <c r="I63" s="6">
        <f t="shared" si="3"/>
        <v>358.15</v>
      </c>
      <c r="J63" s="7" t="s">
        <v>88</v>
      </c>
    </row>
    <row r="64" spans="1:10" ht="13.95" customHeight="1" x14ac:dyDescent="0.3">
      <c r="A64" s="20">
        <v>45729</v>
      </c>
      <c r="B64" s="20" t="s">
        <v>3042</v>
      </c>
      <c r="C64" s="19" t="s">
        <v>8</v>
      </c>
      <c r="D64" s="19" t="s">
        <v>1263</v>
      </c>
      <c r="E64" s="4">
        <v>0.7</v>
      </c>
      <c r="F64" s="42">
        <v>3.2</v>
      </c>
      <c r="G64" s="45">
        <v>130</v>
      </c>
      <c r="H64" s="22">
        <v>1.9</v>
      </c>
      <c r="I64" s="6">
        <f t="shared" si="3"/>
        <v>553.28</v>
      </c>
      <c r="J64" s="7" t="s">
        <v>2891</v>
      </c>
    </row>
    <row r="65" spans="1:10" ht="13.95" customHeight="1" x14ac:dyDescent="0.3">
      <c r="A65" s="20">
        <v>45730</v>
      </c>
      <c r="B65" s="20" t="s">
        <v>3042</v>
      </c>
      <c r="C65" s="19" t="s">
        <v>11</v>
      </c>
      <c r="D65" s="19" t="s">
        <v>14</v>
      </c>
      <c r="E65" s="4">
        <v>0.7</v>
      </c>
      <c r="F65" s="42">
        <v>3.7</v>
      </c>
      <c r="G65" s="45">
        <v>130</v>
      </c>
      <c r="H65" s="22">
        <v>1.9</v>
      </c>
      <c r="I65" s="6">
        <f t="shared" si="3"/>
        <v>639.7299999999999</v>
      </c>
      <c r="J65" s="7" t="s">
        <v>1095</v>
      </c>
    </row>
    <row r="66" spans="1:10" ht="13.95" customHeight="1" x14ac:dyDescent="0.3">
      <c r="A66" s="20">
        <v>45731</v>
      </c>
      <c r="B66" s="20" t="s">
        <v>3042</v>
      </c>
      <c r="C66" s="19" t="s">
        <v>13</v>
      </c>
      <c r="D66" s="19" t="s">
        <v>14</v>
      </c>
      <c r="E66" s="4">
        <v>0.9</v>
      </c>
      <c r="F66" s="42">
        <v>4.3</v>
      </c>
      <c r="G66" s="45">
        <v>130</v>
      </c>
      <c r="H66" s="22">
        <v>1.9</v>
      </c>
      <c r="I66" s="6">
        <f t="shared" si="3"/>
        <v>955.88999999999987</v>
      </c>
      <c r="J66" s="7" t="s">
        <v>2892</v>
      </c>
    </row>
    <row r="67" spans="1:10" ht="13.95" customHeight="1" x14ac:dyDescent="0.3">
      <c r="A67" s="20">
        <v>45732</v>
      </c>
      <c r="B67" s="20" t="s">
        <v>3042</v>
      </c>
      <c r="C67" s="19" t="s">
        <v>16</v>
      </c>
      <c r="D67" s="19" t="s">
        <v>14</v>
      </c>
      <c r="E67" s="4">
        <v>0.85</v>
      </c>
      <c r="F67" s="42">
        <v>3.6</v>
      </c>
      <c r="G67" s="45">
        <v>130</v>
      </c>
      <c r="H67" s="22">
        <v>1.9</v>
      </c>
      <c r="I67" s="6">
        <f t="shared" si="3"/>
        <v>755.81999999999994</v>
      </c>
      <c r="J67" s="7" t="s">
        <v>238</v>
      </c>
    </row>
    <row r="68" spans="1:10" ht="13.95" customHeight="1" x14ac:dyDescent="0.3">
      <c r="A68" s="20">
        <v>45733</v>
      </c>
      <c r="B68" s="20" t="s">
        <v>3042</v>
      </c>
      <c r="C68" s="19" t="s">
        <v>18</v>
      </c>
      <c r="D68" s="19" t="s">
        <v>76</v>
      </c>
      <c r="E68" s="4">
        <v>0.45</v>
      </c>
      <c r="F68" s="42">
        <v>2.9</v>
      </c>
      <c r="G68" s="45">
        <v>130</v>
      </c>
      <c r="H68" s="22">
        <v>1.9</v>
      </c>
      <c r="I68" s="6">
        <f t="shared" si="3"/>
        <v>322.33499999999998</v>
      </c>
      <c r="J68" s="7" t="s">
        <v>88</v>
      </c>
    </row>
    <row r="69" spans="1:10" ht="13.95" customHeight="1" x14ac:dyDescent="0.3">
      <c r="A69" s="20">
        <v>45734</v>
      </c>
      <c r="B69" s="20" t="s">
        <v>3042</v>
      </c>
      <c r="C69" s="19" t="s">
        <v>20</v>
      </c>
      <c r="D69" s="19" t="s">
        <v>76</v>
      </c>
      <c r="E69" s="4">
        <v>0.45</v>
      </c>
      <c r="F69" s="42">
        <v>2.9</v>
      </c>
      <c r="G69" s="45">
        <v>130</v>
      </c>
      <c r="H69" s="22">
        <v>1.9</v>
      </c>
      <c r="I69" s="6">
        <f t="shared" si="3"/>
        <v>322.33499999999998</v>
      </c>
      <c r="J69" s="7" t="s">
        <v>88</v>
      </c>
    </row>
    <row r="70" spans="1:10" ht="13.95" customHeight="1" x14ac:dyDescent="0.3">
      <c r="A70" s="20">
        <v>45735</v>
      </c>
      <c r="B70" s="20" t="s">
        <v>3042</v>
      </c>
      <c r="C70" s="19" t="s">
        <v>5</v>
      </c>
      <c r="D70" s="19" t="s">
        <v>76</v>
      </c>
      <c r="E70" s="4">
        <v>0.5</v>
      </c>
      <c r="F70" s="42">
        <v>2.95</v>
      </c>
      <c r="G70" s="45">
        <v>130</v>
      </c>
      <c r="H70" s="22">
        <v>1.9</v>
      </c>
      <c r="I70" s="6">
        <f t="shared" si="3"/>
        <v>364.32499999999999</v>
      </c>
      <c r="J70" s="7" t="s">
        <v>88</v>
      </c>
    </row>
    <row r="71" spans="1:10" ht="13.95" customHeight="1" x14ac:dyDescent="0.3">
      <c r="A71" s="20">
        <v>45736</v>
      </c>
      <c r="B71" s="20" t="s">
        <v>3042</v>
      </c>
      <c r="C71" s="19" t="s">
        <v>8</v>
      </c>
      <c r="D71" s="19" t="s">
        <v>2740</v>
      </c>
      <c r="E71" s="4">
        <v>0.85</v>
      </c>
      <c r="F71" s="42">
        <v>4.0999999999999996</v>
      </c>
      <c r="G71" s="45">
        <v>130</v>
      </c>
      <c r="H71" s="22">
        <v>1.9</v>
      </c>
      <c r="I71" s="6">
        <f t="shared" si="3"/>
        <v>860.79499999999985</v>
      </c>
      <c r="J71" s="7" t="s">
        <v>2893</v>
      </c>
    </row>
    <row r="72" spans="1:10" ht="13.95" customHeight="1" x14ac:dyDescent="0.3">
      <c r="A72" s="20">
        <v>45737</v>
      </c>
      <c r="B72" s="20" t="s">
        <v>3042</v>
      </c>
      <c r="C72" s="19" t="s">
        <v>11</v>
      </c>
      <c r="D72" s="19" t="s">
        <v>14</v>
      </c>
      <c r="E72" s="4">
        <v>0.75</v>
      </c>
      <c r="F72" s="42">
        <v>3.7</v>
      </c>
      <c r="G72" s="45">
        <v>130</v>
      </c>
      <c r="H72" s="22">
        <v>1.9</v>
      </c>
      <c r="I72" s="6">
        <f t="shared" si="3"/>
        <v>685.42499999999995</v>
      </c>
      <c r="J72" s="7" t="s">
        <v>197</v>
      </c>
    </row>
    <row r="73" spans="1:10" ht="13.95" customHeight="1" x14ac:dyDescent="0.3">
      <c r="A73" s="20">
        <v>45738</v>
      </c>
      <c r="B73" s="20" t="s">
        <v>3042</v>
      </c>
      <c r="C73" s="19" t="s">
        <v>13</v>
      </c>
      <c r="D73" s="19" t="s">
        <v>14</v>
      </c>
      <c r="E73" s="4">
        <v>0.95</v>
      </c>
      <c r="F73" s="42">
        <v>4.4000000000000004</v>
      </c>
      <c r="G73" s="45">
        <v>130</v>
      </c>
      <c r="H73" s="22">
        <v>1.9</v>
      </c>
      <c r="I73" s="6">
        <f t="shared" si="3"/>
        <v>1032.46</v>
      </c>
      <c r="J73" s="7" t="s">
        <v>2894</v>
      </c>
    </row>
    <row r="74" spans="1:10" ht="13.95" customHeight="1" x14ac:dyDescent="0.3">
      <c r="A74" s="20">
        <v>45739</v>
      </c>
      <c r="B74" s="20" t="s">
        <v>3042</v>
      </c>
      <c r="C74" s="19" t="s">
        <v>16</v>
      </c>
      <c r="D74" s="19" t="s">
        <v>14</v>
      </c>
      <c r="E74" s="4">
        <v>0.9</v>
      </c>
      <c r="F74" s="42">
        <v>3.75</v>
      </c>
      <c r="G74" s="45">
        <v>130</v>
      </c>
      <c r="H74" s="22">
        <v>1.9</v>
      </c>
      <c r="I74" s="6">
        <f t="shared" si="3"/>
        <v>833.625</v>
      </c>
      <c r="J74" s="7" t="s">
        <v>2558</v>
      </c>
    </row>
    <row r="75" spans="1:10" ht="13.95" customHeight="1" x14ac:dyDescent="0.3">
      <c r="A75" s="20">
        <v>45740</v>
      </c>
      <c r="B75" s="20" t="s">
        <v>3042</v>
      </c>
      <c r="C75" s="19" t="s">
        <v>18</v>
      </c>
      <c r="D75" s="19" t="s">
        <v>76</v>
      </c>
      <c r="E75" s="4">
        <v>0.5</v>
      </c>
      <c r="F75" s="42">
        <v>2.9</v>
      </c>
      <c r="G75" s="45">
        <v>130</v>
      </c>
      <c r="H75" s="22">
        <v>1.9</v>
      </c>
      <c r="I75" s="6">
        <f t="shared" si="3"/>
        <v>358.15</v>
      </c>
      <c r="J75" s="7" t="s">
        <v>88</v>
      </c>
    </row>
    <row r="76" spans="1:10" ht="13.95" customHeight="1" x14ac:dyDescent="0.3">
      <c r="A76" s="20">
        <v>45741</v>
      </c>
      <c r="B76" s="20" t="s">
        <v>3042</v>
      </c>
      <c r="C76" s="19" t="s">
        <v>20</v>
      </c>
      <c r="D76" s="19" t="s">
        <v>76</v>
      </c>
      <c r="E76" s="4">
        <v>0.5</v>
      </c>
      <c r="F76" s="42">
        <v>2.9</v>
      </c>
      <c r="G76" s="45">
        <v>130</v>
      </c>
      <c r="H76" s="22">
        <v>1.9</v>
      </c>
      <c r="I76" s="6">
        <f t="shared" si="3"/>
        <v>358.15</v>
      </c>
      <c r="J76" s="7" t="s">
        <v>88</v>
      </c>
    </row>
    <row r="77" spans="1:10" ht="13.95" customHeight="1" x14ac:dyDescent="0.3">
      <c r="A77" s="20">
        <v>45742</v>
      </c>
      <c r="B77" s="20" t="s">
        <v>3042</v>
      </c>
      <c r="C77" s="19" t="s">
        <v>5</v>
      </c>
      <c r="D77" s="19" t="s">
        <v>76</v>
      </c>
      <c r="E77" s="4">
        <v>0.55000000000000004</v>
      </c>
      <c r="F77" s="42">
        <v>3</v>
      </c>
      <c r="G77" s="45">
        <v>130</v>
      </c>
      <c r="H77" s="22">
        <v>1.9</v>
      </c>
      <c r="I77" s="6">
        <f t="shared" si="3"/>
        <v>407.54999999999995</v>
      </c>
      <c r="J77" s="7" t="s">
        <v>88</v>
      </c>
    </row>
    <row r="78" spans="1:10" ht="13.95" customHeight="1" x14ac:dyDescent="0.3">
      <c r="A78" s="20">
        <v>45743</v>
      </c>
      <c r="B78" s="20" t="s">
        <v>3042</v>
      </c>
      <c r="C78" s="19" t="s">
        <v>8</v>
      </c>
      <c r="D78" s="19" t="s">
        <v>76</v>
      </c>
      <c r="E78" s="4">
        <v>0.6</v>
      </c>
      <c r="F78" s="42">
        <v>3.1</v>
      </c>
      <c r="G78" s="45">
        <v>130</v>
      </c>
      <c r="H78" s="22">
        <v>1.9</v>
      </c>
      <c r="I78" s="6">
        <f t="shared" si="3"/>
        <v>459.42</v>
      </c>
      <c r="J78" s="7" t="s">
        <v>2895</v>
      </c>
    </row>
    <row r="79" spans="1:10" ht="13.95" customHeight="1" x14ac:dyDescent="0.3">
      <c r="A79" s="20">
        <v>45744</v>
      </c>
      <c r="B79" s="20" t="s">
        <v>3042</v>
      </c>
      <c r="C79" s="19" t="s">
        <v>11</v>
      </c>
      <c r="D79" s="19" t="s">
        <v>76</v>
      </c>
      <c r="E79" s="4">
        <v>0.75</v>
      </c>
      <c r="F79" s="42">
        <v>3.8</v>
      </c>
      <c r="G79" s="45">
        <v>130</v>
      </c>
      <c r="H79" s="22">
        <v>1.9</v>
      </c>
      <c r="I79" s="6">
        <f t="shared" si="3"/>
        <v>703.94999999999993</v>
      </c>
      <c r="J79" s="7" t="s">
        <v>2896</v>
      </c>
    </row>
    <row r="80" spans="1:10" ht="13.95" customHeight="1" x14ac:dyDescent="0.3">
      <c r="A80" s="20">
        <v>45745</v>
      </c>
      <c r="B80" s="20" t="s">
        <v>3042</v>
      </c>
      <c r="C80" s="19" t="s">
        <v>13</v>
      </c>
      <c r="D80" s="19" t="s">
        <v>2897</v>
      </c>
      <c r="E80" s="4">
        <v>1</v>
      </c>
      <c r="F80" s="42">
        <v>4.8</v>
      </c>
      <c r="G80" s="45">
        <v>130</v>
      </c>
      <c r="H80" s="22">
        <v>1.9</v>
      </c>
      <c r="I80" s="6">
        <f t="shared" si="3"/>
        <v>1185.5999999999999</v>
      </c>
      <c r="J80" s="7" t="s">
        <v>2898</v>
      </c>
    </row>
    <row r="81" spans="1:10" ht="13.95" customHeight="1" x14ac:dyDescent="0.3">
      <c r="A81" s="20">
        <v>45746</v>
      </c>
      <c r="B81" s="20" t="s">
        <v>3042</v>
      </c>
      <c r="C81" s="19" t="s">
        <v>16</v>
      </c>
      <c r="D81" s="19" t="s">
        <v>2899</v>
      </c>
      <c r="E81" s="4">
        <v>1</v>
      </c>
      <c r="F81" s="42">
        <v>4.5999999999999996</v>
      </c>
      <c r="G81" s="45">
        <v>130</v>
      </c>
      <c r="H81" s="22">
        <v>1.9</v>
      </c>
      <c r="I81" s="6">
        <f t="shared" si="3"/>
        <v>1136.2</v>
      </c>
      <c r="J81" s="7" t="s">
        <v>2900</v>
      </c>
    </row>
    <row r="82" spans="1:10" ht="13.95" customHeight="1" x14ac:dyDescent="0.3">
      <c r="A82" s="20">
        <v>45747</v>
      </c>
      <c r="B82" s="20" t="s">
        <v>3042</v>
      </c>
      <c r="C82" s="19" t="s">
        <v>18</v>
      </c>
      <c r="D82" s="19" t="s">
        <v>1314</v>
      </c>
      <c r="E82" s="4">
        <v>0.8</v>
      </c>
      <c r="F82" s="42">
        <v>3.2</v>
      </c>
      <c r="G82" s="45">
        <v>130</v>
      </c>
      <c r="H82" s="22">
        <v>1.9</v>
      </c>
      <c r="I82" s="6">
        <f t="shared" si="3"/>
        <v>632.31999999999994</v>
      </c>
      <c r="J82" s="7" t="s">
        <v>2901</v>
      </c>
    </row>
    <row r="83" spans="1:10" ht="13.95" customHeight="1" x14ac:dyDescent="0.3">
      <c r="A83" s="20">
        <v>45748</v>
      </c>
      <c r="B83" s="20" t="s">
        <v>3042</v>
      </c>
      <c r="C83" s="19" t="s">
        <v>20</v>
      </c>
      <c r="D83" s="19" t="s">
        <v>9</v>
      </c>
      <c r="E83" s="4">
        <v>0.55000000000000004</v>
      </c>
      <c r="F83" s="42">
        <v>2.5</v>
      </c>
      <c r="G83" s="45">
        <v>130</v>
      </c>
      <c r="H83" s="22">
        <v>1.9</v>
      </c>
      <c r="I83" s="6">
        <f t="shared" si="3"/>
        <v>339.625</v>
      </c>
      <c r="J83" s="7" t="s">
        <v>2511</v>
      </c>
    </row>
    <row r="84" spans="1:10" ht="13.95" customHeight="1" x14ac:dyDescent="0.3">
      <c r="A84" s="20">
        <v>45749</v>
      </c>
      <c r="B84" s="20" t="s">
        <v>3042</v>
      </c>
      <c r="C84" s="19" t="s">
        <v>5</v>
      </c>
      <c r="D84" s="19" t="s">
        <v>9</v>
      </c>
      <c r="E84" s="4">
        <v>0.55000000000000004</v>
      </c>
      <c r="F84" s="42">
        <v>2.5</v>
      </c>
      <c r="G84" s="45">
        <v>130</v>
      </c>
      <c r="H84" s="22">
        <v>1.9</v>
      </c>
      <c r="I84" s="6">
        <f t="shared" si="3"/>
        <v>339.625</v>
      </c>
      <c r="J84" s="7" t="s">
        <v>88</v>
      </c>
    </row>
    <row r="85" spans="1:10" ht="13.95" customHeight="1" x14ac:dyDescent="0.3">
      <c r="A85" s="20">
        <v>45750</v>
      </c>
      <c r="B85" s="20" t="s">
        <v>3042</v>
      </c>
      <c r="C85" s="19" t="s">
        <v>8</v>
      </c>
      <c r="D85" s="19" t="s">
        <v>1263</v>
      </c>
      <c r="E85" s="4">
        <v>0.7</v>
      </c>
      <c r="F85" s="42">
        <v>2.9</v>
      </c>
      <c r="G85" s="45">
        <v>130</v>
      </c>
      <c r="H85" s="22">
        <v>1.9</v>
      </c>
      <c r="I85" s="6">
        <f t="shared" si="3"/>
        <v>501.40999999999991</v>
      </c>
      <c r="J85" s="7" t="s">
        <v>2902</v>
      </c>
    </row>
    <row r="86" spans="1:10" ht="13.95" customHeight="1" x14ac:dyDescent="0.3">
      <c r="A86" s="20">
        <v>45751</v>
      </c>
      <c r="B86" s="20" t="s">
        <v>3042</v>
      </c>
      <c r="C86" s="19" t="s">
        <v>11</v>
      </c>
      <c r="D86" s="19" t="s">
        <v>14</v>
      </c>
      <c r="E86" s="4">
        <v>0.75</v>
      </c>
      <c r="F86" s="42">
        <v>3.4</v>
      </c>
      <c r="G86" s="45">
        <v>130</v>
      </c>
      <c r="H86" s="22">
        <v>1.9</v>
      </c>
      <c r="I86" s="6">
        <f t="shared" si="3"/>
        <v>629.85</v>
      </c>
      <c r="J86" s="7" t="s">
        <v>390</v>
      </c>
    </row>
    <row r="87" spans="1:10" ht="13.95" customHeight="1" x14ac:dyDescent="0.3">
      <c r="A87" s="20">
        <v>45752</v>
      </c>
      <c r="B87" s="20" t="s">
        <v>3042</v>
      </c>
      <c r="C87" s="19" t="s">
        <v>13</v>
      </c>
      <c r="D87" s="19" t="s">
        <v>14</v>
      </c>
      <c r="E87" s="4">
        <v>0.85</v>
      </c>
      <c r="F87" s="42">
        <v>4.1500000000000004</v>
      </c>
      <c r="G87" s="45">
        <v>130</v>
      </c>
      <c r="H87" s="22">
        <v>1.9</v>
      </c>
      <c r="I87" s="6">
        <f t="shared" si="3"/>
        <v>871.29250000000002</v>
      </c>
      <c r="J87" s="7" t="s">
        <v>2009</v>
      </c>
    </row>
    <row r="88" spans="1:10" ht="13.95" customHeight="1" x14ac:dyDescent="0.3">
      <c r="A88" s="20">
        <v>45753</v>
      </c>
      <c r="B88" s="20" t="s">
        <v>3042</v>
      </c>
      <c r="C88" s="19" t="s">
        <v>16</v>
      </c>
      <c r="D88" s="19" t="s">
        <v>14</v>
      </c>
      <c r="E88" s="4">
        <v>0.8</v>
      </c>
      <c r="F88" s="42">
        <v>3.65</v>
      </c>
      <c r="G88" s="45">
        <v>130</v>
      </c>
      <c r="H88" s="22">
        <v>1.9</v>
      </c>
      <c r="I88" s="6">
        <f t="shared" si="3"/>
        <v>721.2399999999999</v>
      </c>
      <c r="J88" s="7" t="s">
        <v>2903</v>
      </c>
    </row>
    <row r="89" spans="1:10" ht="13.95" customHeight="1" x14ac:dyDescent="0.3">
      <c r="A89" s="20">
        <v>45754</v>
      </c>
      <c r="B89" s="20" t="s">
        <v>3042</v>
      </c>
      <c r="C89" s="19" t="s">
        <v>18</v>
      </c>
      <c r="D89" s="19" t="s">
        <v>9</v>
      </c>
      <c r="E89" s="4">
        <v>0.6</v>
      </c>
      <c r="F89" s="42">
        <v>2.5499999999999998</v>
      </c>
      <c r="G89" s="45">
        <v>130</v>
      </c>
      <c r="H89" s="22">
        <v>1.9</v>
      </c>
      <c r="I89" s="6">
        <f t="shared" ref="I89:I152" si="4">(G89*E89)*F89*H89</f>
        <v>377.90999999999991</v>
      </c>
      <c r="J89" s="7" t="s">
        <v>1332</v>
      </c>
    </row>
    <row r="90" spans="1:10" ht="13.95" customHeight="1" x14ac:dyDescent="0.3">
      <c r="A90" s="20">
        <v>45755</v>
      </c>
      <c r="B90" s="20" t="s">
        <v>3042</v>
      </c>
      <c r="C90" s="19" t="s">
        <v>20</v>
      </c>
      <c r="D90" s="19" t="s">
        <v>9</v>
      </c>
      <c r="E90" s="4">
        <v>0.6</v>
      </c>
      <c r="F90" s="42">
        <v>2.5499999999999998</v>
      </c>
      <c r="G90" s="45">
        <v>130</v>
      </c>
      <c r="H90" s="22">
        <v>1.9</v>
      </c>
      <c r="I90" s="6">
        <f t="shared" si="4"/>
        <v>377.90999999999991</v>
      </c>
      <c r="J90" s="7" t="s">
        <v>88</v>
      </c>
    </row>
    <row r="91" spans="1:10" ht="13.95" customHeight="1" x14ac:dyDescent="0.3">
      <c r="A91" s="20">
        <v>45756</v>
      </c>
      <c r="B91" s="20" t="s">
        <v>3042</v>
      </c>
      <c r="C91" s="19" t="s">
        <v>5</v>
      </c>
      <c r="D91" s="19" t="s">
        <v>2753</v>
      </c>
      <c r="E91" s="4">
        <v>0.8</v>
      </c>
      <c r="F91" s="42">
        <v>3.7</v>
      </c>
      <c r="G91" s="45">
        <v>130</v>
      </c>
      <c r="H91" s="22">
        <v>1.9</v>
      </c>
      <c r="I91" s="6">
        <f t="shared" si="4"/>
        <v>731.12</v>
      </c>
      <c r="J91" s="7" t="s">
        <v>2904</v>
      </c>
    </row>
    <row r="92" spans="1:10" ht="13.95" customHeight="1" x14ac:dyDescent="0.3">
      <c r="A92" s="20">
        <v>45757</v>
      </c>
      <c r="B92" s="20" t="s">
        <v>3042</v>
      </c>
      <c r="C92" s="19" t="s">
        <v>8</v>
      </c>
      <c r="D92" s="19" t="s">
        <v>9</v>
      </c>
      <c r="E92" s="4">
        <v>0.65</v>
      </c>
      <c r="F92" s="42">
        <v>2.6</v>
      </c>
      <c r="G92" s="45">
        <v>130</v>
      </c>
      <c r="H92" s="22">
        <v>1.9</v>
      </c>
      <c r="I92" s="6">
        <f t="shared" si="4"/>
        <v>417.43</v>
      </c>
      <c r="J92" s="7" t="s">
        <v>88</v>
      </c>
    </row>
    <row r="93" spans="1:10" ht="13.95" customHeight="1" x14ac:dyDescent="0.3">
      <c r="A93" s="20">
        <v>45758</v>
      </c>
      <c r="B93" s="20" t="s">
        <v>3042</v>
      </c>
      <c r="C93" s="19" t="s">
        <v>11</v>
      </c>
      <c r="D93" s="19" t="s">
        <v>14</v>
      </c>
      <c r="E93" s="4">
        <v>0.75</v>
      </c>
      <c r="F93" s="42">
        <v>3.45</v>
      </c>
      <c r="G93" s="45">
        <v>130</v>
      </c>
      <c r="H93" s="22">
        <v>1.9</v>
      </c>
      <c r="I93" s="6">
        <f t="shared" si="4"/>
        <v>639.11249999999995</v>
      </c>
      <c r="J93" s="7" t="s">
        <v>2905</v>
      </c>
    </row>
    <row r="94" spans="1:10" ht="13.95" customHeight="1" x14ac:dyDescent="0.3">
      <c r="A94" s="20">
        <v>45759</v>
      </c>
      <c r="B94" s="20" t="s">
        <v>3042</v>
      </c>
      <c r="C94" s="19" t="s">
        <v>13</v>
      </c>
      <c r="D94" s="19" t="s">
        <v>14</v>
      </c>
      <c r="E94" s="4">
        <v>0.9</v>
      </c>
      <c r="F94" s="42">
        <v>4.2</v>
      </c>
      <c r="G94" s="45">
        <v>130</v>
      </c>
      <c r="H94" s="22">
        <v>1.9</v>
      </c>
      <c r="I94" s="6">
        <f t="shared" si="4"/>
        <v>933.66</v>
      </c>
      <c r="J94" s="7" t="s">
        <v>2864</v>
      </c>
    </row>
    <row r="95" spans="1:10" ht="13.95" customHeight="1" x14ac:dyDescent="0.3">
      <c r="A95" s="20">
        <v>45760</v>
      </c>
      <c r="B95" s="20" t="s">
        <v>3042</v>
      </c>
      <c r="C95" s="19" t="s">
        <v>16</v>
      </c>
      <c r="D95" s="19" t="s">
        <v>14</v>
      </c>
      <c r="E95" s="4">
        <v>0.85</v>
      </c>
      <c r="F95" s="42">
        <v>3.75</v>
      </c>
      <c r="G95" s="45">
        <v>130</v>
      </c>
      <c r="H95" s="22">
        <v>1.9</v>
      </c>
      <c r="I95" s="6">
        <f t="shared" si="4"/>
        <v>787.3125</v>
      </c>
      <c r="J95" s="7" t="s">
        <v>2906</v>
      </c>
    </row>
    <row r="96" spans="1:10" ht="13.95" customHeight="1" x14ac:dyDescent="0.3">
      <c r="A96" s="20">
        <v>45761</v>
      </c>
      <c r="B96" s="20" t="s">
        <v>3042</v>
      </c>
      <c r="C96" s="19" t="s">
        <v>18</v>
      </c>
      <c r="D96" s="19" t="s">
        <v>2833</v>
      </c>
      <c r="E96" s="4">
        <v>0.75</v>
      </c>
      <c r="F96" s="42">
        <v>2.8</v>
      </c>
      <c r="G96" s="45">
        <v>130</v>
      </c>
      <c r="H96" s="22">
        <v>1.9</v>
      </c>
      <c r="I96" s="6">
        <f t="shared" si="4"/>
        <v>518.69999999999993</v>
      </c>
      <c r="J96" s="7" t="s">
        <v>2907</v>
      </c>
    </row>
    <row r="97" spans="1:10" ht="13.95" customHeight="1" x14ac:dyDescent="0.3">
      <c r="A97" s="20">
        <v>45762</v>
      </c>
      <c r="B97" s="20" t="s">
        <v>3042</v>
      </c>
      <c r="C97" s="19" t="s">
        <v>20</v>
      </c>
      <c r="D97" s="19" t="s">
        <v>2833</v>
      </c>
      <c r="E97" s="4">
        <v>0.75</v>
      </c>
      <c r="F97" s="42">
        <v>2.8</v>
      </c>
      <c r="G97" s="45">
        <v>130</v>
      </c>
      <c r="H97" s="22">
        <v>1.9</v>
      </c>
      <c r="I97" s="6">
        <f t="shared" si="4"/>
        <v>518.69999999999993</v>
      </c>
      <c r="J97" s="7" t="s">
        <v>2908</v>
      </c>
    </row>
    <row r="98" spans="1:10" ht="13.95" customHeight="1" x14ac:dyDescent="0.3">
      <c r="A98" s="20">
        <v>45765</v>
      </c>
      <c r="B98" s="20" t="s">
        <v>3042</v>
      </c>
      <c r="C98" s="19" t="s">
        <v>11</v>
      </c>
      <c r="D98" s="19" t="s">
        <v>2909</v>
      </c>
      <c r="E98" s="4">
        <v>0.85</v>
      </c>
      <c r="F98" s="42">
        <v>3.6</v>
      </c>
      <c r="G98" s="45">
        <v>130</v>
      </c>
      <c r="H98" s="22">
        <v>1.9</v>
      </c>
      <c r="I98" s="6">
        <f t="shared" si="4"/>
        <v>755.81999999999994</v>
      </c>
      <c r="J98" s="7" t="s">
        <v>609</v>
      </c>
    </row>
    <row r="99" spans="1:10" ht="13.95" customHeight="1" x14ac:dyDescent="0.3">
      <c r="A99" s="20">
        <v>45766</v>
      </c>
      <c r="B99" s="20" t="s">
        <v>3042</v>
      </c>
      <c r="C99" s="19" t="s">
        <v>13</v>
      </c>
      <c r="D99" s="19" t="s">
        <v>2910</v>
      </c>
      <c r="E99" s="4">
        <v>0.95</v>
      </c>
      <c r="F99" s="42">
        <v>4.4000000000000004</v>
      </c>
      <c r="G99" s="45">
        <v>130</v>
      </c>
      <c r="H99" s="22">
        <v>1.9</v>
      </c>
      <c r="I99" s="6">
        <f t="shared" si="4"/>
        <v>1032.46</v>
      </c>
      <c r="J99" s="7" t="s">
        <v>2508</v>
      </c>
    </row>
    <row r="100" spans="1:10" ht="13.95" customHeight="1" x14ac:dyDescent="0.3">
      <c r="A100" s="20">
        <v>45767</v>
      </c>
      <c r="B100" s="20" t="s">
        <v>3042</v>
      </c>
      <c r="C100" s="19" t="s">
        <v>16</v>
      </c>
      <c r="D100" s="19" t="s">
        <v>1774</v>
      </c>
      <c r="E100" s="4">
        <v>1</v>
      </c>
      <c r="F100" s="42">
        <v>4.7</v>
      </c>
      <c r="G100" s="45">
        <v>130</v>
      </c>
      <c r="H100" s="22">
        <v>1.9</v>
      </c>
      <c r="I100" s="6">
        <f t="shared" si="4"/>
        <v>1160.8999999999999</v>
      </c>
      <c r="J100" s="7" t="s">
        <v>2911</v>
      </c>
    </row>
    <row r="101" spans="1:10" ht="13.95" customHeight="1" x14ac:dyDescent="0.3">
      <c r="A101" s="20">
        <v>45768</v>
      </c>
      <c r="B101" s="20" t="s">
        <v>3042</v>
      </c>
      <c r="C101" s="19" t="s">
        <v>18</v>
      </c>
      <c r="D101" s="19" t="s">
        <v>2912</v>
      </c>
      <c r="E101" s="4">
        <v>0.9</v>
      </c>
      <c r="F101" s="42">
        <v>3.5</v>
      </c>
      <c r="G101" s="45">
        <v>130</v>
      </c>
      <c r="H101" s="22">
        <v>1.9</v>
      </c>
      <c r="I101" s="6">
        <f t="shared" si="4"/>
        <v>778.05</v>
      </c>
      <c r="J101" s="7" t="s">
        <v>2913</v>
      </c>
    </row>
    <row r="102" spans="1:10" ht="13.95" customHeight="1" x14ac:dyDescent="0.3">
      <c r="A102" s="20">
        <v>45769</v>
      </c>
      <c r="B102" s="20" t="s">
        <v>3042</v>
      </c>
      <c r="C102" s="19" t="s">
        <v>20</v>
      </c>
      <c r="D102" s="19" t="s">
        <v>2915</v>
      </c>
      <c r="E102" s="4">
        <v>0.65</v>
      </c>
      <c r="F102" s="42">
        <v>2.5499999999999998</v>
      </c>
      <c r="G102" s="45">
        <v>130</v>
      </c>
      <c r="H102" s="22">
        <v>1.9</v>
      </c>
      <c r="I102" s="6">
        <f t="shared" si="4"/>
        <v>409.40249999999997</v>
      </c>
      <c r="J102" s="7" t="s">
        <v>2918</v>
      </c>
    </row>
    <row r="103" spans="1:10" ht="13.95" customHeight="1" x14ac:dyDescent="0.3">
      <c r="A103" s="20">
        <v>45770</v>
      </c>
      <c r="B103" s="20" t="s">
        <v>3042</v>
      </c>
      <c r="C103" s="19" t="s">
        <v>5</v>
      </c>
      <c r="D103" s="19" t="s">
        <v>2916</v>
      </c>
      <c r="E103" s="4">
        <v>0.65</v>
      </c>
      <c r="F103" s="42">
        <v>2.5499999999999998</v>
      </c>
      <c r="G103" s="45">
        <v>130</v>
      </c>
      <c r="H103" s="22">
        <v>1.9</v>
      </c>
      <c r="I103" s="6">
        <f t="shared" si="4"/>
        <v>409.40249999999997</v>
      </c>
      <c r="J103" s="7" t="s">
        <v>2917</v>
      </c>
    </row>
    <row r="104" spans="1:10" ht="13.95" customHeight="1" x14ac:dyDescent="0.3">
      <c r="A104" s="20">
        <v>45771</v>
      </c>
      <c r="B104" s="20" t="s">
        <v>3042</v>
      </c>
      <c r="C104" s="19" t="s">
        <v>8</v>
      </c>
      <c r="D104" s="19" t="s">
        <v>1263</v>
      </c>
      <c r="E104" s="4">
        <v>0.75</v>
      </c>
      <c r="F104" s="42">
        <v>2.95</v>
      </c>
      <c r="G104" s="45">
        <v>130</v>
      </c>
      <c r="H104" s="22">
        <v>1.9</v>
      </c>
      <c r="I104" s="6">
        <f t="shared" si="4"/>
        <v>546.48749999999995</v>
      </c>
      <c r="J104" s="7" t="s">
        <v>2914</v>
      </c>
    </row>
    <row r="105" spans="1:10" ht="13.95" customHeight="1" x14ac:dyDescent="0.3">
      <c r="A105" s="20">
        <v>45772</v>
      </c>
      <c r="B105" s="20" t="s">
        <v>3042</v>
      </c>
      <c r="C105" s="19" t="s">
        <v>11</v>
      </c>
      <c r="D105" s="19" t="s">
        <v>14</v>
      </c>
      <c r="E105" s="4">
        <v>0.8</v>
      </c>
      <c r="F105" s="42">
        <v>3.5</v>
      </c>
      <c r="G105" s="45">
        <v>130</v>
      </c>
      <c r="H105" s="22">
        <v>1.9</v>
      </c>
      <c r="I105" s="6">
        <f t="shared" si="4"/>
        <v>691.6</v>
      </c>
      <c r="J105" s="7" t="s">
        <v>1095</v>
      </c>
    </row>
    <row r="106" spans="1:10" ht="13.95" customHeight="1" x14ac:dyDescent="0.3">
      <c r="A106" s="20">
        <v>45773</v>
      </c>
      <c r="B106" s="20" t="s">
        <v>3042</v>
      </c>
      <c r="C106" s="19" t="s">
        <v>13</v>
      </c>
      <c r="D106" s="19" t="s">
        <v>14</v>
      </c>
      <c r="E106" s="4">
        <v>0.95</v>
      </c>
      <c r="F106" s="42">
        <v>4.3</v>
      </c>
      <c r="G106" s="45">
        <v>130</v>
      </c>
      <c r="H106" s="22">
        <v>1.9</v>
      </c>
      <c r="I106" s="6">
        <f t="shared" si="4"/>
        <v>1008.9949999999999</v>
      </c>
      <c r="J106" s="7" t="s">
        <v>2878</v>
      </c>
    </row>
    <row r="107" spans="1:10" ht="13.95" customHeight="1" x14ac:dyDescent="0.3">
      <c r="A107" s="20">
        <v>45774</v>
      </c>
      <c r="B107" s="20" t="s">
        <v>3042</v>
      </c>
      <c r="C107" s="19" t="s">
        <v>16</v>
      </c>
      <c r="D107" s="19" t="s">
        <v>14</v>
      </c>
      <c r="E107" s="4">
        <v>0.9</v>
      </c>
      <c r="F107" s="42">
        <v>3.8</v>
      </c>
      <c r="G107" s="45">
        <v>130</v>
      </c>
      <c r="H107" s="22">
        <v>1.9</v>
      </c>
      <c r="I107" s="6">
        <f t="shared" si="4"/>
        <v>844.7399999999999</v>
      </c>
      <c r="J107" s="7" t="s">
        <v>159</v>
      </c>
    </row>
    <row r="108" spans="1:10" ht="13.95" customHeight="1" x14ac:dyDescent="0.3">
      <c r="A108" s="20">
        <v>45775</v>
      </c>
      <c r="B108" s="20" t="s">
        <v>3042</v>
      </c>
      <c r="C108" s="19" t="s">
        <v>18</v>
      </c>
      <c r="D108" s="19" t="s">
        <v>9</v>
      </c>
      <c r="E108" s="4">
        <v>0.65</v>
      </c>
      <c r="F108" s="42">
        <v>2.5499999999999998</v>
      </c>
      <c r="G108" s="45">
        <v>130</v>
      </c>
      <c r="H108" s="22">
        <v>1.9</v>
      </c>
      <c r="I108" s="6">
        <f t="shared" si="4"/>
        <v>409.40249999999997</v>
      </c>
      <c r="J108" s="7" t="s">
        <v>88</v>
      </c>
    </row>
    <row r="109" spans="1:10" ht="13.95" customHeight="1" x14ac:dyDescent="0.3">
      <c r="A109" s="20">
        <v>45776</v>
      </c>
      <c r="B109" s="20" t="s">
        <v>3042</v>
      </c>
      <c r="C109" s="19" t="s">
        <v>20</v>
      </c>
      <c r="D109" s="19" t="s">
        <v>9</v>
      </c>
      <c r="E109" s="4">
        <v>0.65</v>
      </c>
      <c r="F109" s="42">
        <v>2.5499999999999998</v>
      </c>
      <c r="G109" s="45">
        <v>130</v>
      </c>
      <c r="H109" s="22">
        <v>1.9</v>
      </c>
      <c r="I109" s="6">
        <f t="shared" si="4"/>
        <v>409.40249999999997</v>
      </c>
      <c r="J109" s="7" t="s">
        <v>88</v>
      </c>
    </row>
    <row r="110" spans="1:10" ht="13.95" customHeight="1" x14ac:dyDescent="0.3">
      <c r="A110" s="20">
        <v>45777</v>
      </c>
      <c r="B110" s="20" t="s">
        <v>3042</v>
      </c>
      <c r="C110" s="19" t="s">
        <v>5</v>
      </c>
      <c r="D110" s="19" t="s">
        <v>994</v>
      </c>
      <c r="E110" s="4">
        <v>0.85</v>
      </c>
      <c r="F110" s="42">
        <v>3.4</v>
      </c>
      <c r="G110" s="45">
        <v>130</v>
      </c>
      <c r="H110" s="22">
        <v>1.9</v>
      </c>
      <c r="I110" s="6">
        <f t="shared" si="4"/>
        <v>713.82999999999993</v>
      </c>
      <c r="J110" s="7" t="s">
        <v>2765</v>
      </c>
    </row>
    <row r="111" spans="1:10" ht="13.95" customHeight="1" x14ac:dyDescent="0.3">
      <c r="A111" s="20">
        <v>45778</v>
      </c>
      <c r="B111" s="20" t="s">
        <v>3042</v>
      </c>
      <c r="C111" s="19" t="s">
        <v>8</v>
      </c>
      <c r="D111" s="19" t="s">
        <v>2919</v>
      </c>
      <c r="E111" s="4">
        <v>0.95</v>
      </c>
      <c r="F111" s="42">
        <v>4.2</v>
      </c>
      <c r="G111" s="45">
        <v>130</v>
      </c>
      <c r="H111" s="22">
        <v>1.9</v>
      </c>
      <c r="I111" s="6">
        <f t="shared" si="4"/>
        <v>985.53000000000009</v>
      </c>
      <c r="J111" s="7" t="s">
        <v>2920</v>
      </c>
    </row>
    <row r="112" spans="1:10" ht="13.95" customHeight="1" x14ac:dyDescent="0.3">
      <c r="A112" s="20">
        <v>45779</v>
      </c>
      <c r="B112" s="20" t="s">
        <v>3042</v>
      </c>
      <c r="C112" s="19" t="s">
        <v>11</v>
      </c>
      <c r="D112" s="19" t="s">
        <v>229</v>
      </c>
      <c r="E112" s="4">
        <v>0.85</v>
      </c>
      <c r="F112" s="42">
        <v>3.4</v>
      </c>
      <c r="G112" s="45">
        <v>130</v>
      </c>
      <c r="H112" s="22">
        <v>1.9</v>
      </c>
      <c r="I112" s="6">
        <f t="shared" si="4"/>
        <v>713.82999999999993</v>
      </c>
      <c r="J112" s="7" t="s">
        <v>197</v>
      </c>
    </row>
    <row r="113" spans="1:10" ht="13.95" customHeight="1" x14ac:dyDescent="0.3">
      <c r="A113" s="20">
        <v>45780</v>
      </c>
      <c r="B113" s="20" t="s">
        <v>3042</v>
      </c>
      <c r="C113" s="19" t="s">
        <v>13</v>
      </c>
      <c r="D113" s="19" t="s">
        <v>14</v>
      </c>
      <c r="E113" s="4">
        <v>0.95</v>
      </c>
      <c r="F113" s="42">
        <v>4.3</v>
      </c>
      <c r="G113" s="45">
        <v>130</v>
      </c>
      <c r="H113" s="22">
        <v>1.9</v>
      </c>
      <c r="I113" s="6">
        <f t="shared" si="4"/>
        <v>1008.9949999999999</v>
      </c>
      <c r="J113" s="7" t="s">
        <v>1243</v>
      </c>
    </row>
    <row r="114" spans="1:10" ht="13.95" customHeight="1" x14ac:dyDescent="0.3">
      <c r="A114" s="20">
        <v>45781</v>
      </c>
      <c r="B114" s="20" t="s">
        <v>3042</v>
      </c>
      <c r="C114" s="19" t="s">
        <v>16</v>
      </c>
      <c r="D114" s="19" t="s">
        <v>14</v>
      </c>
      <c r="E114" s="4">
        <v>0.9</v>
      </c>
      <c r="F114" s="42">
        <v>3.8</v>
      </c>
      <c r="G114" s="45">
        <v>130</v>
      </c>
      <c r="H114" s="22">
        <v>1.9</v>
      </c>
      <c r="I114" s="6">
        <f t="shared" si="4"/>
        <v>844.7399999999999</v>
      </c>
      <c r="J114" s="7" t="s">
        <v>2921</v>
      </c>
    </row>
    <row r="115" spans="1:10" ht="13.95" customHeight="1" x14ac:dyDescent="0.3">
      <c r="A115" s="20">
        <v>45782</v>
      </c>
      <c r="B115" s="20" t="s">
        <v>3042</v>
      </c>
      <c r="C115" s="19" t="s">
        <v>18</v>
      </c>
      <c r="D115" s="19" t="s">
        <v>9</v>
      </c>
      <c r="E115" s="4">
        <v>0.6</v>
      </c>
      <c r="F115" s="42">
        <v>2.5</v>
      </c>
      <c r="G115" s="45">
        <v>130</v>
      </c>
      <c r="H115" s="22">
        <v>1.9</v>
      </c>
      <c r="I115" s="6">
        <f t="shared" si="4"/>
        <v>370.5</v>
      </c>
      <c r="J115" s="7" t="s">
        <v>2501</v>
      </c>
    </row>
    <row r="116" spans="1:10" ht="13.95" customHeight="1" x14ac:dyDescent="0.3">
      <c r="A116" s="20">
        <v>45783</v>
      </c>
      <c r="B116" s="20" t="s">
        <v>3042</v>
      </c>
      <c r="C116" s="19" t="s">
        <v>20</v>
      </c>
      <c r="D116" s="19" t="s">
        <v>9</v>
      </c>
      <c r="E116" s="4">
        <v>0.6</v>
      </c>
      <c r="F116" s="42">
        <v>2.5</v>
      </c>
      <c r="G116" s="45">
        <v>130</v>
      </c>
      <c r="H116" s="22">
        <v>1.9</v>
      </c>
      <c r="I116" s="6">
        <f t="shared" si="4"/>
        <v>370.5</v>
      </c>
      <c r="J116" s="7" t="s">
        <v>88</v>
      </c>
    </row>
    <row r="117" spans="1:10" ht="13.95" customHeight="1" x14ac:dyDescent="0.3">
      <c r="A117" s="20">
        <v>45784</v>
      </c>
      <c r="B117" s="20" t="s">
        <v>3042</v>
      </c>
      <c r="C117" s="19" t="s">
        <v>5</v>
      </c>
      <c r="D117" s="19" t="s">
        <v>9</v>
      </c>
      <c r="E117" s="4">
        <v>0.65</v>
      </c>
      <c r="F117" s="42">
        <v>2.5499999999999998</v>
      </c>
      <c r="G117" s="45">
        <v>130</v>
      </c>
      <c r="H117" s="22">
        <v>1.9</v>
      </c>
      <c r="I117" s="6">
        <f t="shared" si="4"/>
        <v>409.40249999999997</v>
      </c>
      <c r="J117" s="7" t="s">
        <v>1332</v>
      </c>
    </row>
    <row r="118" spans="1:10" ht="13.95" customHeight="1" x14ac:dyDescent="0.3">
      <c r="A118" s="20">
        <v>45785</v>
      </c>
      <c r="B118" s="20" t="s">
        <v>3042</v>
      </c>
      <c r="C118" s="19" t="s">
        <v>8</v>
      </c>
      <c r="D118" s="19" t="s">
        <v>1738</v>
      </c>
      <c r="E118" s="4">
        <v>0.75</v>
      </c>
      <c r="F118" s="42">
        <v>2.9</v>
      </c>
      <c r="G118" s="45">
        <v>130</v>
      </c>
      <c r="H118" s="22">
        <v>1.9</v>
      </c>
      <c r="I118" s="6">
        <f t="shared" si="4"/>
        <v>537.22500000000002</v>
      </c>
      <c r="J118" s="7" t="s">
        <v>1788</v>
      </c>
    </row>
    <row r="119" spans="1:10" ht="13.95" customHeight="1" x14ac:dyDescent="0.3">
      <c r="A119" s="20">
        <v>45786</v>
      </c>
      <c r="B119" s="20" t="s">
        <v>3042</v>
      </c>
      <c r="C119" s="19" t="s">
        <v>11</v>
      </c>
      <c r="D119" s="19" t="s">
        <v>14</v>
      </c>
      <c r="E119" s="4">
        <v>0.8</v>
      </c>
      <c r="F119" s="42">
        <v>3.4</v>
      </c>
      <c r="G119" s="45">
        <v>130</v>
      </c>
      <c r="H119" s="22">
        <v>1.9</v>
      </c>
      <c r="I119" s="6">
        <f t="shared" si="4"/>
        <v>671.83999999999992</v>
      </c>
      <c r="J119" s="7" t="s">
        <v>1095</v>
      </c>
    </row>
    <row r="120" spans="1:10" ht="13.95" customHeight="1" x14ac:dyDescent="0.3">
      <c r="A120" s="20">
        <v>45787</v>
      </c>
      <c r="B120" s="20" t="s">
        <v>3042</v>
      </c>
      <c r="C120" s="19" t="s">
        <v>13</v>
      </c>
      <c r="D120" s="19" t="s">
        <v>14</v>
      </c>
      <c r="E120" s="4">
        <v>0.95</v>
      </c>
      <c r="F120" s="42">
        <v>4.2</v>
      </c>
      <c r="G120" s="45">
        <v>130</v>
      </c>
      <c r="H120" s="22">
        <v>1.9</v>
      </c>
      <c r="I120" s="6">
        <f t="shared" si="4"/>
        <v>985.53000000000009</v>
      </c>
      <c r="J120" s="7" t="s">
        <v>2922</v>
      </c>
    </row>
    <row r="121" spans="1:10" ht="13.95" customHeight="1" x14ac:dyDescent="0.3">
      <c r="A121" s="20">
        <v>45788</v>
      </c>
      <c r="B121" s="20" t="s">
        <v>3042</v>
      </c>
      <c r="C121" s="19" t="s">
        <v>16</v>
      </c>
      <c r="D121" s="19" t="s">
        <v>14</v>
      </c>
      <c r="E121" s="4">
        <v>0.9</v>
      </c>
      <c r="F121" s="42">
        <v>3.75</v>
      </c>
      <c r="G121" s="45">
        <v>130</v>
      </c>
      <c r="H121" s="22">
        <v>1.9</v>
      </c>
      <c r="I121" s="6">
        <f t="shared" si="4"/>
        <v>833.625</v>
      </c>
      <c r="J121" s="7" t="s">
        <v>2923</v>
      </c>
    </row>
    <row r="122" spans="1:10" ht="13.95" customHeight="1" x14ac:dyDescent="0.3">
      <c r="A122" s="20">
        <v>45789</v>
      </c>
      <c r="B122" s="20" t="s">
        <v>3042</v>
      </c>
      <c r="C122" s="19" t="s">
        <v>18</v>
      </c>
      <c r="D122" s="19" t="s">
        <v>9</v>
      </c>
      <c r="E122" s="4">
        <v>0.65</v>
      </c>
      <c r="F122" s="42">
        <v>2.5499999999999998</v>
      </c>
      <c r="G122" s="45">
        <v>130</v>
      </c>
      <c r="H122" s="22">
        <v>1.9</v>
      </c>
      <c r="I122" s="6">
        <f t="shared" si="4"/>
        <v>409.40249999999997</v>
      </c>
      <c r="J122" s="7" t="s">
        <v>88</v>
      </c>
    </row>
    <row r="123" spans="1:10" ht="13.95" customHeight="1" x14ac:dyDescent="0.3">
      <c r="A123" s="20">
        <v>45790</v>
      </c>
      <c r="B123" s="20" t="s">
        <v>3042</v>
      </c>
      <c r="C123" s="19" t="s">
        <v>20</v>
      </c>
      <c r="D123" s="19" t="s">
        <v>9</v>
      </c>
      <c r="E123" s="4">
        <v>0.65</v>
      </c>
      <c r="F123" s="42">
        <v>2.5499999999999998</v>
      </c>
      <c r="G123" s="45">
        <v>130</v>
      </c>
      <c r="H123" s="22">
        <v>1.9</v>
      </c>
      <c r="I123" s="6">
        <f t="shared" si="4"/>
        <v>409.40249999999997</v>
      </c>
      <c r="J123" s="7" t="s">
        <v>88</v>
      </c>
    </row>
    <row r="124" spans="1:10" ht="13.95" customHeight="1" x14ac:dyDescent="0.3">
      <c r="A124" s="20">
        <v>45791</v>
      </c>
      <c r="B124" s="20" t="s">
        <v>3042</v>
      </c>
      <c r="C124" s="19" t="s">
        <v>5</v>
      </c>
      <c r="D124" s="19" t="s">
        <v>9</v>
      </c>
      <c r="E124" s="4">
        <v>0.7</v>
      </c>
      <c r="F124" s="42">
        <v>2.6</v>
      </c>
      <c r="G124" s="45">
        <v>130</v>
      </c>
      <c r="H124" s="22">
        <v>1.9</v>
      </c>
      <c r="I124" s="6">
        <f t="shared" si="4"/>
        <v>449.53999999999996</v>
      </c>
      <c r="J124" s="7" t="s">
        <v>2924</v>
      </c>
    </row>
    <row r="125" spans="1:10" ht="13.95" customHeight="1" x14ac:dyDescent="0.3">
      <c r="A125" s="20">
        <v>45792</v>
      </c>
      <c r="B125" s="20" t="s">
        <v>3042</v>
      </c>
      <c r="C125" s="19" t="s">
        <v>8</v>
      </c>
      <c r="D125" s="19" t="s">
        <v>9</v>
      </c>
      <c r="E125" s="4">
        <v>0.7</v>
      </c>
      <c r="F125" s="42">
        <v>2.6</v>
      </c>
      <c r="G125" s="45">
        <v>130</v>
      </c>
      <c r="H125" s="22">
        <v>1.9</v>
      </c>
      <c r="I125" s="6">
        <f t="shared" si="4"/>
        <v>449.53999999999996</v>
      </c>
      <c r="J125" s="7" t="s">
        <v>88</v>
      </c>
    </row>
    <row r="126" spans="1:10" ht="13.95" customHeight="1" x14ac:dyDescent="0.3">
      <c r="A126" s="20">
        <v>45793</v>
      </c>
      <c r="B126" s="20" t="s">
        <v>3042</v>
      </c>
      <c r="C126" s="19" t="s">
        <v>11</v>
      </c>
      <c r="D126" s="19" t="s">
        <v>14</v>
      </c>
      <c r="E126" s="4">
        <v>0.8</v>
      </c>
      <c r="F126" s="42">
        <v>3.45</v>
      </c>
      <c r="G126" s="45">
        <v>130</v>
      </c>
      <c r="H126" s="22">
        <v>1.9</v>
      </c>
      <c r="I126" s="6">
        <f t="shared" si="4"/>
        <v>681.72</v>
      </c>
      <c r="J126" s="7" t="s">
        <v>2867</v>
      </c>
    </row>
    <row r="127" spans="1:10" ht="13.95" customHeight="1" x14ac:dyDescent="0.3">
      <c r="A127" s="20">
        <v>45794</v>
      </c>
      <c r="B127" s="20" t="s">
        <v>3042</v>
      </c>
      <c r="C127" s="19" t="s">
        <v>13</v>
      </c>
      <c r="D127" s="19" t="s">
        <v>14</v>
      </c>
      <c r="E127" s="4">
        <v>0.95</v>
      </c>
      <c r="F127" s="42">
        <v>4.4000000000000004</v>
      </c>
      <c r="G127" s="45">
        <v>130</v>
      </c>
      <c r="H127" s="22">
        <v>1.9</v>
      </c>
      <c r="I127" s="6">
        <f t="shared" si="4"/>
        <v>1032.46</v>
      </c>
      <c r="J127" s="7" t="s">
        <v>2925</v>
      </c>
    </row>
    <row r="128" spans="1:10" ht="13.95" customHeight="1" x14ac:dyDescent="0.3">
      <c r="A128" s="20">
        <v>45795</v>
      </c>
      <c r="B128" s="20" t="s">
        <v>3042</v>
      </c>
      <c r="C128" s="19" t="s">
        <v>16</v>
      </c>
      <c r="D128" s="19" t="s">
        <v>14</v>
      </c>
      <c r="E128" s="4">
        <v>0.9</v>
      </c>
      <c r="F128" s="42">
        <v>3.85</v>
      </c>
      <c r="G128" s="45">
        <v>130</v>
      </c>
      <c r="H128" s="22">
        <v>1.9</v>
      </c>
      <c r="I128" s="6">
        <f t="shared" si="4"/>
        <v>855.8549999999999</v>
      </c>
      <c r="J128" s="7" t="s">
        <v>159</v>
      </c>
    </row>
    <row r="129" spans="1:10" ht="13.95" customHeight="1" x14ac:dyDescent="0.3">
      <c r="A129" s="20">
        <v>45796</v>
      </c>
      <c r="B129" s="20" t="s">
        <v>3042</v>
      </c>
      <c r="C129" s="19" t="s">
        <v>18</v>
      </c>
      <c r="D129" s="19" t="s">
        <v>9</v>
      </c>
      <c r="E129" s="4">
        <v>0.65</v>
      </c>
      <c r="F129" s="42">
        <v>2.5499999999999998</v>
      </c>
      <c r="G129" s="45">
        <v>130</v>
      </c>
      <c r="H129" s="22">
        <v>1.9</v>
      </c>
      <c r="I129" s="6">
        <f t="shared" si="4"/>
        <v>409.40249999999997</v>
      </c>
      <c r="J129" s="7" t="s">
        <v>88</v>
      </c>
    </row>
    <row r="130" spans="1:10" ht="13.95" customHeight="1" x14ac:dyDescent="0.3">
      <c r="A130" s="20">
        <v>45797</v>
      </c>
      <c r="B130" s="20" t="s">
        <v>3042</v>
      </c>
      <c r="C130" s="19" t="s">
        <v>20</v>
      </c>
      <c r="D130" s="19" t="s">
        <v>9</v>
      </c>
      <c r="E130" s="4">
        <v>0.65</v>
      </c>
      <c r="F130" s="42">
        <v>2.5499999999999998</v>
      </c>
      <c r="G130" s="45">
        <v>130</v>
      </c>
      <c r="H130" s="22">
        <v>1.9</v>
      </c>
      <c r="I130" s="6">
        <f t="shared" si="4"/>
        <v>409.40249999999997</v>
      </c>
      <c r="J130" s="7" t="s">
        <v>88</v>
      </c>
    </row>
    <row r="131" spans="1:10" ht="13.95" customHeight="1" x14ac:dyDescent="0.3">
      <c r="A131" s="20">
        <v>45798</v>
      </c>
      <c r="B131" s="20" t="s">
        <v>3042</v>
      </c>
      <c r="C131" s="19" t="s">
        <v>5</v>
      </c>
      <c r="D131" s="19" t="s">
        <v>9</v>
      </c>
      <c r="E131" s="4">
        <v>0.7</v>
      </c>
      <c r="F131" s="42">
        <v>2.6</v>
      </c>
      <c r="G131" s="45">
        <v>130</v>
      </c>
      <c r="H131" s="22">
        <v>1.9</v>
      </c>
      <c r="I131" s="6">
        <f t="shared" si="4"/>
        <v>449.53999999999996</v>
      </c>
      <c r="J131" s="7" t="s">
        <v>88</v>
      </c>
    </row>
    <row r="132" spans="1:10" ht="13.95" customHeight="1" x14ac:dyDescent="0.3">
      <c r="A132" s="20">
        <v>45799</v>
      </c>
      <c r="B132" s="20" t="s">
        <v>3042</v>
      </c>
      <c r="C132" s="19" t="s">
        <v>8</v>
      </c>
      <c r="D132" s="19" t="s">
        <v>1738</v>
      </c>
      <c r="E132" s="4">
        <v>0.8</v>
      </c>
      <c r="F132" s="42">
        <v>3</v>
      </c>
      <c r="G132" s="45">
        <v>130</v>
      </c>
      <c r="H132" s="22">
        <v>1.9</v>
      </c>
      <c r="I132" s="6">
        <f t="shared" si="4"/>
        <v>592.79999999999995</v>
      </c>
      <c r="J132" s="7" t="s">
        <v>2926</v>
      </c>
    </row>
    <row r="133" spans="1:10" ht="13.95" customHeight="1" x14ac:dyDescent="0.3">
      <c r="A133" s="20">
        <v>45800</v>
      </c>
      <c r="B133" s="20" t="s">
        <v>3042</v>
      </c>
      <c r="C133" s="19" t="s">
        <v>11</v>
      </c>
      <c r="D133" s="19" t="s">
        <v>14</v>
      </c>
      <c r="E133" s="4">
        <v>0.85</v>
      </c>
      <c r="F133" s="42">
        <v>3.5</v>
      </c>
      <c r="G133" s="45">
        <v>130</v>
      </c>
      <c r="H133" s="22">
        <v>1.9</v>
      </c>
      <c r="I133" s="6">
        <f t="shared" si="4"/>
        <v>734.82499999999993</v>
      </c>
      <c r="J133" s="7" t="s">
        <v>67</v>
      </c>
    </row>
    <row r="134" spans="1:10" ht="13.95" customHeight="1" x14ac:dyDescent="0.3">
      <c r="A134" s="20">
        <v>45801</v>
      </c>
      <c r="B134" s="20" t="s">
        <v>3042</v>
      </c>
      <c r="C134" s="19" t="s">
        <v>13</v>
      </c>
      <c r="D134" s="19" t="s">
        <v>14</v>
      </c>
      <c r="E134" s="4">
        <v>1</v>
      </c>
      <c r="F134" s="42">
        <v>4.5</v>
      </c>
      <c r="G134" s="45">
        <v>130</v>
      </c>
      <c r="H134" s="22">
        <v>1.9</v>
      </c>
      <c r="I134" s="6">
        <f t="shared" si="4"/>
        <v>1111.5</v>
      </c>
      <c r="J134" s="7" t="s">
        <v>1531</v>
      </c>
    </row>
    <row r="135" spans="1:10" ht="13.95" customHeight="1" x14ac:dyDescent="0.3">
      <c r="A135" s="20">
        <v>45802</v>
      </c>
      <c r="B135" s="20" t="s">
        <v>3042</v>
      </c>
      <c r="C135" s="19" t="s">
        <v>16</v>
      </c>
      <c r="D135" s="19" t="s">
        <v>14</v>
      </c>
      <c r="E135" s="4">
        <v>0.95</v>
      </c>
      <c r="F135" s="42">
        <v>3.9</v>
      </c>
      <c r="G135" s="45">
        <v>130</v>
      </c>
      <c r="H135" s="22">
        <v>1.9</v>
      </c>
      <c r="I135" s="6">
        <f t="shared" si="4"/>
        <v>915.13499999999988</v>
      </c>
      <c r="J135" s="7" t="s">
        <v>2927</v>
      </c>
    </row>
    <row r="136" spans="1:10" ht="13.95" customHeight="1" x14ac:dyDescent="0.3">
      <c r="A136" s="20">
        <v>45803</v>
      </c>
      <c r="B136" s="20" t="s">
        <v>3042</v>
      </c>
      <c r="C136" s="19" t="s">
        <v>18</v>
      </c>
      <c r="D136" s="19" t="s">
        <v>9</v>
      </c>
      <c r="E136" s="4">
        <v>0.7</v>
      </c>
      <c r="F136" s="42">
        <v>2.6</v>
      </c>
      <c r="G136" s="45">
        <v>130</v>
      </c>
      <c r="H136" s="22">
        <v>1.9</v>
      </c>
      <c r="I136" s="6">
        <f t="shared" si="4"/>
        <v>449.53999999999996</v>
      </c>
      <c r="J136" s="7" t="s">
        <v>88</v>
      </c>
    </row>
    <row r="137" spans="1:10" ht="13.95" customHeight="1" x14ac:dyDescent="0.3">
      <c r="A137" s="20">
        <v>45804</v>
      </c>
      <c r="B137" s="20" t="s">
        <v>3042</v>
      </c>
      <c r="C137" s="19" t="s">
        <v>20</v>
      </c>
      <c r="D137" s="19" t="s">
        <v>9</v>
      </c>
      <c r="E137" s="4">
        <v>0.7</v>
      </c>
      <c r="F137" s="42">
        <v>2.6</v>
      </c>
      <c r="G137" s="45">
        <v>130</v>
      </c>
      <c r="H137" s="22">
        <v>1.9</v>
      </c>
      <c r="I137" s="6">
        <f t="shared" si="4"/>
        <v>449.53999999999996</v>
      </c>
      <c r="J137" s="7" t="s">
        <v>88</v>
      </c>
    </row>
    <row r="138" spans="1:10" ht="13.95" customHeight="1" x14ac:dyDescent="0.3">
      <c r="A138" s="20">
        <v>45805</v>
      </c>
      <c r="B138" s="20" t="s">
        <v>3042</v>
      </c>
      <c r="C138" s="19" t="s">
        <v>5</v>
      </c>
      <c r="D138" s="19" t="s">
        <v>9</v>
      </c>
      <c r="E138" s="4">
        <v>0.75</v>
      </c>
      <c r="F138" s="42">
        <v>2.65</v>
      </c>
      <c r="G138" s="45">
        <v>130</v>
      </c>
      <c r="H138" s="22">
        <v>1.9</v>
      </c>
      <c r="I138" s="6">
        <f t="shared" si="4"/>
        <v>490.91249999999997</v>
      </c>
      <c r="J138" s="7" t="s">
        <v>1332</v>
      </c>
    </row>
    <row r="139" spans="1:10" ht="13.95" customHeight="1" x14ac:dyDescent="0.3">
      <c r="A139" s="20">
        <v>45806</v>
      </c>
      <c r="B139" s="20" t="s">
        <v>3042</v>
      </c>
      <c r="C139" s="19" t="s">
        <v>8</v>
      </c>
      <c r="D139" s="19" t="s">
        <v>2928</v>
      </c>
      <c r="E139" s="4">
        <v>0.85</v>
      </c>
      <c r="F139" s="42">
        <v>3.25</v>
      </c>
      <c r="G139" s="45">
        <v>130</v>
      </c>
      <c r="H139" s="22">
        <v>1.9</v>
      </c>
      <c r="I139" s="6">
        <f t="shared" si="4"/>
        <v>682.33749999999998</v>
      </c>
      <c r="J139" s="7" t="s">
        <v>2929</v>
      </c>
    </row>
    <row r="140" spans="1:10" ht="13.95" customHeight="1" x14ac:dyDescent="0.3">
      <c r="A140" s="20">
        <v>45807</v>
      </c>
      <c r="B140" s="20" t="s">
        <v>3042</v>
      </c>
      <c r="C140" s="19" t="s">
        <v>11</v>
      </c>
      <c r="D140" s="19" t="s">
        <v>14</v>
      </c>
      <c r="E140" s="4">
        <v>0.9</v>
      </c>
      <c r="F140" s="42">
        <v>3.6</v>
      </c>
      <c r="G140" s="45">
        <v>130</v>
      </c>
      <c r="H140" s="22">
        <v>1.9</v>
      </c>
      <c r="I140" s="6">
        <f t="shared" si="4"/>
        <v>800.28</v>
      </c>
      <c r="J140" s="7" t="s">
        <v>197</v>
      </c>
    </row>
    <row r="141" spans="1:10" ht="13.95" customHeight="1" x14ac:dyDescent="0.3">
      <c r="A141" s="20">
        <v>45808</v>
      </c>
      <c r="B141" s="20" t="s">
        <v>3042</v>
      </c>
      <c r="C141" s="19" t="s">
        <v>13</v>
      </c>
      <c r="D141" s="19" t="s">
        <v>14</v>
      </c>
      <c r="E141" s="4">
        <v>1</v>
      </c>
      <c r="F141" s="42">
        <v>4.5999999999999996</v>
      </c>
      <c r="G141" s="45">
        <v>130</v>
      </c>
      <c r="H141" s="22">
        <v>1.9</v>
      </c>
      <c r="I141" s="6">
        <f t="shared" si="4"/>
        <v>1136.2</v>
      </c>
      <c r="J141" s="7" t="s">
        <v>2519</v>
      </c>
    </row>
    <row r="142" spans="1:10" ht="13.95" customHeight="1" x14ac:dyDescent="0.3">
      <c r="A142" s="20">
        <v>45809</v>
      </c>
      <c r="B142" s="20" t="s">
        <v>3042</v>
      </c>
      <c r="C142" s="19" t="s">
        <v>16</v>
      </c>
      <c r="D142" s="19" t="s">
        <v>14</v>
      </c>
      <c r="E142" s="4">
        <v>0.9</v>
      </c>
      <c r="F142" s="42">
        <v>3.85</v>
      </c>
      <c r="G142" s="45">
        <v>130</v>
      </c>
      <c r="H142" s="22">
        <v>2</v>
      </c>
      <c r="I142" s="6">
        <f t="shared" si="4"/>
        <v>900.9</v>
      </c>
      <c r="J142" s="7" t="s">
        <v>2930</v>
      </c>
    </row>
    <row r="143" spans="1:10" ht="13.95" customHeight="1" x14ac:dyDescent="0.3">
      <c r="A143" s="20">
        <v>45810</v>
      </c>
      <c r="B143" s="20" t="s">
        <v>3042</v>
      </c>
      <c r="C143" s="19" t="s">
        <v>18</v>
      </c>
      <c r="D143" s="19" t="s">
        <v>9</v>
      </c>
      <c r="E143" s="4">
        <v>0.75</v>
      </c>
      <c r="F143" s="42">
        <v>2.7</v>
      </c>
      <c r="G143" s="45">
        <v>130</v>
      </c>
      <c r="H143" s="22">
        <v>2</v>
      </c>
      <c r="I143" s="6">
        <f t="shared" si="4"/>
        <v>526.5</v>
      </c>
      <c r="J143" s="7" t="s">
        <v>1332</v>
      </c>
    </row>
    <row r="144" spans="1:10" ht="13.95" customHeight="1" x14ac:dyDescent="0.3">
      <c r="A144" s="20">
        <v>45811</v>
      </c>
      <c r="B144" s="20" t="s">
        <v>3042</v>
      </c>
      <c r="C144" s="19" t="s">
        <v>20</v>
      </c>
      <c r="D144" s="19" t="s">
        <v>9</v>
      </c>
      <c r="E144" s="4">
        <v>0.75</v>
      </c>
      <c r="F144" s="42">
        <v>2.7</v>
      </c>
      <c r="G144" s="45">
        <v>130</v>
      </c>
      <c r="H144" s="22">
        <v>2</v>
      </c>
      <c r="I144" s="6">
        <f t="shared" si="4"/>
        <v>526.5</v>
      </c>
      <c r="J144" s="7" t="s">
        <v>2931</v>
      </c>
    </row>
    <row r="145" spans="1:10" ht="13.95" customHeight="1" x14ac:dyDescent="0.3">
      <c r="A145" s="20">
        <v>45812</v>
      </c>
      <c r="B145" s="20" t="s">
        <v>3042</v>
      </c>
      <c r="C145" s="19" t="s">
        <v>5</v>
      </c>
      <c r="D145" s="19" t="s">
        <v>9</v>
      </c>
      <c r="E145" s="4">
        <v>0.75</v>
      </c>
      <c r="F145" s="42">
        <v>2.75</v>
      </c>
      <c r="G145" s="45">
        <v>130</v>
      </c>
      <c r="H145" s="22">
        <v>2</v>
      </c>
      <c r="I145" s="6">
        <f t="shared" si="4"/>
        <v>536.25</v>
      </c>
      <c r="J145" s="7" t="s">
        <v>88</v>
      </c>
    </row>
    <row r="146" spans="1:10" ht="13.95" customHeight="1" x14ac:dyDescent="0.3">
      <c r="A146" s="20">
        <v>45813</v>
      </c>
      <c r="B146" s="20" t="s">
        <v>3042</v>
      </c>
      <c r="C146" s="19" t="s">
        <v>8</v>
      </c>
      <c r="D146" s="19" t="s">
        <v>1738</v>
      </c>
      <c r="E146" s="4">
        <v>0.85</v>
      </c>
      <c r="F146" s="42">
        <v>3.1</v>
      </c>
      <c r="G146" s="45">
        <v>130</v>
      </c>
      <c r="H146" s="22">
        <v>2</v>
      </c>
      <c r="I146" s="6">
        <f t="shared" si="4"/>
        <v>685.1</v>
      </c>
      <c r="J146" s="7" t="s">
        <v>2932</v>
      </c>
    </row>
    <row r="147" spans="1:10" ht="13.95" customHeight="1" x14ac:dyDescent="0.3">
      <c r="A147" s="20">
        <v>45814</v>
      </c>
      <c r="B147" s="20" t="s">
        <v>3042</v>
      </c>
      <c r="C147" s="19" t="s">
        <v>11</v>
      </c>
      <c r="D147" s="19" t="s">
        <v>14</v>
      </c>
      <c r="E147" s="4">
        <v>0.9</v>
      </c>
      <c r="F147" s="42">
        <v>3.6</v>
      </c>
      <c r="G147" s="45">
        <v>130</v>
      </c>
      <c r="H147" s="22">
        <v>2</v>
      </c>
      <c r="I147" s="6">
        <f t="shared" si="4"/>
        <v>842.4</v>
      </c>
      <c r="J147" s="7" t="s">
        <v>2933</v>
      </c>
    </row>
    <row r="148" spans="1:10" ht="13.95" customHeight="1" x14ac:dyDescent="0.3">
      <c r="A148" s="20">
        <v>45815</v>
      </c>
      <c r="B148" s="20" t="s">
        <v>3042</v>
      </c>
      <c r="C148" s="19" t="s">
        <v>13</v>
      </c>
      <c r="D148" s="19" t="s">
        <v>14</v>
      </c>
      <c r="E148" s="4">
        <v>1</v>
      </c>
      <c r="F148" s="42">
        <v>4.5999999999999996</v>
      </c>
      <c r="G148" s="45">
        <v>130</v>
      </c>
      <c r="H148" s="22">
        <v>2</v>
      </c>
      <c r="I148" s="6">
        <f t="shared" si="4"/>
        <v>1196</v>
      </c>
      <c r="J148" s="7" t="s">
        <v>2439</v>
      </c>
    </row>
    <row r="149" spans="1:10" ht="13.95" customHeight="1" x14ac:dyDescent="0.3">
      <c r="A149" s="20">
        <v>45816</v>
      </c>
      <c r="B149" s="20" t="s">
        <v>3042</v>
      </c>
      <c r="C149" s="19" t="s">
        <v>16</v>
      </c>
      <c r="D149" s="19" t="s">
        <v>14</v>
      </c>
      <c r="E149" s="4">
        <v>0.95</v>
      </c>
      <c r="F149" s="42">
        <v>4</v>
      </c>
      <c r="G149" s="45">
        <v>130</v>
      </c>
      <c r="H149" s="22">
        <v>2</v>
      </c>
      <c r="I149" s="6">
        <f t="shared" si="4"/>
        <v>988</v>
      </c>
      <c r="J149" s="7" t="s">
        <v>2934</v>
      </c>
    </row>
    <row r="150" spans="1:10" ht="13.95" customHeight="1" x14ac:dyDescent="0.3">
      <c r="A150" s="20">
        <v>45817</v>
      </c>
      <c r="B150" s="20" t="s">
        <v>3042</v>
      </c>
      <c r="C150" s="19" t="s">
        <v>18</v>
      </c>
      <c r="D150" s="19" t="s">
        <v>9</v>
      </c>
      <c r="E150" s="4">
        <v>0.8</v>
      </c>
      <c r="F150" s="42">
        <v>2.75</v>
      </c>
      <c r="G150" s="45">
        <v>130</v>
      </c>
      <c r="H150" s="22">
        <v>2</v>
      </c>
      <c r="I150" s="6">
        <f t="shared" si="4"/>
        <v>572</v>
      </c>
      <c r="J150" s="7" t="s">
        <v>2526</v>
      </c>
    </row>
    <row r="151" spans="1:10" ht="13.95" customHeight="1" x14ac:dyDescent="0.3">
      <c r="A151" s="20">
        <v>45818</v>
      </c>
      <c r="B151" s="20" t="s">
        <v>3042</v>
      </c>
      <c r="C151" s="19" t="s">
        <v>20</v>
      </c>
      <c r="D151" s="19" t="s">
        <v>9</v>
      </c>
      <c r="E151" s="4">
        <v>0.8</v>
      </c>
      <c r="F151" s="42">
        <v>2.75</v>
      </c>
      <c r="G151" s="45">
        <v>130</v>
      </c>
      <c r="H151" s="22">
        <v>2</v>
      </c>
      <c r="I151" s="6">
        <f t="shared" si="4"/>
        <v>572</v>
      </c>
      <c r="J151" s="7" t="s">
        <v>88</v>
      </c>
    </row>
    <row r="152" spans="1:10" ht="13.95" customHeight="1" x14ac:dyDescent="0.3">
      <c r="A152" s="20">
        <v>45819</v>
      </c>
      <c r="B152" s="20" t="s">
        <v>3042</v>
      </c>
      <c r="C152" s="19" t="s">
        <v>5</v>
      </c>
      <c r="D152" s="19" t="s">
        <v>9</v>
      </c>
      <c r="E152" s="4">
        <v>0.8</v>
      </c>
      <c r="F152" s="42">
        <v>2.8</v>
      </c>
      <c r="G152" s="45">
        <v>130</v>
      </c>
      <c r="H152" s="22">
        <v>2</v>
      </c>
      <c r="I152" s="6">
        <f t="shared" si="4"/>
        <v>582.4</v>
      </c>
      <c r="J152" s="7" t="s">
        <v>88</v>
      </c>
    </row>
    <row r="153" spans="1:10" ht="13.95" customHeight="1" x14ac:dyDescent="0.3">
      <c r="A153" s="20">
        <v>45820</v>
      </c>
      <c r="B153" s="20" t="s">
        <v>3042</v>
      </c>
      <c r="C153" s="19" t="s">
        <v>8</v>
      </c>
      <c r="D153" s="19" t="s">
        <v>1263</v>
      </c>
      <c r="E153" s="4">
        <v>0.85</v>
      </c>
      <c r="F153" s="42">
        <v>3.15</v>
      </c>
      <c r="G153" s="45">
        <v>130</v>
      </c>
      <c r="H153" s="22">
        <v>2</v>
      </c>
      <c r="I153" s="6">
        <f t="shared" ref="I153:I216" si="5">(G153*E153)*F153*H153</f>
        <v>696.15</v>
      </c>
      <c r="J153" s="7" t="s">
        <v>1788</v>
      </c>
    </row>
    <row r="154" spans="1:10" ht="13.95" customHeight="1" x14ac:dyDescent="0.3">
      <c r="A154" s="20">
        <v>45821</v>
      </c>
      <c r="B154" s="20" t="s">
        <v>3042</v>
      </c>
      <c r="C154" s="19" t="s">
        <v>11</v>
      </c>
      <c r="D154" s="19" t="s">
        <v>14</v>
      </c>
      <c r="E154" s="4">
        <v>0.9</v>
      </c>
      <c r="F154" s="42">
        <v>3.7</v>
      </c>
      <c r="G154" s="45">
        <v>130</v>
      </c>
      <c r="H154" s="22">
        <v>2</v>
      </c>
      <c r="I154" s="6">
        <f t="shared" si="5"/>
        <v>865.80000000000007</v>
      </c>
      <c r="J154" s="7" t="s">
        <v>2935</v>
      </c>
    </row>
    <row r="155" spans="1:10" ht="13.95" customHeight="1" x14ac:dyDescent="0.3">
      <c r="A155" s="20">
        <v>45822</v>
      </c>
      <c r="B155" s="20" t="s">
        <v>3042</v>
      </c>
      <c r="C155" s="19" t="s">
        <v>13</v>
      </c>
      <c r="D155" s="19" t="s">
        <v>14</v>
      </c>
      <c r="E155" s="4">
        <v>1</v>
      </c>
      <c r="F155" s="42">
        <v>4.7</v>
      </c>
      <c r="G155" s="45">
        <v>130</v>
      </c>
      <c r="H155" s="22">
        <v>2</v>
      </c>
      <c r="I155" s="6">
        <f t="shared" si="5"/>
        <v>1222</v>
      </c>
      <c r="J155" s="7" t="s">
        <v>2936</v>
      </c>
    </row>
    <row r="156" spans="1:10" ht="13.95" customHeight="1" x14ac:dyDescent="0.3">
      <c r="A156" s="20">
        <v>45823</v>
      </c>
      <c r="B156" s="20" t="s">
        <v>3042</v>
      </c>
      <c r="C156" s="19" t="s">
        <v>16</v>
      </c>
      <c r="D156" s="19" t="s">
        <v>14</v>
      </c>
      <c r="E156" s="4">
        <v>0.95</v>
      </c>
      <c r="F156" s="42">
        <v>4.0999999999999996</v>
      </c>
      <c r="G156" s="45">
        <v>130</v>
      </c>
      <c r="H156" s="22">
        <v>2</v>
      </c>
      <c r="I156" s="6">
        <f t="shared" si="5"/>
        <v>1012.6999999999999</v>
      </c>
      <c r="J156" s="7" t="s">
        <v>2927</v>
      </c>
    </row>
    <row r="157" spans="1:10" ht="13.95" customHeight="1" x14ac:dyDescent="0.3">
      <c r="A157" s="20">
        <v>45824</v>
      </c>
      <c r="B157" s="20" t="s">
        <v>3042</v>
      </c>
      <c r="C157" s="19" t="s">
        <v>18</v>
      </c>
      <c r="D157" s="19" t="s">
        <v>9</v>
      </c>
      <c r="E157" s="4">
        <v>0.8</v>
      </c>
      <c r="F157" s="42">
        <v>2.8</v>
      </c>
      <c r="G157" s="45">
        <v>130</v>
      </c>
      <c r="H157" s="22">
        <v>2</v>
      </c>
      <c r="I157" s="6">
        <f t="shared" si="5"/>
        <v>582.4</v>
      </c>
      <c r="J157" s="7" t="s">
        <v>88</v>
      </c>
    </row>
    <row r="158" spans="1:10" ht="13.95" customHeight="1" x14ac:dyDescent="0.3">
      <c r="A158" s="20">
        <v>45825</v>
      </c>
      <c r="B158" s="20" t="s">
        <v>3042</v>
      </c>
      <c r="C158" s="19" t="s">
        <v>20</v>
      </c>
      <c r="D158" s="19" t="s">
        <v>9</v>
      </c>
      <c r="E158" s="4">
        <v>0.8</v>
      </c>
      <c r="F158" s="42">
        <v>2.8</v>
      </c>
      <c r="G158" s="45">
        <v>130</v>
      </c>
      <c r="H158" s="22">
        <v>2</v>
      </c>
      <c r="I158" s="6">
        <f t="shared" si="5"/>
        <v>582.4</v>
      </c>
      <c r="J158" s="7" t="s">
        <v>88</v>
      </c>
    </row>
    <row r="159" spans="1:10" ht="13.95" customHeight="1" x14ac:dyDescent="0.3">
      <c r="A159" s="20">
        <v>45826</v>
      </c>
      <c r="B159" s="20" t="s">
        <v>3042</v>
      </c>
      <c r="C159" s="19" t="s">
        <v>5</v>
      </c>
      <c r="D159" s="19" t="s">
        <v>9</v>
      </c>
      <c r="E159" s="4">
        <v>0.85</v>
      </c>
      <c r="F159" s="42">
        <v>2.85</v>
      </c>
      <c r="G159" s="45">
        <v>130</v>
      </c>
      <c r="H159" s="22">
        <v>2</v>
      </c>
      <c r="I159" s="6">
        <f t="shared" si="5"/>
        <v>629.85</v>
      </c>
      <c r="J159" s="7" t="s">
        <v>609</v>
      </c>
    </row>
    <row r="160" spans="1:10" ht="13.95" customHeight="1" x14ac:dyDescent="0.3">
      <c r="A160" s="20">
        <v>45827</v>
      </c>
      <c r="B160" s="20" t="s">
        <v>3042</v>
      </c>
      <c r="C160" s="19" t="s">
        <v>8</v>
      </c>
      <c r="D160" s="19" t="s">
        <v>1263</v>
      </c>
      <c r="E160" s="4">
        <v>0.85</v>
      </c>
      <c r="F160" s="42">
        <v>3.2</v>
      </c>
      <c r="G160" s="45">
        <v>130</v>
      </c>
      <c r="H160" s="22">
        <v>2</v>
      </c>
      <c r="I160" s="6">
        <f t="shared" si="5"/>
        <v>707.2</v>
      </c>
      <c r="J160" s="7" t="s">
        <v>2937</v>
      </c>
    </row>
    <row r="161" spans="1:10" ht="13.95" customHeight="1" x14ac:dyDescent="0.3">
      <c r="A161" s="20">
        <v>45828</v>
      </c>
      <c r="B161" s="20" t="s">
        <v>3042</v>
      </c>
      <c r="C161" s="19" t="s">
        <v>11</v>
      </c>
      <c r="D161" s="19" t="s">
        <v>14</v>
      </c>
      <c r="E161" s="4">
        <v>0.95</v>
      </c>
      <c r="F161" s="42">
        <v>3.8</v>
      </c>
      <c r="G161" s="45">
        <v>130</v>
      </c>
      <c r="H161" s="22">
        <v>2</v>
      </c>
      <c r="I161" s="6">
        <f t="shared" si="5"/>
        <v>938.59999999999991</v>
      </c>
      <c r="J161" s="7" t="s">
        <v>2938</v>
      </c>
    </row>
    <row r="162" spans="1:10" ht="13.95" customHeight="1" x14ac:dyDescent="0.3">
      <c r="A162" s="20">
        <v>45829</v>
      </c>
      <c r="B162" s="20" t="s">
        <v>3042</v>
      </c>
      <c r="C162" s="19" t="s">
        <v>13</v>
      </c>
      <c r="D162" s="19" t="s">
        <v>14</v>
      </c>
      <c r="E162" s="4">
        <v>1</v>
      </c>
      <c r="F162" s="42">
        <v>4.8</v>
      </c>
      <c r="G162" s="45">
        <v>130</v>
      </c>
      <c r="H162" s="22">
        <v>2</v>
      </c>
      <c r="I162" s="6">
        <f t="shared" si="5"/>
        <v>1248</v>
      </c>
      <c r="J162" s="7" t="s">
        <v>2658</v>
      </c>
    </row>
    <row r="163" spans="1:10" ht="13.95" customHeight="1" x14ac:dyDescent="0.3">
      <c r="A163" s="20">
        <v>45830</v>
      </c>
      <c r="B163" s="20" t="s">
        <v>3042</v>
      </c>
      <c r="C163" s="19" t="s">
        <v>16</v>
      </c>
      <c r="D163" s="19" t="s">
        <v>14</v>
      </c>
      <c r="E163" s="4">
        <v>0.95</v>
      </c>
      <c r="F163" s="42">
        <v>4.2</v>
      </c>
      <c r="G163" s="45">
        <v>130</v>
      </c>
      <c r="H163" s="22">
        <v>2</v>
      </c>
      <c r="I163" s="6">
        <f t="shared" si="5"/>
        <v>1037.4000000000001</v>
      </c>
      <c r="J163" s="7" t="s">
        <v>459</v>
      </c>
    </row>
    <row r="164" spans="1:10" ht="13.95" customHeight="1" x14ac:dyDescent="0.3">
      <c r="A164" s="20">
        <v>45831</v>
      </c>
      <c r="B164" s="20" t="s">
        <v>3042</v>
      </c>
      <c r="C164" s="19" t="s">
        <v>18</v>
      </c>
      <c r="D164" s="19" t="s">
        <v>9</v>
      </c>
      <c r="E164" s="4">
        <v>0.85</v>
      </c>
      <c r="F164" s="42">
        <v>2.85</v>
      </c>
      <c r="G164" s="45">
        <v>130</v>
      </c>
      <c r="H164" s="22">
        <v>2</v>
      </c>
      <c r="I164" s="6">
        <f t="shared" si="5"/>
        <v>629.85</v>
      </c>
      <c r="J164" s="7" t="s">
        <v>88</v>
      </c>
    </row>
    <row r="165" spans="1:10" ht="13.95" customHeight="1" x14ac:dyDescent="0.3">
      <c r="A165" s="20">
        <v>45832</v>
      </c>
      <c r="B165" s="20" t="s">
        <v>3042</v>
      </c>
      <c r="C165" s="19" t="s">
        <v>20</v>
      </c>
      <c r="D165" s="19" t="s">
        <v>9</v>
      </c>
      <c r="E165" s="4">
        <v>0.85</v>
      </c>
      <c r="F165" s="42">
        <v>2.85</v>
      </c>
      <c r="G165" s="45">
        <v>130</v>
      </c>
      <c r="H165" s="22">
        <v>2</v>
      </c>
      <c r="I165" s="6">
        <f t="shared" si="5"/>
        <v>629.85</v>
      </c>
      <c r="J165" s="7" t="s">
        <v>88</v>
      </c>
    </row>
    <row r="166" spans="1:10" ht="13.95" customHeight="1" x14ac:dyDescent="0.3">
      <c r="A166" s="20">
        <v>45833</v>
      </c>
      <c r="B166" s="20" t="s">
        <v>3042</v>
      </c>
      <c r="C166" s="19" t="s">
        <v>5</v>
      </c>
      <c r="D166" s="19" t="s">
        <v>9</v>
      </c>
      <c r="E166" s="4">
        <v>0.85</v>
      </c>
      <c r="F166" s="42">
        <v>2.9</v>
      </c>
      <c r="G166" s="45">
        <v>130</v>
      </c>
      <c r="H166" s="22">
        <v>2</v>
      </c>
      <c r="I166" s="6">
        <f t="shared" si="5"/>
        <v>640.9</v>
      </c>
      <c r="J166" s="7" t="s">
        <v>88</v>
      </c>
    </row>
    <row r="167" spans="1:10" ht="13.95" customHeight="1" x14ac:dyDescent="0.3">
      <c r="A167" s="20">
        <v>45834</v>
      </c>
      <c r="B167" s="20" t="s">
        <v>3042</v>
      </c>
      <c r="C167" s="19" t="s">
        <v>8</v>
      </c>
      <c r="D167" s="19" t="s">
        <v>9</v>
      </c>
      <c r="E167" s="4">
        <v>0.9</v>
      </c>
      <c r="F167" s="42">
        <v>3.1</v>
      </c>
      <c r="G167" s="45">
        <v>130</v>
      </c>
      <c r="H167" s="22">
        <v>2</v>
      </c>
      <c r="I167" s="6">
        <f t="shared" si="5"/>
        <v>725.4</v>
      </c>
      <c r="J167" s="7" t="s">
        <v>339</v>
      </c>
    </row>
    <row r="168" spans="1:10" ht="13.95" customHeight="1" x14ac:dyDescent="0.3">
      <c r="A168" s="20">
        <v>45835</v>
      </c>
      <c r="B168" s="20" t="s">
        <v>3042</v>
      </c>
      <c r="C168" s="19" t="s">
        <v>11</v>
      </c>
      <c r="D168" s="19" t="s">
        <v>2939</v>
      </c>
      <c r="E168" s="4">
        <v>1</v>
      </c>
      <c r="F168" s="42">
        <v>4</v>
      </c>
      <c r="G168" s="45">
        <v>130</v>
      </c>
      <c r="H168" s="22">
        <v>2</v>
      </c>
      <c r="I168" s="6">
        <f t="shared" si="5"/>
        <v>1040</v>
      </c>
      <c r="J168" s="7" t="s">
        <v>1802</v>
      </c>
    </row>
    <row r="169" spans="1:10" ht="13.95" customHeight="1" x14ac:dyDescent="0.3">
      <c r="A169" s="20">
        <v>45836</v>
      </c>
      <c r="B169" s="20" t="s">
        <v>3042</v>
      </c>
      <c r="C169" s="19" t="s">
        <v>13</v>
      </c>
      <c r="D169" s="19" t="s">
        <v>14</v>
      </c>
      <c r="E169" s="4">
        <v>1</v>
      </c>
      <c r="F169" s="42">
        <v>4.9000000000000004</v>
      </c>
      <c r="G169" s="45">
        <v>130</v>
      </c>
      <c r="H169" s="22">
        <v>2</v>
      </c>
      <c r="I169" s="6">
        <f t="shared" si="5"/>
        <v>1274</v>
      </c>
      <c r="J169" s="7" t="s">
        <v>2940</v>
      </c>
    </row>
    <row r="170" spans="1:10" ht="13.95" customHeight="1" x14ac:dyDescent="0.3">
      <c r="A170" s="20">
        <v>45837</v>
      </c>
      <c r="B170" s="20" t="s">
        <v>3042</v>
      </c>
      <c r="C170" s="19" t="s">
        <v>16</v>
      </c>
      <c r="D170" s="19" t="s">
        <v>14</v>
      </c>
      <c r="E170" s="4">
        <v>0.95</v>
      </c>
      <c r="F170" s="42">
        <v>4.3</v>
      </c>
      <c r="G170" s="45">
        <v>130</v>
      </c>
      <c r="H170" s="22">
        <v>2</v>
      </c>
      <c r="I170" s="6">
        <f t="shared" si="5"/>
        <v>1062.0999999999999</v>
      </c>
      <c r="J170" s="7" t="s">
        <v>2558</v>
      </c>
    </row>
    <row r="171" spans="1:10" ht="13.95" customHeight="1" x14ac:dyDescent="0.3">
      <c r="A171" s="20">
        <v>45838</v>
      </c>
      <c r="B171" s="20" t="s">
        <v>3042</v>
      </c>
      <c r="C171" s="19" t="s">
        <v>18</v>
      </c>
      <c r="D171" s="19" t="s">
        <v>9</v>
      </c>
      <c r="E171" s="4">
        <v>0.85</v>
      </c>
      <c r="F171" s="42">
        <v>2.9</v>
      </c>
      <c r="G171" s="45">
        <v>130</v>
      </c>
      <c r="H171" s="22">
        <v>2</v>
      </c>
      <c r="I171" s="6">
        <f t="shared" si="5"/>
        <v>640.9</v>
      </c>
      <c r="J171" s="7" t="s">
        <v>2941</v>
      </c>
    </row>
    <row r="172" spans="1:10" ht="13.95" customHeight="1" x14ac:dyDescent="0.3">
      <c r="A172" s="20">
        <v>45839</v>
      </c>
      <c r="B172" s="20" t="s">
        <v>3042</v>
      </c>
      <c r="C172" s="19" t="s">
        <v>20</v>
      </c>
      <c r="D172" s="19" t="s">
        <v>9</v>
      </c>
      <c r="E172" s="4">
        <v>0.85</v>
      </c>
      <c r="F172" s="42">
        <v>2.9</v>
      </c>
      <c r="G172" s="45">
        <v>130</v>
      </c>
      <c r="H172" s="22">
        <v>2.1</v>
      </c>
      <c r="I172" s="6">
        <f t="shared" si="5"/>
        <v>672.94500000000005</v>
      </c>
      <c r="J172" s="7" t="s">
        <v>2537</v>
      </c>
    </row>
    <row r="173" spans="1:10" ht="13.95" customHeight="1" x14ac:dyDescent="0.3">
      <c r="A173" s="20">
        <v>45840</v>
      </c>
      <c r="B173" s="20" t="s">
        <v>3042</v>
      </c>
      <c r="C173" s="19" t="s">
        <v>5</v>
      </c>
      <c r="D173" s="19" t="s">
        <v>9</v>
      </c>
      <c r="E173" s="4">
        <v>0.85</v>
      </c>
      <c r="F173" s="42">
        <v>2.9</v>
      </c>
      <c r="G173" s="45">
        <v>130</v>
      </c>
      <c r="H173" s="22">
        <v>2.1</v>
      </c>
      <c r="I173" s="6">
        <f t="shared" si="5"/>
        <v>672.94500000000005</v>
      </c>
      <c r="J173" s="7" t="s">
        <v>88</v>
      </c>
    </row>
    <row r="174" spans="1:10" ht="13.95" customHeight="1" x14ac:dyDescent="0.3">
      <c r="A174" s="20">
        <v>45841</v>
      </c>
      <c r="B174" s="20" t="s">
        <v>3042</v>
      </c>
      <c r="C174" s="19" t="s">
        <v>8</v>
      </c>
      <c r="D174" s="19" t="s">
        <v>9</v>
      </c>
      <c r="E174" s="4">
        <v>0.9</v>
      </c>
      <c r="F174" s="42">
        <v>3.1</v>
      </c>
      <c r="G174" s="45">
        <v>130</v>
      </c>
      <c r="H174" s="22">
        <v>2.1</v>
      </c>
      <c r="I174" s="6">
        <f t="shared" si="5"/>
        <v>761.67</v>
      </c>
      <c r="J174" s="7" t="s">
        <v>67</v>
      </c>
    </row>
    <row r="175" spans="1:10" ht="13.95" customHeight="1" x14ac:dyDescent="0.3">
      <c r="A175" s="20">
        <v>45842</v>
      </c>
      <c r="B175" s="20" t="s">
        <v>3042</v>
      </c>
      <c r="C175" s="19" t="s">
        <v>11</v>
      </c>
      <c r="D175" s="19" t="s">
        <v>14</v>
      </c>
      <c r="E175" s="4">
        <v>0.95</v>
      </c>
      <c r="F175" s="42">
        <v>3.8</v>
      </c>
      <c r="G175" s="45">
        <v>130</v>
      </c>
      <c r="H175" s="22">
        <v>2.1</v>
      </c>
      <c r="I175" s="6">
        <f t="shared" si="5"/>
        <v>985.53</v>
      </c>
      <c r="J175" s="7" t="s">
        <v>2942</v>
      </c>
    </row>
    <row r="176" spans="1:10" ht="13.95" customHeight="1" x14ac:dyDescent="0.3">
      <c r="A176" s="20">
        <v>45843</v>
      </c>
      <c r="B176" s="20" t="s">
        <v>3042</v>
      </c>
      <c r="C176" s="19" t="s">
        <v>13</v>
      </c>
      <c r="D176" s="19" t="s">
        <v>14</v>
      </c>
      <c r="E176" s="4">
        <v>1</v>
      </c>
      <c r="F176" s="42">
        <v>4.9000000000000004</v>
      </c>
      <c r="G176" s="45">
        <v>130</v>
      </c>
      <c r="H176" s="22">
        <v>2.1</v>
      </c>
      <c r="I176" s="6">
        <f t="shared" si="5"/>
        <v>1337.7</v>
      </c>
      <c r="J176" s="7" t="s">
        <v>2943</v>
      </c>
    </row>
    <row r="177" spans="1:10" ht="13.95" customHeight="1" x14ac:dyDescent="0.3">
      <c r="A177" s="20">
        <v>45844</v>
      </c>
      <c r="B177" s="20" t="s">
        <v>3042</v>
      </c>
      <c r="C177" s="19" t="s">
        <v>16</v>
      </c>
      <c r="D177" s="19" t="s">
        <v>14</v>
      </c>
      <c r="E177" s="4">
        <v>0.95</v>
      </c>
      <c r="F177" s="42">
        <v>4.4000000000000004</v>
      </c>
      <c r="G177" s="45">
        <v>130</v>
      </c>
      <c r="H177" s="22">
        <v>2.1</v>
      </c>
      <c r="I177" s="6">
        <f t="shared" si="5"/>
        <v>1141.1400000000003</v>
      </c>
      <c r="J177" s="7" t="s">
        <v>2944</v>
      </c>
    </row>
    <row r="178" spans="1:10" ht="13.95" customHeight="1" x14ac:dyDescent="0.3">
      <c r="A178" s="20">
        <v>45845</v>
      </c>
      <c r="B178" s="20" t="s">
        <v>3042</v>
      </c>
      <c r="C178" s="19" t="s">
        <v>18</v>
      </c>
      <c r="D178" s="19" t="s">
        <v>9</v>
      </c>
      <c r="E178" s="4">
        <v>0.85</v>
      </c>
      <c r="F178" s="42">
        <v>2.95</v>
      </c>
      <c r="G178" s="45">
        <v>130</v>
      </c>
      <c r="H178" s="22">
        <v>2.1</v>
      </c>
      <c r="I178" s="6">
        <f t="shared" si="5"/>
        <v>684.54750000000013</v>
      </c>
      <c r="J178" s="7" t="s">
        <v>88</v>
      </c>
    </row>
    <row r="179" spans="1:10" ht="13.95" customHeight="1" x14ac:dyDescent="0.3">
      <c r="A179" s="20">
        <v>45846</v>
      </c>
      <c r="B179" s="20" t="s">
        <v>3042</v>
      </c>
      <c r="C179" s="19" t="s">
        <v>20</v>
      </c>
      <c r="D179" s="19" t="s">
        <v>9</v>
      </c>
      <c r="E179" s="4">
        <v>0.85</v>
      </c>
      <c r="F179" s="42">
        <v>2.95</v>
      </c>
      <c r="G179" s="45">
        <v>130</v>
      </c>
      <c r="H179" s="22">
        <v>2.1</v>
      </c>
      <c r="I179" s="6">
        <f t="shared" si="5"/>
        <v>684.54750000000013</v>
      </c>
      <c r="J179" s="7" t="s">
        <v>88</v>
      </c>
    </row>
    <row r="180" spans="1:10" ht="13.95" customHeight="1" x14ac:dyDescent="0.3">
      <c r="A180" s="20">
        <v>45847</v>
      </c>
      <c r="B180" s="20" t="s">
        <v>3042</v>
      </c>
      <c r="C180" s="19" t="s">
        <v>5</v>
      </c>
      <c r="D180" s="19" t="s">
        <v>9</v>
      </c>
      <c r="E180" s="4">
        <v>0.9</v>
      </c>
      <c r="F180" s="42">
        <v>3</v>
      </c>
      <c r="G180" s="45">
        <v>130</v>
      </c>
      <c r="H180" s="22">
        <v>2.1</v>
      </c>
      <c r="I180" s="6">
        <f t="shared" si="5"/>
        <v>737.1</v>
      </c>
      <c r="J180" s="7" t="s">
        <v>2945</v>
      </c>
    </row>
    <row r="181" spans="1:10" ht="13.95" customHeight="1" x14ac:dyDescent="0.3">
      <c r="A181" s="20">
        <v>45848</v>
      </c>
      <c r="B181" s="20" t="s">
        <v>3042</v>
      </c>
      <c r="C181" s="19" t="s">
        <v>8</v>
      </c>
      <c r="D181" s="19" t="s">
        <v>9</v>
      </c>
      <c r="E181" s="4">
        <v>0.95</v>
      </c>
      <c r="F181" s="42">
        <v>3.2</v>
      </c>
      <c r="G181" s="45">
        <v>130</v>
      </c>
      <c r="H181" s="22">
        <v>2.1</v>
      </c>
      <c r="I181" s="6">
        <f t="shared" si="5"/>
        <v>829.92000000000019</v>
      </c>
      <c r="J181" s="7" t="s">
        <v>2946</v>
      </c>
    </row>
    <row r="182" spans="1:10" ht="13.95" customHeight="1" x14ac:dyDescent="0.3">
      <c r="A182" s="20">
        <v>45849</v>
      </c>
      <c r="B182" s="20" t="s">
        <v>3042</v>
      </c>
      <c r="C182" s="19" t="s">
        <v>11</v>
      </c>
      <c r="D182" s="19" t="s">
        <v>14</v>
      </c>
      <c r="E182" s="4">
        <v>1</v>
      </c>
      <c r="F182" s="42">
        <v>3.9</v>
      </c>
      <c r="G182" s="45">
        <v>130</v>
      </c>
      <c r="H182" s="22">
        <v>2.1</v>
      </c>
      <c r="I182" s="6">
        <f t="shared" si="5"/>
        <v>1064.7</v>
      </c>
      <c r="J182" s="7" t="s">
        <v>2947</v>
      </c>
    </row>
    <row r="183" spans="1:10" ht="13.95" customHeight="1" x14ac:dyDescent="0.3">
      <c r="A183" s="20">
        <v>45850</v>
      </c>
      <c r="B183" s="20" t="s">
        <v>3042</v>
      </c>
      <c r="C183" s="19" t="s">
        <v>13</v>
      </c>
      <c r="D183" s="19" t="s">
        <v>14</v>
      </c>
      <c r="E183" s="4">
        <v>1</v>
      </c>
      <c r="F183" s="42">
        <v>5.0999999999999996</v>
      </c>
      <c r="G183" s="45">
        <v>130</v>
      </c>
      <c r="H183" s="22">
        <v>2.1</v>
      </c>
      <c r="I183" s="6">
        <f t="shared" si="5"/>
        <v>1392.3</v>
      </c>
      <c r="J183" s="7" t="s">
        <v>1531</v>
      </c>
    </row>
    <row r="184" spans="1:10" ht="13.95" customHeight="1" x14ac:dyDescent="0.3">
      <c r="A184" s="20">
        <v>45851</v>
      </c>
      <c r="B184" s="20" t="s">
        <v>3042</v>
      </c>
      <c r="C184" s="19" t="s">
        <v>16</v>
      </c>
      <c r="D184" s="19" t="s">
        <v>14</v>
      </c>
      <c r="E184" s="4">
        <v>1</v>
      </c>
      <c r="F184" s="42">
        <v>4.5999999999999996</v>
      </c>
      <c r="G184" s="45">
        <v>130</v>
      </c>
      <c r="H184" s="22">
        <v>2.1</v>
      </c>
      <c r="I184" s="6">
        <f t="shared" si="5"/>
        <v>1255.8</v>
      </c>
      <c r="J184" s="7" t="s">
        <v>2927</v>
      </c>
    </row>
    <row r="185" spans="1:10" ht="13.95" customHeight="1" x14ac:dyDescent="0.3">
      <c r="A185" s="20">
        <v>45852</v>
      </c>
      <c r="B185" s="20" t="s">
        <v>3042</v>
      </c>
      <c r="C185" s="19" t="s">
        <v>18</v>
      </c>
      <c r="D185" s="19" t="s">
        <v>2948</v>
      </c>
      <c r="E185" s="4">
        <v>0.9</v>
      </c>
      <c r="F185" s="42">
        <v>3.2</v>
      </c>
      <c r="G185" s="45">
        <v>130</v>
      </c>
      <c r="H185" s="22">
        <v>2.1</v>
      </c>
      <c r="I185" s="6">
        <f t="shared" si="5"/>
        <v>786.24000000000012</v>
      </c>
      <c r="J185" s="7" t="s">
        <v>1448</v>
      </c>
    </row>
    <row r="186" spans="1:10" ht="13.95" customHeight="1" x14ac:dyDescent="0.3">
      <c r="A186" s="20">
        <v>45853</v>
      </c>
      <c r="B186" s="20" t="s">
        <v>3042</v>
      </c>
      <c r="C186" s="19" t="s">
        <v>20</v>
      </c>
      <c r="D186" s="19" t="s">
        <v>9</v>
      </c>
      <c r="E186" s="4">
        <v>0.85</v>
      </c>
      <c r="F186" s="42">
        <v>2.95</v>
      </c>
      <c r="G186" s="45">
        <v>130</v>
      </c>
      <c r="H186" s="22">
        <v>2.1</v>
      </c>
      <c r="I186" s="6">
        <f t="shared" si="5"/>
        <v>684.54750000000013</v>
      </c>
      <c r="J186" s="7" t="s">
        <v>88</v>
      </c>
    </row>
    <row r="187" spans="1:10" ht="13.95" customHeight="1" x14ac:dyDescent="0.3">
      <c r="A187" s="20">
        <v>45854</v>
      </c>
      <c r="B187" s="20" t="s">
        <v>3042</v>
      </c>
      <c r="C187" s="19" t="s">
        <v>5</v>
      </c>
      <c r="D187" s="19" t="s">
        <v>9</v>
      </c>
      <c r="E187" s="4">
        <v>0.9</v>
      </c>
      <c r="F187" s="42">
        <v>3</v>
      </c>
      <c r="G187" s="45">
        <v>130</v>
      </c>
      <c r="H187" s="22">
        <v>2.1</v>
      </c>
      <c r="I187" s="6">
        <f t="shared" si="5"/>
        <v>737.1</v>
      </c>
      <c r="J187" s="7" t="s">
        <v>88</v>
      </c>
    </row>
    <row r="188" spans="1:10" ht="13.95" customHeight="1" x14ac:dyDescent="0.3">
      <c r="A188" s="20">
        <v>45855</v>
      </c>
      <c r="B188" s="20" t="s">
        <v>3042</v>
      </c>
      <c r="C188" s="19" t="s">
        <v>8</v>
      </c>
      <c r="D188" s="19" t="s">
        <v>9</v>
      </c>
      <c r="E188" s="4">
        <v>0.95</v>
      </c>
      <c r="F188" s="42">
        <v>3.25</v>
      </c>
      <c r="G188" s="45">
        <v>130</v>
      </c>
      <c r="H188" s="22">
        <v>2.1</v>
      </c>
      <c r="I188" s="6">
        <f t="shared" si="5"/>
        <v>842.88750000000005</v>
      </c>
      <c r="J188" s="7" t="s">
        <v>1838</v>
      </c>
    </row>
    <row r="189" spans="1:10" ht="13.95" customHeight="1" x14ac:dyDescent="0.3">
      <c r="A189" s="20">
        <v>45856</v>
      </c>
      <c r="B189" s="20" t="s">
        <v>3042</v>
      </c>
      <c r="C189" s="19" t="s">
        <v>11</v>
      </c>
      <c r="D189" s="19" t="s">
        <v>14</v>
      </c>
      <c r="E189" s="4">
        <v>1</v>
      </c>
      <c r="F189" s="42">
        <v>4</v>
      </c>
      <c r="G189" s="45">
        <v>130</v>
      </c>
      <c r="H189" s="22">
        <v>2.1</v>
      </c>
      <c r="I189" s="6">
        <f t="shared" si="5"/>
        <v>1092</v>
      </c>
      <c r="J189" s="7" t="s">
        <v>2949</v>
      </c>
    </row>
    <row r="190" spans="1:10" ht="13.95" customHeight="1" x14ac:dyDescent="0.3">
      <c r="A190" s="20">
        <v>45857</v>
      </c>
      <c r="B190" s="20" t="s">
        <v>3042</v>
      </c>
      <c r="C190" s="19" t="s">
        <v>13</v>
      </c>
      <c r="D190" s="19" t="s">
        <v>14</v>
      </c>
      <c r="E190" s="4">
        <v>1</v>
      </c>
      <c r="F190" s="42">
        <v>5</v>
      </c>
      <c r="G190" s="45">
        <v>130</v>
      </c>
      <c r="H190" s="22">
        <v>2.1</v>
      </c>
      <c r="I190" s="6">
        <f t="shared" si="5"/>
        <v>1365</v>
      </c>
      <c r="J190" s="7" t="s">
        <v>2950</v>
      </c>
    </row>
    <row r="191" spans="1:10" ht="13.95" customHeight="1" x14ac:dyDescent="0.3">
      <c r="A191" s="20">
        <v>45858</v>
      </c>
      <c r="B191" s="20" t="s">
        <v>3042</v>
      </c>
      <c r="C191" s="19" t="s">
        <v>16</v>
      </c>
      <c r="D191" s="19" t="s">
        <v>14</v>
      </c>
      <c r="E191" s="4">
        <v>1</v>
      </c>
      <c r="F191" s="42">
        <v>4.5</v>
      </c>
      <c r="G191" s="45">
        <v>130</v>
      </c>
      <c r="H191" s="22">
        <v>2.1</v>
      </c>
      <c r="I191" s="6">
        <f t="shared" si="5"/>
        <v>1228.5</v>
      </c>
      <c r="J191" s="7" t="s">
        <v>159</v>
      </c>
    </row>
    <row r="192" spans="1:10" ht="13.95" customHeight="1" x14ac:dyDescent="0.3">
      <c r="A192" s="20">
        <v>45859</v>
      </c>
      <c r="B192" s="20" t="s">
        <v>3042</v>
      </c>
      <c r="C192" s="19" t="s">
        <v>18</v>
      </c>
      <c r="D192" s="19" t="s">
        <v>9</v>
      </c>
      <c r="E192" s="4">
        <v>0.9</v>
      </c>
      <c r="F192" s="42">
        <v>3</v>
      </c>
      <c r="G192" s="45">
        <v>130</v>
      </c>
      <c r="H192" s="22">
        <v>2.1</v>
      </c>
      <c r="I192" s="6">
        <f t="shared" si="5"/>
        <v>737.1</v>
      </c>
      <c r="J192" s="7" t="s">
        <v>88</v>
      </c>
    </row>
    <row r="193" spans="1:10" ht="13.95" customHeight="1" x14ac:dyDescent="0.3">
      <c r="A193" s="20">
        <v>45860</v>
      </c>
      <c r="B193" s="20" t="s">
        <v>3042</v>
      </c>
      <c r="C193" s="19" t="s">
        <v>20</v>
      </c>
      <c r="D193" s="19" t="s">
        <v>9</v>
      </c>
      <c r="E193" s="4">
        <v>0.9</v>
      </c>
      <c r="F193" s="42">
        <v>3</v>
      </c>
      <c r="G193" s="45">
        <v>130</v>
      </c>
      <c r="H193" s="22">
        <v>2.1</v>
      </c>
      <c r="I193" s="6">
        <f t="shared" si="5"/>
        <v>737.1</v>
      </c>
      <c r="J193" s="7" t="s">
        <v>88</v>
      </c>
    </row>
    <row r="194" spans="1:10" ht="13.95" customHeight="1" x14ac:dyDescent="0.3">
      <c r="A194" s="20">
        <v>45861</v>
      </c>
      <c r="B194" s="20" t="s">
        <v>3042</v>
      </c>
      <c r="C194" s="19" t="s">
        <v>5</v>
      </c>
      <c r="D194" s="19" t="s">
        <v>9</v>
      </c>
      <c r="E194" s="4">
        <v>0.95</v>
      </c>
      <c r="F194" s="42">
        <v>3.1</v>
      </c>
      <c r="G194" s="45">
        <v>130</v>
      </c>
      <c r="H194" s="22">
        <v>2.1</v>
      </c>
      <c r="I194" s="6">
        <f t="shared" si="5"/>
        <v>803.98500000000013</v>
      </c>
      <c r="J194" s="7" t="s">
        <v>88</v>
      </c>
    </row>
    <row r="195" spans="1:10" ht="13.95" customHeight="1" x14ac:dyDescent="0.3">
      <c r="A195" s="20">
        <v>45862</v>
      </c>
      <c r="B195" s="20" t="s">
        <v>3042</v>
      </c>
      <c r="C195" s="19" t="s">
        <v>8</v>
      </c>
      <c r="D195" s="19" t="s">
        <v>994</v>
      </c>
      <c r="E195" s="4">
        <v>1</v>
      </c>
      <c r="F195" s="42">
        <v>3.5</v>
      </c>
      <c r="G195" s="45">
        <v>130</v>
      </c>
      <c r="H195" s="22">
        <v>2.1</v>
      </c>
      <c r="I195" s="6">
        <f t="shared" si="5"/>
        <v>955.5</v>
      </c>
      <c r="J195" s="7" t="s">
        <v>2951</v>
      </c>
    </row>
    <row r="196" spans="1:10" ht="13.95" customHeight="1" x14ac:dyDescent="0.3">
      <c r="A196" s="20">
        <v>45863</v>
      </c>
      <c r="B196" s="20" t="s">
        <v>3042</v>
      </c>
      <c r="C196" s="19" t="s">
        <v>11</v>
      </c>
      <c r="D196" s="19" t="s">
        <v>2803</v>
      </c>
      <c r="E196" s="4">
        <v>1</v>
      </c>
      <c r="F196" s="42">
        <v>4.3</v>
      </c>
      <c r="G196" s="45">
        <v>130</v>
      </c>
      <c r="H196" s="22">
        <v>2.1</v>
      </c>
      <c r="I196" s="6">
        <f t="shared" si="5"/>
        <v>1173.9000000000001</v>
      </c>
      <c r="J196" s="7" t="s">
        <v>2952</v>
      </c>
    </row>
    <row r="197" spans="1:10" ht="13.95" customHeight="1" x14ac:dyDescent="0.3">
      <c r="A197" s="20">
        <v>45864</v>
      </c>
      <c r="B197" s="20" t="s">
        <v>3042</v>
      </c>
      <c r="C197" s="19" t="s">
        <v>13</v>
      </c>
      <c r="D197" s="19" t="s">
        <v>14</v>
      </c>
      <c r="E197" s="4">
        <v>1</v>
      </c>
      <c r="F197" s="42">
        <v>5.2</v>
      </c>
      <c r="G197" s="45">
        <v>130</v>
      </c>
      <c r="H197" s="22">
        <v>2.1</v>
      </c>
      <c r="I197" s="6">
        <f t="shared" si="5"/>
        <v>1419.6000000000001</v>
      </c>
      <c r="J197" s="7" t="s">
        <v>1811</v>
      </c>
    </row>
    <row r="198" spans="1:10" ht="13.95" customHeight="1" x14ac:dyDescent="0.3">
      <c r="A198" s="20">
        <v>45865</v>
      </c>
      <c r="B198" s="20" t="s">
        <v>3042</v>
      </c>
      <c r="C198" s="19" t="s">
        <v>16</v>
      </c>
      <c r="D198" s="19" t="s">
        <v>14</v>
      </c>
      <c r="E198" s="4">
        <v>1</v>
      </c>
      <c r="F198" s="42">
        <v>4.7</v>
      </c>
      <c r="G198" s="45">
        <v>130</v>
      </c>
      <c r="H198" s="22">
        <v>2.1</v>
      </c>
      <c r="I198" s="6">
        <f t="shared" si="5"/>
        <v>1283.1000000000001</v>
      </c>
      <c r="J198" s="7" t="s">
        <v>2558</v>
      </c>
    </row>
    <row r="199" spans="1:10" ht="13.95" customHeight="1" x14ac:dyDescent="0.3">
      <c r="A199" s="20">
        <v>45866</v>
      </c>
      <c r="B199" s="20" t="s">
        <v>3042</v>
      </c>
      <c r="C199" s="19" t="s">
        <v>18</v>
      </c>
      <c r="D199" s="19" t="s">
        <v>9</v>
      </c>
      <c r="E199" s="4">
        <v>0.9</v>
      </c>
      <c r="F199" s="42">
        <v>3.1</v>
      </c>
      <c r="G199" s="45">
        <v>130</v>
      </c>
      <c r="H199" s="22">
        <v>2.1</v>
      </c>
      <c r="I199" s="6">
        <f t="shared" si="5"/>
        <v>761.67</v>
      </c>
      <c r="J199" s="7" t="s">
        <v>88</v>
      </c>
    </row>
    <row r="200" spans="1:10" ht="13.95" customHeight="1" x14ac:dyDescent="0.3">
      <c r="A200" s="20">
        <v>45867</v>
      </c>
      <c r="B200" s="20" t="s">
        <v>3042</v>
      </c>
      <c r="C200" s="19" t="s">
        <v>20</v>
      </c>
      <c r="D200" s="19" t="s">
        <v>9</v>
      </c>
      <c r="E200" s="4">
        <v>0.9</v>
      </c>
      <c r="F200" s="42">
        <v>3.1</v>
      </c>
      <c r="G200" s="45">
        <v>130</v>
      </c>
      <c r="H200" s="22">
        <v>2.1</v>
      </c>
      <c r="I200" s="6">
        <f t="shared" si="5"/>
        <v>761.67</v>
      </c>
      <c r="J200" s="7" t="s">
        <v>88</v>
      </c>
    </row>
    <row r="201" spans="1:10" ht="13.95" customHeight="1" x14ac:dyDescent="0.3">
      <c r="A201" s="20">
        <v>45868</v>
      </c>
      <c r="B201" s="20" t="s">
        <v>3042</v>
      </c>
      <c r="C201" s="19" t="s">
        <v>5</v>
      </c>
      <c r="D201" s="19" t="s">
        <v>9</v>
      </c>
      <c r="E201" s="4">
        <v>0.95</v>
      </c>
      <c r="F201" s="42">
        <v>3.2</v>
      </c>
      <c r="G201" s="45">
        <v>130</v>
      </c>
      <c r="H201" s="22">
        <v>2.1</v>
      </c>
      <c r="I201" s="6">
        <f t="shared" si="5"/>
        <v>829.92000000000019</v>
      </c>
      <c r="J201" s="7" t="s">
        <v>88</v>
      </c>
    </row>
    <row r="202" spans="1:10" ht="13.95" customHeight="1" x14ac:dyDescent="0.3">
      <c r="A202" s="20">
        <v>45869</v>
      </c>
      <c r="B202" s="20" t="s">
        <v>3042</v>
      </c>
      <c r="C202" s="19" t="s">
        <v>8</v>
      </c>
      <c r="D202" s="19" t="s">
        <v>2783</v>
      </c>
      <c r="E202" s="4">
        <v>0.95</v>
      </c>
      <c r="F202" s="42">
        <v>3.3</v>
      </c>
      <c r="G202" s="45">
        <v>130</v>
      </c>
      <c r="H202" s="22">
        <v>2.1</v>
      </c>
      <c r="I202" s="6">
        <f t="shared" si="5"/>
        <v>855.8549999999999</v>
      </c>
      <c r="J202" s="7" t="s">
        <v>2953</v>
      </c>
    </row>
    <row r="203" spans="1:10" ht="13.95" customHeight="1" x14ac:dyDescent="0.3">
      <c r="A203" s="20">
        <v>45901</v>
      </c>
      <c r="B203" s="20" t="s">
        <v>3042</v>
      </c>
      <c r="C203" s="19" t="s">
        <v>18</v>
      </c>
      <c r="D203" s="19" t="s">
        <v>9</v>
      </c>
      <c r="E203" s="4">
        <v>0.8</v>
      </c>
      <c r="F203" s="42">
        <v>2.8</v>
      </c>
      <c r="G203" s="45">
        <v>130</v>
      </c>
      <c r="H203" s="22">
        <v>1.9</v>
      </c>
      <c r="I203" s="6">
        <f t="shared" si="5"/>
        <v>553.28</v>
      </c>
      <c r="J203" s="7" t="s">
        <v>2954</v>
      </c>
    </row>
    <row r="204" spans="1:10" ht="13.95" customHeight="1" x14ac:dyDescent="0.3">
      <c r="A204" s="20">
        <v>45902</v>
      </c>
      <c r="B204" s="20" t="s">
        <v>3042</v>
      </c>
      <c r="C204" s="19" t="s">
        <v>20</v>
      </c>
      <c r="D204" s="19" t="s">
        <v>9</v>
      </c>
      <c r="E204" s="4">
        <v>0.75</v>
      </c>
      <c r="F204" s="42">
        <v>2.75</v>
      </c>
      <c r="G204" s="45">
        <v>130</v>
      </c>
      <c r="H204" s="22">
        <v>1.9</v>
      </c>
      <c r="I204" s="6">
        <f t="shared" si="5"/>
        <v>509.4375</v>
      </c>
      <c r="J204" s="7" t="s">
        <v>2931</v>
      </c>
    </row>
    <row r="205" spans="1:10" ht="13.95" customHeight="1" x14ac:dyDescent="0.3">
      <c r="A205" s="20">
        <v>45903</v>
      </c>
      <c r="B205" s="20" t="s">
        <v>3042</v>
      </c>
      <c r="C205" s="19" t="s">
        <v>5</v>
      </c>
      <c r="D205" s="19" t="s">
        <v>9</v>
      </c>
      <c r="E205" s="4">
        <v>0.75</v>
      </c>
      <c r="F205" s="42">
        <v>2.75</v>
      </c>
      <c r="G205" s="45">
        <v>130</v>
      </c>
      <c r="H205" s="22">
        <v>1.9</v>
      </c>
      <c r="I205" s="6">
        <f t="shared" si="5"/>
        <v>509.4375</v>
      </c>
      <c r="J205" s="7" t="s">
        <v>88</v>
      </c>
    </row>
    <row r="206" spans="1:10" ht="13.95" customHeight="1" x14ac:dyDescent="0.3">
      <c r="A206" s="20">
        <v>45904</v>
      </c>
      <c r="B206" s="20" t="s">
        <v>3042</v>
      </c>
      <c r="C206" s="19" t="s">
        <v>8</v>
      </c>
      <c r="D206" s="19" t="s">
        <v>1738</v>
      </c>
      <c r="E206" s="4">
        <v>0.85</v>
      </c>
      <c r="F206" s="42">
        <v>3.1</v>
      </c>
      <c r="G206" s="45">
        <v>130</v>
      </c>
      <c r="H206" s="22">
        <v>1.9</v>
      </c>
      <c r="I206" s="6">
        <f t="shared" si="5"/>
        <v>650.84500000000003</v>
      </c>
      <c r="J206" s="7" t="s">
        <v>2955</v>
      </c>
    </row>
    <row r="207" spans="1:10" ht="13.95" customHeight="1" x14ac:dyDescent="0.3">
      <c r="A207" s="20">
        <v>45905</v>
      </c>
      <c r="B207" s="20" t="s">
        <v>3042</v>
      </c>
      <c r="C207" s="19" t="s">
        <v>11</v>
      </c>
      <c r="D207" s="19" t="s">
        <v>14</v>
      </c>
      <c r="E207" s="4">
        <v>0.9</v>
      </c>
      <c r="F207" s="42">
        <v>3.6</v>
      </c>
      <c r="G207" s="45">
        <v>130</v>
      </c>
      <c r="H207" s="22">
        <v>1.9</v>
      </c>
      <c r="I207" s="6">
        <f t="shared" si="5"/>
        <v>800.28</v>
      </c>
      <c r="J207" s="7" t="s">
        <v>2956</v>
      </c>
    </row>
    <row r="208" spans="1:10" ht="13.95" customHeight="1" x14ac:dyDescent="0.3">
      <c r="A208" s="20">
        <v>45906</v>
      </c>
      <c r="B208" s="20" t="s">
        <v>3042</v>
      </c>
      <c r="C208" s="19" t="s">
        <v>13</v>
      </c>
      <c r="D208" s="19" t="s">
        <v>14</v>
      </c>
      <c r="E208" s="4">
        <v>1</v>
      </c>
      <c r="F208" s="42">
        <v>4.8</v>
      </c>
      <c r="G208" s="45">
        <v>130</v>
      </c>
      <c r="H208" s="22">
        <v>1.9</v>
      </c>
      <c r="I208" s="6">
        <f t="shared" si="5"/>
        <v>1185.5999999999999</v>
      </c>
      <c r="J208" s="7" t="s">
        <v>2957</v>
      </c>
    </row>
    <row r="209" spans="1:10" ht="13.95" customHeight="1" x14ac:dyDescent="0.3">
      <c r="A209" s="20">
        <v>45907</v>
      </c>
      <c r="B209" s="20" t="s">
        <v>3042</v>
      </c>
      <c r="C209" s="19" t="s">
        <v>16</v>
      </c>
      <c r="D209" s="19" t="s">
        <v>14</v>
      </c>
      <c r="E209" s="4">
        <v>0.95</v>
      </c>
      <c r="F209" s="42">
        <v>4.2</v>
      </c>
      <c r="G209" s="45">
        <v>130</v>
      </c>
      <c r="H209" s="22">
        <v>1.9</v>
      </c>
      <c r="I209" s="6">
        <f t="shared" si="5"/>
        <v>985.53000000000009</v>
      </c>
      <c r="J209" s="7" t="s">
        <v>2903</v>
      </c>
    </row>
    <row r="210" spans="1:10" ht="13.95" customHeight="1" x14ac:dyDescent="0.3">
      <c r="A210" s="20">
        <v>45908</v>
      </c>
      <c r="B210" s="20" t="s">
        <v>3042</v>
      </c>
      <c r="C210" s="19" t="s">
        <v>18</v>
      </c>
      <c r="D210" s="19" t="s">
        <v>9</v>
      </c>
      <c r="E210" s="4">
        <v>0.7</v>
      </c>
      <c r="F210" s="42">
        <v>2.7</v>
      </c>
      <c r="G210" s="45">
        <v>130</v>
      </c>
      <c r="H210" s="22">
        <v>1.9</v>
      </c>
      <c r="I210" s="6">
        <f t="shared" si="5"/>
        <v>466.83</v>
      </c>
      <c r="J210" s="7" t="s">
        <v>1332</v>
      </c>
    </row>
    <row r="211" spans="1:10" ht="13.95" customHeight="1" x14ac:dyDescent="0.3">
      <c r="A211" s="20">
        <v>45909</v>
      </c>
      <c r="B211" s="20" t="s">
        <v>3042</v>
      </c>
      <c r="C211" s="19" t="s">
        <v>20</v>
      </c>
      <c r="D211" s="19" t="s">
        <v>9</v>
      </c>
      <c r="E211" s="4">
        <v>0.7</v>
      </c>
      <c r="F211" s="42">
        <v>2.7</v>
      </c>
      <c r="G211" s="45">
        <v>130</v>
      </c>
      <c r="H211" s="22">
        <v>1.9</v>
      </c>
      <c r="I211" s="6">
        <f t="shared" si="5"/>
        <v>466.83</v>
      </c>
      <c r="J211" s="7" t="s">
        <v>88</v>
      </c>
    </row>
    <row r="212" spans="1:10" ht="13.95" customHeight="1" x14ac:dyDescent="0.3">
      <c r="A212" s="20">
        <v>45910</v>
      </c>
      <c r="B212" s="20" t="s">
        <v>3042</v>
      </c>
      <c r="C212" s="19" t="s">
        <v>5</v>
      </c>
      <c r="D212" s="19" t="s">
        <v>9</v>
      </c>
      <c r="E212" s="4">
        <v>0.75</v>
      </c>
      <c r="F212" s="42">
        <v>2.75</v>
      </c>
      <c r="G212" s="45">
        <v>130</v>
      </c>
      <c r="H212" s="22">
        <v>1.9</v>
      </c>
      <c r="I212" s="6">
        <f t="shared" si="5"/>
        <v>509.4375</v>
      </c>
      <c r="J212" s="7" t="s">
        <v>88</v>
      </c>
    </row>
    <row r="213" spans="1:10" ht="13.95" customHeight="1" x14ac:dyDescent="0.3">
      <c r="A213" s="20">
        <v>45911</v>
      </c>
      <c r="B213" s="20" t="s">
        <v>3042</v>
      </c>
      <c r="C213" s="19" t="s">
        <v>8</v>
      </c>
      <c r="D213" s="19" t="s">
        <v>1263</v>
      </c>
      <c r="E213" s="4">
        <v>0.8</v>
      </c>
      <c r="F213" s="42">
        <v>3</v>
      </c>
      <c r="G213" s="45">
        <v>130</v>
      </c>
      <c r="H213" s="22">
        <v>1.9</v>
      </c>
      <c r="I213" s="6">
        <f t="shared" si="5"/>
        <v>592.79999999999995</v>
      </c>
      <c r="J213" s="7" t="s">
        <v>2937</v>
      </c>
    </row>
    <row r="214" spans="1:10" ht="13.95" customHeight="1" x14ac:dyDescent="0.3">
      <c r="A214" s="20">
        <v>45912</v>
      </c>
      <c r="B214" s="20" t="s">
        <v>3042</v>
      </c>
      <c r="C214" s="19" t="s">
        <v>11</v>
      </c>
      <c r="D214" s="19" t="s">
        <v>14</v>
      </c>
      <c r="E214" s="4">
        <v>0.85</v>
      </c>
      <c r="F214" s="42">
        <v>3.5</v>
      </c>
      <c r="G214" s="45">
        <v>130</v>
      </c>
      <c r="H214" s="22">
        <v>1.9</v>
      </c>
      <c r="I214" s="6">
        <f t="shared" si="5"/>
        <v>734.82499999999993</v>
      </c>
      <c r="J214" s="7" t="s">
        <v>1095</v>
      </c>
    </row>
    <row r="215" spans="1:10" ht="13.95" customHeight="1" x14ac:dyDescent="0.3">
      <c r="A215" s="20">
        <v>45913</v>
      </c>
      <c r="B215" s="20" t="s">
        <v>3042</v>
      </c>
      <c r="C215" s="19" t="s">
        <v>13</v>
      </c>
      <c r="D215" s="19" t="s">
        <v>14</v>
      </c>
      <c r="E215" s="4">
        <v>0.95</v>
      </c>
      <c r="F215" s="42">
        <v>4.7</v>
      </c>
      <c r="G215" s="45">
        <v>130</v>
      </c>
      <c r="H215" s="22">
        <v>1.9</v>
      </c>
      <c r="I215" s="6">
        <f t="shared" si="5"/>
        <v>1102.855</v>
      </c>
      <c r="J215" s="7" t="s">
        <v>1531</v>
      </c>
    </row>
    <row r="216" spans="1:10" ht="13.95" customHeight="1" x14ac:dyDescent="0.3">
      <c r="A216" s="20">
        <v>45914</v>
      </c>
      <c r="B216" s="20" t="s">
        <v>3042</v>
      </c>
      <c r="C216" s="19" t="s">
        <v>16</v>
      </c>
      <c r="D216" s="19" t="s">
        <v>14</v>
      </c>
      <c r="E216" s="4">
        <v>0.9</v>
      </c>
      <c r="F216" s="42">
        <v>4.0999999999999996</v>
      </c>
      <c r="G216" s="45">
        <v>130</v>
      </c>
      <c r="H216" s="22">
        <v>1.9</v>
      </c>
      <c r="I216" s="6">
        <f t="shared" si="5"/>
        <v>911.42999999999984</v>
      </c>
      <c r="J216" s="7" t="s">
        <v>2927</v>
      </c>
    </row>
    <row r="217" spans="1:10" ht="13.95" customHeight="1" x14ac:dyDescent="0.3">
      <c r="A217" s="20">
        <v>45915</v>
      </c>
      <c r="B217" s="20" t="s">
        <v>3042</v>
      </c>
      <c r="C217" s="19" t="s">
        <v>18</v>
      </c>
      <c r="D217" s="19" t="s">
        <v>9</v>
      </c>
      <c r="E217" s="4">
        <v>0.7</v>
      </c>
      <c r="F217" s="42">
        <v>2.7</v>
      </c>
      <c r="G217" s="45">
        <v>130</v>
      </c>
      <c r="H217" s="22">
        <v>1.9</v>
      </c>
      <c r="I217" s="6">
        <f t="shared" ref="I217:I280" si="6">(G217*E217)*F217*H217</f>
        <v>466.83</v>
      </c>
      <c r="J217" s="7" t="s">
        <v>774</v>
      </c>
    </row>
    <row r="218" spans="1:10" ht="13.95" customHeight="1" x14ac:dyDescent="0.3">
      <c r="A218" s="20">
        <v>45916</v>
      </c>
      <c r="B218" s="20" t="s">
        <v>3042</v>
      </c>
      <c r="C218" s="19" t="s">
        <v>20</v>
      </c>
      <c r="D218" s="19" t="s">
        <v>9</v>
      </c>
      <c r="E218" s="4">
        <v>0.65</v>
      </c>
      <c r="F218" s="42">
        <v>2.65</v>
      </c>
      <c r="G218" s="45">
        <v>130</v>
      </c>
      <c r="H218" s="22">
        <v>1.9</v>
      </c>
      <c r="I218" s="6">
        <f t="shared" si="6"/>
        <v>425.45749999999992</v>
      </c>
      <c r="J218" s="7" t="s">
        <v>88</v>
      </c>
    </row>
    <row r="219" spans="1:10" ht="13.95" customHeight="1" x14ac:dyDescent="0.3">
      <c r="A219" s="20">
        <v>45917</v>
      </c>
      <c r="B219" s="20" t="s">
        <v>3042</v>
      </c>
      <c r="C219" s="19" t="s">
        <v>5</v>
      </c>
      <c r="D219" s="19" t="s">
        <v>9</v>
      </c>
      <c r="E219" s="4">
        <v>0.65</v>
      </c>
      <c r="F219" s="42">
        <v>2.65</v>
      </c>
      <c r="G219" s="45">
        <v>130</v>
      </c>
      <c r="H219" s="22">
        <v>1.9</v>
      </c>
      <c r="I219" s="6">
        <f t="shared" si="6"/>
        <v>425.45749999999992</v>
      </c>
      <c r="J219" s="7" t="s">
        <v>88</v>
      </c>
    </row>
    <row r="220" spans="1:10" ht="13.95" customHeight="1" x14ac:dyDescent="0.3">
      <c r="A220" s="20">
        <v>45918</v>
      </c>
      <c r="B220" s="20" t="s">
        <v>3042</v>
      </c>
      <c r="C220" s="19" t="s">
        <v>8</v>
      </c>
      <c r="D220" s="19" t="s">
        <v>9</v>
      </c>
      <c r="E220" s="4">
        <v>0.7</v>
      </c>
      <c r="F220" s="42">
        <v>2.75</v>
      </c>
      <c r="G220" s="45">
        <v>130</v>
      </c>
      <c r="H220" s="22">
        <v>1.9</v>
      </c>
      <c r="I220" s="6">
        <f t="shared" si="6"/>
        <v>475.47499999999997</v>
      </c>
      <c r="J220" s="7" t="s">
        <v>67</v>
      </c>
    </row>
    <row r="221" spans="1:10" ht="13.95" customHeight="1" x14ac:dyDescent="0.3">
      <c r="A221" s="20">
        <v>45919</v>
      </c>
      <c r="B221" s="20" t="s">
        <v>3042</v>
      </c>
      <c r="C221" s="19" t="s">
        <v>11</v>
      </c>
      <c r="D221" s="19" t="s">
        <v>14</v>
      </c>
      <c r="E221" s="4">
        <v>0.8</v>
      </c>
      <c r="F221" s="42">
        <v>3.45</v>
      </c>
      <c r="G221" s="45">
        <v>130</v>
      </c>
      <c r="H221" s="22">
        <v>1.9</v>
      </c>
      <c r="I221" s="6">
        <f t="shared" si="6"/>
        <v>681.72</v>
      </c>
      <c r="J221" s="7" t="s">
        <v>2090</v>
      </c>
    </row>
    <row r="222" spans="1:10" ht="13.95" customHeight="1" x14ac:dyDescent="0.3">
      <c r="A222" s="20">
        <v>45920</v>
      </c>
      <c r="B222" s="20" t="s">
        <v>3042</v>
      </c>
      <c r="C222" s="19" t="s">
        <v>13</v>
      </c>
      <c r="D222" s="19" t="s">
        <v>14</v>
      </c>
      <c r="E222" s="4">
        <v>0.9</v>
      </c>
      <c r="F222" s="42">
        <v>4.5</v>
      </c>
      <c r="G222" s="45">
        <v>130</v>
      </c>
      <c r="H222" s="22">
        <v>1.9</v>
      </c>
      <c r="I222" s="6">
        <f t="shared" si="6"/>
        <v>1000.3499999999999</v>
      </c>
      <c r="J222" s="7" t="s">
        <v>2958</v>
      </c>
    </row>
    <row r="223" spans="1:10" ht="13.95" customHeight="1" x14ac:dyDescent="0.3">
      <c r="A223" s="20">
        <v>45921</v>
      </c>
      <c r="B223" s="20" t="s">
        <v>3042</v>
      </c>
      <c r="C223" s="19" t="s">
        <v>16</v>
      </c>
      <c r="D223" s="19" t="s">
        <v>14</v>
      </c>
      <c r="E223" s="4">
        <v>0.85</v>
      </c>
      <c r="F223" s="42">
        <v>3.9</v>
      </c>
      <c r="G223" s="45">
        <v>130</v>
      </c>
      <c r="H223" s="22">
        <v>1.9</v>
      </c>
      <c r="I223" s="6">
        <f t="shared" si="6"/>
        <v>818.80499999999995</v>
      </c>
      <c r="J223" s="7" t="s">
        <v>238</v>
      </c>
    </row>
    <row r="224" spans="1:10" ht="13.95" customHeight="1" x14ac:dyDescent="0.3">
      <c r="A224" s="20">
        <v>45922</v>
      </c>
      <c r="B224" s="20" t="s">
        <v>3042</v>
      </c>
      <c r="C224" s="19" t="s">
        <v>18</v>
      </c>
      <c r="D224" s="19" t="s">
        <v>9</v>
      </c>
      <c r="E224" s="4">
        <v>0.6</v>
      </c>
      <c r="F224" s="42">
        <v>2.6</v>
      </c>
      <c r="G224" s="45">
        <v>130</v>
      </c>
      <c r="H224" s="22">
        <v>1.9</v>
      </c>
      <c r="I224" s="6">
        <f t="shared" si="6"/>
        <v>385.32</v>
      </c>
      <c r="J224" s="7" t="s">
        <v>1628</v>
      </c>
    </row>
    <row r="225" spans="1:10" ht="13.95" customHeight="1" x14ac:dyDescent="0.3">
      <c r="A225" s="20">
        <v>45923</v>
      </c>
      <c r="B225" s="20" t="s">
        <v>3042</v>
      </c>
      <c r="C225" s="19" t="s">
        <v>20</v>
      </c>
      <c r="D225" s="19" t="s">
        <v>9</v>
      </c>
      <c r="E225" s="4">
        <v>0.6</v>
      </c>
      <c r="F225" s="42">
        <v>2.6</v>
      </c>
      <c r="G225" s="45">
        <v>130</v>
      </c>
      <c r="H225" s="22">
        <v>1.9</v>
      </c>
      <c r="I225" s="6">
        <f t="shared" si="6"/>
        <v>385.32</v>
      </c>
      <c r="J225" s="7" t="s">
        <v>88</v>
      </c>
    </row>
    <row r="226" spans="1:10" ht="13.95" customHeight="1" x14ac:dyDescent="0.3">
      <c r="A226" s="20">
        <v>45924</v>
      </c>
      <c r="B226" s="20" t="s">
        <v>3042</v>
      </c>
      <c r="C226" s="19" t="s">
        <v>5</v>
      </c>
      <c r="D226" s="19" t="s">
        <v>9</v>
      </c>
      <c r="E226" s="4">
        <v>0.65</v>
      </c>
      <c r="F226" s="42">
        <v>2.65</v>
      </c>
      <c r="G226" s="45">
        <v>130</v>
      </c>
      <c r="H226" s="22">
        <v>1.9</v>
      </c>
      <c r="I226" s="6">
        <f t="shared" si="6"/>
        <v>425.45749999999992</v>
      </c>
      <c r="J226" s="7" t="s">
        <v>88</v>
      </c>
    </row>
    <row r="227" spans="1:10" ht="13.95" customHeight="1" x14ac:dyDescent="0.3">
      <c r="A227" s="20">
        <v>45925</v>
      </c>
      <c r="B227" s="20" t="s">
        <v>3042</v>
      </c>
      <c r="C227" s="19" t="s">
        <v>8</v>
      </c>
      <c r="D227" s="19" t="s">
        <v>1263</v>
      </c>
      <c r="E227" s="4">
        <v>0.75</v>
      </c>
      <c r="F227" s="42">
        <v>2.9</v>
      </c>
      <c r="G227" s="45">
        <v>130</v>
      </c>
      <c r="H227" s="22">
        <v>1.9</v>
      </c>
      <c r="I227" s="6">
        <f t="shared" si="6"/>
        <v>537.22500000000002</v>
      </c>
      <c r="J227" s="7" t="s">
        <v>1807</v>
      </c>
    </row>
    <row r="228" spans="1:10" ht="13.95" customHeight="1" x14ac:dyDescent="0.3">
      <c r="A228" s="20">
        <v>45926</v>
      </c>
      <c r="B228" s="20" t="s">
        <v>3042</v>
      </c>
      <c r="C228" s="19" t="s">
        <v>11</v>
      </c>
      <c r="D228" s="19" t="s">
        <v>14</v>
      </c>
      <c r="E228" s="4">
        <v>0.8</v>
      </c>
      <c r="F228" s="42">
        <v>3.35</v>
      </c>
      <c r="G228" s="45">
        <v>130</v>
      </c>
      <c r="H228" s="22">
        <v>1.9</v>
      </c>
      <c r="I228" s="6">
        <f t="shared" si="6"/>
        <v>661.96</v>
      </c>
      <c r="J228" s="7" t="s">
        <v>390</v>
      </c>
    </row>
    <row r="229" spans="1:10" ht="13.95" customHeight="1" x14ac:dyDescent="0.3">
      <c r="A229" s="20">
        <v>45927</v>
      </c>
      <c r="B229" s="20" t="s">
        <v>3042</v>
      </c>
      <c r="C229" s="19" t="s">
        <v>13</v>
      </c>
      <c r="D229" s="19" t="s">
        <v>14</v>
      </c>
      <c r="E229" s="4">
        <v>0.9</v>
      </c>
      <c r="F229" s="42">
        <v>4.4000000000000004</v>
      </c>
      <c r="G229" s="45">
        <v>130</v>
      </c>
      <c r="H229" s="22">
        <v>1.9</v>
      </c>
      <c r="I229" s="6">
        <f t="shared" si="6"/>
        <v>978.12000000000012</v>
      </c>
      <c r="J229" s="7" t="s">
        <v>2009</v>
      </c>
    </row>
    <row r="230" spans="1:10" ht="13.95" customHeight="1" x14ac:dyDescent="0.3">
      <c r="A230" s="20">
        <v>45928</v>
      </c>
      <c r="B230" s="20" t="s">
        <v>3042</v>
      </c>
      <c r="C230" s="19" t="s">
        <v>16</v>
      </c>
      <c r="D230" s="19" t="s">
        <v>14</v>
      </c>
      <c r="E230" s="4">
        <v>0.85</v>
      </c>
      <c r="F230" s="42">
        <v>3.8</v>
      </c>
      <c r="G230" s="45">
        <v>130</v>
      </c>
      <c r="H230" s="22">
        <v>1.9</v>
      </c>
      <c r="I230" s="6">
        <f t="shared" si="6"/>
        <v>797.81</v>
      </c>
      <c r="J230" s="7" t="s">
        <v>69</v>
      </c>
    </row>
    <row r="231" spans="1:10" ht="13.95" customHeight="1" x14ac:dyDescent="0.3">
      <c r="A231" s="20">
        <v>45929</v>
      </c>
      <c r="B231" s="20" t="s">
        <v>3042</v>
      </c>
      <c r="C231" s="19" t="s">
        <v>18</v>
      </c>
      <c r="D231" s="19" t="s">
        <v>9</v>
      </c>
      <c r="E231" s="4">
        <v>0.6</v>
      </c>
      <c r="F231" s="42">
        <v>2.6</v>
      </c>
      <c r="G231" s="45">
        <v>130</v>
      </c>
      <c r="H231" s="22">
        <v>1.9</v>
      </c>
      <c r="I231" s="6">
        <f t="shared" si="6"/>
        <v>385.32</v>
      </c>
      <c r="J231" s="7" t="s">
        <v>755</v>
      </c>
    </row>
    <row r="232" spans="1:10" ht="13.95" customHeight="1" x14ac:dyDescent="0.3">
      <c r="A232" s="20">
        <v>45930</v>
      </c>
      <c r="B232" s="20" t="s">
        <v>3042</v>
      </c>
      <c r="C232" s="19" t="s">
        <v>20</v>
      </c>
      <c r="D232" s="19" t="s">
        <v>9</v>
      </c>
      <c r="E232" s="4">
        <v>0.6</v>
      </c>
      <c r="F232" s="42">
        <v>2.6</v>
      </c>
      <c r="G232" s="45">
        <v>130</v>
      </c>
      <c r="H232" s="22">
        <v>1.9</v>
      </c>
      <c r="I232" s="6">
        <f t="shared" si="6"/>
        <v>385.32</v>
      </c>
      <c r="J232" s="7" t="s">
        <v>1812</v>
      </c>
    </row>
    <row r="233" spans="1:10" ht="13.95" customHeight="1" x14ac:dyDescent="0.3">
      <c r="A233" s="20">
        <v>45901</v>
      </c>
      <c r="B233" s="20" t="s">
        <v>3042</v>
      </c>
      <c r="C233" s="19" t="s">
        <v>18</v>
      </c>
      <c r="D233" s="19" t="s">
        <v>2959</v>
      </c>
      <c r="E233" s="4">
        <v>0.8</v>
      </c>
      <c r="F233" s="42">
        <v>2.8</v>
      </c>
      <c r="G233" s="45">
        <v>130</v>
      </c>
      <c r="H233" s="22">
        <v>2.2000000000000002</v>
      </c>
      <c r="I233" s="6">
        <f t="shared" si="6"/>
        <v>640.64</v>
      </c>
      <c r="J233" s="7" t="s">
        <v>2960</v>
      </c>
    </row>
    <row r="234" spans="1:10" ht="13.95" customHeight="1" x14ac:dyDescent="0.3">
      <c r="A234" s="20">
        <v>45902</v>
      </c>
      <c r="B234" s="20" t="s">
        <v>3042</v>
      </c>
      <c r="C234" s="19" t="s">
        <v>20</v>
      </c>
      <c r="D234" s="19" t="s">
        <v>2961</v>
      </c>
      <c r="E234" s="4">
        <v>0.75</v>
      </c>
      <c r="F234" s="42">
        <v>2.75</v>
      </c>
      <c r="G234" s="45">
        <v>130</v>
      </c>
      <c r="H234" s="22">
        <v>2.2000000000000002</v>
      </c>
      <c r="I234" s="6">
        <f t="shared" si="6"/>
        <v>589.875</v>
      </c>
      <c r="J234" s="7" t="s">
        <v>2962</v>
      </c>
    </row>
    <row r="235" spans="1:10" ht="13.95" customHeight="1" x14ac:dyDescent="0.3">
      <c r="A235" s="20">
        <v>45903</v>
      </c>
      <c r="B235" s="20" t="s">
        <v>3042</v>
      </c>
      <c r="C235" s="19" t="s">
        <v>5</v>
      </c>
      <c r="D235" s="19" t="s">
        <v>2961</v>
      </c>
      <c r="E235" s="4">
        <v>0.75</v>
      </c>
      <c r="F235" s="42">
        <v>2.75</v>
      </c>
      <c r="G235" s="45">
        <v>130</v>
      </c>
      <c r="H235" s="22">
        <v>2.2000000000000002</v>
      </c>
      <c r="I235" s="6">
        <f t="shared" si="6"/>
        <v>589.875</v>
      </c>
      <c r="J235" s="7" t="s">
        <v>88</v>
      </c>
    </row>
    <row r="236" spans="1:10" ht="13.95" customHeight="1" x14ac:dyDescent="0.3">
      <c r="A236" s="20">
        <v>45904</v>
      </c>
      <c r="B236" s="20" t="s">
        <v>3042</v>
      </c>
      <c r="C236" s="19" t="s">
        <v>8</v>
      </c>
      <c r="D236" s="19" t="s">
        <v>1738</v>
      </c>
      <c r="E236" s="4">
        <v>0.85</v>
      </c>
      <c r="F236" s="42">
        <v>3.1</v>
      </c>
      <c r="G236" s="45">
        <v>130</v>
      </c>
      <c r="H236" s="22">
        <v>2.2000000000000002</v>
      </c>
      <c r="I236" s="6">
        <f t="shared" si="6"/>
        <v>753.61000000000013</v>
      </c>
      <c r="J236" s="7" t="s">
        <v>2963</v>
      </c>
    </row>
    <row r="237" spans="1:10" ht="13.95" customHeight="1" x14ac:dyDescent="0.3">
      <c r="A237" s="20">
        <v>45905</v>
      </c>
      <c r="B237" s="20" t="s">
        <v>3042</v>
      </c>
      <c r="C237" s="19" t="s">
        <v>11</v>
      </c>
      <c r="D237" s="19" t="s">
        <v>2964</v>
      </c>
      <c r="E237" s="4">
        <v>0.9</v>
      </c>
      <c r="F237" s="42">
        <v>3.6</v>
      </c>
      <c r="G237" s="45">
        <v>130</v>
      </c>
      <c r="H237" s="22">
        <v>2.2000000000000002</v>
      </c>
      <c r="I237" s="6">
        <f t="shared" si="6"/>
        <v>926.6400000000001</v>
      </c>
      <c r="J237" s="7" t="s">
        <v>67</v>
      </c>
    </row>
    <row r="238" spans="1:10" ht="13.95" customHeight="1" x14ac:dyDescent="0.3">
      <c r="A238" s="20">
        <v>45906</v>
      </c>
      <c r="B238" s="20" t="s">
        <v>3042</v>
      </c>
      <c r="C238" s="19" t="s">
        <v>13</v>
      </c>
      <c r="D238" s="19" t="s">
        <v>2965</v>
      </c>
      <c r="E238" s="4">
        <v>1</v>
      </c>
      <c r="F238" s="42">
        <v>4.9000000000000004</v>
      </c>
      <c r="G238" s="45">
        <v>130</v>
      </c>
      <c r="H238" s="22">
        <v>2.2000000000000002</v>
      </c>
      <c r="I238" s="6">
        <f t="shared" si="6"/>
        <v>1401.4</v>
      </c>
      <c r="J238" s="7" t="s">
        <v>2966</v>
      </c>
    </row>
    <row r="239" spans="1:10" ht="13.95" customHeight="1" x14ac:dyDescent="0.3">
      <c r="A239" s="20">
        <v>45907</v>
      </c>
      <c r="B239" s="20" t="s">
        <v>3042</v>
      </c>
      <c r="C239" s="19" t="s">
        <v>16</v>
      </c>
      <c r="D239" s="19" t="s">
        <v>2967</v>
      </c>
      <c r="E239" s="4">
        <v>0.95</v>
      </c>
      <c r="F239" s="42">
        <v>4.2</v>
      </c>
      <c r="G239" s="45">
        <v>130</v>
      </c>
      <c r="H239" s="22">
        <v>2.2000000000000002</v>
      </c>
      <c r="I239" s="6">
        <f t="shared" si="6"/>
        <v>1141.1400000000001</v>
      </c>
      <c r="J239" s="7" t="s">
        <v>2903</v>
      </c>
    </row>
    <row r="240" spans="1:10" ht="13.95" customHeight="1" x14ac:dyDescent="0.3">
      <c r="A240" s="20">
        <v>45908</v>
      </c>
      <c r="B240" s="20" t="s">
        <v>3042</v>
      </c>
      <c r="C240" s="19" t="s">
        <v>18</v>
      </c>
      <c r="D240" s="19" t="s">
        <v>2968</v>
      </c>
      <c r="E240" s="4">
        <v>0.7</v>
      </c>
      <c r="F240" s="42">
        <v>2.7</v>
      </c>
      <c r="G240" s="45">
        <v>130</v>
      </c>
      <c r="H240" s="22">
        <v>2.2000000000000002</v>
      </c>
      <c r="I240" s="6">
        <f t="shared" si="6"/>
        <v>540.54000000000008</v>
      </c>
      <c r="J240" s="7" t="s">
        <v>1332</v>
      </c>
    </row>
    <row r="241" spans="1:10" ht="13.95" customHeight="1" x14ac:dyDescent="0.3">
      <c r="A241" s="20">
        <v>45909</v>
      </c>
      <c r="B241" s="20" t="s">
        <v>3042</v>
      </c>
      <c r="C241" s="19" t="s">
        <v>20</v>
      </c>
      <c r="D241" s="19" t="s">
        <v>2968</v>
      </c>
      <c r="E241" s="4">
        <v>0.7</v>
      </c>
      <c r="F241" s="42">
        <v>2.7</v>
      </c>
      <c r="G241" s="45">
        <v>130</v>
      </c>
      <c r="H241" s="22">
        <v>2.2000000000000002</v>
      </c>
      <c r="I241" s="6">
        <f t="shared" si="6"/>
        <v>540.54000000000008</v>
      </c>
      <c r="J241" s="7" t="s">
        <v>88</v>
      </c>
    </row>
    <row r="242" spans="1:10" ht="13.95" customHeight="1" x14ac:dyDescent="0.3">
      <c r="A242" s="20">
        <v>45910</v>
      </c>
      <c r="B242" s="20" t="s">
        <v>3042</v>
      </c>
      <c r="C242" s="19" t="s">
        <v>5</v>
      </c>
      <c r="D242" s="19" t="s">
        <v>2968</v>
      </c>
      <c r="E242" s="4">
        <v>0.75</v>
      </c>
      <c r="F242" s="42">
        <v>2.75</v>
      </c>
      <c r="G242" s="45">
        <v>130</v>
      </c>
      <c r="H242" s="22">
        <v>2.2000000000000002</v>
      </c>
      <c r="I242" s="6">
        <f t="shared" si="6"/>
        <v>589.875</v>
      </c>
      <c r="J242" s="7" t="s">
        <v>88</v>
      </c>
    </row>
    <row r="243" spans="1:10" ht="13.95" customHeight="1" x14ac:dyDescent="0.3">
      <c r="A243" s="20">
        <v>45911</v>
      </c>
      <c r="B243" s="20" t="s">
        <v>3042</v>
      </c>
      <c r="C243" s="19" t="s">
        <v>8</v>
      </c>
      <c r="D243" s="19" t="s">
        <v>1738</v>
      </c>
      <c r="E243" s="4">
        <v>0.8</v>
      </c>
      <c r="F243" s="42">
        <v>3</v>
      </c>
      <c r="G243" s="45">
        <v>130</v>
      </c>
      <c r="H243" s="22">
        <v>2.2000000000000002</v>
      </c>
      <c r="I243" s="6">
        <f t="shared" si="6"/>
        <v>686.40000000000009</v>
      </c>
      <c r="J243" s="7" t="s">
        <v>2969</v>
      </c>
    </row>
    <row r="244" spans="1:10" ht="13.95" customHeight="1" x14ac:dyDescent="0.3">
      <c r="A244" s="20">
        <v>45912</v>
      </c>
      <c r="B244" s="20" t="s">
        <v>3042</v>
      </c>
      <c r="C244" s="19" t="s">
        <v>11</v>
      </c>
      <c r="D244" s="19" t="s">
        <v>2970</v>
      </c>
      <c r="E244" s="4">
        <v>0.85</v>
      </c>
      <c r="F244" s="42">
        <v>3.5</v>
      </c>
      <c r="G244" s="45">
        <v>130</v>
      </c>
      <c r="H244" s="22">
        <v>2.2000000000000002</v>
      </c>
      <c r="I244" s="6">
        <f t="shared" si="6"/>
        <v>850.85</v>
      </c>
      <c r="J244" s="7" t="s">
        <v>2971</v>
      </c>
    </row>
    <row r="245" spans="1:10" ht="13.95" customHeight="1" x14ac:dyDescent="0.3">
      <c r="A245" s="20">
        <v>45913</v>
      </c>
      <c r="B245" s="20" t="s">
        <v>3042</v>
      </c>
      <c r="C245" s="19" t="s">
        <v>13</v>
      </c>
      <c r="D245" s="19" t="s">
        <v>2972</v>
      </c>
      <c r="E245" s="4">
        <v>0.95</v>
      </c>
      <c r="F245" s="42">
        <v>4.8</v>
      </c>
      <c r="G245" s="45">
        <v>130</v>
      </c>
      <c r="H245" s="22">
        <v>2.2000000000000002</v>
      </c>
      <c r="I245" s="6">
        <f t="shared" si="6"/>
        <v>1304.1600000000001</v>
      </c>
      <c r="J245" s="7" t="s">
        <v>2973</v>
      </c>
    </row>
    <row r="246" spans="1:10" ht="13.95" customHeight="1" x14ac:dyDescent="0.3">
      <c r="A246" s="20">
        <v>45914</v>
      </c>
      <c r="B246" s="20" t="s">
        <v>3042</v>
      </c>
      <c r="C246" s="19" t="s">
        <v>16</v>
      </c>
      <c r="D246" s="19" t="s">
        <v>2974</v>
      </c>
      <c r="E246" s="4">
        <v>0.9</v>
      </c>
      <c r="F246" s="42">
        <v>4.0999999999999996</v>
      </c>
      <c r="G246" s="45">
        <v>130</v>
      </c>
      <c r="H246" s="22">
        <v>2.2000000000000002</v>
      </c>
      <c r="I246" s="6">
        <f t="shared" si="6"/>
        <v>1055.3399999999999</v>
      </c>
      <c r="J246" s="7" t="s">
        <v>2491</v>
      </c>
    </row>
    <row r="247" spans="1:10" ht="13.95" customHeight="1" x14ac:dyDescent="0.3">
      <c r="A247" s="20">
        <v>45915</v>
      </c>
      <c r="B247" s="20" t="s">
        <v>3042</v>
      </c>
      <c r="C247" s="19" t="s">
        <v>18</v>
      </c>
      <c r="D247" s="19" t="s">
        <v>2961</v>
      </c>
      <c r="E247" s="4">
        <v>0.7</v>
      </c>
      <c r="F247" s="42">
        <v>2.7</v>
      </c>
      <c r="G247" s="45">
        <v>130</v>
      </c>
      <c r="H247" s="22">
        <v>2.2000000000000002</v>
      </c>
      <c r="I247" s="6">
        <f t="shared" si="6"/>
        <v>540.54000000000008</v>
      </c>
      <c r="J247" s="7" t="s">
        <v>1990</v>
      </c>
    </row>
    <row r="248" spans="1:10" ht="13.95" customHeight="1" x14ac:dyDescent="0.3">
      <c r="A248" s="20">
        <v>45916</v>
      </c>
      <c r="B248" s="20" t="s">
        <v>3042</v>
      </c>
      <c r="C248" s="19" t="s">
        <v>20</v>
      </c>
      <c r="D248" s="19" t="s">
        <v>2961</v>
      </c>
      <c r="E248" s="4">
        <v>0.65</v>
      </c>
      <c r="F248" s="42">
        <v>2.65</v>
      </c>
      <c r="G248" s="45">
        <v>130</v>
      </c>
      <c r="H248" s="22">
        <v>2.2000000000000002</v>
      </c>
      <c r="I248" s="6">
        <f t="shared" si="6"/>
        <v>492.63499999999999</v>
      </c>
      <c r="J248" s="7" t="s">
        <v>2975</v>
      </c>
    </row>
    <row r="249" spans="1:10" ht="13.95" customHeight="1" x14ac:dyDescent="0.3">
      <c r="A249" s="20">
        <v>45917</v>
      </c>
      <c r="B249" s="20" t="s">
        <v>3042</v>
      </c>
      <c r="C249" s="19" t="s">
        <v>5</v>
      </c>
      <c r="D249" s="19" t="s">
        <v>2961</v>
      </c>
      <c r="E249" s="4">
        <v>0.65</v>
      </c>
      <c r="F249" s="42">
        <v>2.65</v>
      </c>
      <c r="G249" s="45">
        <v>130</v>
      </c>
      <c r="H249" s="22">
        <v>2.2000000000000002</v>
      </c>
      <c r="I249" s="6">
        <f t="shared" si="6"/>
        <v>492.63499999999999</v>
      </c>
      <c r="J249" s="7" t="s">
        <v>88</v>
      </c>
    </row>
    <row r="250" spans="1:10" ht="13.95" customHeight="1" x14ac:dyDescent="0.3">
      <c r="A250" s="20">
        <v>45918</v>
      </c>
      <c r="B250" s="20" t="s">
        <v>3042</v>
      </c>
      <c r="C250" s="19" t="s">
        <v>8</v>
      </c>
      <c r="D250" s="19" t="s">
        <v>2976</v>
      </c>
      <c r="E250" s="4">
        <v>0.75</v>
      </c>
      <c r="F250" s="42">
        <v>2.85</v>
      </c>
      <c r="G250" s="45">
        <v>130</v>
      </c>
      <c r="H250" s="22">
        <v>2.2000000000000002</v>
      </c>
      <c r="I250" s="6">
        <f t="shared" si="6"/>
        <v>611.32500000000005</v>
      </c>
      <c r="J250" s="7" t="s">
        <v>1742</v>
      </c>
    </row>
    <row r="251" spans="1:10" ht="13.95" customHeight="1" x14ac:dyDescent="0.3">
      <c r="A251" s="20">
        <v>45919</v>
      </c>
      <c r="B251" s="20" t="s">
        <v>3042</v>
      </c>
      <c r="C251" s="19" t="s">
        <v>11</v>
      </c>
      <c r="D251" s="19" t="s">
        <v>2970</v>
      </c>
      <c r="E251" s="4">
        <v>0.8</v>
      </c>
      <c r="F251" s="42">
        <v>3.45</v>
      </c>
      <c r="G251" s="45">
        <v>130</v>
      </c>
      <c r="H251" s="22">
        <v>2.2000000000000002</v>
      </c>
      <c r="I251" s="6">
        <f t="shared" si="6"/>
        <v>789.36000000000013</v>
      </c>
      <c r="J251" s="7" t="s">
        <v>1095</v>
      </c>
    </row>
    <row r="252" spans="1:10" ht="13.95" customHeight="1" x14ac:dyDescent="0.3">
      <c r="A252" s="20">
        <v>45920</v>
      </c>
      <c r="B252" s="20" t="s">
        <v>3042</v>
      </c>
      <c r="C252" s="19" t="s">
        <v>13</v>
      </c>
      <c r="D252" s="19" t="s">
        <v>2977</v>
      </c>
      <c r="E252" s="4">
        <v>0.9</v>
      </c>
      <c r="F252" s="42">
        <v>4.5999999999999996</v>
      </c>
      <c r="G252" s="45">
        <v>130</v>
      </c>
      <c r="H252" s="22">
        <v>2.2000000000000002</v>
      </c>
      <c r="I252" s="6">
        <f t="shared" si="6"/>
        <v>1184.04</v>
      </c>
      <c r="J252" s="7" t="s">
        <v>1985</v>
      </c>
    </row>
    <row r="253" spans="1:10" ht="13.95" customHeight="1" x14ac:dyDescent="0.3">
      <c r="A253" s="20">
        <v>45921</v>
      </c>
      <c r="B253" s="20" t="s">
        <v>3042</v>
      </c>
      <c r="C253" s="19" t="s">
        <v>16</v>
      </c>
      <c r="D253" s="19" t="s">
        <v>2978</v>
      </c>
      <c r="E253" s="4">
        <v>0.85</v>
      </c>
      <c r="F253" s="42">
        <v>3.9</v>
      </c>
      <c r="G253" s="45">
        <v>130</v>
      </c>
      <c r="H253" s="22">
        <v>2.2000000000000002</v>
      </c>
      <c r="I253" s="6">
        <f t="shared" si="6"/>
        <v>948.09</v>
      </c>
      <c r="J253" s="7" t="s">
        <v>2979</v>
      </c>
    </row>
    <row r="254" spans="1:10" ht="13.95" customHeight="1" x14ac:dyDescent="0.3">
      <c r="A254" s="20">
        <v>45922</v>
      </c>
      <c r="B254" s="20" t="s">
        <v>3042</v>
      </c>
      <c r="C254" s="19" t="s">
        <v>18</v>
      </c>
      <c r="D254" s="19" t="s">
        <v>2968</v>
      </c>
      <c r="E254" s="4">
        <v>0.6</v>
      </c>
      <c r="F254" s="42">
        <v>2.6</v>
      </c>
      <c r="G254" s="45">
        <v>130</v>
      </c>
      <c r="H254" s="22">
        <v>2.2000000000000002</v>
      </c>
      <c r="I254" s="6">
        <f t="shared" si="6"/>
        <v>446.16000000000008</v>
      </c>
      <c r="J254" s="7" t="s">
        <v>2485</v>
      </c>
    </row>
    <row r="255" spans="1:10" ht="13.95" customHeight="1" x14ac:dyDescent="0.3">
      <c r="A255" s="20">
        <v>45923</v>
      </c>
      <c r="B255" s="20" t="s">
        <v>3042</v>
      </c>
      <c r="C255" s="19" t="s">
        <v>20</v>
      </c>
      <c r="D255" s="19" t="s">
        <v>2968</v>
      </c>
      <c r="E255" s="4">
        <v>0.6</v>
      </c>
      <c r="F255" s="42">
        <v>2.6</v>
      </c>
      <c r="G255" s="45">
        <v>130</v>
      </c>
      <c r="H255" s="22">
        <v>2.2000000000000002</v>
      </c>
      <c r="I255" s="6">
        <f t="shared" si="6"/>
        <v>446.16000000000008</v>
      </c>
      <c r="J255" s="7" t="s">
        <v>88</v>
      </c>
    </row>
    <row r="256" spans="1:10" ht="13.95" customHeight="1" x14ac:dyDescent="0.3">
      <c r="A256" s="20">
        <v>45924</v>
      </c>
      <c r="B256" s="20" t="s">
        <v>3042</v>
      </c>
      <c r="C256" s="19" t="s">
        <v>5</v>
      </c>
      <c r="D256" s="19" t="s">
        <v>2961</v>
      </c>
      <c r="E256" s="4">
        <v>0.65</v>
      </c>
      <c r="F256" s="42">
        <v>2.65</v>
      </c>
      <c r="G256" s="45">
        <v>130</v>
      </c>
      <c r="H256" s="22">
        <v>2.2000000000000002</v>
      </c>
      <c r="I256" s="6">
        <f t="shared" si="6"/>
        <v>492.63499999999999</v>
      </c>
      <c r="J256" s="7" t="s">
        <v>88</v>
      </c>
    </row>
    <row r="257" spans="1:10" ht="13.95" customHeight="1" x14ac:dyDescent="0.3">
      <c r="A257" s="20">
        <v>45925</v>
      </c>
      <c r="B257" s="20" t="s">
        <v>3042</v>
      </c>
      <c r="C257" s="19" t="s">
        <v>8</v>
      </c>
      <c r="D257" s="19" t="s">
        <v>1738</v>
      </c>
      <c r="E257" s="4">
        <v>0.75</v>
      </c>
      <c r="F257" s="42">
        <v>2.95</v>
      </c>
      <c r="G257" s="45">
        <v>130</v>
      </c>
      <c r="H257" s="22">
        <v>2.2000000000000002</v>
      </c>
      <c r="I257" s="6">
        <f t="shared" si="6"/>
        <v>632.77500000000009</v>
      </c>
      <c r="J257" s="7" t="s">
        <v>2980</v>
      </c>
    </row>
    <row r="258" spans="1:10" ht="13.95" customHeight="1" x14ac:dyDescent="0.3">
      <c r="A258" s="20">
        <v>45926</v>
      </c>
      <c r="B258" s="20" t="s">
        <v>3042</v>
      </c>
      <c r="C258" s="19" t="s">
        <v>11</v>
      </c>
      <c r="D258" s="19" t="s">
        <v>2981</v>
      </c>
      <c r="E258" s="4">
        <v>0.8</v>
      </c>
      <c r="F258" s="42">
        <v>3.4</v>
      </c>
      <c r="G258" s="45">
        <v>130</v>
      </c>
      <c r="H258" s="22">
        <v>2.2000000000000002</v>
      </c>
      <c r="I258" s="6">
        <f t="shared" si="6"/>
        <v>777.92</v>
      </c>
      <c r="J258" s="7" t="s">
        <v>2905</v>
      </c>
    </row>
    <row r="259" spans="1:10" ht="13.95" customHeight="1" x14ac:dyDescent="0.3">
      <c r="A259" s="20">
        <v>45927</v>
      </c>
      <c r="B259" s="20" t="s">
        <v>3042</v>
      </c>
      <c r="C259" s="19" t="s">
        <v>13</v>
      </c>
      <c r="D259" s="19" t="s">
        <v>2982</v>
      </c>
      <c r="E259" s="4">
        <v>0.9</v>
      </c>
      <c r="F259" s="42">
        <v>4.5</v>
      </c>
      <c r="G259" s="45">
        <v>130</v>
      </c>
      <c r="H259" s="22">
        <v>2.2000000000000002</v>
      </c>
      <c r="I259" s="6">
        <f t="shared" si="6"/>
        <v>1158.3000000000002</v>
      </c>
      <c r="J259" s="7" t="s">
        <v>2294</v>
      </c>
    </row>
    <row r="260" spans="1:10" ht="13.95" customHeight="1" x14ac:dyDescent="0.3">
      <c r="A260" s="20">
        <v>45928</v>
      </c>
      <c r="B260" s="20" t="s">
        <v>3042</v>
      </c>
      <c r="C260" s="19" t="s">
        <v>16</v>
      </c>
      <c r="D260" s="19" t="s">
        <v>2983</v>
      </c>
      <c r="E260" s="4">
        <v>0.85</v>
      </c>
      <c r="F260" s="42">
        <v>3.85</v>
      </c>
      <c r="G260" s="45">
        <v>130</v>
      </c>
      <c r="H260" s="22">
        <v>2.2000000000000002</v>
      </c>
      <c r="I260" s="6">
        <f t="shared" si="6"/>
        <v>935.93500000000006</v>
      </c>
      <c r="J260" s="7" t="s">
        <v>2984</v>
      </c>
    </row>
    <row r="261" spans="1:10" ht="13.95" customHeight="1" x14ac:dyDescent="0.3">
      <c r="A261" s="20">
        <v>45929</v>
      </c>
      <c r="B261" s="20" t="s">
        <v>3042</v>
      </c>
      <c r="C261" s="19" t="s">
        <v>18</v>
      </c>
      <c r="D261" s="19" t="s">
        <v>2813</v>
      </c>
      <c r="E261" s="4">
        <v>0.6</v>
      </c>
      <c r="F261" s="42">
        <v>2.6</v>
      </c>
      <c r="G261" s="45">
        <v>130</v>
      </c>
      <c r="H261" s="22">
        <v>2.2000000000000002</v>
      </c>
      <c r="I261" s="6">
        <f t="shared" si="6"/>
        <v>446.16000000000008</v>
      </c>
      <c r="J261" s="7" t="s">
        <v>1812</v>
      </c>
    </row>
    <row r="262" spans="1:10" ht="13.95" customHeight="1" x14ac:dyDescent="0.3">
      <c r="A262" s="20">
        <v>45930</v>
      </c>
      <c r="B262" s="20" t="s">
        <v>3042</v>
      </c>
      <c r="C262" s="19" t="s">
        <v>20</v>
      </c>
      <c r="D262" s="19" t="s">
        <v>2813</v>
      </c>
      <c r="E262" s="4">
        <v>0.6</v>
      </c>
      <c r="F262" s="42">
        <v>2.65</v>
      </c>
      <c r="G262" s="45">
        <v>130</v>
      </c>
      <c r="H262" s="22">
        <v>2.2000000000000002</v>
      </c>
      <c r="I262" s="6">
        <f t="shared" si="6"/>
        <v>454.74</v>
      </c>
      <c r="J262" s="7" t="s">
        <v>2985</v>
      </c>
    </row>
    <row r="263" spans="1:10" ht="13.95" customHeight="1" x14ac:dyDescent="0.3">
      <c r="A263" s="20">
        <v>45931</v>
      </c>
      <c r="B263" s="20" t="s">
        <v>3042</v>
      </c>
      <c r="C263" s="19" t="s">
        <v>5</v>
      </c>
      <c r="D263" s="19" t="s">
        <v>2986</v>
      </c>
      <c r="E263" s="4">
        <v>0.6</v>
      </c>
      <c r="F263" s="42">
        <v>2.6</v>
      </c>
      <c r="G263" s="45">
        <v>130</v>
      </c>
      <c r="H263" s="22">
        <v>1.9</v>
      </c>
      <c r="I263" s="6">
        <f t="shared" si="6"/>
        <v>385.32</v>
      </c>
      <c r="J263" s="7" t="s">
        <v>2962</v>
      </c>
    </row>
    <row r="264" spans="1:10" ht="13.95" customHeight="1" x14ac:dyDescent="0.3">
      <c r="A264" s="20">
        <v>45932</v>
      </c>
      <c r="B264" s="20" t="s">
        <v>3042</v>
      </c>
      <c r="C264" s="19" t="s">
        <v>8</v>
      </c>
      <c r="D264" s="19" t="s">
        <v>1738</v>
      </c>
      <c r="E264" s="4">
        <v>0.75</v>
      </c>
      <c r="F264" s="42">
        <v>2.95</v>
      </c>
      <c r="G264" s="45">
        <v>130</v>
      </c>
      <c r="H264" s="22">
        <v>1.9</v>
      </c>
      <c r="I264" s="6">
        <f t="shared" si="6"/>
        <v>546.48749999999995</v>
      </c>
      <c r="J264" s="7" t="s">
        <v>2963</v>
      </c>
    </row>
    <row r="265" spans="1:10" ht="13.95" customHeight="1" x14ac:dyDescent="0.3">
      <c r="A265" s="20">
        <v>45933</v>
      </c>
      <c r="B265" s="20" t="s">
        <v>3042</v>
      </c>
      <c r="C265" s="19" t="s">
        <v>11</v>
      </c>
      <c r="D265" s="19" t="s">
        <v>2987</v>
      </c>
      <c r="E265" s="4">
        <v>0.75</v>
      </c>
      <c r="F265" s="42">
        <v>3.35</v>
      </c>
      <c r="G265" s="45">
        <v>130</v>
      </c>
      <c r="H265" s="22">
        <v>1.9</v>
      </c>
      <c r="I265" s="6">
        <f t="shared" si="6"/>
        <v>620.58749999999998</v>
      </c>
      <c r="J265" s="7" t="s">
        <v>67</v>
      </c>
    </row>
    <row r="266" spans="1:10" ht="13.95" customHeight="1" x14ac:dyDescent="0.3">
      <c r="A266" s="20">
        <v>45934</v>
      </c>
      <c r="B266" s="20" t="s">
        <v>3042</v>
      </c>
      <c r="C266" s="19" t="s">
        <v>13</v>
      </c>
      <c r="D266" s="19" t="s">
        <v>2988</v>
      </c>
      <c r="E266" s="4">
        <v>0.85</v>
      </c>
      <c r="F266" s="42">
        <v>4.2</v>
      </c>
      <c r="G266" s="45">
        <v>130</v>
      </c>
      <c r="H266" s="22">
        <v>1.9</v>
      </c>
      <c r="I266" s="6">
        <f t="shared" si="6"/>
        <v>881.79</v>
      </c>
      <c r="J266" s="7" t="s">
        <v>2966</v>
      </c>
    </row>
    <row r="267" spans="1:10" ht="13.95" customHeight="1" x14ac:dyDescent="0.3">
      <c r="A267" s="20">
        <v>45935</v>
      </c>
      <c r="B267" s="20" t="s">
        <v>3042</v>
      </c>
      <c r="C267" s="19" t="s">
        <v>16</v>
      </c>
      <c r="D267" s="19" t="s">
        <v>2989</v>
      </c>
      <c r="E267" s="4">
        <v>0.8</v>
      </c>
      <c r="F267" s="42">
        <v>3.7</v>
      </c>
      <c r="G267" s="45">
        <v>130</v>
      </c>
      <c r="H267" s="22">
        <v>1.9</v>
      </c>
      <c r="I267" s="6">
        <f t="shared" si="6"/>
        <v>731.12</v>
      </c>
      <c r="J267" s="7" t="s">
        <v>2990</v>
      </c>
    </row>
    <row r="268" spans="1:10" ht="13.95" customHeight="1" x14ac:dyDescent="0.3">
      <c r="A268" s="20">
        <v>45936</v>
      </c>
      <c r="B268" s="20" t="s">
        <v>3042</v>
      </c>
      <c r="C268" s="19" t="s">
        <v>18</v>
      </c>
      <c r="D268" s="19" t="s">
        <v>2870</v>
      </c>
      <c r="E268" s="4">
        <v>0.55000000000000004</v>
      </c>
      <c r="F268" s="42">
        <v>2.5</v>
      </c>
      <c r="G268" s="45">
        <v>130</v>
      </c>
      <c r="H268" s="22">
        <v>1.9</v>
      </c>
      <c r="I268" s="6">
        <f t="shared" si="6"/>
        <v>339.625</v>
      </c>
      <c r="J268" s="7" t="s">
        <v>1332</v>
      </c>
    </row>
    <row r="269" spans="1:10" ht="13.95" customHeight="1" x14ac:dyDescent="0.3">
      <c r="A269" s="20">
        <v>45937</v>
      </c>
      <c r="B269" s="20" t="s">
        <v>3042</v>
      </c>
      <c r="C269" s="19" t="s">
        <v>20</v>
      </c>
      <c r="D269" s="19" t="s">
        <v>2870</v>
      </c>
      <c r="E269" s="4">
        <v>0.55000000000000004</v>
      </c>
      <c r="F269" s="42">
        <v>2.5</v>
      </c>
      <c r="G269" s="45">
        <v>130</v>
      </c>
      <c r="H269" s="22">
        <v>1.9</v>
      </c>
      <c r="I269" s="6">
        <f t="shared" si="6"/>
        <v>339.625</v>
      </c>
      <c r="J269" s="7" t="s">
        <v>2991</v>
      </c>
    </row>
    <row r="270" spans="1:10" ht="13.95" customHeight="1" x14ac:dyDescent="0.3">
      <c r="A270" s="20">
        <v>45938</v>
      </c>
      <c r="B270" s="20" t="s">
        <v>3042</v>
      </c>
      <c r="C270" s="19" t="s">
        <v>5</v>
      </c>
      <c r="D270" s="19" t="s">
        <v>2961</v>
      </c>
      <c r="E270" s="4">
        <v>0.6</v>
      </c>
      <c r="F270" s="42">
        <v>2.6</v>
      </c>
      <c r="G270" s="45">
        <v>130</v>
      </c>
      <c r="H270" s="22">
        <v>1.9</v>
      </c>
      <c r="I270" s="6">
        <f t="shared" si="6"/>
        <v>385.32</v>
      </c>
      <c r="J270" s="7" t="s">
        <v>88</v>
      </c>
    </row>
    <row r="271" spans="1:10" ht="13.95" customHeight="1" x14ac:dyDescent="0.3">
      <c r="A271" s="20">
        <v>45939</v>
      </c>
      <c r="B271" s="20" t="s">
        <v>3042</v>
      </c>
      <c r="C271" s="19" t="s">
        <v>8</v>
      </c>
      <c r="D271" s="19" t="s">
        <v>1738</v>
      </c>
      <c r="E271" s="4">
        <v>0.8</v>
      </c>
      <c r="F271" s="42">
        <v>3</v>
      </c>
      <c r="G271" s="45">
        <v>130</v>
      </c>
      <c r="H271" s="22">
        <v>1.9</v>
      </c>
      <c r="I271" s="6">
        <f t="shared" si="6"/>
        <v>592.79999999999995</v>
      </c>
      <c r="J271" s="7" t="s">
        <v>2992</v>
      </c>
    </row>
    <row r="272" spans="1:10" ht="13.95" customHeight="1" x14ac:dyDescent="0.3">
      <c r="A272" s="20">
        <v>45940</v>
      </c>
      <c r="B272" s="20" t="s">
        <v>3042</v>
      </c>
      <c r="C272" s="19" t="s">
        <v>11</v>
      </c>
      <c r="D272" s="19" t="s">
        <v>2993</v>
      </c>
      <c r="E272" s="4">
        <v>0.7</v>
      </c>
      <c r="F272" s="42">
        <v>3.3</v>
      </c>
      <c r="G272" s="45">
        <v>130</v>
      </c>
      <c r="H272" s="22">
        <v>1.9</v>
      </c>
      <c r="I272" s="6">
        <f t="shared" si="6"/>
        <v>570.57000000000005</v>
      </c>
      <c r="J272" s="7" t="s">
        <v>2867</v>
      </c>
    </row>
    <row r="273" spans="1:10" ht="13.95" customHeight="1" x14ac:dyDescent="0.3">
      <c r="A273" s="20">
        <v>45941</v>
      </c>
      <c r="B273" s="20" t="s">
        <v>3042</v>
      </c>
      <c r="C273" s="19" t="s">
        <v>13</v>
      </c>
      <c r="D273" s="19" t="s">
        <v>2994</v>
      </c>
      <c r="E273" s="4">
        <v>0.9</v>
      </c>
      <c r="F273" s="42">
        <v>4.4000000000000004</v>
      </c>
      <c r="G273" s="45">
        <v>130</v>
      </c>
      <c r="H273" s="22">
        <v>1.9</v>
      </c>
      <c r="I273" s="6">
        <f t="shared" si="6"/>
        <v>978.12000000000012</v>
      </c>
      <c r="J273" s="7" t="s">
        <v>2864</v>
      </c>
    </row>
    <row r="274" spans="1:10" ht="13.95" customHeight="1" x14ac:dyDescent="0.3">
      <c r="A274" s="20">
        <v>45942</v>
      </c>
      <c r="B274" s="20" t="s">
        <v>3042</v>
      </c>
      <c r="C274" s="19" t="s">
        <v>16</v>
      </c>
      <c r="D274" s="19" t="s">
        <v>2967</v>
      </c>
      <c r="E274" s="4">
        <v>0.85</v>
      </c>
      <c r="F274" s="42">
        <v>3.8</v>
      </c>
      <c r="G274" s="45">
        <v>130</v>
      </c>
      <c r="H274" s="22">
        <v>1.9</v>
      </c>
      <c r="I274" s="6">
        <f t="shared" si="6"/>
        <v>797.81</v>
      </c>
      <c r="J274" s="7" t="s">
        <v>238</v>
      </c>
    </row>
    <row r="275" spans="1:10" ht="13.95" customHeight="1" x14ac:dyDescent="0.3">
      <c r="A275" s="20">
        <v>45943</v>
      </c>
      <c r="B275" s="20" t="s">
        <v>3042</v>
      </c>
      <c r="C275" s="19" t="s">
        <v>18</v>
      </c>
      <c r="D275" s="19" t="s">
        <v>2968</v>
      </c>
      <c r="E275" s="4">
        <v>0.5</v>
      </c>
      <c r="F275" s="42">
        <v>2.5</v>
      </c>
      <c r="G275" s="45">
        <v>130</v>
      </c>
      <c r="H275" s="22">
        <v>1.9</v>
      </c>
      <c r="I275" s="6">
        <f t="shared" si="6"/>
        <v>308.75</v>
      </c>
      <c r="J275" s="7" t="s">
        <v>2485</v>
      </c>
    </row>
    <row r="276" spans="1:10" ht="13.95" customHeight="1" x14ac:dyDescent="0.3">
      <c r="A276" s="20">
        <v>45944</v>
      </c>
      <c r="B276" s="20" t="s">
        <v>3042</v>
      </c>
      <c r="C276" s="19" t="s">
        <v>20</v>
      </c>
      <c r="D276" s="19" t="s">
        <v>2968</v>
      </c>
      <c r="E276" s="4">
        <v>0.5</v>
      </c>
      <c r="F276" s="42">
        <v>2.5</v>
      </c>
      <c r="G276" s="45">
        <v>130</v>
      </c>
      <c r="H276" s="22">
        <v>1.9</v>
      </c>
      <c r="I276" s="6">
        <f t="shared" si="6"/>
        <v>308.75</v>
      </c>
      <c r="J276" s="7" t="s">
        <v>88</v>
      </c>
    </row>
    <row r="277" spans="1:10" ht="13.95" customHeight="1" x14ac:dyDescent="0.3">
      <c r="A277" s="20">
        <v>45945</v>
      </c>
      <c r="B277" s="20" t="s">
        <v>3042</v>
      </c>
      <c r="C277" s="19" t="s">
        <v>5</v>
      </c>
      <c r="D277" s="19" t="s">
        <v>2691</v>
      </c>
      <c r="E277" s="4">
        <v>0.75</v>
      </c>
      <c r="F277" s="42">
        <v>3.6</v>
      </c>
      <c r="G277" s="45">
        <v>130</v>
      </c>
      <c r="H277" s="22">
        <v>1.9</v>
      </c>
      <c r="I277" s="6">
        <f t="shared" si="6"/>
        <v>666.9</v>
      </c>
      <c r="J277" s="7" t="s">
        <v>2995</v>
      </c>
    </row>
    <row r="278" spans="1:10" ht="13.95" customHeight="1" x14ac:dyDescent="0.3">
      <c r="A278" s="20">
        <v>45946</v>
      </c>
      <c r="B278" s="20" t="s">
        <v>3042</v>
      </c>
      <c r="C278" s="19" t="s">
        <v>8</v>
      </c>
      <c r="D278" s="19" t="s">
        <v>2961</v>
      </c>
      <c r="E278" s="4">
        <v>0.6</v>
      </c>
      <c r="F278" s="42">
        <v>2.65</v>
      </c>
      <c r="G278" s="45">
        <v>130</v>
      </c>
      <c r="H278" s="22">
        <v>1.9</v>
      </c>
      <c r="I278" s="6">
        <f t="shared" si="6"/>
        <v>392.72999999999996</v>
      </c>
      <c r="J278" s="7" t="s">
        <v>88</v>
      </c>
    </row>
    <row r="279" spans="1:10" ht="13.95" customHeight="1" x14ac:dyDescent="0.3">
      <c r="A279" s="20">
        <v>45947</v>
      </c>
      <c r="B279" s="20" t="s">
        <v>3042</v>
      </c>
      <c r="C279" s="19" t="s">
        <v>11</v>
      </c>
      <c r="D279" s="19" t="s">
        <v>2981</v>
      </c>
      <c r="E279" s="4">
        <v>0.7</v>
      </c>
      <c r="F279" s="42">
        <v>3.35</v>
      </c>
      <c r="G279" s="45">
        <v>130</v>
      </c>
      <c r="H279" s="22">
        <v>1.9</v>
      </c>
      <c r="I279" s="6">
        <f t="shared" si="6"/>
        <v>579.21500000000003</v>
      </c>
      <c r="J279" s="7" t="s">
        <v>2996</v>
      </c>
    </row>
    <row r="280" spans="1:10" ht="13.95" customHeight="1" x14ac:dyDescent="0.3">
      <c r="A280" s="20">
        <v>45948</v>
      </c>
      <c r="B280" s="20" t="s">
        <v>3042</v>
      </c>
      <c r="C280" s="19" t="s">
        <v>13</v>
      </c>
      <c r="D280" s="19" t="s">
        <v>2997</v>
      </c>
      <c r="E280" s="4">
        <v>0.85</v>
      </c>
      <c r="F280" s="42">
        <v>4.3</v>
      </c>
      <c r="G280" s="45">
        <v>130</v>
      </c>
      <c r="H280" s="22">
        <v>1.9</v>
      </c>
      <c r="I280" s="6">
        <f t="shared" si="6"/>
        <v>902.78499999999997</v>
      </c>
      <c r="J280" s="7" t="s">
        <v>1985</v>
      </c>
    </row>
    <row r="281" spans="1:10" ht="13.95" customHeight="1" x14ac:dyDescent="0.3">
      <c r="A281" s="20">
        <v>45949</v>
      </c>
      <c r="B281" s="20" t="s">
        <v>3042</v>
      </c>
      <c r="C281" s="19" t="s">
        <v>16</v>
      </c>
      <c r="D281" s="19" t="s">
        <v>2983</v>
      </c>
      <c r="E281" s="4">
        <v>0.8</v>
      </c>
      <c r="F281" s="42">
        <v>3.75</v>
      </c>
      <c r="G281" s="45">
        <v>130</v>
      </c>
      <c r="H281" s="22">
        <v>1.9</v>
      </c>
      <c r="I281" s="6">
        <f t="shared" ref="I281:I341" si="7">(G281*E281)*F281*H281</f>
        <v>741</v>
      </c>
      <c r="J281" s="7" t="s">
        <v>608</v>
      </c>
    </row>
    <row r="282" spans="1:10" ht="13.95" customHeight="1" x14ac:dyDescent="0.3">
      <c r="A282" s="20">
        <v>45950</v>
      </c>
      <c r="B282" s="20" t="s">
        <v>3042</v>
      </c>
      <c r="C282" s="19" t="s">
        <v>18</v>
      </c>
      <c r="D282" s="19" t="s">
        <v>2986</v>
      </c>
      <c r="E282" s="4">
        <v>0.5</v>
      </c>
      <c r="F282" s="42">
        <v>2.5</v>
      </c>
      <c r="G282" s="45">
        <v>130</v>
      </c>
      <c r="H282" s="22">
        <v>1.9</v>
      </c>
      <c r="I282" s="6">
        <f t="shared" si="7"/>
        <v>308.75</v>
      </c>
      <c r="J282" s="7" t="s">
        <v>88</v>
      </c>
    </row>
    <row r="283" spans="1:10" ht="13.95" customHeight="1" x14ac:dyDescent="0.3">
      <c r="A283" s="20">
        <v>45951</v>
      </c>
      <c r="B283" s="20" t="s">
        <v>3042</v>
      </c>
      <c r="C283" s="19" t="s">
        <v>20</v>
      </c>
      <c r="D283" s="19" t="s">
        <v>2986</v>
      </c>
      <c r="E283" s="4">
        <v>0.5</v>
      </c>
      <c r="F283" s="42">
        <v>2.5</v>
      </c>
      <c r="G283" s="45">
        <v>130</v>
      </c>
      <c r="H283" s="22">
        <v>1.9</v>
      </c>
      <c r="I283" s="6">
        <f t="shared" si="7"/>
        <v>308.75</v>
      </c>
      <c r="J283" s="7" t="s">
        <v>88</v>
      </c>
    </row>
    <row r="284" spans="1:10" ht="13.95" customHeight="1" x14ac:dyDescent="0.3">
      <c r="A284" s="20">
        <v>45952</v>
      </c>
      <c r="B284" s="20" t="s">
        <v>3042</v>
      </c>
      <c r="C284" s="19" t="s">
        <v>5</v>
      </c>
      <c r="D284" s="19" t="s">
        <v>2986</v>
      </c>
      <c r="E284" s="4">
        <v>0.55000000000000004</v>
      </c>
      <c r="F284" s="42">
        <v>2.6</v>
      </c>
      <c r="G284" s="45">
        <v>130</v>
      </c>
      <c r="H284" s="22">
        <v>1.9</v>
      </c>
      <c r="I284" s="6">
        <f t="shared" si="7"/>
        <v>353.21</v>
      </c>
      <c r="J284" s="7" t="s">
        <v>88</v>
      </c>
    </row>
    <row r="285" spans="1:10" ht="13.95" customHeight="1" x14ac:dyDescent="0.3">
      <c r="A285" s="20">
        <v>45953</v>
      </c>
      <c r="B285" s="20" t="s">
        <v>3042</v>
      </c>
      <c r="C285" s="19" t="s">
        <v>8</v>
      </c>
      <c r="D285" s="19" t="s">
        <v>1738</v>
      </c>
      <c r="E285" s="4">
        <v>0.7</v>
      </c>
      <c r="F285" s="42">
        <v>2.9</v>
      </c>
      <c r="G285" s="45">
        <v>130</v>
      </c>
      <c r="H285" s="22">
        <v>1.9</v>
      </c>
      <c r="I285" s="6">
        <f t="shared" si="7"/>
        <v>501.40999999999991</v>
      </c>
      <c r="J285" s="7" t="s">
        <v>2998</v>
      </c>
    </row>
    <row r="286" spans="1:10" ht="13.95" customHeight="1" x14ac:dyDescent="0.3">
      <c r="A286" s="20">
        <v>45954</v>
      </c>
      <c r="B286" s="20" t="s">
        <v>3042</v>
      </c>
      <c r="C286" s="19" t="s">
        <v>11</v>
      </c>
      <c r="D286" s="19" t="s">
        <v>2999</v>
      </c>
      <c r="E286" s="4">
        <v>0.75</v>
      </c>
      <c r="F286" s="42">
        <v>3.4</v>
      </c>
      <c r="G286" s="45">
        <v>130</v>
      </c>
      <c r="H286" s="22">
        <v>1.9</v>
      </c>
      <c r="I286" s="6">
        <f t="shared" si="7"/>
        <v>629.85</v>
      </c>
      <c r="J286" s="7" t="s">
        <v>3000</v>
      </c>
    </row>
    <row r="287" spans="1:10" ht="13.95" customHeight="1" x14ac:dyDescent="0.3">
      <c r="A287" s="20">
        <v>45955</v>
      </c>
      <c r="B287" s="20" t="s">
        <v>3042</v>
      </c>
      <c r="C287" s="19" t="s">
        <v>13</v>
      </c>
      <c r="D287" s="19" t="s">
        <v>3001</v>
      </c>
      <c r="E287" s="4">
        <v>0.9</v>
      </c>
      <c r="F287" s="42">
        <v>4.5</v>
      </c>
      <c r="G287" s="45">
        <v>130</v>
      </c>
      <c r="H287" s="22">
        <v>1.9</v>
      </c>
      <c r="I287" s="6">
        <f t="shared" si="7"/>
        <v>1000.3499999999999</v>
      </c>
      <c r="J287" s="7" t="s">
        <v>2379</v>
      </c>
    </row>
    <row r="288" spans="1:10" ht="13.95" customHeight="1" x14ac:dyDescent="0.3">
      <c r="A288" s="20">
        <v>45956</v>
      </c>
      <c r="B288" s="20" t="s">
        <v>3042</v>
      </c>
      <c r="C288" s="19" t="s">
        <v>16</v>
      </c>
      <c r="D288" s="19" t="s">
        <v>3002</v>
      </c>
      <c r="E288" s="4">
        <v>0.85</v>
      </c>
      <c r="F288" s="42">
        <v>3.9</v>
      </c>
      <c r="G288" s="45">
        <v>130</v>
      </c>
      <c r="H288" s="22">
        <v>1.9</v>
      </c>
      <c r="I288" s="6">
        <f t="shared" si="7"/>
        <v>818.80499999999995</v>
      </c>
      <c r="J288" s="7" t="s">
        <v>3003</v>
      </c>
    </row>
    <row r="289" spans="1:10" ht="13.95" customHeight="1" x14ac:dyDescent="0.3">
      <c r="A289" s="20">
        <v>45957</v>
      </c>
      <c r="B289" s="20" t="s">
        <v>3042</v>
      </c>
      <c r="C289" s="19" t="s">
        <v>18</v>
      </c>
      <c r="D289" s="19" t="s">
        <v>2833</v>
      </c>
      <c r="E289" s="4">
        <v>0.65</v>
      </c>
      <c r="F289" s="42">
        <v>2.7</v>
      </c>
      <c r="G289" s="45">
        <v>130</v>
      </c>
      <c r="H289" s="22">
        <v>1.9</v>
      </c>
      <c r="I289" s="6">
        <f t="shared" si="7"/>
        <v>433.48500000000001</v>
      </c>
      <c r="J289" s="7" t="s">
        <v>3004</v>
      </c>
    </row>
    <row r="290" spans="1:10" ht="13.95" customHeight="1" x14ac:dyDescent="0.3">
      <c r="A290" s="20">
        <v>45958</v>
      </c>
      <c r="B290" s="20" t="s">
        <v>3042</v>
      </c>
      <c r="C290" s="19" t="s">
        <v>20</v>
      </c>
      <c r="D290" s="19" t="s">
        <v>2833</v>
      </c>
      <c r="E290" s="4">
        <v>0.65</v>
      </c>
      <c r="F290" s="42">
        <v>2.7</v>
      </c>
      <c r="G290" s="45">
        <v>130</v>
      </c>
      <c r="H290" s="22">
        <v>1.9</v>
      </c>
      <c r="I290" s="6">
        <f t="shared" si="7"/>
        <v>433.48500000000001</v>
      </c>
      <c r="J290" s="7" t="s">
        <v>88</v>
      </c>
    </row>
    <row r="291" spans="1:10" ht="13.95" customHeight="1" x14ac:dyDescent="0.3">
      <c r="A291" s="20">
        <v>45959</v>
      </c>
      <c r="B291" s="20" t="s">
        <v>3042</v>
      </c>
      <c r="C291" s="19" t="s">
        <v>5</v>
      </c>
      <c r="D291" s="19" t="s">
        <v>2833</v>
      </c>
      <c r="E291" s="4">
        <v>0.7</v>
      </c>
      <c r="F291" s="42">
        <v>2.75</v>
      </c>
      <c r="G291" s="45">
        <v>130</v>
      </c>
      <c r="H291" s="22">
        <v>1.9</v>
      </c>
      <c r="I291" s="6">
        <f t="shared" si="7"/>
        <v>475.47499999999997</v>
      </c>
      <c r="J291" s="7" t="s">
        <v>88</v>
      </c>
    </row>
    <row r="292" spans="1:10" ht="13.95" customHeight="1" x14ac:dyDescent="0.3">
      <c r="A292" s="20">
        <v>45960</v>
      </c>
      <c r="B292" s="20" t="s">
        <v>3042</v>
      </c>
      <c r="C292" s="19" t="s">
        <v>8</v>
      </c>
      <c r="D292" s="19" t="s">
        <v>2874</v>
      </c>
      <c r="E292" s="4">
        <v>0.75</v>
      </c>
      <c r="F292" s="42">
        <v>2.95</v>
      </c>
      <c r="G292" s="45">
        <v>130</v>
      </c>
      <c r="H292" s="22">
        <v>1.9</v>
      </c>
      <c r="I292" s="6">
        <f t="shared" si="7"/>
        <v>546.48749999999995</v>
      </c>
      <c r="J292" s="7" t="s">
        <v>3005</v>
      </c>
    </row>
    <row r="293" spans="1:10" ht="13.95" customHeight="1" x14ac:dyDescent="0.3">
      <c r="A293" s="20">
        <v>45961</v>
      </c>
      <c r="B293" s="20" t="s">
        <v>3042</v>
      </c>
      <c r="C293" s="19" t="s">
        <v>11</v>
      </c>
      <c r="D293" s="19" t="s">
        <v>3006</v>
      </c>
      <c r="E293" s="4">
        <v>0.85</v>
      </c>
      <c r="F293" s="42">
        <v>3.8</v>
      </c>
      <c r="G293" s="45">
        <v>130</v>
      </c>
      <c r="H293" s="22">
        <v>1.9</v>
      </c>
      <c r="I293" s="6">
        <f t="shared" si="7"/>
        <v>797.81</v>
      </c>
      <c r="J293" s="7" t="s">
        <v>3007</v>
      </c>
    </row>
    <row r="294" spans="1:10" ht="13.95" customHeight="1" x14ac:dyDescent="0.3">
      <c r="A294" s="20">
        <v>45962</v>
      </c>
      <c r="B294" s="20" t="s">
        <v>3042</v>
      </c>
      <c r="C294" s="19" t="s">
        <v>13</v>
      </c>
      <c r="D294" s="19" t="s">
        <v>3008</v>
      </c>
      <c r="E294" s="4">
        <v>0.85</v>
      </c>
      <c r="F294" s="42">
        <v>4.2</v>
      </c>
      <c r="G294" s="45">
        <v>130</v>
      </c>
      <c r="H294" s="22">
        <v>1.9</v>
      </c>
      <c r="I294" s="6">
        <f t="shared" si="7"/>
        <v>881.79</v>
      </c>
      <c r="J294" s="7" t="s">
        <v>2307</v>
      </c>
    </row>
    <row r="295" spans="1:10" ht="13.95" customHeight="1" x14ac:dyDescent="0.3">
      <c r="A295" s="20">
        <v>45963</v>
      </c>
      <c r="B295" s="20" t="s">
        <v>3042</v>
      </c>
      <c r="C295" s="19" t="s">
        <v>16</v>
      </c>
      <c r="D295" s="19" t="s">
        <v>3009</v>
      </c>
      <c r="E295" s="4">
        <v>0.8</v>
      </c>
      <c r="F295" s="42">
        <v>3.6</v>
      </c>
      <c r="G295" s="45">
        <v>130</v>
      </c>
      <c r="H295" s="22">
        <v>1.9</v>
      </c>
      <c r="I295" s="6">
        <f t="shared" si="7"/>
        <v>711.36</v>
      </c>
      <c r="J295" s="7" t="s">
        <v>3010</v>
      </c>
    </row>
    <row r="296" spans="1:10" ht="13.95" customHeight="1" x14ac:dyDescent="0.3">
      <c r="A296" s="20">
        <v>45964</v>
      </c>
      <c r="B296" s="20" t="s">
        <v>3042</v>
      </c>
      <c r="C296" s="19" t="s">
        <v>18</v>
      </c>
      <c r="D296" s="19" t="s">
        <v>2870</v>
      </c>
      <c r="E296" s="4">
        <v>0.45</v>
      </c>
      <c r="F296" s="42">
        <v>2.4</v>
      </c>
      <c r="G296" s="45">
        <v>130</v>
      </c>
      <c r="H296" s="22">
        <v>1.9</v>
      </c>
      <c r="I296" s="6">
        <f t="shared" si="7"/>
        <v>266.76</v>
      </c>
      <c r="J296" s="7" t="s">
        <v>2485</v>
      </c>
    </row>
    <row r="297" spans="1:10" ht="13.95" customHeight="1" x14ac:dyDescent="0.3">
      <c r="A297" s="20">
        <v>45965</v>
      </c>
      <c r="B297" s="20" t="s">
        <v>3042</v>
      </c>
      <c r="C297" s="19" t="s">
        <v>20</v>
      </c>
      <c r="D297" s="19" t="s">
        <v>2870</v>
      </c>
      <c r="E297" s="4">
        <v>0.45</v>
      </c>
      <c r="F297" s="42">
        <v>2.4</v>
      </c>
      <c r="G297" s="45">
        <v>130</v>
      </c>
      <c r="H297" s="22">
        <v>1.9</v>
      </c>
      <c r="I297" s="6">
        <f t="shared" si="7"/>
        <v>266.76</v>
      </c>
      <c r="J297" s="7" t="s">
        <v>88</v>
      </c>
    </row>
    <row r="298" spans="1:10" ht="13.95" customHeight="1" x14ac:dyDescent="0.3">
      <c r="A298" s="20">
        <v>45966</v>
      </c>
      <c r="B298" s="20" t="s">
        <v>3042</v>
      </c>
      <c r="C298" s="19" t="s">
        <v>5</v>
      </c>
      <c r="D298" s="19" t="s">
        <v>2961</v>
      </c>
      <c r="E298" s="4">
        <v>0.5</v>
      </c>
      <c r="F298" s="42">
        <v>2.4500000000000002</v>
      </c>
      <c r="G298" s="45">
        <v>130</v>
      </c>
      <c r="H298" s="22">
        <v>1.9</v>
      </c>
      <c r="I298" s="6">
        <f t="shared" si="7"/>
        <v>302.57499999999999</v>
      </c>
      <c r="J298" s="7" t="s">
        <v>88</v>
      </c>
    </row>
    <row r="299" spans="1:10" ht="13.95" customHeight="1" x14ac:dyDescent="0.3">
      <c r="A299" s="20">
        <v>45967</v>
      </c>
      <c r="B299" s="20" t="s">
        <v>3042</v>
      </c>
      <c r="C299" s="19" t="s">
        <v>8</v>
      </c>
      <c r="D299" s="19" t="s">
        <v>1738</v>
      </c>
      <c r="E299" s="4">
        <v>0.65</v>
      </c>
      <c r="F299" s="42">
        <v>2.8</v>
      </c>
      <c r="G299" s="45">
        <v>130</v>
      </c>
      <c r="H299" s="22">
        <v>1.9</v>
      </c>
      <c r="I299" s="6">
        <f t="shared" si="7"/>
        <v>449.53999999999996</v>
      </c>
      <c r="J299" s="7" t="s">
        <v>2868</v>
      </c>
    </row>
    <row r="300" spans="1:10" ht="13.95" customHeight="1" x14ac:dyDescent="0.3">
      <c r="A300" s="20">
        <v>45968</v>
      </c>
      <c r="B300" s="20" t="s">
        <v>3042</v>
      </c>
      <c r="C300" s="19" t="s">
        <v>11</v>
      </c>
      <c r="D300" s="19" t="s">
        <v>3011</v>
      </c>
      <c r="E300" s="4">
        <v>0.6</v>
      </c>
      <c r="F300" s="42">
        <v>3.2</v>
      </c>
      <c r="G300" s="45">
        <v>130</v>
      </c>
      <c r="H300" s="22">
        <v>1.9</v>
      </c>
      <c r="I300" s="6">
        <f t="shared" si="7"/>
        <v>474.24</v>
      </c>
      <c r="J300" s="7" t="s">
        <v>2867</v>
      </c>
    </row>
    <row r="301" spans="1:10" ht="13.95" customHeight="1" x14ac:dyDescent="0.3">
      <c r="A301" s="20">
        <v>45969</v>
      </c>
      <c r="B301" s="20" t="s">
        <v>3042</v>
      </c>
      <c r="C301" s="19" t="s">
        <v>13</v>
      </c>
      <c r="D301" s="19" t="s">
        <v>2977</v>
      </c>
      <c r="E301" s="4">
        <v>0.75</v>
      </c>
      <c r="F301" s="42">
        <v>4.0999999999999996</v>
      </c>
      <c r="G301" s="45">
        <v>130</v>
      </c>
      <c r="H301" s="22">
        <v>1.9</v>
      </c>
      <c r="I301" s="6">
        <f t="shared" si="7"/>
        <v>759.52499999999986</v>
      </c>
      <c r="J301" s="7" t="s">
        <v>1985</v>
      </c>
    </row>
    <row r="302" spans="1:10" ht="13.95" customHeight="1" x14ac:dyDescent="0.3">
      <c r="A302" s="20">
        <v>45970</v>
      </c>
      <c r="B302" s="20" t="s">
        <v>3042</v>
      </c>
      <c r="C302" s="19" t="s">
        <v>16</v>
      </c>
      <c r="D302" s="19" t="s">
        <v>2967</v>
      </c>
      <c r="E302" s="4">
        <v>0.7</v>
      </c>
      <c r="F302" s="42">
        <v>3.5</v>
      </c>
      <c r="G302" s="45">
        <v>130</v>
      </c>
      <c r="H302" s="22">
        <v>1.9</v>
      </c>
      <c r="I302" s="6">
        <f t="shared" si="7"/>
        <v>605.15</v>
      </c>
      <c r="J302" s="7" t="s">
        <v>238</v>
      </c>
    </row>
    <row r="303" spans="1:10" ht="13.95" customHeight="1" x14ac:dyDescent="0.3">
      <c r="A303" s="20">
        <v>45971</v>
      </c>
      <c r="B303" s="20" t="s">
        <v>3042</v>
      </c>
      <c r="C303" s="19" t="s">
        <v>18</v>
      </c>
      <c r="D303" s="19" t="s">
        <v>2870</v>
      </c>
      <c r="E303" s="4">
        <v>0.4</v>
      </c>
      <c r="F303" s="42">
        <v>2.4</v>
      </c>
      <c r="G303" s="45">
        <v>130</v>
      </c>
      <c r="H303" s="22">
        <v>1.9</v>
      </c>
      <c r="I303" s="6">
        <f t="shared" si="7"/>
        <v>237.11999999999998</v>
      </c>
      <c r="J303" s="7" t="s">
        <v>88</v>
      </c>
    </row>
    <row r="304" spans="1:10" ht="13.95" customHeight="1" x14ac:dyDescent="0.3">
      <c r="A304" s="20">
        <v>45972</v>
      </c>
      <c r="B304" s="20" t="s">
        <v>3042</v>
      </c>
      <c r="C304" s="19" t="s">
        <v>20</v>
      </c>
      <c r="D304" s="19" t="s">
        <v>2961</v>
      </c>
      <c r="E304" s="4">
        <v>0.45</v>
      </c>
      <c r="F304" s="42">
        <v>2.4500000000000002</v>
      </c>
      <c r="G304" s="45">
        <v>130</v>
      </c>
      <c r="H304" s="22">
        <v>1.9</v>
      </c>
      <c r="I304" s="6">
        <f t="shared" si="7"/>
        <v>272.3175</v>
      </c>
      <c r="J304" s="7" t="s">
        <v>1332</v>
      </c>
    </row>
    <row r="305" spans="1:10" ht="13.95" customHeight="1" x14ac:dyDescent="0.3">
      <c r="A305" s="20">
        <v>45973</v>
      </c>
      <c r="B305" s="20" t="s">
        <v>3042</v>
      </c>
      <c r="C305" s="19" t="s">
        <v>5</v>
      </c>
      <c r="D305" s="19" t="s">
        <v>2961</v>
      </c>
      <c r="E305" s="4">
        <v>0.45</v>
      </c>
      <c r="F305" s="42">
        <v>2.4500000000000002</v>
      </c>
      <c r="G305" s="45">
        <v>130</v>
      </c>
      <c r="H305" s="22">
        <v>1.9</v>
      </c>
      <c r="I305" s="6">
        <f t="shared" si="7"/>
        <v>272.3175</v>
      </c>
      <c r="J305" s="7" t="s">
        <v>88</v>
      </c>
    </row>
    <row r="306" spans="1:10" ht="13.95" customHeight="1" x14ac:dyDescent="0.3">
      <c r="A306" s="20">
        <v>45974</v>
      </c>
      <c r="B306" s="20" t="s">
        <v>3042</v>
      </c>
      <c r="C306" s="19" t="s">
        <v>8</v>
      </c>
      <c r="D306" s="19" t="s">
        <v>1738</v>
      </c>
      <c r="E306" s="4">
        <v>0.7</v>
      </c>
      <c r="F306" s="42">
        <v>2.9</v>
      </c>
      <c r="G306" s="45">
        <v>130</v>
      </c>
      <c r="H306" s="22">
        <v>1.9</v>
      </c>
      <c r="I306" s="6">
        <f t="shared" si="7"/>
        <v>501.40999999999991</v>
      </c>
      <c r="J306" s="7" t="s">
        <v>3012</v>
      </c>
    </row>
    <row r="307" spans="1:10" ht="13.95" customHeight="1" x14ac:dyDescent="0.3">
      <c r="A307" s="20">
        <v>45975</v>
      </c>
      <c r="B307" s="20" t="s">
        <v>3042</v>
      </c>
      <c r="C307" s="19" t="s">
        <v>11</v>
      </c>
      <c r="D307" s="19" t="s">
        <v>2993</v>
      </c>
      <c r="E307" s="4">
        <v>0.65</v>
      </c>
      <c r="F307" s="42">
        <v>3.25</v>
      </c>
      <c r="G307" s="45">
        <v>130</v>
      </c>
      <c r="H307" s="22">
        <v>1.9</v>
      </c>
      <c r="I307" s="6">
        <f t="shared" si="7"/>
        <v>521.78750000000002</v>
      </c>
      <c r="J307" s="7" t="s">
        <v>390</v>
      </c>
    </row>
    <row r="308" spans="1:10" ht="13.95" customHeight="1" x14ac:dyDescent="0.3">
      <c r="A308" s="20">
        <v>45976</v>
      </c>
      <c r="B308" s="20" t="s">
        <v>3042</v>
      </c>
      <c r="C308" s="19" t="s">
        <v>13</v>
      </c>
      <c r="D308" s="19" t="s">
        <v>3013</v>
      </c>
      <c r="E308" s="4">
        <v>0.8</v>
      </c>
      <c r="F308" s="42">
        <v>4.3</v>
      </c>
      <c r="G308" s="45">
        <v>130</v>
      </c>
      <c r="H308" s="22">
        <v>1.9</v>
      </c>
      <c r="I308" s="6">
        <f t="shared" si="7"/>
        <v>849.68</v>
      </c>
      <c r="J308" s="7" t="s">
        <v>2294</v>
      </c>
    </row>
    <row r="309" spans="1:10" ht="13.95" customHeight="1" x14ac:dyDescent="0.3">
      <c r="A309" s="20">
        <v>45977</v>
      </c>
      <c r="B309" s="20" t="s">
        <v>3042</v>
      </c>
      <c r="C309" s="19" t="s">
        <v>16</v>
      </c>
      <c r="D309" s="19" t="s">
        <v>2983</v>
      </c>
      <c r="E309" s="4">
        <v>0.75</v>
      </c>
      <c r="F309" s="42">
        <v>3.65</v>
      </c>
      <c r="G309" s="45">
        <v>130</v>
      </c>
      <c r="H309" s="22">
        <v>1.9</v>
      </c>
      <c r="I309" s="6">
        <f t="shared" si="7"/>
        <v>676.16250000000002</v>
      </c>
      <c r="J309" s="7" t="s">
        <v>3014</v>
      </c>
    </row>
    <row r="310" spans="1:10" ht="13.95" customHeight="1" x14ac:dyDescent="0.3">
      <c r="A310" s="20">
        <v>45978</v>
      </c>
      <c r="B310" s="20" t="s">
        <v>3042</v>
      </c>
      <c r="C310" s="19" t="s">
        <v>18</v>
      </c>
      <c r="D310" s="19" t="s">
        <v>2870</v>
      </c>
      <c r="E310" s="4">
        <v>0.4</v>
      </c>
      <c r="F310" s="42">
        <v>2.4</v>
      </c>
      <c r="G310" s="45">
        <v>130</v>
      </c>
      <c r="H310" s="22">
        <v>1.9</v>
      </c>
      <c r="I310" s="6">
        <f t="shared" si="7"/>
        <v>237.11999999999998</v>
      </c>
      <c r="J310" s="7" t="s">
        <v>88</v>
      </c>
    </row>
    <row r="311" spans="1:10" ht="13.95" customHeight="1" x14ac:dyDescent="0.3">
      <c r="A311" s="20">
        <v>45979</v>
      </c>
      <c r="B311" s="20" t="s">
        <v>3042</v>
      </c>
      <c r="C311" s="19" t="s">
        <v>20</v>
      </c>
      <c r="D311" s="19" t="s">
        <v>2870</v>
      </c>
      <c r="E311" s="4">
        <v>0.4</v>
      </c>
      <c r="F311" s="42">
        <v>2.4</v>
      </c>
      <c r="G311" s="45">
        <v>130</v>
      </c>
      <c r="H311" s="22">
        <v>1.9</v>
      </c>
      <c r="I311" s="6">
        <f t="shared" si="7"/>
        <v>237.11999999999998</v>
      </c>
      <c r="J311" s="7" t="s">
        <v>88</v>
      </c>
    </row>
    <row r="312" spans="1:10" ht="13.95" customHeight="1" x14ac:dyDescent="0.3">
      <c r="A312" s="20">
        <v>45980</v>
      </c>
      <c r="B312" s="20" t="s">
        <v>3042</v>
      </c>
      <c r="C312" s="19" t="s">
        <v>5</v>
      </c>
      <c r="D312" s="19" t="s">
        <v>2961</v>
      </c>
      <c r="E312" s="4">
        <v>0.45</v>
      </c>
      <c r="F312" s="42">
        <v>2.4500000000000002</v>
      </c>
      <c r="G312" s="45">
        <v>130</v>
      </c>
      <c r="H312" s="22">
        <v>1.9</v>
      </c>
      <c r="I312" s="6">
        <f t="shared" si="7"/>
        <v>272.3175</v>
      </c>
      <c r="J312" s="7" t="s">
        <v>88</v>
      </c>
    </row>
    <row r="313" spans="1:10" ht="13.95" customHeight="1" x14ac:dyDescent="0.3">
      <c r="A313" s="20">
        <v>45981</v>
      </c>
      <c r="B313" s="20" t="s">
        <v>3042</v>
      </c>
      <c r="C313" s="19" t="s">
        <v>8</v>
      </c>
      <c r="D313" s="19" t="s">
        <v>1738</v>
      </c>
      <c r="E313" s="4">
        <v>0.65</v>
      </c>
      <c r="F313" s="42">
        <v>2.85</v>
      </c>
      <c r="G313" s="45">
        <v>130</v>
      </c>
      <c r="H313" s="22">
        <v>1.9</v>
      </c>
      <c r="I313" s="6">
        <f t="shared" si="7"/>
        <v>457.5675</v>
      </c>
      <c r="J313" s="7" t="s">
        <v>2980</v>
      </c>
    </row>
    <row r="314" spans="1:10" ht="13.95" customHeight="1" x14ac:dyDescent="0.3">
      <c r="A314" s="20">
        <v>45982</v>
      </c>
      <c r="B314" s="20" t="s">
        <v>3042</v>
      </c>
      <c r="C314" s="19" t="s">
        <v>11</v>
      </c>
      <c r="D314" s="19" t="s">
        <v>3015</v>
      </c>
      <c r="E314" s="4">
        <v>0.6</v>
      </c>
      <c r="F314" s="42">
        <v>3.2</v>
      </c>
      <c r="G314" s="45">
        <v>130</v>
      </c>
      <c r="H314" s="22">
        <v>1.9</v>
      </c>
      <c r="I314" s="6">
        <f t="shared" si="7"/>
        <v>474.24</v>
      </c>
      <c r="J314" s="7" t="s">
        <v>3016</v>
      </c>
    </row>
    <row r="315" spans="1:10" ht="13.95" customHeight="1" x14ac:dyDescent="0.3">
      <c r="A315" s="20">
        <v>45983</v>
      </c>
      <c r="B315" s="20" t="s">
        <v>3042</v>
      </c>
      <c r="C315" s="19" t="s">
        <v>13</v>
      </c>
      <c r="D315" s="19" t="s">
        <v>3017</v>
      </c>
      <c r="E315" s="4">
        <v>0.75</v>
      </c>
      <c r="F315" s="42">
        <v>4.1500000000000004</v>
      </c>
      <c r="G315" s="45">
        <v>130</v>
      </c>
      <c r="H315" s="22">
        <v>1.9</v>
      </c>
      <c r="I315" s="6">
        <f t="shared" si="7"/>
        <v>768.78750000000002</v>
      </c>
      <c r="J315" s="7" t="s">
        <v>2379</v>
      </c>
    </row>
    <row r="316" spans="1:10" ht="13.95" customHeight="1" x14ac:dyDescent="0.3">
      <c r="A316" s="20">
        <v>45984</v>
      </c>
      <c r="B316" s="20" t="s">
        <v>3042</v>
      </c>
      <c r="C316" s="19" t="s">
        <v>16</v>
      </c>
      <c r="D316" s="19" t="s">
        <v>2978</v>
      </c>
      <c r="E316" s="4">
        <v>0.7</v>
      </c>
      <c r="F316" s="42">
        <v>3.55</v>
      </c>
      <c r="G316" s="45">
        <v>130</v>
      </c>
      <c r="H316" s="22">
        <v>1.9</v>
      </c>
      <c r="I316" s="6">
        <f t="shared" si="7"/>
        <v>613.79499999999996</v>
      </c>
      <c r="J316" s="7" t="s">
        <v>3018</v>
      </c>
    </row>
    <row r="317" spans="1:10" ht="13.95" customHeight="1" x14ac:dyDescent="0.3">
      <c r="A317" s="20">
        <v>45985</v>
      </c>
      <c r="B317" s="20" t="s">
        <v>3042</v>
      </c>
      <c r="C317" s="19" t="s">
        <v>18</v>
      </c>
      <c r="D317" s="19" t="s">
        <v>2870</v>
      </c>
      <c r="E317" s="4">
        <v>0.4</v>
      </c>
      <c r="F317" s="42">
        <v>2.4</v>
      </c>
      <c r="G317" s="45">
        <v>130</v>
      </c>
      <c r="H317" s="22">
        <v>1.9</v>
      </c>
      <c r="I317" s="6">
        <f t="shared" si="7"/>
        <v>237.11999999999998</v>
      </c>
      <c r="J317" s="7" t="s">
        <v>88</v>
      </c>
    </row>
    <row r="318" spans="1:10" ht="13.95" customHeight="1" x14ac:dyDescent="0.3">
      <c r="A318" s="20">
        <v>45986</v>
      </c>
      <c r="B318" s="20" t="s">
        <v>3042</v>
      </c>
      <c r="C318" s="19" t="s">
        <v>20</v>
      </c>
      <c r="D318" s="19" t="s">
        <v>2870</v>
      </c>
      <c r="E318" s="4">
        <v>0.4</v>
      </c>
      <c r="F318" s="42">
        <v>2.4</v>
      </c>
      <c r="G318" s="45">
        <v>130</v>
      </c>
      <c r="H318" s="22">
        <v>1.9</v>
      </c>
      <c r="I318" s="6">
        <f t="shared" si="7"/>
        <v>237.11999999999998</v>
      </c>
      <c r="J318" s="7" t="s">
        <v>88</v>
      </c>
    </row>
    <row r="319" spans="1:10" ht="13.95" customHeight="1" x14ac:dyDescent="0.3">
      <c r="A319" s="20">
        <v>45987</v>
      </c>
      <c r="B319" s="20" t="s">
        <v>3042</v>
      </c>
      <c r="C319" s="19" t="s">
        <v>5</v>
      </c>
      <c r="D319" s="19" t="s">
        <v>2961</v>
      </c>
      <c r="E319" s="4">
        <v>0.45</v>
      </c>
      <c r="F319" s="42">
        <v>2.4500000000000002</v>
      </c>
      <c r="G319" s="45">
        <v>130</v>
      </c>
      <c r="H319" s="22">
        <v>1.9</v>
      </c>
      <c r="I319" s="6">
        <f t="shared" si="7"/>
        <v>272.3175</v>
      </c>
      <c r="J319" s="7" t="s">
        <v>88</v>
      </c>
    </row>
    <row r="320" spans="1:10" ht="13.95" customHeight="1" x14ac:dyDescent="0.3">
      <c r="A320" s="20">
        <v>45988</v>
      </c>
      <c r="B320" s="20" t="s">
        <v>3042</v>
      </c>
      <c r="C320" s="19" t="s">
        <v>8</v>
      </c>
      <c r="D320" s="19" t="s">
        <v>1738</v>
      </c>
      <c r="E320" s="4">
        <v>0.6</v>
      </c>
      <c r="F320" s="42">
        <v>2.8</v>
      </c>
      <c r="G320" s="45">
        <v>130</v>
      </c>
      <c r="H320" s="22">
        <v>1.9</v>
      </c>
      <c r="I320" s="6">
        <f t="shared" si="7"/>
        <v>414.95999999999992</v>
      </c>
      <c r="J320" s="7" t="s">
        <v>3019</v>
      </c>
    </row>
    <row r="321" spans="1:10" ht="13.95" customHeight="1" x14ac:dyDescent="0.3">
      <c r="A321" s="20">
        <v>45989</v>
      </c>
      <c r="B321" s="20" t="s">
        <v>3042</v>
      </c>
      <c r="C321" s="19" t="s">
        <v>11</v>
      </c>
      <c r="D321" s="19" t="s">
        <v>2981</v>
      </c>
      <c r="E321" s="4">
        <v>0.65</v>
      </c>
      <c r="F321" s="42">
        <v>3.25</v>
      </c>
      <c r="G321" s="45">
        <v>130</v>
      </c>
      <c r="H321" s="22">
        <v>1.9</v>
      </c>
      <c r="I321" s="6">
        <f t="shared" si="7"/>
        <v>521.78750000000002</v>
      </c>
      <c r="J321" s="7" t="s">
        <v>2905</v>
      </c>
    </row>
    <row r="322" spans="1:10" ht="13.95" customHeight="1" x14ac:dyDescent="0.3">
      <c r="A322" s="20">
        <v>45990</v>
      </c>
      <c r="B322" s="20" t="s">
        <v>3042</v>
      </c>
      <c r="C322" s="19" t="s">
        <v>13</v>
      </c>
      <c r="D322" s="19" t="s">
        <v>2982</v>
      </c>
      <c r="E322" s="4">
        <v>0.8</v>
      </c>
      <c r="F322" s="42">
        <v>4.3499999999999996</v>
      </c>
      <c r="G322" s="45">
        <v>130</v>
      </c>
      <c r="H322" s="22">
        <v>1.9</v>
      </c>
      <c r="I322" s="6">
        <f t="shared" si="7"/>
        <v>859.56</v>
      </c>
      <c r="J322" s="7" t="s">
        <v>3020</v>
      </c>
    </row>
    <row r="323" spans="1:10" ht="13.95" customHeight="1" x14ac:dyDescent="0.3">
      <c r="A323" s="20">
        <v>45991</v>
      </c>
      <c r="B323" s="20" t="s">
        <v>3042</v>
      </c>
      <c r="C323" s="19" t="s">
        <v>16</v>
      </c>
      <c r="D323" s="19" t="s">
        <v>3021</v>
      </c>
      <c r="E323" s="4">
        <v>0.75</v>
      </c>
      <c r="F323" s="42">
        <v>3.7</v>
      </c>
      <c r="G323" s="45">
        <v>130</v>
      </c>
      <c r="H323" s="22">
        <v>1.9</v>
      </c>
      <c r="I323" s="6">
        <f t="shared" si="7"/>
        <v>685.42499999999995</v>
      </c>
      <c r="J323" s="7" t="s">
        <v>3022</v>
      </c>
    </row>
    <row r="324" spans="1:10" ht="13.95" customHeight="1" x14ac:dyDescent="0.3">
      <c r="A324" s="20">
        <v>45992</v>
      </c>
      <c r="B324" s="20" t="s">
        <v>3042</v>
      </c>
      <c r="C324" s="19" t="s">
        <v>18</v>
      </c>
      <c r="D324" s="19" t="s">
        <v>3023</v>
      </c>
      <c r="E324" s="4">
        <v>0.4</v>
      </c>
      <c r="F324" s="42">
        <v>2.4</v>
      </c>
      <c r="G324" s="45">
        <v>130</v>
      </c>
      <c r="H324" s="22">
        <v>2</v>
      </c>
      <c r="I324" s="6">
        <f t="shared" si="7"/>
        <v>249.6</v>
      </c>
      <c r="J324" s="7" t="s">
        <v>3024</v>
      </c>
    </row>
    <row r="325" spans="1:10" ht="13.95" customHeight="1" x14ac:dyDescent="0.3">
      <c r="A325" s="20">
        <v>45995</v>
      </c>
      <c r="B325" s="20" t="s">
        <v>3042</v>
      </c>
      <c r="C325" s="19" t="s">
        <v>8</v>
      </c>
      <c r="D325" s="19" t="s">
        <v>1738</v>
      </c>
      <c r="E325" s="4">
        <v>0.65</v>
      </c>
      <c r="F325" s="42">
        <v>2.85</v>
      </c>
      <c r="G325" s="45">
        <v>130</v>
      </c>
      <c r="H325" s="22">
        <v>2</v>
      </c>
      <c r="I325" s="6">
        <f t="shared" si="7"/>
        <v>481.65000000000003</v>
      </c>
      <c r="J325" s="7" t="s">
        <v>3025</v>
      </c>
    </row>
    <row r="326" spans="1:10" ht="13.95" customHeight="1" x14ac:dyDescent="0.3">
      <c r="A326" s="20">
        <v>45997</v>
      </c>
      <c r="B326" s="20" t="s">
        <v>3042</v>
      </c>
      <c r="C326" s="19" t="s">
        <v>13</v>
      </c>
      <c r="D326" s="19" t="s">
        <v>3015</v>
      </c>
      <c r="E326" s="4">
        <v>0.75</v>
      </c>
      <c r="F326" s="42">
        <v>3.9</v>
      </c>
      <c r="G326" s="45">
        <v>130</v>
      </c>
      <c r="H326" s="22">
        <v>2</v>
      </c>
      <c r="I326" s="6">
        <f t="shared" si="7"/>
        <v>760.5</v>
      </c>
      <c r="J326" s="7" t="s">
        <v>3016</v>
      </c>
    </row>
    <row r="327" spans="1:10" ht="13.95" customHeight="1" x14ac:dyDescent="0.3">
      <c r="A327" s="20">
        <v>45998</v>
      </c>
      <c r="B327" s="20" t="s">
        <v>3042</v>
      </c>
      <c r="C327" s="19" t="s">
        <v>16</v>
      </c>
      <c r="D327" s="19" t="s">
        <v>3026</v>
      </c>
      <c r="E327" s="4">
        <v>0.7</v>
      </c>
      <c r="F327" s="42">
        <v>3.5</v>
      </c>
      <c r="G327" s="45">
        <v>130</v>
      </c>
      <c r="H327" s="22">
        <v>2</v>
      </c>
      <c r="I327" s="6">
        <f t="shared" si="7"/>
        <v>637</v>
      </c>
      <c r="J327" s="7" t="s">
        <v>3027</v>
      </c>
    </row>
    <row r="328" spans="1:10" ht="13.95" customHeight="1" x14ac:dyDescent="0.3">
      <c r="A328" s="20">
        <v>46004</v>
      </c>
      <c r="B328" s="20" t="s">
        <v>3042</v>
      </c>
      <c r="C328" s="19" t="s">
        <v>13</v>
      </c>
      <c r="D328" s="19" t="s">
        <v>2993</v>
      </c>
      <c r="E328" s="4">
        <v>0.8</v>
      </c>
      <c r="F328" s="42">
        <v>4.0999999999999996</v>
      </c>
      <c r="G328" s="45">
        <v>130</v>
      </c>
      <c r="H328" s="22">
        <v>2</v>
      </c>
      <c r="I328" s="6">
        <f t="shared" si="7"/>
        <v>852.8</v>
      </c>
      <c r="J328" s="7" t="s">
        <v>3028</v>
      </c>
    </row>
    <row r="329" spans="1:10" ht="13.95" customHeight="1" x14ac:dyDescent="0.3">
      <c r="A329" s="20">
        <v>46005</v>
      </c>
      <c r="B329" s="20" t="s">
        <v>3042</v>
      </c>
      <c r="C329" s="19" t="s">
        <v>16</v>
      </c>
      <c r="D329" s="19" t="s">
        <v>3029</v>
      </c>
      <c r="E329" s="4">
        <v>0.75</v>
      </c>
      <c r="F329" s="42">
        <v>3.6</v>
      </c>
      <c r="G329" s="45">
        <v>130</v>
      </c>
      <c r="H329" s="22">
        <v>2</v>
      </c>
      <c r="I329" s="6">
        <f t="shared" si="7"/>
        <v>702</v>
      </c>
      <c r="J329" s="7" t="s">
        <v>3030</v>
      </c>
    </row>
    <row r="330" spans="1:10" ht="13.95" customHeight="1" x14ac:dyDescent="0.3">
      <c r="A330" s="20">
        <v>46011</v>
      </c>
      <c r="B330" s="20" t="s">
        <v>3042</v>
      </c>
      <c r="C330" s="19" t="s">
        <v>13</v>
      </c>
      <c r="D330" s="19" t="s">
        <v>3031</v>
      </c>
      <c r="E330" s="4">
        <v>0.85</v>
      </c>
      <c r="F330" s="42">
        <v>4.2</v>
      </c>
      <c r="G330" s="45">
        <v>130</v>
      </c>
      <c r="H330" s="22">
        <v>2</v>
      </c>
      <c r="I330" s="6">
        <f t="shared" si="7"/>
        <v>928.2</v>
      </c>
      <c r="J330" s="7" t="s">
        <v>3032</v>
      </c>
    </row>
    <row r="331" spans="1:10" ht="13.95" customHeight="1" x14ac:dyDescent="0.3">
      <c r="A331" s="20">
        <v>46012</v>
      </c>
      <c r="B331" s="20" t="s">
        <v>3042</v>
      </c>
      <c r="C331" s="19" t="s">
        <v>16</v>
      </c>
      <c r="D331" s="19" t="s">
        <v>3033</v>
      </c>
      <c r="E331" s="4">
        <v>0.85</v>
      </c>
      <c r="F331" s="42">
        <v>3.85</v>
      </c>
      <c r="G331" s="45">
        <v>130</v>
      </c>
      <c r="H331" s="22">
        <v>2</v>
      </c>
      <c r="I331" s="6">
        <f t="shared" si="7"/>
        <v>850.85</v>
      </c>
      <c r="J331" s="7" t="s">
        <v>3034</v>
      </c>
    </row>
    <row r="332" spans="1:10" ht="13.95" customHeight="1" x14ac:dyDescent="0.3">
      <c r="A332" s="20">
        <v>46013</v>
      </c>
      <c r="B332" s="20" t="s">
        <v>3042</v>
      </c>
      <c r="C332" s="19" t="s">
        <v>18</v>
      </c>
      <c r="D332" s="19" t="s">
        <v>3035</v>
      </c>
      <c r="E332" s="4">
        <v>0.8</v>
      </c>
      <c r="F332" s="42">
        <v>2.9</v>
      </c>
      <c r="G332" s="45">
        <v>130</v>
      </c>
      <c r="H332" s="22">
        <v>2</v>
      </c>
      <c r="I332" s="6">
        <f t="shared" si="7"/>
        <v>603.19999999999993</v>
      </c>
      <c r="J332" s="7" t="s">
        <v>2468</v>
      </c>
    </row>
    <row r="333" spans="1:10" ht="13.95" customHeight="1" x14ac:dyDescent="0.3">
      <c r="A333" s="20">
        <v>46014</v>
      </c>
      <c r="B333" s="20" t="s">
        <v>3042</v>
      </c>
      <c r="C333" s="19" t="s">
        <v>20</v>
      </c>
      <c r="D333" s="19" t="s">
        <v>3036</v>
      </c>
      <c r="E333" s="4">
        <v>0.85</v>
      </c>
      <c r="F333" s="42">
        <v>3.1</v>
      </c>
      <c r="G333" s="45">
        <v>130</v>
      </c>
      <c r="H333" s="22">
        <v>2</v>
      </c>
      <c r="I333" s="6">
        <f t="shared" si="7"/>
        <v>685.1</v>
      </c>
      <c r="J333" s="7" t="s">
        <v>2350</v>
      </c>
    </row>
    <row r="334" spans="1:10" ht="13.95" customHeight="1" x14ac:dyDescent="0.3">
      <c r="A334" s="20">
        <v>46015</v>
      </c>
      <c r="B334" s="20" t="s">
        <v>3042</v>
      </c>
      <c r="C334" s="19" t="s">
        <v>5</v>
      </c>
      <c r="D334" s="19" t="s">
        <v>2576</v>
      </c>
      <c r="E334" s="4">
        <v>0.95</v>
      </c>
      <c r="F334" s="42">
        <v>4.9000000000000004</v>
      </c>
      <c r="G334" s="45">
        <v>130</v>
      </c>
      <c r="H334" s="22">
        <v>2</v>
      </c>
      <c r="I334" s="6">
        <f t="shared" si="7"/>
        <v>1210.3000000000002</v>
      </c>
      <c r="J334" s="7" t="s">
        <v>2854</v>
      </c>
    </row>
    <row r="335" spans="1:10" ht="13.95" customHeight="1" x14ac:dyDescent="0.3">
      <c r="A335" s="20">
        <v>46016</v>
      </c>
      <c r="B335" s="20" t="s">
        <v>3042</v>
      </c>
      <c r="C335" s="19" t="s">
        <v>8</v>
      </c>
      <c r="D335" s="19" t="s">
        <v>3037</v>
      </c>
      <c r="E335" s="4">
        <v>0.95</v>
      </c>
      <c r="F335" s="42">
        <v>4.5999999999999996</v>
      </c>
      <c r="G335" s="45">
        <v>130</v>
      </c>
      <c r="H335" s="22">
        <v>2</v>
      </c>
      <c r="I335" s="6">
        <f t="shared" si="7"/>
        <v>1136.1999999999998</v>
      </c>
      <c r="J335" s="7" t="s">
        <v>2472</v>
      </c>
    </row>
    <row r="336" spans="1:10" ht="13.95" customHeight="1" x14ac:dyDescent="0.3">
      <c r="A336" s="20">
        <v>46017</v>
      </c>
      <c r="B336" s="20" t="s">
        <v>3042</v>
      </c>
      <c r="C336" s="19" t="s">
        <v>11</v>
      </c>
      <c r="D336" s="19" t="s">
        <v>3038</v>
      </c>
      <c r="E336" s="4">
        <v>0.9</v>
      </c>
      <c r="F336" s="42">
        <v>3.8</v>
      </c>
      <c r="G336" s="45">
        <v>130</v>
      </c>
      <c r="H336" s="22">
        <v>2</v>
      </c>
      <c r="I336" s="6">
        <f t="shared" si="7"/>
        <v>889.19999999999993</v>
      </c>
      <c r="J336" s="7" t="s">
        <v>303</v>
      </c>
    </row>
    <row r="337" spans="1:10" ht="13.95" customHeight="1" x14ac:dyDescent="0.3">
      <c r="A337" s="20">
        <v>46018</v>
      </c>
      <c r="B337" s="20" t="s">
        <v>3042</v>
      </c>
      <c r="C337" s="19" t="s">
        <v>13</v>
      </c>
      <c r="D337" s="19" t="s">
        <v>3038</v>
      </c>
      <c r="E337" s="4">
        <v>1</v>
      </c>
      <c r="F337" s="42">
        <v>4.8</v>
      </c>
      <c r="G337" s="45">
        <v>130</v>
      </c>
      <c r="H337" s="22">
        <v>2</v>
      </c>
      <c r="I337" s="6">
        <f t="shared" si="7"/>
        <v>1248</v>
      </c>
      <c r="J337" s="7" t="s">
        <v>2290</v>
      </c>
    </row>
    <row r="338" spans="1:10" ht="13.95" customHeight="1" x14ac:dyDescent="0.3">
      <c r="A338" s="20">
        <v>46019</v>
      </c>
      <c r="B338" s="20" t="s">
        <v>3042</v>
      </c>
      <c r="C338" s="19" t="s">
        <v>16</v>
      </c>
      <c r="D338" s="19" t="s">
        <v>3039</v>
      </c>
      <c r="E338" s="4">
        <v>0.95</v>
      </c>
      <c r="F338" s="42">
        <v>4.2</v>
      </c>
      <c r="G338" s="45">
        <v>130</v>
      </c>
      <c r="H338" s="22">
        <v>2</v>
      </c>
      <c r="I338" s="6">
        <f t="shared" si="7"/>
        <v>1037.4000000000001</v>
      </c>
      <c r="J338" s="7" t="s">
        <v>3040</v>
      </c>
    </row>
    <row r="339" spans="1:10" ht="13.95" customHeight="1" x14ac:dyDescent="0.3">
      <c r="A339" s="20">
        <v>46020</v>
      </c>
      <c r="B339" s="20" t="s">
        <v>3042</v>
      </c>
      <c r="C339" s="19" t="s">
        <v>18</v>
      </c>
      <c r="D339" s="19" t="s">
        <v>1565</v>
      </c>
      <c r="E339" s="4">
        <v>0.95</v>
      </c>
      <c r="F339" s="42">
        <v>3.3</v>
      </c>
      <c r="G339" s="45">
        <v>130</v>
      </c>
      <c r="H339" s="22">
        <v>2</v>
      </c>
      <c r="I339" s="6">
        <f t="shared" si="7"/>
        <v>815.09999999999991</v>
      </c>
      <c r="J339" s="7" t="s">
        <v>531</v>
      </c>
    </row>
    <row r="340" spans="1:10" ht="13.95" customHeight="1" x14ac:dyDescent="0.3">
      <c r="A340" s="20">
        <v>46021</v>
      </c>
      <c r="B340" s="20" t="s">
        <v>3042</v>
      </c>
      <c r="C340" s="19" t="s">
        <v>20</v>
      </c>
      <c r="D340" s="19" t="s">
        <v>1565</v>
      </c>
      <c r="E340" s="4">
        <v>1</v>
      </c>
      <c r="F340" s="42">
        <v>3.5</v>
      </c>
      <c r="G340" s="45">
        <v>130</v>
      </c>
      <c r="H340" s="22">
        <v>2</v>
      </c>
      <c r="I340" s="6">
        <f t="shared" si="7"/>
        <v>910</v>
      </c>
      <c r="J340" s="7" t="s">
        <v>2283</v>
      </c>
    </row>
    <row r="341" spans="1:10" ht="13.95" customHeight="1" x14ac:dyDescent="0.3">
      <c r="A341" s="20">
        <v>46022</v>
      </c>
      <c r="B341" s="20" t="s">
        <v>3042</v>
      </c>
      <c r="C341" s="19" t="s">
        <v>5</v>
      </c>
      <c r="D341" s="19" t="s">
        <v>3041</v>
      </c>
      <c r="E341" s="4">
        <v>1</v>
      </c>
      <c r="F341" s="42">
        <v>5.3</v>
      </c>
      <c r="G341" s="45">
        <v>130</v>
      </c>
      <c r="H341" s="22">
        <v>2</v>
      </c>
      <c r="I341" s="6">
        <f t="shared" si="7"/>
        <v>1378</v>
      </c>
      <c r="J341" s="7" t="s">
        <v>2857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B25E2-08FD-4B53-9B21-0EA3538EE4F4}">
  <sheetPr>
    <tabColor rgb="FFFFFF00"/>
  </sheetPr>
  <dimension ref="A1:L323"/>
  <sheetViews>
    <sheetView workbookViewId="0">
      <selection activeCell="A2" sqref="A2:XFD2"/>
    </sheetView>
  </sheetViews>
  <sheetFormatPr baseColWidth="10" defaultRowHeight="14.4" x14ac:dyDescent="0.3"/>
  <cols>
    <col min="2" max="2" width="14" bestFit="1" customWidth="1"/>
    <col min="4" max="4" width="17.33203125" bestFit="1" customWidth="1"/>
    <col min="9" max="9" width="13.109375" bestFit="1" customWidth="1"/>
    <col min="10" max="10" width="28.21875" bestFit="1" customWidth="1"/>
  </cols>
  <sheetData>
    <row r="1" spans="1:12" ht="28.2" thickBot="1" x14ac:dyDescent="0.35">
      <c r="A1" s="1" t="s">
        <v>333</v>
      </c>
      <c r="B1" s="1" t="s">
        <v>670</v>
      </c>
      <c r="C1" s="34" t="s">
        <v>0</v>
      </c>
      <c r="D1" s="34" t="s">
        <v>1</v>
      </c>
      <c r="E1" s="37" t="s">
        <v>2</v>
      </c>
      <c r="F1" s="43" t="s">
        <v>3</v>
      </c>
      <c r="G1" s="47" t="s">
        <v>359</v>
      </c>
      <c r="H1" s="35" t="s">
        <v>360</v>
      </c>
      <c r="I1" s="47" t="s">
        <v>361</v>
      </c>
      <c r="J1" s="25" t="s">
        <v>4</v>
      </c>
      <c r="K1">
        <v>256</v>
      </c>
      <c r="L1">
        <v>2.2000000000000002</v>
      </c>
    </row>
    <row r="2" spans="1:12" ht="13.95" customHeight="1" x14ac:dyDescent="0.3">
      <c r="A2" s="20">
        <v>45658</v>
      </c>
      <c r="B2" s="20" t="s">
        <v>3167</v>
      </c>
      <c r="C2" s="19" t="s">
        <v>5</v>
      </c>
      <c r="D2" s="19" t="s">
        <v>2859</v>
      </c>
      <c r="E2" s="4">
        <v>0.95</v>
      </c>
      <c r="F2" s="42">
        <v>4.2</v>
      </c>
      <c r="G2" s="45">
        <v>256</v>
      </c>
      <c r="H2" s="22">
        <v>2.2000000000000002</v>
      </c>
      <c r="I2" s="6">
        <f>(G2*E2)*F2*H2</f>
        <v>2247.1680000000001</v>
      </c>
      <c r="J2" s="7" t="s">
        <v>3043</v>
      </c>
    </row>
    <row r="3" spans="1:12" ht="13.95" customHeight="1" x14ac:dyDescent="0.3">
      <c r="A3" s="20">
        <v>45659</v>
      </c>
      <c r="B3" s="20" t="s">
        <v>3167</v>
      </c>
      <c r="C3" s="19" t="s">
        <v>8</v>
      </c>
      <c r="D3" s="19" t="s">
        <v>3044</v>
      </c>
      <c r="E3" s="4">
        <v>0.6</v>
      </c>
      <c r="F3" s="42">
        <v>2.5</v>
      </c>
      <c r="G3" s="45">
        <v>256</v>
      </c>
      <c r="H3" s="22">
        <v>2.2000000000000002</v>
      </c>
      <c r="I3" s="6">
        <f t="shared" ref="I3:I66" si="0">(G3*E3)*F3*H3</f>
        <v>844.80000000000007</v>
      </c>
      <c r="J3" s="7" t="s">
        <v>1639</v>
      </c>
    </row>
    <row r="4" spans="1:12" ht="13.95" customHeight="1" x14ac:dyDescent="0.3">
      <c r="A4" s="20">
        <v>45660</v>
      </c>
      <c r="B4" s="20" t="s">
        <v>3167</v>
      </c>
      <c r="C4" s="19" t="s">
        <v>11</v>
      </c>
      <c r="D4" s="19" t="s">
        <v>14</v>
      </c>
      <c r="E4" s="4">
        <v>0.55000000000000004</v>
      </c>
      <c r="F4" s="42">
        <v>2.6</v>
      </c>
      <c r="G4" s="45">
        <v>256</v>
      </c>
      <c r="H4" s="22">
        <v>2.2000000000000002</v>
      </c>
      <c r="I4" s="6">
        <f t="shared" si="0"/>
        <v>805.3760000000002</v>
      </c>
      <c r="J4" s="7" t="s">
        <v>3045</v>
      </c>
    </row>
    <row r="5" spans="1:12" ht="13.95" customHeight="1" x14ac:dyDescent="0.3">
      <c r="A5" s="20">
        <v>45661</v>
      </c>
      <c r="B5" s="20" t="s">
        <v>3167</v>
      </c>
      <c r="C5" s="19" t="s">
        <v>13</v>
      </c>
      <c r="D5" s="19" t="s">
        <v>14</v>
      </c>
      <c r="E5" s="4">
        <v>0.7</v>
      </c>
      <c r="F5" s="42">
        <v>2.9</v>
      </c>
      <c r="G5" s="45">
        <v>256</v>
      </c>
      <c r="H5" s="22">
        <v>2.2000000000000002</v>
      </c>
      <c r="I5" s="6">
        <f t="shared" si="0"/>
        <v>1143.296</v>
      </c>
      <c r="J5" s="7" t="s">
        <v>3046</v>
      </c>
    </row>
    <row r="6" spans="1:12" ht="13.95" customHeight="1" x14ac:dyDescent="0.3">
      <c r="A6" s="20">
        <v>45662</v>
      </c>
      <c r="B6" s="20" t="s">
        <v>3167</v>
      </c>
      <c r="C6" s="19" t="s">
        <v>16</v>
      </c>
      <c r="D6" s="19" t="s">
        <v>14</v>
      </c>
      <c r="E6" s="4">
        <v>0.65</v>
      </c>
      <c r="F6" s="42">
        <v>2.7</v>
      </c>
      <c r="G6" s="45">
        <v>256</v>
      </c>
      <c r="H6" s="22">
        <v>2.2000000000000002</v>
      </c>
      <c r="I6" s="6">
        <f t="shared" si="0"/>
        <v>988.41600000000017</v>
      </c>
      <c r="J6" s="7" t="s">
        <v>48</v>
      </c>
    </row>
    <row r="7" spans="1:12" ht="13.95" customHeight="1" x14ac:dyDescent="0.3">
      <c r="A7" s="20">
        <v>45663</v>
      </c>
      <c r="B7" s="20" t="s">
        <v>3167</v>
      </c>
      <c r="C7" s="19" t="s">
        <v>18</v>
      </c>
      <c r="D7" s="19" t="s">
        <v>9</v>
      </c>
      <c r="E7" s="4">
        <v>0.4</v>
      </c>
      <c r="F7" s="42">
        <v>2.2999999999999998</v>
      </c>
      <c r="G7" s="45">
        <v>256</v>
      </c>
      <c r="H7" s="22">
        <v>2.2000000000000002</v>
      </c>
      <c r="I7" s="6">
        <f t="shared" si="0"/>
        <v>518.14400000000001</v>
      </c>
      <c r="J7" s="7" t="s">
        <v>3047</v>
      </c>
    </row>
    <row r="8" spans="1:12" ht="13.95" customHeight="1" x14ac:dyDescent="0.3">
      <c r="A8" s="20">
        <v>45664</v>
      </c>
      <c r="B8" s="20" t="s">
        <v>3167</v>
      </c>
      <c r="C8" s="19" t="s">
        <v>20</v>
      </c>
      <c r="D8" s="19" t="s">
        <v>9</v>
      </c>
      <c r="E8" s="4">
        <v>0.4</v>
      </c>
      <c r="F8" s="42">
        <v>2.2999999999999998</v>
      </c>
      <c r="G8" s="45">
        <v>256</v>
      </c>
      <c r="H8" s="22">
        <v>2.2000000000000002</v>
      </c>
      <c r="I8" s="6">
        <f t="shared" si="0"/>
        <v>518.14400000000001</v>
      </c>
      <c r="J8" s="7" t="s">
        <v>3048</v>
      </c>
    </row>
    <row r="9" spans="1:12" ht="13.95" customHeight="1" x14ac:dyDescent="0.3">
      <c r="A9" s="20">
        <v>45665</v>
      </c>
      <c r="B9" s="20" t="s">
        <v>3167</v>
      </c>
      <c r="C9" s="19" t="s">
        <v>5</v>
      </c>
      <c r="D9" s="19" t="s">
        <v>9</v>
      </c>
      <c r="E9" s="4">
        <v>0.4</v>
      </c>
      <c r="F9" s="42">
        <v>2.2999999999999998</v>
      </c>
      <c r="G9" s="45">
        <v>256</v>
      </c>
      <c r="H9" s="22">
        <v>2.2000000000000002</v>
      </c>
      <c r="I9" s="6">
        <f t="shared" si="0"/>
        <v>518.14400000000001</v>
      </c>
      <c r="J9" s="7" t="s">
        <v>88</v>
      </c>
    </row>
    <row r="10" spans="1:12" ht="13.95" customHeight="1" x14ac:dyDescent="0.3">
      <c r="A10" s="20">
        <v>45666</v>
      </c>
      <c r="B10" s="20" t="s">
        <v>3167</v>
      </c>
      <c r="C10" s="19" t="s">
        <v>8</v>
      </c>
      <c r="D10" s="19" t="s">
        <v>9</v>
      </c>
      <c r="E10" s="4">
        <v>0.45</v>
      </c>
      <c r="F10" s="42">
        <v>2.35</v>
      </c>
      <c r="G10" s="45">
        <v>256</v>
      </c>
      <c r="H10" s="22">
        <v>2.2000000000000002</v>
      </c>
      <c r="I10" s="6">
        <f t="shared" si="0"/>
        <v>595.58400000000006</v>
      </c>
      <c r="J10" s="7" t="s">
        <v>3049</v>
      </c>
    </row>
    <row r="11" spans="1:12" ht="13.95" customHeight="1" x14ac:dyDescent="0.3">
      <c r="A11" s="20">
        <v>45667</v>
      </c>
      <c r="B11" s="20" t="s">
        <v>3167</v>
      </c>
      <c r="C11" s="19" t="s">
        <v>11</v>
      </c>
      <c r="D11" s="19" t="s">
        <v>14</v>
      </c>
      <c r="E11" s="4">
        <v>0.55000000000000004</v>
      </c>
      <c r="F11" s="42">
        <v>2.6</v>
      </c>
      <c r="G11" s="45">
        <v>256</v>
      </c>
      <c r="H11" s="22">
        <v>2.2000000000000002</v>
      </c>
      <c r="I11" s="6">
        <f t="shared" si="0"/>
        <v>805.3760000000002</v>
      </c>
      <c r="J11" s="7" t="s">
        <v>390</v>
      </c>
    </row>
    <row r="12" spans="1:12" ht="13.95" customHeight="1" x14ac:dyDescent="0.3">
      <c r="A12" s="20">
        <v>45668</v>
      </c>
      <c r="B12" s="20" t="s">
        <v>3167</v>
      </c>
      <c r="C12" s="19" t="s">
        <v>13</v>
      </c>
      <c r="D12" s="19" t="s">
        <v>14</v>
      </c>
      <c r="E12" s="4">
        <v>0.75</v>
      </c>
      <c r="F12" s="42">
        <v>3</v>
      </c>
      <c r="G12" s="45">
        <v>256</v>
      </c>
      <c r="H12" s="22">
        <v>2.2000000000000002</v>
      </c>
      <c r="I12" s="6">
        <f t="shared" si="0"/>
        <v>1267.2</v>
      </c>
      <c r="J12" s="7" t="s">
        <v>2454</v>
      </c>
    </row>
    <row r="13" spans="1:12" ht="13.95" customHeight="1" x14ac:dyDescent="0.3">
      <c r="A13" s="20">
        <v>45669</v>
      </c>
      <c r="B13" s="20" t="s">
        <v>3167</v>
      </c>
      <c r="C13" s="19" t="s">
        <v>16</v>
      </c>
      <c r="D13" s="19" t="s">
        <v>14</v>
      </c>
      <c r="E13" s="4">
        <v>0.7</v>
      </c>
      <c r="F13" s="42">
        <v>2.8</v>
      </c>
      <c r="G13" s="45">
        <v>256</v>
      </c>
      <c r="H13" s="22">
        <v>2.2000000000000002</v>
      </c>
      <c r="I13" s="6">
        <f t="shared" si="0"/>
        <v>1103.8719999999998</v>
      </c>
      <c r="J13" s="7" t="s">
        <v>3050</v>
      </c>
    </row>
    <row r="14" spans="1:12" ht="13.95" customHeight="1" x14ac:dyDescent="0.3">
      <c r="A14" s="20">
        <v>45670</v>
      </c>
      <c r="B14" s="20" t="s">
        <v>3167</v>
      </c>
      <c r="C14" s="19" t="s">
        <v>18</v>
      </c>
      <c r="D14" s="19" t="s">
        <v>9</v>
      </c>
      <c r="E14" s="4">
        <v>0.4</v>
      </c>
      <c r="F14" s="42">
        <v>2.2999999999999998</v>
      </c>
      <c r="G14" s="45">
        <v>256</v>
      </c>
      <c r="H14" s="22">
        <v>2.2000000000000002</v>
      </c>
      <c r="I14" s="6">
        <f t="shared" si="0"/>
        <v>518.14400000000001</v>
      </c>
      <c r="J14" s="7" t="s">
        <v>3051</v>
      </c>
    </row>
    <row r="15" spans="1:12" ht="13.95" customHeight="1" x14ac:dyDescent="0.3">
      <c r="A15" s="20">
        <v>45671</v>
      </c>
      <c r="B15" s="20" t="s">
        <v>3167</v>
      </c>
      <c r="C15" s="19" t="s">
        <v>20</v>
      </c>
      <c r="D15" s="19" t="s">
        <v>2720</v>
      </c>
      <c r="E15" s="4">
        <v>0.65</v>
      </c>
      <c r="F15" s="42">
        <v>2.9</v>
      </c>
      <c r="G15" s="45">
        <v>256</v>
      </c>
      <c r="H15" s="22">
        <v>2.2000000000000002</v>
      </c>
      <c r="I15" s="6">
        <f t="shared" si="0"/>
        <v>1061.6320000000001</v>
      </c>
      <c r="J15" s="7" t="s">
        <v>2192</v>
      </c>
    </row>
    <row r="16" spans="1:12" ht="13.95" customHeight="1" x14ac:dyDescent="0.3">
      <c r="A16" s="20">
        <v>45672</v>
      </c>
      <c r="B16" s="20" t="s">
        <v>3167</v>
      </c>
      <c r="C16" s="19" t="s">
        <v>5</v>
      </c>
      <c r="D16" s="19" t="s">
        <v>9</v>
      </c>
      <c r="E16" s="4">
        <v>0.45</v>
      </c>
      <c r="F16" s="42">
        <v>2.35</v>
      </c>
      <c r="G16" s="45">
        <v>256</v>
      </c>
      <c r="H16" s="22">
        <v>2.2000000000000002</v>
      </c>
      <c r="I16" s="6">
        <f t="shared" si="0"/>
        <v>595.58400000000006</v>
      </c>
      <c r="J16" s="7" t="s">
        <v>88</v>
      </c>
    </row>
    <row r="17" spans="1:10" ht="13.95" customHeight="1" x14ac:dyDescent="0.3">
      <c r="A17" s="20">
        <v>45673</v>
      </c>
      <c r="B17" s="20" t="s">
        <v>3167</v>
      </c>
      <c r="C17" s="19" t="s">
        <v>8</v>
      </c>
      <c r="D17" s="19" t="s">
        <v>9</v>
      </c>
      <c r="E17" s="4">
        <v>0.45</v>
      </c>
      <c r="F17" s="42">
        <v>2.35</v>
      </c>
      <c r="G17" s="45">
        <v>256</v>
      </c>
      <c r="H17" s="22">
        <v>2.2000000000000002</v>
      </c>
      <c r="I17" s="6">
        <f t="shared" si="0"/>
        <v>595.58400000000006</v>
      </c>
      <c r="J17" s="7" t="s">
        <v>88</v>
      </c>
    </row>
    <row r="18" spans="1:10" ht="13.95" customHeight="1" x14ac:dyDescent="0.3">
      <c r="A18" s="20">
        <v>45674</v>
      </c>
      <c r="B18" s="20" t="s">
        <v>3167</v>
      </c>
      <c r="C18" s="19" t="s">
        <v>11</v>
      </c>
      <c r="D18" s="19" t="s">
        <v>14</v>
      </c>
      <c r="E18" s="4">
        <v>0.55000000000000004</v>
      </c>
      <c r="F18" s="42">
        <v>2.6</v>
      </c>
      <c r="G18" s="45">
        <v>256</v>
      </c>
      <c r="H18" s="22">
        <v>2.2000000000000002</v>
      </c>
      <c r="I18" s="6">
        <f t="shared" si="0"/>
        <v>805.3760000000002</v>
      </c>
      <c r="J18" s="7" t="s">
        <v>1266</v>
      </c>
    </row>
    <row r="19" spans="1:10" ht="13.95" customHeight="1" x14ac:dyDescent="0.3">
      <c r="A19" s="20">
        <v>45675</v>
      </c>
      <c r="B19" s="20" t="s">
        <v>3167</v>
      </c>
      <c r="C19" s="19" t="s">
        <v>13</v>
      </c>
      <c r="D19" s="19" t="s">
        <v>14</v>
      </c>
      <c r="E19" s="4">
        <v>0.75</v>
      </c>
      <c r="F19" s="42">
        <v>3</v>
      </c>
      <c r="G19" s="45">
        <v>256</v>
      </c>
      <c r="H19" s="22">
        <v>2.2000000000000002</v>
      </c>
      <c r="I19" s="6">
        <f t="shared" si="0"/>
        <v>1267.2</v>
      </c>
      <c r="J19" s="7" t="s">
        <v>3052</v>
      </c>
    </row>
    <row r="20" spans="1:10" ht="13.95" customHeight="1" x14ac:dyDescent="0.3">
      <c r="A20" s="20">
        <v>45676</v>
      </c>
      <c r="B20" s="20" t="s">
        <v>3167</v>
      </c>
      <c r="C20" s="19" t="s">
        <v>16</v>
      </c>
      <c r="D20" s="19" t="s">
        <v>14</v>
      </c>
      <c r="E20" s="4">
        <v>0.7</v>
      </c>
      <c r="F20" s="42">
        <v>2.8</v>
      </c>
      <c r="G20" s="45">
        <v>256</v>
      </c>
      <c r="H20" s="22">
        <v>2.2000000000000002</v>
      </c>
      <c r="I20" s="6">
        <f t="shared" si="0"/>
        <v>1103.8719999999998</v>
      </c>
      <c r="J20" s="7" t="s">
        <v>1336</v>
      </c>
    </row>
    <row r="21" spans="1:10" ht="13.95" customHeight="1" x14ac:dyDescent="0.3">
      <c r="A21" s="20">
        <v>45677</v>
      </c>
      <c r="B21" s="20" t="s">
        <v>3167</v>
      </c>
      <c r="C21" s="19" t="s">
        <v>18</v>
      </c>
      <c r="D21" s="19" t="s">
        <v>9</v>
      </c>
      <c r="E21" s="4">
        <v>0.4</v>
      </c>
      <c r="F21" s="42">
        <v>2.2999999999999998</v>
      </c>
      <c r="G21" s="45">
        <v>256</v>
      </c>
      <c r="H21" s="22">
        <v>2.2000000000000002</v>
      </c>
      <c r="I21" s="6">
        <f t="shared" si="0"/>
        <v>518.14400000000001</v>
      </c>
      <c r="J21" s="7" t="s">
        <v>3053</v>
      </c>
    </row>
    <row r="22" spans="1:10" ht="13.95" customHeight="1" x14ac:dyDescent="0.3">
      <c r="A22" s="20">
        <v>45678</v>
      </c>
      <c r="B22" s="20" t="s">
        <v>3167</v>
      </c>
      <c r="C22" s="19" t="s">
        <v>20</v>
      </c>
      <c r="D22" s="19" t="s">
        <v>9</v>
      </c>
      <c r="E22" s="4">
        <v>0.4</v>
      </c>
      <c r="F22" s="42">
        <v>2.2999999999999998</v>
      </c>
      <c r="G22" s="45">
        <v>256</v>
      </c>
      <c r="H22" s="22">
        <v>2.2000000000000002</v>
      </c>
      <c r="I22" s="6">
        <f t="shared" si="0"/>
        <v>518.14400000000001</v>
      </c>
      <c r="J22" s="7" t="s">
        <v>88</v>
      </c>
    </row>
    <row r="23" spans="1:10" ht="13.95" customHeight="1" x14ac:dyDescent="0.3">
      <c r="A23" s="20">
        <v>45679</v>
      </c>
      <c r="B23" s="20" t="s">
        <v>3167</v>
      </c>
      <c r="C23" s="19" t="s">
        <v>5</v>
      </c>
      <c r="D23" s="19" t="s">
        <v>9</v>
      </c>
      <c r="E23" s="4">
        <v>0.4</v>
      </c>
      <c r="F23" s="42">
        <v>2.2999999999999998</v>
      </c>
      <c r="G23" s="45">
        <v>256</v>
      </c>
      <c r="H23" s="22">
        <v>2.2000000000000002</v>
      </c>
      <c r="I23" s="6">
        <f t="shared" si="0"/>
        <v>518.14400000000001</v>
      </c>
      <c r="J23" s="7" t="s">
        <v>88</v>
      </c>
    </row>
    <row r="24" spans="1:10" ht="13.95" customHeight="1" x14ac:dyDescent="0.3">
      <c r="A24" s="20">
        <v>45680</v>
      </c>
      <c r="B24" s="20" t="s">
        <v>3167</v>
      </c>
      <c r="C24" s="19" t="s">
        <v>8</v>
      </c>
      <c r="D24" s="19" t="s">
        <v>9</v>
      </c>
      <c r="E24" s="4">
        <v>0.45</v>
      </c>
      <c r="F24" s="42">
        <v>2.35</v>
      </c>
      <c r="G24" s="45">
        <v>256</v>
      </c>
      <c r="H24" s="22">
        <v>2.2000000000000002</v>
      </c>
      <c r="I24" s="6">
        <f t="shared" si="0"/>
        <v>595.58400000000006</v>
      </c>
      <c r="J24" s="7" t="s">
        <v>88</v>
      </c>
    </row>
    <row r="25" spans="1:10" ht="13.95" customHeight="1" x14ac:dyDescent="0.3">
      <c r="A25" s="20">
        <v>45681</v>
      </c>
      <c r="B25" s="20" t="s">
        <v>3167</v>
      </c>
      <c r="C25" s="19" t="s">
        <v>11</v>
      </c>
      <c r="D25" s="19" t="s">
        <v>14</v>
      </c>
      <c r="E25" s="4">
        <v>0.6</v>
      </c>
      <c r="F25" s="42">
        <v>2.65</v>
      </c>
      <c r="G25" s="45">
        <v>256</v>
      </c>
      <c r="H25" s="22">
        <v>2.2000000000000002</v>
      </c>
      <c r="I25" s="6">
        <f t="shared" si="0"/>
        <v>895.48799999999994</v>
      </c>
      <c r="J25" s="7" t="s">
        <v>97</v>
      </c>
    </row>
    <row r="26" spans="1:10" ht="13.95" customHeight="1" x14ac:dyDescent="0.3">
      <c r="A26" s="20">
        <v>45682</v>
      </c>
      <c r="B26" s="20" t="s">
        <v>3167</v>
      </c>
      <c r="C26" s="19" t="s">
        <v>13</v>
      </c>
      <c r="D26" s="19" t="s">
        <v>14</v>
      </c>
      <c r="E26" s="4">
        <v>0.8</v>
      </c>
      <c r="F26" s="42">
        <v>3.1</v>
      </c>
      <c r="G26" s="45">
        <v>256</v>
      </c>
      <c r="H26" s="22">
        <v>2.2000000000000002</v>
      </c>
      <c r="I26" s="6">
        <f t="shared" si="0"/>
        <v>1396.7360000000003</v>
      </c>
      <c r="J26" s="7" t="s">
        <v>2598</v>
      </c>
    </row>
    <row r="27" spans="1:10" ht="13.95" customHeight="1" x14ac:dyDescent="0.3">
      <c r="A27" s="20">
        <v>45683</v>
      </c>
      <c r="B27" s="20" t="s">
        <v>3167</v>
      </c>
      <c r="C27" s="19" t="s">
        <v>16</v>
      </c>
      <c r="D27" s="19" t="s">
        <v>14</v>
      </c>
      <c r="E27" s="4">
        <v>0.75</v>
      </c>
      <c r="F27" s="42">
        <v>2.85</v>
      </c>
      <c r="G27" s="45">
        <v>256</v>
      </c>
      <c r="H27" s="22">
        <v>2.2000000000000002</v>
      </c>
      <c r="I27" s="6">
        <f t="shared" si="0"/>
        <v>1203.8400000000001</v>
      </c>
      <c r="J27" s="7" t="s">
        <v>69</v>
      </c>
    </row>
    <row r="28" spans="1:10" ht="13.95" customHeight="1" x14ac:dyDescent="0.3">
      <c r="A28" s="20">
        <v>45684</v>
      </c>
      <c r="B28" s="20" t="s">
        <v>3167</v>
      </c>
      <c r="C28" s="19" t="s">
        <v>18</v>
      </c>
      <c r="D28" s="19" t="s">
        <v>9</v>
      </c>
      <c r="E28" s="4">
        <v>0.4</v>
      </c>
      <c r="F28" s="42">
        <v>2.2999999999999998</v>
      </c>
      <c r="G28" s="45">
        <v>256</v>
      </c>
      <c r="H28" s="22">
        <v>2.2000000000000002</v>
      </c>
      <c r="I28" s="6">
        <f t="shared" si="0"/>
        <v>518.14400000000001</v>
      </c>
      <c r="J28" s="7" t="s">
        <v>88</v>
      </c>
    </row>
    <row r="29" spans="1:10" ht="13.95" customHeight="1" x14ac:dyDescent="0.3">
      <c r="A29" s="20">
        <v>45685</v>
      </c>
      <c r="B29" s="20" t="s">
        <v>3167</v>
      </c>
      <c r="C29" s="19" t="s">
        <v>20</v>
      </c>
      <c r="D29" s="19" t="s">
        <v>9</v>
      </c>
      <c r="E29" s="4">
        <v>0.4</v>
      </c>
      <c r="F29" s="42">
        <v>2.2999999999999998</v>
      </c>
      <c r="G29" s="45">
        <v>256</v>
      </c>
      <c r="H29" s="22">
        <v>2.2000000000000002</v>
      </c>
      <c r="I29" s="6">
        <f t="shared" si="0"/>
        <v>518.14400000000001</v>
      </c>
      <c r="J29" s="7" t="s">
        <v>88</v>
      </c>
    </row>
    <row r="30" spans="1:10" ht="13.95" customHeight="1" x14ac:dyDescent="0.3">
      <c r="A30" s="20">
        <v>45686</v>
      </c>
      <c r="B30" s="20" t="s">
        <v>3167</v>
      </c>
      <c r="C30" s="19" t="s">
        <v>5</v>
      </c>
      <c r="D30" s="19" t="s">
        <v>9</v>
      </c>
      <c r="E30" s="4">
        <v>0.4</v>
      </c>
      <c r="F30" s="42">
        <v>2.2999999999999998</v>
      </c>
      <c r="G30" s="45">
        <v>256</v>
      </c>
      <c r="H30" s="22">
        <v>2.2000000000000002</v>
      </c>
      <c r="I30" s="6">
        <f t="shared" si="0"/>
        <v>518.14400000000001</v>
      </c>
      <c r="J30" s="7" t="s">
        <v>88</v>
      </c>
    </row>
    <row r="31" spans="1:10" ht="13.95" customHeight="1" x14ac:dyDescent="0.3">
      <c r="A31" s="20">
        <v>45687</v>
      </c>
      <c r="B31" s="20" t="s">
        <v>3167</v>
      </c>
      <c r="C31" s="19" t="s">
        <v>8</v>
      </c>
      <c r="D31" s="19" t="s">
        <v>9</v>
      </c>
      <c r="E31" s="4">
        <v>0.45</v>
      </c>
      <c r="F31" s="42">
        <v>2.4</v>
      </c>
      <c r="G31" s="45">
        <v>256</v>
      </c>
      <c r="H31" s="22">
        <v>2.2000000000000002</v>
      </c>
      <c r="I31" s="6">
        <f t="shared" si="0"/>
        <v>608.25600000000009</v>
      </c>
      <c r="J31" s="7" t="s">
        <v>82</v>
      </c>
    </row>
    <row r="32" spans="1:10" ht="13.95" customHeight="1" x14ac:dyDescent="0.3">
      <c r="A32" s="20">
        <v>45688</v>
      </c>
      <c r="B32" s="20" t="s">
        <v>3167</v>
      </c>
      <c r="C32" s="19" t="s">
        <v>11</v>
      </c>
      <c r="D32" s="19" t="s">
        <v>14</v>
      </c>
      <c r="E32" s="4">
        <v>0.6</v>
      </c>
      <c r="F32" s="42">
        <v>2.7</v>
      </c>
      <c r="G32" s="45">
        <v>256</v>
      </c>
      <c r="H32" s="22">
        <v>2.2000000000000002</v>
      </c>
      <c r="I32" s="6">
        <f t="shared" si="0"/>
        <v>912.38400000000013</v>
      </c>
      <c r="J32" s="7" t="s">
        <v>99</v>
      </c>
    </row>
    <row r="33" spans="1:10" ht="13.95" customHeight="1" x14ac:dyDescent="0.3">
      <c r="A33" s="20">
        <v>45689</v>
      </c>
      <c r="B33" s="20" t="s">
        <v>3167</v>
      </c>
      <c r="C33" s="19" t="s">
        <v>13</v>
      </c>
      <c r="D33" s="19" t="s">
        <v>14</v>
      </c>
      <c r="E33" s="4">
        <v>0.75</v>
      </c>
      <c r="F33" s="42">
        <v>3</v>
      </c>
      <c r="G33" s="45">
        <v>256</v>
      </c>
      <c r="H33" s="22">
        <v>2.2000000000000002</v>
      </c>
      <c r="I33" s="6">
        <f t="shared" si="0"/>
        <v>1267.2</v>
      </c>
      <c r="J33" s="7" t="s">
        <v>3054</v>
      </c>
    </row>
    <row r="34" spans="1:10" ht="13.95" customHeight="1" x14ac:dyDescent="0.3">
      <c r="A34" s="20">
        <v>45690</v>
      </c>
      <c r="B34" s="20" t="s">
        <v>3167</v>
      </c>
      <c r="C34" s="19" t="s">
        <v>16</v>
      </c>
      <c r="D34" s="19" t="s">
        <v>14</v>
      </c>
      <c r="E34" s="4">
        <v>0.7</v>
      </c>
      <c r="F34" s="42">
        <v>2.8</v>
      </c>
      <c r="G34" s="45">
        <v>256</v>
      </c>
      <c r="H34" s="22">
        <v>2.2000000000000002</v>
      </c>
      <c r="I34" s="6">
        <f t="shared" si="0"/>
        <v>1103.8719999999998</v>
      </c>
      <c r="J34" s="7" t="s">
        <v>3055</v>
      </c>
    </row>
    <row r="35" spans="1:10" ht="13.95" customHeight="1" x14ac:dyDescent="0.3">
      <c r="A35" s="20">
        <v>45691</v>
      </c>
      <c r="B35" s="20" t="s">
        <v>3167</v>
      </c>
      <c r="C35" s="19" t="s">
        <v>18</v>
      </c>
      <c r="D35" s="19" t="s">
        <v>9</v>
      </c>
      <c r="E35" s="4">
        <v>0.45</v>
      </c>
      <c r="F35" s="42">
        <v>2.2999999999999998</v>
      </c>
      <c r="G35" s="45">
        <v>256</v>
      </c>
      <c r="H35" s="22">
        <v>2.2000000000000002</v>
      </c>
      <c r="I35" s="6">
        <f t="shared" si="0"/>
        <v>582.91200000000003</v>
      </c>
      <c r="J35" s="7" t="s">
        <v>2319</v>
      </c>
    </row>
    <row r="36" spans="1:10" ht="13.95" customHeight="1" x14ac:dyDescent="0.3">
      <c r="A36" s="20">
        <v>45692</v>
      </c>
      <c r="B36" s="20" t="s">
        <v>3167</v>
      </c>
      <c r="C36" s="19" t="s">
        <v>20</v>
      </c>
      <c r="D36" s="19" t="s">
        <v>9</v>
      </c>
      <c r="E36" s="4">
        <v>0.45</v>
      </c>
      <c r="F36" s="42">
        <v>2.2999999999999998</v>
      </c>
      <c r="G36" s="45">
        <v>256</v>
      </c>
      <c r="H36" s="22">
        <v>2.2000000000000002</v>
      </c>
      <c r="I36" s="6">
        <f t="shared" si="0"/>
        <v>582.91200000000003</v>
      </c>
      <c r="J36" s="7" t="s">
        <v>2194</v>
      </c>
    </row>
    <row r="37" spans="1:10" ht="13.95" customHeight="1" x14ac:dyDescent="0.3">
      <c r="A37" s="20">
        <v>45693</v>
      </c>
      <c r="B37" s="20" t="s">
        <v>3167</v>
      </c>
      <c r="C37" s="19" t="s">
        <v>5</v>
      </c>
      <c r="D37" s="19" t="s">
        <v>9</v>
      </c>
      <c r="E37" s="4">
        <v>0.45</v>
      </c>
      <c r="F37" s="42">
        <v>2.2999999999999998</v>
      </c>
      <c r="G37" s="45">
        <v>256</v>
      </c>
      <c r="H37" s="22">
        <v>2.2000000000000002</v>
      </c>
      <c r="I37" s="6">
        <f t="shared" si="0"/>
        <v>582.91200000000003</v>
      </c>
      <c r="J37" s="7" t="s">
        <v>88</v>
      </c>
    </row>
    <row r="38" spans="1:10" ht="13.95" customHeight="1" x14ac:dyDescent="0.3">
      <c r="A38" s="20">
        <v>45694</v>
      </c>
      <c r="B38" s="20" t="s">
        <v>3167</v>
      </c>
      <c r="C38" s="19" t="s">
        <v>8</v>
      </c>
      <c r="D38" s="19" t="s">
        <v>9</v>
      </c>
      <c r="E38" s="4">
        <v>0.5</v>
      </c>
      <c r="F38" s="42">
        <v>2.4</v>
      </c>
      <c r="G38" s="45">
        <v>256</v>
      </c>
      <c r="H38" s="22">
        <v>2.2000000000000002</v>
      </c>
      <c r="I38" s="6">
        <f t="shared" si="0"/>
        <v>675.84</v>
      </c>
      <c r="J38" s="7" t="s">
        <v>3056</v>
      </c>
    </row>
    <row r="39" spans="1:10" ht="13.95" customHeight="1" x14ac:dyDescent="0.3">
      <c r="A39" s="20">
        <v>45695</v>
      </c>
      <c r="B39" s="20" t="s">
        <v>3167</v>
      </c>
      <c r="C39" s="19" t="s">
        <v>11</v>
      </c>
      <c r="D39" s="19" t="s">
        <v>14</v>
      </c>
      <c r="E39" s="4">
        <v>0.6</v>
      </c>
      <c r="F39" s="42">
        <v>2.7</v>
      </c>
      <c r="G39" s="45">
        <v>256</v>
      </c>
      <c r="H39" s="22">
        <v>2.2000000000000002</v>
      </c>
      <c r="I39" s="6">
        <f t="shared" si="0"/>
        <v>912.38400000000013</v>
      </c>
      <c r="J39" s="7" t="s">
        <v>3057</v>
      </c>
    </row>
    <row r="40" spans="1:10" ht="13.95" customHeight="1" x14ac:dyDescent="0.3">
      <c r="A40" s="20">
        <v>45696</v>
      </c>
      <c r="B40" s="20" t="s">
        <v>3167</v>
      </c>
      <c r="C40" s="19" t="s">
        <v>13</v>
      </c>
      <c r="D40" s="19" t="s">
        <v>14</v>
      </c>
      <c r="E40" s="4">
        <v>0.8</v>
      </c>
      <c r="F40" s="42">
        <v>3.1</v>
      </c>
      <c r="G40" s="45">
        <v>256</v>
      </c>
      <c r="H40" s="22">
        <v>2.2000000000000002</v>
      </c>
      <c r="I40" s="6">
        <f t="shared" si="0"/>
        <v>1396.7360000000003</v>
      </c>
      <c r="J40" s="7" t="s">
        <v>1811</v>
      </c>
    </row>
    <row r="41" spans="1:10" ht="13.95" customHeight="1" x14ac:dyDescent="0.3">
      <c r="A41" s="20">
        <v>45697</v>
      </c>
      <c r="B41" s="20" t="s">
        <v>3167</v>
      </c>
      <c r="C41" s="19" t="s">
        <v>16</v>
      </c>
      <c r="D41" s="19" t="s">
        <v>14</v>
      </c>
      <c r="E41" s="4">
        <v>0.75</v>
      </c>
      <c r="F41" s="42">
        <v>2.85</v>
      </c>
      <c r="G41" s="45">
        <v>256</v>
      </c>
      <c r="H41" s="22">
        <v>2.2000000000000002</v>
      </c>
      <c r="I41" s="6">
        <f t="shared" si="0"/>
        <v>1203.8400000000001</v>
      </c>
      <c r="J41" s="7" t="s">
        <v>3058</v>
      </c>
    </row>
    <row r="42" spans="1:10" ht="13.95" customHeight="1" x14ac:dyDescent="0.3">
      <c r="A42" s="20">
        <v>45698</v>
      </c>
      <c r="B42" s="20" t="s">
        <v>3167</v>
      </c>
      <c r="C42" s="19" t="s">
        <v>18</v>
      </c>
      <c r="D42" s="19" t="s">
        <v>3059</v>
      </c>
      <c r="E42" s="4">
        <v>0.6</v>
      </c>
      <c r="F42" s="42">
        <v>2.5</v>
      </c>
      <c r="G42" s="45">
        <v>256</v>
      </c>
      <c r="H42" s="22">
        <v>2.2000000000000002</v>
      </c>
      <c r="I42" s="6">
        <f t="shared" si="0"/>
        <v>844.80000000000007</v>
      </c>
      <c r="J42" s="7" t="s">
        <v>3060</v>
      </c>
    </row>
    <row r="43" spans="1:10" ht="13.95" customHeight="1" x14ac:dyDescent="0.3">
      <c r="A43" s="20">
        <v>45699</v>
      </c>
      <c r="B43" s="20" t="s">
        <v>3167</v>
      </c>
      <c r="C43" s="19" t="s">
        <v>20</v>
      </c>
      <c r="D43" s="19" t="s">
        <v>3059</v>
      </c>
      <c r="E43" s="4">
        <v>0.6</v>
      </c>
      <c r="F43" s="42">
        <v>2.5</v>
      </c>
      <c r="G43" s="45">
        <v>256</v>
      </c>
      <c r="H43" s="22">
        <v>2.2000000000000002</v>
      </c>
      <c r="I43" s="6">
        <f t="shared" si="0"/>
        <v>844.80000000000007</v>
      </c>
      <c r="J43" s="7" t="s">
        <v>2629</v>
      </c>
    </row>
    <row r="44" spans="1:10" ht="13.95" customHeight="1" x14ac:dyDescent="0.3">
      <c r="A44" s="20">
        <v>45700</v>
      </c>
      <c r="B44" s="20" t="s">
        <v>3167</v>
      </c>
      <c r="C44" s="19" t="s">
        <v>5</v>
      </c>
      <c r="D44" s="19" t="s">
        <v>3059</v>
      </c>
      <c r="E44" s="4">
        <v>0.65</v>
      </c>
      <c r="F44" s="42">
        <v>2.5499999999999998</v>
      </c>
      <c r="G44" s="45">
        <v>256</v>
      </c>
      <c r="H44" s="22">
        <v>2.2000000000000002</v>
      </c>
      <c r="I44" s="6">
        <f t="shared" si="0"/>
        <v>933.50400000000002</v>
      </c>
      <c r="J44" s="7" t="s">
        <v>88</v>
      </c>
    </row>
    <row r="45" spans="1:10" ht="13.95" customHeight="1" x14ac:dyDescent="0.3">
      <c r="A45" s="20">
        <v>45701</v>
      </c>
      <c r="B45" s="20" t="s">
        <v>3167</v>
      </c>
      <c r="C45" s="19" t="s">
        <v>8</v>
      </c>
      <c r="D45" s="19" t="s">
        <v>1411</v>
      </c>
      <c r="E45" s="4">
        <v>0.75</v>
      </c>
      <c r="F45" s="42">
        <v>2.8</v>
      </c>
      <c r="G45" s="45">
        <v>256</v>
      </c>
      <c r="H45" s="22">
        <v>2.2000000000000002</v>
      </c>
      <c r="I45" s="6">
        <f t="shared" si="0"/>
        <v>1182.7199999999998</v>
      </c>
      <c r="J45" s="7" t="s">
        <v>1653</v>
      </c>
    </row>
    <row r="46" spans="1:10" ht="13.95" customHeight="1" x14ac:dyDescent="0.3">
      <c r="A46" s="20">
        <v>45702</v>
      </c>
      <c r="B46" s="20" t="s">
        <v>3167</v>
      </c>
      <c r="C46" s="19" t="s">
        <v>11</v>
      </c>
      <c r="D46" s="19" t="s">
        <v>1939</v>
      </c>
      <c r="E46" s="4">
        <v>0.95</v>
      </c>
      <c r="F46" s="42">
        <v>3.8</v>
      </c>
      <c r="G46" s="45">
        <v>256</v>
      </c>
      <c r="H46" s="22">
        <v>2.2000000000000002</v>
      </c>
      <c r="I46" s="6">
        <f t="shared" si="0"/>
        <v>2033.152</v>
      </c>
      <c r="J46" s="7" t="s">
        <v>3061</v>
      </c>
    </row>
    <row r="47" spans="1:10" ht="13.95" customHeight="1" x14ac:dyDescent="0.3">
      <c r="A47" s="20">
        <v>45703</v>
      </c>
      <c r="B47" s="20" t="s">
        <v>3167</v>
      </c>
      <c r="C47" s="19" t="s">
        <v>13</v>
      </c>
      <c r="D47" s="19" t="s">
        <v>2877</v>
      </c>
      <c r="E47" s="4">
        <v>1</v>
      </c>
      <c r="F47" s="42">
        <v>3.5</v>
      </c>
      <c r="G47" s="45">
        <v>256</v>
      </c>
      <c r="H47" s="22">
        <v>2.2000000000000002</v>
      </c>
      <c r="I47" s="6">
        <f t="shared" si="0"/>
        <v>1971.2000000000003</v>
      </c>
      <c r="J47" s="7" t="s">
        <v>3062</v>
      </c>
    </row>
    <row r="48" spans="1:10" ht="13.95" customHeight="1" x14ac:dyDescent="0.3">
      <c r="A48" s="20">
        <v>45704</v>
      </c>
      <c r="B48" s="20" t="s">
        <v>3167</v>
      </c>
      <c r="C48" s="19" t="s">
        <v>16</v>
      </c>
      <c r="D48" s="19" t="s">
        <v>14</v>
      </c>
      <c r="E48" s="4">
        <v>0.85</v>
      </c>
      <c r="F48" s="42">
        <v>2.9</v>
      </c>
      <c r="G48" s="45">
        <v>256</v>
      </c>
      <c r="H48" s="22">
        <v>2.2000000000000002</v>
      </c>
      <c r="I48" s="6">
        <f t="shared" si="0"/>
        <v>1388.288</v>
      </c>
      <c r="J48" s="7" t="s">
        <v>3063</v>
      </c>
    </row>
    <row r="49" spans="1:10" ht="13.95" customHeight="1" x14ac:dyDescent="0.3">
      <c r="A49" s="20">
        <v>45705</v>
      </c>
      <c r="B49" s="20" t="s">
        <v>3167</v>
      </c>
      <c r="C49" s="19" t="s">
        <v>18</v>
      </c>
      <c r="D49" s="19" t="s">
        <v>9</v>
      </c>
      <c r="E49" s="4">
        <v>0.5</v>
      </c>
      <c r="F49" s="42">
        <v>2.35</v>
      </c>
      <c r="G49" s="45">
        <v>256</v>
      </c>
      <c r="H49" s="22">
        <v>2.2000000000000002</v>
      </c>
      <c r="I49" s="6">
        <f t="shared" si="0"/>
        <v>661.7600000000001</v>
      </c>
      <c r="J49" s="7" t="s">
        <v>3064</v>
      </c>
    </row>
    <row r="50" spans="1:10" ht="13.95" customHeight="1" x14ac:dyDescent="0.3">
      <c r="A50" s="20">
        <v>45706</v>
      </c>
      <c r="B50" s="20" t="s">
        <v>3167</v>
      </c>
      <c r="C50" s="19" t="s">
        <v>20</v>
      </c>
      <c r="D50" s="19" t="s">
        <v>9</v>
      </c>
      <c r="E50" s="4">
        <v>0.5</v>
      </c>
      <c r="F50" s="42">
        <v>2.35</v>
      </c>
      <c r="G50" s="45">
        <v>256</v>
      </c>
      <c r="H50" s="22">
        <v>2.2000000000000002</v>
      </c>
      <c r="I50" s="6">
        <f t="shared" si="0"/>
        <v>661.7600000000001</v>
      </c>
      <c r="J50" s="7" t="s">
        <v>88</v>
      </c>
    </row>
    <row r="51" spans="1:10" ht="13.95" customHeight="1" x14ac:dyDescent="0.3">
      <c r="A51" s="20">
        <v>45707</v>
      </c>
      <c r="B51" s="20" t="s">
        <v>3167</v>
      </c>
      <c r="C51" s="19" t="s">
        <v>5</v>
      </c>
      <c r="D51" s="19" t="s">
        <v>9</v>
      </c>
      <c r="E51" s="4">
        <v>0.5</v>
      </c>
      <c r="F51" s="42">
        <v>2.35</v>
      </c>
      <c r="G51" s="45">
        <v>256</v>
      </c>
      <c r="H51" s="22">
        <v>2.2000000000000002</v>
      </c>
      <c r="I51" s="6">
        <f t="shared" si="0"/>
        <v>661.7600000000001</v>
      </c>
      <c r="J51" s="7" t="s">
        <v>88</v>
      </c>
    </row>
    <row r="52" spans="1:10" ht="13.95" customHeight="1" x14ac:dyDescent="0.3">
      <c r="A52" s="20">
        <v>45708</v>
      </c>
      <c r="B52" s="20" t="s">
        <v>3167</v>
      </c>
      <c r="C52" s="19" t="s">
        <v>8</v>
      </c>
      <c r="D52" s="19" t="s">
        <v>9</v>
      </c>
      <c r="E52" s="4">
        <v>0.55000000000000004</v>
      </c>
      <c r="F52" s="42">
        <v>2.4500000000000002</v>
      </c>
      <c r="G52" s="45">
        <v>256</v>
      </c>
      <c r="H52" s="22">
        <v>2.2000000000000002</v>
      </c>
      <c r="I52" s="6">
        <f t="shared" si="0"/>
        <v>758.91200000000015</v>
      </c>
      <c r="J52" s="7" t="s">
        <v>88</v>
      </c>
    </row>
    <row r="53" spans="1:10" ht="13.95" customHeight="1" x14ac:dyDescent="0.3">
      <c r="A53" s="20">
        <v>45709</v>
      </c>
      <c r="B53" s="20" t="s">
        <v>3167</v>
      </c>
      <c r="C53" s="19" t="s">
        <v>11</v>
      </c>
      <c r="D53" s="19" t="s">
        <v>14</v>
      </c>
      <c r="E53" s="4">
        <v>0.65</v>
      </c>
      <c r="F53" s="42">
        <v>2.75</v>
      </c>
      <c r="G53" s="45">
        <v>256</v>
      </c>
      <c r="H53" s="22">
        <v>2.2000000000000002</v>
      </c>
      <c r="I53" s="6">
        <f t="shared" si="0"/>
        <v>1006.7200000000001</v>
      </c>
      <c r="J53" s="7" t="s">
        <v>390</v>
      </c>
    </row>
    <row r="54" spans="1:10" ht="13.95" customHeight="1" x14ac:dyDescent="0.3">
      <c r="A54" s="20">
        <v>45710</v>
      </c>
      <c r="B54" s="20" t="s">
        <v>3167</v>
      </c>
      <c r="C54" s="19" t="s">
        <v>13</v>
      </c>
      <c r="D54" s="19" t="s">
        <v>14</v>
      </c>
      <c r="E54" s="4">
        <v>0.85</v>
      </c>
      <c r="F54" s="42">
        <v>3.15</v>
      </c>
      <c r="G54" s="45">
        <v>256</v>
      </c>
      <c r="H54" s="22">
        <v>2.2000000000000002</v>
      </c>
      <c r="I54" s="6">
        <f t="shared" si="0"/>
        <v>1507.9680000000001</v>
      </c>
      <c r="J54" s="7" t="s">
        <v>2454</v>
      </c>
    </row>
    <row r="55" spans="1:10" ht="13.95" customHeight="1" x14ac:dyDescent="0.3">
      <c r="A55" s="20">
        <v>45711</v>
      </c>
      <c r="B55" s="20" t="s">
        <v>3167</v>
      </c>
      <c r="C55" s="19" t="s">
        <v>16</v>
      </c>
      <c r="D55" s="19" t="s">
        <v>14</v>
      </c>
      <c r="E55" s="4">
        <v>0.8</v>
      </c>
      <c r="F55" s="42">
        <v>2.9</v>
      </c>
      <c r="G55" s="45">
        <v>256</v>
      </c>
      <c r="H55" s="22">
        <v>2.2000000000000002</v>
      </c>
      <c r="I55" s="6">
        <f t="shared" si="0"/>
        <v>1306.624</v>
      </c>
      <c r="J55" s="7" t="s">
        <v>3065</v>
      </c>
    </row>
    <row r="56" spans="1:10" ht="13.95" customHeight="1" x14ac:dyDescent="0.3">
      <c r="A56" s="20">
        <v>45712</v>
      </c>
      <c r="B56" s="20" t="s">
        <v>3167</v>
      </c>
      <c r="C56" s="19" t="s">
        <v>18</v>
      </c>
      <c r="D56" s="19" t="s">
        <v>9</v>
      </c>
      <c r="E56" s="4">
        <v>0.45</v>
      </c>
      <c r="F56" s="42">
        <v>2.2999999999999998</v>
      </c>
      <c r="G56" s="45">
        <v>256</v>
      </c>
      <c r="H56" s="22">
        <v>2.2000000000000002</v>
      </c>
      <c r="I56" s="6">
        <f t="shared" si="0"/>
        <v>582.91200000000003</v>
      </c>
      <c r="J56" s="7" t="s">
        <v>3066</v>
      </c>
    </row>
    <row r="57" spans="1:10" ht="13.95" customHeight="1" x14ac:dyDescent="0.3">
      <c r="A57" s="20">
        <v>45713</v>
      </c>
      <c r="B57" s="20" t="s">
        <v>3167</v>
      </c>
      <c r="C57" s="19" t="s">
        <v>20</v>
      </c>
      <c r="D57" s="19" t="s">
        <v>9</v>
      </c>
      <c r="E57" s="4">
        <v>0.45</v>
      </c>
      <c r="F57" s="42">
        <v>2.2999999999999998</v>
      </c>
      <c r="G57" s="45">
        <v>256</v>
      </c>
      <c r="H57" s="22">
        <v>2.2000000000000002</v>
      </c>
      <c r="I57" s="6">
        <f t="shared" si="0"/>
        <v>582.91200000000003</v>
      </c>
      <c r="J57" s="7" t="s">
        <v>88</v>
      </c>
    </row>
    <row r="58" spans="1:10" ht="13.95" customHeight="1" x14ac:dyDescent="0.3">
      <c r="A58" s="20">
        <v>45714</v>
      </c>
      <c r="B58" s="20" t="s">
        <v>3167</v>
      </c>
      <c r="C58" s="19" t="s">
        <v>5</v>
      </c>
      <c r="D58" s="19" t="s">
        <v>9</v>
      </c>
      <c r="E58" s="4">
        <v>0.45</v>
      </c>
      <c r="F58" s="42">
        <v>2.2999999999999998</v>
      </c>
      <c r="G58" s="45">
        <v>256</v>
      </c>
      <c r="H58" s="22">
        <v>2.2000000000000002</v>
      </c>
      <c r="I58" s="6">
        <f t="shared" si="0"/>
        <v>582.91200000000003</v>
      </c>
      <c r="J58" s="7" t="s">
        <v>88</v>
      </c>
    </row>
    <row r="59" spans="1:10" ht="13.95" customHeight="1" x14ac:dyDescent="0.3">
      <c r="A59" s="20">
        <v>45715</v>
      </c>
      <c r="B59" s="20" t="s">
        <v>3167</v>
      </c>
      <c r="C59" s="19" t="s">
        <v>8</v>
      </c>
      <c r="D59" s="19" t="s">
        <v>9</v>
      </c>
      <c r="E59" s="4">
        <v>0.5</v>
      </c>
      <c r="F59" s="42">
        <v>2.4</v>
      </c>
      <c r="G59" s="45">
        <v>256</v>
      </c>
      <c r="H59" s="22">
        <v>2.2000000000000002</v>
      </c>
      <c r="I59" s="6">
        <f t="shared" si="0"/>
        <v>675.84</v>
      </c>
      <c r="J59" s="7" t="s">
        <v>88</v>
      </c>
    </row>
    <row r="60" spans="1:10" ht="13.95" customHeight="1" x14ac:dyDescent="0.3">
      <c r="A60" s="20">
        <v>45716</v>
      </c>
      <c r="B60" s="20" t="s">
        <v>3167</v>
      </c>
      <c r="C60" s="19" t="s">
        <v>11</v>
      </c>
      <c r="D60" s="19" t="s">
        <v>14</v>
      </c>
      <c r="E60" s="4">
        <v>0.65</v>
      </c>
      <c r="F60" s="42">
        <v>2.8</v>
      </c>
      <c r="G60" s="45">
        <v>256</v>
      </c>
      <c r="H60" s="22">
        <v>2.2000000000000002</v>
      </c>
      <c r="I60" s="6">
        <f t="shared" si="0"/>
        <v>1025.0239999999999</v>
      </c>
      <c r="J60" s="7" t="s">
        <v>1416</v>
      </c>
    </row>
    <row r="61" spans="1:10" ht="13.95" customHeight="1" x14ac:dyDescent="0.3">
      <c r="A61" s="20">
        <v>45717</v>
      </c>
      <c r="B61" s="20" t="s">
        <v>3167</v>
      </c>
      <c r="C61" s="19" t="s">
        <v>13</v>
      </c>
      <c r="D61" s="19" t="s">
        <v>3067</v>
      </c>
      <c r="E61" s="4">
        <v>0.65</v>
      </c>
      <c r="F61" s="42">
        <v>2.9</v>
      </c>
      <c r="G61" s="45">
        <v>256</v>
      </c>
      <c r="H61" s="22">
        <v>2.2000000000000002</v>
      </c>
      <c r="I61" s="6">
        <f t="shared" si="0"/>
        <v>1061.6320000000001</v>
      </c>
      <c r="J61" s="7" t="s">
        <v>3068</v>
      </c>
    </row>
    <row r="62" spans="1:10" ht="13.95" customHeight="1" x14ac:dyDescent="0.3">
      <c r="A62" s="20">
        <v>45718</v>
      </c>
      <c r="B62" s="20" t="s">
        <v>3167</v>
      </c>
      <c r="C62" s="19" t="s">
        <v>16</v>
      </c>
      <c r="D62" s="19" t="s">
        <v>14</v>
      </c>
      <c r="E62" s="4">
        <v>0.6</v>
      </c>
      <c r="F62" s="42">
        <v>2.7</v>
      </c>
      <c r="G62" s="45">
        <v>256</v>
      </c>
      <c r="H62" s="22">
        <v>2.2000000000000002</v>
      </c>
      <c r="I62" s="6">
        <f t="shared" si="0"/>
        <v>912.38400000000013</v>
      </c>
      <c r="J62" s="7" t="s">
        <v>3069</v>
      </c>
    </row>
    <row r="63" spans="1:10" ht="13.95" customHeight="1" x14ac:dyDescent="0.3">
      <c r="A63" s="20">
        <v>45719</v>
      </c>
      <c r="B63" s="20" t="s">
        <v>3167</v>
      </c>
      <c r="C63" s="19" t="s">
        <v>18</v>
      </c>
      <c r="D63" s="19" t="s">
        <v>76</v>
      </c>
      <c r="E63" s="4">
        <v>0.4</v>
      </c>
      <c r="F63" s="42">
        <v>2.2999999999999998</v>
      </c>
      <c r="G63" s="45">
        <v>256</v>
      </c>
      <c r="H63" s="22">
        <v>2.2000000000000002</v>
      </c>
      <c r="I63" s="6">
        <f t="shared" si="0"/>
        <v>518.14400000000001</v>
      </c>
      <c r="J63" s="7" t="s">
        <v>2194</v>
      </c>
    </row>
    <row r="64" spans="1:10" ht="13.95" customHeight="1" x14ac:dyDescent="0.3">
      <c r="A64" s="20">
        <v>45720</v>
      </c>
      <c r="B64" s="20" t="s">
        <v>3167</v>
      </c>
      <c r="C64" s="19" t="s">
        <v>20</v>
      </c>
      <c r="D64" s="19" t="s">
        <v>76</v>
      </c>
      <c r="E64" s="4">
        <v>0.4</v>
      </c>
      <c r="F64" s="42">
        <v>2.2999999999999998</v>
      </c>
      <c r="G64" s="45">
        <v>256</v>
      </c>
      <c r="H64" s="22">
        <v>2.2000000000000002</v>
      </c>
      <c r="I64" s="6">
        <f t="shared" si="0"/>
        <v>518.14400000000001</v>
      </c>
      <c r="J64" s="7" t="s">
        <v>88</v>
      </c>
    </row>
    <row r="65" spans="1:10" ht="13.95" customHeight="1" x14ac:dyDescent="0.3">
      <c r="A65" s="20">
        <v>45721</v>
      </c>
      <c r="B65" s="20" t="s">
        <v>3167</v>
      </c>
      <c r="C65" s="19" t="s">
        <v>5</v>
      </c>
      <c r="D65" s="19" t="s">
        <v>76</v>
      </c>
      <c r="E65" s="4">
        <v>0.4</v>
      </c>
      <c r="F65" s="42">
        <v>2.2999999999999998</v>
      </c>
      <c r="G65" s="45">
        <v>256</v>
      </c>
      <c r="H65" s="22">
        <v>2.2000000000000002</v>
      </c>
      <c r="I65" s="6">
        <f t="shared" si="0"/>
        <v>518.14400000000001</v>
      </c>
      <c r="J65" s="7" t="s">
        <v>88</v>
      </c>
    </row>
    <row r="66" spans="1:10" ht="13.95" customHeight="1" x14ac:dyDescent="0.3">
      <c r="A66" s="20">
        <v>45722</v>
      </c>
      <c r="B66" s="20" t="s">
        <v>3167</v>
      </c>
      <c r="C66" s="19" t="s">
        <v>8</v>
      </c>
      <c r="D66" s="19" t="s">
        <v>3070</v>
      </c>
      <c r="E66" s="4">
        <v>0.55000000000000004</v>
      </c>
      <c r="F66" s="42">
        <v>2.6</v>
      </c>
      <c r="G66" s="45">
        <v>256</v>
      </c>
      <c r="H66" s="22">
        <v>2.2000000000000002</v>
      </c>
      <c r="I66" s="6">
        <f t="shared" si="0"/>
        <v>805.3760000000002</v>
      </c>
      <c r="J66" s="7" t="s">
        <v>3071</v>
      </c>
    </row>
    <row r="67" spans="1:10" ht="13.95" customHeight="1" x14ac:dyDescent="0.3">
      <c r="A67" s="20">
        <v>45723</v>
      </c>
      <c r="B67" s="20" t="s">
        <v>3167</v>
      </c>
      <c r="C67" s="19" t="s">
        <v>11</v>
      </c>
      <c r="D67" s="19" t="s">
        <v>14</v>
      </c>
      <c r="E67" s="4">
        <v>0.6</v>
      </c>
      <c r="F67" s="42">
        <v>2.8</v>
      </c>
      <c r="G67" s="45">
        <v>256</v>
      </c>
      <c r="H67" s="22">
        <v>2.2000000000000002</v>
      </c>
      <c r="I67" s="6">
        <f t="shared" ref="I67:I130" si="1">(G67*E67)*F67*H67</f>
        <v>946.17600000000004</v>
      </c>
      <c r="J67" s="7" t="s">
        <v>3072</v>
      </c>
    </row>
    <row r="68" spans="1:10" ht="13.95" customHeight="1" x14ac:dyDescent="0.3">
      <c r="A68" s="20">
        <v>45724</v>
      </c>
      <c r="B68" s="20" t="s">
        <v>3167</v>
      </c>
      <c r="C68" s="19" t="s">
        <v>13</v>
      </c>
      <c r="D68" s="19" t="s">
        <v>14</v>
      </c>
      <c r="E68" s="4">
        <v>0.75</v>
      </c>
      <c r="F68" s="42">
        <v>3.1</v>
      </c>
      <c r="G68" s="45">
        <v>256</v>
      </c>
      <c r="H68" s="22">
        <v>2.2000000000000002</v>
      </c>
      <c r="I68" s="6">
        <f t="shared" si="1"/>
        <v>1309.4400000000003</v>
      </c>
      <c r="J68" s="7" t="s">
        <v>3073</v>
      </c>
    </row>
    <row r="69" spans="1:10" ht="13.95" customHeight="1" x14ac:dyDescent="0.3">
      <c r="A69" s="20">
        <v>45725</v>
      </c>
      <c r="B69" s="20" t="s">
        <v>3167</v>
      </c>
      <c r="C69" s="19" t="s">
        <v>16</v>
      </c>
      <c r="D69" s="19" t="s">
        <v>14</v>
      </c>
      <c r="E69" s="4">
        <v>0.7</v>
      </c>
      <c r="F69" s="42">
        <v>2.8</v>
      </c>
      <c r="G69" s="45">
        <v>256</v>
      </c>
      <c r="H69" s="22">
        <v>2.2000000000000002</v>
      </c>
      <c r="I69" s="6">
        <f t="shared" si="1"/>
        <v>1103.8719999999998</v>
      </c>
      <c r="J69" s="7" t="s">
        <v>3074</v>
      </c>
    </row>
    <row r="70" spans="1:10" ht="13.95" customHeight="1" x14ac:dyDescent="0.3">
      <c r="A70" s="20">
        <v>45726</v>
      </c>
      <c r="B70" s="20" t="s">
        <v>3167</v>
      </c>
      <c r="C70" s="19" t="s">
        <v>18</v>
      </c>
      <c r="D70" s="19" t="s">
        <v>76</v>
      </c>
      <c r="E70" s="4">
        <v>0.4</v>
      </c>
      <c r="F70" s="42">
        <v>2.2999999999999998</v>
      </c>
      <c r="G70" s="45">
        <v>256</v>
      </c>
      <c r="H70" s="22">
        <v>2.2000000000000002</v>
      </c>
      <c r="I70" s="6">
        <f t="shared" si="1"/>
        <v>518.14400000000001</v>
      </c>
      <c r="J70" s="7" t="s">
        <v>88</v>
      </c>
    </row>
    <row r="71" spans="1:10" ht="13.95" customHeight="1" x14ac:dyDescent="0.3">
      <c r="A71" s="20">
        <v>45727</v>
      </c>
      <c r="B71" s="20" t="s">
        <v>3167</v>
      </c>
      <c r="C71" s="19" t="s">
        <v>20</v>
      </c>
      <c r="D71" s="19" t="s">
        <v>76</v>
      </c>
      <c r="E71" s="4">
        <v>0.4</v>
      </c>
      <c r="F71" s="42">
        <v>2.2999999999999998</v>
      </c>
      <c r="G71" s="45">
        <v>256</v>
      </c>
      <c r="H71" s="22">
        <v>2.2000000000000002</v>
      </c>
      <c r="I71" s="6">
        <f t="shared" si="1"/>
        <v>518.14400000000001</v>
      </c>
      <c r="J71" s="7" t="s">
        <v>88</v>
      </c>
    </row>
    <row r="72" spans="1:10" ht="13.95" customHeight="1" x14ac:dyDescent="0.3">
      <c r="A72" s="20">
        <v>45728</v>
      </c>
      <c r="B72" s="20" t="s">
        <v>3167</v>
      </c>
      <c r="C72" s="19" t="s">
        <v>5</v>
      </c>
      <c r="D72" s="19" t="s">
        <v>76</v>
      </c>
      <c r="E72" s="4">
        <v>0.45</v>
      </c>
      <c r="F72" s="42">
        <v>2.35</v>
      </c>
      <c r="G72" s="45">
        <v>256</v>
      </c>
      <c r="H72" s="22">
        <v>2.2000000000000002</v>
      </c>
      <c r="I72" s="6">
        <f t="shared" si="1"/>
        <v>595.58400000000006</v>
      </c>
      <c r="J72" s="7" t="s">
        <v>88</v>
      </c>
    </row>
    <row r="73" spans="1:10" ht="13.95" customHeight="1" x14ac:dyDescent="0.3">
      <c r="A73" s="20">
        <v>45729</v>
      </c>
      <c r="B73" s="20" t="s">
        <v>3167</v>
      </c>
      <c r="C73" s="19" t="s">
        <v>8</v>
      </c>
      <c r="D73" s="19" t="s">
        <v>3070</v>
      </c>
      <c r="E73" s="4">
        <v>0.6</v>
      </c>
      <c r="F73" s="42">
        <v>2.65</v>
      </c>
      <c r="G73" s="45">
        <v>256</v>
      </c>
      <c r="H73" s="22">
        <v>2.2000000000000002</v>
      </c>
      <c r="I73" s="6">
        <f t="shared" si="1"/>
        <v>895.48799999999994</v>
      </c>
      <c r="J73" s="7" t="s">
        <v>3075</v>
      </c>
    </row>
    <row r="74" spans="1:10" ht="13.95" customHeight="1" x14ac:dyDescent="0.3">
      <c r="A74" s="20">
        <v>45730</v>
      </c>
      <c r="B74" s="20" t="s">
        <v>3167</v>
      </c>
      <c r="C74" s="19" t="s">
        <v>11</v>
      </c>
      <c r="D74" s="19" t="s">
        <v>14</v>
      </c>
      <c r="E74" s="4">
        <v>0.65</v>
      </c>
      <c r="F74" s="42">
        <v>2.85</v>
      </c>
      <c r="G74" s="45">
        <v>256</v>
      </c>
      <c r="H74" s="22">
        <v>2.2000000000000002</v>
      </c>
      <c r="I74" s="6">
        <f t="shared" si="1"/>
        <v>1043.3280000000002</v>
      </c>
      <c r="J74" s="7" t="s">
        <v>3076</v>
      </c>
    </row>
    <row r="75" spans="1:10" ht="13.95" customHeight="1" x14ac:dyDescent="0.3">
      <c r="A75" s="20">
        <v>45731</v>
      </c>
      <c r="B75" s="20" t="s">
        <v>3167</v>
      </c>
      <c r="C75" s="19" t="s">
        <v>13</v>
      </c>
      <c r="D75" s="19" t="s">
        <v>14</v>
      </c>
      <c r="E75" s="4">
        <v>0.8</v>
      </c>
      <c r="F75" s="42">
        <v>3.2</v>
      </c>
      <c r="G75" s="45">
        <v>256</v>
      </c>
      <c r="H75" s="22">
        <v>2.2000000000000002</v>
      </c>
      <c r="I75" s="6">
        <f t="shared" si="1"/>
        <v>1441.7920000000004</v>
      </c>
      <c r="J75" s="7" t="s">
        <v>2498</v>
      </c>
    </row>
    <row r="76" spans="1:10" ht="13.95" customHeight="1" x14ac:dyDescent="0.3">
      <c r="A76" s="20">
        <v>45732</v>
      </c>
      <c r="B76" s="20" t="s">
        <v>3167</v>
      </c>
      <c r="C76" s="19" t="s">
        <v>16</v>
      </c>
      <c r="D76" s="19" t="s">
        <v>14</v>
      </c>
      <c r="E76" s="4">
        <v>0.75</v>
      </c>
      <c r="F76" s="42">
        <v>2.85</v>
      </c>
      <c r="G76" s="45">
        <v>256</v>
      </c>
      <c r="H76" s="22">
        <v>2.2000000000000002</v>
      </c>
      <c r="I76" s="6">
        <f t="shared" si="1"/>
        <v>1203.8400000000001</v>
      </c>
      <c r="J76" s="7" t="s">
        <v>1336</v>
      </c>
    </row>
    <row r="77" spans="1:10" ht="13.95" customHeight="1" x14ac:dyDescent="0.3">
      <c r="A77" s="20">
        <v>45733</v>
      </c>
      <c r="B77" s="20" t="s">
        <v>3167</v>
      </c>
      <c r="C77" s="19" t="s">
        <v>18</v>
      </c>
      <c r="D77" s="19" t="s">
        <v>76</v>
      </c>
      <c r="E77" s="4">
        <v>0.45</v>
      </c>
      <c r="F77" s="42">
        <v>2.35</v>
      </c>
      <c r="G77" s="45">
        <v>256</v>
      </c>
      <c r="H77" s="22">
        <v>2.2000000000000002</v>
      </c>
      <c r="I77" s="6">
        <f t="shared" si="1"/>
        <v>595.58400000000006</v>
      </c>
      <c r="J77" s="7" t="s">
        <v>88</v>
      </c>
    </row>
    <row r="78" spans="1:10" ht="13.95" customHeight="1" x14ac:dyDescent="0.3">
      <c r="A78" s="20">
        <v>45734</v>
      </c>
      <c r="B78" s="20" t="s">
        <v>3167</v>
      </c>
      <c r="C78" s="19" t="s">
        <v>20</v>
      </c>
      <c r="D78" s="19" t="s">
        <v>76</v>
      </c>
      <c r="E78" s="4">
        <v>0.45</v>
      </c>
      <c r="F78" s="42">
        <v>2.35</v>
      </c>
      <c r="G78" s="45">
        <v>256</v>
      </c>
      <c r="H78" s="22">
        <v>2.2000000000000002</v>
      </c>
      <c r="I78" s="6">
        <f t="shared" si="1"/>
        <v>595.58400000000006</v>
      </c>
      <c r="J78" s="7" t="s">
        <v>88</v>
      </c>
    </row>
    <row r="79" spans="1:10" ht="13.95" customHeight="1" x14ac:dyDescent="0.3">
      <c r="A79" s="20">
        <v>45735</v>
      </c>
      <c r="B79" s="20" t="s">
        <v>3167</v>
      </c>
      <c r="C79" s="19" t="s">
        <v>5</v>
      </c>
      <c r="D79" s="19" t="s">
        <v>76</v>
      </c>
      <c r="E79" s="4">
        <v>0.5</v>
      </c>
      <c r="F79" s="42">
        <v>2.4</v>
      </c>
      <c r="G79" s="45">
        <v>256</v>
      </c>
      <c r="H79" s="22">
        <v>2.2000000000000002</v>
      </c>
      <c r="I79" s="6">
        <f t="shared" si="1"/>
        <v>675.84</v>
      </c>
      <c r="J79" s="7" t="s">
        <v>88</v>
      </c>
    </row>
    <row r="80" spans="1:10" ht="13.95" customHeight="1" x14ac:dyDescent="0.3">
      <c r="A80" s="20">
        <v>45736</v>
      </c>
      <c r="B80" s="20" t="s">
        <v>3167</v>
      </c>
      <c r="C80" s="19" t="s">
        <v>8</v>
      </c>
      <c r="D80" s="19" t="s">
        <v>2740</v>
      </c>
      <c r="E80" s="4">
        <v>0.75</v>
      </c>
      <c r="F80" s="42">
        <v>3</v>
      </c>
      <c r="G80" s="45">
        <v>256</v>
      </c>
      <c r="H80" s="22">
        <v>2.2000000000000002</v>
      </c>
      <c r="I80" s="6">
        <f t="shared" si="1"/>
        <v>1267.2</v>
      </c>
      <c r="J80" s="7" t="s">
        <v>2230</v>
      </c>
    </row>
    <row r="81" spans="1:10" ht="13.95" customHeight="1" x14ac:dyDescent="0.3">
      <c r="A81" s="20">
        <v>45737</v>
      </c>
      <c r="B81" s="20" t="s">
        <v>3167</v>
      </c>
      <c r="C81" s="19" t="s">
        <v>11</v>
      </c>
      <c r="D81" s="19" t="s">
        <v>14</v>
      </c>
      <c r="E81" s="4">
        <v>0.7</v>
      </c>
      <c r="F81" s="42">
        <v>2.85</v>
      </c>
      <c r="G81" s="45">
        <v>256</v>
      </c>
      <c r="H81" s="22">
        <v>2.2000000000000002</v>
      </c>
      <c r="I81" s="6">
        <f t="shared" si="1"/>
        <v>1123.5840000000001</v>
      </c>
      <c r="J81" s="7" t="s">
        <v>197</v>
      </c>
    </row>
    <row r="82" spans="1:10" ht="13.95" customHeight="1" x14ac:dyDescent="0.3">
      <c r="A82" s="20">
        <v>45738</v>
      </c>
      <c r="B82" s="20" t="s">
        <v>3167</v>
      </c>
      <c r="C82" s="19" t="s">
        <v>13</v>
      </c>
      <c r="D82" s="19" t="s">
        <v>14</v>
      </c>
      <c r="E82" s="4">
        <v>0.85</v>
      </c>
      <c r="F82" s="42">
        <v>3.25</v>
      </c>
      <c r="G82" s="45">
        <v>256</v>
      </c>
      <c r="H82" s="22">
        <v>2.2000000000000002</v>
      </c>
      <c r="I82" s="6">
        <f t="shared" si="1"/>
        <v>1555.84</v>
      </c>
      <c r="J82" s="7" t="s">
        <v>2312</v>
      </c>
    </row>
    <row r="83" spans="1:10" ht="13.95" customHeight="1" x14ac:dyDescent="0.3">
      <c r="A83" s="20">
        <v>45739</v>
      </c>
      <c r="B83" s="20" t="s">
        <v>3167</v>
      </c>
      <c r="C83" s="19" t="s">
        <v>16</v>
      </c>
      <c r="D83" s="19" t="s">
        <v>14</v>
      </c>
      <c r="E83" s="4">
        <v>0.8</v>
      </c>
      <c r="F83" s="42">
        <v>2.9</v>
      </c>
      <c r="G83" s="45">
        <v>256</v>
      </c>
      <c r="H83" s="22">
        <v>2.2000000000000002</v>
      </c>
      <c r="I83" s="6">
        <f t="shared" si="1"/>
        <v>1306.624</v>
      </c>
      <c r="J83" s="7" t="s">
        <v>139</v>
      </c>
    </row>
    <row r="84" spans="1:10" ht="13.95" customHeight="1" x14ac:dyDescent="0.3">
      <c r="A84" s="20">
        <v>45740</v>
      </c>
      <c r="B84" s="20" t="s">
        <v>3167</v>
      </c>
      <c r="C84" s="19" t="s">
        <v>18</v>
      </c>
      <c r="D84" s="19" t="s">
        <v>76</v>
      </c>
      <c r="E84" s="4">
        <v>0.5</v>
      </c>
      <c r="F84" s="42">
        <v>2.4</v>
      </c>
      <c r="G84" s="45">
        <v>256</v>
      </c>
      <c r="H84" s="22">
        <v>2.2000000000000002</v>
      </c>
      <c r="I84" s="6">
        <f t="shared" si="1"/>
        <v>675.84</v>
      </c>
      <c r="J84" s="7" t="s">
        <v>88</v>
      </c>
    </row>
    <row r="85" spans="1:10" ht="13.95" customHeight="1" x14ac:dyDescent="0.3">
      <c r="A85" s="20">
        <v>45741</v>
      </c>
      <c r="B85" s="20" t="s">
        <v>3167</v>
      </c>
      <c r="C85" s="19" t="s">
        <v>20</v>
      </c>
      <c r="D85" s="19" t="s">
        <v>76</v>
      </c>
      <c r="E85" s="4">
        <v>0.5</v>
      </c>
      <c r="F85" s="42">
        <v>2.4</v>
      </c>
      <c r="G85" s="45">
        <v>256</v>
      </c>
      <c r="H85" s="22">
        <v>2.2000000000000002</v>
      </c>
      <c r="I85" s="6">
        <f t="shared" si="1"/>
        <v>675.84</v>
      </c>
      <c r="J85" s="7" t="s">
        <v>88</v>
      </c>
    </row>
    <row r="86" spans="1:10" ht="13.95" customHeight="1" x14ac:dyDescent="0.3">
      <c r="A86" s="20">
        <v>45742</v>
      </c>
      <c r="B86" s="20" t="s">
        <v>3167</v>
      </c>
      <c r="C86" s="19" t="s">
        <v>5</v>
      </c>
      <c r="D86" s="19" t="s">
        <v>76</v>
      </c>
      <c r="E86" s="4">
        <v>0.55000000000000004</v>
      </c>
      <c r="F86" s="42">
        <v>2.4500000000000002</v>
      </c>
      <c r="G86" s="45">
        <v>256</v>
      </c>
      <c r="H86" s="22">
        <v>2.2000000000000002</v>
      </c>
      <c r="I86" s="6">
        <f t="shared" si="1"/>
        <v>758.91200000000015</v>
      </c>
      <c r="J86" s="7" t="s">
        <v>88</v>
      </c>
    </row>
    <row r="87" spans="1:10" ht="13.95" customHeight="1" x14ac:dyDescent="0.3">
      <c r="A87" s="20">
        <v>45743</v>
      </c>
      <c r="B87" s="20" t="s">
        <v>3167</v>
      </c>
      <c r="C87" s="19" t="s">
        <v>8</v>
      </c>
      <c r="D87" s="19" t="s">
        <v>764</v>
      </c>
      <c r="E87" s="4">
        <v>0.6</v>
      </c>
      <c r="F87" s="42">
        <v>2.5499999999999998</v>
      </c>
      <c r="G87" s="45">
        <v>256</v>
      </c>
      <c r="H87" s="22">
        <v>2.2000000000000002</v>
      </c>
      <c r="I87" s="6">
        <f t="shared" si="1"/>
        <v>861.69599999999991</v>
      </c>
      <c r="J87" s="7" t="s">
        <v>1440</v>
      </c>
    </row>
    <row r="88" spans="1:10" ht="13.95" customHeight="1" x14ac:dyDescent="0.3">
      <c r="A88" s="20">
        <v>45744</v>
      </c>
      <c r="B88" s="20" t="s">
        <v>3167</v>
      </c>
      <c r="C88" s="19" t="s">
        <v>11</v>
      </c>
      <c r="D88" s="19" t="s">
        <v>764</v>
      </c>
      <c r="E88" s="4">
        <v>0.7</v>
      </c>
      <c r="F88" s="42">
        <v>2.85</v>
      </c>
      <c r="G88" s="45">
        <v>256</v>
      </c>
      <c r="H88" s="22">
        <v>2.2000000000000002</v>
      </c>
      <c r="I88" s="6">
        <f t="shared" si="1"/>
        <v>1123.5840000000001</v>
      </c>
      <c r="J88" s="7" t="s">
        <v>2642</v>
      </c>
    </row>
    <row r="89" spans="1:10" ht="13.95" customHeight="1" x14ac:dyDescent="0.3">
      <c r="A89" s="20">
        <v>45745</v>
      </c>
      <c r="B89" s="20" t="s">
        <v>3167</v>
      </c>
      <c r="C89" s="19" t="s">
        <v>13</v>
      </c>
      <c r="D89" s="19" t="s">
        <v>2897</v>
      </c>
      <c r="E89" s="4">
        <v>1</v>
      </c>
      <c r="F89" s="42">
        <v>4.0999999999999996</v>
      </c>
      <c r="G89" s="45">
        <v>256</v>
      </c>
      <c r="H89" s="22">
        <v>2.2000000000000002</v>
      </c>
      <c r="I89" s="6">
        <f t="shared" si="1"/>
        <v>2309.12</v>
      </c>
      <c r="J89" s="7" t="s">
        <v>3077</v>
      </c>
    </row>
    <row r="90" spans="1:10" ht="13.95" customHeight="1" x14ac:dyDescent="0.3">
      <c r="A90" s="20">
        <v>45746</v>
      </c>
      <c r="B90" s="20" t="s">
        <v>3167</v>
      </c>
      <c r="C90" s="19" t="s">
        <v>16</v>
      </c>
      <c r="D90" s="19" t="s">
        <v>2899</v>
      </c>
      <c r="E90" s="4">
        <v>1</v>
      </c>
      <c r="F90" s="42">
        <v>3.8</v>
      </c>
      <c r="G90" s="45">
        <v>256</v>
      </c>
      <c r="H90" s="22">
        <v>2.2000000000000002</v>
      </c>
      <c r="I90" s="6">
        <f t="shared" si="1"/>
        <v>2140.16</v>
      </c>
      <c r="J90" s="7" t="s">
        <v>3078</v>
      </c>
    </row>
    <row r="91" spans="1:10" ht="13.95" customHeight="1" x14ac:dyDescent="0.3">
      <c r="A91" s="20">
        <v>45747</v>
      </c>
      <c r="B91" s="20" t="s">
        <v>3167</v>
      </c>
      <c r="C91" s="19" t="s">
        <v>18</v>
      </c>
      <c r="D91" s="19" t="s">
        <v>1314</v>
      </c>
      <c r="E91" s="4">
        <v>0.8</v>
      </c>
      <c r="F91" s="42">
        <v>2.6</v>
      </c>
      <c r="G91" s="45">
        <v>256</v>
      </c>
      <c r="H91" s="22">
        <v>2.2000000000000002</v>
      </c>
      <c r="I91" s="6">
        <f t="shared" si="1"/>
        <v>1171.4560000000001</v>
      </c>
      <c r="J91" s="7" t="s">
        <v>3079</v>
      </c>
    </row>
    <row r="92" spans="1:10" ht="13.95" customHeight="1" x14ac:dyDescent="0.3">
      <c r="A92" s="20">
        <v>45748</v>
      </c>
      <c r="B92" s="20" t="s">
        <v>3167</v>
      </c>
      <c r="C92" s="19" t="s">
        <v>20</v>
      </c>
      <c r="D92" s="19" t="s">
        <v>9</v>
      </c>
      <c r="E92" s="4">
        <v>0.55000000000000004</v>
      </c>
      <c r="F92" s="42">
        <v>2.35</v>
      </c>
      <c r="G92" s="45">
        <v>256</v>
      </c>
      <c r="H92" s="22">
        <v>2.2000000000000002</v>
      </c>
      <c r="I92" s="6">
        <f t="shared" si="1"/>
        <v>727.93600000000015</v>
      </c>
      <c r="J92" s="7" t="s">
        <v>2194</v>
      </c>
    </row>
    <row r="93" spans="1:10" ht="13.95" customHeight="1" x14ac:dyDescent="0.3">
      <c r="A93" s="20">
        <v>45749</v>
      </c>
      <c r="B93" s="20" t="s">
        <v>3167</v>
      </c>
      <c r="C93" s="19" t="s">
        <v>5</v>
      </c>
      <c r="D93" s="19" t="s">
        <v>9</v>
      </c>
      <c r="E93" s="4">
        <v>0.55000000000000004</v>
      </c>
      <c r="F93" s="42">
        <v>2.35</v>
      </c>
      <c r="G93" s="45">
        <v>256</v>
      </c>
      <c r="H93" s="22">
        <v>2.2000000000000002</v>
      </c>
      <c r="I93" s="6">
        <f t="shared" si="1"/>
        <v>727.93600000000015</v>
      </c>
      <c r="J93" s="7" t="s">
        <v>88</v>
      </c>
    </row>
    <row r="94" spans="1:10" ht="13.95" customHeight="1" x14ac:dyDescent="0.3">
      <c r="A94" s="20">
        <v>45750</v>
      </c>
      <c r="B94" s="20" t="s">
        <v>3167</v>
      </c>
      <c r="C94" s="19" t="s">
        <v>8</v>
      </c>
      <c r="D94" s="19" t="s">
        <v>9</v>
      </c>
      <c r="E94" s="4">
        <v>0.6</v>
      </c>
      <c r="F94" s="42">
        <v>2.4</v>
      </c>
      <c r="G94" s="45">
        <v>256</v>
      </c>
      <c r="H94" s="22">
        <v>2.2000000000000002</v>
      </c>
      <c r="I94" s="6">
        <f t="shared" si="1"/>
        <v>811.00800000000004</v>
      </c>
      <c r="J94" s="7" t="s">
        <v>3080</v>
      </c>
    </row>
    <row r="95" spans="1:10" ht="13.95" customHeight="1" x14ac:dyDescent="0.3">
      <c r="A95" s="20">
        <v>45751</v>
      </c>
      <c r="B95" s="20" t="s">
        <v>3167</v>
      </c>
      <c r="C95" s="19" t="s">
        <v>11</v>
      </c>
      <c r="D95" s="19" t="s">
        <v>14</v>
      </c>
      <c r="E95" s="4">
        <v>0.7</v>
      </c>
      <c r="F95" s="42">
        <v>2.8</v>
      </c>
      <c r="G95" s="45">
        <v>256</v>
      </c>
      <c r="H95" s="22">
        <v>2.2000000000000002</v>
      </c>
      <c r="I95" s="6">
        <f t="shared" si="1"/>
        <v>1103.8719999999998</v>
      </c>
      <c r="J95" s="7" t="s">
        <v>1214</v>
      </c>
    </row>
    <row r="96" spans="1:10" ht="13.95" customHeight="1" x14ac:dyDescent="0.3">
      <c r="A96" s="20">
        <v>45752</v>
      </c>
      <c r="B96" s="20" t="s">
        <v>3167</v>
      </c>
      <c r="C96" s="19" t="s">
        <v>13</v>
      </c>
      <c r="D96" s="19" t="s">
        <v>14</v>
      </c>
      <c r="E96" s="4">
        <v>0.85</v>
      </c>
      <c r="F96" s="42">
        <v>3.1</v>
      </c>
      <c r="G96" s="45">
        <v>256</v>
      </c>
      <c r="H96" s="22">
        <v>2.2000000000000002</v>
      </c>
      <c r="I96" s="6">
        <f t="shared" si="1"/>
        <v>1484.0319999999999</v>
      </c>
      <c r="J96" s="7" t="s">
        <v>3081</v>
      </c>
    </row>
    <row r="97" spans="1:10" ht="13.95" customHeight="1" x14ac:dyDescent="0.3">
      <c r="A97" s="20">
        <v>45753</v>
      </c>
      <c r="B97" s="20" t="s">
        <v>3167</v>
      </c>
      <c r="C97" s="19" t="s">
        <v>16</v>
      </c>
      <c r="D97" s="19" t="s">
        <v>14</v>
      </c>
      <c r="E97" s="4">
        <v>0.8</v>
      </c>
      <c r="F97" s="42">
        <v>2.75</v>
      </c>
      <c r="G97" s="45">
        <v>256</v>
      </c>
      <c r="H97" s="22">
        <v>2.2000000000000002</v>
      </c>
      <c r="I97" s="6">
        <f t="shared" si="1"/>
        <v>1239.0400000000002</v>
      </c>
      <c r="J97" s="7" t="s">
        <v>139</v>
      </c>
    </row>
    <row r="98" spans="1:10" ht="13.95" customHeight="1" x14ac:dyDescent="0.3">
      <c r="A98" s="20">
        <v>45754</v>
      </c>
      <c r="B98" s="20" t="s">
        <v>3167</v>
      </c>
      <c r="C98" s="19" t="s">
        <v>18</v>
      </c>
      <c r="D98" s="19" t="s">
        <v>9</v>
      </c>
      <c r="E98" s="4">
        <v>0.6</v>
      </c>
      <c r="F98" s="42">
        <v>2.4</v>
      </c>
      <c r="G98" s="45">
        <v>256</v>
      </c>
      <c r="H98" s="22">
        <v>2.2000000000000002</v>
      </c>
      <c r="I98" s="6">
        <f t="shared" si="1"/>
        <v>811.00800000000004</v>
      </c>
      <c r="J98" s="7" t="s">
        <v>88</v>
      </c>
    </row>
    <row r="99" spans="1:10" ht="13.95" customHeight="1" x14ac:dyDescent="0.3">
      <c r="A99" s="20">
        <v>45755</v>
      </c>
      <c r="B99" s="20" t="s">
        <v>3167</v>
      </c>
      <c r="C99" s="19" t="s">
        <v>20</v>
      </c>
      <c r="D99" s="19" t="s">
        <v>9</v>
      </c>
      <c r="E99" s="4">
        <v>0.6</v>
      </c>
      <c r="F99" s="42">
        <v>2.4</v>
      </c>
      <c r="G99" s="45">
        <v>256</v>
      </c>
      <c r="H99" s="22">
        <v>2.2000000000000002</v>
      </c>
      <c r="I99" s="6">
        <f t="shared" si="1"/>
        <v>811.00800000000004</v>
      </c>
      <c r="J99" s="7" t="s">
        <v>88</v>
      </c>
    </row>
    <row r="100" spans="1:10" ht="13.95" customHeight="1" x14ac:dyDescent="0.3">
      <c r="A100" s="20">
        <v>45756</v>
      </c>
      <c r="B100" s="20" t="s">
        <v>3167</v>
      </c>
      <c r="C100" s="19" t="s">
        <v>5</v>
      </c>
      <c r="D100" s="19" t="s">
        <v>2753</v>
      </c>
      <c r="E100" s="4">
        <v>0.8</v>
      </c>
      <c r="F100" s="42">
        <v>3</v>
      </c>
      <c r="G100" s="45">
        <v>256</v>
      </c>
      <c r="H100" s="22">
        <v>2.2000000000000002</v>
      </c>
      <c r="I100" s="6">
        <f t="shared" si="1"/>
        <v>1351.6800000000003</v>
      </c>
      <c r="J100" s="7" t="s">
        <v>2192</v>
      </c>
    </row>
    <row r="101" spans="1:10" ht="13.95" customHeight="1" x14ac:dyDescent="0.3">
      <c r="A101" s="20">
        <v>45757</v>
      </c>
      <c r="B101" s="20" t="s">
        <v>3167</v>
      </c>
      <c r="C101" s="19" t="s">
        <v>8</v>
      </c>
      <c r="D101" s="19" t="s">
        <v>9</v>
      </c>
      <c r="E101" s="4">
        <v>0.65</v>
      </c>
      <c r="F101" s="42">
        <v>2.4500000000000002</v>
      </c>
      <c r="G101" s="45">
        <v>256</v>
      </c>
      <c r="H101" s="22">
        <v>2.2000000000000002</v>
      </c>
      <c r="I101" s="6">
        <f t="shared" si="1"/>
        <v>896.89600000000019</v>
      </c>
      <c r="J101" s="7" t="s">
        <v>3082</v>
      </c>
    </row>
    <row r="102" spans="1:10" ht="13.95" customHeight="1" x14ac:dyDescent="0.3">
      <c r="A102" s="20">
        <v>45758</v>
      </c>
      <c r="B102" s="20" t="s">
        <v>3167</v>
      </c>
      <c r="C102" s="19" t="s">
        <v>11</v>
      </c>
      <c r="D102" s="19" t="s">
        <v>14</v>
      </c>
      <c r="E102" s="4">
        <v>0.75</v>
      </c>
      <c r="F102" s="42">
        <v>2.85</v>
      </c>
      <c r="G102" s="45">
        <v>256</v>
      </c>
      <c r="H102" s="22">
        <v>2.2000000000000002</v>
      </c>
      <c r="I102" s="6">
        <f t="shared" si="1"/>
        <v>1203.8400000000001</v>
      </c>
      <c r="J102" s="7" t="s">
        <v>596</v>
      </c>
    </row>
    <row r="103" spans="1:10" ht="13.95" customHeight="1" x14ac:dyDescent="0.3">
      <c r="A103" s="20">
        <v>45759</v>
      </c>
      <c r="B103" s="20" t="s">
        <v>3167</v>
      </c>
      <c r="C103" s="19" t="s">
        <v>13</v>
      </c>
      <c r="D103" s="19" t="s">
        <v>14</v>
      </c>
      <c r="E103" s="4">
        <v>0.9</v>
      </c>
      <c r="F103" s="42">
        <v>3.2</v>
      </c>
      <c r="G103" s="45">
        <v>256</v>
      </c>
      <c r="H103" s="22">
        <v>2.2000000000000002</v>
      </c>
      <c r="I103" s="6">
        <f t="shared" si="1"/>
        <v>1622.0160000000003</v>
      </c>
      <c r="J103" s="7" t="s">
        <v>3083</v>
      </c>
    </row>
    <row r="104" spans="1:10" ht="13.95" customHeight="1" x14ac:dyDescent="0.3">
      <c r="A104" s="20">
        <v>45760</v>
      </c>
      <c r="B104" s="20" t="s">
        <v>3167</v>
      </c>
      <c r="C104" s="19" t="s">
        <v>16</v>
      </c>
      <c r="D104" s="19" t="s">
        <v>14</v>
      </c>
      <c r="E104" s="4">
        <v>0.85</v>
      </c>
      <c r="F104" s="42">
        <v>2.8</v>
      </c>
      <c r="G104" s="45">
        <v>256</v>
      </c>
      <c r="H104" s="22">
        <v>2.2000000000000002</v>
      </c>
      <c r="I104" s="6">
        <f t="shared" si="1"/>
        <v>1340.4159999999999</v>
      </c>
      <c r="J104" s="7" t="s">
        <v>3084</v>
      </c>
    </row>
    <row r="105" spans="1:10" ht="13.95" customHeight="1" x14ac:dyDescent="0.3">
      <c r="A105" s="20">
        <v>45761</v>
      </c>
      <c r="B105" s="20" t="s">
        <v>3167</v>
      </c>
      <c r="C105" s="19" t="s">
        <v>18</v>
      </c>
      <c r="D105" s="19" t="s">
        <v>2833</v>
      </c>
      <c r="E105" s="4">
        <v>0.8</v>
      </c>
      <c r="F105" s="42">
        <v>2.5</v>
      </c>
      <c r="G105" s="45">
        <v>256</v>
      </c>
      <c r="H105" s="22">
        <v>2.2000000000000002</v>
      </c>
      <c r="I105" s="6">
        <f t="shared" si="1"/>
        <v>1126.4000000000001</v>
      </c>
      <c r="J105" s="7" t="s">
        <v>3085</v>
      </c>
    </row>
    <row r="106" spans="1:10" ht="13.95" customHeight="1" x14ac:dyDescent="0.3">
      <c r="A106" s="20">
        <v>45762</v>
      </c>
      <c r="B106" s="20" t="s">
        <v>3167</v>
      </c>
      <c r="C106" s="19" t="s">
        <v>20</v>
      </c>
      <c r="D106" s="19" t="s">
        <v>2833</v>
      </c>
      <c r="E106" s="4">
        <v>0.8</v>
      </c>
      <c r="F106" s="42">
        <v>2.5</v>
      </c>
      <c r="G106" s="45">
        <v>256</v>
      </c>
      <c r="H106" s="22">
        <v>2.2000000000000002</v>
      </c>
      <c r="I106" s="6">
        <f t="shared" si="1"/>
        <v>1126.4000000000001</v>
      </c>
      <c r="J106" s="7" t="s">
        <v>2629</v>
      </c>
    </row>
    <row r="107" spans="1:10" ht="13.95" customHeight="1" x14ac:dyDescent="0.3">
      <c r="A107" s="20">
        <v>45763</v>
      </c>
      <c r="B107" s="20" t="s">
        <v>3167</v>
      </c>
      <c r="C107" s="19" t="s">
        <v>5</v>
      </c>
      <c r="D107" s="19" t="s">
        <v>2833</v>
      </c>
      <c r="E107" s="4">
        <v>0.8</v>
      </c>
      <c r="F107" s="42">
        <v>2.5</v>
      </c>
      <c r="G107" s="45">
        <v>256</v>
      </c>
      <c r="H107" s="22">
        <v>2.2000000000000002</v>
      </c>
      <c r="I107" s="6">
        <f t="shared" si="1"/>
        <v>1126.4000000000001</v>
      </c>
      <c r="J107" s="7" t="s">
        <v>88</v>
      </c>
    </row>
    <row r="108" spans="1:10" ht="13.95" customHeight="1" x14ac:dyDescent="0.3">
      <c r="A108" s="20">
        <v>45764</v>
      </c>
      <c r="B108" s="20" t="s">
        <v>3167</v>
      </c>
      <c r="C108" s="19" t="s">
        <v>8</v>
      </c>
      <c r="D108" s="19" t="s">
        <v>2833</v>
      </c>
      <c r="E108" s="4">
        <v>0.85</v>
      </c>
      <c r="F108" s="42">
        <v>2.5499999999999998</v>
      </c>
      <c r="G108" s="45">
        <v>256</v>
      </c>
      <c r="H108" s="22">
        <v>2.2000000000000002</v>
      </c>
      <c r="I108" s="6">
        <f t="shared" si="1"/>
        <v>1220.7360000000001</v>
      </c>
      <c r="J108" s="7" t="s">
        <v>3086</v>
      </c>
    </row>
    <row r="109" spans="1:10" ht="13.95" customHeight="1" x14ac:dyDescent="0.3">
      <c r="A109" s="20">
        <v>45765</v>
      </c>
      <c r="B109" s="20" t="s">
        <v>3167</v>
      </c>
      <c r="C109" s="19" t="s">
        <v>11</v>
      </c>
      <c r="D109" s="19" t="s">
        <v>2909</v>
      </c>
      <c r="E109" s="4">
        <v>0.9</v>
      </c>
      <c r="F109" s="42">
        <v>3.1</v>
      </c>
      <c r="G109" s="45">
        <v>256</v>
      </c>
      <c r="H109" s="22">
        <v>2.2000000000000002</v>
      </c>
      <c r="I109" s="6">
        <f t="shared" si="1"/>
        <v>1571.3280000000002</v>
      </c>
      <c r="J109" s="7" t="s">
        <v>609</v>
      </c>
    </row>
    <row r="110" spans="1:10" ht="13.95" customHeight="1" x14ac:dyDescent="0.3">
      <c r="A110" s="20">
        <v>45766</v>
      </c>
      <c r="B110" s="20" t="s">
        <v>3167</v>
      </c>
      <c r="C110" s="19" t="s">
        <v>13</v>
      </c>
      <c r="D110" s="19" t="s">
        <v>2910</v>
      </c>
      <c r="E110" s="4">
        <v>1</v>
      </c>
      <c r="F110" s="42">
        <v>3.8</v>
      </c>
      <c r="G110" s="45">
        <v>256</v>
      </c>
      <c r="H110" s="22">
        <v>2.2000000000000002</v>
      </c>
      <c r="I110" s="6">
        <f t="shared" si="1"/>
        <v>2140.16</v>
      </c>
      <c r="J110" s="7" t="s">
        <v>1773</v>
      </c>
    </row>
    <row r="111" spans="1:10" ht="13.95" customHeight="1" x14ac:dyDescent="0.3">
      <c r="A111" s="20">
        <v>45767</v>
      </c>
      <c r="B111" s="20" t="s">
        <v>3167</v>
      </c>
      <c r="C111" s="19" t="s">
        <v>16</v>
      </c>
      <c r="D111" s="19" t="s">
        <v>1774</v>
      </c>
      <c r="E111" s="4">
        <v>1</v>
      </c>
      <c r="F111" s="42">
        <v>4.0999999999999996</v>
      </c>
      <c r="G111" s="45">
        <v>256</v>
      </c>
      <c r="H111" s="22">
        <v>2.2000000000000002</v>
      </c>
      <c r="I111" s="6">
        <f t="shared" si="1"/>
        <v>2309.12</v>
      </c>
      <c r="J111" s="7" t="s">
        <v>3087</v>
      </c>
    </row>
    <row r="112" spans="1:10" ht="13.95" customHeight="1" x14ac:dyDescent="0.3">
      <c r="A112" s="20">
        <v>45768</v>
      </c>
      <c r="B112" s="20" t="s">
        <v>3167</v>
      </c>
      <c r="C112" s="19" t="s">
        <v>18</v>
      </c>
      <c r="D112" s="19" t="s">
        <v>2912</v>
      </c>
      <c r="E112" s="4">
        <v>0.95</v>
      </c>
      <c r="F112" s="42">
        <v>3.2</v>
      </c>
      <c r="G112" s="45">
        <v>256</v>
      </c>
      <c r="H112" s="22">
        <v>2.2000000000000002</v>
      </c>
      <c r="I112" s="6">
        <f t="shared" si="1"/>
        <v>1712.1280000000002</v>
      </c>
      <c r="J112" s="7" t="s">
        <v>2913</v>
      </c>
    </row>
    <row r="113" spans="1:10" ht="13.95" customHeight="1" x14ac:dyDescent="0.3">
      <c r="A113" s="20">
        <v>45769</v>
      </c>
      <c r="B113" s="20" t="s">
        <v>3167</v>
      </c>
      <c r="C113" s="19" t="s">
        <v>20</v>
      </c>
      <c r="D113" s="19" t="s">
        <v>9</v>
      </c>
      <c r="E113" s="4">
        <v>0.75</v>
      </c>
      <c r="F113" s="42">
        <v>2.4</v>
      </c>
      <c r="G113" s="45">
        <v>256</v>
      </c>
      <c r="H113" s="22">
        <v>2.2000000000000002</v>
      </c>
      <c r="I113" s="6">
        <f t="shared" si="1"/>
        <v>1013.76</v>
      </c>
      <c r="J113" s="7" t="s">
        <v>88</v>
      </c>
    </row>
    <row r="114" spans="1:10" ht="13.95" customHeight="1" x14ac:dyDescent="0.3">
      <c r="A114" s="20">
        <v>45770</v>
      </c>
      <c r="B114" s="20" t="s">
        <v>3167</v>
      </c>
      <c r="C114" s="19" t="s">
        <v>5</v>
      </c>
      <c r="D114" s="19" t="s">
        <v>9</v>
      </c>
      <c r="E114" s="4">
        <v>0.7</v>
      </c>
      <c r="F114" s="42">
        <v>2.4</v>
      </c>
      <c r="G114" s="45">
        <v>256</v>
      </c>
      <c r="H114" s="22">
        <v>2.2000000000000002</v>
      </c>
      <c r="I114" s="6">
        <f t="shared" si="1"/>
        <v>946.17600000000004</v>
      </c>
      <c r="J114" s="7" t="s">
        <v>88</v>
      </c>
    </row>
    <row r="115" spans="1:10" ht="13.95" customHeight="1" x14ac:dyDescent="0.3">
      <c r="A115" s="20">
        <v>45771</v>
      </c>
      <c r="B115" s="20" t="s">
        <v>3167</v>
      </c>
      <c r="C115" s="19" t="s">
        <v>8</v>
      </c>
      <c r="D115" s="19" t="s">
        <v>9</v>
      </c>
      <c r="E115" s="4">
        <v>0.75</v>
      </c>
      <c r="F115" s="42">
        <v>2.4500000000000002</v>
      </c>
      <c r="G115" s="45">
        <v>256</v>
      </c>
      <c r="H115" s="22">
        <v>2.2000000000000002</v>
      </c>
      <c r="I115" s="6">
        <f t="shared" si="1"/>
        <v>1034.8800000000001</v>
      </c>
      <c r="J115" s="7" t="s">
        <v>88</v>
      </c>
    </row>
    <row r="116" spans="1:10" ht="13.95" customHeight="1" x14ac:dyDescent="0.3">
      <c r="A116" s="20">
        <v>45772</v>
      </c>
      <c r="B116" s="20" t="s">
        <v>3167</v>
      </c>
      <c r="C116" s="19" t="s">
        <v>11</v>
      </c>
      <c r="D116" s="19" t="s">
        <v>14</v>
      </c>
      <c r="E116" s="4">
        <v>0.8</v>
      </c>
      <c r="F116" s="42">
        <v>2.85</v>
      </c>
      <c r="G116" s="45">
        <v>256</v>
      </c>
      <c r="H116" s="22">
        <v>2.2000000000000002</v>
      </c>
      <c r="I116" s="6">
        <f t="shared" si="1"/>
        <v>1284.0960000000002</v>
      </c>
      <c r="J116" s="7" t="s">
        <v>390</v>
      </c>
    </row>
    <row r="117" spans="1:10" ht="13.95" customHeight="1" x14ac:dyDescent="0.3">
      <c r="A117" s="20">
        <v>45773</v>
      </c>
      <c r="B117" s="20" t="s">
        <v>3167</v>
      </c>
      <c r="C117" s="19" t="s">
        <v>13</v>
      </c>
      <c r="D117" s="19" t="s">
        <v>14</v>
      </c>
      <c r="E117" s="4">
        <v>0.9</v>
      </c>
      <c r="F117" s="42">
        <v>3.2</v>
      </c>
      <c r="G117" s="45">
        <v>256</v>
      </c>
      <c r="H117" s="22">
        <v>2.2000000000000002</v>
      </c>
      <c r="I117" s="6">
        <f t="shared" si="1"/>
        <v>1622.0160000000003</v>
      </c>
      <c r="J117" s="7" t="s">
        <v>2393</v>
      </c>
    </row>
    <row r="118" spans="1:10" ht="13.95" customHeight="1" x14ac:dyDescent="0.3">
      <c r="A118" s="20">
        <v>45774</v>
      </c>
      <c r="B118" s="20" t="s">
        <v>3167</v>
      </c>
      <c r="C118" s="19" t="s">
        <v>16</v>
      </c>
      <c r="D118" s="19" t="s">
        <v>14</v>
      </c>
      <c r="E118" s="4">
        <v>0.85</v>
      </c>
      <c r="F118" s="42">
        <v>2.85</v>
      </c>
      <c r="G118" s="45">
        <v>256</v>
      </c>
      <c r="H118" s="22">
        <v>2.2000000000000002</v>
      </c>
      <c r="I118" s="6">
        <f t="shared" si="1"/>
        <v>1364.3520000000001</v>
      </c>
      <c r="J118" s="7" t="s">
        <v>1336</v>
      </c>
    </row>
    <row r="119" spans="1:10" ht="13.95" customHeight="1" x14ac:dyDescent="0.3">
      <c r="A119" s="20">
        <v>45775</v>
      </c>
      <c r="B119" s="20" t="s">
        <v>3167</v>
      </c>
      <c r="C119" s="19" t="s">
        <v>18</v>
      </c>
      <c r="D119" s="19" t="s">
        <v>9</v>
      </c>
      <c r="E119" s="4">
        <v>0.65</v>
      </c>
      <c r="F119" s="42">
        <v>2.4</v>
      </c>
      <c r="G119" s="45">
        <v>256</v>
      </c>
      <c r="H119" s="22">
        <v>2.2000000000000002</v>
      </c>
      <c r="I119" s="6">
        <f t="shared" si="1"/>
        <v>878.5920000000001</v>
      </c>
      <c r="J119" s="7" t="s">
        <v>88</v>
      </c>
    </row>
    <row r="120" spans="1:10" ht="13.95" customHeight="1" x14ac:dyDescent="0.3">
      <c r="A120" s="20">
        <v>45776</v>
      </c>
      <c r="B120" s="20" t="s">
        <v>3167</v>
      </c>
      <c r="C120" s="19" t="s">
        <v>20</v>
      </c>
      <c r="D120" s="19" t="s">
        <v>9</v>
      </c>
      <c r="E120" s="4">
        <v>0.65</v>
      </c>
      <c r="F120" s="42">
        <v>2.4</v>
      </c>
      <c r="G120" s="45">
        <v>256</v>
      </c>
      <c r="H120" s="22">
        <v>2.2000000000000002</v>
      </c>
      <c r="I120" s="6">
        <f t="shared" si="1"/>
        <v>878.5920000000001</v>
      </c>
      <c r="J120" s="7" t="s">
        <v>88</v>
      </c>
    </row>
    <row r="121" spans="1:10" ht="13.95" customHeight="1" x14ac:dyDescent="0.3">
      <c r="A121" s="20">
        <v>45777</v>
      </c>
      <c r="B121" s="20" t="s">
        <v>3167</v>
      </c>
      <c r="C121" s="19" t="s">
        <v>5</v>
      </c>
      <c r="D121" s="19" t="s">
        <v>994</v>
      </c>
      <c r="E121" s="4">
        <v>0.85</v>
      </c>
      <c r="F121" s="42">
        <v>3</v>
      </c>
      <c r="G121" s="45">
        <v>256</v>
      </c>
      <c r="H121" s="22">
        <v>2.2000000000000002</v>
      </c>
      <c r="I121" s="6">
        <f t="shared" si="1"/>
        <v>1436.16</v>
      </c>
      <c r="J121" s="7" t="s">
        <v>2765</v>
      </c>
    </row>
    <row r="122" spans="1:10" ht="13.95" customHeight="1" x14ac:dyDescent="0.3">
      <c r="A122" s="20">
        <v>45778</v>
      </c>
      <c r="B122" s="20" t="s">
        <v>3167</v>
      </c>
      <c r="C122" s="19" t="s">
        <v>8</v>
      </c>
      <c r="D122" s="19" t="s">
        <v>2919</v>
      </c>
      <c r="E122" s="4">
        <v>0.95</v>
      </c>
      <c r="F122" s="42">
        <v>3.8</v>
      </c>
      <c r="G122" s="45">
        <v>256</v>
      </c>
      <c r="H122" s="22">
        <v>2.2000000000000002</v>
      </c>
      <c r="I122" s="6">
        <f t="shared" si="1"/>
        <v>2033.152</v>
      </c>
      <c r="J122" s="7" t="s">
        <v>3088</v>
      </c>
    </row>
    <row r="123" spans="1:10" ht="13.95" customHeight="1" x14ac:dyDescent="0.3">
      <c r="A123" s="20">
        <v>45779</v>
      </c>
      <c r="B123" s="20" t="s">
        <v>3167</v>
      </c>
      <c r="C123" s="19" t="s">
        <v>11</v>
      </c>
      <c r="D123" s="19" t="s">
        <v>3089</v>
      </c>
      <c r="E123" s="4">
        <v>0.9</v>
      </c>
      <c r="F123" s="42">
        <v>3.2</v>
      </c>
      <c r="G123" s="45">
        <v>256</v>
      </c>
      <c r="H123" s="22">
        <v>2.2000000000000002</v>
      </c>
      <c r="I123" s="6">
        <f t="shared" si="1"/>
        <v>1622.0160000000003</v>
      </c>
      <c r="J123" s="7" t="s">
        <v>197</v>
      </c>
    </row>
    <row r="124" spans="1:10" ht="13.95" customHeight="1" x14ac:dyDescent="0.3">
      <c r="A124" s="20">
        <v>45780</v>
      </c>
      <c r="B124" s="20" t="s">
        <v>3167</v>
      </c>
      <c r="C124" s="19" t="s">
        <v>13</v>
      </c>
      <c r="D124" s="19" t="s">
        <v>14</v>
      </c>
      <c r="E124" s="4">
        <v>1</v>
      </c>
      <c r="F124" s="42">
        <v>3.5</v>
      </c>
      <c r="G124" s="45">
        <v>256</v>
      </c>
      <c r="H124" s="22">
        <v>2.2000000000000002</v>
      </c>
      <c r="I124" s="6">
        <f t="shared" si="1"/>
        <v>1971.2000000000003</v>
      </c>
      <c r="J124" s="7" t="s">
        <v>1811</v>
      </c>
    </row>
    <row r="125" spans="1:10" ht="13.95" customHeight="1" x14ac:dyDescent="0.3">
      <c r="A125" s="20">
        <v>45781</v>
      </c>
      <c r="B125" s="20" t="s">
        <v>3167</v>
      </c>
      <c r="C125" s="19" t="s">
        <v>16</v>
      </c>
      <c r="D125" s="19" t="s">
        <v>14</v>
      </c>
      <c r="E125" s="4">
        <v>0.9</v>
      </c>
      <c r="F125" s="42">
        <v>2.9</v>
      </c>
      <c r="G125" s="45">
        <v>256</v>
      </c>
      <c r="H125" s="22">
        <v>2.2000000000000002</v>
      </c>
      <c r="I125" s="6">
        <f t="shared" si="1"/>
        <v>1469.952</v>
      </c>
      <c r="J125" s="7" t="s">
        <v>1336</v>
      </c>
    </row>
    <row r="126" spans="1:10" ht="13.95" customHeight="1" x14ac:dyDescent="0.3">
      <c r="A126" s="20">
        <v>45782</v>
      </c>
      <c r="B126" s="20" t="s">
        <v>3167</v>
      </c>
      <c r="C126" s="19" t="s">
        <v>18</v>
      </c>
      <c r="D126" s="19" t="s">
        <v>9</v>
      </c>
      <c r="E126" s="4">
        <v>0.65</v>
      </c>
      <c r="F126" s="42">
        <v>2.4500000000000002</v>
      </c>
      <c r="G126" s="45">
        <v>256</v>
      </c>
      <c r="H126" s="22">
        <v>2.2000000000000002</v>
      </c>
      <c r="I126" s="6">
        <f t="shared" si="1"/>
        <v>896.89600000000019</v>
      </c>
      <c r="J126" s="7" t="s">
        <v>2319</v>
      </c>
    </row>
    <row r="127" spans="1:10" ht="13.95" customHeight="1" x14ac:dyDescent="0.3">
      <c r="A127" s="20">
        <v>45783</v>
      </c>
      <c r="B127" s="20" t="s">
        <v>3167</v>
      </c>
      <c r="C127" s="19" t="s">
        <v>20</v>
      </c>
      <c r="D127" s="19" t="s">
        <v>9</v>
      </c>
      <c r="E127" s="4">
        <v>0.65</v>
      </c>
      <c r="F127" s="42">
        <v>2.4500000000000002</v>
      </c>
      <c r="G127" s="45">
        <v>256</v>
      </c>
      <c r="H127" s="22">
        <v>2.2000000000000002</v>
      </c>
      <c r="I127" s="6">
        <f t="shared" si="1"/>
        <v>896.89600000000019</v>
      </c>
      <c r="J127" s="7" t="s">
        <v>2194</v>
      </c>
    </row>
    <row r="128" spans="1:10" ht="13.95" customHeight="1" x14ac:dyDescent="0.3">
      <c r="A128" s="20">
        <v>45784</v>
      </c>
      <c r="B128" s="20" t="s">
        <v>3167</v>
      </c>
      <c r="C128" s="19" t="s">
        <v>5</v>
      </c>
      <c r="D128" s="19" t="s">
        <v>9</v>
      </c>
      <c r="E128" s="4">
        <v>0.7</v>
      </c>
      <c r="F128" s="42">
        <v>2.4500000000000002</v>
      </c>
      <c r="G128" s="45">
        <v>256</v>
      </c>
      <c r="H128" s="22">
        <v>2.2000000000000002</v>
      </c>
      <c r="I128" s="6">
        <f t="shared" si="1"/>
        <v>965.88800000000015</v>
      </c>
      <c r="J128" s="7" t="s">
        <v>88</v>
      </c>
    </row>
    <row r="129" spans="1:10" ht="13.95" customHeight="1" x14ac:dyDescent="0.3">
      <c r="A129" s="20">
        <v>45785</v>
      </c>
      <c r="B129" s="20" t="s">
        <v>3167</v>
      </c>
      <c r="C129" s="19" t="s">
        <v>8</v>
      </c>
      <c r="D129" s="19" t="s">
        <v>9</v>
      </c>
      <c r="E129" s="4">
        <v>0.75</v>
      </c>
      <c r="F129" s="42">
        <v>2.5</v>
      </c>
      <c r="G129" s="45">
        <v>256</v>
      </c>
      <c r="H129" s="22">
        <v>2.2000000000000002</v>
      </c>
      <c r="I129" s="6">
        <f t="shared" si="1"/>
        <v>1056</v>
      </c>
      <c r="J129" s="7" t="s">
        <v>3049</v>
      </c>
    </row>
    <row r="130" spans="1:10" ht="13.95" customHeight="1" x14ac:dyDescent="0.3">
      <c r="A130" s="20">
        <v>45786</v>
      </c>
      <c r="B130" s="20" t="s">
        <v>3167</v>
      </c>
      <c r="C130" s="19" t="s">
        <v>11</v>
      </c>
      <c r="D130" s="19" t="s">
        <v>14</v>
      </c>
      <c r="E130" s="4">
        <v>0.8</v>
      </c>
      <c r="F130" s="42">
        <v>2.9</v>
      </c>
      <c r="G130" s="45">
        <v>256</v>
      </c>
      <c r="H130" s="22">
        <v>2.2000000000000002</v>
      </c>
      <c r="I130" s="6">
        <f t="shared" si="1"/>
        <v>1306.624</v>
      </c>
      <c r="J130" s="7" t="s">
        <v>390</v>
      </c>
    </row>
    <row r="131" spans="1:10" ht="13.95" customHeight="1" x14ac:dyDescent="0.3">
      <c r="A131" s="20">
        <v>45787</v>
      </c>
      <c r="B131" s="20" t="s">
        <v>3167</v>
      </c>
      <c r="C131" s="19" t="s">
        <v>13</v>
      </c>
      <c r="D131" s="19" t="s">
        <v>14</v>
      </c>
      <c r="E131" s="4">
        <v>0.9</v>
      </c>
      <c r="F131" s="42">
        <v>3.2</v>
      </c>
      <c r="G131" s="45">
        <v>256</v>
      </c>
      <c r="H131" s="22">
        <v>2.2000000000000002</v>
      </c>
      <c r="I131" s="6">
        <f t="shared" ref="I131:I194" si="2">(G131*E131)*F131*H131</f>
        <v>1622.0160000000003</v>
      </c>
      <c r="J131" s="7" t="s">
        <v>1711</v>
      </c>
    </row>
    <row r="132" spans="1:10" ht="13.95" customHeight="1" x14ac:dyDescent="0.3">
      <c r="A132" s="20">
        <v>45788</v>
      </c>
      <c r="B132" s="20" t="s">
        <v>3167</v>
      </c>
      <c r="C132" s="19" t="s">
        <v>16</v>
      </c>
      <c r="D132" s="19" t="s">
        <v>14</v>
      </c>
      <c r="E132" s="4">
        <v>0.85</v>
      </c>
      <c r="F132" s="42">
        <v>2.85</v>
      </c>
      <c r="G132" s="45">
        <v>256</v>
      </c>
      <c r="H132" s="22">
        <v>2.2000000000000002</v>
      </c>
      <c r="I132" s="6">
        <f t="shared" si="2"/>
        <v>1364.3520000000001</v>
      </c>
      <c r="J132" s="7" t="s">
        <v>139</v>
      </c>
    </row>
    <row r="133" spans="1:10" ht="13.95" customHeight="1" x14ac:dyDescent="0.3">
      <c r="A133" s="20">
        <v>45789</v>
      </c>
      <c r="B133" s="20" t="s">
        <v>3167</v>
      </c>
      <c r="C133" s="19" t="s">
        <v>18</v>
      </c>
      <c r="D133" s="19" t="s">
        <v>9</v>
      </c>
      <c r="E133" s="4">
        <v>0.65</v>
      </c>
      <c r="F133" s="42">
        <v>2.4500000000000002</v>
      </c>
      <c r="G133" s="45">
        <v>256</v>
      </c>
      <c r="H133" s="22">
        <v>2.2000000000000002</v>
      </c>
      <c r="I133" s="6">
        <f t="shared" si="2"/>
        <v>896.89600000000019</v>
      </c>
      <c r="J133" s="7" t="s">
        <v>88</v>
      </c>
    </row>
    <row r="134" spans="1:10" ht="13.95" customHeight="1" x14ac:dyDescent="0.3">
      <c r="A134" s="20">
        <v>45790</v>
      </c>
      <c r="B134" s="20" t="s">
        <v>3167</v>
      </c>
      <c r="C134" s="19" t="s">
        <v>20</v>
      </c>
      <c r="D134" s="19" t="s">
        <v>9</v>
      </c>
      <c r="E134" s="4">
        <v>0.65</v>
      </c>
      <c r="F134" s="42">
        <v>2.4500000000000002</v>
      </c>
      <c r="G134" s="45">
        <v>256</v>
      </c>
      <c r="H134" s="22">
        <v>2.2000000000000002</v>
      </c>
      <c r="I134" s="6">
        <f t="shared" si="2"/>
        <v>896.89600000000019</v>
      </c>
      <c r="J134" s="7" t="s">
        <v>88</v>
      </c>
    </row>
    <row r="135" spans="1:10" ht="13.95" customHeight="1" x14ac:dyDescent="0.3">
      <c r="A135" s="20">
        <v>45791</v>
      </c>
      <c r="B135" s="20" t="s">
        <v>3167</v>
      </c>
      <c r="C135" s="19" t="s">
        <v>5</v>
      </c>
      <c r="D135" s="19" t="s">
        <v>9</v>
      </c>
      <c r="E135" s="4">
        <v>0.7</v>
      </c>
      <c r="F135" s="42">
        <v>2.5</v>
      </c>
      <c r="G135" s="45">
        <v>256</v>
      </c>
      <c r="H135" s="22">
        <v>2.2000000000000002</v>
      </c>
      <c r="I135" s="6">
        <f t="shared" si="2"/>
        <v>985.60000000000014</v>
      </c>
      <c r="J135" s="7" t="s">
        <v>88</v>
      </c>
    </row>
    <row r="136" spans="1:10" ht="13.95" customHeight="1" x14ac:dyDescent="0.3">
      <c r="A136" s="20">
        <v>45792</v>
      </c>
      <c r="B136" s="20" t="s">
        <v>3167</v>
      </c>
      <c r="C136" s="19" t="s">
        <v>8</v>
      </c>
      <c r="D136" s="19" t="s">
        <v>9</v>
      </c>
      <c r="E136" s="4">
        <v>0.75</v>
      </c>
      <c r="F136" s="42">
        <v>2.5499999999999998</v>
      </c>
      <c r="G136" s="45">
        <v>256</v>
      </c>
      <c r="H136" s="22">
        <v>2.2000000000000002</v>
      </c>
      <c r="I136" s="6">
        <f t="shared" si="2"/>
        <v>1077.1200000000001</v>
      </c>
      <c r="J136" s="7" t="s">
        <v>88</v>
      </c>
    </row>
    <row r="137" spans="1:10" ht="13.95" customHeight="1" x14ac:dyDescent="0.3">
      <c r="A137" s="20">
        <v>45793</v>
      </c>
      <c r="B137" s="20" t="s">
        <v>3167</v>
      </c>
      <c r="C137" s="19" t="s">
        <v>11</v>
      </c>
      <c r="D137" s="19" t="s">
        <v>14</v>
      </c>
      <c r="E137" s="4">
        <v>0.8</v>
      </c>
      <c r="F137" s="42">
        <v>2.9</v>
      </c>
      <c r="G137" s="45">
        <v>256</v>
      </c>
      <c r="H137" s="22">
        <v>2.2000000000000002</v>
      </c>
      <c r="I137" s="6">
        <f t="shared" si="2"/>
        <v>1306.624</v>
      </c>
      <c r="J137" s="7" t="s">
        <v>1214</v>
      </c>
    </row>
    <row r="138" spans="1:10" ht="13.95" customHeight="1" x14ac:dyDescent="0.3">
      <c r="A138" s="20">
        <v>45794</v>
      </c>
      <c r="B138" s="20" t="s">
        <v>3167</v>
      </c>
      <c r="C138" s="19" t="s">
        <v>13</v>
      </c>
      <c r="D138" s="19" t="s">
        <v>14</v>
      </c>
      <c r="E138" s="4">
        <v>0.95</v>
      </c>
      <c r="F138" s="42">
        <v>3.3</v>
      </c>
      <c r="G138" s="45">
        <v>256</v>
      </c>
      <c r="H138" s="22">
        <v>2.2000000000000002</v>
      </c>
      <c r="I138" s="6">
        <f t="shared" si="2"/>
        <v>1765.6320000000001</v>
      </c>
      <c r="J138" s="7" t="s">
        <v>2454</v>
      </c>
    </row>
    <row r="139" spans="1:10" ht="13.95" customHeight="1" x14ac:dyDescent="0.3">
      <c r="A139" s="20">
        <v>45795</v>
      </c>
      <c r="B139" s="20" t="s">
        <v>3167</v>
      </c>
      <c r="C139" s="19" t="s">
        <v>16</v>
      </c>
      <c r="D139" s="19" t="s">
        <v>14</v>
      </c>
      <c r="E139" s="4">
        <v>0.9</v>
      </c>
      <c r="F139" s="42">
        <v>2.9</v>
      </c>
      <c r="G139" s="45">
        <v>256</v>
      </c>
      <c r="H139" s="22">
        <v>2.2000000000000002</v>
      </c>
      <c r="I139" s="6">
        <f t="shared" si="2"/>
        <v>1469.952</v>
      </c>
      <c r="J139" s="7" t="s">
        <v>3050</v>
      </c>
    </row>
    <row r="140" spans="1:10" ht="13.95" customHeight="1" x14ac:dyDescent="0.3">
      <c r="A140" s="20">
        <v>45796</v>
      </c>
      <c r="B140" s="20" t="s">
        <v>3167</v>
      </c>
      <c r="C140" s="19" t="s">
        <v>18</v>
      </c>
      <c r="D140" s="19" t="s">
        <v>9</v>
      </c>
      <c r="E140" s="4">
        <v>0.7</v>
      </c>
      <c r="F140" s="42">
        <v>2.4500000000000002</v>
      </c>
      <c r="G140" s="45">
        <v>256</v>
      </c>
      <c r="H140" s="22">
        <v>2.2000000000000002</v>
      </c>
      <c r="I140" s="6">
        <f t="shared" si="2"/>
        <v>965.88800000000015</v>
      </c>
      <c r="J140" s="7" t="s">
        <v>88</v>
      </c>
    </row>
    <row r="141" spans="1:10" ht="13.95" customHeight="1" x14ac:dyDescent="0.3">
      <c r="A141" s="20">
        <v>45797</v>
      </c>
      <c r="B141" s="20" t="s">
        <v>3167</v>
      </c>
      <c r="C141" s="19" t="s">
        <v>20</v>
      </c>
      <c r="D141" s="19" t="s">
        <v>9</v>
      </c>
      <c r="E141" s="4">
        <v>0.7</v>
      </c>
      <c r="F141" s="42">
        <v>2.4500000000000002</v>
      </c>
      <c r="G141" s="45">
        <v>256</v>
      </c>
      <c r="H141" s="22">
        <v>2.2000000000000002</v>
      </c>
      <c r="I141" s="6">
        <f t="shared" si="2"/>
        <v>965.88800000000015</v>
      </c>
      <c r="J141" s="7" t="s">
        <v>88</v>
      </c>
    </row>
    <row r="142" spans="1:10" ht="13.95" customHeight="1" x14ac:dyDescent="0.3">
      <c r="A142" s="20">
        <v>45798</v>
      </c>
      <c r="B142" s="20" t="s">
        <v>3167</v>
      </c>
      <c r="C142" s="19" t="s">
        <v>5</v>
      </c>
      <c r="D142" s="19" t="s">
        <v>9</v>
      </c>
      <c r="E142" s="4">
        <v>0.75</v>
      </c>
      <c r="F142" s="42">
        <v>2.5</v>
      </c>
      <c r="G142" s="45">
        <v>256</v>
      </c>
      <c r="H142" s="22">
        <v>2.2000000000000002</v>
      </c>
      <c r="I142" s="6">
        <f t="shared" si="2"/>
        <v>1056</v>
      </c>
      <c r="J142" s="7" t="s">
        <v>88</v>
      </c>
    </row>
    <row r="143" spans="1:10" ht="13.95" customHeight="1" x14ac:dyDescent="0.3">
      <c r="A143" s="20">
        <v>45799</v>
      </c>
      <c r="B143" s="20" t="s">
        <v>3167</v>
      </c>
      <c r="C143" s="19" t="s">
        <v>8</v>
      </c>
      <c r="D143" s="19" t="s">
        <v>9</v>
      </c>
      <c r="E143" s="4">
        <v>0.8</v>
      </c>
      <c r="F143" s="42">
        <v>2.5499999999999998</v>
      </c>
      <c r="G143" s="45">
        <v>256</v>
      </c>
      <c r="H143" s="22">
        <v>2.2000000000000002</v>
      </c>
      <c r="I143" s="6">
        <f t="shared" si="2"/>
        <v>1148.9280000000001</v>
      </c>
      <c r="J143" s="7" t="s">
        <v>3080</v>
      </c>
    </row>
    <row r="144" spans="1:10" ht="13.95" customHeight="1" x14ac:dyDescent="0.3">
      <c r="A144" s="20">
        <v>45800</v>
      </c>
      <c r="B144" s="20" t="s">
        <v>3167</v>
      </c>
      <c r="C144" s="19" t="s">
        <v>11</v>
      </c>
      <c r="D144" s="19" t="s">
        <v>14</v>
      </c>
      <c r="E144" s="4">
        <v>0.85</v>
      </c>
      <c r="F144" s="42">
        <v>2.95</v>
      </c>
      <c r="G144" s="45">
        <v>256</v>
      </c>
      <c r="H144" s="22">
        <v>2.2000000000000002</v>
      </c>
      <c r="I144" s="6">
        <f t="shared" si="2"/>
        <v>1412.2240000000004</v>
      </c>
      <c r="J144" s="7" t="s">
        <v>97</v>
      </c>
    </row>
    <row r="145" spans="1:10" ht="13.95" customHeight="1" x14ac:dyDescent="0.3">
      <c r="A145" s="20">
        <v>45801</v>
      </c>
      <c r="B145" s="20" t="s">
        <v>3167</v>
      </c>
      <c r="C145" s="19" t="s">
        <v>13</v>
      </c>
      <c r="D145" s="19" t="s">
        <v>14</v>
      </c>
      <c r="E145" s="4">
        <v>1</v>
      </c>
      <c r="F145" s="42">
        <v>3.45</v>
      </c>
      <c r="G145" s="45">
        <v>256</v>
      </c>
      <c r="H145" s="22">
        <v>2.2000000000000002</v>
      </c>
      <c r="I145" s="6">
        <f t="shared" si="2"/>
        <v>1943.0400000000002</v>
      </c>
      <c r="J145" s="7" t="s">
        <v>2513</v>
      </c>
    </row>
    <row r="146" spans="1:10" ht="13.95" customHeight="1" x14ac:dyDescent="0.3">
      <c r="A146" s="20">
        <v>45802</v>
      </c>
      <c r="B146" s="20" t="s">
        <v>3167</v>
      </c>
      <c r="C146" s="19" t="s">
        <v>16</v>
      </c>
      <c r="D146" s="19" t="s">
        <v>14</v>
      </c>
      <c r="E146" s="4">
        <v>0.95</v>
      </c>
      <c r="F146" s="42">
        <v>3</v>
      </c>
      <c r="G146" s="45">
        <v>256</v>
      </c>
      <c r="H146" s="22">
        <v>2.2000000000000002</v>
      </c>
      <c r="I146" s="6">
        <f t="shared" si="2"/>
        <v>1605.12</v>
      </c>
      <c r="J146" s="7" t="s">
        <v>139</v>
      </c>
    </row>
    <row r="147" spans="1:10" ht="13.95" customHeight="1" x14ac:dyDescent="0.3">
      <c r="A147" s="20">
        <v>45803</v>
      </c>
      <c r="B147" s="20" t="s">
        <v>3167</v>
      </c>
      <c r="C147" s="19" t="s">
        <v>18</v>
      </c>
      <c r="D147" s="19" t="s">
        <v>9</v>
      </c>
      <c r="E147" s="4">
        <v>0.75</v>
      </c>
      <c r="F147" s="42">
        <v>2.5</v>
      </c>
      <c r="G147" s="45">
        <v>256</v>
      </c>
      <c r="H147" s="22">
        <v>2.2000000000000002</v>
      </c>
      <c r="I147" s="6">
        <f t="shared" si="2"/>
        <v>1056</v>
      </c>
      <c r="J147" s="7" t="s">
        <v>88</v>
      </c>
    </row>
    <row r="148" spans="1:10" ht="13.95" customHeight="1" x14ac:dyDescent="0.3">
      <c r="A148" s="20">
        <v>45804</v>
      </c>
      <c r="B148" s="20" t="s">
        <v>3167</v>
      </c>
      <c r="C148" s="19" t="s">
        <v>20</v>
      </c>
      <c r="D148" s="19" t="s">
        <v>9</v>
      </c>
      <c r="E148" s="4">
        <v>0.75</v>
      </c>
      <c r="F148" s="42">
        <v>2.5</v>
      </c>
      <c r="G148" s="45">
        <v>256</v>
      </c>
      <c r="H148" s="22">
        <v>2.2000000000000002</v>
      </c>
      <c r="I148" s="6">
        <f t="shared" si="2"/>
        <v>1056</v>
      </c>
      <c r="J148" s="7" t="s">
        <v>88</v>
      </c>
    </row>
    <row r="149" spans="1:10" ht="13.95" customHeight="1" x14ac:dyDescent="0.3">
      <c r="A149" s="20">
        <v>45805</v>
      </c>
      <c r="B149" s="20" t="s">
        <v>3167</v>
      </c>
      <c r="C149" s="19" t="s">
        <v>5</v>
      </c>
      <c r="D149" s="19" t="s">
        <v>9</v>
      </c>
      <c r="E149" s="4">
        <v>0.8</v>
      </c>
      <c r="F149" s="42">
        <v>2.5499999999999998</v>
      </c>
      <c r="G149" s="45">
        <v>256</v>
      </c>
      <c r="H149" s="22">
        <v>2.2000000000000002</v>
      </c>
      <c r="I149" s="6">
        <f t="shared" si="2"/>
        <v>1148.9280000000001</v>
      </c>
      <c r="J149" s="7" t="s">
        <v>88</v>
      </c>
    </row>
    <row r="150" spans="1:10" ht="13.95" customHeight="1" x14ac:dyDescent="0.3">
      <c r="A150" s="20">
        <v>45806</v>
      </c>
      <c r="B150" s="20" t="s">
        <v>3167</v>
      </c>
      <c r="C150" s="19" t="s">
        <v>8</v>
      </c>
      <c r="D150" s="19" t="s">
        <v>2928</v>
      </c>
      <c r="E150" s="4">
        <v>0.9</v>
      </c>
      <c r="F150" s="42">
        <v>3.1</v>
      </c>
      <c r="G150" s="45">
        <v>256</v>
      </c>
      <c r="H150" s="22">
        <v>2.2000000000000002</v>
      </c>
      <c r="I150" s="6">
        <f t="shared" si="2"/>
        <v>1571.3280000000002</v>
      </c>
      <c r="J150" s="7" t="s">
        <v>2929</v>
      </c>
    </row>
    <row r="151" spans="1:10" ht="13.95" customHeight="1" x14ac:dyDescent="0.3">
      <c r="A151" s="20">
        <v>45807</v>
      </c>
      <c r="B151" s="20" t="s">
        <v>3167</v>
      </c>
      <c r="C151" s="19" t="s">
        <v>11</v>
      </c>
      <c r="D151" s="19" t="s">
        <v>14</v>
      </c>
      <c r="E151" s="4">
        <v>0.95</v>
      </c>
      <c r="F151" s="42">
        <v>3.3</v>
      </c>
      <c r="G151" s="45">
        <v>256</v>
      </c>
      <c r="H151" s="22">
        <v>2.2000000000000002</v>
      </c>
      <c r="I151" s="6">
        <f t="shared" si="2"/>
        <v>1765.6320000000001</v>
      </c>
      <c r="J151" s="7" t="s">
        <v>197</v>
      </c>
    </row>
    <row r="152" spans="1:10" ht="13.95" customHeight="1" x14ac:dyDescent="0.3">
      <c r="A152" s="20">
        <v>45808</v>
      </c>
      <c r="B152" s="20" t="s">
        <v>3167</v>
      </c>
      <c r="C152" s="19" t="s">
        <v>13</v>
      </c>
      <c r="D152" s="19" t="s">
        <v>14</v>
      </c>
      <c r="E152" s="4">
        <v>1</v>
      </c>
      <c r="F152" s="42">
        <v>3.6</v>
      </c>
      <c r="G152" s="45">
        <v>256</v>
      </c>
      <c r="H152" s="22">
        <v>2.2000000000000002</v>
      </c>
      <c r="I152" s="6">
        <f t="shared" si="2"/>
        <v>2027.5200000000002</v>
      </c>
      <c r="J152" s="7" t="s">
        <v>2379</v>
      </c>
    </row>
    <row r="153" spans="1:10" ht="13.95" customHeight="1" x14ac:dyDescent="0.3">
      <c r="A153" s="20">
        <v>45809</v>
      </c>
      <c r="B153" s="20" t="s">
        <v>3167</v>
      </c>
      <c r="C153" s="19" t="s">
        <v>16</v>
      </c>
      <c r="D153" s="19" t="s">
        <v>829</v>
      </c>
      <c r="E153" s="4">
        <v>0.9</v>
      </c>
      <c r="F153" s="42">
        <v>3.1</v>
      </c>
      <c r="G153" s="45">
        <v>256</v>
      </c>
      <c r="H153" s="22">
        <v>2.2999999999999998</v>
      </c>
      <c r="I153" s="6">
        <f t="shared" si="2"/>
        <v>1642.752</v>
      </c>
      <c r="J153" s="7" t="s">
        <v>3090</v>
      </c>
    </row>
    <row r="154" spans="1:10" ht="13.95" customHeight="1" x14ac:dyDescent="0.3">
      <c r="A154" s="20">
        <v>45810</v>
      </c>
      <c r="B154" s="20" t="s">
        <v>3167</v>
      </c>
      <c r="C154" s="19" t="s">
        <v>18</v>
      </c>
      <c r="D154" s="19" t="s">
        <v>9</v>
      </c>
      <c r="E154" s="4">
        <v>0.8</v>
      </c>
      <c r="F154" s="42">
        <v>2.6</v>
      </c>
      <c r="G154" s="45">
        <v>256</v>
      </c>
      <c r="H154" s="22">
        <v>2.2999999999999998</v>
      </c>
      <c r="I154" s="6">
        <f t="shared" si="2"/>
        <v>1224.704</v>
      </c>
      <c r="J154" s="7" t="s">
        <v>609</v>
      </c>
    </row>
    <row r="155" spans="1:10" ht="13.95" customHeight="1" x14ac:dyDescent="0.3">
      <c r="A155" s="20">
        <v>45811</v>
      </c>
      <c r="B155" s="20" t="s">
        <v>3167</v>
      </c>
      <c r="C155" s="19" t="s">
        <v>20</v>
      </c>
      <c r="D155" s="19" t="s">
        <v>9</v>
      </c>
      <c r="E155" s="4">
        <v>0.8</v>
      </c>
      <c r="F155" s="42">
        <v>2.6</v>
      </c>
      <c r="G155" s="45">
        <v>256</v>
      </c>
      <c r="H155" s="22">
        <v>2.2999999999999998</v>
      </c>
      <c r="I155" s="6">
        <f t="shared" si="2"/>
        <v>1224.704</v>
      </c>
      <c r="J155" s="7" t="s">
        <v>2194</v>
      </c>
    </row>
    <row r="156" spans="1:10" ht="13.95" customHeight="1" x14ac:dyDescent="0.3">
      <c r="A156" s="20">
        <v>45812</v>
      </c>
      <c r="B156" s="20" t="s">
        <v>3167</v>
      </c>
      <c r="C156" s="19" t="s">
        <v>5</v>
      </c>
      <c r="D156" s="19" t="s">
        <v>9</v>
      </c>
      <c r="E156" s="4">
        <v>0.85</v>
      </c>
      <c r="F156" s="42">
        <v>2.65</v>
      </c>
      <c r="G156" s="45">
        <v>256</v>
      </c>
      <c r="H156" s="22">
        <v>2.2999999999999998</v>
      </c>
      <c r="I156" s="6">
        <f t="shared" si="2"/>
        <v>1326.2719999999999</v>
      </c>
      <c r="J156" s="7" t="s">
        <v>88</v>
      </c>
    </row>
    <row r="157" spans="1:10" ht="13.95" customHeight="1" x14ac:dyDescent="0.3">
      <c r="A157" s="20">
        <v>45813</v>
      </c>
      <c r="B157" s="20" t="s">
        <v>3167</v>
      </c>
      <c r="C157" s="19" t="s">
        <v>8</v>
      </c>
      <c r="D157" s="19" t="s">
        <v>1263</v>
      </c>
      <c r="E157" s="4">
        <v>0.85</v>
      </c>
      <c r="F157" s="42">
        <v>2.8</v>
      </c>
      <c r="G157" s="45">
        <v>256</v>
      </c>
      <c r="H157" s="22">
        <v>2.2999999999999998</v>
      </c>
      <c r="I157" s="6">
        <f t="shared" si="2"/>
        <v>1401.3439999999998</v>
      </c>
      <c r="J157" s="7" t="s">
        <v>1376</v>
      </c>
    </row>
    <row r="158" spans="1:10" ht="13.95" customHeight="1" x14ac:dyDescent="0.3">
      <c r="A158" s="20">
        <v>45814</v>
      </c>
      <c r="B158" s="20" t="s">
        <v>3167</v>
      </c>
      <c r="C158" s="19" t="s">
        <v>11</v>
      </c>
      <c r="D158" s="19" t="s">
        <v>14</v>
      </c>
      <c r="E158" s="4">
        <v>0.9</v>
      </c>
      <c r="F158" s="42">
        <v>3.3</v>
      </c>
      <c r="G158" s="45">
        <v>256</v>
      </c>
      <c r="H158" s="22">
        <v>2.2999999999999998</v>
      </c>
      <c r="I158" s="6">
        <f t="shared" si="2"/>
        <v>1748.7359999999996</v>
      </c>
      <c r="J158" s="7" t="s">
        <v>2933</v>
      </c>
    </row>
    <row r="159" spans="1:10" ht="13.95" customHeight="1" x14ac:dyDescent="0.3">
      <c r="A159" s="20">
        <v>45815</v>
      </c>
      <c r="B159" s="20" t="s">
        <v>3167</v>
      </c>
      <c r="C159" s="19" t="s">
        <v>13</v>
      </c>
      <c r="D159" s="19" t="s">
        <v>3091</v>
      </c>
      <c r="E159" s="4">
        <v>1</v>
      </c>
      <c r="F159" s="42">
        <v>3.75</v>
      </c>
      <c r="G159" s="45">
        <v>256</v>
      </c>
      <c r="H159" s="22">
        <v>2.2999999999999998</v>
      </c>
      <c r="I159" s="6">
        <f t="shared" si="2"/>
        <v>2208</v>
      </c>
      <c r="J159" s="7" t="s">
        <v>3092</v>
      </c>
    </row>
    <row r="160" spans="1:10" ht="13.95" customHeight="1" x14ac:dyDescent="0.3">
      <c r="A160" s="20">
        <v>45816</v>
      </c>
      <c r="B160" s="20" t="s">
        <v>3167</v>
      </c>
      <c r="C160" s="19" t="s">
        <v>16</v>
      </c>
      <c r="D160" s="19" t="s">
        <v>3093</v>
      </c>
      <c r="E160" s="4">
        <v>0.95</v>
      </c>
      <c r="F160" s="42">
        <v>3.2</v>
      </c>
      <c r="G160" s="45">
        <v>256</v>
      </c>
      <c r="H160" s="22">
        <v>2.2999999999999998</v>
      </c>
      <c r="I160" s="6">
        <f t="shared" si="2"/>
        <v>1789.9519999999998</v>
      </c>
      <c r="J160" s="7" t="s">
        <v>3094</v>
      </c>
    </row>
    <row r="161" spans="1:10" ht="13.95" customHeight="1" x14ac:dyDescent="0.3">
      <c r="A161" s="20">
        <v>45817</v>
      </c>
      <c r="B161" s="20" t="s">
        <v>3167</v>
      </c>
      <c r="C161" s="19" t="s">
        <v>18</v>
      </c>
      <c r="D161" s="19" t="s">
        <v>9</v>
      </c>
      <c r="E161" s="4">
        <v>0.85</v>
      </c>
      <c r="F161" s="42">
        <v>2.65</v>
      </c>
      <c r="G161" s="45">
        <v>256</v>
      </c>
      <c r="H161" s="22">
        <v>2.2999999999999998</v>
      </c>
      <c r="I161" s="6">
        <f t="shared" si="2"/>
        <v>1326.2719999999999</v>
      </c>
      <c r="J161" s="7" t="s">
        <v>88</v>
      </c>
    </row>
    <row r="162" spans="1:10" ht="13.95" customHeight="1" x14ac:dyDescent="0.3">
      <c r="A162" s="20">
        <v>45818</v>
      </c>
      <c r="B162" s="20" t="s">
        <v>3167</v>
      </c>
      <c r="C162" s="19" t="s">
        <v>20</v>
      </c>
      <c r="D162" s="19" t="s">
        <v>9</v>
      </c>
      <c r="E162" s="4">
        <v>0.85</v>
      </c>
      <c r="F162" s="42">
        <v>2.65</v>
      </c>
      <c r="G162" s="45">
        <v>256</v>
      </c>
      <c r="H162" s="22">
        <v>2.2999999999999998</v>
      </c>
      <c r="I162" s="6">
        <f t="shared" si="2"/>
        <v>1326.2719999999999</v>
      </c>
      <c r="J162" s="7" t="s">
        <v>88</v>
      </c>
    </row>
    <row r="163" spans="1:10" ht="13.95" customHeight="1" x14ac:dyDescent="0.3">
      <c r="A163" s="20">
        <v>45819</v>
      </c>
      <c r="B163" s="20" t="s">
        <v>3167</v>
      </c>
      <c r="C163" s="19" t="s">
        <v>5</v>
      </c>
      <c r="D163" s="19" t="s">
        <v>9</v>
      </c>
      <c r="E163" s="4">
        <v>0.85</v>
      </c>
      <c r="F163" s="42">
        <v>2.7</v>
      </c>
      <c r="G163" s="45">
        <v>256</v>
      </c>
      <c r="H163" s="22">
        <v>2.2999999999999998</v>
      </c>
      <c r="I163" s="6">
        <f t="shared" si="2"/>
        <v>1351.2959999999998</v>
      </c>
      <c r="J163" s="7" t="s">
        <v>88</v>
      </c>
    </row>
    <row r="164" spans="1:10" ht="13.95" customHeight="1" x14ac:dyDescent="0.3">
      <c r="A164" s="20">
        <v>45820</v>
      </c>
      <c r="B164" s="20" t="s">
        <v>3167</v>
      </c>
      <c r="C164" s="19" t="s">
        <v>8</v>
      </c>
      <c r="D164" s="19" t="s">
        <v>1263</v>
      </c>
      <c r="E164" s="4">
        <v>0.9</v>
      </c>
      <c r="F164" s="42">
        <v>2.85</v>
      </c>
      <c r="G164" s="45">
        <v>256</v>
      </c>
      <c r="H164" s="22">
        <v>2.2999999999999998</v>
      </c>
      <c r="I164" s="6">
        <f t="shared" si="2"/>
        <v>1510.2719999999999</v>
      </c>
      <c r="J164" s="7" t="s">
        <v>3095</v>
      </c>
    </row>
    <row r="165" spans="1:10" ht="13.95" customHeight="1" x14ac:dyDescent="0.3">
      <c r="A165" s="20">
        <v>45821</v>
      </c>
      <c r="B165" s="20" t="s">
        <v>3167</v>
      </c>
      <c r="C165" s="19" t="s">
        <v>11</v>
      </c>
      <c r="D165" s="19" t="s">
        <v>14</v>
      </c>
      <c r="E165" s="4">
        <v>0.95</v>
      </c>
      <c r="F165" s="42">
        <v>3.4</v>
      </c>
      <c r="G165" s="45">
        <v>256</v>
      </c>
      <c r="H165" s="22">
        <v>2.2999999999999998</v>
      </c>
      <c r="I165" s="6">
        <f t="shared" si="2"/>
        <v>1901.8239999999998</v>
      </c>
      <c r="J165" s="7" t="s">
        <v>2802</v>
      </c>
    </row>
    <row r="166" spans="1:10" ht="13.95" customHeight="1" x14ac:dyDescent="0.3">
      <c r="A166" s="20">
        <v>45822</v>
      </c>
      <c r="B166" s="20" t="s">
        <v>3167</v>
      </c>
      <c r="C166" s="19" t="s">
        <v>13</v>
      </c>
      <c r="D166" s="19" t="s">
        <v>3096</v>
      </c>
      <c r="E166" s="4">
        <v>1</v>
      </c>
      <c r="F166" s="42">
        <v>3.85</v>
      </c>
      <c r="G166" s="45">
        <v>256</v>
      </c>
      <c r="H166" s="22">
        <v>2.2999999999999998</v>
      </c>
      <c r="I166" s="6">
        <f t="shared" si="2"/>
        <v>2266.8799999999997</v>
      </c>
      <c r="J166" s="7" t="s">
        <v>1554</v>
      </c>
    </row>
    <row r="167" spans="1:10" ht="13.95" customHeight="1" x14ac:dyDescent="0.3">
      <c r="A167" s="20">
        <v>45823</v>
      </c>
      <c r="B167" s="20" t="s">
        <v>3167</v>
      </c>
      <c r="C167" s="19" t="s">
        <v>16</v>
      </c>
      <c r="D167" s="19" t="s">
        <v>3093</v>
      </c>
      <c r="E167" s="4">
        <v>0.95</v>
      </c>
      <c r="F167" s="42">
        <v>3.3</v>
      </c>
      <c r="G167" s="45">
        <v>256</v>
      </c>
      <c r="H167" s="22">
        <v>2.2999999999999998</v>
      </c>
      <c r="I167" s="6">
        <f t="shared" si="2"/>
        <v>1845.8879999999997</v>
      </c>
      <c r="J167" s="7" t="s">
        <v>1336</v>
      </c>
    </row>
    <row r="168" spans="1:10" ht="13.95" customHeight="1" x14ac:dyDescent="0.3">
      <c r="A168" s="20">
        <v>45824</v>
      </c>
      <c r="B168" s="20" t="s">
        <v>3167</v>
      </c>
      <c r="C168" s="19" t="s">
        <v>18</v>
      </c>
      <c r="D168" s="19" t="s">
        <v>9</v>
      </c>
      <c r="E168" s="4">
        <v>0.9</v>
      </c>
      <c r="F168" s="42">
        <v>2.7</v>
      </c>
      <c r="G168" s="45">
        <v>256</v>
      </c>
      <c r="H168" s="22">
        <v>2.2999999999999998</v>
      </c>
      <c r="I168" s="6">
        <f t="shared" si="2"/>
        <v>1430.7839999999999</v>
      </c>
      <c r="J168" s="7" t="s">
        <v>88</v>
      </c>
    </row>
    <row r="169" spans="1:10" ht="13.95" customHeight="1" x14ac:dyDescent="0.3">
      <c r="A169" s="20">
        <v>45825</v>
      </c>
      <c r="B169" s="20" t="s">
        <v>3167</v>
      </c>
      <c r="C169" s="19" t="s">
        <v>20</v>
      </c>
      <c r="D169" s="19" t="s">
        <v>9</v>
      </c>
      <c r="E169" s="4">
        <v>0.9</v>
      </c>
      <c r="F169" s="42">
        <v>2.7</v>
      </c>
      <c r="G169" s="45">
        <v>256</v>
      </c>
      <c r="H169" s="22">
        <v>2.2999999999999998</v>
      </c>
      <c r="I169" s="6">
        <f t="shared" si="2"/>
        <v>1430.7839999999999</v>
      </c>
      <c r="J169" s="7" t="s">
        <v>88</v>
      </c>
    </row>
    <row r="170" spans="1:10" ht="13.95" customHeight="1" x14ac:dyDescent="0.3">
      <c r="A170" s="20">
        <v>45826</v>
      </c>
      <c r="B170" s="20" t="s">
        <v>3167</v>
      </c>
      <c r="C170" s="19" t="s">
        <v>5</v>
      </c>
      <c r="D170" s="19" t="s">
        <v>9</v>
      </c>
      <c r="E170" s="4">
        <v>0.9</v>
      </c>
      <c r="F170" s="42">
        <v>2.75</v>
      </c>
      <c r="G170" s="45">
        <v>256</v>
      </c>
      <c r="H170" s="22">
        <v>2.2999999999999998</v>
      </c>
      <c r="I170" s="6">
        <f t="shared" si="2"/>
        <v>1457.28</v>
      </c>
      <c r="J170" s="7" t="s">
        <v>1332</v>
      </c>
    </row>
    <row r="171" spans="1:10" ht="13.95" customHeight="1" x14ac:dyDescent="0.3">
      <c r="A171" s="20">
        <v>45827</v>
      </c>
      <c r="B171" s="20" t="s">
        <v>3167</v>
      </c>
      <c r="C171" s="19" t="s">
        <v>8</v>
      </c>
      <c r="D171" s="19" t="s">
        <v>9</v>
      </c>
      <c r="E171" s="4">
        <v>0.95</v>
      </c>
      <c r="F171" s="42">
        <v>2.8</v>
      </c>
      <c r="G171" s="45">
        <v>256</v>
      </c>
      <c r="H171" s="22">
        <v>2.2999999999999998</v>
      </c>
      <c r="I171" s="6">
        <f t="shared" si="2"/>
        <v>1566.2079999999996</v>
      </c>
      <c r="J171" s="7" t="s">
        <v>2946</v>
      </c>
    </row>
    <row r="172" spans="1:10" ht="13.95" customHeight="1" x14ac:dyDescent="0.3">
      <c r="A172" s="20">
        <v>45828</v>
      </c>
      <c r="B172" s="20" t="s">
        <v>3167</v>
      </c>
      <c r="C172" s="19" t="s">
        <v>11</v>
      </c>
      <c r="D172" s="19" t="s">
        <v>14</v>
      </c>
      <c r="E172" s="4">
        <v>1</v>
      </c>
      <c r="F172" s="42">
        <v>3.5</v>
      </c>
      <c r="G172" s="45">
        <v>256</v>
      </c>
      <c r="H172" s="22">
        <v>2.2999999999999998</v>
      </c>
      <c r="I172" s="6">
        <f t="shared" si="2"/>
        <v>2060.7999999999997</v>
      </c>
      <c r="J172" s="7" t="s">
        <v>2654</v>
      </c>
    </row>
    <row r="173" spans="1:10" ht="13.95" customHeight="1" x14ac:dyDescent="0.3">
      <c r="A173" s="20">
        <v>45829</v>
      </c>
      <c r="B173" s="20" t="s">
        <v>3167</v>
      </c>
      <c r="C173" s="19" t="s">
        <v>13</v>
      </c>
      <c r="D173" s="19" t="s">
        <v>2790</v>
      </c>
      <c r="E173" s="4">
        <v>1</v>
      </c>
      <c r="F173" s="42">
        <v>4</v>
      </c>
      <c r="G173" s="45">
        <v>256</v>
      </c>
      <c r="H173" s="22">
        <v>2.2999999999999998</v>
      </c>
      <c r="I173" s="6">
        <f t="shared" si="2"/>
        <v>2355.1999999999998</v>
      </c>
      <c r="J173" s="7" t="s">
        <v>3097</v>
      </c>
    </row>
    <row r="174" spans="1:10" ht="13.95" customHeight="1" x14ac:dyDescent="0.3">
      <c r="A174" s="20">
        <v>45830</v>
      </c>
      <c r="B174" s="20" t="s">
        <v>3167</v>
      </c>
      <c r="C174" s="19" t="s">
        <v>16</v>
      </c>
      <c r="D174" s="19" t="s">
        <v>3098</v>
      </c>
      <c r="E174" s="4">
        <v>0.95</v>
      </c>
      <c r="F174" s="42">
        <v>3.4</v>
      </c>
      <c r="G174" s="45">
        <v>256</v>
      </c>
      <c r="H174" s="22">
        <v>2.2999999999999998</v>
      </c>
      <c r="I174" s="6">
        <f t="shared" si="2"/>
        <v>1901.8239999999998</v>
      </c>
      <c r="J174" s="7" t="s">
        <v>3099</v>
      </c>
    </row>
    <row r="175" spans="1:10" ht="13.95" customHeight="1" x14ac:dyDescent="0.3">
      <c r="A175" s="20">
        <v>45831</v>
      </c>
      <c r="B175" s="20" t="s">
        <v>3167</v>
      </c>
      <c r="C175" s="19" t="s">
        <v>18</v>
      </c>
      <c r="D175" s="19" t="s">
        <v>9</v>
      </c>
      <c r="E175" s="4">
        <v>0.9</v>
      </c>
      <c r="F175" s="42">
        <v>2.75</v>
      </c>
      <c r="G175" s="45">
        <v>256</v>
      </c>
      <c r="H175" s="22">
        <v>2.2999999999999998</v>
      </c>
      <c r="I175" s="6">
        <f t="shared" si="2"/>
        <v>1457.28</v>
      </c>
      <c r="J175" s="7" t="s">
        <v>88</v>
      </c>
    </row>
    <row r="176" spans="1:10" ht="13.95" customHeight="1" x14ac:dyDescent="0.3">
      <c r="A176" s="20">
        <v>45832</v>
      </c>
      <c r="B176" s="20" t="s">
        <v>3167</v>
      </c>
      <c r="C176" s="19" t="s">
        <v>20</v>
      </c>
      <c r="D176" s="19" t="s">
        <v>9</v>
      </c>
      <c r="E176" s="4">
        <v>0.9</v>
      </c>
      <c r="F176" s="42">
        <v>2.75</v>
      </c>
      <c r="G176" s="45">
        <v>256</v>
      </c>
      <c r="H176" s="22">
        <v>2.2999999999999998</v>
      </c>
      <c r="I176" s="6">
        <f t="shared" si="2"/>
        <v>1457.28</v>
      </c>
      <c r="J176" s="7" t="s">
        <v>88</v>
      </c>
    </row>
    <row r="177" spans="1:10" ht="13.95" customHeight="1" x14ac:dyDescent="0.3">
      <c r="A177" s="20">
        <v>45833</v>
      </c>
      <c r="B177" s="20" t="s">
        <v>3167</v>
      </c>
      <c r="C177" s="19" t="s">
        <v>5</v>
      </c>
      <c r="D177" s="19" t="s">
        <v>9</v>
      </c>
      <c r="E177" s="4">
        <v>0.95</v>
      </c>
      <c r="F177" s="42">
        <v>2.8</v>
      </c>
      <c r="G177" s="45">
        <v>256</v>
      </c>
      <c r="H177" s="22">
        <v>2.2999999999999998</v>
      </c>
      <c r="I177" s="6">
        <f t="shared" si="2"/>
        <v>1566.2079999999996</v>
      </c>
      <c r="J177" s="7" t="s">
        <v>88</v>
      </c>
    </row>
    <row r="178" spans="1:10" ht="13.95" customHeight="1" x14ac:dyDescent="0.3">
      <c r="A178" s="20">
        <v>45834</v>
      </c>
      <c r="B178" s="20" t="s">
        <v>3167</v>
      </c>
      <c r="C178" s="19" t="s">
        <v>8</v>
      </c>
      <c r="D178" s="19" t="s">
        <v>9</v>
      </c>
      <c r="E178" s="4">
        <v>0.95</v>
      </c>
      <c r="F178" s="42">
        <v>2.9</v>
      </c>
      <c r="G178" s="45">
        <v>256</v>
      </c>
      <c r="H178" s="22">
        <v>2.2999999999999998</v>
      </c>
      <c r="I178" s="6">
        <f t="shared" si="2"/>
        <v>1622.1439999999998</v>
      </c>
      <c r="J178" s="7" t="s">
        <v>3100</v>
      </c>
    </row>
    <row r="179" spans="1:10" ht="13.95" customHeight="1" x14ac:dyDescent="0.3">
      <c r="A179" s="20">
        <v>45835</v>
      </c>
      <c r="B179" s="20" t="s">
        <v>3167</v>
      </c>
      <c r="C179" s="19" t="s">
        <v>11</v>
      </c>
      <c r="D179" s="19" t="s">
        <v>2939</v>
      </c>
      <c r="E179" s="4">
        <v>1</v>
      </c>
      <c r="F179" s="42">
        <v>3.6</v>
      </c>
      <c r="G179" s="45">
        <v>256</v>
      </c>
      <c r="H179" s="22">
        <v>2.2999999999999998</v>
      </c>
      <c r="I179" s="6">
        <f t="shared" si="2"/>
        <v>2119.6799999999998</v>
      </c>
      <c r="J179" s="7" t="s">
        <v>1802</v>
      </c>
    </row>
    <row r="180" spans="1:10" ht="13.95" customHeight="1" x14ac:dyDescent="0.3">
      <c r="A180" s="20">
        <v>45836</v>
      </c>
      <c r="B180" s="20" t="s">
        <v>3167</v>
      </c>
      <c r="C180" s="19" t="s">
        <v>13</v>
      </c>
      <c r="D180" s="19" t="s">
        <v>3101</v>
      </c>
      <c r="E180" s="4">
        <v>1</v>
      </c>
      <c r="F180" s="42">
        <v>4.0999999999999996</v>
      </c>
      <c r="G180" s="45">
        <v>256</v>
      </c>
      <c r="H180" s="22">
        <v>2.2999999999999998</v>
      </c>
      <c r="I180" s="6">
        <f t="shared" si="2"/>
        <v>2414.0799999999995</v>
      </c>
      <c r="J180" s="7" t="s">
        <v>3102</v>
      </c>
    </row>
    <row r="181" spans="1:10" ht="13.95" customHeight="1" x14ac:dyDescent="0.3">
      <c r="A181" s="20">
        <v>45837</v>
      </c>
      <c r="B181" s="20" t="s">
        <v>3167</v>
      </c>
      <c r="C181" s="19" t="s">
        <v>16</v>
      </c>
      <c r="D181" s="19" t="s">
        <v>3098</v>
      </c>
      <c r="E181" s="4">
        <v>1</v>
      </c>
      <c r="F181" s="42">
        <v>3.5</v>
      </c>
      <c r="G181" s="45">
        <v>256</v>
      </c>
      <c r="H181" s="22">
        <v>2.2999999999999998</v>
      </c>
      <c r="I181" s="6">
        <f t="shared" si="2"/>
        <v>2060.7999999999997</v>
      </c>
      <c r="J181" s="7" t="s">
        <v>3103</v>
      </c>
    </row>
    <row r="182" spans="1:10" ht="13.95" customHeight="1" x14ac:dyDescent="0.3">
      <c r="A182" s="20">
        <v>45838</v>
      </c>
      <c r="B182" s="20" t="s">
        <v>3167</v>
      </c>
      <c r="C182" s="19" t="s">
        <v>18</v>
      </c>
      <c r="D182" s="19" t="s">
        <v>9</v>
      </c>
      <c r="E182" s="4">
        <v>0.95</v>
      </c>
      <c r="F182" s="42">
        <v>2.8</v>
      </c>
      <c r="G182" s="45">
        <v>256</v>
      </c>
      <c r="H182" s="22">
        <v>2.2999999999999998</v>
      </c>
      <c r="I182" s="6">
        <f t="shared" si="2"/>
        <v>1566.2079999999996</v>
      </c>
      <c r="J182" s="7" t="s">
        <v>2941</v>
      </c>
    </row>
    <row r="183" spans="1:10" ht="13.95" customHeight="1" x14ac:dyDescent="0.3">
      <c r="A183" s="20">
        <v>45839</v>
      </c>
      <c r="B183" s="20" t="s">
        <v>3167</v>
      </c>
      <c r="C183" s="19" t="s">
        <v>20</v>
      </c>
      <c r="D183" s="19" t="s">
        <v>1347</v>
      </c>
      <c r="E183" s="4">
        <v>0.9</v>
      </c>
      <c r="F183" s="42">
        <v>2.8</v>
      </c>
      <c r="G183" s="45">
        <v>256</v>
      </c>
      <c r="H183" s="22">
        <v>2.4</v>
      </c>
      <c r="I183" s="6">
        <f t="shared" si="2"/>
        <v>1548.288</v>
      </c>
      <c r="J183" s="7" t="s">
        <v>3104</v>
      </c>
    </row>
    <row r="184" spans="1:10" ht="13.95" customHeight="1" x14ac:dyDescent="0.3">
      <c r="A184" s="20">
        <v>45840</v>
      </c>
      <c r="B184" s="20" t="s">
        <v>3167</v>
      </c>
      <c r="C184" s="19" t="s">
        <v>5</v>
      </c>
      <c r="D184" s="19" t="s">
        <v>1347</v>
      </c>
      <c r="E184" s="4">
        <v>0.9</v>
      </c>
      <c r="F184" s="42">
        <v>2.8</v>
      </c>
      <c r="G184" s="45">
        <v>256</v>
      </c>
      <c r="H184" s="22">
        <v>2.4</v>
      </c>
      <c r="I184" s="6">
        <f t="shared" si="2"/>
        <v>1548.288</v>
      </c>
      <c r="J184" s="7" t="s">
        <v>88</v>
      </c>
    </row>
    <row r="185" spans="1:10" ht="13.95" customHeight="1" x14ac:dyDescent="0.3">
      <c r="A185" s="20">
        <v>45841</v>
      </c>
      <c r="B185" s="20" t="s">
        <v>3167</v>
      </c>
      <c r="C185" s="19" t="s">
        <v>8</v>
      </c>
      <c r="D185" s="19" t="s">
        <v>1347</v>
      </c>
      <c r="E185" s="4">
        <v>0.95</v>
      </c>
      <c r="F185" s="42">
        <v>2.9</v>
      </c>
      <c r="G185" s="45">
        <v>256</v>
      </c>
      <c r="H185" s="22">
        <v>2.4</v>
      </c>
      <c r="I185" s="6">
        <f t="shared" si="2"/>
        <v>1692.6719999999998</v>
      </c>
      <c r="J185" s="7" t="s">
        <v>67</v>
      </c>
    </row>
    <row r="186" spans="1:10" ht="13.95" customHeight="1" x14ac:dyDescent="0.3">
      <c r="A186" s="20">
        <v>45842</v>
      </c>
      <c r="B186" s="20" t="s">
        <v>3167</v>
      </c>
      <c r="C186" s="19" t="s">
        <v>11</v>
      </c>
      <c r="D186" s="19" t="s">
        <v>829</v>
      </c>
      <c r="E186" s="4">
        <v>1</v>
      </c>
      <c r="F186" s="42">
        <v>3.6</v>
      </c>
      <c r="G186" s="45">
        <v>256</v>
      </c>
      <c r="H186" s="22">
        <v>2.4</v>
      </c>
      <c r="I186" s="6">
        <f t="shared" si="2"/>
        <v>2211.84</v>
      </c>
      <c r="J186" s="7" t="s">
        <v>2654</v>
      </c>
    </row>
    <row r="187" spans="1:10" ht="13.95" customHeight="1" x14ac:dyDescent="0.3">
      <c r="A187" s="20">
        <v>45843</v>
      </c>
      <c r="B187" s="20" t="s">
        <v>3167</v>
      </c>
      <c r="C187" s="19" t="s">
        <v>13</v>
      </c>
      <c r="D187" s="19" t="s">
        <v>3091</v>
      </c>
      <c r="E187" s="4">
        <v>1</v>
      </c>
      <c r="F187" s="42">
        <v>4.2</v>
      </c>
      <c r="G187" s="45">
        <v>256</v>
      </c>
      <c r="H187" s="22">
        <v>2.4</v>
      </c>
      <c r="I187" s="6">
        <f t="shared" si="2"/>
        <v>2580.48</v>
      </c>
      <c r="J187" s="7" t="s">
        <v>3105</v>
      </c>
    </row>
    <row r="188" spans="1:10" ht="13.95" customHeight="1" x14ac:dyDescent="0.3">
      <c r="A188" s="20">
        <v>45844</v>
      </c>
      <c r="B188" s="20" t="s">
        <v>3167</v>
      </c>
      <c r="C188" s="19" t="s">
        <v>16</v>
      </c>
      <c r="D188" s="19" t="s">
        <v>3093</v>
      </c>
      <c r="E188" s="4">
        <v>1</v>
      </c>
      <c r="F188" s="42">
        <v>3.5</v>
      </c>
      <c r="G188" s="45">
        <v>256</v>
      </c>
      <c r="H188" s="22">
        <v>2.4</v>
      </c>
      <c r="I188" s="6">
        <f t="shared" si="2"/>
        <v>2150.4</v>
      </c>
      <c r="J188" s="7" t="s">
        <v>3106</v>
      </c>
    </row>
    <row r="189" spans="1:10" ht="13.95" customHeight="1" x14ac:dyDescent="0.3">
      <c r="A189" s="20">
        <v>45845</v>
      </c>
      <c r="B189" s="20" t="s">
        <v>3167</v>
      </c>
      <c r="C189" s="19" t="s">
        <v>18</v>
      </c>
      <c r="D189" s="19" t="s">
        <v>1347</v>
      </c>
      <c r="E189" s="4">
        <v>0.9</v>
      </c>
      <c r="F189" s="42">
        <v>2.85</v>
      </c>
      <c r="G189" s="45">
        <v>256</v>
      </c>
      <c r="H189" s="22">
        <v>2.4</v>
      </c>
      <c r="I189" s="6">
        <f t="shared" si="2"/>
        <v>1575.9359999999999</v>
      </c>
      <c r="J189" s="7" t="s">
        <v>88</v>
      </c>
    </row>
    <row r="190" spans="1:10" ht="13.95" customHeight="1" x14ac:dyDescent="0.3">
      <c r="A190" s="20">
        <v>45846</v>
      </c>
      <c r="B190" s="20" t="s">
        <v>3167</v>
      </c>
      <c r="C190" s="19" t="s">
        <v>20</v>
      </c>
      <c r="D190" s="19" t="s">
        <v>1347</v>
      </c>
      <c r="E190" s="4">
        <v>0.9</v>
      </c>
      <c r="F190" s="42">
        <v>2.85</v>
      </c>
      <c r="G190" s="45">
        <v>256</v>
      </c>
      <c r="H190" s="22">
        <v>2.4</v>
      </c>
      <c r="I190" s="6">
        <f t="shared" si="2"/>
        <v>1575.9359999999999</v>
      </c>
      <c r="J190" s="7" t="s">
        <v>88</v>
      </c>
    </row>
    <row r="191" spans="1:10" ht="13.95" customHeight="1" x14ac:dyDescent="0.3">
      <c r="A191" s="20">
        <v>45847</v>
      </c>
      <c r="B191" s="20" t="s">
        <v>3167</v>
      </c>
      <c r="C191" s="19" t="s">
        <v>5</v>
      </c>
      <c r="D191" s="19" t="s">
        <v>1347</v>
      </c>
      <c r="E191" s="4">
        <v>0.95</v>
      </c>
      <c r="F191" s="42">
        <v>2.9</v>
      </c>
      <c r="G191" s="45">
        <v>256</v>
      </c>
      <c r="H191" s="22">
        <v>2.4</v>
      </c>
      <c r="I191" s="6">
        <f t="shared" si="2"/>
        <v>1692.6719999999998</v>
      </c>
      <c r="J191" s="7" t="s">
        <v>3107</v>
      </c>
    </row>
    <row r="192" spans="1:10" ht="13.95" customHeight="1" x14ac:dyDescent="0.3">
      <c r="A192" s="20">
        <v>45848</v>
      </c>
      <c r="B192" s="20" t="s">
        <v>3167</v>
      </c>
      <c r="C192" s="19" t="s">
        <v>8</v>
      </c>
      <c r="D192" s="19" t="s">
        <v>1347</v>
      </c>
      <c r="E192" s="4">
        <v>1</v>
      </c>
      <c r="F192" s="42">
        <v>3.1</v>
      </c>
      <c r="G192" s="45">
        <v>256</v>
      </c>
      <c r="H192" s="22">
        <v>2.4</v>
      </c>
      <c r="I192" s="6">
        <f t="shared" si="2"/>
        <v>1904.6399999999999</v>
      </c>
      <c r="J192" s="7" t="s">
        <v>82</v>
      </c>
    </row>
    <row r="193" spans="1:10" ht="13.95" customHeight="1" x14ac:dyDescent="0.3">
      <c r="A193" s="20">
        <v>45849</v>
      </c>
      <c r="B193" s="20" t="s">
        <v>3167</v>
      </c>
      <c r="C193" s="19" t="s">
        <v>11</v>
      </c>
      <c r="D193" s="19" t="s">
        <v>829</v>
      </c>
      <c r="E193" s="4">
        <v>1</v>
      </c>
      <c r="F193" s="42">
        <v>3.7</v>
      </c>
      <c r="G193" s="45">
        <v>256</v>
      </c>
      <c r="H193" s="22">
        <v>2.4</v>
      </c>
      <c r="I193" s="6">
        <f t="shared" si="2"/>
        <v>2273.2800000000002</v>
      </c>
      <c r="J193" s="7" t="s">
        <v>3108</v>
      </c>
    </row>
    <row r="194" spans="1:10" ht="13.95" customHeight="1" x14ac:dyDescent="0.3">
      <c r="A194" s="20">
        <v>45850</v>
      </c>
      <c r="B194" s="20" t="s">
        <v>3167</v>
      </c>
      <c r="C194" s="19" t="s">
        <v>13</v>
      </c>
      <c r="D194" s="19" t="s">
        <v>3096</v>
      </c>
      <c r="E194" s="4">
        <v>1</v>
      </c>
      <c r="F194" s="42">
        <v>4.3</v>
      </c>
      <c r="G194" s="45">
        <v>256</v>
      </c>
      <c r="H194" s="22">
        <v>2.4</v>
      </c>
      <c r="I194" s="6">
        <f t="shared" si="2"/>
        <v>2641.9199999999996</v>
      </c>
      <c r="J194" s="7" t="s">
        <v>3109</v>
      </c>
    </row>
    <row r="195" spans="1:10" ht="13.95" customHeight="1" x14ac:dyDescent="0.3">
      <c r="A195" s="20">
        <v>45851</v>
      </c>
      <c r="B195" s="20" t="s">
        <v>3167</v>
      </c>
      <c r="C195" s="19" t="s">
        <v>16</v>
      </c>
      <c r="D195" s="19" t="s">
        <v>3093</v>
      </c>
      <c r="E195" s="4">
        <v>1</v>
      </c>
      <c r="F195" s="42">
        <v>3.6</v>
      </c>
      <c r="G195" s="45">
        <v>256</v>
      </c>
      <c r="H195" s="22">
        <v>2.4</v>
      </c>
      <c r="I195" s="6">
        <f t="shared" ref="I195:I258" si="3">(G195*E195)*F195*H195</f>
        <v>2211.84</v>
      </c>
      <c r="J195" s="7" t="s">
        <v>48</v>
      </c>
    </row>
    <row r="196" spans="1:10" ht="13.95" customHeight="1" x14ac:dyDescent="0.3">
      <c r="A196" s="20">
        <v>45852</v>
      </c>
      <c r="B196" s="20" t="s">
        <v>3167</v>
      </c>
      <c r="C196" s="19" t="s">
        <v>18</v>
      </c>
      <c r="D196" s="19" t="s">
        <v>2800</v>
      </c>
      <c r="E196" s="4">
        <v>0.95</v>
      </c>
      <c r="F196" s="42">
        <v>3.2</v>
      </c>
      <c r="G196" s="45">
        <v>256</v>
      </c>
      <c r="H196" s="22">
        <v>2.4</v>
      </c>
      <c r="I196" s="6">
        <f t="shared" si="3"/>
        <v>1867.7759999999998</v>
      </c>
      <c r="J196" s="7" t="s">
        <v>3110</v>
      </c>
    </row>
    <row r="197" spans="1:10" ht="13.95" customHeight="1" x14ac:dyDescent="0.3">
      <c r="A197" s="20">
        <v>45853</v>
      </c>
      <c r="B197" s="20" t="s">
        <v>3167</v>
      </c>
      <c r="C197" s="19" t="s">
        <v>20</v>
      </c>
      <c r="D197" s="19" t="s">
        <v>1347</v>
      </c>
      <c r="E197" s="4">
        <v>0.95</v>
      </c>
      <c r="F197" s="42">
        <v>2.9</v>
      </c>
      <c r="G197" s="45">
        <v>256</v>
      </c>
      <c r="H197" s="22">
        <v>2.4</v>
      </c>
      <c r="I197" s="6">
        <f t="shared" si="3"/>
        <v>1692.6719999999998</v>
      </c>
      <c r="J197" s="7" t="s">
        <v>88</v>
      </c>
    </row>
    <row r="198" spans="1:10" ht="13.95" customHeight="1" x14ac:dyDescent="0.3">
      <c r="A198" s="20">
        <v>45854</v>
      </c>
      <c r="B198" s="20" t="s">
        <v>3167</v>
      </c>
      <c r="C198" s="19" t="s">
        <v>5</v>
      </c>
      <c r="D198" s="19" t="s">
        <v>1347</v>
      </c>
      <c r="E198" s="4">
        <v>0.95</v>
      </c>
      <c r="F198" s="42">
        <v>2.95</v>
      </c>
      <c r="G198" s="45">
        <v>256</v>
      </c>
      <c r="H198" s="22">
        <v>2.4</v>
      </c>
      <c r="I198" s="6">
        <f t="shared" si="3"/>
        <v>1721.856</v>
      </c>
      <c r="J198" s="7" t="s">
        <v>88</v>
      </c>
    </row>
    <row r="199" spans="1:10" ht="13.95" customHeight="1" x14ac:dyDescent="0.3">
      <c r="A199" s="20">
        <v>45855</v>
      </c>
      <c r="B199" s="20" t="s">
        <v>3167</v>
      </c>
      <c r="C199" s="19" t="s">
        <v>8</v>
      </c>
      <c r="D199" s="19" t="s">
        <v>1347</v>
      </c>
      <c r="E199" s="4">
        <v>1</v>
      </c>
      <c r="F199" s="42">
        <v>3.15</v>
      </c>
      <c r="G199" s="45">
        <v>256</v>
      </c>
      <c r="H199" s="22">
        <v>2.4</v>
      </c>
      <c r="I199" s="6">
        <f t="shared" si="3"/>
        <v>1935.36</v>
      </c>
      <c r="J199" s="7" t="s">
        <v>1838</v>
      </c>
    </row>
    <row r="200" spans="1:10" ht="13.95" customHeight="1" x14ac:dyDescent="0.3">
      <c r="A200" s="20">
        <v>45856</v>
      </c>
      <c r="B200" s="20" t="s">
        <v>3167</v>
      </c>
      <c r="C200" s="19" t="s">
        <v>11</v>
      </c>
      <c r="D200" s="19" t="s">
        <v>829</v>
      </c>
      <c r="E200" s="4">
        <v>1</v>
      </c>
      <c r="F200" s="42">
        <v>3.8</v>
      </c>
      <c r="G200" s="45">
        <v>256</v>
      </c>
      <c r="H200" s="22">
        <v>2.4</v>
      </c>
      <c r="I200" s="6">
        <f t="shared" si="3"/>
        <v>2334.7199999999998</v>
      </c>
      <c r="J200" s="7" t="s">
        <v>2949</v>
      </c>
    </row>
    <row r="201" spans="1:10" ht="13.95" customHeight="1" x14ac:dyDescent="0.3">
      <c r="A201" s="20">
        <v>45857</v>
      </c>
      <c r="B201" s="20" t="s">
        <v>3167</v>
      </c>
      <c r="C201" s="19" t="s">
        <v>13</v>
      </c>
      <c r="D201" s="19" t="s">
        <v>3111</v>
      </c>
      <c r="E201" s="4">
        <v>1</v>
      </c>
      <c r="F201" s="42">
        <v>4.4000000000000004</v>
      </c>
      <c r="G201" s="45">
        <v>256</v>
      </c>
      <c r="H201" s="22">
        <v>2.4</v>
      </c>
      <c r="I201" s="6">
        <f t="shared" si="3"/>
        <v>2703.36</v>
      </c>
      <c r="J201" s="7" t="s">
        <v>3112</v>
      </c>
    </row>
    <row r="202" spans="1:10" ht="13.95" customHeight="1" x14ac:dyDescent="0.3">
      <c r="A202" s="20">
        <v>45858</v>
      </c>
      <c r="B202" s="20" t="s">
        <v>3167</v>
      </c>
      <c r="C202" s="19" t="s">
        <v>16</v>
      </c>
      <c r="D202" s="19" t="s">
        <v>3093</v>
      </c>
      <c r="E202" s="4">
        <v>1</v>
      </c>
      <c r="F202" s="42">
        <v>3.7</v>
      </c>
      <c r="G202" s="45">
        <v>256</v>
      </c>
      <c r="H202" s="22">
        <v>2.4</v>
      </c>
      <c r="I202" s="6">
        <f t="shared" si="3"/>
        <v>2273.2800000000002</v>
      </c>
      <c r="J202" s="7" t="s">
        <v>3113</v>
      </c>
    </row>
    <row r="203" spans="1:10" ht="13.95" customHeight="1" x14ac:dyDescent="0.3">
      <c r="A203" s="20">
        <v>45859</v>
      </c>
      <c r="B203" s="20" t="s">
        <v>3167</v>
      </c>
      <c r="C203" s="19" t="s">
        <v>18</v>
      </c>
      <c r="D203" s="19" t="s">
        <v>1347</v>
      </c>
      <c r="E203" s="4">
        <v>0.95</v>
      </c>
      <c r="F203" s="42">
        <v>2.95</v>
      </c>
      <c r="G203" s="45">
        <v>256</v>
      </c>
      <c r="H203" s="22">
        <v>2.4</v>
      </c>
      <c r="I203" s="6">
        <f t="shared" si="3"/>
        <v>1721.856</v>
      </c>
      <c r="J203" s="7" t="s">
        <v>88</v>
      </c>
    </row>
    <row r="204" spans="1:10" ht="13.95" customHeight="1" x14ac:dyDescent="0.3">
      <c r="A204" s="20">
        <v>45860</v>
      </c>
      <c r="B204" s="20" t="s">
        <v>3167</v>
      </c>
      <c r="C204" s="19" t="s">
        <v>20</v>
      </c>
      <c r="D204" s="19" t="s">
        <v>1347</v>
      </c>
      <c r="E204" s="4">
        <v>0.95</v>
      </c>
      <c r="F204" s="42">
        <v>2.95</v>
      </c>
      <c r="G204" s="45">
        <v>256</v>
      </c>
      <c r="H204" s="22">
        <v>2.4</v>
      </c>
      <c r="I204" s="6">
        <f t="shared" si="3"/>
        <v>1721.856</v>
      </c>
      <c r="J204" s="7" t="s">
        <v>88</v>
      </c>
    </row>
    <row r="205" spans="1:10" ht="13.95" customHeight="1" x14ac:dyDescent="0.3">
      <c r="A205" s="20">
        <v>45861</v>
      </c>
      <c r="B205" s="20" t="s">
        <v>3167</v>
      </c>
      <c r="C205" s="19" t="s">
        <v>5</v>
      </c>
      <c r="D205" s="19" t="s">
        <v>1347</v>
      </c>
      <c r="E205" s="4">
        <v>1</v>
      </c>
      <c r="F205" s="42">
        <v>3</v>
      </c>
      <c r="G205" s="45">
        <v>256</v>
      </c>
      <c r="H205" s="22">
        <v>2.4</v>
      </c>
      <c r="I205" s="6">
        <f t="shared" si="3"/>
        <v>1843.1999999999998</v>
      </c>
      <c r="J205" s="7" t="s">
        <v>88</v>
      </c>
    </row>
    <row r="206" spans="1:10" ht="13.95" customHeight="1" x14ac:dyDescent="0.3">
      <c r="A206" s="20">
        <v>45862</v>
      </c>
      <c r="B206" s="20" t="s">
        <v>3167</v>
      </c>
      <c r="C206" s="19" t="s">
        <v>8</v>
      </c>
      <c r="D206" s="19" t="s">
        <v>994</v>
      </c>
      <c r="E206" s="4">
        <v>1</v>
      </c>
      <c r="F206" s="42">
        <v>3.4</v>
      </c>
      <c r="G206" s="45">
        <v>256</v>
      </c>
      <c r="H206" s="22">
        <v>2.4</v>
      </c>
      <c r="I206" s="6">
        <f t="shared" si="3"/>
        <v>2088.96</v>
      </c>
      <c r="J206" s="7" t="s">
        <v>2238</v>
      </c>
    </row>
    <row r="207" spans="1:10" ht="13.95" customHeight="1" x14ac:dyDescent="0.3">
      <c r="A207" s="20">
        <v>45863</v>
      </c>
      <c r="B207" s="20" t="s">
        <v>3167</v>
      </c>
      <c r="C207" s="19" t="s">
        <v>11</v>
      </c>
      <c r="D207" s="19" t="s">
        <v>2803</v>
      </c>
      <c r="E207" s="4">
        <v>1</v>
      </c>
      <c r="F207" s="42">
        <v>4.0999999999999996</v>
      </c>
      <c r="G207" s="45">
        <v>256</v>
      </c>
      <c r="H207" s="22">
        <v>2.4</v>
      </c>
      <c r="I207" s="6">
        <f t="shared" si="3"/>
        <v>2519.0399999999995</v>
      </c>
      <c r="J207" s="7" t="s">
        <v>3114</v>
      </c>
    </row>
    <row r="208" spans="1:10" ht="13.95" customHeight="1" x14ac:dyDescent="0.3">
      <c r="A208" s="20">
        <v>45864</v>
      </c>
      <c r="B208" s="20" t="s">
        <v>3167</v>
      </c>
      <c r="C208" s="19" t="s">
        <v>13</v>
      </c>
      <c r="D208" s="19" t="s">
        <v>3091</v>
      </c>
      <c r="E208" s="4">
        <v>1</v>
      </c>
      <c r="F208" s="42">
        <v>4.5</v>
      </c>
      <c r="G208" s="45">
        <v>256</v>
      </c>
      <c r="H208" s="22">
        <v>2.4</v>
      </c>
      <c r="I208" s="6">
        <f t="shared" si="3"/>
        <v>2764.7999999999997</v>
      </c>
      <c r="J208" s="7" t="s">
        <v>3115</v>
      </c>
    </row>
    <row r="209" spans="1:10" ht="13.95" customHeight="1" x14ac:dyDescent="0.3">
      <c r="A209" s="20">
        <v>45865</v>
      </c>
      <c r="B209" s="20" t="s">
        <v>3167</v>
      </c>
      <c r="C209" s="19" t="s">
        <v>16</v>
      </c>
      <c r="D209" s="19" t="s">
        <v>3002</v>
      </c>
      <c r="E209" s="4">
        <v>1</v>
      </c>
      <c r="F209" s="42">
        <v>3.9</v>
      </c>
      <c r="G209" s="45">
        <v>256</v>
      </c>
      <c r="H209" s="22">
        <v>2.4</v>
      </c>
      <c r="I209" s="6">
        <f t="shared" si="3"/>
        <v>2396.16</v>
      </c>
      <c r="J209" s="7" t="s">
        <v>139</v>
      </c>
    </row>
    <row r="210" spans="1:10" ht="13.95" customHeight="1" x14ac:dyDescent="0.3">
      <c r="A210" s="20">
        <v>45866</v>
      </c>
      <c r="B210" s="20" t="s">
        <v>3167</v>
      </c>
      <c r="C210" s="19" t="s">
        <v>18</v>
      </c>
      <c r="D210" s="19" t="s">
        <v>1347</v>
      </c>
      <c r="E210" s="4">
        <v>0.95</v>
      </c>
      <c r="F210" s="42">
        <v>3</v>
      </c>
      <c r="G210" s="45">
        <v>256</v>
      </c>
      <c r="H210" s="22">
        <v>2.4</v>
      </c>
      <c r="I210" s="6">
        <f t="shared" si="3"/>
        <v>1751.0399999999997</v>
      </c>
      <c r="J210" s="7" t="s">
        <v>88</v>
      </c>
    </row>
    <row r="211" spans="1:10" ht="13.95" customHeight="1" x14ac:dyDescent="0.3">
      <c r="A211" s="20">
        <v>45867</v>
      </c>
      <c r="B211" s="20" t="s">
        <v>3167</v>
      </c>
      <c r="C211" s="19" t="s">
        <v>20</v>
      </c>
      <c r="D211" s="19" t="s">
        <v>1347</v>
      </c>
      <c r="E211" s="4">
        <v>0.95</v>
      </c>
      <c r="F211" s="42">
        <v>3</v>
      </c>
      <c r="G211" s="45">
        <v>256</v>
      </c>
      <c r="H211" s="22">
        <v>2.4</v>
      </c>
      <c r="I211" s="6">
        <f t="shared" si="3"/>
        <v>1751.0399999999997</v>
      </c>
      <c r="J211" s="7" t="s">
        <v>88</v>
      </c>
    </row>
    <row r="212" spans="1:10" ht="13.95" customHeight="1" x14ac:dyDescent="0.3">
      <c r="A212" s="20">
        <v>45868</v>
      </c>
      <c r="B212" s="20" t="s">
        <v>3167</v>
      </c>
      <c r="C212" s="19" t="s">
        <v>5</v>
      </c>
      <c r="D212" s="19" t="s">
        <v>1347</v>
      </c>
      <c r="E212" s="4">
        <v>1</v>
      </c>
      <c r="F212" s="42">
        <v>3.1</v>
      </c>
      <c r="G212" s="45">
        <v>256</v>
      </c>
      <c r="H212" s="22">
        <v>2.4</v>
      </c>
      <c r="I212" s="6">
        <f t="shared" si="3"/>
        <v>1904.6399999999999</v>
      </c>
      <c r="J212" s="7" t="s">
        <v>88</v>
      </c>
    </row>
    <row r="213" spans="1:10" ht="13.95" customHeight="1" x14ac:dyDescent="0.3">
      <c r="A213" s="20">
        <v>45869</v>
      </c>
      <c r="B213" s="20" t="s">
        <v>3167</v>
      </c>
      <c r="C213" s="19" t="s">
        <v>8</v>
      </c>
      <c r="D213" s="19" t="s">
        <v>2783</v>
      </c>
      <c r="E213" s="4">
        <v>1</v>
      </c>
      <c r="F213" s="42">
        <v>3.2</v>
      </c>
      <c r="G213" s="45">
        <v>256</v>
      </c>
      <c r="H213" s="22">
        <v>2.4</v>
      </c>
      <c r="I213" s="6">
        <f t="shared" si="3"/>
        <v>1966.08</v>
      </c>
      <c r="J213" s="7" t="s">
        <v>2953</v>
      </c>
    </row>
    <row r="214" spans="1:10" ht="13.95" customHeight="1" x14ac:dyDescent="0.3">
      <c r="A214" s="20">
        <v>45901</v>
      </c>
      <c r="B214" s="20" t="s">
        <v>3167</v>
      </c>
      <c r="C214" s="19" t="s">
        <v>18</v>
      </c>
      <c r="D214" s="19" t="s">
        <v>3131</v>
      </c>
      <c r="E214" s="4">
        <v>0.85</v>
      </c>
      <c r="F214" s="42">
        <v>2.7</v>
      </c>
      <c r="G214" s="45">
        <v>256</v>
      </c>
      <c r="H214" s="22">
        <v>2.1</v>
      </c>
      <c r="I214" s="6">
        <f t="shared" si="3"/>
        <v>1233.7919999999999</v>
      </c>
      <c r="J214" s="7" t="s">
        <v>3132</v>
      </c>
    </row>
    <row r="215" spans="1:10" ht="13.95" customHeight="1" x14ac:dyDescent="0.3">
      <c r="A215" s="20">
        <v>45902</v>
      </c>
      <c r="B215" s="20" t="s">
        <v>3167</v>
      </c>
      <c r="C215" s="19" t="s">
        <v>20</v>
      </c>
      <c r="D215" s="19" t="s">
        <v>9</v>
      </c>
      <c r="E215" s="4">
        <v>0.8</v>
      </c>
      <c r="F215" s="42">
        <v>2.6</v>
      </c>
      <c r="G215" s="45">
        <v>256</v>
      </c>
      <c r="H215" s="22">
        <v>2.1</v>
      </c>
      <c r="I215" s="6">
        <f t="shared" si="3"/>
        <v>1118.2080000000001</v>
      </c>
      <c r="J215" s="7" t="s">
        <v>3133</v>
      </c>
    </row>
    <row r="216" spans="1:10" ht="13.95" customHeight="1" x14ac:dyDescent="0.3">
      <c r="A216" s="20">
        <v>45903</v>
      </c>
      <c r="B216" s="20" t="s">
        <v>3167</v>
      </c>
      <c r="C216" s="19" t="s">
        <v>5</v>
      </c>
      <c r="D216" s="19" t="s">
        <v>9</v>
      </c>
      <c r="E216" s="4">
        <v>0.8</v>
      </c>
      <c r="F216" s="42">
        <v>2.6</v>
      </c>
      <c r="G216" s="45">
        <v>256</v>
      </c>
      <c r="H216" s="22">
        <v>2.1</v>
      </c>
      <c r="I216" s="6">
        <f t="shared" si="3"/>
        <v>1118.2080000000001</v>
      </c>
      <c r="J216" s="7" t="s">
        <v>88</v>
      </c>
    </row>
    <row r="217" spans="1:10" ht="13.95" customHeight="1" x14ac:dyDescent="0.3">
      <c r="A217" s="20">
        <v>45904</v>
      </c>
      <c r="B217" s="20" t="s">
        <v>3167</v>
      </c>
      <c r="C217" s="19" t="s">
        <v>8</v>
      </c>
      <c r="D217" s="19" t="s">
        <v>9</v>
      </c>
      <c r="E217" s="4">
        <v>0.85</v>
      </c>
      <c r="F217" s="42">
        <v>2.7</v>
      </c>
      <c r="G217" s="45">
        <v>256</v>
      </c>
      <c r="H217" s="22">
        <v>2.1</v>
      </c>
      <c r="I217" s="6">
        <f t="shared" si="3"/>
        <v>1233.7919999999999</v>
      </c>
      <c r="J217" s="7" t="s">
        <v>67</v>
      </c>
    </row>
    <row r="218" spans="1:10" ht="13.95" customHeight="1" x14ac:dyDescent="0.3">
      <c r="A218" s="20">
        <v>45905</v>
      </c>
      <c r="B218" s="20" t="s">
        <v>3167</v>
      </c>
      <c r="C218" s="19" t="s">
        <v>11</v>
      </c>
      <c r="D218" s="19" t="s">
        <v>14</v>
      </c>
      <c r="E218" s="4">
        <v>0.9</v>
      </c>
      <c r="F218" s="42">
        <v>3.1</v>
      </c>
      <c r="G218" s="45">
        <v>256</v>
      </c>
      <c r="H218" s="22">
        <v>2.1</v>
      </c>
      <c r="I218" s="6">
        <f t="shared" si="3"/>
        <v>1499.904</v>
      </c>
      <c r="J218" s="7" t="s">
        <v>3134</v>
      </c>
    </row>
    <row r="219" spans="1:10" ht="13.95" customHeight="1" x14ac:dyDescent="0.3">
      <c r="A219" s="20">
        <v>45906</v>
      </c>
      <c r="B219" s="20" t="s">
        <v>3167</v>
      </c>
      <c r="C219" s="19" t="s">
        <v>13</v>
      </c>
      <c r="D219" s="19" t="s">
        <v>3135</v>
      </c>
      <c r="E219" s="4">
        <v>1</v>
      </c>
      <c r="F219" s="42">
        <v>3.8</v>
      </c>
      <c r="G219" s="45">
        <v>256</v>
      </c>
      <c r="H219" s="22">
        <v>2.1</v>
      </c>
      <c r="I219" s="6">
        <f t="shared" si="3"/>
        <v>2042.8799999999999</v>
      </c>
      <c r="J219" s="7" t="s">
        <v>1811</v>
      </c>
    </row>
    <row r="220" spans="1:10" ht="13.95" customHeight="1" x14ac:dyDescent="0.3">
      <c r="A220" s="20">
        <v>45907</v>
      </c>
      <c r="B220" s="20" t="s">
        <v>3167</v>
      </c>
      <c r="C220" s="19" t="s">
        <v>16</v>
      </c>
      <c r="D220" s="19" t="s">
        <v>3098</v>
      </c>
      <c r="E220" s="4">
        <v>0.95</v>
      </c>
      <c r="F220" s="42">
        <v>3.3</v>
      </c>
      <c r="G220" s="45">
        <v>256</v>
      </c>
      <c r="H220" s="22">
        <v>2.1</v>
      </c>
      <c r="I220" s="6">
        <f t="shared" si="3"/>
        <v>1685.376</v>
      </c>
      <c r="J220" s="7" t="s">
        <v>139</v>
      </c>
    </row>
    <row r="221" spans="1:10" ht="13.95" customHeight="1" x14ac:dyDescent="0.3">
      <c r="A221" s="20">
        <v>45908</v>
      </c>
      <c r="B221" s="20" t="s">
        <v>3167</v>
      </c>
      <c r="C221" s="19" t="s">
        <v>18</v>
      </c>
      <c r="D221" s="19" t="s">
        <v>9</v>
      </c>
      <c r="E221" s="4">
        <v>0.75</v>
      </c>
      <c r="F221" s="42">
        <v>2.5499999999999998</v>
      </c>
      <c r="G221" s="45">
        <v>256</v>
      </c>
      <c r="H221" s="22">
        <v>2.1</v>
      </c>
      <c r="I221" s="6">
        <f t="shared" si="3"/>
        <v>1028.1600000000001</v>
      </c>
      <c r="J221" s="7" t="s">
        <v>1332</v>
      </c>
    </row>
    <row r="222" spans="1:10" ht="13.95" customHeight="1" x14ac:dyDescent="0.3">
      <c r="A222" s="20">
        <v>45909</v>
      </c>
      <c r="B222" s="20" t="s">
        <v>3167</v>
      </c>
      <c r="C222" s="19" t="s">
        <v>20</v>
      </c>
      <c r="D222" s="19" t="s">
        <v>9</v>
      </c>
      <c r="E222" s="4">
        <v>0.75</v>
      </c>
      <c r="F222" s="42">
        <v>2.5499999999999998</v>
      </c>
      <c r="G222" s="45">
        <v>256</v>
      </c>
      <c r="H222" s="22">
        <v>2.1</v>
      </c>
      <c r="I222" s="6">
        <f t="shared" si="3"/>
        <v>1028.1600000000001</v>
      </c>
      <c r="J222" s="7" t="s">
        <v>88</v>
      </c>
    </row>
    <row r="223" spans="1:10" ht="13.95" customHeight="1" x14ac:dyDescent="0.3">
      <c r="A223" s="20">
        <v>45910</v>
      </c>
      <c r="B223" s="20" t="s">
        <v>3167</v>
      </c>
      <c r="C223" s="19" t="s">
        <v>5</v>
      </c>
      <c r="D223" s="19" t="s">
        <v>9</v>
      </c>
      <c r="E223" s="4">
        <v>0.8</v>
      </c>
      <c r="F223" s="42">
        <v>2.6</v>
      </c>
      <c r="G223" s="45">
        <v>256</v>
      </c>
      <c r="H223" s="22">
        <v>2.1</v>
      </c>
      <c r="I223" s="6">
        <f t="shared" si="3"/>
        <v>1118.2080000000001</v>
      </c>
      <c r="J223" s="7" t="s">
        <v>88</v>
      </c>
    </row>
    <row r="224" spans="1:10" ht="13.95" customHeight="1" x14ac:dyDescent="0.3">
      <c r="A224" s="20">
        <v>45911</v>
      </c>
      <c r="B224" s="20" t="s">
        <v>3167</v>
      </c>
      <c r="C224" s="19" t="s">
        <v>8</v>
      </c>
      <c r="D224" s="19" t="s">
        <v>9</v>
      </c>
      <c r="E224" s="4">
        <v>0.8</v>
      </c>
      <c r="F224" s="42">
        <v>2.65</v>
      </c>
      <c r="G224" s="45">
        <v>256</v>
      </c>
      <c r="H224" s="22">
        <v>2.1</v>
      </c>
      <c r="I224" s="6">
        <f t="shared" si="3"/>
        <v>1139.7120000000002</v>
      </c>
      <c r="J224" s="7" t="s">
        <v>1838</v>
      </c>
    </row>
    <row r="225" spans="1:10" ht="13.95" customHeight="1" x14ac:dyDescent="0.3">
      <c r="A225" s="20">
        <v>45912</v>
      </c>
      <c r="B225" s="20" t="s">
        <v>3167</v>
      </c>
      <c r="C225" s="19" t="s">
        <v>11</v>
      </c>
      <c r="D225" s="19" t="s">
        <v>14</v>
      </c>
      <c r="E225" s="4">
        <v>0.85</v>
      </c>
      <c r="F225" s="42">
        <v>3.05</v>
      </c>
      <c r="G225" s="45">
        <v>256</v>
      </c>
      <c r="H225" s="22">
        <v>2.1</v>
      </c>
      <c r="I225" s="6">
        <f t="shared" si="3"/>
        <v>1393.7280000000001</v>
      </c>
      <c r="J225" s="7" t="s">
        <v>390</v>
      </c>
    </row>
    <row r="226" spans="1:10" ht="13.95" customHeight="1" x14ac:dyDescent="0.3">
      <c r="A226" s="20">
        <v>45913</v>
      </c>
      <c r="B226" s="20" t="s">
        <v>3167</v>
      </c>
      <c r="C226" s="19" t="s">
        <v>13</v>
      </c>
      <c r="D226" s="19" t="s">
        <v>3091</v>
      </c>
      <c r="E226" s="4">
        <v>0.95</v>
      </c>
      <c r="F226" s="42">
        <v>3.7</v>
      </c>
      <c r="G226" s="45">
        <v>256</v>
      </c>
      <c r="H226" s="22">
        <v>2.1</v>
      </c>
      <c r="I226" s="6">
        <f t="shared" si="3"/>
        <v>1889.6640000000002</v>
      </c>
      <c r="J226" s="7" t="s">
        <v>1711</v>
      </c>
    </row>
    <row r="227" spans="1:10" ht="13.95" customHeight="1" x14ac:dyDescent="0.3">
      <c r="A227" s="20">
        <v>45914</v>
      </c>
      <c r="B227" s="20" t="s">
        <v>3167</v>
      </c>
      <c r="C227" s="19" t="s">
        <v>16</v>
      </c>
      <c r="D227" s="19" t="s">
        <v>3098</v>
      </c>
      <c r="E227" s="4">
        <v>0.9</v>
      </c>
      <c r="F227" s="42">
        <v>3.25</v>
      </c>
      <c r="G227" s="45">
        <v>256</v>
      </c>
      <c r="H227" s="22">
        <v>2.1</v>
      </c>
      <c r="I227" s="6">
        <f t="shared" si="3"/>
        <v>1572.4800000000002</v>
      </c>
      <c r="J227" s="7" t="s">
        <v>3113</v>
      </c>
    </row>
    <row r="228" spans="1:10" ht="13.95" customHeight="1" x14ac:dyDescent="0.3">
      <c r="A228" s="20">
        <v>45915</v>
      </c>
      <c r="B228" s="20" t="s">
        <v>3167</v>
      </c>
      <c r="C228" s="19" t="s">
        <v>18</v>
      </c>
      <c r="D228" s="19" t="s">
        <v>9</v>
      </c>
      <c r="E228" s="4">
        <v>0.75</v>
      </c>
      <c r="F228" s="42">
        <v>2.5499999999999998</v>
      </c>
      <c r="G228" s="45">
        <v>256</v>
      </c>
      <c r="H228" s="22">
        <v>2.1</v>
      </c>
      <c r="I228" s="6">
        <f t="shared" si="3"/>
        <v>1028.1600000000001</v>
      </c>
      <c r="J228" s="7" t="s">
        <v>3136</v>
      </c>
    </row>
    <row r="229" spans="1:10" ht="13.95" customHeight="1" x14ac:dyDescent="0.3">
      <c r="A229" s="20">
        <v>45916</v>
      </c>
      <c r="B229" s="20" t="s">
        <v>3167</v>
      </c>
      <c r="C229" s="19" t="s">
        <v>20</v>
      </c>
      <c r="D229" s="19" t="s">
        <v>9</v>
      </c>
      <c r="E229" s="4">
        <v>0.7</v>
      </c>
      <c r="F229" s="42">
        <v>2.5</v>
      </c>
      <c r="G229" s="45">
        <v>256</v>
      </c>
      <c r="H229" s="22">
        <v>2.1</v>
      </c>
      <c r="I229" s="6">
        <f t="shared" si="3"/>
        <v>940.80000000000007</v>
      </c>
      <c r="J229" s="7" t="s">
        <v>3137</v>
      </c>
    </row>
    <row r="230" spans="1:10" ht="13.95" customHeight="1" x14ac:dyDescent="0.3">
      <c r="A230" s="20">
        <v>45917</v>
      </c>
      <c r="B230" s="20" t="s">
        <v>3167</v>
      </c>
      <c r="C230" s="19" t="s">
        <v>5</v>
      </c>
      <c r="D230" s="19" t="s">
        <v>9</v>
      </c>
      <c r="E230" s="4">
        <v>0.7</v>
      </c>
      <c r="F230" s="42">
        <v>2.5</v>
      </c>
      <c r="G230" s="45">
        <v>256</v>
      </c>
      <c r="H230" s="22">
        <v>2.1</v>
      </c>
      <c r="I230" s="6">
        <f t="shared" si="3"/>
        <v>940.80000000000007</v>
      </c>
      <c r="J230" s="7" t="s">
        <v>88</v>
      </c>
    </row>
    <row r="231" spans="1:10" ht="13.95" customHeight="1" x14ac:dyDescent="0.3">
      <c r="A231" s="20">
        <v>45918</v>
      </c>
      <c r="B231" s="20" t="s">
        <v>3167</v>
      </c>
      <c r="C231" s="19" t="s">
        <v>8</v>
      </c>
      <c r="D231" s="19" t="s">
        <v>9</v>
      </c>
      <c r="E231" s="4">
        <v>0.75</v>
      </c>
      <c r="F231" s="42">
        <v>2.6</v>
      </c>
      <c r="G231" s="45">
        <v>256</v>
      </c>
      <c r="H231" s="22">
        <v>2.1</v>
      </c>
      <c r="I231" s="6">
        <f t="shared" si="3"/>
        <v>1048.3200000000002</v>
      </c>
      <c r="J231" s="7" t="s">
        <v>88</v>
      </c>
    </row>
    <row r="232" spans="1:10" ht="13.95" customHeight="1" x14ac:dyDescent="0.3">
      <c r="A232" s="20">
        <v>45919</v>
      </c>
      <c r="B232" s="20" t="s">
        <v>3167</v>
      </c>
      <c r="C232" s="19" t="s">
        <v>11</v>
      </c>
      <c r="D232" s="19" t="s">
        <v>14</v>
      </c>
      <c r="E232" s="4">
        <v>0.8</v>
      </c>
      <c r="F232" s="42">
        <v>3</v>
      </c>
      <c r="G232" s="45">
        <v>256</v>
      </c>
      <c r="H232" s="22">
        <v>2.1</v>
      </c>
      <c r="I232" s="6">
        <f t="shared" si="3"/>
        <v>1290.2400000000002</v>
      </c>
      <c r="J232" s="7" t="s">
        <v>3016</v>
      </c>
    </row>
    <row r="233" spans="1:10" ht="13.95" customHeight="1" x14ac:dyDescent="0.3">
      <c r="A233" s="20">
        <v>45920</v>
      </c>
      <c r="B233" s="20" t="s">
        <v>3167</v>
      </c>
      <c r="C233" s="19" t="s">
        <v>13</v>
      </c>
      <c r="D233" s="19" t="s">
        <v>3138</v>
      </c>
      <c r="E233" s="4">
        <v>0.9</v>
      </c>
      <c r="F233" s="42">
        <v>3.7</v>
      </c>
      <c r="G233" s="45">
        <v>256</v>
      </c>
      <c r="H233" s="22">
        <v>2.1</v>
      </c>
      <c r="I233" s="6">
        <f t="shared" si="3"/>
        <v>1790.2080000000001</v>
      </c>
      <c r="J233" s="7" t="s">
        <v>3139</v>
      </c>
    </row>
    <row r="234" spans="1:10" ht="13.95" customHeight="1" x14ac:dyDescent="0.3">
      <c r="A234" s="20">
        <v>45921</v>
      </c>
      <c r="B234" s="20" t="s">
        <v>3167</v>
      </c>
      <c r="C234" s="19" t="s">
        <v>16</v>
      </c>
      <c r="D234" s="19" t="s">
        <v>3098</v>
      </c>
      <c r="E234" s="4">
        <v>0.85</v>
      </c>
      <c r="F234" s="42">
        <v>3.2</v>
      </c>
      <c r="G234" s="45">
        <v>256</v>
      </c>
      <c r="H234" s="22">
        <v>2.1</v>
      </c>
      <c r="I234" s="6">
        <f t="shared" si="3"/>
        <v>1462.2720000000002</v>
      </c>
      <c r="J234" s="7" t="s">
        <v>139</v>
      </c>
    </row>
    <row r="235" spans="1:10" ht="13.95" customHeight="1" x14ac:dyDescent="0.3">
      <c r="A235" s="20">
        <v>45922</v>
      </c>
      <c r="B235" s="20" t="s">
        <v>3167</v>
      </c>
      <c r="C235" s="19" t="s">
        <v>18</v>
      </c>
      <c r="D235" s="19" t="s">
        <v>9</v>
      </c>
      <c r="E235" s="4">
        <v>0.7</v>
      </c>
      <c r="F235" s="42">
        <v>2.5</v>
      </c>
      <c r="G235" s="45">
        <v>256</v>
      </c>
      <c r="H235" s="22">
        <v>2.1</v>
      </c>
      <c r="I235" s="6">
        <f t="shared" si="3"/>
        <v>940.80000000000007</v>
      </c>
      <c r="J235" s="7" t="s">
        <v>88</v>
      </c>
    </row>
    <row r="236" spans="1:10" ht="13.95" customHeight="1" x14ac:dyDescent="0.3">
      <c r="A236" s="20">
        <v>45923</v>
      </c>
      <c r="B236" s="20" t="s">
        <v>3167</v>
      </c>
      <c r="C236" s="19" t="s">
        <v>20</v>
      </c>
      <c r="D236" s="19" t="s">
        <v>9</v>
      </c>
      <c r="E236" s="4">
        <v>0.7</v>
      </c>
      <c r="F236" s="42">
        <v>2.5</v>
      </c>
      <c r="G236" s="45">
        <v>256</v>
      </c>
      <c r="H236" s="22">
        <v>2.1</v>
      </c>
      <c r="I236" s="6">
        <f t="shared" si="3"/>
        <v>940.80000000000007</v>
      </c>
      <c r="J236" s="7" t="s">
        <v>88</v>
      </c>
    </row>
    <row r="237" spans="1:10" ht="13.95" customHeight="1" x14ac:dyDescent="0.3">
      <c r="A237" s="20">
        <v>45924</v>
      </c>
      <c r="B237" s="20" t="s">
        <v>3167</v>
      </c>
      <c r="C237" s="19" t="s">
        <v>5</v>
      </c>
      <c r="D237" s="19" t="s">
        <v>9</v>
      </c>
      <c r="E237" s="4">
        <v>0.75</v>
      </c>
      <c r="F237" s="42">
        <v>2.5499999999999998</v>
      </c>
      <c r="G237" s="45">
        <v>256</v>
      </c>
      <c r="H237" s="22">
        <v>2.1</v>
      </c>
      <c r="I237" s="6">
        <f t="shared" si="3"/>
        <v>1028.1600000000001</v>
      </c>
      <c r="J237" s="7" t="s">
        <v>88</v>
      </c>
    </row>
    <row r="238" spans="1:10" ht="13.95" customHeight="1" x14ac:dyDescent="0.3">
      <c r="A238" s="20">
        <v>45925</v>
      </c>
      <c r="B238" s="20" t="s">
        <v>3167</v>
      </c>
      <c r="C238" s="19" t="s">
        <v>8</v>
      </c>
      <c r="D238" s="19" t="s">
        <v>9</v>
      </c>
      <c r="E238" s="4">
        <v>0.75</v>
      </c>
      <c r="F238" s="42">
        <v>2.65</v>
      </c>
      <c r="G238" s="45">
        <v>256</v>
      </c>
      <c r="H238" s="22">
        <v>2.1</v>
      </c>
      <c r="I238" s="6">
        <f t="shared" si="3"/>
        <v>1068.48</v>
      </c>
      <c r="J238" s="7" t="s">
        <v>88</v>
      </c>
    </row>
    <row r="239" spans="1:10" ht="13.95" customHeight="1" x14ac:dyDescent="0.3">
      <c r="A239" s="20">
        <v>45926</v>
      </c>
      <c r="B239" s="20" t="s">
        <v>3167</v>
      </c>
      <c r="C239" s="19" t="s">
        <v>11</v>
      </c>
      <c r="D239" s="19" t="s">
        <v>14</v>
      </c>
      <c r="E239" s="4">
        <v>0.8</v>
      </c>
      <c r="F239" s="42">
        <v>3</v>
      </c>
      <c r="G239" s="45">
        <v>256</v>
      </c>
      <c r="H239" s="22">
        <v>2.1</v>
      </c>
      <c r="I239" s="6">
        <f t="shared" si="3"/>
        <v>1290.2400000000002</v>
      </c>
      <c r="J239" s="7" t="s">
        <v>3140</v>
      </c>
    </row>
    <row r="240" spans="1:10" ht="13.95" customHeight="1" x14ac:dyDescent="0.3">
      <c r="A240" s="20">
        <v>45927</v>
      </c>
      <c r="B240" s="20" t="s">
        <v>3167</v>
      </c>
      <c r="C240" s="19" t="s">
        <v>13</v>
      </c>
      <c r="D240" s="19" t="s">
        <v>3130</v>
      </c>
      <c r="E240" s="4">
        <v>0.95</v>
      </c>
      <c r="F240" s="42">
        <v>3.65</v>
      </c>
      <c r="G240" s="45">
        <v>256</v>
      </c>
      <c r="H240" s="22">
        <v>2.1</v>
      </c>
      <c r="I240" s="6">
        <f t="shared" si="3"/>
        <v>1864.1279999999999</v>
      </c>
      <c r="J240" s="7" t="s">
        <v>2454</v>
      </c>
    </row>
    <row r="241" spans="1:10" ht="13.95" customHeight="1" x14ac:dyDescent="0.3">
      <c r="A241" s="20">
        <v>45928</v>
      </c>
      <c r="B241" s="20" t="s">
        <v>3167</v>
      </c>
      <c r="C241" s="19" t="s">
        <v>16</v>
      </c>
      <c r="D241" s="19" t="s">
        <v>3098</v>
      </c>
      <c r="E241" s="4">
        <v>0.9</v>
      </c>
      <c r="F241" s="42">
        <v>3.2</v>
      </c>
      <c r="G241" s="45">
        <v>256</v>
      </c>
      <c r="H241" s="22">
        <v>2.1</v>
      </c>
      <c r="I241" s="6">
        <f t="shared" si="3"/>
        <v>1548.2880000000002</v>
      </c>
      <c r="J241" s="7" t="s">
        <v>1697</v>
      </c>
    </row>
    <row r="242" spans="1:10" ht="13.95" customHeight="1" x14ac:dyDescent="0.3">
      <c r="A242" s="20">
        <v>45929</v>
      </c>
      <c r="B242" s="20" t="s">
        <v>3167</v>
      </c>
      <c r="C242" s="19" t="s">
        <v>18</v>
      </c>
      <c r="D242" s="19" t="s">
        <v>9</v>
      </c>
      <c r="E242" s="4">
        <v>0.7</v>
      </c>
      <c r="F242" s="42">
        <v>2.5</v>
      </c>
      <c r="G242" s="45">
        <v>256</v>
      </c>
      <c r="H242" s="22">
        <v>2.1</v>
      </c>
      <c r="I242" s="6">
        <f t="shared" si="3"/>
        <v>940.80000000000007</v>
      </c>
      <c r="J242" s="7" t="s">
        <v>1812</v>
      </c>
    </row>
    <row r="243" spans="1:10" ht="13.95" customHeight="1" x14ac:dyDescent="0.3">
      <c r="A243" s="20">
        <v>45930</v>
      </c>
      <c r="B243" s="20" t="s">
        <v>3167</v>
      </c>
      <c r="C243" s="19" t="s">
        <v>20</v>
      </c>
      <c r="D243" s="19" t="s">
        <v>9</v>
      </c>
      <c r="E243" s="4">
        <v>0.7</v>
      </c>
      <c r="F243" s="42">
        <v>2.5</v>
      </c>
      <c r="G243" s="45">
        <v>256</v>
      </c>
      <c r="H243" s="22">
        <v>2.1</v>
      </c>
      <c r="I243" s="6">
        <f t="shared" si="3"/>
        <v>940.80000000000007</v>
      </c>
      <c r="J243" s="7" t="s">
        <v>2985</v>
      </c>
    </row>
    <row r="244" spans="1:10" ht="13.95" customHeight="1" x14ac:dyDescent="0.3">
      <c r="A244" s="20">
        <v>45931</v>
      </c>
      <c r="B244" s="20" t="s">
        <v>3167</v>
      </c>
      <c r="C244" s="19" t="s">
        <v>5</v>
      </c>
      <c r="D244" s="19" t="s">
        <v>9</v>
      </c>
      <c r="E244" s="4">
        <v>0.65</v>
      </c>
      <c r="F244" s="42">
        <v>2.5</v>
      </c>
      <c r="G244" s="45">
        <v>256</v>
      </c>
      <c r="H244" s="22">
        <v>2.1</v>
      </c>
      <c r="I244" s="6">
        <f t="shared" si="3"/>
        <v>873.6</v>
      </c>
      <c r="J244" s="7" t="s">
        <v>3047</v>
      </c>
    </row>
    <row r="245" spans="1:10" ht="13.95" customHeight="1" x14ac:dyDescent="0.3">
      <c r="A245" s="20">
        <v>45932</v>
      </c>
      <c r="B245" s="20" t="s">
        <v>3167</v>
      </c>
      <c r="C245" s="19" t="s">
        <v>8</v>
      </c>
      <c r="D245" s="19" t="s">
        <v>9</v>
      </c>
      <c r="E245" s="4">
        <v>0.65</v>
      </c>
      <c r="F245" s="42">
        <v>2.5</v>
      </c>
      <c r="G245" s="45">
        <v>256</v>
      </c>
      <c r="H245" s="22">
        <v>2.1</v>
      </c>
      <c r="I245" s="6">
        <f t="shared" si="3"/>
        <v>873.6</v>
      </c>
      <c r="J245" s="7" t="s">
        <v>2194</v>
      </c>
    </row>
    <row r="246" spans="1:10" ht="13.95" customHeight="1" x14ac:dyDescent="0.3">
      <c r="A246" s="20">
        <v>45933</v>
      </c>
      <c r="B246" s="20" t="s">
        <v>3167</v>
      </c>
      <c r="C246" s="19" t="s">
        <v>11</v>
      </c>
      <c r="D246" s="19" t="s">
        <v>14</v>
      </c>
      <c r="E246" s="4">
        <v>0.7</v>
      </c>
      <c r="F246" s="42">
        <v>2.9</v>
      </c>
      <c r="G246" s="45">
        <v>256</v>
      </c>
      <c r="H246" s="22">
        <v>2.1</v>
      </c>
      <c r="I246" s="6">
        <f t="shared" si="3"/>
        <v>1091.328</v>
      </c>
      <c r="J246" s="7" t="s">
        <v>2823</v>
      </c>
    </row>
    <row r="247" spans="1:10" ht="13.95" customHeight="1" x14ac:dyDescent="0.3">
      <c r="A247" s="20">
        <v>45934</v>
      </c>
      <c r="B247" s="20" t="s">
        <v>3167</v>
      </c>
      <c r="C247" s="19" t="s">
        <v>13</v>
      </c>
      <c r="D247" s="19" t="s">
        <v>3096</v>
      </c>
      <c r="E247" s="4">
        <v>0.85</v>
      </c>
      <c r="F247" s="42">
        <v>3.7</v>
      </c>
      <c r="G247" s="45">
        <v>256</v>
      </c>
      <c r="H247" s="22">
        <v>2.1</v>
      </c>
      <c r="I247" s="6">
        <f t="shared" si="3"/>
        <v>1690.7520000000002</v>
      </c>
      <c r="J247" s="7" t="s">
        <v>3109</v>
      </c>
    </row>
    <row r="248" spans="1:10" ht="13.95" customHeight="1" x14ac:dyDescent="0.3">
      <c r="A248" s="20">
        <v>45935</v>
      </c>
      <c r="B248" s="20" t="s">
        <v>3167</v>
      </c>
      <c r="C248" s="19" t="s">
        <v>16</v>
      </c>
      <c r="D248" s="19" t="s">
        <v>3098</v>
      </c>
      <c r="E248" s="4">
        <v>0.8</v>
      </c>
      <c r="F248" s="42">
        <v>3.15</v>
      </c>
      <c r="G248" s="45">
        <v>256</v>
      </c>
      <c r="H248" s="22">
        <v>2.1</v>
      </c>
      <c r="I248" s="6">
        <f t="shared" si="3"/>
        <v>1354.7520000000002</v>
      </c>
      <c r="J248" s="7" t="s">
        <v>3141</v>
      </c>
    </row>
    <row r="249" spans="1:10" ht="13.95" customHeight="1" x14ac:dyDescent="0.3">
      <c r="A249" s="20">
        <v>45936</v>
      </c>
      <c r="B249" s="20" t="s">
        <v>3167</v>
      </c>
      <c r="C249" s="19" t="s">
        <v>18</v>
      </c>
      <c r="D249" s="19" t="s">
        <v>9</v>
      </c>
      <c r="E249" s="4">
        <v>0.6</v>
      </c>
      <c r="F249" s="42">
        <v>2.4500000000000002</v>
      </c>
      <c r="G249" s="45">
        <v>256</v>
      </c>
      <c r="H249" s="22">
        <v>2.1</v>
      </c>
      <c r="I249" s="6">
        <f t="shared" si="3"/>
        <v>790.27200000000005</v>
      </c>
      <c r="J249" s="7" t="s">
        <v>2298</v>
      </c>
    </row>
    <row r="250" spans="1:10" ht="13.95" customHeight="1" x14ac:dyDescent="0.3">
      <c r="A250" s="20">
        <v>45937</v>
      </c>
      <c r="B250" s="20" t="s">
        <v>3167</v>
      </c>
      <c r="C250" s="19" t="s">
        <v>20</v>
      </c>
      <c r="D250" s="19" t="s">
        <v>9</v>
      </c>
      <c r="E250" s="4">
        <v>0.6</v>
      </c>
      <c r="F250" s="42">
        <v>2.4500000000000002</v>
      </c>
      <c r="G250" s="45">
        <v>256</v>
      </c>
      <c r="H250" s="22">
        <v>2.1</v>
      </c>
      <c r="I250" s="6">
        <f t="shared" si="3"/>
        <v>790.27200000000005</v>
      </c>
      <c r="J250" s="7" t="s">
        <v>88</v>
      </c>
    </row>
    <row r="251" spans="1:10" ht="13.95" customHeight="1" x14ac:dyDescent="0.3">
      <c r="A251" s="20">
        <v>45938</v>
      </c>
      <c r="B251" s="20" t="s">
        <v>3167</v>
      </c>
      <c r="C251" s="19" t="s">
        <v>5</v>
      </c>
      <c r="D251" s="19" t="s">
        <v>9</v>
      </c>
      <c r="E251" s="4">
        <v>0.65</v>
      </c>
      <c r="F251" s="42">
        <v>2.5</v>
      </c>
      <c r="G251" s="45">
        <v>256</v>
      </c>
      <c r="H251" s="22">
        <v>2.1</v>
      </c>
      <c r="I251" s="6">
        <f t="shared" si="3"/>
        <v>873.6</v>
      </c>
      <c r="J251" s="7" t="s">
        <v>88</v>
      </c>
    </row>
    <row r="252" spans="1:10" ht="13.95" customHeight="1" x14ac:dyDescent="0.3">
      <c r="A252" s="20">
        <v>45939</v>
      </c>
      <c r="B252" s="20" t="s">
        <v>3167</v>
      </c>
      <c r="C252" s="19" t="s">
        <v>8</v>
      </c>
      <c r="D252" s="19" t="s">
        <v>9</v>
      </c>
      <c r="E252" s="4">
        <v>0.7</v>
      </c>
      <c r="F252" s="42">
        <v>2.6</v>
      </c>
      <c r="G252" s="45">
        <v>256</v>
      </c>
      <c r="H252" s="22">
        <v>2.1</v>
      </c>
      <c r="I252" s="6">
        <f t="shared" si="3"/>
        <v>978.4319999999999</v>
      </c>
      <c r="J252" s="7" t="s">
        <v>3049</v>
      </c>
    </row>
    <row r="253" spans="1:10" ht="13.95" customHeight="1" x14ac:dyDescent="0.3">
      <c r="A253" s="20">
        <v>45940</v>
      </c>
      <c r="B253" s="20" t="s">
        <v>3167</v>
      </c>
      <c r="C253" s="19" t="s">
        <v>11</v>
      </c>
      <c r="D253" s="19" t="s">
        <v>14</v>
      </c>
      <c r="E253" s="4">
        <v>0.75</v>
      </c>
      <c r="F253" s="42">
        <v>2.95</v>
      </c>
      <c r="G253" s="45">
        <v>256</v>
      </c>
      <c r="H253" s="22">
        <v>2.1</v>
      </c>
      <c r="I253" s="6">
        <f t="shared" si="3"/>
        <v>1189.4400000000003</v>
      </c>
      <c r="J253" s="7" t="s">
        <v>3142</v>
      </c>
    </row>
    <row r="254" spans="1:10" ht="13.95" customHeight="1" x14ac:dyDescent="0.3">
      <c r="A254" s="20">
        <v>45941</v>
      </c>
      <c r="B254" s="20" t="s">
        <v>3167</v>
      </c>
      <c r="C254" s="19" t="s">
        <v>13</v>
      </c>
      <c r="D254" s="19" t="s">
        <v>3143</v>
      </c>
      <c r="E254" s="4">
        <v>0.9</v>
      </c>
      <c r="F254" s="42">
        <v>3.75</v>
      </c>
      <c r="G254" s="45">
        <v>256</v>
      </c>
      <c r="H254" s="22">
        <v>2.1</v>
      </c>
      <c r="I254" s="6">
        <f t="shared" si="3"/>
        <v>1814.4</v>
      </c>
      <c r="J254" s="7" t="s">
        <v>1711</v>
      </c>
    </row>
    <row r="255" spans="1:10" ht="13.95" customHeight="1" x14ac:dyDescent="0.3">
      <c r="A255" s="20">
        <v>45942</v>
      </c>
      <c r="B255" s="20" t="s">
        <v>3167</v>
      </c>
      <c r="C255" s="19" t="s">
        <v>16</v>
      </c>
      <c r="D255" s="19" t="s">
        <v>3098</v>
      </c>
      <c r="E255" s="4">
        <v>0.85</v>
      </c>
      <c r="F255" s="42">
        <v>3.2</v>
      </c>
      <c r="G255" s="45">
        <v>256</v>
      </c>
      <c r="H255" s="22">
        <v>2.1</v>
      </c>
      <c r="I255" s="6">
        <f t="shared" si="3"/>
        <v>1462.2720000000002</v>
      </c>
      <c r="J255" s="7" t="s">
        <v>3113</v>
      </c>
    </row>
    <row r="256" spans="1:10" ht="13.95" customHeight="1" x14ac:dyDescent="0.3">
      <c r="A256" s="20">
        <v>45943</v>
      </c>
      <c r="B256" s="20" t="s">
        <v>3167</v>
      </c>
      <c r="C256" s="19" t="s">
        <v>18</v>
      </c>
      <c r="D256" s="19" t="s">
        <v>9</v>
      </c>
      <c r="E256" s="4">
        <v>0.6</v>
      </c>
      <c r="F256" s="42">
        <v>2.4500000000000002</v>
      </c>
      <c r="G256" s="45">
        <v>256</v>
      </c>
      <c r="H256" s="22">
        <v>2.1</v>
      </c>
      <c r="I256" s="6">
        <f t="shared" si="3"/>
        <v>790.27200000000005</v>
      </c>
      <c r="J256" s="7" t="s">
        <v>88</v>
      </c>
    </row>
    <row r="257" spans="1:10" ht="13.95" customHeight="1" x14ac:dyDescent="0.3">
      <c r="A257" s="20">
        <v>45944</v>
      </c>
      <c r="B257" s="20" t="s">
        <v>3167</v>
      </c>
      <c r="C257" s="19" t="s">
        <v>20</v>
      </c>
      <c r="D257" s="19" t="s">
        <v>9</v>
      </c>
      <c r="E257" s="4">
        <v>0.6</v>
      </c>
      <c r="F257" s="42">
        <v>2.4500000000000002</v>
      </c>
      <c r="G257" s="45">
        <v>256</v>
      </c>
      <c r="H257" s="22">
        <v>2.1</v>
      </c>
      <c r="I257" s="6">
        <f t="shared" si="3"/>
        <v>790.27200000000005</v>
      </c>
      <c r="J257" s="7" t="s">
        <v>88</v>
      </c>
    </row>
    <row r="258" spans="1:10" ht="13.95" customHeight="1" x14ac:dyDescent="0.3">
      <c r="A258" s="20">
        <v>45945</v>
      </c>
      <c r="B258" s="20" t="s">
        <v>3167</v>
      </c>
      <c r="C258" s="19" t="s">
        <v>5</v>
      </c>
      <c r="D258" s="19" t="s">
        <v>2691</v>
      </c>
      <c r="E258" s="4">
        <v>0.85</v>
      </c>
      <c r="F258" s="42">
        <v>3.4</v>
      </c>
      <c r="G258" s="45">
        <v>256</v>
      </c>
      <c r="H258" s="22">
        <v>2.1</v>
      </c>
      <c r="I258" s="6">
        <f t="shared" si="3"/>
        <v>1553.664</v>
      </c>
      <c r="J258" s="7" t="s">
        <v>3144</v>
      </c>
    </row>
    <row r="259" spans="1:10" ht="13.95" customHeight="1" x14ac:dyDescent="0.3">
      <c r="A259" s="20">
        <v>45946</v>
      </c>
      <c r="B259" s="20" t="s">
        <v>3167</v>
      </c>
      <c r="C259" s="19" t="s">
        <v>8</v>
      </c>
      <c r="D259" s="19" t="s">
        <v>9</v>
      </c>
      <c r="E259" s="4">
        <v>0.65</v>
      </c>
      <c r="F259" s="42">
        <v>2.5499999999999998</v>
      </c>
      <c r="G259" s="45">
        <v>256</v>
      </c>
      <c r="H259" s="22">
        <v>2.1</v>
      </c>
      <c r="I259" s="6">
        <f t="shared" ref="I259:I322" si="4">(G259*E259)*F259*H259</f>
        <v>891.072</v>
      </c>
      <c r="J259" s="7" t="s">
        <v>88</v>
      </c>
    </row>
    <row r="260" spans="1:10" ht="13.95" customHeight="1" x14ac:dyDescent="0.3">
      <c r="A260" s="20">
        <v>45947</v>
      </c>
      <c r="B260" s="20" t="s">
        <v>3167</v>
      </c>
      <c r="C260" s="19" t="s">
        <v>11</v>
      </c>
      <c r="D260" s="19" t="s">
        <v>14</v>
      </c>
      <c r="E260" s="4">
        <v>0.75</v>
      </c>
      <c r="F260" s="42">
        <v>3</v>
      </c>
      <c r="G260" s="45">
        <v>256</v>
      </c>
      <c r="H260" s="22">
        <v>2.1</v>
      </c>
      <c r="I260" s="6">
        <f t="shared" si="4"/>
        <v>1209.6000000000001</v>
      </c>
      <c r="J260" s="7" t="s">
        <v>2070</v>
      </c>
    </row>
    <row r="261" spans="1:10" ht="13.95" customHeight="1" x14ac:dyDescent="0.3">
      <c r="A261" s="20">
        <v>45948</v>
      </c>
      <c r="B261" s="20" t="s">
        <v>3167</v>
      </c>
      <c r="C261" s="19" t="s">
        <v>13</v>
      </c>
      <c r="D261" s="19" t="s">
        <v>3138</v>
      </c>
      <c r="E261" s="4">
        <v>0.9</v>
      </c>
      <c r="F261" s="42">
        <v>3.8</v>
      </c>
      <c r="G261" s="45">
        <v>256</v>
      </c>
      <c r="H261" s="22">
        <v>2.1</v>
      </c>
      <c r="I261" s="6">
        <f t="shared" si="4"/>
        <v>1838.5920000000001</v>
      </c>
      <c r="J261" s="7" t="s">
        <v>1811</v>
      </c>
    </row>
    <row r="262" spans="1:10" ht="13.95" customHeight="1" x14ac:dyDescent="0.3">
      <c r="A262" s="20">
        <v>45949</v>
      </c>
      <c r="B262" s="20" t="s">
        <v>3167</v>
      </c>
      <c r="C262" s="19" t="s">
        <v>16</v>
      </c>
      <c r="D262" s="19" t="s">
        <v>3098</v>
      </c>
      <c r="E262" s="4">
        <v>0.85</v>
      </c>
      <c r="F262" s="42">
        <v>3.25</v>
      </c>
      <c r="G262" s="45">
        <v>256</v>
      </c>
      <c r="H262" s="22">
        <v>2.1</v>
      </c>
      <c r="I262" s="6">
        <f t="shared" si="4"/>
        <v>1485.12</v>
      </c>
      <c r="J262" s="7" t="s">
        <v>139</v>
      </c>
    </row>
    <row r="263" spans="1:10" ht="13.95" customHeight="1" x14ac:dyDescent="0.3">
      <c r="A263" s="20">
        <v>45950</v>
      </c>
      <c r="B263" s="20" t="s">
        <v>3167</v>
      </c>
      <c r="C263" s="19" t="s">
        <v>18</v>
      </c>
      <c r="D263" s="19" t="s">
        <v>9</v>
      </c>
      <c r="E263" s="4">
        <v>0.6</v>
      </c>
      <c r="F263" s="42">
        <v>2.4500000000000002</v>
      </c>
      <c r="G263" s="45">
        <v>256</v>
      </c>
      <c r="H263" s="22">
        <v>2.1</v>
      </c>
      <c r="I263" s="6">
        <f t="shared" si="4"/>
        <v>790.27200000000005</v>
      </c>
      <c r="J263" s="7" t="s">
        <v>88</v>
      </c>
    </row>
    <row r="264" spans="1:10" ht="13.95" customHeight="1" x14ac:dyDescent="0.3">
      <c r="A264" s="20">
        <v>45951</v>
      </c>
      <c r="B264" s="20" t="s">
        <v>3167</v>
      </c>
      <c r="C264" s="19" t="s">
        <v>20</v>
      </c>
      <c r="D264" s="19" t="s">
        <v>9</v>
      </c>
      <c r="E264" s="4">
        <v>0.6</v>
      </c>
      <c r="F264" s="42">
        <v>2.4500000000000002</v>
      </c>
      <c r="G264" s="45">
        <v>256</v>
      </c>
      <c r="H264" s="22">
        <v>2.1</v>
      </c>
      <c r="I264" s="6">
        <f t="shared" si="4"/>
        <v>790.27200000000005</v>
      </c>
      <c r="J264" s="7" t="s">
        <v>88</v>
      </c>
    </row>
    <row r="265" spans="1:10" ht="13.95" customHeight="1" x14ac:dyDescent="0.3">
      <c r="A265" s="20">
        <v>45952</v>
      </c>
      <c r="B265" s="20" t="s">
        <v>3167</v>
      </c>
      <c r="C265" s="19" t="s">
        <v>5</v>
      </c>
      <c r="D265" s="19" t="s">
        <v>9</v>
      </c>
      <c r="E265" s="4">
        <v>0.65</v>
      </c>
      <c r="F265" s="42">
        <v>2.5</v>
      </c>
      <c r="G265" s="45">
        <v>256</v>
      </c>
      <c r="H265" s="22">
        <v>2.1</v>
      </c>
      <c r="I265" s="6">
        <f t="shared" si="4"/>
        <v>873.6</v>
      </c>
      <c r="J265" s="7" t="s">
        <v>88</v>
      </c>
    </row>
    <row r="266" spans="1:10" ht="13.95" customHeight="1" x14ac:dyDescent="0.3">
      <c r="A266" s="20">
        <v>45953</v>
      </c>
      <c r="B266" s="20" t="s">
        <v>3167</v>
      </c>
      <c r="C266" s="19" t="s">
        <v>8</v>
      </c>
      <c r="D266" s="19" t="s">
        <v>1367</v>
      </c>
      <c r="E266" s="4">
        <v>0.75</v>
      </c>
      <c r="F266" s="42">
        <v>2.7</v>
      </c>
      <c r="G266" s="45">
        <v>256</v>
      </c>
      <c r="H266" s="22">
        <v>2.1</v>
      </c>
      <c r="I266" s="6">
        <f t="shared" si="4"/>
        <v>1088.6400000000003</v>
      </c>
      <c r="J266" s="7" t="s">
        <v>3145</v>
      </c>
    </row>
    <row r="267" spans="1:10" ht="13.95" customHeight="1" x14ac:dyDescent="0.3">
      <c r="A267" s="20">
        <v>45954</v>
      </c>
      <c r="B267" s="20" t="s">
        <v>3167</v>
      </c>
      <c r="C267" s="19" t="s">
        <v>11</v>
      </c>
      <c r="D267" s="19" t="s">
        <v>1564</v>
      </c>
      <c r="E267" s="4">
        <v>0.85</v>
      </c>
      <c r="F267" s="42">
        <v>3.1</v>
      </c>
      <c r="G267" s="45">
        <v>256</v>
      </c>
      <c r="H267" s="22">
        <v>2.1</v>
      </c>
      <c r="I267" s="6">
        <f t="shared" si="4"/>
        <v>1416.576</v>
      </c>
      <c r="J267" s="7" t="s">
        <v>3146</v>
      </c>
    </row>
    <row r="268" spans="1:10" ht="13.95" customHeight="1" x14ac:dyDescent="0.3">
      <c r="A268" s="20">
        <v>45955</v>
      </c>
      <c r="B268" s="20" t="s">
        <v>3167</v>
      </c>
      <c r="C268" s="19" t="s">
        <v>13</v>
      </c>
      <c r="D268" s="19" t="s">
        <v>3147</v>
      </c>
      <c r="E268" s="4">
        <v>0.95</v>
      </c>
      <c r="F268" s="42">
        <v>3.85</v>
      </c>
      <c r="G268" s="45">
        <v>256</v>
      </c>
      <c r="H268" s="22">
        <v>2.1</v>
      </c>
      <c r="I268" s="6">
        <f t="shared" si="4"/>
        <v>1966.2719999999999</v>
      </c>
      <c r="J268" s="7" t="s">
        <v>3092</v>
      </c>
    </row>
    <row r="269" spans="1:10" ht="13.95" customHeight="1" x14ac:dyDescent="0.3">
      <c r="A269" s="20">
        <v>45956</v>
      </c>
      <c r="B269" s="20" t="s">
        <v>3167</v>
      </c>
      <c r="C269" s="19" t="s">
        <v>16</v>
      </c>
      <c r="D269" s="19" t="s">
        <v>3098</v>
      </c>
      <c r="E269" s="4">
        <v>0.9</v>
      </c>
      <c r="F269" s="42">
        <v>3.3</v>
      </c>
      <c r="G269" s="45">
        <v>256</v>
      </c>
      <c r="H269" s="22">
        <v>2.1</v>
      </c>
      <c r="I269" s="6">
        <f t="shared" si="4"/>
        <v>1596.672</v>
      </c>
      <c r="J269" s="7" t="s">
        <v>512</v>
      </c>
    </row>
    <row r="270" spans="1:10" ht="13.95" customHeight="1" x14ac:dyDescent="0.3">
      <c r="A270" s="20">
        <v>45957</v>
      </c>
      <c r="B270" s="20" t="s">
        <v>3167</v>
      </c>
      <c r="C270" s="19" t="s">
        <v>18</v>
      </c>
      <c r="D270" s="19" t="s">
        <v>2833</v>
      </c>
      <c r="E270" s="4">
        <v>0.8</v>
      </c>
      <c r="F270" s="42">
        <v>2.65</v>
      </c>
      <c r="G270" s="45">
        <v>256</v>
      </c>
      <c r="H270" s="22">
        <v>2.1</v>
      </c>
      <c r="I270" s="6">
        <f t="shared" si="4"/>
        <v>1139.7120000000002</v>
      </c>
      <c r="J270" s="7" t="s">
        <v>3148</v>
      </c>
    </row>
    <row r="271" spans="1:10" ht="13.95" customHeight="1" x14ac:dyDescent="0.3">
      <c r="A271" s="20">
        <v>45958</v>
      </c>
      <c r="B271" s="20" t="s">
        <v>3167</v>
      </c>
      <c r="C271" s="19" t="s">
        <v>20</v>
      </c>
      <c r="D271" s="19" t="s">
        <v>2833</v>
      </c>
      <c r="E271" s="4">
        <v>0.8</v>
      </c>
      <c r="F271" s="42">
        <v>2.65</v>
      </c>
      <c r="G271" s="45">
        <v>256</v>
      </c>
      <c r="H271" s="22">
        <v>2.1</v>
      </c>
      <c r="I271" s="6">
        <f t="shared" si="4"/>
        <v>1139.7120000000002</v>
      </c>
      <c r="J271" s="7" t="s">
        <v>2629</v>
      </c>
    </row>
    <row r="272" spans="1:10" ht="13.95" customHeight="1" x14ac:dyDescent="0.3">
      <c r="A272" s="20">
        <v>45959</v>
      </c>
      <c r="B272" s="20" t="s">
        <v>3167</v>
      </c>
      <c r="C272" s="19" t="s">
        <v>5</v>
      </c>
      <c r="D272" s="19" t="s">
        <v>2833</v>
      </c>
      <c r="E272" s="4">
        <v>0.85</v>
      </c>
      <c r="F272" s="42">
        <v>2.7</v>
      </c>
      <c r="G272" s="45">
        <v>256</v>
      </c>
      <c r="H272" s="22">
        <v>2.1</v>
      </c>
      <c r="I272" s="6">
        <f t="shared" si="4"/>
        <v>1233.7919999999999</v>
      </c>
      <c r="J272" s="7" t="s">
        <v>88</v>
      </c>
    </row>
    <row r="273" spans="1:10" ht="13.95" customHeight="1" x14ac:dyDescent="0.3">
      <c r="A273" s="20">
        <v>45960</v>
      </c>
      <c r="B273" s="20" t="s">
        <v>3167</v>
      </c>
      <c r="C273" s="19" t="s">
        <v>8</v>
      </c>
      <c r="D273" s="19" t="s">
        <v>1465</v>
      </c>
      <c r="E273" s="4">
        <v>0.9</v>
      </c>
      <c r="F273" s="42">
        <v>2.9</v>
      </c>
      <c r="G273" s="45">
        <v>256</v>
      </c>
      <c r="H273" s="22">
        <v>2.1</v>
      </c>
      <c r="I273" s="6">
        <f t="shared" si="4"/>
        <v>1403.136</v>
      </c>
      <c r="J273" s="7" t="s">
        <v>531</v>
      </c>
    </row>
    <row r="274" spans="1:10" ht="13.95" customHeight="1" x14ac:dyDescent="0.3">
      <c r="A274" s="20">
        <v>45961</v>
      </c>
      <c r="B274" s="20" t="s">
        <v>3167</v>
      </c>
      <c r="C274" s="19" t="s">
        <v>11</v>
      </c>
      <c r="D274" s="19" t="s">
        <v>3149</v>
      </c>
      <c r="E274" s="4">
        <v>1</v>
      </c>
      <c r="F274" s="42">
        <v>4.0999999999999996</v>
      </c>
      <c r="G274" s="45">
        <v>256</v>
      </c>
      <c r="H274" s="22">
        <v>2.1</v>
      </c>
      <c r="I274" s="6">
        <f t="shared" si="4"/>
        <v>2204.16</v>
      </c>
      <c r="J274" s="7" t="s">
        <v>3150</v>
      </c>
    </row>
    <row r="275" spans="1:10" ht="13.95" customHeight="1" x14ac:dyDescent="0.3">
      <c r="A275" s="20">
        <v>45962</v>
      </c>
      <c r="B275" s="20" t="s">
        <v>3167</v>
      </c>
      <c r="C275" s="19" t="s">
        <v>13</v>
      </c>
      <c r="D275" s="19" t="s">
        <v>3151</v>
      </c>
      <c r="E275" s="4">
        <v>0.85</v>
      </c>
      <c r="F275" s="42">
        <v>3.6</v>
      </c>
      <c r="G275" s="45">
        <v>256</v>
      </c>
      <c r="H275" s="22">
        <v>2</v>
      </c>
      <c r="I275" s="6">
        <f t="shared" si="4"/>
        <v>1566.72</v>
      </c>
      <c r="J275" s="7" t="s">
        <v>3152</v>
      </c>
    </row>
    <row r="276" spans="1:10" ht="13.95" customHeight="1" x14ac:dyDescent="0.3">
      <c r="A276" s="20">
        <v>45963</v>
      </c>
      <c r="B276" s="20" t="s">
        <v>3167</v>
      </c>
      <c r="C276" s="19" t="s">
        <v>16</v>
      </c>
      <c r="D276" s="19" t="s">
        <v>3098</v>
      </c>
      <c r="E276" s="4">
        <v>0.8</v>
      </c>
      <c r="F276" s="42">
        <v>3.1</v>
      </c>
      <c r="G276" s="45">
        <v>256</v>
      </c>
      <c r="H276" s="22">
        <v>2</v>
      </c>
      <c r="I276" s="6">
        <f t="shared" si="4"/>
        <v>1269.7600000000002</v>
      </c>
      <c r="J276" s="7" t="s">
        <v>139</v>
      </c>
    </row>
    <row r="277" spans="1:10" ht="13.95" customHeight="1" x14ac:dyDescent="0.3">
      <c r="A277" s="20">
        <v>45964</v>
      </c>
      <c r="B277" s="20" t="s">
        <v>3167</v>
      </c>
      <c r="C277" s="19" t="s">
        <v>18</v>
      </c>
      <c r="D277" s="19" t="s">
        <v>3153</v>
      </c>
      <c r="E277" s="4">
        <v>0.5</v>
      </c>
      <c r="F277" s="42">
        <v>2.4</v>
      </c>
      <c r="G277" s="45">
        <v>256</v>
      </c>
      <c r="H277" s="22">
        <v>2</v>
      </c>
      <c r="I277" s="6">
        <f t="shared" si="4"/>
        <v>614.4</v>
      </c>
      <c r="J277" s="7" t="s">
        <v>3154</v>
      </c>
    </row>
    <row r="278" spans="1:10" ht="13.95" customHeight="1" x14ac:dyDescent="0.3">
      <c r="A278" s="20">
        <v>45965</v>
      </c>
      <c r="B278" s="20" t="s">
        <v>3167</v>
      </c>
      <c r="C278" s="19" t="s">
        <v>20</v>
      </c>
      <c r="D278" s="19" t="s">
        <v>3153</v>
      </c>
      <c r="E278" s="4">
        <v>0.5</v>
      </c>
      <c r="F278" s="42">
        <v>2.4</v>
      </c>
      <c r="G278" s="45">
        <v>256</v>
      </c>
      <c r="H278" s="22">
        <v>2</v>
      </c>
      <c r="I278" s="6">
        <f t="shared" si="4"/>
        <v>614.4</v>
      </c>
      <c r="J278" s="7" t="s">
        <v>88</v>
      </c>
    </row>
    <row r="279" spans="1:10" ht="13.95" customHeight="1" x14ac:dyDescent="0.3">
      <c r="A279" s="20">
        <v>45966</v>
      </c>
      <c r="B279" s="20" t="s">
        <v>3167</v>
      </c>
      <c r="C279" s="19" t="s">
        <v>5</v>
      </c>
      <c r="D279" s="19" t="s">
        <v>3153</v>
      </c>
      <c r="E279" s="4">
        <v>0.55000000000000004</v>
      </c>
      <c r="F279" s="42">
        <v>2.4</v>
      </c>
      <c r="G279" s="45">
        <v>256</v>
      </c>
      <c r="H279" s="22">
        <v>2</v>
      </c>
      <c r="I279" s="6">
        <f t="shared" si="4"/>
        <v>675.84</v>
      </c>
      <c r="J279" s="7" t="s">
        <v>88</v>
      </c>
    </row>
    <row r="280" spans="1:10" ht="13.95" customHeight="1" x14ac:dyDescent="0.3">
      <c r="A280" s="20">
        <v>45967</v>
      </c>
      <c r="B280" s="20" t="s">
        <v>3167</v>
      </c>
      <c r="C280" s="19" t="s">
        <v>8</v>
      </c>
      <c r="D280" s="19" t="s">
        <v>1263</v>
      </c>
      <c r="E280" s="4">
        <v>0.7</v>
      </c>
      <c r="F280" s="42">
        <v>2.75</v>
      </c>
      <c r="G280" s="45">
        <v>256</v>
      </c>
      <c r="H280" s="22">
        <v>2</v>
      </c>
      <c r="I280" s="6">
        <f t="shared" si="4"/>
        <v>985.59999999999991</v>
      </c>
      <c r="J280" s="7" t="s">
        <v>2569</v>
      </c>
    </row>
    <row r="281" spans="1:10" ht="13.95" customHeight="1" x14ac:dyDescent="0.3">
      <c r="A281" s="20">
        <v>45968</v>
      </c>
      <c r="B281" s="20" t="s">
        <v>3167</v>
      </c>
      <c r="C281" s="19" t="s">
        <v>11</v>
      </c>
      <c r="D281" s="19" t="s">
        <v>2981</v>
      </c>
      <c r="E281" s="4">
        <v>0.65</v>
      </c>
      <c r="F281" s="42">
        <v>2.9</v>
      </c>
      <c r="G281" s="45">
        <v>256</v>
      </c>
      <c r="H281" s="22">
        <v>2</v>
      </c>
      <c r="I281" s="6">
        <f t="shared" si="4"/>
        <v>965.12</v>
      </c>
      <c r="J281" s="7" t="s">
        <v>67</v>
      </c>
    </row>
    <row r="282" spans="1:10" ht="13.95" customHeight="1" x14ac:dyDescent="0.3">
      <c r="A282" s="20">
        <v>45969</v>
      </c>
      <c r="B282" s="20" t="s">
        <v>3167</v>
      </c>
      <c r="C282" s="19" t="s">
        <v>13</v>
      </c>
      <c r="D282" s="19" t="s">
        <v>3155</v>
      </c>
      <c r="E282" s="4">
        <v>0.75</v>
      </c>
      <c r="F282" s="42">
        <v>3.5</v>
      </c>
      <c r="G282" s="45">
        <v>256</v>
      </c>
      <c r="H282" s="22">
        <v>2</v>
      </c>
      <c r="I282" s="6">
        <f t="shared" si="4"/>
        <v>1344</v>
      </c>
      <c r="J282" s="7" t="s">
        <v>2454</v>
      </c>
    </row>
    <row r="283" spans="1:10" ht="13.95" customHeight="1" x14ac:dyDescent="0.3">
      <c r="A283" s="20">
        <v>45970</v>
      </c>
      <c r="B283" s="20" t="s">
        <v>3167</v>
      </c>
      <c r="C283" s="19" t="s">
        <v>16</v>
      </c>
      <c r="D283" s="19" t="s">
        <v>3098</v>
      </c>
      <c r="E283" s="4">
        <v>0.7</v>
      </c>
      <c r="F283" s="42">
        <v>3</v>
      </c>
      <c r="G283" s="45">
        <v>256</v>
      </c>
      <c r="H283" s="22">
        <v>2</v>
      </c>
      <c r="I283" s="6">
        <f t="shared" si="4"/>
        <v>1075.1999999999998</v>
      </c>
      <c r="J283" s="7" t="s">
        <v>1336</v>
      </c>
    </row>
    <row r="284" spans="1:10" ht="13.95" customHeight="1" x14ac:dyDescent="0.3">
      <c r="A284" s="20">
        <v>45971</v>
      </c>
      <c r="B284" s="20" t="s">
        <v>3167</v>
      </c>
      <c r="C284" s="19" t="s">
        <v>18</v>
      </c>
      <c r="D284" s="19" t="s">
        <v>3153</v>
      </c>
      <c r="E284" s="4">
        <v>0.45</v>
      </c>
      <c r="F284" s="42">
        <v>2.4</v>
      </c>
      <c r="G284" s="45">
        <v>256</v>
      </c>
      <c r="H284" s="22">
        <v>2</v>
      </c>
      <c r="I284" s="6">
        <f t="shared" si="4"/>
        <v>552.96</v>
      </c>
      <c r="J284" s="7" t="s">
        <v>150</v>
      </c>
    </row>
    <row r="285" spans="1:10" ht="13.95" customHeight="1" x14ac:dyDescent="0.3">
      <c r="A285" s="20">
        <v>45972</v>
      </c>
      <c r="B285" s="20" t="s">
        <v>3167</v>
      </c>
      <c r="C285" s="19" t="s">
        <v>20</v>
      </c>
      <c r="D285" s="19" t="s">
        <v>3153</v>
      </c>
      <c r="E285" s="4">
        <v>0.5</v>
      </c>
      <c r="F285" s="42">
        <v>2.4</v>
      </c>
      <c r="G285" s="45">
        <v>256</v>
      </c>
      <c r="H285" s="22">
        <v>2</v>
      </c>
      <c r="I285" s="6">
        <f t="shared" si="4"/>
        <v>614.4</v>
      </c>
      <c r="J285" s="7" t="s">
        <v>2194</v>
      </c>
    </row>
    <row r="286" spans="1:10" ht="13.95" customHeight="1" x14ac:dyDescent="0.3">
      <c r="A286" s="20">
        <v>45973</v>
      </c>
      <c r="B286" s="20" t="s">
        <v>3167</v>
      </c>
      <c r="C286" s="19" t="s">
        <v>5</v>
      </c>
      <c r="D286" s="19" t="s">
        <v>3153</v>
      </c>
      <c r="E286" s="4">
        <v>0.5</v>
      </c>
      <c r="F286" s="42">
        <v>2.4500000000000002</v>
      </c>
      <c r="G286" s="45">
        <v>256</v>
      </c>
      <c r="H286" s="22">
        <v>2</v>
      </c>
      <c r="I286" s="6">
        <f t="shared" si="4"/>
        <v>627.20000000000005</v>
      </c>
      <c r="J286" s="7" t="s">
        <v>88</v>
      </c>
    </row>
    <row r="287" spans="1:10" ht="13.95" customHeight="1" x14ac:dyDescent="0.3">
      <c r="A287" s="20">
        <v>45974</v>
      </c>
      <c r="B287" s="20" t="s">
        <v>3167</v>
      </c>
      <c r="C287" s="19" t="s">
        <v>8</v>
      </c>
      <c r="D287" s="19" t="s">
        <v>1263</v>
      </c>
      <c r="E287" s="4">
        <v>0.65</v>
      </c>
      <c r="F287" s="42">
        <v>2.75</v>
      </c>
      <c r="G287" s="45">
        <v>256</v>
      </c>
      <c r="H287" s="22">
        <v>2</v>
      </c>
      <c r="I287" s="6">
        <f t="shared" si="4"/>
        <v>915.2</v>
      </c>
      <c r="J287" s="7" t="s">
        <v>3095</v>
      </c>
    </row>
    <row r="288" spans="1:10" ht="13.95" customHeight="1" x14ac:dyDescent="0.3">
      <c r="A288" s="20">
        <v>45975</v>
      </c>
      <c r="B288" s="20" t="s">
        <v>3167</v>
      </c>
      <c r="C288" s="19" t="s">
        <v>11</v>
      </c>
      <c r="D288" s="19" t="s">
        <v>3011</v>
      </c>
      <c r="E288" s="4">
        <v>0.6</v>
      </c>
      <c r="F288" s="42">
        <v>2.9</v>
      </c>
      <c r="G288" s="45">
        <v>256</v>
      </c>
      <c r="H288" s="22">
        <v>2</v>
      </c>
      <c r="I288" s="6">
        <f t="shared" si="4"/>
        <v>890.88</v>
      </c>
      <c r="J288" s="7" t="s">
        <v>390</v>
      </c>
    </row>
    <row r="289" spans="1:10" ht="13.95" customHeight="1" x14ac:dyDescent="0.3">
      <c r="A289" s="20">
        <v>45976</v>
      </c>
      <c r="B289" s="20" t="s">
        <v>3167</v>
      </c>
      <c r="C289" s="19" t="s">
        <v>13</v>
      </c>
      <c r="D289" s="19" t="s">
        <v>3156</v>
      </c>
      <c r="E289" s="4">
        <v>0.75</v>
      </c>
      <c r="F289" s="42">
        <v>3.55</v>
      </c>
      <c r="G289" s="45">
        <v>256</v>
      </c>
      <c r="H289" s="22">
        <v>2</v>
      </c>
      <c r="I289" s="6">
        <f t="shared" si="4"/>
        <v>1363.1999999999998</v>
      </c>
      <c r="J289" s="7" t="s">
        <v>3109</v>
      </c>
    </row>
    <row r="290" spans="1:10" ht="13.95" customHeight="1" x14ac:dyDescent="0.3">
      <c r="A290" s="20">
        <v>45977</v>
      </c>
      <c r="B290" s="20" t="s">
        <v>3167</v>
      </c>
      <c r="C290" s="19" t="s">
        <v>16</v>
      </c>
      <c r="D290" s="19" t="s">
        <v>3098</v>
      </c>
      <c r="E290" s="4">
        <v>0.7</v>
      </c>
      <c r="F290" s="42">
        <v>3.05</v>
      </c>
      <c r="G290" s="45">
        <v>256</v>
      </c>
      <c r="H290" s="22">
        <v>2</v>
      </c>
      <c r="I290" s="6">
        <f t="shared" si="4"/>
        <v>1093.1199999999999</v>
      </c>
      <c r="J290" s="7" t="s">
        <v>139</v>
      </c>
    </row>
    <row r="291" spans="1:10" ht="13.95" customHeight="1" x14ac:dyDescent="0.3">
      <c r="A291" s="20">
        <v>45978</v>
      </c>
      <c r="B291" s="20" t="s">
        <v>3167</v>
      </c>
      <c r="C291" s="19" t="s">
        <v>18</v>
      </c>
      <c r="D291" s="19" t="s">
        <v>3153</v>
      </c>
      <c r="E291" s="4">
        <v>0.45</v>
      </c>
      <c r="F291" s="42">
        <v>2.4</v>
      </c>
      <c r="G291" s="45">
        <v>256</v>
      </c>
      <c r="H291" s="22">
        <v>2</v>
      </c>
      <c r="I291" s="6">
        <f t="shared" si="4"/>
        <v>552.96</v>
      </c>
      <c r="J291" s="7" t="s">
        <v>88</v>
      </c>
    </row>
    <row r="292" spans="1:10" ht="13.95" customHeight="1" x14ac:dyDescent="0.3">
      <c r="A292" s="20">
        <v>45979</v>
      </c>
      <c r="B292" s="20" t="s">
        <v>3167</v>
      </c>
      <c r="C292" s="19" t="s">
        <v>20</v>
      </c>
      <c r="D292" s="19" t="s">
        <v>3153</v>
      </c>
      <c r="E292" s="4">
        <v>0.45</v>
      </c>
      <c r="F292" s="42">
        <v>2.4</v>
      </c>
      <c r="G292" s="45">
        <v>256</v>
      </c>
      <c r="H292" s="22">
        <v>2</v>
      </c>
      <c r="I292" s="6">
        <f t="shared" si="4"/>
        <v>552.96</v>
      </c>
      <c r="J292" s="7" t="s">
        <v>88</v>
      </c>
    </row>
    <row r="293" spans="1:10" ht="13.95" customHeight="1" x14ac:dyDescent="0.3">
      <c r="A293" s="20">
        <v>45980</v>
      </c>
      <c r="B293" s="20" t="s">
        <v>3167</v>
      </c>
      <c r="C293" s="19" t="s">
        <v>5</v>
      </c>
      <c r="D293" s="19" t="s">
        <v>3153</v>
      </c>
      <c r="E293" s="4">
        <v>0.5</v>
      </c>
      <c r="F293" s="42">
        <v>2.4500000000000002</v>
      </c>
      <c r="G293" s="45">
        <v>256</v>
      </c>
      <c r="H293" s="22">
        <v>2</v>
      </c>
      <c r="I293" s="6">
        <f t="shared" si="4"/>
        <v>627.20000000000005</v>
      </c>
      <c r="J293" s="7" t="s">
        <v>88</v>
      </c>
    </row>
    <row r="294" spans="1:10" ht="13.95" customHeight="1" x14ac:dyDescent="0.3">
      <c r="A294" s="20">
        <v>45981</v>
      </c>
      <c r="B294" s="20" t="s">
        <v>3167</v>
      </c>
      <c r="C294" s="19" t="s">
        <v>8</v>
      </c>
      <c r="D294" s="19" t="s">
        <v>1263</v>
      </c>
      <c r="E294" s="4">
        <v>0.6</v>
      </c>
      <c r="F294" s="42">
        <v>2.7</v>
      </c>
      <c r="G294" s="45">
        <v>256</v>
      </c>
      <c r="H294" s="22">
        <v>2</v>
      </c>
      <c r="I294" s="6">
        <f t="shared" si="4"/>
        <v>829.44</v>
      </c>
      <c r="J294" s="7" t="s">
        <v>1376</v>
      </c>
    </row>
    <row r="295" spans="1:10" ht="13.95" customHeight="1" x14ac:dyDescent="0.3">
      <c r="A295" s="20">
        <v>45982</v>
      </c>
      <c r="B295" s="20" t="s">
        <v>3167</v>
      </c>
      <c r="C295" s="19" t="s">
        <v>11</v>
      </c>
      <c r="D295" s="19" t="s">
        <v>2981</v>
      </c>
      <c r="E295" s="4">
        <v>0.6</v>
      </c>
      <c r="F295" s="42">
        <v>2.9</v>
      </c>
      <c r="G295" s="45">
        <v>256</v>
      </c>
      <c r="H295" s="22">
        <v>2</v>
      </c>
      <c r="I295" s="6">
        <f t="shared" si="4"/>
        <v>890.88</v>
      </c>
      <c r="J295" s="7" t="s">
        <v>282</v>
      </c>
    </row>
    <row r="296" spans="1:10" ht="13.95" customHeight="1" x14ac:dyDescent="0.3">
      <c r="A296" s="20">
        <v>45983</v>
      </c>
      <c r="B296" s="20" t="s">
        <v>3167</v>
      </c>
      <c r="C296" s="19" t="s">
        <v>13</v>
      </c>
      <c r="D296" s="19" t="s">
        <v>3017</v>
      </c>
      <c r="E296" s="4">
        <v>0.75</v>
      </c>
      <c r="F296" s="42">
        <v>3.5</v>
      </c>
      <c r="G296" s="45">
        <v>256</v>
      </c>
      <c r="H296" s="22">
        <v>2</v>
      </c>
      <c r="I296" s="6">
        <f t="shared" si="4"/>
        <v>1344</v>
      </c>
      <c r="J296" s="7" t="s">
        <v>1711</v>
      </c>
    </row>
    <row r="297" spans="1:10" ht="13.95" customHeight="1" x14ac:dyDescent="0.3">
      <c r="A297" s="20">
        <v>45984</v>
      </c>
      <c r="B297" s="20" t="s">
        <v>3167</v>
      </c>
      <c r="C297" s="19" t="s">
        <v>16</v>
      </c>
      <c r="D297" s="19" t="s">
        <v>3098</v>
      </c>
      <c r="E297" s="4">
        <v>0.7</v>
      </c>
      <c r="F297" s="42">
        <v>3</v>
      </c>
      <c r="G297" s="45">
        <v>256</v>
      </c>
      <c r="H297" s="22">
        <v>2</v>
      </c>
      <c r="I297" s="6">
        <f t="shared" si="4"/>
        <v>1075.1999999999998</v>
      </c>
      <c r="J297" s="7" t="s">
        <v>1336</v>
      </c>
    </row>
    <row r="298" spans="1:10" ht="13.95" customHeight="1" x14ac:dyDescent="0.3">
      <c r="A298" s="20">
        <v>45985</v>
      </c>
      <c r="B298" s="20" t="s">
        <v>3167</v>
      </c>
      <c r="C298" s="19" t="s">
        <v>18</v>
      </c>
      <c r="D298" s="19" t="s">
        <v>3153</v>
      </c>
      <c r="E298" s="4">
        <v>0.45</v>
      </c>
      <c r="F298" s="42">
        <v>2.4</v>
      </c>
      <c r="G298" s="45">
        <v>256</v>
      </c>
      <c r="H298" s="22">
        <v>2</v>
      </c>
      <c r="I298" s="6">
        <f t="shared" si="4"/>
        <v>552.96</v>
      </c>
      <c r="J298" s="7" t="s">
        <v>88</v>
      </c>
    </row>
    <row r="299" spans="1:10" ht="13.95" customHeight="1" x14ac:dyDescent="0.3">
      <c r="A299" s="20">
        <v>45986</v>
      </c>
      <c r="B299" s="20" t="s">
        <v>3167</v>
      </c>
      <c r="C299" s="19" t="s">
        <v>20</v>
      </c>
      <c r="D299" s="19" t="s">
        <v>3153</v>
      </c>
      <c r="E299" s="4">
        <v>0.45</v>
      </c>
      <c r="F299" s="42">
        <v>2.4</v>
      </c>
      <c r="G299" s="45">
        <v>256</v>
      </c>
      <c r="H299" s="22">
        <v>2</v>
      </c>
      <c r="I299" s="6">
        <f t="shared" si="4"/>
        <v>552.96</v>
      </c>
      <c r="J299" s="7" t="s">
        <v>88</v>
      </c>
    </row>
    <row r="300" spans="1:10" ht="13.95" customHeight="1" x14ac:dyDescent="0.3">
      <c r="A300" s="20">
        <v>45987</v>
      </c>
      <c r="B300" s="20" t="s">
        <v>3167</v>
      </c>
      <c r="C300" s="19" t="s">
        <v>5</v>
      </c>
      <c r="D300" s="19" t="s">
        <v>3153</v>
      </c>
      <c r="E300" s="4">
        <v>0.5</v>
      </c>
      <c r="F300" s="42">
        <v>2.4</v>
      </c>
      <c r="G300" s="45">
        <v>256</v>
      </c>
      <c r="H300" s="22">
        <v>2</v>
      </c>
      <c r="I300" s="6">
        <f t="shared" si="4"/>
        <v>614.4</v>
      </c>
      <c r="J300" s="7" t="s">
        <v>88</v>
      </c>
    </row>
    <row r="301" spans="1:10" ht="13.95" customHeight="1" x14ac:dyDescent="0.3">
      <c r="A301" s="20">
        <v>45988</v>
      </c>
      <c r="B301" s="20" t="s">
        <v>3167</v>
      </c>
      <c r="C301" s="19" t="s">
        <v>8</v>
      </c>
      <c r="D301" s="19" t="s">
        <v>1263</v>
      </c>
      <c r="E301" s="4">
        <v>0.6</v>
      </c>
      <c r="F301" s="42">
        <v>2.75</v>
      </c>
      <c r="G301" s="45">
        <v>256</v>
      </c>
      <c r="H301" s="22">
        <v>2</v>
      </c>
      <c r="I301" s="6">
        <f t="shared" si="4"/>
        <v>844.8</v>
      </c>
      <c r="J301" s="7" t="s">
        <v>1376</v>
      </c>
    </row>
    <row r="302" spans="1:10" ht="13.95" customHeight="1" x14ac:dyDescent="0.3">
      <c r="A302" s="20">
        <v>45989</v>
      </c>
      <c r="B302" s="20" t="s">
        <v>3167</v>
      </c>
      <c r="C302" s="19" t="s">
        <v>11</v>
      </c>
      <c r="D302" s="19" t="s">
        <v>3011</v>
      </c>
      <c r="E302" s="4">
        <v>0.65</v>
      </c>
      <c r="F302" s="42">
        <v>2.95</v>
      </c>
      <c r="G302" s="45">
        <v>256</v>
      </c>
      <c r="H302" s="22">
        <v>2</v>
      </c>
      <c r="I302" s="6">
        <f t="shared" si="4"/>
        <v>981.7600000000001</v>
      </c>
      <c r="J302" s="7" t="s">
        <v>67</v>
      </c>
    </row>
    <row r="303" spans="1:10" ht="13.95" customHeight="1" x14ac:dyDescent="0.3">
      <c r="A303" s="20">
        <v>45990</v>
      </c>
      <c r="B303" s="20" t="s">
        <v>3167</v>
      </c>
      <c r="C303" s="19" t="s">
        <v>13</v>
      </c>
      <c r="D303" s="19" t="s">
        <v>3157</v>
      </c>
      <c r="E303" s="4">
        <v>0.8</v>
      </c>
      <c r="F303" s="42">
        <v>3.6</v>
      </c>
      <c r="G303" s="45">
        <v>256</v>
      </c>
      <c r="H303" s="22">
        <v>2</v>
      </c>
      <c r="I303" s="6">
        <f t="shared" si="4"/>
        <v>1474.5600000000002</v>
      </c>
      <c r="J303" s="7" t="s">
        <v>1811</v>
      </c>
    </row>
    <row r="304" spans="1:10" ht="13.95" customHeight="1" x14ac:dyDescent="0.3">
      <c r="A304" s="20">
        <v>45991</v>
      </c>
      <c r="B304" s="20" t="s">
        <v>3167</v>
      </c>
      <c r="C304" s="19" t="s">
        <v>16</v>
      </c>
      <c r="D304" s="19" t="s">
        <v>3098</v>
      </c>
      <c r="E304" s="4">
        <v>0.75</v>
      </c>
      <c r="F304" s="42">
        <v>3.1</v>
      </c>
      <c r="G304" s="45">
        <v>256</v>
      </c>
      <c r="H304" s="22">
        <v>2</v>
      </c>
      <c r="I304" s="6">
        <f t="shared" si="4"/>
        <v>1190.4000000000001</v>
      </c>
      <c r="J304" s="7" t="s">
        <v>3022</v>
      </c>
    </row>
    <row r="305" spans="1:10" ht="13.95" customHeight="1" x14ac:dyDescent="0.3">
      <c r="A305" s="20">
        <v>45992</v>
      </c>
      <c r="B305" s="20" t="s">
        <v>3167</v>
      </c>
      <c r="C305" s="19" t="s">
        <v>18</v>
      </c>
      <c r="D305" s="19" t="s">
        <v>3153</v>
      </c>
      <c r="E305" s="4">
        <v>0.45</v>
      </c>
      <c r="F305" s="42">
        <v>2.4</v>
      </c>
      <c r="G305" s="45">
        <v>256</v>
      </c>
      <c r="H305" s="22">
        <v>2</v>
      </c>
      <c r="I305" s="6">
        <f t="shared" si="4"/>
        <v>552.96</v>
      </c>
      <c r="J305" s="7" t="s">
        <v>2571</v>
      </c>
    </row>
    <row r="306" spans="1:10" ht="13.95" customHeight="1" x14ac:dyDescent="0.3">
      <c r="A306" s="20">
        <v>45993</v>
      </c>
      <c r="B306" s="20" t="s">
        <v>3167</v>
      </c>
      <c r="C306" s="19" t="s">
        <v>20</v>
      </c>
      <c r="D306" s="19" t="s">
        <v>3153</v>
      </c>
      <c r="E306" s="4">
        <v>0.45</v>
      </c>
      <c r="F306" s="42">
        <v>2.4</v>
      </c>
      <c r="G306" s="45">
        <v>256</v>
      </c>
      <c r="H306" s="22">
        <v>2</v>
      </c>
      <c r="I306" s="6">
        <f t="shared" si="4"/>
        <v>552.96</v>
      </c>
      <c r="J306" s="7" t="s">
        <v>2194</v>
      </c>
    </row>
    <row r="307" spans="1:10" ht="13.95" customHeight="1" x14ac:dyDescent="0.3">
      <c r="A307" s="20">
        <v>45995</v>
      </c>
      <c r="B307" s="20" t="s">
        <v>3167</v>
      </c>
      <c r="C307" s="19" t="s">
        <v>8</v>
      </c>
      <c r="D307" s="19" t="s">
        <v>3158</v>
      </c>
      <c r="E307" s="4">
        <v>0.65</v>
      </c>
      <c r="F307" s="42">
        <v>2.8</v>
      </c>
      <c r="G307" s="45">
        <v>256</v>
      </c>
      <c r="H307" s="22">
        <v>2</v>
      </c>
      <c r="I307" s="6">
        <f t="shared" si="4"/>
        <v>931.83999999999992</v>
      </c>
      <c r="J307" s="7" t="s">
        <v>1376</v>
      </c>
    </row>
    <row r="308" spans="1:10" ht="13.95" customHeight="1" x14ac:dyDescent="0.3">
      <c r="A308" s="20">
        <v>45997</v>
      </c>
      <c r="B308" s="20" t="s">
        <v>3167</v>
      </c>
      <c r="C308" s="19" t="s">
        <v>13</v>
      </c>
      <c r="D308" s="19" t="s">
        <v>2981</v>
      </c>
      <c r="E308" s="4">
        <v>0.75</v>
      </c>
      <c r="F308" s="42">
        <v>3.4</v>
      </c>
      <c r="G308" s="45">
        <v>256</v>
      </c>
      <c r="H308" s="22">
        <v>2</v>
      </c>
      <c r="I308" s="6">
        <f t="shared" si="4"/>
        <v>1305.5999999999999</v>
      </c>
      <c r="J308" s="7" t="s">
        <v>282</v>
      </c>
    </row>
    <row r="309" spans="1:10" ht="13.95" customHeight="1" x14ac:dyDescent="0.3">
      <c r="A309" s="20">
        <v>45998</v>
      </c>
      <c r="B309" s="20" t="s">
        <v>3167</v>
      </c>
      <c r="C309" s="19" t="s">
        <v>16</v>
      </c>
      <c r="D309" s="19" t="s">
        <v>3098</v>
      </c>
      <c r="E309" s="4">
        <v>0.7</v>
      </c>
      <c r="F309" s="42">
        <v>3</v>
      </c>
      <c r="G309" s="45">
        <v>256</v>
      </c>
      <c r="H309" s="22">
        <v>2</v>
      </c>
      <c r="I309" s="6">
        <f t="shared" si="4"/>
        <v>1075.1999999999998</v>
      </c>
      <c r="J309" s="7" t="s">
        <v>139</v>
      </c>
    </row>
    <row r="310" spans="1:10" ht="13.95" customHeight="1" x14ac:dyDescent="0.3">
      <c r="A310" s="20">
        <v>46004</v>
      </c>
      <c r="B310" s="20" t="s">
        <v>3167</v>
      </c>
      <c r="C310" s="19" t="s">
        <v>13</v>
      </c>
      <c r="D310" s="19" t="s">
        <v>3159</v>
      </c>
      <c r="E310" s="4">
        <v>0.75</v>
      </c>
      <c r="F310" s="42">
        <v>3.45</v>
      </c>
      <c r="G310" s="45">
        <v>256</v>
      </c>
      <c r="H310" s="22">
        <v>2</v>
      </c>
      <c r="I310" s="6">
        <f t="shared" si="4"/>
        <v>1324.8000000000002</v>
      </c>
      <c r="J310" s="7" t="s">
        <v>390</v>
      </c>
    </row>
    <row r="311" spans="1:10" ht="13.95" customHeight="1" x14ac:dyDescent="0.3">
      <c r="A311" s="20">
        <v>46005</v>
      </c>
      <c r="B311" s="20" t="s">
        <v>3167</v>
      </c>
      <c r="C311" s="19" t="s">
        <v>16</v>
      </c>
      <c r="D311" s="19" t="s">
        <v>3098</v>
      </c>
      <c r="E311" s="4">
        <v>0.7</v>
      </c>
      <c r="F311" s="42">
        <v>3.05</v>
      </c>
      <c r="G311" s="45">
        <v>256</v>
      </c>
      <c r="H311" s="22">
        <v>2</v>
      </c>
      <c r="I311" s="6">
        <f t="shared" si="4"/>
        <v>1093.1199999999999</v>
      </c>
      <c r="J311" s="7" t="s">
        <v>139</v>
      </c>
    </row>
    <row r="312" spans="1:10" ht="13.95" customHeight="1" x14ac:dyDescent="0.3">
      <c r="A312" s="20">
        <v>46011</v>
      </c>
      <c r="B312" s="20" t="s">
        <v>3167</v>
      </c>
      <c r="C312" s="19" t="s">
        <v>13</v>
      </c>
      <c r="D312" s="19" t="s">
        <v>3160</v>
      </c>
      <c r="E312" s="4">
        <v>0.85</v>
      </c>
      <c r="F312" s="42">
        <v>3.6</v>
      </c>
      <c r="G312" s="45">
        <v>256</v>
      </c>
      <c r="H312" s="22">
        <v>2</v>
      </c>
      <c r="I312" s="6">
        <f t="shared" si="4"/>
        <v>1566.72</v>
      </c>
      <c r="J312" s="7" t="s">
        <v>3145</v>
      </c>
    </row>
    <row r="313" spans="1:10" ht="13.95" customHeight="1" x14ac:dyDescent="0.3">
      <c r="A313" s="20">
        <v>46012</v>
      </c>
      <c r="B313" s="20" t="s">
        <v>3167</v>
      </c>
      <c r="C313" s="19" t="s">
        <v>16</v>
      </c>
      <c r="D313" s="19" t="s">
        <v>3161</v>
      </c>
      <c r="E313" s="4">
        <v>0.85</v>
      </c>
      <c r="F313" s="42">
        <v>3.3</v>
      </c>
      <c r="G313" s="45">
        <v>256</v>
      </c>
      <c r="H313" s="22">
        <v>2</v>
      </c>
      <c r="I313" s="6">
        <f t="shared" si="4"/>
        <v>1436.1599999999999</v>
      </c>
      <c r="J313" s="7" t="s">
        <v>1199</v>
      </c>
    </row>
    <row r="314" spans="1:10" ht="13.95" customHeight="1" x14ac:dyDescent="0.3">
      <c r="A314" s="20">
        <v>46013</v>
      </c>
      <c r="B314" s="20" t="s">
        <v>3167</v>
      </c>
      <c r="C314" s="19" t="s">
        <v>18</v>
      </c>
      <c r="D314" s="19" t="s">
        <v>3035</v>
      </c>
      <c r="E314" s="4">
        <v>0.8</v>
      </c>
      <c r="F314" s="42">
        <v>2.8</v>
      </c>
      <c r="G314" s="45">
        <v>256</v>
      </c>
      <c r="H314" s="22">
        <v>2</v>
      </c>
      <c r="I314" s="6">
        <f t="shared" si="4"/>
        <v>1146.8799999999999</v>
      </c>
      <c r="J314" s="7" t="s">
        <v>1587</v>
      </c>
    </row>
    <row r="315" spans="1:10" ht="13.95" customHeight="1" x14ac:dyDescent="0.3">
      <c r="A315" s="20">
        <v>46014</v>
      </c>
      <c r="B315" s="20" t="s">
        <v>3167</v>
      </c>
      <c r="C315" s="19" t="s">
        <v>20</v>
      </c>
      <c r="D315" s="19" t="s">
        <v>3036</v>
      </c>
      <c r="E315" s="4">
        <v>0.85</v>
      </c>
      <c r="F315" s="42">
        <v>2.9</v>
      </c>
      <c r="G315" s="45">
        <v>256</v>
      </c>
      <c r="H315" s="22">
        <v>2</v>
      </c>
      <c r="I315" s="6">
        <f t="shared" si="4"/>
        <v>1262.08</v>
      </c>
      <c r="J315" s="7" t="s">
        <v>667</v>
      </c>
    </row>
    <row r="316" spans="1:10" ht="13.95" customHeight="1" x14ac:dyDescent="0.3">
      <c r="A316" s="20">
        <v>46015</v>
      </c>
      <c r="B316" s="20" t="s">
        <v>3167</v>
      </c>
      <c r="C316" s="19" t="s">
        <v>5</v>
      </c>
      <c r="D316" s="19" t="s">
        <v>2576</v>
      </c>
      <c r="E316" s="4">
        <v>0.95</v>
      </c>
      <c r="F316" s="42">
        <v>4.2</v>
      </c>
      <c r="G316" s="45">
        <v>256</v>
      </c>
      <c r="H316" s="22">
        <v>2</v>
      </c>
      <c r="I316" s="6">
        <f t="shared" si="4"/>
        <v>2042.8799999999999</v>
      </c>
      <c r="J316" s="7" t="s">
        <v>3162</v>
      </c>
    </row>
    <row r="317" spans="1:10" ht="13.95" customHeight="1" x14ac:dyDescent="0.3">
      <c r="A317" s="20">
        <v>46016</v>
      </c>
      <c r="B317" s="20" t="s">
        <v>3167</v>
      </c>
      <c r="C317" s="19" t="s">
        <v>8</v>
      </c>
      <c r="D317" s="19" t="s">
        <v>3037</v>
      </c>
      <c r="E317" s="4">
        <v>0.95</v>
      </c>
      <c r="F317" s="42">
        <v>3.8</v>
      </c>
      <c r="G317" s="45">
        <v>256</v>
      </c>
      <c r="H317" s="22">
        <v>2</v>
      </c>
      <c r="I317" s="6">
        <f t="shared" si="4"/>
        <v>1848.32</v>
      </c>
      <c r="J317" s="7" t="s">
        <v>1834</v>
      </c>
    </row>
    <row r="318" spans="1:10" ht="13.95" customHeight="1" x14ac:dyDescent="0.3">
      <c r="A318" s="20">
        <v>46017</v>
      </c>
      <c r="B318" s="20" t="s">
        <v>3167</v>
      </c>
      <c r="C318" s="19" t="s">
        <v>11</v>
      </c>
      <c r="D318" s="19" t="s">
        <v>3163</v>
      </c>
      <c r="E318" s="4">
        <v>0.9</v>
      </c>
      <c r="F318" s="42">
        <v>3.4</v>
      </c>
      <c r="G318" s="45">
        <v>256</v>
      </c>
      <c r="H318" s="22">
        <v>2</v>
      </c>
      <c r="I318" s="6">
        <f t="shared" si="4"/>
        <v>1566.72</v>
      </c>
      <c r="J318" s="7" t="s">
        <v>303</v>
      </c>
    </row>
    <row r="319" spans="1:10" ht="13.95" customHeight="1" x14ac:dyDescent="0.3">
      <c r="A319" s="20">
        <v>46018</v>
      </c>
      <c r="B319" s="20" t="s">
        <v>3167</v>
      </c>
      <c r="C319" s="19" t="s">
        <v>13</v>
      </c>
      <c r="D319" s="19" t="s">
        <v>3164</v>
      </c>
      <c r="E319" s="4">
        <v>1</v>
      </c>
      <c r="F319" s="42">
        <v>4.0999999999999996</v>
      </c>
      <c r="G319" s="45">
        <v>256</v>
      </c>
      <c r="H319" s="22">
        <v>2</v>
      </c>
      <c r="I319" s="6">
        <f t="shared" si="4"/>
        <v>2099.1999999999998</v>
      </c>
      <c r="J319" s="7" t="s">
        <v>3165</v>
      </c>
    </row>
    <row r="320" spans="1:10" ht="13.95" customHeight="1" x14ac:dyDescent="0.3">
      <c r="A320" s="20">
        <v>46019</v>
      </c>
      <c r="B320" s="20" t="s">
        <v>3167</v>
      </c>
      <c r="C320" s="19" t="s">
        <v>16</v>
      </c>
      <c r="D320" s="19" t="s">
        <v>3002</v>
      </c>
      <c r="E320" s="4">
        <v>0.95</v>
      </c>
      <c r="F320" s="42">
        <v>3.6</v>
      </c>
      <c r="G320" s="45">
        <v>256</v>
      </c>
      <c r="H320" s="22">
        <v>2</v>
      </c>
      <c r="I320" s="6">
        <f t="shared" si="4"/>
        <v>1751.04</v>
      </c>
      <c r="J320" s="7" t="s">
        <v>238</v>
      </c>
    </row>
    <row r="321" spans="1:10" ht="13.95" customHeight="1" x14ac:dyDescent="0.3">
      <c r="A321" s="20">
        <v>46020</v>
      </c>
      <c r="B321" s="20" t="s">
        <v>3167</v>
      </c>
      <c r="C321" s="19" t="s">
        <v>18</v>
      </c>
      <c r="D321" s="19" t="s">
        <v>1565</v>
      </c>
      <c r="E321" s="4">
        <v>0.95</v>
      </c>
      <c r="F321" s="42">
        <v>3</v>
      </c>
      <c r="G321" s="45">
        <v>256</v>
      </c>
      <c r="H321" s="22">
        <v>2</v>
      </c>
      <c r="I321" s="6">
        <f t="shared" si="4"/>
        <v>1459.1999999999998</v>
      </c>
      <c r="J321" s="7" t="s">
        <v>1449</v>
      </c>
    </row>
    <row r="322" spans="1:10" ht="13.95" customHeight="1" x14ac:dyDescent="0.3">
      <c r="A322" s="20">
        <v>46021</v>
      </c>
      <c r="B322" s="20" t="s">
        <v>3167</v>
      </c>
      <c r="C322" s="19" t="s">
        <v>20</v>
      </c>
      <c r="D322" s="19" t="s">
        <v>1565</v>
      </c>
      <c r="E322" s="4">
        <v>1</v>
      </c>
      <c r="F322" s="42">
        <v>3.2</v>
      </c>
      <c r="G322" s="45">
        <v>256</v>
      </c>
      <c r="H322" s="22">
        <v>2</v>
      </c>
      <c r="I322" s="6">
        <f t="shared" si="4"/>
        <v>1638.4</v>
      </c>
      <c r="J322" s="7" t="s">
        <v>2283</v>
      </c>
    </row>
    <row r="323" spans="1:10" ht="13.95" customHeight="1" x14ac:dyDescent="0.3">
      <c r="A323" s="20">
        <v>46022</v>
      </c>
      <c r="B323" s="20" t="s">
        <v>3167</v>
      </c>
      <c r="C323" s="19" t="s">
        <v>5</v>
      </c>
      <c r="D323" s="19" t="s">
        <v>3041</v>
      </c>
      <c r="E323" s="4">
        <v>1</v>
      </c>
      <c r="F323" s="42">
        <v>5.0999999999999996</v>
      </c>
      <c r="G323" s="45">
        <v>256</v>
      </c>
      <c r="H323" s="22">
        <v>2</v>
      </c>
      <c r="I323" s="6">
        <f t="shared" ref="I323" si="5">(G323*E323)*F323*H323</f>
        <v>2611.1999999999998</v>
      </c>
      <c r="J323" s="7" t="s">
        <v>3166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A0827-092C-4470-9FE5-863EF9A04CAA}">
  <sheetPr>
    <tabColor rgb="FFFFFF00"/>
  </sheetPr>
  <dimension ref="A1:L367"/>
  <sheetViews>
    <sheetView topLeftCell="A340" workbookViewId="0">
      <selection activeCell="G367" sqref="G367"/>
    </sheetView>
  </sheetViews>
  <sheetFormatPr baseColWidth="10" defaultRowHeight="14.4" x14ac:dyDescent="0.3"/>
  <cols>
    <col min="1" max="1" width="12.5546875" customWidth="1"/>
    <col min="2" max="2" width="19.5546875" bestFit="1" customWidth="1"/>
    <col min="4" max="4" width="19.6640625" bestFit="1" customWidth="1"/>
    <col min="10" max="10" width="29.88671875" bestFit="1" customWidth="1"/>
  </cols>
  <sheetData>
    <row r="1" spans="1:12" ht="28.2" thickBot="1" x14ac:dyDescent="0.35">
      <c r="A1" s="1" t="s">
        <v>333</v>
      </c>
      <c r="B1" s="1" t="s">
        <v>1637</v>
      </c>
      <c r="C1" s="34" t="s">
        <v>0</v>
      </c>
      <c r="D1" s="34" t="s">
        <v>1</v>
      </c>
      <c r="E1" s="37" t="s">
        <v>2</v>
      </c>
      <c r="F1" s="43" t="s">
        <v>3</v>
      </c>
      <c r="G1" s="47" t="s">
        <v>359</v>
      </c>
      <c r="H1" s="35" t="s">
        <v>360</v>
      </c>
      <c r="I1" s="47" t="s">
        <v>361</v>
      </c>
      <c r="J1" s="25" t="s">
        <v>4</v>
      </c>
      <c r="K1">
        <v>250</v>
      </c>
      <c r="L1">
        <v>2.2999999999999998</v>
      </c>
    </row>
    <row r="2" spans="1:12" ht="13.95" customHeight="1" x14ac:dyDescent="0.3">
      <c r="A2" s="20">
        <v>45658</v>
      </c>
      <c r="B2" s="20" t="s">
        <v>3237</v>
      </c>
      <c r="C2" s="19" t="s">
        <v>5</v>
      </c>
      <c r="D2" s="19" t="s">
        <v>2859</v>
      </c>
      <c r="E2" s="4">
        <v>0.9</v>
      </c>
      <c r="F2" s="42">
        <v>3.8</v>
      </c>
      <c r="G2" s="45">
        <v>250</v>
      </c>
      <c r="H2" s="22">
        <v>2.2999999999999998</v>
      </c>
      <c r="I2" s="6">
        <f>(G2*E2)*F2*H2</f>
        <v>1966.4999999999998</v>
      </c>
      <c r="J2" s="7" t="s">
        <v>2012</v>
      </c>
    </row>
    <row r="3" spans="1:12" ht="13.95" customHeight="1" x14ac:dyDescent="0.3">
      <c r="A3" s="20">
        <v>45659</v>
      </c>
      <c r="B3" s="20" t="s">
        <v>3237</v>
      </c>
      <c r="C3" s="19" t="s">
        <v>8</v>
      </c>
      <c r="D3" s="19" t="s">
        <v>3044</v>
      </c>
      <c r="E3" s="4">
        <v>0.5</v>
      </c>
      <c r="F3" s="42">
        <v>2.2000000000000002</v>
      </c>
      <c r="G3" s="45">
        <v>250</v>
      </c>
      <c r="H3" s="22">
        <v>2.2999999999999998</v>
      </c>
      <c r="I3" s="6">
        <f>(G3*E3)*F3*H3</f>
        <v>632.5</v>
      </c>
      <c r="J3" s="7" t="s">
        <v>1639</v>
      </c>
    </row>
    <row r="4" spans="1:12" ht="13.95" customHeight="1" x14ac:dyDescent="0.3">
      <c r="A4" s="20">
        <v>45660</v>
      </c>
      <c r="B4" s="20" t="s">
        <v>3237</v>
      </c>
      <c r="C4" s="19" t="s">
        <v>11</v>
      </c>
      <c r="D4" s="19" t="s">
        <v>14</v>
      </c>
      <c r="E4" s="4">
        <v>0.45</v>
      </c>
      <c r="F4" s="42">
        <v>2.4</v>
      </c>
      <c r="G4" s="45">
        <v>250</v>
      </c>
      <c r="H4" s="22">
        <v>2.2999999999999998</v>
      </c>
      <c r="I4" s="6">
        <f t="shared" ref="I4:I67" si="0">(G4*E4)*F4*H4</f>
        <v>621</v>
      </c>
      <c r="J4" s="7" t="s">
        <v>3168</v>
      </c>
    </row>
    <row r="5" spans="1:12" ht="13.95" customHeight="1" x14ac:dyDescent="0.3">
      <c r="A5" s="20">
        <v>45661</v>
      </c>
      <c r="B5" s="20" t="s">
        <v>3237</v>
      </c>
      <c r="C5" s="19" t="s">
        <v>13</v>
      </c>
      <c r="D5" s="19" t="s">
        <v>14</v>
      </c>
      <c r="E5" s="4">
        <v>0.65</v>
      </c>
      <c r="F5" s="42">
        <v>2.8</v>
      </c>
      <c r="G5" s="45">
        <v>250</v>
      </c>
      <c r="H5" s="22">
        <v>2.2999999999999998</v>
      </c>
      <c r="I5" s="6">
        <f t="shared" si="0"/>
        <v>1046.4999999999998</v>
      </c>
      <c r="J5" s="7" t="s">
        <v>1481</v>
      </c>
    </row>
    <row r="6" spans="1:12" ht="13.95" customHeight="1" x14ac:dyDescent="0.3">
      <c r="A6" s="20">
        <v>45662</v>
      </c>
      <c r="B6" s="20" t="s">
        <v>3237</v>
      </c>
      <c r="C6" s="19" t="s">
        <v>16</v>
      </c>
      <c r="D6" s="19" t="s">
        <v>14</v>
      </c>
      <c r="E6" s="4">
        <v>0.6</v>
      </c>
      <c r="F6" s="42">
        <v>2.5</v>
      </c>
      <c r="G6" s="45">
        <v>250</v>
      </c>
      <c r="H6" s="22">
        <v>2.2999999999999998</v>
      </c>
      <c r="I6" s="6">
        <f t="shared" si="0"/>
        <v>862.49999999999989</v>
      </c>
      <c r="J6" s="7" t="s">
        <v>48</v>
      </c>
    </row>
    <row r="7" spans="1:12" ht="13.95" customHeight="1" x14ac:dyDescent="0.3">
      <c r="A7" s="20">
        <v>45663</v>
      </c>
      <c r="B7" s="20" t="s">
        <v>3237</v>
      </c>
      <c r="C7" s="19" t="s">
        <v>18</v>
      </c>
      <c r="D7" s="19" t="s">
        <v>9</v>
      </c>
      <c r="E7" s="4">
        <v>0.3</v>
      </c>
      <c r="F7" s="42">
        <v>2.1</v>
      </c>
      <c r="G7" s="45">
        <v>250</v>
      </c>
      <c r="H7" s="22">
        <v>2.2999999999999998</v>
      </c>
      <c r="I7" s="6">
        <f t="shared" si="0"/>
        <v>362.25</v>
      </c>
      <c r="J7" s="7" t="s">
        <v>3169</v>
      </c>
    </row>
    <row r="8" spans="1:12" ht="13.95" customHeight="1" x14ac:dyDescent="0.3">
      <c r="A8" s="20">
        <v>45664</v>
      </c>
      <c r="B8" s="20" t="s">
        <v>3237</v>
      </c>
      <c r="C8" s="19" t="s">
        <v>20</v>
      </c>
      <c r="D8" s="19" t="s">
        <v>9</v>
      </c>
      <c r="E8" s="4">
        <v>0.3</v>
      </c>
      <c r="F8" s="42">
        <v>2.1</v>
      </c>
      <c r="G8" s="45">
        <v>250</v>
      </c>
      <c r="H8" s="22">
        <v>2.2999999999999998</v>
      </c>
      <c r="I8" s="6">
        <f t="shared" si="0"/>
        <v>362.25</v>
      </c>
      <c r="J8" s="7" t="s">
        <v>88</v>
      </c>
    </row>
    <row r="9" spans="1:12" ht="13.95" customHeight="1" x14ac:dyDescent="0.3">
      <c r="A9" s="20">
        <v>45665</v>
      </c>
      <c r="B9" s="20" t="s">
        <v>3237</v>
      </c>
      <c r="C9" s="19" t="s">
        <v>5</v>
      </c>
      <c r="D9" s="19" t="s">
        <v>9</v>
      </c>
      <c r="E9" s="4">
        <v>0.35</v>
      </c>
      <c r="F9" s="42">
        <v>2.1</v>
      </c>
      <c r="G9" s="45">
        <v>250</v>
      </c>
      <c r="H9" s="22">
        <v>2.2999999999999998</v>
      </c>
      <c r="I9" s="6">
        <f t="shared" si="0"/>
        <v>422.62499999999994</v>
      </c>
      <c r="J9" s="7" t="s">
        <v>88</v>
      </c>
    </row>
    <row r="10" spans="1:12" ht="13.95" customHeight="1" x14ac:dyDescent="0.3">
      <c r="A10" s="20">
        <v>45666</v>
      </c>
      <c r="B10" s="20" t="s">
        <v>3237</v>
      </c>
      <c r="C10" s="19" t="s">
        <v>8</v>
      </c>
      <c r="D10" s="19" t="s">
        <v>9</v>
      </c>
      <c r="E10" s="4">
        <v>0.4</v>
      </c>
      <c r="F10" s="42">
        <v>2.15</v>
      </c>
      <c r="G10" s="45">
        <v>250</v>
      </c>
      <c r="H10" s="22">
        <v>2.2999999999999998</v>
      </c>
      <c r="I10" s="6">
        <f t="shared" si="0"/>
        <v>494.49999999999994</v>
      </c>
      <c r="J10" s="7" t="s">
        <v>3049</v>
      </c>
    </row>
    <row r="11" spans="1:12" ht="13.95" customHeight="1" x14ac:dyDescent="0.3">
      <c r="A11" s="20">
        <v>45667</v>
      </c>
      <c r="B11" s="20" t="s">
        <v>3237</v>
      </c>
      <c r="C11" s="19" t="s">
        <v>11</v>
      </c>
      <c r="D11" s="19" t="s">
        <v>14</v>
      </c>
      <c r="E11" s="4">
        <v>0.5</v>
      </c>
      <c r="F11" s="42">
        <v>2.4</v>
      </c>
      <c r="G11" s="45">
        <v>250</v>
      </c>
      <c r="H11" s="22">
        <v>2.2999999999999998</v>
      </c>
      <c r="I11" s="6">
        <f t="shared" si="0"/>
        <v>690</v>
      </c>
      <c r="J11" s="7" t="s">
        <v>390</v>
      </c>
    </row>
    <row r="12" spans="1:12" ht="13.95" customHeight="1" x14ac:dyDescent="0.3">
      <c r="A12" s="20">
        <v>45668</v>
      </c>
      <c r="B12" s="20" t="s">
        <v>3237</v>
      </c>
      <c r="C12" s="19" t="s">
        <v>13</v>
      </c>
      <c r="D12" s="19" t="s">
        <v>3170</v>
      </c>
      <c r="E12" s="4">
        <v>0.7</v>
      </c>
      <c r="F12" s="42">
        <v>2.9</v>
      </c>
      <c r="G12" s="45">
        <v>250</v>
      </c>
      <c r="H12" s="22">
        <v>2.2999999999999998</v>
      </c>
      <c r="I12" s="6">
        <f t="shared" si="0"/>
        <v>1167.25</v>
      </c>
      <c r="J12" s="7" t="s">
        <v>3171</v>
      </c>
    </row>
    <row r="13" spans="1:12" ht="13.95" customHeight="1" x14ac:dyDescent="0.3">
      <c r="A13" s="20">
        <v>45669</v>
      </c>
      <c r="B13" s="20" t="s">
        <v>3237</v>
      </c>
      <c r="C13" s="19" t="s">
        <v>16</v>
      </c>
      <c r="D13" s="19" t="s">
        <v>3098</v>
      </c>
      <c r="E13" s="4">
        <v>0.65</v>
      </c>
      <c r="F13" s="42">
        <v>2.6</v>
      </c>
      <c r="G13" s="45">
        <v>250</v>
      </c>
      <c r="H13" s="22">
        <v>2.2999999999999998</v>
      </c>
      <c r="I13" s="6">
        <f t="shared" si="0"/>
        <v>971.74999999999989</v>
      </c>
      <c r="J13" s="7" t="s">
        <v>139</v>
      </c>
    </row>
    <row r="14" spans="1:12" ht="13.95" customHeight="1" x14ac:dyDescent="0.3">
      <c r="A14" s="20">
        <v>45670</v>
      </c>
      <c r="B14" s="20" t="s">
        <v>3237</v>
      </c>
      <c r="C14" s="19" t="s">
        <v>18</v>
      </c>
      <c r="D14" s="19" t="s">
        <v>9</v>
      </c>
      <c r="E14" s="4">
        <v>0.3</v>
      </c>
      <c r="F14" s="42">
        <v>2.1</v>
      </c>
      <c r="G14" s="45">
        <v>250</v>
      </c>
      <c r="H14" s="22">
        <v>2.2999999999999998</v>
      </c>
      <c r="I14" s="6">
        <f t="shared" si="0"/>
        <v>362.25</v>
      </c>
      <c r="J14" s="7" t="s">
        <v>150</v>
      </c>
    </row>
    <row r="15" spans="1:12" ht="13.95" customHeight="1" x14ac:dyDescent="0.3">
      <c r="A15" s="20">
        <v>45671</v>
      </c>
      <c r="B15" s="20" t="s">
        <v>3237</v>
      </c>
      <c r="C15" s="19" t="s">
        <v>20</v>
      </c>
      <c r="D15" s="19" t="s">
        <v>2720</v>
      </c>
      <c r="E15" s="4">
        <v>0.6</v>
      </c>
      <c r="F15" s="42">
        <v>2.7</v>
      </c>
      <c r="G15" s="45">
        <v>250</v>
      </c>
      <c r="H15" s="22">
        <v>2.2999999999999998</v>
      </c>
      <c r="I15" s="6">
        <f t="shared" si="0"/>
        <v>931.49999999999989</v>
      </c>
      <c r="J15" s="7" t="s">
        <v>2192</v>
      </c>
    </row>
    <row r="16" spans="1:12" ht="13.95" customHeight="1" x14ac:dyDescent="0.3">
      <c r="A16" s="20">
        <v>45672</v>
      </c>
      <c r="B16" s="20" t="s">
        <v>3237</v>
      </c>
      <c r="C16" s="19" t="s">
        <v>5</v>
      </c>
      <c r="D16" s="19" t="s">
        <v>9</v>
      </c>
      <c r="E16" s="4">
        <v>0.35</v>
      </c>
      <c r="F16" s="42">
        <v>2.1</v>
      </c>
      <c r="G16" s="45">
        <v>250</v>
      </c>
      <c r="H16" s="22">
        <v>2.2999999999999998</v>
      </c>
      <c r="I16" s="6">
        <f t="shared" si="0"/>
        <v>422.62499999999994</v>
      </c>
      <c r="J16" s="7" t="s">
        <v>88</v>
      </c>
    </row>
    <row r="17" spans="1:10" ht="13.95" customHeight="1" x14ac:dyDescent="0.3">
      <c r="A17" s="20">
        <v>45673</v>
      </c>
      <c r="B17" s="20" t="s">
        <v>3237</v>
      </c>
      <c r="C17" s="19" t="s">
        <v>8</v>
      </c>
      <c r="D17" s="19" t="s">
        <v>9</v>
      </c>
      <c r="E17" s="4">
        <v>0.35</v>
      </c>
      <c r="F17" s="42">
        <v>2.1</v>
      </c>
      <c r="G17" s="45">
        <v>250</v>
      </c>
      <c r="H17" s="22">
        <v>2.2999999999999998</v>
      </c>
      <c r="I17" s="6">
        <f t="shared" si="0"/>
        <v>422.62499999999994</v>
      </c>
      <c r="J17" s="7" t="s">
        <v>88</v>
      </c>
    </row>
    <row r="18" spans="1:10" ht="13.95" customHeight="1" x14ac:dyDescent="0.3">
      <c r="A18" s="20">
        <v>45674</v>
      </c>
      <c r="B18" s="20" t="s">
        <v>3237</v>
      </c>
      <c r="C18" s="19" t="s">
        <v>11</v>
      </c>
      <c r="D18" s="19" t="s">
        <v>14</v>
      </c>
      <c r="E18" s="4">
        <v>0.5</v>
      </c>
      <c r="F18" s="42">
        <v>2.4</v>
      </c>
      <c r="G18" s="45">
        <v>250</v>
      </c>
      <c r="H18" s="22">
        <v>2.2999999999999998</v>
      </c>
      <c r="I18" s="6">
        <f t="shared" si="0"/>
        <v>690</v>
      </c>
      <c r="J18" s="7" t="s">
        <v>1266</v>
      </c>
    </row>
    <row r="19" spans="1:10" ht="13.95" customHeight="1" x14ac:dyDescent="0.3">
      <c r="A19" s="20">
        <v>45675</v>
      </c>
      <c r="B19" s="20" t="s">
        <v>3237</v>
      </c>
      <c r="C19" s="19" t="s">
        <v>13</v>
      </c>
      <c r="D19" s="19" t="s">
        <v>3156</v>
      </c>
      <c r="E19" s="4">
        <v>0.7</v>
      </c>
      <c r="F19" s="42">
        <v>2.9</v>
      </c>
      <c r="G19" s="45">
        <v>250</v>
      </c>
      <c r="H19" s="22">
        <v>2.2999999999999998</v>
      </c>
      <c r="I19" s="6">
        <f t="shared" si="0"/>
        <v>1167.25</v>
      </c>
      <c r="J19" s="7" t="s">
        <v>3052</v>
      </c>
    </row>
    <row r="20" spans="1:10" ht="13.95" customHeight="1" x14ac:dyDescent="0.3">
      <c r="A20" s="20">
        <v>45676</v>
      </c>
      <c r="B20" s="20" t="s">
        <v>3237</v>
      </c>
      <c r="C20" s="19" t="s">
        <v>16</v>
      </c>
      <c r="D20" s="19" t="s">
        <v>3098</v>
      </c>
      <c r="E20" s="4">
        <v>0.65</v>
      </c>
      <c r="F20" s="42">
        <v>2.6</v>
      </c>
      <c r="G20" s="45">
        <v>250</v>
      </c>
      <c r="H20" s="22">
        <v>2.2999999999999998</v>
      </c>
      <c r="I20" s="6">
        <f t="shared" si="0"/>
        <v>971.74999999999989</v>
      </c>
      <c r="J20" s="7" t="s">
        <v>68</v>
      </c>
    </row>
    <row r="21" spans="1:10" ht="13.95" customHeight="1" x14ac:dyDescent="0.3">
      <c r="A21" s="20">
        <v>45677</v>
      </c>
      <c r="B21" s="20" t="s">
        <v>3237</v>
      </c>
      <c r="C21" s="19" t="s">
        <v>18</v>
      </c>
      <c r="D21" s="19" t="s">
        <v>9</v>
      </c>
      <c r="E21" s="4">
        <v>0.3</v>
      </c>
      <c r="F21" s="42">
        <v>2.1</v>
      </c>
      <c r="G21" s="45">
        <v>250</v>
      </c>
      <c r="H21" s="22">
        <v>2.2999999999999998</v>
      </c>
      <c r="I21" s="6">
        <f t="shared" si="0"/>
        <v>362.25</v>
      </c>
      <c r="J21" s="7" t="s">
        <v>150</v>
      </c>
    </row>
    <row r="22" spans="1:10" ht="13.95" customHeight="1" x14ac:dyDescent="0.3">
      <c r="A22" s="20">
        <v>45678</v>
      </c>
      <c r="B22" s="20" t="s">
        <v>3237</v>
      </c>
      <c r="C22" s="19" t="s">
        <v>20</v>
      </c>
      <c r="D22" s="19" t="s">
        <v>9</v>
      </c>
      <c r="E22" s="4">
        <v>0.3</v>
      </c>
      <c r="F22" s="42">
        <v>2.1</v>
      </c>
      <c r="G22" s="45">
        <v>250</v>
      </c>
      <c r="H22" s="22">
        <v>2.2999999999999998</v>
      </c>
      <c r="I22" s="6">
        <f t="shared" si="0"/>
        <v>362.25</v>
      </c>
      <c r="J22" s="7" t="s">
        <v>88</v>
      </c>
    </row>
    <row r="23" spans="1:10" ht="13.95" customHeight="1" x14ac:dyDescent="0.3">
      <c r="A23" s="20">
        <v>45679</v>
      </c>
      <c r="B23" s="20" t="s">
        <v>3237</v>
      </c>
      <c r="C23" s="19" t="s">
        <v>5</v>
      </c>
      <c r="D23" s="19" t="s">
        <v>9</v>
      </c>
      <c r="E23" s="4">
        <v>0.35</v>
      </c>
      <c r="F23" s="42">
        <v>2.1</v>
      </c>
      <c r="G23" s="45">
        <v>250</v>
      </c>
      <c r="H23" s="22">
        <v>2.2999999999999998</v>
      </c>
      <c r="I23" s="6">
        <f t="shared" si="0"/>
        <v>422.62499999999994</v>
      </c>
      <c r="J23" s="7" t="s">
        <v>88</v>
      </c>
    </row>
    <row r="24" spans="1:10" ht="13.95" customHeight="1" x14ac:dyDescent="0.3">
      <c r="A24" s="20">
        <v>45680</v>
      </c>
      <c r="B24" s="20" t="s">
        <v>3237</v>
      </c>
      <c r="C24" s="19" t="s">
        <v>8</v>
      </c>
      <c r="D24" s="19" t="s">
        <v>9</v>
      </c>
      <c r="E24" s="4">
        <v>0.4</v>
      </c>
      <c r="F24" s="42">
        <v>2.2000000000000002</v>
      </c>
      <c r="G24" s="45">
        <v>250</v>
      </c>
      <c r="H24" s="22">
        <v>2.2999999999999998</v>
      </c>
      <c r="I24" s="6">
        <f t="shared" si="0"/>
        <v>506</v>
      </c>
      <c r="J24" s="7" t="s">
        <v>88</v>
      </c>
    </row>
    <row r="25" spans="1:10" ht="13.95" customHeight="1" x14ac:dyDescent="0.3">
      <c r="A25" s="20">
        <v>45681</v>
      </c>
      <c r="B25" s="20" t="s">
        <v>3237</v>
      </c>
      <c r="C25" s="19" t="s">
        <v>11</v>
      </c>
      <c r="D25" s="19" t="s">
        <v>14</v>
      </c>
      <c r="E25" s="4">
        <v>0.55000000000000004</v>
      </c>
      <c r="F25" s="42">
        <v>2.5</v>
      </c>
      <c r="G25" s="45">
        <v>250</v>
      </c>
      <c r="H25" s="22">
        <v>2.2999999999999998</v>
      </c>
      <c r="I25" s="6">
        <f t="shared" si="0"/>
        <v>790.62499999999989</v>
      </c>
      <c r="J25" s="7" t="s">
        <v>282</v>
      </c>
    </row>
    <row r="26" spans="1:10" ht="13.95" customHeight="1" x14ac:dyDescent="0.3">
      <c r="A26" s="20">
        <v>45682</v>
      </c>
      <c r="B26" s="20" t="s">
        <v>3237</v>
      </c>
      <c r="C26" s="19" t="s">
        <v>13</v>
      </c>
      <c r="D26" s="19" t="s">
        <v>3172</v>
      </c>
      <c r="E26" s="4">
        <v>0.75</v>
      </c>
      <c r="F26" s="42">
        <v>3</v>
      </c>
      <c r="G26" s="45">
        <v>250</v>
      </c>
      <c r="H26" s="22">
        <v>2.2999999999999998</v>
      </c>
      <c r="I26" s="6">
        <f t="shared" si="0"/>
        <v>1293.75</v>
      </c>
      <c r="J26" s="7" t="s">
        <v>3173</v>
      </c>
    </row>
    <row r="27" spans="1:10" ht="13.95" customHeight="1" x14ac:dyDescent="0.3">
      <c r="A27" s="20">
        <v>45683</v>
      </c>
      <c r="B27" s="20" t="s">
        <v>3237</v>
      </c>
      <c r="C27" s="19" t="s">
        <v>16</v>
      </c>
      <c r="D27" s="19" t="s">
        <v>3098</v>
      </c>
      <c r="E27" s="4">
        <v>0.7</v>
      </c>
      <c r="F27" s="42">
        <v>2.7</v>
      </c>
      <c r="G27" s="45">
        <v>250</v>
      </c>
      <c r="H27" s="22">
        <v>2.2999999999999998</v>
      </c>
      <c r="I27" s="6">
        <f t="shared" si="0"/>
        <v>1086.75</v>
      </c>
      <c r="J27" s="7" t="s">
        <v>139</v>
      </c>
    </row>
    <row r="28" spans="1:10" ht="13.95" customHeight="1" x14ac:dyDescent="0.3">
      <c r="A28" s="20">
        <v>45684</v>
      </c>
      <c r="B28" s="20" t="s">
        <v>3237</v>
      </c>
      <c r="C28" s="19" t="s">
        <v>18</v>
      </c>
      <c r="D28" s="19" t="s">
        <v>9</v>
      </c>
      <c r="E28" s="4">
        <v>0.3</v>
      </c>
      <c r="F28" s="42">
        <v>2.1</v>
      </c>
      <c r="G28" s="45">
        <v>250</v>
      </c>
      <c r="H28" s="22">
        <v>2.2999999999999998</v>
      </c>
      <c r="I28" s="6">
        <f t="shared" si="0"/>
        <v>362.25</v>
      </c>
      <c r="J28" s="7" t="s">
        <v>88</v>
      </c>
    </row>
    <row r="29" spans="1:10" ht="13.95" customHeight="1" x14ac:dyDescent="0.3">
      <c r="A29" s="20">
        <v>45685</v>
      </c>
      <c r="B29" s="20" t="s">
        <v>3237</v>
      </c>
      <c r="C29" s="19" t="s">
        <v>20</v>
      </c>
      <c r="D29" s="19" t="s">
        <v>9</v>
      </c>
      <c r="E29" s="4">
        <v>0.3</v>
      </c>
      <c r="F29" s="42">
        <v>2.1</v>
      </c>
      <c r="G29" s="45">
        <v>250</v>
      </c>
      <c r="H29" s="22">
        <v>2.2999999999999998</v>
      </c>
      <c r="I29" s="6">
        <f t="shared" si="0"/>
        <v>362.25</v>
      </c>
      <c r="J29" s="7" t="s">
        <v>88</v>
      </c>
    </row>
    <row r="30" spans="1:10" ht="13.95" customHeight="1" x14ac:dyDescent="0.3">
      <c r="A30" s="20">
        <v>45686</v>
      </c>
      <c r="B30" s="20" t="s">
        <v>3237</v>
      </c>
      <c r="C30" s="19" t="s">
        <v>5</v>
      </c>
      <c r="D30" s="19" t="s">
        <v>9</v>
      </c>
      <c r="E30" s="4">
        <v>0.35</v>
      </c>
      <c r="F30" s="42">
        <v>2.1</v>
      </c>
      <c r="G30" s="45">
        <v>250</v>
      </c>
      <c r="H30" s="22">
        <v>2.2999999999999998</v>
      </c>
      <c r="I30" s="6">
        <f t="shared" si="0"/>
        <v>422.62499999999994</v>
      </c>
      <c r="J30" s="7" t="s">
        <v>88</v>
      </c>
    </row>
    <row r="31" spans="1:10" ht="13.95" customHeight="1" x14ac:dyDescent="0.3">
      <c r="A31" s="20">
        <v>45687</v>
      </c>
      <c r="B31" s="20" t="s">
        <v>3237</v>
      </c>
      <c r="C31" s="19" t="s">
        <v>8</v>
      </c>
      <c r="D31" s="19" t="s">
        <v>9</v>
      </c>
      <c r="E31" s="4">
        <v>0.4</v>
      </c>
      <c r="F31" s="42">
        <v>2.2000000000000002</v>
      </c>
      <c r="G31" s="45">
        <v>250</v>
      </c>
      <c r="H31" s="22">
        <v>2.2999999999999998</v>
      </c>
      <c r="I31" s="6">
        <f t="shared" si="0"/>
        <v>506</v>
      </c>
      <c r="J31" s="7" t="s">
        <v>82</v>
      </c>
    </row>
    <row r="32" spans="1:10" ht="13.95" customHeight="1" x14ac:dyDescent="0.3">
      <c r="A32" s="20">
        <v>45688</v>
      </c>
      <c r="B32" s="20" t="s">
        <v>3237</v>
      </c>
      <c r="C32" s="19" t="s">
        <v>11</v>
      </c>
      <c r="D32" s="19" t="s">
        <v>14</v>
      </c>
      <c r="E32" s="4">
        <v>0.55000000000000004</v>
      </c>
      <c r="F32" s="42">
        <v>2.6</v>
      </c>
      <c r="G32" s="45">
        <v>250</v>
      </c>
      <c r="H32" s="22">
        <v>2.2999999999999998</v>
      </c>
      <c r="I32" s="6">
        <f t="shared" si="0"/>
        <v>822.24999999999989</v>
      </c>
      <c r="J32" s="7" t="s">
        <v>99</v>
      </c>
    </row>
    <row r="33" spans="1:10" ht="13.95" customHeight="1" x14ac:dyDescent="0.3">
      <c r="A33" s="20">
        <v>45689</v>
      </c>
      <c r="B33" s="20" t="s">
        <v>3237</v>
      </c>
      <c r="C33" s="19" t="s">
        <v>13</v>
      </c>
      <c r="D33" s="19" t="s">
        <v>14</v>
      </c>
      <c r="E33" s="4">
        <v>0.7</v>
      </c>
      <c r="F33" s="42">
        <v>2.85</v>
      </c>
      <c r="G33" s="45">
        <v>250</v>
      </c>
      <c r="H33" s="22">
        <v>2.4</v>
      </c>
      <c r="I33" s="6">
        <f t="shared" si="0"/>
        <v>1197</v>
      </c>
      <c r="J33" s="7" t="s">
        <v>1336</v>
      </c>
    </row>
    <row r="34" spans="1:10" ht="13.95" customHeight="1" x14ac:dyDescent="0.3">
      <c r="A34" s="20">
        <v>45690</v>
      </c>
      <c r="B34" s="20" t="s">
        <v>3237</v>
      </c>
      <c r="C34" s="19" t="s">
        <v>16</v>
      </c>
      <c r="D34" s="19" t="s">
        <v>14</v>
      </c>
      <c r="E34" s="4">
        <v>0.65</v>
      </c>
      <c r="F34" s="42">
        <v>2.6</v>
      </c>
      <c r="G34" s="45">
        <v>250</v>
      </c>
      <c r="H34" s="22">
        <v>2.4</v>
      </c>
      <c r="I34" s="6">
        <f t="shared" si="0"/>
        <v>1014</v>
      </c>
      <c r="J34" s="7" t="s">
        <v>3174</v>
      </c>
    </row>
    <row r="35" spans="1:10" ht="13.95" customHeight="1" x14ac:dyDescent="0.3">
      <c r="A35" s="20">
        <v>45691</v>
      </c>
      <c r="B35" s="20" t="s">
        <v>3237</v>
      </c>
      <c r="C35" s="19" t="s">
        <v>18</v>
      </c>
      <c r="D35" s="19" t="s">
        <v>9</v>
      </c>
      <c r="E35" s="4">
        <v>0.35</v>
      </c>
      <c r="F35" s="42">
        <v>2.15</v>
      </c>
      <c r="G35" s="45">
        <v>250</v>
      </c>
      <c r="H35" s="22">
        <v>2.4</v>
      </c>
      <c r="I35" s="6">
        <f t="shared" si="0"/>
        <v>451.5</v>
      </c>
      <c r="J35" s="7" t="s">
        <v>2194</v>
      </c>
    </row>
    <row r="36" spans="1:10" ht="13.95" customHeight="1" x14ac:dyDescent="0.3">
      <c r="A36" s="20">
        <v>45692</v>
      </c>
      <c r="B36" s="20" t="s">
        <v>3237</v>
      </c>
      <c r="C36" s="19" t="s">
        <v>20</v>
      </c>
      <c r="D36" s="19" t="s">
        <v>9</v>
      </c>
      <c r="E36" s="4">
        <v>0.35</v>
      </c>
      <c r="F36" s="42">
        <v>2.15</v>
      </c>
      <c r="G36" s="45">
        <v>250</v>
      </c>
      <c r="H36" s="22">
        <v>2.4</v>
      </c>
      <c r="I36" s="6">
        <f t="shared" si="0"/>
        <v>451.5</v>
      </c>
      <c r="J36" s="7" t="s">
        <v>88</v>
      </c>
    </row>
    <row r="37" spans="1:10" ht="13.95" customHeight="1" x14ac:dyDescent="0.3">
      <c r="A37" s="20">
        <v>45693</v>
      </c>
      <c r="B37" s="20" t="s">
        <v>3237</v>
      </c>
      <c r="C37" s="19" t="s">
        <v>5</v>
      </c>
      <c r="D37" s="19" t="s">
        <v>9</v>
      </c>
      <c r="E37" s="4">
        <v>0.4</v>
      </c>
      <c r="F37" s="42">
        <v>2.15</v>
      </c>
      <c r="G37" s="45">
        <v>250</v>
      </c>
      <c r="H37" s="22">
        <v>2.4</v>
      </c>
      <c r="I37" s="6">
        <f t="shared" si="0"/>
        <v>516</v>
      </c>
      <c r="J37" s="7" t="s">
        <v>88</v>
      </c>
    </row>
    <row r="38" spans="1:10" ht="13.95" customHeight="1" x14ac:dyDescent="0.3">
      <c r="A38" s="20">
        <v>45694</v>
      </c>
      <c r="B38" s="20" t="s">
        <v>3237</v>
      </c>
      <c r="C38" s="19" t="s">
        <v>8</v>
      </c>
      <c r="D38" s="19" t="s">
        <v>9</v>
      </c>
      <c r="E38" s="4">
        <v>0.45</v>
      </c>
      <c r="F38" s="42">
        <v>2.2000000000000002</v>
      </c>
      <c r="G38" s="45">
        <v>250</v>
      </c>
      <c r="H38" s="22">
        <v>2.4</v>
      </c>
      <c r="I38" s="6">
        <f t="shared" si="0"/>
        <v>594</v>
      </c>
      <c r="J38" s="7" t="s">
        <v>3049</v>
      </c>
    </row>
    <row r="39" spans="1:10" ht="13.95" customHeight="1" x14ac:dyDescent="0.3">
      <c r="A39" s="20">
        <v>45695</v>
      </c>
      <c r="B39" s="20" t="s">
        <v>3237</v>
      </c>
      <c r="C39" s="19" t="s">
        <v>11</v>
      </c>
      <c r="D39" s="19" t="s">
        <v>1564</v>
      </c>
      <c r="E39" s="4">
        <v>0.65</v>
      </c>
      <c r="F39" s="42">
        <v>2.7</v>
      </c>
      <c r="G39" s="45">
        <v>250</v>
      </c>
      <c r="H39" s="22">
        <v>2.4</v>
      </c>
      <c r="I39" s="6">
        <f t="shared" si="0"/>
        <v>1053</v>
      </c>
      <c r="J39" s="7" t="s">
        <v>596</v>
      </c>
    </row>
    <row r="40" spans="1:10" ht="13.95" customHeight="1" x14ac:dyDescent="0.3">
      <c r="A40" s="20">
        <v>45696</v>
      </c>
      <c r="B40" s="20" t="s">
        <v>3237</v>
      </c>
      <c r="C40" s="19" t="s">
        <v>13</v>
      </c>
      <c r="D40" s="19" t="s">
        <v>3147</v>
      </c>
      <c r="E40" s="4">
        <v>0.85</v>
      </c>
      <c r="F40" s="42">
        <v>3.1</v>
      </c>
      <c r="G40" s="45">
        <v>250</v>
      </c>
      <c r="H40" s="22">
        <v>2.4</v>
      </c>
      <c r="I40" s="6">
        <f t="shared" si="0"/>
        <v>1581</v>
      </c>
      <c r="J40" s="7" t="s">
        <v>3175</v>
      </c>
    </row>
    <row r="41" spans="1:10" ht="13.95" customHeight="1" x14ac:dyDescent="0.3">
      <c r="A41" s="20">
        <v>45697</v>
      </c>
      <c r="B41" s="20" t="s">
        <v>3237</v>
      </c>
      <c r="C41" s="19" t="s">
        <v>16</v>
      </c>
      <c r="D41" s="19" t="s">
        <v>3176</v>
      </c>
      <c r="E41" s="4">
        <v>0.8</v>
      </c>
      <c r="F41" s="42">
        <v>2.8</v>
      </c>
      <c r="G41" s="45">
        <v>250</v>
      </c>
      <c r="H41" s="22">
        <v>2.4</v>
      </c>
      <c r="I41" s="6">
        <f t="shared" si="0"/>
        <v>1344</v>
      </c>
      <c r="J41" s="7" t="s">
        <v>3177</v>
      </c>
    </row>
    <row r="42" spans="1:10" ht="13.95" customHeight="1" x14ac:dyDescent="0.3">
      <c r="A42" s="20">
        <v>45698</v>
      </c>
      <c r="B42" s="20" t="s">
        <v>3237</v>
      </c>
      <c r="C42" s="19" t="s">
        <v>18</v>
      </c>
      <c r="D42" s="19" t="s">
        <v>3059</v>
      </c>
      <c r="E42" s="4">
        <v>0.6</v>
      </c>
      <c r="F42" s="42">
        <v>2.4</v>
      </c>
      <c r="G42" s="45">
        <v>250</v>
      </c>
      <c r="H42" s="22">
        <v>2.4</v>
      </c>
      <c r="I42" s="6">
        <f t="shared" si="0"/>
        <v>864</v>
      </c>
      <c r="J42" s="7" t="s">
        <v>3178</v>
      </c>
    </row>
    <row r="43" spans="1:10" ht="13.95" customHeight="1" x14ac:dyDescent="0.3">
      <c r="A43" s="20">
        <v>45699</v>
      </c>
      <c r="B43" s="20" t="s">
        <v>3237</v>
      </c>
      <c r="C43" s="19" t="s">
        <v>20</v>
      </c>
      <c r="D43" s="19" t="s">
        <v>3059</v>
      </c>
      <c r="E43" s="4">
        <v>0.6</v>
      </c>
      <c r="F43" s="42">
        <v>2.4</v>
      </c>
      <c r="G43" s="45">
        <v>250</v>
      </c>
      <c r="H43" s="22">
        <v>2.4</v>
      </c>
      <c r="I43" s="6">
        <f t="shared" si="0"/>
        <v>864</v>
      </c>
      <c r="J43" s="7" t="s">
        <v>2629</v>
      </c>
    </row>
    <row r="44" spans="1:10" ht="13.95" customHeight="1" x14ac:dyDescent="0.3">
      <c r="A44" s="20">
        <v>45700</v>
      </c>
      <c r="B44" s="20" t="s">
        <v>3237</v>
      </c>
      <c r="C44" s="19" t="s">
        <v>5</v>
      </c>
      <c r="D44" s="19" t="s">
        <v>3059</v>
      </c>
      <c r="E44" s="4">
        <v>0.65</v>
      </c>
      <c r="F44" s="42">
        <v>2.4500000000000002</v>
      </c>
      <c r="G44" s="45">
        <v>250</v>
      </c>
      <c r="H44" s="22">
        <v>2.4</v>
      </c>
      <c r="I44" s="6">
        <f t="shared" si="0"/>
        <v>955.50000000000011</v>
      </c>
      <c r="J44" s="7" t="s">
        <v>88</v>
      </c>
    </row>
    <row r="45" spans="1:10" ht="13.95" customHeight="1" x14ac:dyDescent="0.3">
      <c r="A45" s="20">
        <v>45701</v>
      </c>
      <c r="B45" s="20" t="s">
        <v>3237</v>
      </c>
      <c r="C45" s="19" t="s">
        <v>8</v>
      </c>
      <c r="D45" s="19" t="s">
        <v>1411</v>
      </c>
      <c r="E45" s="4">
        <v>0.75</v>
      </c>
      <c r="F45" s="42">
        <v>2.75</v>
      </c>
      <c r="G45" s="45">
        <v>250</v>
      </c>
      <c r="H45" s="22">
        <v>2.4</v>
      </c>
      <c r="I45" s="6">
        <f t="shared" si="0"/>
        <v>1237.5</v>
      </c>
      <c r="J45" s="7" t="s">
        <v>1653</v>
      </c>
    </row>
    <row r="46" spans="1:10" ht="13.95" customHeight="1" x14ac:dyDescent="0.3">
      <c r="A46" s="20">
        <v>45702</v>
      </c>
      <c r="B46" s="20" t="s">
        <v>3237</v>
      </c>
      <c r="C46" s="19" t="s">
        <v>11</v>
      </c>
      <c r="D46" s="19" t="s">
        <v>1939</v>
      </c>
      <c r="E46" s="4">
        <v>0.95</v>
      </c>
      <c r="F46" s="42">
        <v>3.5</v>
      </c>
      <c r="G46" s="45">
        <v>250</v>
      </c>
      <c r="H46" s="22">
        <v>2.4</v>
      </c>
      <c r="I46" s="6">
        <f t="shared" si="0"/>
        <v>1995</v>
      </c>
      <c r="J46" s="7" t="s">
        <v>3179</v>
      </c>
    </row>
    <row r="47" spans="1:10" ht="13.95" customHeight="1" x14ac:dyDescent="0.3">
      <c r="A47" s="20">
        <v>45703</v>
      </c>
      <c r="B47" s="20" t="s">
        <v>3237</v>
      </c>
      <c r="C47" s="19" t="s">
        <v>13</v>
      </c>
      <c r="D47" s="19" t="s">
        <v>2877</v>
      </c>
      <c r="E47" s="4">
        <v>1</v>
      </c>
      <c r="F47" s="42">
        <v>3.2</v>
      </c>
      <c r="G47" s="45">
        <v>250</v>
      </c>
      <c r="H47" s="22">
        <v>2.4</v>
      </c>
      <c r="I47" s="6">
        <f t="shared" si="0"/>
        <v>1920</v>
      </c>
      <c r="J47" s="7" t="s">
        <v>3062</v>
      </c>
    </row>
    <row r="48" spans="1:10" ht="13.95" customHeight="1" x14ac:dyDescent="0.3">
      <c r="A48" s="20">
        <v>45704</v>
      </c>
      <c r="B48" s="20" t="s">
        <v>3237</v>
      </c>
      <c r="C48" s="19" t="s">
        <v>16</v>
      </c>
      <c r="D48" s="19" t="s">
        <v>14</v>
      </c>
      <c r="E48" s="4">
        <v>0.85</v>
      </c>
      <c r="F48" s="42">
        <v>2.75</v>
      </c>
      <c r="G48" s="45">
        <v>250</v>
      </c>
      <c r="H48" s="22">
        <v>2.4</v>
      </c>
      <c r="I48" s="6">
        <f t="shared" si="0"/>
        <v>1402.5</v>
      </c>
      <c r="J48" s="7" t="s">
        <v>3180</v>
      </c>
    </row>
    <row r="49" spans="1:10" ht="13.95" customHeight="1" x14ac:dyDescent="0.3">
      <c r="A49" s="20">
        <v>45705</v>
      </c>
      <c r="B49" s="20" t="s">
        <v>3237</v>
      </c>
      <c r="C49" s="19" t="s">
        <v>18</v>
      </c>
      <c r="D49" s="19" t="s">
        <v>9</v>
      </c>
      <c r="E49" s="4">
        <v>0.4</v>
      </c>
      <c r="F49" s="42">
        <v>2.15</v>
      </c>
      <c r="G49" s="45">
        <v>250</v>
      </c>
      <c r="H49" s="22">
        <v>2.4</v>
      </c>
      <c r="I49" s="6">
        <f t="shared" si="0"/>
        <v>516</v>
      </c>
      <c r="J49" s="7" t="s">
        <v>774</v>
      </c>
    </row>
    <row r="50" spans="1:10" ht="13.95" customHeight="1" x14ac:dyDescent="0.3">
      <c r="A50" s="20">
        <v>45706</v>
      </c>
      <c r="B50" s="20" t="s">
        <v>3237</v>
      </c>
      <c r="C50" s="19" t="s">
        <v>20</v>
      </c>
      <c r="D50" s="19" t="s">
        <v>9</v>
      </c>
      <c r="E50" s="4">
        <v>0.4</v>
      </c>
      <c r="F50" s="42">
        <v>2.15</v>
      </c>
      <c r="G50" s="45">
        <v>250</v>
      </c>
      <c r="H50" s="22">
        <v>2.4</v>
      </c>
      <c r="I50" s="6">
        <f t="shared" si="0"/>
        <v>516</v>
      </c>
      <c r="J50" s="7" t="s">
        <v>88</v>
      </c>
    </row>
    <row r="51" spans="1:10" ht="13.95" customHeight="1" x14ac:dyDescent="0.3">
      <c r="A51" s="20">
        <v>45707</v>
      </c>
      <c r="B51" s="20" t="s">
        <v>3237</v>
      </c>
      <c r="C51" s="19" t="s">
        <v>5</v>
      </c>
      <c r="D51" s="19" t="s">
        <v>9</v>
      </c>
      <c r="E51" s="4">
        <v>0.45</v>
      </c>
      <c r="F51" s="42">
        <v>2.15</v>
      </c>
      <c r="G51" s="45">
        <v>250</v>
      </c>
      <c r="H51" s="22">
        <v>2.4</v>
      </c>
      <c r="I51" s="6">
        <f t="shared" si="0"/>
        <v>580.5</v>
      </c>
      <c r="J51" s="7" t="s">
        <v>88</v>
      </c>
    </row>
    <row r="52" spans="1:10" ht="13.95" customHeight="1" x14ac:dyDescent="0.3">
      <c r="A52" s="20">
        <v>45708</v>
      </c>
      <c r="B52" s="20" t="s">
        <v>3237</v>
      </c>
      <c r="C52" s="19" t="s">
        <v>8</v>
      </c>
      <c r="D52" s="19" t="s">
        <v>9</v>
      </c>
      <c r="E52" s="4">
        <v>0.5</v>
      </c>
      <c r="F52" s="42">
        <v>2.25</v>
      </c>
      <c r="G52" s="45">
        <v>250</v>
      </c>
      <c r="H52" s="22">
        <v>2.4</v>
      </c>
      <c r="I52" s="6">
        <f t="shared" si="0"/>
        <v>675</v>
      </c>
      <c r="J52" s="7" t="s">
        <v>88</v>
      </c>
    </row>
    <row r="53" spans="1:10" ht="13.95" customHeight="1" x14ac:dyDescent="0.3">
      <c r="A53" s="20">
        <v>45709</v>
      </c>
      <c r="B53" s="20" t="s">
        <v>3237</v>
      </c>
      <c r="C53" s="19" t="s">
        <v>11</v>
      </c>
      <c r="D53" s="19" t="s">
        <v>14</v>
      </c>
      <c r="E53" s="4">
        <v>0.65</v>
      </c>
      <c r="F53" s="42">
        <v>2.7</v>
      </c>
      <c r="G53" s="45">
        <v>250</v>
      </c>
      <c r="H53" s="22">
        <v>2.4</v>
      </c>
      <c r="I53" s="6">
        <f t="shared" si="0"/>
        <v>1053</v>
      </c>
      <c r="J53" s="7" t="s">
        <v>390</v>
      </c>
    </row>
    <row r="54" spans="1:10" ht="13.95" customHeight="1" x14ac:dyDescent="0.3">
      <c r="A54" s="20">
        <v>45710</v>
      </c>
      <c r="B54" s="20" t="s">
        <v>3237</v>
      </c>
      <c r="C54" s="19" t="s">
        <v>13</v>
      </c>
      <c r="D54" s="19" t="s">
        <v>3096</v>
      </c>
      <c r="E54" s="4">
        <v>0.8</v>
      </c>
      <c r="F54" s="42">
        <v>3.1</v>
      </c>
      <c r="G54" s="45">
        <v>250</v>
      </c>
      <c r="H54" s="22">
        <v>2.4</v>
      </c>
      <c r="I54" s="6">
        <f t="shared" si="0"/>
        <v>1488</v>
      </c>
      <c r="J54" s="7" t="s">
        <v>3109</v>
      </c>
    </row>
    <row r="55" spans="1:10" ht="13.95" customHeight="1" x14ac:dyDescent="0.3">
      <c r="A55" s="20">
        <v>45711</v>
      </c>
      <c r="B55" s="20" t="s">
        <v>3237</v>
      </c>
      <c r="C55" s="19" t="s">
        <v>16</v>
      </c>
      <c r="D55" s="19" t="s">
        <v>3098</v>
      </c>
      <c r="E55" s="4">
        <v>0.75</v>
      </c>
      <c r="F55" s="42">
        <v>2.8</v>
      </c>
      <c r="G55" s="45">
        <v>250</v>
      </c>
      <c r="H55" s="22">
        <v>2.4</v>
      </c>
      <c r="I55" s="6">
        <f t="shared" si="0"/>
        <v>1260</v>
      </c>
      <c r="J55" s="7" t="s">
        <v>1336</v>
      </c>
    </row>
    <row r="56" spans="1:10" ht="13.95" customHeight="1" x14ac:dyDescent="0.3">
      <c r="A56" s="20">
        <v>45712</v>
      </c>
      <c r="B56" s="20" t="s">
        <v>3237</v>
      </c>
      <c r="C56" s="19" t="s">
        <v>18</v>
      </c>
      <c r="D56" s="19" t="s">
        <v>9</v>
      </c>
      <c r="E56" s="4">
        <v>0.35</v>
      </c>
      <c r="F56" s="42">
        <v>2.15</v>
      </c>
      <c r="G56" s="45">
        <v>250</v>
      </c>
      <c r="H56" s="22">
        <v>2.4</v>
      </c>
      <c r="I56" s="6">
        <f t="shared" si="0"/>
        <v>451.5</v>
      </c>
      <c r="J56" s="7" t="s">
        <v>3066</v>
      </c>
    </row>
    <row r="57" spans="1:10" ht="13.95" customHeight="1" x14ac:dyDescent="0.3">
      <c r="A57" s="20">
        <v>45713</v>
      </c>
      <c r="B57" s="20" t="s">
        <v>3237</v>
      </c>
      <c r="C57" s="19" t="s">
        <v>20</v>
      </c>
      <c r="D57" s="19" t="s">
        <v>9</v>
      </c>
      <c r="E57" s="4">
        <v>0.35</v>
      </c>
      <c r="F57" s="42">
        <v>2.15</v>
      </c>
      <c r="G57" s="45">
        <v>250</v>
      </c>
      <c r="H57" s="22">
        <v>2.4</v>
      </c>
      <c r="I57" s="6">
        <f t="shared" si="0"/>
        <v>451.5</v>
      </c>
      <c r="J57" s="7" t="s">
        <v>88</v>
      </c>
    </row>
    <row r="58" spans="1:10" ht="13.95" customHeight="1" x14ac:dyDescent="0.3">
      <c r="A58" s="20">
        <v>45714</v>
      </c>
      <c r="B58" s="20" t="s">
        <v>3237</v>
      </c>
      <c r="C58" s="19" t="s">
        <v>5</v>
      </c>
      <c r="D58" s="19" t="s">
        <v>9</v>
      </c>
      <c r="E58" s="4">
        <v>0.4</v>
      </c>
      <c r="F58" s="42">
        <v>2.15</v>
      </c>
      <c r="G58" s="45">
        <v>250</v>
      </c>
      <c r="H58" s="22">
        <v>2.4</v>
      </c>
      <c r="I58" s="6">
        <f t="shared" si="0"/>
        <v>516</v>
      </c>
      <c r="J58" s="7" t="s">
        <v>88</v>
      </c>
    </row>
    <row r="59" spans="1:10" ht="13.95" customHeight="1" x14ac:dyDescent="0.3">
      <c r="A59" s="20">
        <v>45715</v>
      </c>
      <c r="B59" s="20" t="s">
        <v>3237</v>
      </c>
      <c r="C59" s="19" t="s">
        <v>8</v>
      </c>
      <c r="D59" s="19" t="s">
        <v>9</v>
      </c>
      <c r="E59" s="4">
        <v>0.45</v>
      </c>
      <c r="F59" s="42">
        <v>2.25</v>
      </c>
      <c r="G59" s="45">
        <v>250</v>
      </c>
      <c r="H59" s="22">
        <v>2.4</v>
      </c>
      <c r="I59" s="6">
        <f t="shared" si="0"/>
        <v>607.5</v>
      </c>
      <c r="J59" s="7" t="s">
        <v>82</v>
      </c>
    </row>
    <row r="60" spans="1:10" ht="13.95" customHeight="1" x14ac:dyDescent="0.3">
      <c r="A60" s="20">
        <v>45716</v>
      </c>
      <c r="B60" s="20" t="s">
        <v>3237</v>
      </c>
      <c r="C60" s="19" t="s">
        <v>11</v>
      </c>
      <c r="D60" s="19" t="s">
        <v>14</v>
      </c>
      <c r="E60" s="4">
        <v>0.6</v>
      </c>
      <c r="F60" s="42">
        <v>2.7</v>
      </c>
      <c r="G60" s="45">
        <v>250</v>
      </c>
      <c r="H60" s="22">
        <v>2.4</v>
      </c>
      <c r="I60" s="6">
        <f t="shared" si="0"/>
        <v>972</v>
      </c>
      <c r="J60" s="7" t="s">
        <v>1416</v>
      </c>
    </row>
    <row r="61" spans="1:10" ht="13.95" customHeight="1" x14ac:dyDescent="0.3">
      <c r="A61" s="20">
        <v>45717</v>
      </c>
      <c r="B61" s="20" t="s">
        <v>3237</v>
      </c>
      <c r="C61" s="19" t="s">
        <v>13</v>
      </c>
      <c r="D61" s="19" t="s">
        <v>3067</v>
      </c>
      <c r="E61" s="4">
        <v>0.6</v>
      </c>
      <c r="F61" s="42">
        <v>3.1</v>
      </c>
      <c r="G61" s="45">
        <v>250</v>
      </c>
      <c r="H61" s="22">
        <v>2.2999999999999998</v>
      </c>
      <c r="I61" s="6">
        <f t="shared" si="0"/>
        <v>1069.5</v>
      </c>
      <c r="J61" s="7" t="s">
        <v>3181</v>
      </c>
    </row>
    <row r="62" spans="1:10" ht="13.95" customHeight="1" x14ac:dyDescent="0.3">
      <c r="A62" s="20">
        <v>45718</v>
      </c>
      <c r="B62" s="20" t="s">
        <v>3237</v>
      </c>
      <c r="C62" s="19" t="s">
        <v>16</v>
      </c>
      <c r="D62" s="19" t="s">
        <v>14</v>
      </c>
      <c r="E62" s="4">
        <v>0.55000000000000004</v>
      </c>
      <c r="F62" s="42">
        <v>2.7</v>
      </c>
      <c r="G62" s="45">
        <v>250</v>
      </c>
      <c r="H62" s="22">
        <v>2.2999999999999998</v>
      </c>
      <c r="I62" s="6">
        <f t="shared" si="0"/>
        <v>853.87499999999989</v>
      </c>
      <c r="J62" s="7" t="s">
        <v>3182</v>
      </c>
    </row>
    <row r="63" spans="1:10" ht="13.95" customHeight="1" x14ac:dyDescent="0.3">
      <c r="A63" s="20">
        <v>45719</v>
      </c>
      <c r="B63" s="20" t="s">
        <v>3237</v>
      </c>
      <c r="C63" s="19" t="s">
        <v>18</v>
      </c>
      <c r="D63" s="19" t="s">
        <v>76</v>
      </c>
      <c r="E63" s="4">
        <v>0.35</v>
      </c>
      <c r="F63" s="42">
        <v>2.2999999999999998</v>
      </c>
      <c r="G63" s="45">
        <v>250</v>
      </c>
      <c r="H63" s="22">
        <v>2.2999999999999998</v>
      </c>
      <c r="I63" s="6">
        <f t="shared" si="0"/>
        <v>462.87499999999989</v>
      </c>
      <c r="J63" s="7" t="s">
        <v>3183</v>
      </c>
    </row>
    <row r="64" spans="1:10" ht="13.95" customHeight="1" x14ac:dyDescent="0.3">
      <c r="A64" s="20">
        <v>45720</v>
      </c>
      <c r="B64" s="20" t="s">
        <v>3237</v>
      </c>
      <c r="C64" s="19" t="s">
        <v>20</v>
      </c>
      <c r="D64" s="19" t="s">
        <v>76</v>
      </c>
      <c r="E64" s="4">
        <v>0.35</v>
      </c>
      <c r="F64" s="42">
        <v>2.2999999999999998</v>
      </c>
      <c r="G64" s="45">
        <v>250</v>
      </c>
      <c r="H64" s="22">
        <v>2.2999999999999998</v>
      </c>
      <c r="I64" s="6">
        <f t="shared" si="0"/>
        <v>462.87499999999989</v>
      </c>
      <c r="J64" s="7" t="s">
        <v>88</v>
      </c>
    </row>
    <row r="65" spans="1:10" ht="13.95" customHeight="1" x14ac:dyDescent="0.3">
      <c r="A65" s="20">
        <v>45721</v>
      </c>
      <c r="B65" s="20" t="s">
        <v>3237</v>
      </c>
      <c r="C65" s="19" t="s">
        <v>5</v>
      </c>
      <c r="D65" s="19" t="s">
        <v>76</v>
      </c>
      <c r="E65" s="4">
        <v>0.35</v>
      </c>
      <c r="F65" s="42">
        <v>2.2999999999999998</v>
      </c>
      <c r="G65" s="45">
        <v>250</v>
      </c>
      <c r="H65" s="22">
        <v>2.2999999999999998</v>
      </c>
      <c r="I65" s="6">
        <f t="shared" si="0"/>
        <v>462.87499999999989</v>
      </c>
      <c r="J65" s="7" t="s">
        <v>88</v>
      </c>
    </row>
    <row r="66" spans="1:10" ht="13.95" customHeight="1" x14ac:dyDescent="0.3">
      <c r="A66" s="20">
        <v>45722</v>
      </c>
      <c r="B66" s="20" t="s">
        <v>3237</v>
      </c>
      <c r="C66" s="19" t="s">
        <v>8</v>
      </c>
      <c r="D66" s="19" t="s">
        <v>3070</v>
      </c>
      <c r="E66" s="4">
        <v>0.5</v>
      </c>
      <c r="F66" s="42">
        <v>2.6</v>
      </c>
      <c r="G66" s="45">
        <v>250</v>
      </c>
      <c r="H66" s="22">
        <v>2.2999999999999998</v>
      </c>
      <c r="I66" s="6">
        <f t="shared" si="0"/>
        <v>747.49999999999989</v>
      </c>
      <c r="J66" s="7" t="s">
        <v>3184</v>
      </c>
    </row>
    <row r="67" spans="1:10" ht="13.95" customHeight="1" x14ac:dyDescent="0.3">
      <c r="A67" s="20">
        <v>45723</v>
      </c>
      <c r="B67" s="20" t="s">
        <v>3237</v>
      </c>
      <c r="C67" s="19" t="s">
        <v>11</v>
      </c>
      <c r="D67" s="19" t="s">
        <v>14</v>
      </c>
      <c r="E67" s="4">
        <v>0.6</v>
      </c>
      <c r="F67" s="42">
        <v>2.8</v>
      </c>
      <c r="G67" s="45">
        <v>250</v>
      </c>
      <c r="H67" s="22">
        <v>2.2999999999999998</v>
      </c>
      <c r="I67" s="6">
        <f t="shared" si="0"/>
        <v>965.99999999999989</v>
      </c>
      <c r="J67" s="7" t="s">
        <v>3072</v>
      </c>
    </row>
    <row r="68" spans="1:10" ht="13.95" customHeight="1" x14ac:dyDescent="0.3">
      <c r="A68" s="20">
        <v>45724</v>
      </c>
      <c r="B68" s="20" t="s">
        <v>3237</v>
      </c>
      <c r="C68" s="19" t="s">
        <v>13</v>
      </c>
      <c r="D68" s="19" t="s">
        <v>3185</v>
      </c>
      <c r="E68" s="4">
        <v>0.75</v>
      </c>
      <c r="F68" s="42">
        <v>3.3</v>
      </c>
      <c r="G68" s="45">
        <v>250</v>
      </c>
      <c r="H68" s="22">
        <v>2.2999999999999998</v>
      </c>
      <c r="I68" s="6">
        <f t="shared" ref="I68:I131" si="1">(G68*E68)*F68*H68</f>
        <v>1423.125</v>
      </c>
      <c r="J68" s="7" t="s">
        <v>3186</v>
      </c>
    </row>
    <row r="69" spans="1:10" ht="13.95" customHeight="1" x14ac:dyDescent="0.3">
      <c r="A69" s="20">
        <v>45725</v>
      </c>
      <c r="B69" s="20" t="s">
        <v>3237</v>
      </c>
      <c r="C69" s="19" t="s">
        <v>16</v>
      </c>
      <c r="D69" s="19" t="s">
        <v>14</v>
      </c>
      <c r="E69" s="4">
        <v>0.65</v>
      </c>
      <c r="F69" s="42">
        <v>2.8</v>
      </c>
      <c r="G69" s="45">
        <v>250</v>
      </c>
      <c r="H69" s="22">
        <v>2.2999999999999998</v>
      </c>
      <c r="I69" s="6">
        <f t="shared" si="1"/>
        <v>1046.4999999999998</v>
      </c>
      <c r="J69" s="7" t="s">
        <v>139</v>
      </c>
    </row>
    <row r="70" spans="1:10" ht="13.95" customHeight="1" x14ac:dyDescent="0.3">
      <c r="A70" s="20">
        <v>45726</v>
      </c>
      <c r="B70" s="20" t="s">
        <v>3237</v>
      </c>
      <c r="C70" s="19" t="s">
        <v>18</v>
      </c>
      <c r="D70" s="19" t="s">
        <v>76</v>
      </c>
      <c r="E70" s="4">
        <v>0.35</v>
      </c>
      <c r="F70" s="42">
        <v>2.2999999999999998</v>
      </c>
      <c r="G70" s="45">
        <v>250</v>
      </c>
      <c r="H70" s="22">
        <v>2.2999999999999998</v>
      </c>
      <c r="I70" s="6">
        <f t="shared" si="1"/>
        <v>462.87499999999989</v>
      </c>
      <c r="J70" s="7" t="s">
        <v>88</v>
      </c>
    </row>
    <row r="71" spans="1:10" ht="13.95" customHeight="1" x14ac:dyDescent="0.3">
      <c r="A71" s="20">
        <v>45727</v>
      </c>
      <c r="B71" s="20" t="s">
        <v>3237</v>
      </c>
      <c r="C71" s="19" t="s">
        <v>20</v>
      </c>
      <c r="D71" s="19" t="s">
        <v>76</v>
      </c>
      <c r="E71" s="4">
        <v>0.35</v>
      </c>
      <c r="F71" s="42">
        <v>2.2999999999999998</v>
      </c>
      <c r="G71" s="45">
        <v>250</v>
      </c>
      <c r="H71" s="22">
        <v>2.2999999999999998</v>
      </c>
      <c r="I71" s="6">
        <f t="shared" si="1"/>
        <v>462.87499999999989</v>
      </c>
      <c r="J71" s="7" t="s">
        <v>88</v>
      </c>
    </row>
    <row r="72" spans="1:10" ht="13.95" customHeight="1" x14ac:dyDescent="0.3">
      <c r="A72" s="20">
        <v>45728</v>
      </c>
      <c r="B72" s="20" t="s">
        <v>3237</v>
      </c>
      <c r="C72" s="19" t="s">
        <v>5</v>
      </c>
      <c r="D72" s="19" t="s">
        <v>76</v>
      </c>
      <c r="E72" s="4">
        <v>0.4</v>
      </c>
      <c r="F72" s="42">
        <v>2.2999999999999998</v>
      </c>
      <c r="G72" s="45">
        <v>250</v>
      </c>
      <c r="H72" s="22">
        <v>2.2999999999999998</v>
      </c>
      <c r="I72" s="6">
        <f t="shared" si="1"/>
        <v>528.99999999999989</v>
      </c>
      <c r="J72" s="7" t="s">
        <v>88</v>
      </c>
    </row>
    <row r="73" spans="1:10" ht="13.95" customHeight="1" x14ac:dyDescent="0.3">
      <c r="A73" s="20">
        <v>45729</v>
      </c>
      <c r="B73" s="20" t="s">
        <v>3237</v>
      </c>
      <c r="C73" s="19" t="s">
        <v>8</v>
      </c>
      <c r="D73" s="19" t="s">
        <v>3070</v>
      </c>
      <c r="E73" s="4">
        <v>0.55000000000000004</v>
      </c>
      <c r="F73" s="42">
        <v>2.7</v>
      </c>
      <c r="G73" s="45">
        <v>250</v>
      </c>
      <c r="H73" s="22">
        <v>2.2999999999999998</v>
      </c>
      <c r="I73" s="6">
        <f t="shared" si="1"/>
        <v>853.87499999999989</v>
      </c>
      <c r="J73" s="7" t="s">
        <v>3075</v>
      </c>
    </row>
    <row r="74" spans="1:10" ht="13.95" customHeight="1" x14ac:dyDescent="0.3">
      <c r="A74" s="20">
        <v>45730</v>
      </c>
      <c r="B74" s="20" t="s">
        <v>3237</v>
      </c>
      <c r="C74" s="19" t="s">
        <v>11</v>
      </c>
      <c r="D74" s="19" t="s">
        <v>14</v>
      </c>
      <c r="E74" s="4">
        <v>0.6</v>
      </c>
      <c r="F74" s="42">
        <v>2.9</v>
      </c>
      <c r="G74" s="45">
        <v>250</v>
      </c>
      <c r="H74" s="22">
        <v>2.2999999999999998</v>
      </c>
      <c r="I74" s="6">
        <f t="shared" si="1"/>
        <v>1000.4999999999999</v>
      </c>
      <c r="J74" s="7" t="s">
        <v>282</v>
      </c>
    </row>
    <row r="75" spans="1:10" ht="13.95" customHeight="1" x14ac:dyDescent="0.3">
      <c r="A75" s="20">
        <v>45731</v>
      </c>
      <c r="B75" s="20" t="s">
        <v>3237</v>
      </c>
      <c r="C75" s="19" t="s">
        <v>13</v>
      </c>
      <c r="D75" s="19" t="s">
        <v>3185</v>
      </c>
      <c r="E75" s="4">
        <v>0.8</v>
      </c>
      <c r="F75" s="42">
        <v>3.4</v>
      </c>
      <c r="G75" s="45">
        <v>250</v>
      </c>
      <c r="H75" s="22">
        <v>2.2999999999999998</v>
      </c>
      <c r="I75" s="6">
        <f t="shared" si="1"/>
        <v>1563.9999999999998</v>
      </c>
      <c r="J75" s="7" t="s">
        <v>3187</v>
      </c>
    </row>
    <row r="76" spans="1:10" ht="13.95" customHeight="1" x14ac:dyDescent="0.3">
      <c r="A76" s="20">
        <v>45732</v>
      </c>
      <c r="B76" s="20" t="s">
        <v>3237</v>
      </c>
      <c r="C76" s="19" t="s">
        <v>16</v>
      </c>
      <c r="D76" s="19" t="s">
        <v>14</v>
      </c>
      <c r="E76" s="4">
        <v>0.7</v>
      </c>
      <c r="F76" s="42">
        <v>2.9</v>
      </c>
      <c r="G76" s="45">
        <v>250</v>
      </c>
      <c r="H76" s="22">
        <v>2.2999999999999998</v>
      </c>
      <c r="I76" s="6">
        <f t="shared" si="1"/>
        <v>1167.25</v>
      </c>
      <c r="J76" s="7" t="s">
        <v>1336</v>
      </c>
    </row>
    <row r="77" spans="1:10" ht="13.95" customHeight="1" x14ac:dyDescent="0.3">
      <c r="A77" s="20">
        <v>45733</v>
      </c>
      <c r="B77" s="20" t="s">
        <v>3237</v>
      </c>
      <c r="C77" s="19" t="s">
        <v>18</v>
      </c>
      <c r="D77" s="19" t="s">
        <v>76</v>
      </c>
      <c r="E77" s="4">
        <v>0.4</v>
      </c>
      <c r="F77" s="42">
        <v>2.2999999999999998</v>
      </c>
      <c r="G77" s="45">
        <v>250</v>
      </c>
      <c r="H77" s="22">
        <v>2.2999999999999998</v>
      </c>
      <c r="I77" s="6">
        <f t="shared" si="1"/>
        <v>528.99999999999989</v>
      </c>
      <c r="J77" s="7" t="s">
        <v>88</v>
      </c>
    </row>
    <row r="78" spans="1:10" ht="13.95" customHeight="1" x14ac:dyDescent="0.3">
      <c r="A78" s="20">
        <v>45734</v>
      </c>
      <c r="B78" s="20" t="s">
        <v>3237</v>
      </c>
      <c r="C78" s="19" t="s">
        <v>20</v>
      </c>
      <c r="D78" s="19" t="s">
        <v>76</v>
      </c>
      <c r="E78" s="4">
        <v>0.4</v>
      </c>
      <c r="F78" s="42">
        <v>2.2999999999999998</v>
      </c>
      <c r="G78" s="45">
        <v>250</v>
      </c>
      <c r="H78" s="22">
        <v>2.2999999999999998</v>
      </c>
      <c r="I78" s="6">
        <f t="shared" si="1"/>
        <v>528.99999999999989</v>
      </c>
      <c r="J78" s="7" t="s">
        <v>88</v>
      </c>
    </row>
    <row r="79" spans="1:10" ht="13.95" customHeight="1" x14ac:dyDescent="0.3">
      <c r="A79" s="20">
        <v>45735</v>
      </c>
      <c r="B79" s="20" t="s">
        <v>3237</v>
      </c>
      <c r="C79" s="19" t="s">
        <v>5</v>
      </c>
      <c r="D79" s="19" t="s">
        <v>76</v>
      </c>
      <c r="E79" s="4">
        <v>0.45</v>
      </c>
      <c r="F79" s="42">
        <v>2.35</v>
      </c>
      <c r="G79" s="45">
        <v>250</v>
      </c>
      <c r="H79" s="22">
        <v>2.2999999999999998</v>
      </c>
      <c r="I79" s="6">
        <f t="shared" si="1"/>
        <v>608.0625</v>
      </c>
      <c r="J79" s="7" t="s">
        <v>88</v>
      </c>
    </row>
    <row r="80" spans="1:10" ht="13.95" customHeight="1" x14ac:dyDescent="0.3">
      <c r="A80" s="20">
        <v>45736</v>
      </c>
      <c r="B80" s="20" t="s">
        <v>3237</v>
      </c>
      <c r="C80" s="19" t="s">
        <v>8</v>
      </c>
      <c r="D80" s="19" t="s">
        <v>2740</v>
      </c>
      <c r="E80" s="4">
        <v>0.75</v>
      </c>
      <c r="F80" s="42">
        <v>3.2</v>
      </c>
      <c r="G80" s="45">
        <v>250</v>
      </c>
      <c r="H80" s="22">
        <v>2.2999999999999998</v>
      </c>
      <c r="I80" s="6">
        <f t="shared" si="1"/>
        <v>1380</v>
      </c>
      <c r="J80" s="7" t="s">
        <v>2230</v>
      </c>
    </row>
    <row r="81" spans="1:10" ht="13.95" customHeight="1" x14ac:dyDescent="0.3">
      <c r="A81" s="20">
        <v>45737</v>
      </c>
      <c r="B81" s="20" t="s">
        <v>3237</v>
      </c>
      <c r="C81" s="19" t="s">
        <v>11</v>
      </c>
      <c r="D81" s="19" t="s">
        <v>14</v>
      </c>
      <c r="E81" s="4">
        <v>0.7</v>
      </c>
      <c r="F81" s="42">
        <v>2.95</v>
      </c>
      <c r="G81" s="45">
        <v>250</v>
      </c>
      <c r="H81" s="22">
        <v>2.2999999999999998</v>
      </c>
      <c r="I81" s="6">
        <f t="shared" si="1"/>
        <v>1187.375</v>
      </c>
      <c r="J81" s="7" t="s">
        <v>197</v>
      </c>
    </row>
    <row r="82" spans="1:10" ht="13.95" customHeight="1" x14ac:dyDescent="0.3">
      <c r="A82" s="20">
        <v>45738</v>
      </c>
      <c r="B82" s="20" t="s">
        <v>3237</v>
      </c>
      <c r="C82" s="19" t="s">
        <v>13</v>
      </c>
      <c r="D82" s="19" t="s">
        <v>3185</v>
      </c>
      <c r="E82" s="4">
        <v>0.85</v>
      </c>
      <c r="F82" s="42">
        <v>3.5</v>
      </c>
      <c r="G82" s="45">
        <v>250</v>
      </c>
      <c r="H82" s="22">
        <v>2.2999999999999998</v>
      </c>
      <c r="I82" s="6">
        <f t="shared" si="1"/>
        <v>1710.6249999999998</v>
      </c>
      <c r="J82" s="7" t="s">
        <v>2102</v>
      </c>
    </row>
    <row r="83" spans="1:10" ht="13.95" customHeight="1" x14ac:dyDescent="0.3">
      <c r="A83" s="20">
        <v>45739</v>
      </c>
      <c r="B83" s="20" t="s">
        <v>3237</v>
      </c>
      <c r="C83" s="19" t="s">
        <v>16</v>
      </c>
      <c r="D83" s="19" t="s">
        <v>14</v>
      </c>
      <c r="E83" s="4">
        <v>0.8</v>
      </c>
      <c r="F83" s="42">
        <v>3</v>
      </c>
      <c r="G83" s="45">
        <v>250</v>
      </c>
      <c r="H83" s="22">
        <v>2.2999999999999998</v>
      </c>
      <c r="I83" s="6">
        <f t="shared" si="1"/>
        <v>1380</v>
      </c>
      <c r="J83" s="7" t="s">
        <v>1336</v>
      </c>
    </row>
    <row r="84" spans="1:10" ht="13.95" customHeight="1" x14ac:dyDescent="0.3">
      <c r="A84" s="20">
        <v>45740</v>
      </c>
      <c r="B84" s="20" t="s">
        <v>3237</v>
      </c>
      <c r="C84" s="19" t="s">
        <v>18</v>
      </c>
      <c r="D84" s="19" t="s">
        <v>76</v>
      </c>
      <c r="E84" s="4">
        <v>0.45</v>
      </c>
      <c r="F84" s="42">
        <v>2.4</v>
      </c>
      <c r="G84" s="45">
        <v>250</v>
      </c>
      <c r="H84" s="22">
        <v>2.2999999999999998</v>
      </c>
      <c r="I84" s="6">
        <f t="shared" si="1"/>
        <v>621</v>
      </c>
      <c r="J84" s="7" t="s">
        <v>88</v>
      </c>
    </row>
    <row r="85" spans="1:10" ht="13.95" customHeight="1" x14ac:dyDescent="0.3">
      <c r="A85" s="20">
        <v>45741</v>
      </c>
      <c r="B85" s="20" t="s">
        <v>3237</v>
      </c>
      <c r="C85" s="19" t="s">
        <v>20</v>
      </c>
      <c r="D85" s="19" t="s">
        <v>76</v>
      </c>
      <c r="E85" s="4">
        <v>0.45</v>
      </c>
      <c r="F85" s="42">
        <v>2.4</v>
      </c>
      <c r="G85" s="45">
        <v>250</v>
      </c>
      <c r="H85" s="22">
        <v>2.2999999999999998</v>
      </c>
      <c r="I85" s="6">
        <f t="shared" si="1"/>
        <v>621</v>
      </c>
      <c r="J85" s="7" t="s">
        <v>88</v>
      </c>
    </row>
    <row r="86" spans="1:10" ht="13.95" customHeight="1" x14ac:dyDescent="0.3">
      <c r="A86" s="20">
        <v>45742</v>
      </c>
      <c r="B86" s="20" t="s">
        <v>3237</v>
      </c>
      <c r="C86" s="19" t="s">
        <v>5</v>
      </c>
      <c r="D86" s="19" t="s">
        <v>76</v>
      </c>
      <c r="E86" s="4">
        <v>0.5</v>
      </c>
      <c r="F86" s="42">
        <v>2.5</v>
      </c>
      <c r="G86" s="45">
        <v>250</v>
      </c>
      <c r="H86" s="22">
        <v>2.2999999999999998</v>
      </c>
      <c r="I86" s="6">
        <f t="shared" si="1"/>
        <v>718.75</v>
      </c>
      <c r="J86" s="7" t="s">
        <v>88</v>
      </c>
    </row>
    <row r="87" spans="1:10" ht="13.95" customHeight="1" x14ac:dyDescent="0.3">
      <c r="A87" s="20">
        <v>45743</v>
      </c>
      <c r="B87" s="20" t="s">
        <v>3237</v>
      </c>
      <c r="C87" s="19" t="s">
        <v>8</v>
      </c>
      <c r="D87" s="19" t="s">
        <v>764</v>
      </c>
      <c r="E87" s="4">
        <v>0.6</v>
      </c>
      <c r="F87" s="42">
        <v>2.7</v>
      </c>
      <c r="G87" s="45">
        <v>250</v>
      </c>
      <c r="H87" s="22">
        <v>2.2999999999999998</v>
      </c>
      <c r="I87" s="6">
        <f t="shared" si="1"/>
        <v>931.49999999999989</v>
      </c>
      <c r="J87" s="7" t="s">
        <v>1440</v>
      </c>
    </row>
    <row r="88" spans="1:10" ht="13.95" customHeight="1" x14ac:dyDescent="0.3">
      <c r="A88" s="20">
        <v>45744</v>
      </c>
      <c r="B88" s="20" t="s">
        <v>3237</v>
      </c>
      <c r="C88" s="19" t="s">
        <v>11</v>
      </c>
      <c r="D88" s="19" t="s">
        <v>764</v>
      </c>
      <c r="E88" s="4">
        <v>0.7</v>
      </c>
      <c r="F88" s="42">
        <v>3.1</v>
      </c>
      <c r="G88" s="45">
        <v>250</v>
      </c>
      <c r="H88" s="22">
        <v>2.2999999999999998</v>
      </c>
      <c r="I88" s="6">
        <f t="shared" si="1"/>
        <v>1247.75</v>
      </c>
      <c r="J88" s="7" t="s">
        <v>2642</v>
      </c>
    </row>
    <row r="89" spans="1:10" ht="13.95" customHeight="1" x14ac:dyDescent="0.3">
      <c r="A89" s="20">
        <v>45745</v>
      </c>
      <c r="B89" s="20" t="s">
        <v>3237</v>
      </c>
      <c r="C89" s="19" t="s">
        <v>13</v>
      </c>
      <c r="D89" s="19" t="s">
        <v>2899</v>
      </c>
      <c r="E89" s="4">
        <v>1</v>
      </c>
      <c r="F89" s="42">
        <v>4.2</v>
      </c>
      <c r="G89" s="45">
        <v>250</v>
      </c>
      <c r="H89" s="22">
        <v>2.2999999999999998</v>
      </c>
      <c r="I89" s="6">
        <f t="shared" si="1"/>
        <v>2415</v>
      </c>
      <c r="J89" s="7" t="s">
        <v>3077</v>
      </c>
    </row>
    <row r="90" spans="1:10" ht="13.95" customHeight="1" x14ac:dyDescent="0.3">
      <c r="A90" s="20">
        <v>45746</v>
      </c>
      <c r="B90" s="20" t="s">
        <v>3237</v>
      </c>
      <c r="C90" s="19" t="s">
        <v>16</v>
      </c>
      <c r="D90" s="19" t="s">
        <v>2899</v>
      </c>
      <c r="E90" s="4">
        <v>1</v>
      </c>
      <c r="F90" s="42">
        <v>3.9</v>
      </c>
      <c r="G90" s="45">
        <v>250</v>
      </c>
      <c r="H90" s="22">
        <v>2.2999999999999998</v>
      </c>
      <c r="I90" s="6">
        <f t="shared" si="1"/>
        <v>2242.5</v>
      </c>
      <c r="J90" s="7" t="s">
        <v>3188</v>
      </c>
    </row>
    <row r="91" spans="1:10" ht="13.95" customHeight="1" x14ac:dyDescent="0.3">
      <c r="A91" s="20">
        <v>45747</v>
      </c>
      <c r="B91" s="20" t="s">
        <v>3237</v>
      </c>
      <c r="C91" s="19" t="s">
        <v>18</v>
      </c>
      <c r="D91" s="19" t="s">
        <v>1314</v>
      </c>
      <c r="E91" s="4">
        <v>0.8</v>
      </c>
      <c r="F91" s="42">
        <v>2.7</v>
      </c>
      <c r="G91" s="45">
        <v>250</v>
      </c>
      <c r="H91" s="22">
        <v>2.2999999999999998</v>
      </c>
      <c r="I91" s="6">
        <f t="shared" si="1"/>
        <v>1242</v>
      </c>
      <c r="J91" s="7" t="s">
        <v>3079</v>
      </c>
    </row>
    <row r="92" spans="1:10" ht="13.95" customHeight="1" x14ac:dyDescent="0.3">
      <c r="A92" s="20">
        <v>45748</v>
      </c>
      <c r="B92" s="20" t="s">
        <v>3237</v>
      </c>
      <c r="C92" s="19" t="s">
        <v>20</v>
      </c>
      <c r="D92" s="19" t="s">
        <v>9</v>
      </c>
      <c r="E92" s="4">
        <v>0.5</v>
      </c>
      <c r="F92" s="42">
        <v>2.2000000000000002</v>
      </c>
      <c r="G92" s="45">
        <v>250</v>
      </c>
      <c r="H92" s="22">
        <v>2.2999999999999998</v>
      </c>
      <c r="I92" s="6">
        <f t="shared" si="1"/>
        <v>632.5</v>
      </c>
      <c r="J92" s="7" t="s">
        <v>1332</v>
      </c>
    </row>
    <row r="93" spans="1:10" ht="13.95" customHeight="1" x14ac:dyDescent="0.3">
      <c r="A93" s="20">
        <v>45749</v>
      </c>
      <c r="B93" s="20" t="s">
        <v>3237</v>
      </c>
      <c r="C93" s="19" t="s">
        <v>5</v>
      </c>
      <c r="D93" s="19" t="s">
        <v>9</v>
      </c>
      <c r="E93" s="4">
        <v>0.5</v>
      </c>
      <c r="F93" s="42">
        <v>2.2000000000000002</v>
      </c>
      <c r="G93" s="45">
        <v>250</v>
      </c>
      <c r="H93" s="22">
        <v>2.2999999999999998</v>
      </c>
      <c r="I93" s="6">
        <f t="shared" si="1"/>
        <v>632.5</v>
      </c>
      <c r="J93" s="7" t="s">
        <v>2194</v>
      </c>
    </row>
    <row r="94" spans="1:10" ht="13.95" customHeight="1" x14ac:dyDescent="0.3">
      <c r="A94" s="20">
        <v>45750</v>
      </c>
      <c r="B94" s="20" t="s">
        <v>3237</v>
      </c>
      <c r="C94" s="19" t="s">
        <v>8</v>
      </c>
      <c r="D94" s="19" t="s">
        <v>9</v>
      </c>
      <c r="E94" s="4">
        <v>0.55000000000000004</v>
      </c>
      <c r="F94" s="42">
        <v>2.25</v>
      </c>
      <c r="G94" s="45">
        <v>250</v>
      </c>
      <c r="H94" s="22">
        <v>2.2999999999999998</v>
      </c>
      <c r="I94" s="6">
        <f t="shared" si="1"/>
        <v>711.5625</v>
      </c>
      <c r="J94" s="7" t="s">
        <v>3080</v>
      </c>
    </row>
    <row r="95" spans="1:10" ht="13.95" customHeight="1" x14ac:dyDescent="0.3">
      <c r="A95" s="20">
        <v>45751</v>
      </c>
      <c r="B95" s="20" t="s">
        <v>3237</v>
      </c>
      <c r="C95" s="19" t="s">
        <v>11</v>
      </c>
      <c r="D95" s="19" t="s">
        <v>14</v>
      </c>
      <c r="E95" s="4">
        <v>0.7</v>
      </c>
      <c r="F95" s="42">
        <v>2.75</v>
      </c>
      <c r="G95" s="45">
        <v>250</v>
      </c>
      <c r="H95" s="22">
        <v>2.2999999999999998</v>
      </c>
      <c r="I95" s="6">
        <f t="shared" si="1"/>
        <v>1106.875</v>
      </c>
      <c r="J95" s="7" t="s">
        <v>1214</v>
      </c>
    </row>
    <row r="96" spans="1:10" ht="13.95" customHeight="1" x14ac:dyDescent="0.3">
      <c r="A96" s="20">
        <v>45752</v>
      </c>
      <c r="B96" s="20" t="s">
        <v>3237</v>
      </c>
      <c r="C96" s="19" t="s">
        <v>13</v>
      </c>
      <c r="D96" s="19" t="s">
        <v>3096</v>
      </c>
      <c r="E96" s="4">
        <v>0.85</v>
      </c>
      <c r="F96" s="42">
        <v>3.15</v>
      </c>
      <c r="G96" s="45">
        <v>250</v>
      </c>
      <c r="H96" s="22">
        <v>2.2999999999999998</v>
      </c>
      <c r="I96" s="6">
        <f t="shared" si="1"/>
        <v>1539.5624999999998</v>
      </c>
      <c r="J96" s="7" t="s">
        <v>3189</v>
      </c>
    </row>
    <row r="97" spans="1:10" ht="13.95" customHeight="1" x14ac:dyDescent="0.3">
      <c r="A97" s="20">
        <v>45753</v>
      </c>
      <c r="B97" s="20" t="s">
        <v>3237</v>
      </c>
      <c r="C97" s="19" t="s">
        <v>16</v>
      </c>
      <c r="D97" s="19" t="s">
        <v>3098</v>
      </c>
      <c r="E97" s="4">
        <v>0.8</v>
      </c>
      <c r="F97" s="42">
        <v>2.7</v>
      </c>
      <c r="G97" s="45">
        <v>250</v>
      </c>
      <c r="H97" s="22">
        <v>2.2999999999999998</v>
      </c>
      <c r="I97" s="6">
        <f t="shared" si="1"/>
        <v>1242</v>
      </c>
      <c r="J97" s="7" t="s">
        <v>139</v>
      </c>
    </row>
    <row r="98" spans="1:10" ht="13.95" customHeight="1" x14ac:dyDescent="0.3">
      <c r="A98" s="20">
        <v>45754</v>
      </c>
      <c r="B98" s="20" t="s">
        <v>3237</v>
      </c>
      <c r="C98" s="19" t="s">
        <v>18</v>
      </c>
      <c r="D98" s="19" t="s">
        <v>9</v>
      </c>
      <c r="E98" s="4">
        <v>0.55000000000000004</v>
      </c>
      <c r="F98" s="42">
        <v>2.2000000000000002</v>
      </c>
      <c r="G98" s="45">
        <v>250</v>
      </c>
      <c r="H98" s="22">
        <v>2.2999999999999998</v>
      </c>
      <c r="I98" s="6">
        <f t="shared" si="1"/>
        <v>695.75</v>
      </c>
      <c r="J98" s="7" t="s">
        <v>88</v>
      </c>
    </row>
    <row r="99" spans="1:10" ht="13.95" customHeight="1" x14ac:dyDescent="0.3">
      <c r="A99" s="20">
        <v>45755</v>
      </c>
      <c r="B99" s="20" t="s">
        <v>3237</v>
      </c>
      <c r="C99" s="19" t="s">
        <v>20</v>
      </c>
      <c r="D99" s="19" t="s">
        <v>9</v>
      </c>
      <c r="E99" s="4">
        <v>0.55000000000000004</v>
      </c>
      <c r="F99" s="42">
        <v>2.2000000000000002</v>
      </c>
      <c r="G99" s="45">
        <v>250</v>
      </c>
      <c r="H99" s="22">
        <v>2.2999999999999998</v>
      </c>
      <c r="I99" s="6">
        <f t="shared" si="1"/>
        <v>695.75</v>
      </c>
      <c r="J99" s="7" t="s">
        <v>88</v>
      </c>
    </row>
    <row r="100" spans="1:10" ht="13.95" customHeight="1" x14ac:dyDescent="0.3">
      <c r="A100" s="20">
        <v>45756</v>
      </c>
      <c r="B100" s="20" t="s">
        <v>3237</v>
      </c>
      <c r="C100" s="19" t="s">
        <v>5</v>
      </c>
      <c r="D100" s="19" t="s">
        <v>2753</v>
      </c>
      <c r="E100" s="4">
        <v>0.75</v>
      </c>
      <c r="F100" s="42">
        <v>2.9</v>
      </c>
      <c r="G100" s="45">
        <v>250</v>
      </c>
      <c r="H100" s="22">
        <v>2.2999999999999998</v>
      </c>
      <c r="I100" s="6">
        <f t="shared" si="1"/>
        <v>1250.625</v>
      </c>
      <c r="J100" s="7" t="s">
        <v>2192</v>
      </c>
    </row>
    <row r="101" spans="1:10" ht="13.95" customHeight="1" x14ac:dyDescent="0.3">
      <c r="A101" s="20">
        <v>45757</v>
      </c>
      <c r="B101" s="20" t="s">
        <v>3237</v>
      </c>
      <c r="C101" s="19" t="s">
        <v>8</v>
      </c>
      <c r="D101" s="19" t="s">
        <v>9</v>
      </c>
      <c r="E101" s="4">
        <v>0.6</v>
      </c>
      <c r="F101" s="42">
        <v>2.25</v>
      </c>
      <c r="G101" s="45">
        <v>250</v>
      </c>
      <c r="H101" s="22">
        <v>2.2999999999999998</v>
      </c>
      <c r="I101" s="6">
        <f t="shared" si="1"/>
        <v>776.24999999999989</v>
      </c>
      <c r="J101" s="7" t="s">
        <v>3190</v>
      </c>
    </row>
    <row r="102" spans="1:10" ht="13.95" customHeight="1" x14ac:dyDescent="0.3">
      <c r="A102" s="20">
        <v>45758</v>
      </c>
      <c r="B102" s="20" t="s">
        <v>3237</v>
      </c>
      <c r="C102" s="19" t="s">
        <v>11</v>
      </c>
      <c r="D102" s="19" t="s">
        <v>14</v>
      </c>
      <c r="E102" s="4">
        <v>0.75</v>
      </c>
      <c r="F102" s="42">
        <v>2.8</v>
      </c>
      <c r="G102" s="45">
        <v>250</v>
      </c>
      <c r="H102" s="22">
        <v>2.2999999999999998</v>
      </c>
      <c r="I102" s="6">
        <f t="shared" si="1"/>
        <v>1207.5</v>
      </c>
      <c r="J102" s="7" t="s">
        <v>3191</v>
      </c>
    </row>
    <row r="103" spans="1:10" ht="13.95" customHeight="1" x14ac:dyDescent="0.3">
      <c r="A103" s="20">
        <v>45759</v>
      </c>
      <c r="B103" s="20" t="s">
        <v>3237</v>
      </c>
      <c r="C103" s="19" t="s">
        <v>13</v>
      </c>
      <c r="D103" s="19" t="s">
        <v>3155</v>
      </c>
      <c r="E103" s="4">
        <v>0.9</v>
      </c>
      <c r="F103" s="42">
        <v>3.2</v>
      </c>
      <c r="G103" s="45">
        <v>250</v>
      </c>
      <c r="H103" s="22">
        <v>2.2999999999999998</v>
      </c>
      <c r="I103" s="6">
        <f t="shared" si="1"/>
        <v>1655.9999999999998</v>
      </c>
      <c r="J103" s="7" t="s">
        <v>2513</v>
      </c>
    </row>
    <row r="104" spans="1:10" ht="13.95" customHeight="1" x14ac:dyDescent="0.3">
      <c r="A104" s="20">
        <v>45760</v>
      </c>
      <c r="B104" s="20" t="s">
        <v>3237</v>
      </c>
      <c r="C104" s="19" t="s">
        <v>16</v>
      </c>
      <c r="D104" s="19" t="s">
        <v>3098</v>
      </c>
      <c r="E104" s="4">
        <v>0.85</v>
      </c>
      <c r="F104" s="42">
        <v>2.75</v>
      </c>
      <c r="G104" s="45">
        <v>250</v>
      </c>
      <c r="H104" s="22">
        <v>2.2999999999999998</v>
      </c>
      <c r="I104" s="6">
        <f t="shared" si="1"/>
        <v>1344.0625</v>
      </c>
      <c r="J104" s="7" t="s">
        <v>3065</v>
      </c>
    </row>
    <row r="105" spans="1:10" ht="13.95" customHeight="1" x14ac:dyDescent="0.3">
      <c r="A105" s="20">
        <v>45761</v>
      </c>
      <c r="B105" s="20" t="s">
        <v>3237</v>
      </c>
      <c r="C105" s="19" t="s">
        <v>18</v>
      </c>
      <c r="D105" s="19" t="s">
        <v>2833</v>
      </c>
      <c r="E105" s="4">
        <v>0.8</v>
      </c>
      <c r="F105" s="42">
        <v>2.4</v>
      </c>
      <c r="G105" s="45">
        <v>250</v>
      </c>
      <c r="H105" s="22">
        <v>2.2999999999999998</v>
      </c>
      <c r="I105" s="6">
        <f t="shared" si="1"/>
        <v>1104</v>
      </c>
      <c r="J105" s="7" t="s">
        <v>3192</v>
      </c>
    </row>
    <row r="106" spans="1:10" ht="13.95" customHeight="1" x14ac:dyDescent="0.3">
      <c r="A106" s="20">
        <v>45762</v>
      </c>
      <c r="B106" s="20" t="s">
        <v>3237</v>
      </c>
      <c r="C106" s="19" t="s">
        <v>20</v>
      </c>
      <c r="D106" s="19" t="s">
        <v>2833</v>
      </c>
      <c r="E106" s="4">
        <v>0.8</v>
      </c>
      <c r="F106" s="42">
        <v>2.4</v>
      </c>
      <c r="G106" s="45">
        <v>250</v>
      </c>
      <c r="H106" s="22">
        <v>2.2999999999999998</v>
      </c>
      <c r="I106" s="6">
        <f t="shared" si="1"/>
        <v>1104</v>
      </c>
      <c r="J106" s="7" t="s">
        <v>2629</v>
      </c>
    </row>
    <row r="107" spans="1:10" ht="13.95" customHeight="1" x14ac:dyDescent="0.3">
      <c r="A107" s="20">
        <v>45763</v>
      </c>
      <c r="B107" s="20" t="s">
        <v>3237</v>
      </c>
      <c r="C107" s="19" t="s">
        <v>5</v>
      </c>
      <c r="D107" s="19" t="s">
        <v>2833</v>
      </c>
      <c r="E107" s="4">
        <v>0.8</v>
      </c>
      <c r="F107" s="42">
        <v>2.4500000000000002</v>
      </c>
      <c r="G107" s="45">
        <v>250</v>
      </c>
      <c r="H107" s="22">
        <v>2.2999999999999998</v>
      </c>
      <c r="I107" s="6">
        <f t="shared" si="1"/>
        <v>1127</v>
      </c>
      <c r="J107" s="7" t="s">
        <v>88</v>
      </c>
    </row>
    <row r="108" spans="1:10" ht="13.95" customHeight="1" x14ac:dyDescent="0.3">
      <c r="A108" s="20">
        <v>45764</v>
      </c>
      <c r="B108" s="20" t="s">
        <v>3237</v>
      </c>
      <c r="C108" s="19" t="s">
        <v>8</v>
      </c>
      <c r="D108" s="19" t="s">
        <v>2833</v>
      </c>
      <c r="E108" s="4">
        <v>0.85</v>
      </c>
      <c r="F108" s="42">
        <v>2.5</v>
      </c>
      <c r="G108" s="45">
        <v>250</v>
      </c>
      <c r="H108" s="22">
        <v>2.2999999999999998</v>
      </c>
      <c r="I108" s="6">
        <f t="shared" si="1"/>
        <v>1221.875</v>
      </c>
      <c r="J108" s="7" t="s">
        <v>3086</v>
      </c>
    </row>
    <row r="109" spans="1:10" ht="13.95" customHeight="1" x14ac:dyDescent="0.3">
      <c r="A109" s="20">
        <v>45765</v>
      </c>
      <c r="B109" s="20" t="s">
        <v>3237</v>
      </c>
      <c r="C109" s="19" t="s">
        <v>11</v>
      </c>
      <c r="D109" s="19" t="s">
        <v>2909</v>
      </c>
      <c r="E109" s="4">
        <v>0.9</v>
      </c>
      <c r="F109" s="42">
        <v>3.1</v>
      </c>
      <c r="G109" s="45">
        <v>250</v>
      </c>
      <c r="H109" s="22">
        <v>2.2999999999999998</v>
      </c>
      <c r="I109" s="6">
        <f t="shared" si="1"/>
        <v>1604.2499999999998</v>
      </c>
      <c r="J109" s="7" t="s">
        <v>609</v>
      </c>
    </row>
    <row r="110" spans="1:10" ht="13.95" customHeight="1" x14ac:dyDescent="0.3">
      <c r="A110" s="20">
        <v>45766</v>
      </c>
      <c r="B110" s="20" t="s">
        <v>3237</v>
      </c>
      <c r="C110" s="19" t="s">
        <v>13</v>
      </c>
      <c r="D110" s="19" t="s">
        <v>2910</v>
      </c>
      <c r="E110" s="4">
        <v>1</v>
      </c>
      <c r="F110" s="42">
        <v>3.6</v>
      </c>
      <c r="G110" s="45">
        <v>250</v>
      </c>
      <c r="H110" s="22">
        <v>2.2999999999999998</v>
      </c>
      <c r="I110" s="6">
        <f t="shared" si="1"/>
        <v>2070</v>
      </c>
      <c r="J110" s="7" t="s">
        <v>3193</v>
      </c>
    </row>
    <row r="111" spans="1:10" ht="13.95" customHeight="1" x14ac:dyDescent="0.3">
      <c r="A111" s="20">
        <v>45767</v>
      </c>
      <c r="B111" s="20" t="s">
        <v>3237</v>
      </c>
      <c r="C111" s="19" t="s">
        <v>16</v>
      </c>
      <c r="D111" s="19" t="s">
        <v>1774</v>
      </c>
      <c r="E111" s="4">
        <v>1</v>
      </c>
      <c r="F111" s="42">
        <v>3.9</v>
      </c>
      <c r="G111" s="45">
        <v>250</v>
      </c>
      <c r="H111" s="22">
        <v>2.2999999999999998</v>
      </c>
      <c r="I111" s="6">
        <f t="shared" si="1"/>
        <v>2242.5</v>
      </c>
      <c r="J111" s="7" t="s">
        <v>3194</v>
      </c>
    </row>
    <row r="112" spans="1:10" ht="13.95" customHeight="1" x14ac:dyDescent="0.3">
      <c r="A112" s="20">
        <v>45768</v>
      </c>
      <c r="B112" s="20" t="s">
        <v>3237</v>
      </c>
      <c r="C112" s="19" t="s">
        <v>18</v>
      </c>
      <c r="D112" s="19" t="s">
        <v>2912</v>
      </c>
      <c r="E112" s="4">
        <v>0.95</v>
      </c>
      <c r="F112" s="42">
        <v>3.1</v>
      </c>
      <c r="G112" s="45">
        <v>250</v>
      </c>
      <c r="H112" s="22">
        <v>2.2999999999999998</v>
      </c>
      <c r="I112" s="6">
        <f t="shared" si="1"/>
        <v>1693.3749999999998</v>
      </c>
      <c r="J112" s="7" t="s">
        <v>3195</v>
      </c>
    </row>
    <row r="113" spans="1:10" ht="13.95" customHeight="1" x14ac:dyDescent="0.3">
      <c r="A113" s="20">
        <v>45769</v>
      </c>
      <c r="B113" s="20" t="s">
        <v>3237</v>
      </c>
      <c r="C113" s="19" t="s">
        <v>20</v>
      </c>
      <c r="D113" s="19" t="s">
        <v>9</v>
      </c>
      <c r="E113" s="4">
        <v>0.7</v>
      </c>
      <c r="F113" s="42">
        <v>2.25</v>
      </c>
      <c r="G113" s="45">
        <v>250</v>
      </c>
      <c r="H113" s="22">
        <v>2.2999999999999998</v>
      </c>
      <c r="I113" s="6">
        <f t="shared" si="1"/>
        <v>905.62499999999989</v>
      </c>
      <c r="J113" s="7" t="s">
        <v>88</v>
      </c>
    </row>
    <row r="114" spans="1:10" ht="13.95" customHeight="1" x14ac:dyDescent="0.3">
      <c r="A114" s="20">
        <v>45770</v>
      </c>
      <c r="B114" s="20" t="s">
        <v>3237</v>
      </c>
      <c r="C114" s="19" t="s">
        <v>5</v>
      </c>
      <c r="D114" s="19" t="s">
        <v>9</v>
      </c>
      <c r="E114" s="4">
        <v>0.65</v>
      </c>
      <c r="F114" s="42">
        <v>2.25</v>
      </c>
      <c r="G114" s="45">
        <v>250</v>
      </c>
      <c r="H114" s="22">
        <v>2.2999999999999998</v>
      </c>
      <c r="I114" s="6">
        <f t="shared" si="1"/>
        <v>840.93749999999989</v>
      </c>
      <c r="J114" s="7" t="s">
        <v>88</v>
      </c>
    </row>
    <row r="115" spans="1:10" ht="13.95" customHeight="1" x14ac:dyDescent="0.3">
      <c r="A115" s="20">
        <v>45771</v>
      </c>
      <c r="B115" s="20" t="s">
        <v>3237</v>
      </c>
      <c r="C115" s="19" t="s">
        <v>8</v>
      </c>
      <c r="D115" s="19" t="s">
        <v>9</v>
      </c>
      <c r="E115" s="4">
        <v>0.7</v>
      </c>
      <c r="F115" s="42">
        <v>2.2999999999999998</v>
      </c>
      <c r="G115" s="45">
        <v>250</v>
      </c>
      <c r="H115" s="22">
        <v>2.2999999999999998</v>
      </c>
      <c r="I115" s="6">
        <f t="shared" si="1"/>
        <v>925.74999999999977</v>
      </c>
      <c r="J115" s="7" t="s">
        <v>88</v>
      </c>
    </row>
    <row r="116" spans="1:10" ht="13.95" customHeight="1" x14ac:dyDescent="0.3">
      <c r="A116" s="20">
        <v>45772</v>
      </c>
      <c r="B116" s="20" t="s">
        <v>3237</v>
      </c>
      <c r="C116" s="19" t="s">
        <v>11</v>
      </c>
      <c r="D116" s="19" t="s">
        <v>14</v>
      </c>
      <c r="E116" s="4">
        <v>0.75</v>
      </c>
      <c r="F116" s="42">
        <v>2.8</v>
      </c>
      <c r="G116" s="45">
        <v>250</v>
      </c>
      <c r="H116" s="22">
        <v>2.2999999999999998</v>
      </c>
      <c r="I116" s="6">
        <f t="shared" si="1"/>
        <v>1207.5</v>
      </c>
      <c r="J116" s="7" t="s">
        <v>3196</v>
      </c>
    </row>
    <row r="117" spans="1:10" ht="13.95" customHeight="1" x14ac:dyDescent="0.3">
      <c r="A117" s="20">
        <v>45773</v>
      </c>
      <c r="B117" s="20" t="s">
        <v>3237</v>
      </c>
      <c r="C117" s="19" t="s">
        <v>13</v>
      </c>
      <c r="D117" s="19" t="s">
        <v>3096</v>
      </c>
      <c r="E117" s="4">
        <v>0.9</v>
      </c>
      <c r="F117" s="42">
        <v>3.25</v>
      </c>
      <c r="G117" s="45">
        <v>250</v>
      </c>
      <c r="H117" s="22">
        <v>2.2999999999999998</v>
      </c>
      <c r="I117" s="6">
        <f t="shared" si="1"/>
        <v>1681.8749999999998</v>
      </c>
      <c r="J117" s="7" t="s">
        <v>3109</v>
      </c>
    </row>
    <row r="118" spans="1:10" ht="13.95" customHeight="1" x14ac:dyDescent="0.3">
      <c r="A118" s="20">
        <v>45774</v>
      </c>
      <c r="B118" s="20" t="s">
        <v>3237</v>
      </c>
      <c r="C118" s="19" t="s">
        <v>16</v>
      </c>
      <c r="D118" s="19" t="s">
        <v>3098</v>
      </c>
      <c r="E118" s="4">
        <v>0.85</v>
      </c>
      <c r="F118" s="42">
        <v>2.75</v>
      </c>
      <c r="G118" s="45">
        <v>250</v>
      </c>
      <c r="H118" s="22">
        <v>2.2999999999999998</v>
      </c>
      <c r="I118" s="6">
        <f t="shared" si="1"/>
        <v>1344.0625</v>
      </c>
      <c r="J118" s="7" t="s">
        <v>1336</v>
      </c>
    </row>
    <row r="119" spans="1:10" ht="13.95" customHeight="1" x14ac:dyDescent="0.3">
      <c r="A119" s="20">
        <v>45775</v>
      </c>
      <c r="B119" s="20" t="s">
        <v>3237</v>
      </c>
      <c r="C119" s="19" t="s">
        <v>18</v>
      </c>
      <c r="D119" s="19" t="s">
        <v>9</v>
      </c>
      <c r="E119" s="4">
        <v>0.6</v>
      </c>
      <c r="F119" s="42">
        <v>2.2000000000000002</v>
      </c>
      <c r="G119" s="45">
        <v>250</v>
      </c>
      <c r="H119" s="22">
        <v>2.2999999999999998</v>
      </c>
      <c r="I119" s="6">
        <f t="shared" si="1"/>
        <v>758.99999999999989</v>
      </c>
      <c r="J119" s="7" t="s">
        <v>3066</v>
      </c>
    </row>
    <row r="120" spans="1:10" ht="13.95" customHeight="1" x14ac:dyDescent="0.3">
      <c r="A120" s="20">
        <v>45776</v>
      </c>
      <c r="B120" s="20" t="s">
        <v>3237</v>
      </c>
      <c r="C120" s="19" t="s">
        <v>20</v>
      </c>
      <c r="D120" s="19" t="s">
        <v>9</v>
      </c>
      <c r="E120" s="4">
        <v>0.6</v>
      </c>
      <c r="F120" s="42">
        <v>2.2000000000000002</v>
      </c>
      <c r="G120" s="45">
        <v>250</v>
      </c>
      <c r="H120" s="22">
        <v>2.2999999999999998</v>
      </c>
      <c r="I120" s="6">
        <f t="shared" si="1"/>
        <v>758.99999999999989</v>
      </c>
      <c r="J120" s="7" t="s">
        <v>88</v>
      </c>
    </row>
    <row r="121" spans="1:10" ht="13.95" customHeight="1" x14ac:dyDescent="0.3">
      <c r="A121" s="20">
        <v>45777</v>
      </c>
      <c r="B121" s="20" t="s">
        <v>3237</v>
      </c>
      <c r="C121" s="19" t="s">
        <v>5</v>
      </c>
      <c r="D121" s="19" t="s">
        <v>994</v>
      </c>
      <c r="E121" s="4">
        <v>0.85</v>
      </c>
      <c r="F121" s="42">
        <v>3</v>
      </c>
      <c r="G121" s="45">
        <v>250</v>
      </c>
      <c r="H121" s="22">
        <v>2.2999999999999998</v>
      </c>
      <c r="I121" s="6">
        <f t="shared" si="1"/>
        <v>1466.25</v>
      </c>
      <c r="J121" s="7" t="s">
        <v>2765</v>
      </c>
    </row>
    <row r="122" spans="1:10" ht="13.95" customHeight="1" x14ac:dyDescent="0.3">
      <c r="A122" s="20">
        <v>45778</v>
      </c>
      <c r="B122" s="20" t="s">
        <v>3237</v>
      </c>
      <c r="C122" s="19" t="s">
        <v>8</v>
      </c>
      <c r="D122" s="19" t="s">
        <v>2919</v>
      </c>
      <c r="E122" s="4">
        <v>0.95</v>
      </c>
      <c r="F122" s="42">
        <v>3.6</v>
      </c>
      <c r="G122" s="45">
        <v>250</v>
      </c>
      <c r="H122" s="22">
        <v>2.2999999999999998</v>
      </c>
      <c r="I122" s="6">
        <f t="shared" si="1"/>
        <v>1966.4999999999998</v>
      </c>
      <c r="J122" s="7" t="s">
        <v>3088</v>
      </c>
    </row>
    <row r="123" spans="1:10" ht="13.95" customHeight="1" x14ac:dyDescent="0.3">
      <c r="A123" s="20">
        <v>45779</v>
      </c>
      <c r="B123" s="20" t="s">
        <v>3237</v>
      </c>
      <c r="C123" s="19" t="s">
        <v>11</v>
      </c>
      <c r="D123" s="19" t="s">
        <v>3089</v>
      </c>
      <c r="E123" s="4">
        <v>0.85</v>
      </c>
      <c r="F123" s="42">
        <v>3.1</v>
      </c>
      <c r="G123" s="45">
        <v>250</v>
      </c>
      <c r="H123" s="22">
        <v>2.2999999999999998</v>
      </c>
      <c r="I123" s="6">
        <f t="shared" si="1"/>
        <v>1515.1249999999998</v>
      </c>
      <c r="J123" s="7" t="s">
        <v>197</v>
      </c>
    </row>
    <row r="124" spans="1:10" ht="13.95" customHeight="1" x14ac:dyDescent="0.3">
      <c r="A124" s="20">
        <v>45780</v>
      </c>
      <c r="B124" s="20" t="s">
        <v>3237</v>
      </c>
      <c r="C124" s="19" t="s">
        <v>13</v>
      </c>
      <c r="D124" s="19" t="s">
        <v>3096</v>
      </c>
      <c r="E124" s="4">
        <v>0.95</v>
      </c>
      <c r="F124" s="42">
        <v>3.4</v>
      </c>
      <c r="G124" s="45">
        <v>250</v>
      </c>
      <c r="H124" s="22">
        <v>2.2999999999999998</v>
      </c>
      <c r="I124" s="6">
        <f t="shared" si="1"/>
        <v>1857.2499999999998</v>
      </c>
      <c r="J124" s="7" t="s">
        <v>3109</v>
      </c>
    </row>
    <row r="125" spans="1:10" ht="13.95" customHeight="1" x14ac:dyDescent="0.3">
      <c r="A125" s="20">
        <v>45781</v>
      </c>
      <c r="B125" s="20" t="s">
        <v>3237</v>
      </c>
      <c r="C125" s="19" t="s">
        <v>16</v>
      </c>
      <c r="D125" s="19" t="s">
        <v>3098</v>
      </c>
      <c r="E125" s="4">
        <v>0.9</v>
      </c>
      <c r="F125" s="42">
        <v>2.8</v>
      </c>
      <c r="G125" s="45">
        <v>250</v>
      </c>
      <c r="H125" s="22">
        <v>2.2999999999999998</v>
      </c>
      <c r="I125" s="6">
        <f t="shared" si="1"/>
        <v>1449</v>
      </c>
      <c r="J125" s="7" t="s">
        <v>139</v>
      </c>
    </row>
    <row r="126" spans="1:10" ht="13.95" customHeight="1" x14ac:dyDescent="0.3">
      <c r="A126" s="20">
        <v>45782</v>
      </c>
      <c r="B126" s="20" t="s">
        <v>3237</v>
      </c>
      <c r="C126" s="19" t="s">
        <v>18</v>
      </c>
      <c r="D126" s="19" t="s">
        <v>9</v>
      </c>
      <c r="E126" s="4">
        <v>0.6</v>
      </c>
      <c r="F126" s="42">
        <v>2.2000000000000002</v>
      </c>
      <c r="G126" s="45">
        <v>250</v>
      </c>
      <c r="H126" s="22">
        <v>2.2999999999999998</v>
      </c>
      <c r="I126" s="6">
        <f t="shared" si="1"/>
        <v>758.99999999999989</v>
      </c>
      <c r="J126" s="7" t="s">
        <v>2194</v>
      </c>
    </row>
    <row r="127" spans="1:10" ht="13.95" customHeight="1" x14ac:dyDescent="0.3">
      <c r="A127" s="20">
        <v>45783</v>
      </c>
      <c r="B127" s="20" t="s">
        <v>3237</v>
      </c>
      <c r="C127" s="19" t="s">
        <v>20</v>
      </c>
      <c r="D127" s="19" t="s">
        <v>9</v>
      </c>
      <c r="E127" s="4">
        <v>0.6</v>
      </c>
      <c r="F127" s="42">
        <v>2.2000000000000002</v>
      </c>
      <c r="G127" s="45">
        <v>250</v>
      </c>
      <c r="H127" s="22">
        <v>2.2999999999999998</v>
      </c>
      <c r="I127" s="6">
        <f t="shared" si="1"/>
        <v>758.99999999999989</v>
      </c>
      <c r="J127" s="7" t="s">
        <v>88</v>
      </c>
    </row>
    <row r="128" spans="1:10" ht="13.95" customHeight="1" x14ac:dyDescent="0.3">
      <c r="A128" s="20">
        <v>45784</v>
      </c>
      <c r="B128" s="20" t="s">
        <v>3237</v>
      </c>
      <c r="C128" s="19" t="s">
        <v>5</v>
      </c>
      <c r="D128" s="19" t="s">
        <v>9</v>
      </c>
      <c r="E128" s="4">
        <v>0.65</v>
      </c>
      <c r="F128" s="42">
        <v>2.25</v>
      </c>
      <c r="G128" s="45">
        <v>250</v>
      </c>
      <c r="H128" s="22">
        <v>2.2999999999999998</v>
      </c>
      <c r="I128" s="6">
        <f t="shared" si="1"/>
        <v>840.93749999999989</v>
      </c>
      <c r="J128" s="7" t="s">
        <v>88</v>
      </c>
    </row>
    <row r="129" spans="1:10" ht="13.95" customHeight="1" x14ac:dyDescent="0.3">
      <c r="A129" s="20">
        <v>45785</v>
      </c>
      <c r="B129" s="20" t="s">
        <v>3237</v>
      </c>
      <c r="C129" s="19" t="s">
        <v>8</v>
      </c>
      <c r="D129" s="19" t="s">
        <v>9</v>
      </c>
      <c r="E129" s="4">
        <v>0.7</v>
      </c>
      <c r="F129" s="42">
        <v>2.35</v>
      </c>
      <c r="G129" s="45">
        <v>250</v>
      </c>
      <c r="H129" s="22">
        <v>2.2999999999999998</v>
      </c>
      <c r="I129" s="6">
        <f t="shared" si="1"/>
        <v>945.87499999999989</v>
      </c>
      <c r="J129" s="7" t="s">
        <v>3080</v>
      </c>
    </row>
    <row r="130" spans="1:10" ht="13.95" customHeight="1" x14ac:dyDescent="0.3">
      <c r="A130" s="20">
        <v>45786</v>
      </c>
      <c r="B130" s="20" t="s">
        <v>3237</v>
      </c>
      <c r="C130" s="19" t="s">
        <v>11</v>
      </c>
      <c r="D130" s="19" t="s">
        <v>14</v>
      </c>
      <c r="E130" s="4">
        <v>0.75</v>
      </c>
      <c r="F130" s="42">
        <v>2.8</v>
      </c>
      <c r="G130" s="45">
        <v>250</v>
      </c>
      <c r="H130" s="22">
        <v>2.2999999999999998</v>
      </c>
      <c r="I130" s="6">
        <f t="shared" si="1"/>
        <v>1207.5</v>
      </c>
      <c r="J130" s="7" t="s">
        <v>390</v>
      </c>
    </row>
    <row r="131" spans="1:10" ht="13.95" customHeight="1" x14ac:dyDescent="0.3">
      <c r="A131" s="20">
        <v>45787</v>
      </c>
      <c r="B131" s="20" t="s">
        <v>3237</v>
      </c>
      <c r="C131" s="19" t="s">
        <v>13</v>
      </c>
      <c r="D131" s="19" t="s">
        <v>3197</v>
      </c>
      <c r="E131" s="4">
        <v>0.85</v>
      </c>
      <c r="F131" s="42">
        <v>3.2</v>
      </c>
      <c r="G131" s="45">
        <v>250</v>
      </c>
      <c r="H131" s="22">
        <v>2.2999999999999998</v>
      </c>
      <c r="I131" s="6">
        <f t="shared" si="1"/>
        <v>1563.9999999999998</v>
      </c>
      <c r="J131" s="7" t="s">
        <v>3198</v>
      </c>
    </row>
    <row r="132" spans="1:10" ht="13.95" customHeight="1" x14ac:dyDescent="0.3">
      <c r="A132" s="20">
        <v>45788</v>
      </c>
      <c r="B132" s="20" t="s">
        <v>3237</v>
      </c>
      <c r="C132" s="19" t="s">
        <v>16</v>
      </c>
      <c r="D132" s="19" t="s">
        <v>3098</v>
      </c>
      <c r="E132" s="4">
        <v>0.8</v>
      </c>
      <c r="F132" s="42">
        <v>2.75</v>
      </c>
      <c r="G132" s="45">
        <v>250</v>
      </c>
      <c r="H132" s="22">
        <v>2.2999999999999998</v>
      </c>
      <c r="I132" s="6">
        <f t="shared" ref="I132:I195" si="2">(G132*E132)*F132*H132</f>
        <v>1265</v>
      </c>
      <c r="J132" s="7" t="s">
        <v>1336</v>
      </c>
    </row>
    <row r="133" spans="1:10" ht="13.95" customHeight="1" x14ac:dyDescent="0.3">
      <c r="A133" s="20">
        <v>45789</v>
      </c>
      <c r="B133" s="20" t="s">
        <v>3237</v>
      </c>
      <c r="C133" s="19" t="s">
        <v>18</v>
      </c>
      <c r="D133" s="19" t="s">
        <v>9</v>
      </c>
      <c r="E133" s="4">
        <v>0.6</v>
      </c>
      <c r="F133" s="42">
        <v>2.2000000000000002</v>
      </c>
      <c r="G133" s="45">
        <v>250</v>
      </c>
      <c r="H133" s="22">
        <v>2.2999999999999998</v>
      </c>
      <c r="I133" s="6">
        <f t="shared" si="2"/>
        <v>758.99999999999989</v>
      </c>
      <c r="J133" s="7" t="s">
        <v>88</v>
      </c>
    </row>
    <row r="134" spans="1:10" ht="13.95" customHeight="1" x14ac:dyDescent="0.3">
      <c r="A134" s="20">
        <v>45790</v>
      </c>
      <c r="B134" s="20" t="s">
        <v>3237</v>
      </c>
      <c r="C134" s="19" t="s">
        <v>20</v>
      </c>
      <c r="D134" s="19" t="s">
        <v>9</v>
      </c>
      <c r="E134" s="4">
        <v>0.6</v>
      </c>
      <c r="F134" s="42">
        <v>2.2000000000000002</v>
      </c>
      <c r="G134" s="45">
        <v>250</v>
      </c>
      <c r="H134" s="22">
        <v>2.2999999999999998</v>
      </c>
      <c r="I134" s="6">
        <f t="shared" si="2"/>
        <v>758.99999999999989</v>
      </c>
      <c r="J134" s="7" t="s">
        <v>88</v>
      </c>
    </row>
    <row r="135" spans="1:10" ht="13.95" customHeight="1" x14ac:dyDescent="0.3">
      <c r="A135" s="20">
        <v>45791</v>
      </c>
      <c r="B135" s="20" t="s">
        <v>3237</v>
      </c>
      <c r="C135" s="19" t="s">
        <v>5</v>
      </c>
      <c r="D135" s="19" t="s">
        <v>9</v>
      </c>
      <c r="E135" s="4">
        <v>0.65</v>
      </c>
      <c r="F135" s="42">
        <v>2.25</v>
      </c>
      <c r="G135" s="45">
        <v>250</v>
      </c>
      <c r="H135" s="22">
        <v>2.2999999999999998</v>
      </c>
      <c r="I135" s="6">
        <f t="shared" si="2"/>
        <v>840.93749999999989</v>
      </c>
      <c r="J135" s="7" t="s">
        <v>88</v>
      </c>
    </row>
    <row r="136" spans="1:10" ht="13.95" customHeight="1" x14ac:dyDescent="0.3">
      <c r="A136" s="20">
        <v>45792</v>
      </c>
      <c r="B136" s="20" t="s">
        <v>3237</v>
      </c>
      <c r="C136" s="19" t="s">
        <v>8</v>
      </c>
      <c r="D136" s="19" t="s">
        <v>9</v>
      </c>
      <c r="E136" s="4">
        <v>0.65</v>
      </c>
      <c r="F136" s="42">
        <v>2.25</v>
      </c>
      <c r="G136" s="45">
        <v>250</v>
      </c>
      <c r="H136" s="22">
        <v>2.2999999999999998</v>
      </c>
      <c r="I136" s="6">
        <f t="shared" si="2"/>
        <v>840.93749999999989</v>
      </c>
      <c r="J136" s="7" t="s">
        <v>88</v>
      </c>
    </row>
    <row r="137" spans="1:10" ht="13.95" customHeight="1" x14ac:dyDescent="0.3">
      <c r="A137" s="20">
        <v>45793</v>
      </c>
      <c r="B137" s="20" t="s">
        <v>3237</v>
      </c>
      <c r="C137" s="19" t="s">
        <v>11</v>
      </c>
      <c r="D137" s="19" t="s">
        <v>14</v>
      </c>
      <c r="E137" s="4">
        <v>0.75</v>
      </c>
      <c r="F137" s="42">
        <v>2.8</v>
      </c>
      <c r="G137" s="45">
        <v>250</v>
      </c>
      <c r="H137" s="22">
        <v>2.2999999999999998</v>
      </c>
      <c r="I137" s="6">
        <f t="shared" si="2"/>
        <v>1207.5</v>
      </c>
      <c r="J137" s="7" t="s">
        <v>67</v>
      </c>
    </row>
    <row r="138" spans="1:10" ht="13.95" customHeight="1" x14ac:dyDescent="0.3">
      <c r="A138" s="20">
        <v>45794</v>
      </c>
      <c r="B138" s="20" t="s">
        <v>3237</v>
      </c>
      <c r="C138" s="19" t="s">
        <v>13</v>
      </c>
      <c r="D138" s="19" t="s">
        <v>3096</v>
      </c>
      <c r="E138" s="4">
        <v>0.9</v>
      </c>
      <c r="F138" s="42">
        <v>3.3</v>
      </c>
      <c r="G138" s="45">
        <v>250</v>
      </c>
      <c r="H138" s="22">
        <v>2.2999999999999998</v>
      </c>
      <c r="I138" s="6">
        <f t="shared" si="2"/>
        <v>1707.7499999999998</v>
      </c>
      <c r="J138" s="7" t="s">
        <v>2454</v>
      </c>
    </row>
    <row r="139" spans="1:10" ht="13.95" customHeight="1" x14ac:dyDescent="0.3">
      <c r="A139" s="20">
        <v>45795</v>
      </c>
      <c r="B139" s="20" t="s">
        <v>3237</v>
      </c>
      <c r="C139" s="19" t="s">
        <v>16</v>
      </c>
      <c r="D139" s="19" t="s">
        <v>3098</v>
      </c>
      <c r="E139" s="4">
        <v>0.85</v>
      </c>
      <c r="F139" s="42">
        <v>2.8</v>
      </c>
      <c r="G139" s="45">
        <v>250</v>
      </c>
      <c r="H139" s="22">
        <v>2.2999999999999998</v>
      </c>
      <c r="I139" s="6">
        <f t="shared" si="2"/>
        <v>1368.5</v>
      </c>
      <c r="J139" s="7" t="s">
        <v>159</v>
      </c>
    </row>
    <row r="140" spans="1:10" ht="13.95" customHeight="1" x14ac:dyDescent="0.3">
      <c r="A140" s="20">
        <v>45796</v>
      </c>
      <c r="B140" s="20" t="s">
        <v>3237</v>
      </c>
      <c r="C140" s="19" t="s">
        <v>18</v>
      </c>
      <c r="D140" s="19" t="s">
        <v>9</v>
      </c>
      <c r="E140" s="4">
        <v>0.65</v>
      </c>
      <c r="F140" s="42">
        <v>2.25</v>
      </c>
      <c r="G140" s="45">
        <v>250</v>
      </c>
      <c r="H140" s="22">
        <v>2.2999999999999998</v>
      </c>
      <c r="I140" s="6">
        <f t="shared" si="2"/>
        <v>840.93749999999989</v>
      </c>
      <c r="J140" s="7" t="s">
        <v>88</v>
      </c>
    </row>
    <row r="141" spans="1:10" ht="13.95" customHeight="1" x14ac:dyDescent="0.3">
      <c r="A141" s="20">
        <v>45797</v>
      </c>
      <c r="B141" s="20" t="s">
        <v>3237</v>
      </c>
      <c r="C141" s="19" t="s">
        <v>20</v>
      </c>
      <c r="D141" s="19" t="s">
        <v>9</v>
      </c>
      <c r="E141" s="4">
        <v>0.65</v>
      </c>
      <c r="F141" s="42">
        <v>2.25</v>
      </c>
      <c r="G141" s="45">
        <v>250</v>
      </c>
      <c r="H141" s="22">
        <v>2.2999999999999998</v>
      </c>
      <c r="I141" s="6">
        <f t="shared" si="2"/>
        <v>840.93749999999989</v>
      </c>
      <c r="J141" s="7" t="s">
        <v>88</v>
      </c>
    </row>
    <row r="142" spans="1:10" ht="13.95" customHeight="1" x14ac:dyDescent="0.3">
      <c r="A142" s="20">
        <v>45798</v>
      </c>
      <c r="B142" s="20" t="s">
        <v>3237</v>
      </c>
      <c r="C142" s="19" t="s">
        <v>5</v>
      </c>
      <c r="D142" s="19" t="s">
        <v>9</v>
      </c>
      <c r="E142" s="4">
        <v>0.7</v>
      </c>
      <c r="F142" s="42">
        <v>2.2999999999999998</v>
      </c>
      <c r="G142" s="45">
        <v>250</v>
      </c>
      <c r="H142" s="22">
        <v>2.2999999999999998</v>
      </c>
      <c r="I142" s="6">
        <f t="shared" si="2"/>
        <v>925.74999999999977</v>
      </c>
      <c r="J142" s="7" t="s">
        <v>88</v>
      </c>
    </row>
    <row r="143" spans="1:10" ht="13.95" customHeight="1" x14ac:dyDescent="0.3">
      <c r="A143" s="20">
        <v>45799</v>
      </c>
      <c r="B143" s="20" t="s">
        <v>3237</v>
      </c>
      <c r="C143" s="19" t="s">
        <v>8</v>
      </c>
      <c r="D143" s="19" t="s">
        <v>9</v>
      </c>
      <c r="E143" s="4">
        <v>0.75</v>
      </c>
      <c r="F143" s="42">
        <v>2.4</v>
      </c>
      <c r="G143" s="45">
        <v>250</v>
      </c>
      <c r="H143" s="22">
        <v>2.2999999999999998</v>
      </c>
      <c r="I143" s="6">
        <f t="shared" si="2"/>
        <v>1035</v>
      </c>
      <c r="J143" s="7" t="s">
        <v>2517</v>
      </c>
    </row>
    <row r="144" spans="1:10" ht="13.95" customHeight="1" x14ac:dyDescent="0.3">
      <c r="A144" s="20">
        <v>45800</v>
      </c>
      <c r="B144" s="20" t="s">
        <v>3237</v>
      </c>
      <c r="C144" s="19" t="s">
        <v>11</v>
      </c>
      <c r="D144" s="19" t="s">
        <v>14</v>
      </c>
      <c r="E144" s="4">
        <v>0.8</v>
      </c>
      <c r="F144" s="42">
        <v>2.9</v>
      </c>
      <c r="G144" s="45">
        <v>250</v>
      </c>
      <c r="H144" s="22">
        <v>2.2999999999999998</v>
      </c>
      <c r="I144" s="6">
        <f t="shared" si="2"/>
        <v>1334</v>
      </c>
      <c r="J144" s="7" t="s">
        <v>1463</v>
      </c>
    </row>
    <row r="145" spans="1:10" ht="13.95" customHeight="1" x14ac:dyDescent="0.3">
      <c r="A145" s="20">
        <v>45801</v>
      </c>
      <c r="B145" s="20" t="s">
        <v>3237</v>
      </c>
      <c r="C145" s="19" t="s">
        <v>13</v>
      </c>
      <c r="D145" s="19" t="s">
        <v>3199</v>
      </c>
      <c r="E145" s="4">
        <v>0.95</v>
      </c>
      <c r="F145" s="42">
        <v>3.5</v>
      </c>
      <c r="G145" s="45">
        <v>250</v>
      </c>
      <c r="H145" s="22">
        <v>2.2999999999999998</v>
      </c>
      <c r="I145" s="6">
        <f t="shared" si="2"/>
        <v>1911.8749999999998</v>
      </c>
      <c r="J145" s="7" t="s">
        <v>2411</v>
      </c>
    </row>
    <row r="146" spans="1:10" ht="13.95" customHeight="1" x14ac:dyDescent="0.3">
      <c r="A146" s="20">
        <v>45802</v>
      </c>
      <c r="B146" s="20" t="s">
        <v>3237</v>
      </c>
      <c r="C146" s="19" t="s">
        <v>16</v>
      </c>
      <c r="D146" s="19" t="s">
        <v>3098</v>
      </c>
      <c r="E146" s="4">
        <v>0.9</v>
      </c>
      <c r="F146" s="42">
        <v>3</v>
      </c>
      <c r="G146" s="45">
        <v>250</v>
      </c>
      <c r="H146" s="22">
        <v>2.2999999999999998</v>
      </c>
      <c r="I146" s="6">
        <f t="shared" si="2"/>
        <v>1552.4999999999998</v>
      </c>
      <c r="J146" s="7" t="s">
        <v>139</v>
      </c>
    </row>
    <row r="147" spans="1:10" ht="13.95" customHeight="1" x14ac:dyDescent="0.3">
      <c r="A147" s="20">
        <v>45803</v>
      </c>
      <c r="B147" s="20" t="s">
        <v>3237</v>
      </c>
      <c r="C147" s="19" t="s">
        <v>18</v>
      </c>
      <c r="D147" s="19" t="s">
        <v>9</v>
      </c>
      <c r="E147" s="4">
        <v>0.7</v>
      </c>
      <c r="F147" s="42">
        <v>2.2999999999999998</v>
      </c>
      <c r="G147" s="45">
        <v>250</v>
      </c>
      <c r="H147" s="22">
        <v>2.2999999999999998</v>
      </c>
      <c r="I147" s="6">
        <f t="shared" si="2"/>
        <v>925.74999999999977</v>
      </c>
      <c r="J147" s="7" t="s">
        <v>88</v>
      </c>
    </row>
    <row r="148" spans="1:10" ht="13.95" customHeight="1" x14ac:dyDescent="0.3">
      <c r="A148" s="20">
        <v>45804</v>
      </c>
      <c r="B148" s="20" t="s">
        <v>3237</v>
      </c>
      <c r="C148" s="19" t="s">
        <v>20</v>
      </c>
      <c r="D148" s="19" t="s">
        <v>9</v>
      </c>
      <c r="E148" s="4">
        <v>0.7</v>
      </c>
      <c r="F148" s="42">
        <v>2.2999999999999998</v>
      </c>
      <c r="G148" s="45">
        <v>250</v>
      </c>
      <c r="H148" s="22">
        <v>2.2999999999999998</v>
      </c>
      <c r="I148" s="6">
        <f t="shared" si="2"/>
        <v>925.74999999999977</v>
      </c>
      <c r="J148" s="7" t="s">
        <v>88</v>
      </c>
    </row>
    <row r="149" spans="1:10" ht="13.95" customHeight="1" x14ac:dyDescent="0.3">
      <c r="A149" s="20">
        <v>45805</v>
      </c>
      <c r="B149" s="20" t="s">
        <v>3237</v>
      </c>
      <c r="C149" s="19" t="s">
        <v>5</v>
      </c>
      <c r="D149" s="19" t="s">
        <v>9</v>
      </c>
      <c r="E149" s="4">
        <v>0.75</v>
      </c>
      <c r="F149" s="42">
        <v>2.35</v>
      </c>
      <c r="G149" s="45">
        <v>250</v>
      </c>
      <c r="H149" s="22">
        <v>2.2999999999999998</v>
      </c>
      <c r="I149" s="6">
        <f t="shared" si="2"/>
        <v>1013.4374999999999</v>
      </c>
      <c r="J149" s="7" t="s">
        <v>88</v>
      </c>
    </row>
    <row r="150" spans="1:10" ht="13.95" customHeight="1" x14ac:dyDescent="0.3">
      <c r="A150" s="20">
        <v>45806</v>
      </c>
      <c r="B150" s="20" t="s">
        <v>3237</v>
      </c>
      <c r="C150" s="19" t="s">
        <v>8</v>
      </c>
      <c r="D150" s="19" t="s">
        <v>2928</v>
      </c>
      <c r="E150" s="4">
        <v>0.85</v>
      </c>
      <c r="F150" s="42">
        <v>2.95</v>
      </c>
      <c r="G150" s="45">
        <v>250</v>
      </c>
      <c r="H150" s="22">
        <v>2.2999999999999998</v>
      </c>
      <c r="I150" s="6">
        <f t="shared" si="2"/>
        <v>1441.8125</v>
      </c>
      <c r="J150" s="7" t="s">
        <v>3200</v>
      </c>
    </row>
    <row r="151" spans="1:10" ht="13.95" customHeight="1" x14ac:dyDescent="0.3">
      <c r="A151" s="20">
        <v>45807</v>
      </c>
      <c r="B151" s="20" t="s">
        <v>3237</v>
      </c>
      <c r="C151" s="19" t="s">
        <v>11</v>
      </c>
      <c r="D151" s="19" t="s">
        <v>14</v>
      </c>
      <c r="E151" s="4">
        <v>0.9</v>
      </c>
      <c r="F151" s="42">
        <v>3.1</v>
      </c>
      <c r="G151" s="45">
        <v>250</v>
      </c>
      <c r="H151" s="22">
        <v>2.2999999999999998</v>
      </c>
      <c r="I151" s="6">
        <f t="shared" si="2"/>
        <v>1604.2499999999998</v>
      </c>
      <c r="J151" s="7" t="s">
        <v>3201</v>
      </c>
    </row>
    <row r="152" spans="1:10" ht="13.95" customHeight="1" x14ac:dyDescent="0.3">
      <c r="A152" s="20">
        <v>45808</v>
      </c>
      <c r="B152" s="20" t="s">
        <v>3237</v>
      </c>
      <c r="C152" s="19" t="s">
        <v>13</v>
      </c>
      <c r="D152" s="19" t="s">
        <v>3202</v>
      </c>
      <c r="E152" s="4">
        <v>1</v>
      </c>
      <c r="F152" s="42">
        <v>3.7</v>
      </c>
      <c r="G152" s="45">
        <v>250</v>
      </c>
      <c r="H152" s="22">
        <v>2.2999999999999998</v>
      </c>
      <c r="I152" s="6">
        <f t="shared" si="2"/>
        <v>2127.5</v>
      </c>
      <c r="J152" s="7" t="s">
        <v>3062</v>
      </c>
    </row>
    <row r="153" spans="1:10" ht="13.95" customHeight="1" x14ac:dyDescent="0.3">
      <c r="A153" s="20">
        <v>45809</v>
      </c>
      <c r="B153" s="20" t="s">
        <v>3237</v>
      </c>
      <c r="C153" s="19" t="s">
        <v>16</v>
      </c>
      <c r="D153" s="19" t="s">
        <v>829</v>
      </c>
      <c r="E153" s="4">
        <v>0.85</v>
      </c>
      <c r="F153" s="42">
        <v>3.1</v>
      </c>
      <c r="G153" s="45">
        <v>250</v>
      </c>
      <c r="H153" s="22">
        <v>2.4</v>
      </c>
      <c r="I153" s="6">
        <f t="shared" si="2"/>
        <v>1581</v>
      </c>
      <c r="J153" s="7" t="s">
        <v>3203</v>
      </c>
    </row>
    <row r="154" spans="1:10" ht="13.95" customHeight="1" x14ac:dyDescent="0.3">
      <c r="A154" s="20">
        <v>45810</v>
      </c>
      <c r="B154" s="20" t="s">
        <v>3237</v>
      </c>
      <c r="C154" s="19" t="s">
        <v>18</v>
      </c>
      <c r="D154" s="19" t="s">
        <v>9</v>
      </c>
      <c r="E154" s="4">
        <v>0.75</v>
      </c>
      <c r="F154" s="42">
        <v>2.5</v>
      </c>
      <c r="G154" s="45">
        <v>250</v>
      </c>
      <c r="H154" s="22">
        <v>2.4</v>
      </c>
      <c r="I154" s="6">
        <f t="shared" si="2"/>
        <v>1125</v>
      </c>
      <c r="J154" s="7" t="s">
        <v>1332</v>
      </c>
    </row>
    <row r="155" spans="1:10" ht="13.95" customHeight="1" x14ac:dyDescent="0.3">
      <c r="A155" s="20">
        <v>45811</v>
      </c>
      <c r="B155" s="20" t="s">
        <v>3237</v>
      </c>
      <c r="C155" s="19" t="s">
        <v>20</v>
      </c>
      <c r="D155" s="19" t="s">
        <v>9</v>
      </c>
      <c r="E155" s="4">
        <v>0.75</v>
      </c>
      <c r="F155" s="42">
        <v>2.5</v>
      </c>
      <c r="G155" s="45">
        <v>250</v>
      </c>
      <c r="H155" s="22">
        <v>2.4</v>
      </c>
      <c r="I155" s="6">
        <f t="shared" si="2"/>
        <v>1125</v>
      </c>
      <c r="J155" s="7" t="s">
        <v>2194</v>
      </c>
    </row>
    <row r="156" spans="1:10" ht="13.95" customHeight="1" x14ac:dyDescent="0.3">
      <c r="A156" s="20">
        <v>45812</v>
      </c>
      <c r="B156" s="20" t="s">
        <v>3237</v>
      </c>
      <c r="C156" s="19" t="s">
        <v>5</v>
      </c>
      <c r="D156" s="19" t="s">
        <v>9</v>
      </c>
      <c r="E156" s="4">
        <v>0.8</v>
      </c>
      <c r="F156" s="42">
        <v>2.5499999999999998</v>
      </c>
      <c r="G156" s="45">
        <v>250</v>
      </c>
      <c r="H156" s="22">
        <v>2.4</v>
      </c>
      <c r="I156" s="6">
        <f t="shared" si="2"/>
        <v>1223.9999999999998</v>
      </c>
      <c r="J156" s="7" t="s">
        <v>88</v>
      </c>
    </row>
    <row r="157" spans="1:10" ht="13.95" customHeight="1" x14ac:dyDescent="0.3">
      <c r="A157" s="20">
        <v>45813</v>
      </c>
      <c r="B157" s="20" t="s">
        <v>3237</v>
      </c>
      <c r="C157" s="19" t="s">
        <v>8</v>
      </c>
      <c r="D157" s="19" t="s">
        <v>1263</v>
      </c>
      <c r="E157" s="4">
        <v>0.8</v>
      </c>
      <c r="F157" s="42">
        <v>2.7</v>
      </c>
      <c r="G157" s="45">
        <v>250</v>
      </c>
      <c r="H157" s="22">
        <v>2.4</v>
      </c>
      <c r="I157" s="6">
        <f t="shared" si="2"/>
        <v>1296</v>
      </c>
      <c r="J157" s="7" t="s">
        <v>3184</v>
      </c>
    </row>
    <row r="158" spans="1:10" ht="13.95" customHeight="1" x14ac:dyDescent="0.3">
      <c r="A158" s="20">
        <v>45814</v>
      </c>
      <c r="B158" s="20" t="s">
        <v>3237</v>
      </c>
      <c r="C158" s="19" t="s">
        <v>11</v>
      </c>
      <c r="D158" s="19" t="s">
        <v>14</v>
      </c>
      <c r="E158" s="4">
        <v>0.9</v>
      </c>
      <c r="F158" s="42">
        <v>3.2</v>
      </c>
      <c r="G158" s="45">
        <v>250</v>
      </c>
      <c r="H158" s="22">
        <v>2.4</v>
      </c>
      <c r="I158" s="6">
        <f t="shared" si="2"/>
        <v>1728</v>
      </c>
      <c r="J158" s="7" t="s">
        <v>2933</v>
      </c>
    </row>
    <row r="159" spans="1:10" ht="13.95" customHeight="1" x14ac:dyDescent="0.3">
      <c r="A159" s="20">
        <v>45815</v>
      </c>
      <c r="B159" s="20" t="s">
        <v>3237</v>
      </c>
      <c r="C159" s="19" t="s">
        <v>13</v>
      </c>
      <c r="D159" s="19" t="s">
        <v>3091</v>
      </c>
      <c r="E159" s="4">
        <v>1</v>
      </c>
      <c r="F159" s="42">
        <v>3.8</v>
      </c>
      <c r="G159" s="45">
        <v>250</v>
      </c>
      <c r="H159" s="22">
        <v>2.4</v>
      </c>
      <c r="I159" s="6">
        <f t="shared" si="2"/>
        <v>2280</v>
      </c>
      <c r="J159" s="7" t="s">
        <v>3204</v>
      </c>
    </row>
    <row r="160" spans="1:10" ht="13.95" customHeight="1" x14ac:dyDescent="0.3">
      <c r="A160" s="20">
        <v>45816</v>
      </c>
      <c r="B160" s="20" t="s">
        <v>3237</v>
      </c>
      <c r="C160" s="19" t="s">
        <v>16</v>
      </c>
      <c r="D160" s="19" t="s">
        <v>3093</v>
      </c>
      <c r="E160" s="4">
        <v>0.95</v>
      </c>
      <c r="F160" s="42">
        <v>3.2</v>
      </c>
      <c r="G160" s="45">
        <v>250</v>
      </c>
      <c r="H160" s="22">
        <v>2.4</v>
      </c>
      <c r="I160" s="6">
        <f t="shared" si="2"/>
        <v>1824</v>
      </c>
      <c r="J160" s="7" t="s">
        <v>3094</v>
      </c>
    </row>
    <row r="161" spans="1:10" ht="13.95" customHeight="1" x14ac:dyDescent="0.3">
      <c r="A161" s="20">
        <v>45817</v>
      </c>
      <c r="B161" s="20" t="s">
        <v>3237</v>
      </c>
      <c r="C161" s="19" t="s">
        <v>18</v>
      </c>
      <c r="D161" s="19" t="s">
        <v>9</v>
      </c>
      <c r="E161" s="4">
        <v>0.8</v>
      </c>
      <c r="F161" s="42">
        <v>2.6</v>
      </c>
      <c r="G161" s="45">
        <v>250</v>
      </c>
      <c r="H161" s="22">
        <v>2.4</v>
      </c>
      <c r="I161" s="6">
        <f t="shared" si="2"/>
        <v>1248</v>
      </c>
      <c r="J161" s="7" t="s">
        <v>88</v>
      </c>
    </row>
    <row r="162" spans="1:10" ht="13.95" customHeight="1" x14ac:dyDescent="0.3">
      <c r="A162" s="20">
        <v>45818</v>
      </c>
      <c r="B162" s="20" t="s">
        <v>3237</v>
      </c>
      <c r="C162" s="19" t="s">
        <v>20</v>
      </c>
      <c r="D162" s="19" t="s">
        <v>9</v>
      </c>
      <c r="E162" s="4">
        <v>0.8</v>
      </c>
      <c r="F162" s="42">
        <v>2.6</v>
      </c>
      <c r="G162" s="45">
        <v>250</v>
      </c>
      <c r="H162" s="22">
        <v>2.4</v>
      </c>
      <c r="I162" s="6">
        <f t="shared" si="2"/>
        <v>1248</v>
      </c>
      <c r="J162" s="7" t="s">
        <v>88</v>
      </c>
    </row>
    <row r="163" spans="1:10" ht="13.95" customHeight="1" x14ac:dyDescent="0.3">
      <c r="A163" s="20">
        <v>45819</v>
      </c>
      <c r="B163" s="20" t="s">
        <v>3237</v>
      </c>
      <c r="C163" s="19" t="s">
        <v>5</v>
      </c>
      <c r="D163" s="19" t="s">
        <v>9</v>
      </c>
      <c r="E163" s="4">
        <v>0.8</v>
      </c>
      <c r="F163" s="42">
        <v>2.6</v>
      </c>
      <c r="G163" s="45">
        <v>250</v>
      </c>
      <c r="H163" s="22">
        <v>2.4</v>
      </c>
      <c r="I163" s="6">
        <f t="shared" si="2"/>
        <v>1248</v>
      </c>
      <c r="J163" s="7" t="s">
        <v>88</v>
      </c>
    </row>
    <row r="164" spans="1:10" ht="13.95" customHeight="1" x14ac:dyDescent="0.3">
      <c r="A164" s="20">
        <v>45820</v>
      </c>
      <c r="B164" s="20" t="s">
        <v>3237</v>
      </c>
      <c r="C164" s="19" t="s">
        <v>8</v>
      </c>
      <c r="D164" s="19" t="s">
        <v>9</v>
      </c>
      <c r="E164" s="4">
        <v>0.85</v>
      </c>
      <c r="F164" s="42">
        <v>2.75</v>
      </c>
      <c r="G164" s="45">
        <v>250</v>
      </c>
      <c r="H164" s="22">
        <v>2.4</v>
      </c>
      <c r="I164" s="6">
        <f t="shared" si="2"/>
        <v>1402.5</v>
      </c>
      <c r="J164" s="7" t="s">
        <v>3080</v>
      </c>
    </row>
    <row r="165" spans="1:10" ht="13.95" customHeight="1" x14ac:dyDescent="0.3">
      <c r="A165" s="20">
        <v>45821</v>
      </c>
      <c r="B165" s="20" t="s">
        <v>3237</v>
      </c>
      <c r="C165" s="19" t="s">
        <v>11</v>
      </c>
      <c r="D165" s="19" t="s">
        <v>14</v>
      </c>
      <c r="E165" s="4">
        <v>0.9</v>
      </c>
      <c r="F165" s="42">
        <v>3.3</v>
      </c>
      <c r="G165" s="45">
        <v>250</v>
      </c>
      <c r="H165" s="22">
        <v>2.4</v>
      </c>
      <c r="I165" s="6">
        <f t="shared" si="2"/>
        <v>1782</v>
      </c>
      <c r="J165" s="7" t="s">
        <v>2802</v>
      </c>
    </row>
    <row r="166" spans="1:10" ht="13.95" customHeight="1" x14ac:dyDescent="0.3">
      <c r="A166" s="20">
        <v>45822</v>
      </c>
      <c r="B166" s="20" t="s">
        <v>3237</v>
      </c>
      <c r="C166" s="19" t="s">
        <v>13</v>
      </c>
      <c r="D166" s="19" t="s">
        <v>3155</v>
      </c>
      <c r="E166" s="4">
        <v>1</v>
      </c>
      <c r="F166" s="42">
        <v>3.9</v>
      </c>
      <c r="G166" s="45">
        <v>250</v>
      </c>
      <c r="H166" s="22">
        <v>2.4</v>
      </c>
      <c r="I166" s="6">
        <f t="shared" si="2"/>
        <v>2340</v>
      </c>
      <c r="J166" s="7" t="s">
        <v>3109</v>
      </c>
    </row>
    <row r="167" spans="1:10" ht="13.95" customHeight="1" x14ac:dyDescent="0.3">
      <c r="A167" s="20">
        <v>45823</v>
      </c>
      <c r="B167" s="20" t="s">
        <v>3237</v>
      </c>
      <c r="C167" s="19" t="s">
        <v>16</v>
      </c>
      <c r="D167" s="19" t="s">
        <v>3093</v>
      </c>
      <c r="E167" s="4">
        <v>0.95</v>
      </c>
      <c r="F167" s="42">
        <v>3.3</v>
      </c>
      <c r="G167" s="45">
        <v>250</v>
      </c>
      <c r="H167" s="22">
        <v>2.4</v>
      </c>
      <c r="I167" s="6">
        <f t="shared" si="2"/>
        <v>1881</v>
      </c>
      <c r="J167" s="7" t="s">
        <v>1336</v>
      </c>
    </row>
    <row r="168" spans="1:10" ht="13.95" customHeight="1" x14ac:dyDescent="0.3">
      <c r="A168" s="20">
        <v>45824</v>
      </c>
      <c r="B168" s="20" t="s">
        <v>3237</v>
      </c>
      <c r="C168" s="19" t="s">
        <v>18</v>
      </c>
      <c r="D168" s="19" t="s">
        <v>9</v>
      </c>
      <c r="E168" s="4">
        <v>0.85</v>
      </c>
      <c r="F168" s="42">
        <v>2.65</v>
      </c>
      <c r="G168" s="45">
        <v>250</v>
      </c>
      <c r="H168" s="22">
        <v>2.4</v>
      </c>
      <c r="I168" s="6">
        <f t="shared" si="2"/>
        <v>1351.5</v>
      </c>
      <c r="J168" s="7" t="s">
        <v>88</v>
      </c>
    </row>
    <row r="169" spans="1:10" ht="13.95" customHeight="1" x14ac:dyDescent="0.3">
      <c r="A169" s="20">
        <v>45825</v>
      </c>
      <c r="B169" s="20" t="s">
        <v>3237</v>
      </c>
      <c r="C169" s="19" t="s">
        <v>20</v>
      </c>
      <c r="D169" s="19" t="s">
        <v>9</v>
      </c>
      <c r="E169" s="4">
        <v>0.85</v>
      </c>
      <c r="F169" s="42">
        <v>2.65</v>
      </c>
      <c r="G169" s="45">
        <v>250</v>
      </c>
      <c r="H169" s="22">
        <v>2.4</v>
      </c>
      <c r="I169" s="6">
        <f t="shared" si="2"/>
        <v>1351.5</v>
      </c>
      <c r="J169" s="7" t="s">
        <v>88</v>
      </c>
    </row>
    <row r="170" spans="1:10" ht="13.95" customHeight="1" x14ac:dyDescent="0.3">
      <c r="A170" s="20">
        <v>45826</v>
      </c>
      <c r="B170" s="20" t="s">
        <v>3237</v>
      </c>
      <c r="C170" s="19" t="s">
        <v>5</v>
      </c>
      <c r="D170" s="19" t="s">
        <v>9</v>
      </c>
      <c r="E170" s="4">
        <v>0.85</v>
      </c>
      <c r="F170" s="42">
        <v>2.7</v>
      </c>
      <c r="G170" s="45">
        <v>250</v>
      </c>
      <c r="H170" s="22">
        <v>2.4</v>
      </c>
      <c r="I170" s="6">
        <f t="shared" si="2"/>
        <v>1377</v>
      </c>
      <c r="J170" s="7" t="s">
        <v>88</v>
      </c>
    </row>
    <row r="171" spans="1:10" ht="13.95" customHeight="1" x14ac:dyDescent="0.3">
      <c r="A171" s="20">
        <v>45827</v>
      </c>
      <c r="B171" s="20" t="s">
        <v>3237</v>
      </c>
      <c r="C171" s="19" t="s">
        <v>8</v>
      </c>
      <c r="D171" s="19" t="s">
        <v>9</v>
      </c>
      <c r="E171" s="4">
        <v>0.9</v>
      </c>
      <c r="F171" s="42">
        <v>2.8</v>
      </c>
      <c r="G171" s="45">
        <v>250</v>
      </c>
      <c r="H171" s="22">
        <v>2.4</v>
      </c>
      <c r="I171" s="6">
        <f t="shared" si="2"/>
        <v>1512</v>
      </c>
      <c r="J171" s="7" t="s">
        <v>2946</v>
      </c>
    </row>
    <row r="172" spans="1:10" ht="13.95" customHeight="1" x14ac:dyDescent="0.3">
      <c r="A172" s="20">
        <v>45828</v>
      </c>
      <c r="B172" s="20" t="s">
        <v>3237</v>
      </c>
      <c r="C172" s="19" t="s">
        <v>11</v>
      </c>
      <c r="D172" s="19" t="s">
        <v>14</v>
      </c>
      <c r="E172" s="4">
        <v>0.95</v>
      </c>
      <c r="F172" s="42">
        <v>3.4</v>
      </c>
      <c r="G172" s="45">
        <v>250</v>
      </c>
      <c r="H172" s="22">
        <v>2.4</v>
      </c>
      <c r="I172" s="6">
        <f t="shared" si="2"/>
        <v>1938</v>
      </c>
      <c r="J172" s="7" t="s">
        <v>2654</v>
      </c>
    </row>
    <row r="173" spans="1:10" ht="13.95" customHeight="1" x14ac:dyDescent="0.3">
      <c r="A173" s="20">
        <v>45829</v>
      </c>
      <c r="B173" s="20" t="s">
        <v>3237</v>
      </c>
      <c r="C173" s="19" t="s">
        <v>13</v>
      </c>
      <c r="D173" s="19" t="s">
        <v>2790</v>
      </c>
      <c r="E173" s="4">
        <v>1</v>
      </c>
      <c r="F173" s="42">
        <v>4.0999999999999996</v>
      </c>
      <c r="G173" s="45">
        <v>250</v>
      </c>
      <c r="H173" s="22">
        <v>2.4</v>
      </c>
      <c r="I173" s="6">
        <f t="shared" si="2"/>
        <v>2460</v>
      </c>
      <c r="J173" s="7" t="s">
        <v>3205</v>
      </c>
    </row>
    <row r="174" spans="1:10" ht="13.95" customHeight="1" x14ac:dyDescent="0.3">
      <c r="A174" s="20">
        <v>45830</v>
      </c>
      <c r="B174" s="20" t="s">
        <v>3237</v>
      </c>
      <c r="C174" s="19" t="s">
        <v>16</v>
      </c>
      <c r="D174" s="19" t="s">
        <v>3098</v>
      </c>
      <c r="E174" s="4">
        <v>0.95</v>
      </c>
      <c r="F174" s="42">
        <v>3.3</v>
      </c>
      <c r="G174" s="45">
        <v>250</v>
      </c>
      <c r="H174" s="22">
        <v>2.4</v>
      </c>
      <c r="I174" s="6">
        <f t="shared" si="2"/>
        <v>1881</v>
      </c>
      <c r="J174" s="7" t="s">
        <v>3099</v>
      </c>
    </row>
    <row r="175" spans="1:10" ht="13.95" customHeight="1" x14ac:dyDescent="0.3">
      <c r="A175" s="20">
        <v>45831</v>
      </c>
      <c r="B175" s="20" t="s">
        <v>3237</v>
      </c>
      <c r="C175" s="19" t="s">
        <v>18</v>
      </c>
      <c r="D175" s="19" t="s">
        <v>9</v>
      </c>
      <c r="E175" s="4">
        <v>0.85</v>
      </c>
      <c r="F175" s="42">
        <v>2.65</v>
      </c>
      <c r="G175" s="45">
        <v>250</v>
      </c>
      <c r="H175" s="22">
        <v>2.4</v>
      </c>
      <c r="I175" s="6">
        <f t="shared" si="2"/>
        <v>1351.5</v>
      </c>
      <c r="J175" s="7" t="s">
        <v>88</v>
      </c>
    </row>
    <row r="176" spans="1:10" ht="13.95" customHeight="1" x14ac:dyDescent="0.3">
      <c r="A176" s="20">
        <v>45832</v>
      </c>
      <c r="B176" s="20" t="s">
        <v>3237</v>
      </c>
      <c r="C176" s="19" t="s">
        <v>20</v>
      </c>
      <c r="D176" s="19" t="s">
        <v>9</v>
      </c>
      <c r="E176" s="4">
        <v>0.85</v>
      </c>
      <c r="F176" s="42">
        <v>2.65</v>
      </c>
      <c r="G176" s="45">
        <v>250</v>
      </c>
      <c r="H176" s="22">
        <v>2.4</v>
      </c>
      <c r="I176" s="6">
        <f t="shared" si="2"/>
        <v>1351.5</v>
      </c>
      <c r="J176" s="7" t="s">
        <v>88</v>
      </c>
    </row>
    <row r="177" spans="1:10" ht="13.95" customHeight="1" x14ac:dyDescent="0.3">
      <c r="A177" s="20">
        <v>45833</v>
      </c>
      <c r="B177" s="20" t="s">
        <v>3237</v>
      </c>
      <c r="C177" s="19" t="s">
        <v>5</v>
      </c>
      <c r="D177" s="19" t="s">
        <v>9</v>
      </c>
      <c r="E177" s="4">
        <v>0.9</v>
      </c>
      <c r="F177" s="42">
        <v>2.75</v>
      </c>
      <c r="G177" s="45">
        <v>250</v>
      </c>
      <c r="H177" s="22">
        <v>2.4</v>
      </c>
      <c r="I177" s="6">
        <f t="shared" si="2"/>
        <v>1485</v>
      </c>
      <c r="J177" s="7" t="s">
        <v>88</v>
      </c>
    </row>
    <row r="178" spans="1:10" ht="13.95" customHeight="1" x14ac:dyDescent="0.3">
      <c r="A178" s="20">
        <v>45834</v>
      </c>
      <c r="B178" s="20" t="s">
        <v>3237</v>
      </c>
      <c r="C178" s="19" t="s">
        <v>8</v>
      </c>
      <c r="D178" s="19" t="s">
        <v>9</v>
      </c>
      <c r="E178" s="4">
        <v>0.95</v>
      </c>
      <c r="F178" s="42">
        <v>2.85</v>
      </c>
      <c r="G178" s="45">
        <v>250</v>
      </c>
      <c r="H178" s="22">
        <v>2.4</v>
      </c>
      <c r="I178" s="6">
        <f t="shared" si="2"/>
        <v>1624.5</v>
      </c>
      <c r="J178" s="7" t="s">
        <v>2460</v>
      </c>
    </row>
    <row r="179" spans="1:10" ht="13.95" customHeight="1" x14ac:dyDescent="0.3">
      <c r="A179" s="20">
        <v>45835</v>
      </c>
      <c r="B179" s="20" t="s">
        <v>3237</v>
      </c>
      <c r="C179" s="19" t="s">
        <v>11</v>
      </c>
      <c r="D179" s="19" t="s">
        <v>2939</v>
      </c>
      <c r="E179" s="4">
        <v>1</v>
      </c>
      <c r="F179" s="42">
        <v>3.6</v>
      </c>
      <c r="G179" s="45">
        <v>250</v>
      </c>
      <c r="H179" s="22">
        <v>2.4</v>
      </c>
      <c r="I179" s="6">
        <f t="shared" si="2"/>
        <v>2160</v>
      </c>
      <c r="J179" s="7" t="s">
        <v>1802</v>
      </c>
    </row>
    <row r="180" spans="1:10" ht="13.95" customHeight="1" x14ac:dyDescent="0.3">
      <c r="A180" s="20">
        <v>45836</v>
      </c>
      <c r="B180" s="20" t="s">
        <v>3237</v>
      </c>
      <c r="C180" s="19" t="s">
        <v>13</v>
      </c>
      <c r="D180" s="19" t="s">
        <v>3206</v>
      </c>
      <c r="E180" s="4">
        <v>1</v>
      </c>
      <c r="F180" s="42">
        <v>4.2</v>
      </c>
      <c r="G180" s="45">
        <v>250</v>
      </c>
      <c r="H180" s="22">
        <v>2.4</v>
      </c>
      <c r="I180" s="6">
        <f t="shared" si="2"/>
        <v>2520</v>
      </c>
      <c r="J180" s="7" t="s">
        <v>3115</v>
      </c>
    </row>
    <row r="181" spans="1:10" ht="13.95" customHeight="1" x14ac:dyDescent="0.3">
      <c r="A181" s="20">
        <v>45837</v>
      </c>
      <c r="B181" s="20" t="s">
        <v>3237</v>
      </c>
      <c r="C181" s="19" t="s">
        <v>16</v>
      </c>
      <c r="D181" s="19" t="s">
        <v>3098</v>
      </c>
      <c r="E181" s="4">
        <v>1</v>
      </c>
      <c r="F181" s="42">
        <v>3.6</v>
      </c>
      <c r="G181" s="45">
        <v>250</v>
      </c>
      <c r="H181" s="22">
        <v>2.4</v>
      </c>
      <c r="I181" s="6">
        <f t="shared" si="2"/>
        <v>2160</v>
      </c>
      <c r="J181" s="7" t="s">
        <v>3127</v>
      </c>
    </row>
    <row r="182" spans="1:10" ht="13.95" customHeight="1" x14ac:dyDescent="0.3">
      <c r="A182" s="20">
        <v>45838</v>
      </c>
      <c r="B182" s="20" t="s">
        <v>3237</v>
      </c>
      <c r="C182" s="19" t="s">
        <v>18</v>
      </c>
      <c r="D182" s="19" t="s">
        <v>9</v>
      </c>
      <c r="E182" s="4">
        <v>0.9</v>
      </c>
      <c r="F182" s="42">
        <v>2.75</v>
      </c>
      <c r="G182" s="45">
        <v>250</v>
      </c>
      <c r="H182" s="22">
        <v>2.4</v>
      </c>
      <c r="I182" s="6">
        <f t="shared" si="2"/>
        <v>1485</v>
      </c>
      <c r="J182" s="7" t="s">
        <v>99</v>
      </c>
    </row>
    <row r="183" spans="1:10" ht="13.95" customHeight="1" x14ac:dyDescent="0.3">
      <c r="A183" s="20">
        <v>45839</v>
      </c>
      <c r="B183" s="20" t="s">
        <v>3237</v>
      </c>
      <c r="C183" s="19" t="s">
        <v>20</v>
      </c>
      <c r="D183" s="19" t="s">
        <v>1347</v>
      </c>
      <c r="E183" s="4">
        <v>0.9</v>
      </c>
      <c r="F183" s="42">
        <v>2.8</v>
      </c>
      <c r="G183" s="45">
        <v>250</v>
      </c>
      <c r="H183" s="22">
        <v>2.5</v>
      </c>
      <c r="I183" s="6">
        <f t="shared" si="2"/>
        <v>1575</v>
      </c>
      <c r="J183" s="7" t="s">
        <v>3104</v>
      </c>
    </row>
    <row r="184" spans="1:10" ht="13.95" customHeight="1" x14ac:dyDescent="0.3">
      <c r="A184" s="20">
        <v>45840</v>
      </c>
      <c r="B184" s="20" t="s">
        <v>3237</v>
      </c>
      <c r="C184" s="19" t="s">
        <v>5</v>
      </c>
      <c r="D184" s="19" t="s">
        <v>1347</v>
      </c>
      <c r="E184" s="4">
        <v>0.9</v>
      </c>
      <c r="F184" s="42">
        <v>2.8</v>
      </c>
      <c r="G184" s="45">
        <v>250</v>
      </c>
      <c r="H184" s="22">
        <v>2.5</v>
      </c>
      <c r="I184" s="6">
        <f t="shared" si="2"/>
        <v>1575</v>
      </c>
      <c r="J184" s="7" t="s">
        <v>88</v>
      </c>
    </row>
    <row r="185" spans="1:10" ht="13.95" customHeight="1" x14ac:dyDescent="0.3">
      <c r="A185" s="20">
        <v>45841</v>
      </c>
      <c r="B185" s="20" t="s">
        <v>3237</v>
      </c>
      <c r="C185" s="19" t="s">
        <v>8</v>
      </c>
      <c r="D185" s="19" t="s">
        <v>1347</v>
      </c>
      <c r="E185" s="4">
        <v>0.95</v>
      </c>
      <c r="F185" s="42">
        <v>2.9</v>
      </c>
      <c r="G185" s="45">
        <v>250</v>
      </c>
      <c r="H185" s="22">
        <v>2.5</v>
      </c>
      <c r="I185" s="6">
        <f t="shared" si="2"/>
        <v>1721.875</v>
      </c>
      <c r="J185" s="7" t="s">
        <v>67</v>
      </c>
    </row>
    <row r="186" spans="1:10" ht="13.95" customHeight="1" x14ac:dyDescent="0.3">
      <c r="A186" s="20">
        <v>45842</v>
      </c>
      <c r="B186" s="20" t="s">
        <v>3237</v>
      </c>
      <c r="C186" s="19" t="s">
        <v>11</v>
      </c>
      <c r="D186" s="19" t="s">
        <v>829</v>
      </c>
      <c r="E186" s="4">
        <v>1</v>
      </c>
      <c r="F186" s="42">
        <v>3.7</v>
      </c>
      <c r="G186" s="45">
        <v>250</v>
      </c>
      <c r="H186" s="22">
        <v>2.5</v>
      </c>
      <c r="I186" s="6">
        <f t="shared" si="2"/>
        <v>2312.5</v>
      </c>
      <c r="J186" s="7" t="s">
        <v>2654</v>
      </c>
    </row>
    <row r="187" spans="1:10" ht="13.95" customHeight="1" x14ac:dyDescent="0.3">
      <c r="A187" s="20">
        <v>45843</v>
      </c>
      <c r="B187" s="20" t="s">
        <v>3237</v>
      </c>
      <c r="C187" s="19" t="s">
        <v>13</v>
      </c>
      <c r="D187" s="19" t="s">
        <v>3091</v>
      </c>
      <c r="E187" s="4">
        <v>1</v>
      </c>
      <c r="F187" s="42">
        <v>4.3</v>
      </c>
      <c r="G187" s="45">
        <v>250</v>
      </c>
      <c r="H187" s="22">
        <v>2.5</v>
      </c>
      <c r="I187" s="6">
        <f t="shared" si="2"/>
        <v>2687.5</v>
      </c>
      <c r="J187" s="7" t="s">
        <v>3105</v>
      </c>
    </row>
    <row r="188" spans="1:10" ht="13.95" customHeight="1" x14ac:dyDescent="0.3">
      <c r="A188" s="20">
        <v>45844</v>
      </c>
      <c r="B188" s="20" t="s">
        <v>3237</v>
      </c>
      <c r="C188" s="19" t="s">
        <v>16</v>
      </c>
      <c r="D188" s="19" t="s">
        <v>3093</v>
      </c>
      <c r="E188" s="4">
        <v>1</v>
      </c>
      <c r="F188" s="42">
        <v>3.6</v>
      </c>
      <c r="G188" s="45">
        <v>250</v>
      </c>
      <c r="H188" s="22">
        <v>2.5</v>
      </c>
      <c r="I188" s="6">
        <f t="shared" si="2"/>
        <v>2250</v>
      </c>
      <c r="J188" s="7" t="s">
        <v>3106</v>
      </c>
    </row>
    <row r="189" spans="1:10" ht="13.95" customHeight="1" x14ac:dyDescent="0.3">
      <c r="A189" s="20">
        <v>45845</v>
      </c>
      <c r="B189" s="20" t="s">
        <v>3237</v>
      </c>
      <c r="C189" s="19" t="s">
        <v>18</v>
      </c>
      <c r="D189" s="19" t="s">
        <v>1347</v>
      </c>
      <c r="E189" s="4">
        <v>0.95</v>
      </c>
      <c r="F189" s="42">
        <v>2.85</v>
      </c>
      <c r="G189" s="45">
        <v>250</v>
      </c>
      <c r="H189" s="22">
        <v>2.5</v>
      </c>
      <c r="I189" s="6">
        <f t="shared" si="2"/>
        <v>1692.1875</v>
      </c>
      <c r="J189" s="7" t="s">
        <v>1449</v>
      </c>
    </row>
    <row r="190" spans="1:10" ht="13.95" customHeight="1" x14ac:dyDescent="0.3">
      <c r="A190" s="20">
        <v>45846</v>
      </c>
      <c r="B190" s="20" t="s">
        <v>3237</v>
      </c>
      <c r="C190" s="19" t="s">
        <v>20</v>
      </c>
      <c r="D190" s="19" t="s">
        <v>1347</v>
      </c>
      <c r="E190" s="4">
        <v>0.9</v>
      </c>
      <c r="F190" s="42">
        <v>2.85</v>
      </c>
      <c r="G190" s="45">
        <v>250</v>
      </c>
      <c r="H190" s="22">
        <v>2.5</v>
      </c>
      <c r="I190" s="6">
        <f t="shared" si="2"/>
        <v>1603.125</v>
      </c>
      <c r="J190" s="7" t="s">
        <v>88</v>
      </c>
    </row>
    <row r="191" spans="1:10" ht="13.95" customHeight="1" x14ac:dyDescent="0.3">
      <c r="A191" s="20">
        <v>45847</v>
      </c>
      <c r="B191" s="20" t="s">
        <v>3237</v>
      </c>
      <c r="C191" s="19" t="s">
        <v>5</v>
      </c>
      <c r="D191" s="19" t="s">
        <v>1347</v>
      </c>
      <c r="E191" s="4">
        <v>0.95</v>
      </c>
      <c r="F191" s="42">
        <v>2.9</v>
      </c>
      <c r="G191" s="45">
        <v>250</v>
      </c>
      <c r="H191" s="22">
        <v>2.5</v>
      </c>
      <c r="I191" s="6">
        <f t="shared" si="2"/>
        <v>1721.875</v>
      </c>
      <c r="J191" s="7" t="s">
        <v>3129</v>
      </c>
    </row>
    <row r="192" spans="1:10" ht="13.95" customHeight="1" x14ac:dyDescent="0.3">
      <c r="A192" s="20">
        <v>45848</v>
      </c>
      <c r="B192" s="20" t="s">
        <v>3237</v>
      </c>
      <c r="C192" s="19" t="s">
        <v>8</v>
      </c>
      <c r="D192" s="19" t="s">
        <v>1347</v>
      </c>
      <c r="E192" s="4">
        <v>1</v>
      </c>
      <c r="F192" s="42">
        <v>3.1</v>
      </c>
      <c r="G192" s="45">
        <v>250</v>
      </c>
      <c r="H192" s="22">
        <v>2.5</v>
      </c>
      <c r="I192" s="6">
        <f t="shared" si="2"/>
        <v>1937.5</v>
      </c>
      <c r="J192" s="7" t="s">
        <v>82</v>
      </c>
    </row>
    <row r="193" spans="1:10" ht="13.95" customHeight="1" x14ac:dyDescent="0.3">
      <c r="A193" s="20">
        <v>45849</v>
      </c>
      <c r="B193" s="20" t="s">
        <v>3237</v>
      </c>
      <c r="C193" s="19" t="s">
        <v>11</v>
      </c>
      <c r="D193" s="19" t="s">
        <v>829</v>
      </c>
      <c r="E193" s="4">
        <v>1</v>
      </c>
      <c r="F193" s="42">
        <v>3.8</v>
      </c>
      <c r="G193" s="45">
        <v>250</v>
      </c>
      <c r="H193" s="22">
        <v>2.5</v>
      </c>
      <c r="I193" s="6">
        <f t="shared" si="2"/>
        <v>2375</v>
      </c>
      <c r="J193" s="7" t="s">
        <v>3108</v>
      </c>
    </row>
    <row r="194" spans="1:10" ht="13.95" customHeight="1" x14ac:dyDescent="0.3">
      <c r="A194" s="20">
        <v>45850</v>
      </c>
      <c r="B194" s="20" t="s">
        <v>3237</v>
      </c>
      <c r="C194" s="19" t="s">
        <v>13</v>
      </c>
      <c r="D194" s="19" t="s">
        <v>3096</v>
      </c>
      <c r="E194" s="4">
        <v>1</v>
      </c>
      <c r="F194" s="42">
        <v>4.4000000000000004</v>
      </c>
      <c r="G194" s="45">
        <v>250</v>
      </c>
      <c r="H194" s="22">
        <v>2.5</v>
      </c>
      <c r="I194" s="6">
        <f t="shared" si="2"/>
        <v>2750</v>
      </c>
      <c r="J194" s="7" t="s">
        <v>3109</v>
      </c>
    </row>
    <row r="195" spans="1:10" ht="13.95" customHeight="1" x14ac:dyDescent="0.3">
      <c r="A195" s="20">
        <v>45851</v>
      </c>
      <c r="B195" s="20" t="s">
        <v>3237</v>
      </c>
      <c r="C195" s="19" t="s">
        <v>16</v>
      </c>
      <c r="D195" s="19" t="s">
        <v>3093</v>
      </c>
      <c r="E195" s="4">
        <v>1</v>
      </c>
      <c r="F195" s="42">
        <v>3.7</v>
      </c>
      <c r="G195" s="45">
        <v>250</v>
      </c>
      <c r="H195" s="22">
        <v>2.5</v>
      </c>
      <c r="I195" s="6">
        <f t="shared" si="2"/>
        <v>2312.5</v>
      </c>
      <c r="J195" s="7" t="s">
        <v>48</v>
      </c>
    </row>
    <row r="196" spans="1:10" ht="13.95" customHeight="1" x14ac:dyDescent="0.3">
      <c r="A196" s="20">
        <v>45852</v>
      </c>
      <c r="B196" s="20" t="s">
        <v>3237</v>
      </c>
      <c r="C196" s="19" t="s">
        <v>18</v>
      </c>
      <c r="D196" s="19" t="s">
        <v>2800</v>
      </c>
      <c r="E196" s="4">
        <v>1</v>
      </c>
      <c r="F196" s="42">
        <v>3.3</v>
      </c>
      <c r="G196" s="45">
        <v>250</v>
      </c>
      <c r="H196" s="22">
        <v>2.5</v>
      </c>
      <c r="I196" s="6">
        <f t="shared" ref="I196:I259" si="3">(G196*E196)*F196*H196</f>
        <v>2062.5</v>
      </c>
      <c r="J196" s="7" t="s">
        <v>3110</v>
      </c>
    </row>
    <row r="197" spans="1:10" ht="13.95" customHeight="1" x14ac:dyDescent="0.3">
      <c r="A197" s="20">
        <v>45853</v>
      </c>
      <c r="B197" s="20" t="s">
        <v>3237</v>
      </c>
      <c r="C197" s="19" t="s">
        <v>20</v>
      </c>
      <c r="D197" s="19" t="s">
        <v>1347</v>
      </c>
      <c r="E197" s="4">
        <v>0.95</v>
      </c>
      <c r="F197" s="42">
        <v>2.95</v>
      </c>
      <c r="G197" s="45">
        <v>250</v>
      </c>
      <c r="H197" s="22">
        <v>2.5</v>
      </c>
      <c r="I197" s="6">
        <f t="shared" si="3"/>
        <v>1751.5625</v>
      </c>
      <c r="J197" s="7" t="s">
        <v>88</v>
      </c>
    </row>
    <row r="198" spans="1:10" ht="13.95" customHeight="1" x14ac:dyDescent="0.3">
      <c r="A198" s="20">
        <v>45854</v>
      </c>
      <c r="B198" s="20" t="s">
        <v>3237</v>
      </c>
      <c r="C198" s="19" t="s">
        <v>5</v>
      </c>
      <c r="D198" s="19" t="s">
        <v>1347</v>
      </c>
      <c r="E198" s="4">
        <v>0.95</v>
      </c>
      <c r="F198" s="42">
        <v>2.95</v>
      </c>
      <c r="G198" s="45">
        <v>250</v>
      </c>
      <c r="H198" s="22">
        <v>2.5</v>
      </c>
      <c r="I198" s="6">
        <f t="shared" si="3"/>
        <v>1751.5625</v>
      </c>
      <c r="J198" s="7" t="s">
        <v>88</v>
      </c>
    </row>
    <row r="199" spans="1:10" ht="13.95" customHeight="1" x14ac:dyDescent="0.3">
      <c r="A199" s="20">
        <v>45855</v>
      </c>
      <c r="B199" s="20" t="s">
        <v>3237</v>
      </c>
      <c r="C199" s="19" t="s">
        <v>8</v>
      </c>
      <c r="D199" s="19" t="s">
        <v>1347</v>
      </c>
      <c r="E199" s="4">
        <v>1</v>
      </c>
      <c r="F199" s="42">
        <v>3.2</v>
      </c>
      <c r="G199" s="45">
        <v>250</v>
      </c>
      <c r="H199" s="22">
        <v>2.5</v>
      </c>
      <c r="I199" s="6">
        <f t="shared" si="3"/>
        <v>2000</v>
      </c>
      <c r="J199" s="7" t="s">
        <v>1838</v>
      </c>
    </row>
    <row r="200" spans="1:10" ht="13.95" customHeight="1" x14ac:dyDescent="0.3">
      <c r="A200" s="20">
        <v>45856</v>
      </c>
      <c r="B200" s="20" t="s">
        <v>3237</v>
      </c>
      <c r="C200" s="19" t="s">
        <v>11</v>
      </c>
      <c r="D200" s="19" t="s">
        <v>829</v>
      </c>
      <c r="E200" s="4">
        <v>1</v>
      </c>
      <c r="F200" s="42">
        <v>3.9</v>
      </c>
      <c r="G200" s="45">
        <v>250</v>
      </c>
      <c r="H200" s="22">
        <v>2.5</v>
      </c>
      <c r="I200" s="6">
        <f t="shared" si="3"/>
        <v>2437.5</v>
      </c>
      <c r="J200" s="7" t="s">
        <v>2654</v>
      </c>
    </row>
    <row r="201" spans="1:10" ht="13.95" customHeight="1" x14ac:dyDescent="0.3">
      <c r="A201" s="20">
        <v>45857</v>
      </c>
      <c r="B201" s="20" t="s">
        <v>3237</v>
      </c>
      <c r="C201" s="19" t="s">
        <v>13</v>
      </c>
      <c r="D201" s="19" t="s">
        <v>3207</v>
      </c>
      <c r="E201" s="4">
        <v>1</v>
      </c>
      <c r="F201" s="42">
        <v>4.5</v>
      </c>
      <c r="G201" s="45">
        <v>250</v>
      </c>
      <c r="H201" s="22">
        <v>2.5</v>
      </c>
      <c r="I201" s="6">
        <f t="shared" si="3"/>
        <v>2812.5</v>
      </c>
      <c r="J201" s="7" t="s">
        <v>3208</v>
      </c>
    </row>
    <row r="202" spans="1:10" ht="13.95" customHeight="1" x14ac:dyDescent="0.3">
      <c r="A202" s="20">
        <v>45858</v>
      </c>
      <c r="B202" s="20" t="s">
        <v>3237</v>
      </c>
      <c r="C202" s="19" t="s">
        <v>16</v>
      </c>
      <c r="D202" s="19" t="s">
        <v>3093</v>
      </c>
      <c r="E202" s="4">
        <v>1</v>
      </c>
      <c r="F202" s="42">
        <v>3.8</v>
      </c>
      <c r="G202" s="45">
        <v>250</v>
      </c>
      <c r="H202" s="22">
        <v>2.5</v>
      </c>
      <c r="I202" s="6">
        <f t="shared" si="3"/>
        <v>2375</v>
      </c>
      <c r="J202" s="7" t="s">
        <v>3128</v>
      </c>
    </row>
    <row r="203" spans="1:10" ht="13.95" customHeight="1" x14ac:dyDescent="0.3">
      <c r="A203" s="20">
        <v>45859</v>
      </c>
      <c r="B203" s="20" t="s">
        <v>3237</v>
      </c>
      <c r="C203" s="19" t="s">
        <v>18</v>
      </c>
      <c r="D203" s="19" t="s">
        <v>1347</v>
      </c>
      <c r="E203" s="4">
        <v>0.95</v>
      </c>
      <c r="F203" s="42">
        <v>3</v>
      </c>
      <c r="G203" s="45">
        <v>250</v>
      </c>
      <c r="H203" s="22">
        <v>2.5</v>
      </c>
      <c r="I203" s="6">
        <f t="shared" si="3"/>
        <v>1781.25</v>
      </c>
      <c r="J203" s="7" t="s">
        <v>88</v>
      </c>
    </row>
    <row r="204" spans="1:10" ht="13.95" customHeight="1" x14ac:dyDescent="0.3">
      <c r="A204" s="20">
        <v>45860</v>
      </c>
      <c r="B204" s="20" t="s">
        <v>3237</v>
      </c>
      <c r="C204" s="19" t="s">
        <v>20</v>
      </c>
      <c r="D204" s="19" t="s">
        <v>1347</v>
      </c>
      <c r="E204" s="4">
        <v>0.95</v>
      </c>
      <c r="F204" s="42">
        <v>3</v>
      </c>
      <c r="G204" s="45">
        <v>250</v>
      </c>
      <c r="H204" s="22">
        <v>2.5</v>
      </c>
      <c r="I204" s="6">
        <f t="shared" si="3"/>
        <v>1781.25</v>
      </c>
      <c r="J204" s="7" t="s">
        <v>88</v>
      </c>
    </row>
    <row r="205" spans="1:10" ht="13.95" customHeight="1" x14ac:dyDescent="0.3">
      <c r="A205" s="20">
        <v>45861</v>
      </c>
      <c r="B205" s="20" t="s">
        <v>3237</v>
      </c>
      <c r="C205" s="19" t="s">
        <v>5</v>
      </c>
      <c r="D205" s="19" t="s">
        <v>1347</v>
      </c>
      <c r="E205" s="4">
        <v>1</v>
      </c>
      <c r="F205" s="42">
        <v>3.1</v>
      </c>
      <c r="G205" s="45">
        <v>250</v>
      </c>
      <c r="H205" s="22">
        <v>2.5</v>
      </c>
      <c r="I205" s="6">
        <f t="shared" si="3"/>
        <v>1937.5</v>
      </c>
      <c r="J205" s="7" t="s">
        <v>88</v>
      </c>
    </row>
    <row r="206" spans="1:10" ht="13.95" customHeight="1" x14ac:dyDescent="0.3">
      <c r="A206" s="20">
        <v>45862</v>
      </c>
      <c r="B206" s="20" t="s">
        <v>3237</v>
      </c>
      <c r="C206" s="19" t="s">
        <v>8</v>
      </c>
      <c r="D206" s="19" t="s">
        <v>994</v>
      </c>
      <c r="E206" s="4">
        <v>1</v>
      </c>
      <c r="F206" s="42">
        <v>3.5</v>
      </c>
      <c r="G206" s="45">
        <v>250</v>
      </c>
      <c r="H206" s="22">
        <v>2.5</v>
      </c>
      <c r="I206" s="6">
        <f t="shared" si="3"/>
        <v>2187.5</v>
      </c>
      <c r="J206" s="7" t="s">
        <v>2238</v>
      </c>
    </row>
    <row r="207" spans="1:10" ht="13.95" customHeight="1" x14ac:dyDescent="0.3">
      <c r="A207" s="20">
        <v>45863</v>
      </c>
      <c r="B207" s="20" t="s">
        <v>3237</v>
      </c>
      <c r="C207" s="19" t="s">
        <v>11</v>
      </c>
      <c r="D207" s="19" t="s">
        <v>2803</v>
      </c>
      <c r="E207" s="4">
        <v>1</v>
      </c>
      <c r="F207" s="42">
        <v>4.2</v>
      </c>
      <c r="G207" s="45">
        <v>250</v>
      </c>
      <c r="H207" s="22">
        <v>2.5</v>
      </c>
      <c r="I207" s="6">
        <f t="shared" si="3"/>
        <v>2625</v>
      </c>
      <c r="J207" s="7" t="s">
        <v>3114</v>
      </c>
    </row>
    <row r="208" spans="1:10" ht="13.95" customHeight="1" x14ac:dyDescent="0.3">
      <c r="A208" s="20">
        <v>45864</v>
      </c>
      <c r="B208" s="20" t="s">
        <v>3237</v>
      </c>
      <c r="C208" s="19" t="s">
        <v>13</v>
      </c>
      <c r="D208" s="19" t="s">
        <v>3091</v>
      </c>
      <c r="E208" s="4">
        <v>1</v>
      </c>
      <c r="F208" s="42">
        <v>4.4000000000000004</v>
      </c>
      <c r="G208" s="45">
        <v>250</v>
      </c>
      <c r="H208" s="22">
        <v>2.5</v>
      </c>
      <c r="I208" s="6">
        <f t="shared" si="3"/>
        <v>2750</v>
      </c>
      <c r="J208" s="7" t="s">
        <v>1811</v>
      </c>
    </row>
    <row r="209" spans="1:10" ht="13.95" customHeight="1" x14ac:dyDescent="0.3">
      <c r="A209" s="20">
        <v>45865</v>
      </c>
      <c r="B209" s="20" t="s">
        <v>3237</v>
      </c>
      <c r="C209" s="19" t="s">
        <v>16</v>
      </c>
      <c r="D209" s="19" t="s">
        <v>3002</v>
      </c>
      <c r="E209" s="4">
        <v>1</v>
      </c>
      <c r="F209" s="42">
        <v>3.9</v>
      </c>
      <c r="G209" s="45">
        <v>250</v>
      </c>
      <c r="H209" s="22">
        <v>2.5</v>
      </c>
      <c r="I209" s="6">
        <f t="shared" si="3"/>
        <v>2437.5</v>
      </c>
      <c r="J209" s="7" t="s">
        <v>139</v>
      </c>
    </row>
    <row r="210" spans="1:10" ht="13.95" customHeight="1" x14ac:dyDescent="0.3">
      <c r="A210" s="20">
        <v>45866</v>
      </c>
      <c r="B210" s="20" t="s">
        <v>3237</v>
      </c>
      <c r="C210" s="19" t="s">
        <v>18</v>
      </c>
      <c r="D210" s="19" t="s">
        <v>1347</v>
      </c>
      <c r="E210" s="4">
        <v>1</v>
      </c>
      <c r="F210" s="42">
        <v>3.1</v>
      </c>
      <c r="G210" s="45">
        <v>250</v>
      </c>
      <c r="H210" s="22">
        <v>2.5</v>
      </c>
      <c r="I210" s="6">
        <f t="shared" si="3"/>
        <v>1937.5</v>
      </c>
      <c r="J210" s="7" t="s">
        <v>88</v>
      </c>
    </row>
    <row r="211" spans="1:10" ht="13.95" customHeight="1" x14ac:dyDescent="0.3">
      <c r="A211" s="20">
        <v>45867</v>
      </c>
      <c r="B211" s="20" t="s">
        <v>3237</v>
      </c>
      <c r="C211" s="19" t="s">
        <v>20</v>
      </c>
      <c r="D211" s="19" t="s">
        <v>1347</v>
      </c>
      <c r="E211" s="4">
        <v>1</v>
      </c>
      <c r="F211" s="42">
        <v>3.1</v>
      </c>
      <c r="G211" s="45">
        <v>250</v>
      </c>
      <c r="H211" s="22">
        <v>2.5</v>
      </c>
      <c r="I211" s="6">
        <f t="shared" si="3"/>
        <v>1937.5</v>
      </c>
      <c r="J211" s="7" t="s">
        <v>88</v>
      </c>
    </row>
    <row r="212" spans="1:10" ht="13.95" customHeight="1" x14ac:dyDescent="0.3">
      <c r="A212" s="20">
        <v>45868</v>
      </c>
      <c r="B212" s="20" t="s">
        <v>3237</v>
      </c>
      <c r="C212" s="19" t="s">
        <v>5</v>
      </c>
      <c r="D212" s="19" t="s">
        <v>1347</v>
      </c>
      <c r="E212" s="4">
        <v>1</v>
      </c>
      <c r="F212" s="42">
        <v>3.2</v>
      </c>
      <c r="G212" s="45">
        <v>250</v>
      </c>
      <c r="H212" s="22">
        <v>2.5</v>
      </c>
      <c r="I212" s="6">
        <f t="shared" si="3"/>
        <v>2000</v>
      </c>
      <c r="J212" s="7" t="s">
        <v>88</v>
      </c>
    </row>
    <row r="213" spans="1:10" ht="13.95" customHeight="1" x14ac:dyDescent="0.3">
      <c r="A213" s="20">
        <v>45869</v>
      </c>
      <c r="B213" s="20" t="s">
        <v>3237</v>
      </c>
      <c r="C213" s="19" t="s">
        <v>8</v>
      </c>
      <c r="D213" s="19" t="s">
        <v>2783</v>
      </c>
      <c r="E213" s="4">
        <v>1</v>
      </c>
      <c r="F213" s="42">
        <v>3.3</v>
      </c>
      <c r="G213" s="45">
        <v>250</v>
      </c>
      <c r="H213" s="22">
        <v>2.5</v>
      </c>
      <c r="I213" s="6">
        <f t="shared" si="3"/>
        <v>2062.5</v>
      </c>
      <c r="J213" s="7" t="s">
        <v>2953</v>
      </c>
    </row>
    <row r="214" spans="1:10" ht="13.95" customHeight="1" x14ac:dyDescent="0.3">
      <c r="A214" s="20">
        <v>45901</v>
      </c>
      <c r="B214" s="20" t="s">
        <v>3237</v>
      </c>
      <c r="C214" s="19" t="s">
        <v>18</v>
      </c>
      <c r="D214" s="19" t="s">
        <v>3131</v>
      </c>
      <c r="E214" s="4">
        <v>0.8</v>
      </c>
      <c r="F214" s="42">
        <v>2.7</v>
      </c>
      <c r="G214" s="45">
        <v>250</v>
      </c>
      <c r="H214" s="22">
        <v>2.2000000000000002</v>
      </c>
      <c r="I214" s="6">
        <f t="shared" si="3"/>
        <v>1188</v>
      </c>
      <c r="J214" s="7" t="s">
        <v>3132</v>
      </c>
    </row>
    <row r="215" spans="1:10" ht="13.95" customHeight="1" x14ac:dyDescent="0.3">
      <c r="A215" s="20">
        <v>45902</v>
      </c>
      <c r="B215" s="20" t="s">
        <v>3237</v>
      </c>
      <c r="C215" s="19" t="s">
        <v>20</v>
      </c>
      <c r="D215" s="19" t="s">
        <v>9</v>
      </c>
      <c r="E215" s="4">
        <v>0.75</v>
      </c>
      <c r="F215" s="42">
        <v>2.6</v>
      </c>
      <c r="G215" s="45">
        <v>250</v>
      </c>
      <c r="H215" s="22">
        <v>2.2000000000000002</v>
      </c>
      <c r="I215" s="6">
        <f t="shared" si="3"/>
        <v>1072.5</v>
      </c>
      <c r="J215" s="7" t="s">
        <v>3210</v>
      </c>
    </row>
    <row r="216" spans="1:10" ht="13.95" customHeight="1" x14ac:dyDescent="0.3">
      <c r="A216" s="20">
        <v>45903</v>
      </c>
      <c r="B216" s="20" t="s">
        <v>3237</v>
      </c>
      <c r="C216" s="19" t="s">
        <v>5</v>
      </c>
      <c r="D216" s="19" t="s">
        <v>9</v>
      </c>
      <c r="E216" s="4">
        <v>0.75</v>
      </c>
      <c r="F216" s="42">
        <v>2.6</v>
      </c>
      <c r="G216" s="45">
        <v>250</v>
      </c>
      <c r="H216" s="22">
        <v>2.2000000000000002</v>
      </c>
      <c r="I216" s="6">
        <f t="shared" si="3"/>
        <v>1072.5</v>
      </c>
      <c r="J216" s="7" t="s">
        <v>88</v>
      </c>
    </row>
    <row r="217" spans="1:10" ht="13.95" customHeight="1" x14ac:dyDescent="0.3">
      <c r="A217" s="20">
        <v>45904</v>
      </c>
      <c r="B217" s="20" t="s">
        <v>3237</v>
      </c>
      <c r="C217" s="19" t="s">
        <v>8</v>
      </c>
      <c r="D217" s="19" t="s">
        <v>9</v>
      </c>
      <c r="E217" s="4">
        <v>0.8</v>
      </c>
      <c r="F217" s="42">
        <v>2.65</v>
      </c>
      <c r="G217" s="45">
        <v>250</v>
      </c>
      <c r="H217" s="22">
        <v>2.2000000000000002</v>
      </c>
      <c r="I217" s="6">
        <f t="shared" si="3"/>
        <v>1166</v>
      </c>
      <c r="J217" s="7" t="s">
        <v>67</v>
      </c>
    </row>
    <row r="218" spans="1:10" ht="13.95" customHeight="1" x14ac:dyDescent="0.3">
      <c r="A218" s="20">
        <v>45905</v>
      </c>
      <c r="B218" s="20" t="s">
        <v>3237</v>
      </c>
      <c r="C218" s="19" t="s">
        <v>11</v>
      </c>
      <c r="D218" s="19" t="s">
        <v>14</v>
      </c>
      <c r="E218" s="4">
        <v>0.85</v>
      </c>
      <c r="F218" s="42">
        <v>3.1</v>
      </c>
      <c r="G218" s="45">
        <v>250</v>
      </c>
      <c r="H218" s="22">
        <v>2.2000000000000002</v>
      </c>
      <c r="I218" s="6">
        <f t="shared" si="3"/>
        <v>1449.2500000000002</v>
      </c>
      <c r="J218" s="7" t="s">
        <v>2823</v>
      </c>
    </row>
    <row r="219" spans="1:10" ht="13.95" customHeight="1" x14ac:dyDescent="0.3">
      <c r="A219" s="20">
        <v>45906</v>
      </c>
      <c r="B219" s="20" t="s">
        <v>3237</v>
      </c>
      <c r="C219" s="19" t="s">
        <v>13</v>
      </c>
      <c r="D219" s="19" t="s">
        <v>3135</v>
      </c>
      <c r="E219" s="4">
        <v>0.95</v>
      </c>
      <c r="F219" s="42">
        <v>3.8</v>
      </c>
      <c r="G219" s="45">
        <v>250</v>
      </c>
      <c r="H219" s="22">
        <v>2.2000000000000002</v>
      </c>
      <c r="I219" s="6">
        <f t="shared" si="3"/>
        <v>1985.5000000000002</v>
      </c>
      <c r="J219" s="7" t="s">
        <v>1811</v>
      </c>
    </row>
    <row r="220" spans="1:10" ht="13.95" customHeight="1" x14ac:dyDescent="0.3">
      <c r="A220" s="20">
        <v>45907</v>
      </c>
      <c r="B220" s="20" t="s">
        <v>3237</v>
      </c>
      <c r="C220" s="19" t="s">
        <v>16</v>
      </c>
      <c r="D220" s="19" t="s">
        <v>3098</v>
      </c>
      <c r="E220" s="4">
        <v>0.9</v>
      </c>
      <c r="F220" s="42">
        <v>3.3</v>
      </c>
      <c r="G220" s="45">
        <v>250</v>
      </c>
      <c r="H220" s="22">
        <v>2.2000000000000002</v>
      </c>
      <c r="I220" s="6">
        <f t="shared" si="3"/>
        <v>1633.5000000000002</v>
      </c>
      <c r="J220" s="7" t="s">
        <v>139</v>
      </c>
    </row>
    <row r="221" spans="1:10" ht="13.95" customHeight="1" x14ac:dyDescent="0.3">
      <c r="A221" s="20">
        <v>45908</v>
      </c>
      <c r="B221" s="20" t="s">
        <v>3237</v>
      </c>
      <c r="C221" s="19" t="s">
        <v>18</v>
      </c>
      <c r="D221" s="19" t="s">
        <v>9</v>
      </c>
      <c r="E221" s="4">
        <v>0.7</v>
      </c>
      <c r="F221" s="42">
        <v>2.5499999999999998</v>
      </c>
      <c r="G221" s="45">
        <v>250</v>
      </c>
      <c r="H221" s="22">
        <v>2.2000000000000002</v>
      </c>
      <c r="I221" s="6">
        <f t="shared" si="3"/>
        <v>981.75</v>
      </c>
      <c r="J221" s="7" t="s">
        <v>527</v>
      </c>
    </row>
    <row r="222" spans="1:10" ht="13.95" customHeight="1" x14ac:dyDescent="0.3">
      <c r="A222" s="20">
        <v>45909</v>
      </c>
      <c r="B222" s="20" t="s">
        <v>3237</v>
      </c>
      <c r="C222" s="19" t="s">
        <v>20</v>
      </c>
      <c r="D222" s="19" t="s">
        <v>9</v>
      </c>
      <c r="E222" s="4">
        <v>0.7</v>
      </c>
      <c r="F222" s="42">
        <v>2.5499999999999998</v>
      </c>
      <c r="G222" s="45">
        <v>250</v>
      </c>
      <c r="H222" s="22">
        <v>2.2000000000000002</v>
      </c>
      <c r="I222" s="6">
        <f t="shared" si="3"/>
        <v>981.75</v>
      </c>
      <c r="J222" s="7" t="s">
        <v>88</v>
      </c>
    </row>
    <row r="223" spans="1:10" ht="13.95" customHeight="1" x14ac:dyDescent="0.3">
      <c r="A223" s="20">
        <v>45910</v>
      </c>
      <c r="B223" s="20" t="s">
        <v>3237</v>
      </c>
      <c r="C223" s="19" t="s">
        <v>5</v>
      </c>
      <c r="D223" s="19" t="s">
        <v>9</v>
      </c>
      <c r="E223" s="4">
        <v>0.75</v>
      </c>
      <c r="F223" s="42">
        <v>2.6</v>
      </c>
      <c r="G223" s="45">
        <v>250</v>
      </c>
      <c r="H223" s="22">
        <v>2.2000000000000002</v>
      </c>
      <c r="I223" s="6">
        <f t="shared" si="3"/>
        <v>1072.5</v>
      </c>
      <c r="J223" s="7" t="s">
        <v>88</v>
      </c>
    </row>
    <row r="224" spans="1:10" ht="13.95" customHeight="1" x14ac:dyDescent="0.3">
      <c r="A224" s="20">
        <v>45911</v>
      </c>
      <c r="B224" s="20" t="s">
        <v>3237</v>
      </c>
      <c r="C224" s="19" t="s">
        <v>8</v>
      </c>
      <c r="D224" s="19" t="s">
        <v>9</v>
      </c>
      <c r="E224" s="4">
        <v>0.75</v>
      </c>
      <c r="F224" s="42">
        <v>2.65</v>
      </c>
      <c r="G224" s="45">
        <v>250</v>
      </c>
      <c r="H224" s="22">
        <v>2.2000000000000002</v>
      </c>
      <c r="I224" s="6">
        <f t="shared" si="3"/>
        <v>1093.125</v>
      </c>
      <c r="J224" s="7" t="s">
        <v>88</v>
      </c>
    </row>
    <row r="225" spans="1:10" ht="13.95" customHeight="1" x14ac:dyDescent="0.3">
      <c r="A225" s="20">
        <v>45912</v>
      </c>
      <c r="B225" s="20" t="s">
        <v>3237</v>
      </c>
      <c r="C225" s="19" t="s">
        <v>11</v>
      </c>
      <c r="D225" s="19" t="s">
        <v>14</v>
      </c>
      <c r="E225" s="4">
        <v>0.8</v>
      </c>
      <c r="F225" s="42">
        <v>3</v>
      </c>
      <c r="G225" s="45">
        <v>250</v>
      </c>
      <c r="H225" s="22">
        <v>2.2000000000000002</v>
      </c>
      <c r="I225" s="6">
        <f t="shared" si="3"/>
        <v>1320</v>
      </c>
      <c r="J225" s="7" t="s">
        <v>67</v>
      </c>
    </row>
    <row r="226" spans="1:10" ht="13.95" customHeight="1" x14ac:dyDescent="0.3">
      <c r="A226" s="20">
        <v>45913</v>
      </c>
      <c r="B226" s="20" t="s">
        <v>3237</v>
      </c>
      <c r="C226" s="19" t="s">
        <v>13</v>
      </c>
      <c r="D226" s="19" t="s">
        <v>3091</v>
      </c>
      <c r="E226" s="4">
        <v>0.9</v>
      </c>
      <c r="F226" s="42">
        <v>3.7</v>
      </c>
      <c r="G226" s="45">
        <v>250</v>
      </c>
      <c r="H226" s="22">
        <v>2.2000000000000002</v>
      </c>
      <c r="I226" s="6">
        <f t="shared" si="3"/>
        <v>1831.5000000000002</v>
      </c>
      <c r="J226" s="7" t="s">
        <v>1711</v>
      </c>
    </row>
    <row r="227" spans="1:10" ht="13.95" customHeight="1" x14ac:dyDescent="0.3">
      <c r="A227" s="20">
        <v>45914</v>
      </c>
      <c r="B227" s="20" t="s">
        <v>3237</v>
      </c>
      <c r="C227" s="19" t="s">
        <v>16</v>
      </c>
      <c r="D227" s="19" t="s">
        <v>3098</v>
      </c>
      <c r="E227" s="4">
        <v>0.85</v>
      </c>
      <c r="F227" s="42">
        <v>3.2</v>
      </c>
      <c r="G227" s="45">
        <v>250</v>
      </c>
      <c r="H227" s="22">
        <v>2.2000000000000002</v>
      </c>
      <c r="I227" s="6">
        <f t="shared" si="3"/>
        <v>1496.0000000000002</v>
      </c>
      <c r="J227" s="7" t="s">
        <v>3113</v>
      </c>
    </row>
    <row r="228" spans="1:10" ht="13.95" customHeight="1" x14ac:dyDescent="0.3">
      <c r="A228" s="20">
        <v>45915</v>
      </c>
      <c r="B228" s="20" t="s">
        <v>3237</v>
      </c>
      <c r="C228" s="19" t="s">
        <v>18</v>
      </c>
      <c r="D228" s="19" t="s">
        <v>9</v>
      </c>
      <c r="E228" s="4">
        <v>0.7</v>
      </c>
      <c r="F228" s="42">
        <v>2.5499999999999998</v>
      </c>
      <c r="G228" s="45">
        <v>250</v>
      </c>
      <c r="H228" s="22">
        <v>2.2000000000000002</v>
      </c>
      <c r="I228" s="6">
        <f t="shared" si="3"/>
        <v>981.75</v>
      </c>
      <c r="J228" s="7" t="s">
        <v>3129</v>
      </c>
    </row>
    <row r="229" spans="1:10" ht="13.95" customHeight="1" x14ac:dyDescent="0.3">
      <c r="A229" s="20">
        <v>45916</v>
      </c>
      <c r="B229" s="20" t="s">
        <v>3237</v>
      </c>
      <c r="C229" s="19" t="s">
        <v>20</v>
      </c>
      <c r="D229" s="19" t="s">
        <v>9</v>
      </c>
      <c r="E229" s="4">
        <v>0.7</v>
      </c>
      <c r="F229" s="42">
        <v>2.5</v>
      </c>
      <c r="G229" s="45">
        <v>250</v>
      </c>
      <c r="H229" s="22">
        <v>2.2000000000000002</v>
      </c>
      <c r="I229" s="6">
        <f t="shared" si="3"/>
        <v>962.50000000000011</v>
      </c>
      <c r="J229" s="7" t="s">
        <v>150</v>
      </c>
    </row>
    <row r="230" spans="1:10" ht="13.95" customHeight="1" x14ac:dyDescent="0.3">
      <c r="A230" s="20">
        <v>45917</v>
      </c>
      <c r="B230" s="20" t="s">
        <v>3237</v>
      </c>
      <c r="C230" s="19" t="s">
        <v>5</v>
      </c>
      <c r="D230" s="19" t="s">
        <v>9</v>
      </c>
      <c r="E230" s="4">
        <v>0.7</v>
      </c>
      <c r="F230" s="42">
        <v>2.5</v>
      </c>
      <c r="G230" s="45">
        <v>250</v>
      </c>
      <c r="H230" s="22">
        <v>2.2000000000000002</v>
      </c>
      <c r="I230" s="6">
        <f t="shared" si="3"/>
        <v>962.50000000000011</v>
      </c>
      <c r="J230" s="7" t="s">
        <v>88</v>
      </c>
    </row>
    <row r="231" spans="1:10" ht="13.95" customHeight="1" x14ac:dyDescent="0.3">
      <c r="A231" s="20">
        <v>45918</v>
      </c>
      <c r="B231" s="20" t="s">
        <v>3237</v>
      </c>
      <c r="C231" s="19" t="s">
        <v>8</v>
      </c>
      <c r="D231" s="19" t="s">
        <v>9</v>
      </c>
      <c r="E231" s="4">
        <v>0.75</v>
      </c>
      <c r="F231" s="42">
        <v>2.6</v>
      </c>
      <c r="G231" s="45">
        <v>250</v>
      </c>
      <c r="H231" s="22">
        <v>2.2000000000000002</v>
      </c>
      <c r="I231" s="6">
        <f t="shared" si="3"/>
        <v>1072.5</v>
      </c>
      <c r="J231" s="7" t="s">
        <v>88</v>
      </c>
    </row>
    <row r="232" spans="1:10" ht="13.95" customHeight="1" x14ac:dyDescent="0.3">
      <c r="A232" s="20">
        <v>45766</v>
      </c>
      <c r="B232" s="20" t="s">
        <v>3237</v>
      </c>
      <c r="C232" s="19" t="s">
        <v>11</v>
      </c>
      <c r="D232" s="19" t="s">
        <v>14</v>
      </c>
      <c r="E232" s="4">
        <v>0.8</v>
      </c>
      <c r="F232" s="42">
        <v>3</v>
      </c>
      <c r="G232" s="45">
        <v>250</v>
      </c>
      <c r="H232" s="22">
        <v>2.2000000000000002</v>
      </c>
      <c r="I232" s="6">
        <f t="shared" si="3"/>
        <v>1320</v>
      </c>
      <c r="J232" s="7" t="s">
        <v>390</v>
      </c>
    </row>
    <row r="233" spans="1:10" ht="13.95" customHeight="1" x14ac:dyDescent="0.3">
      <c r="A233" s="20">
        <v>45920</v>
      </c>
      <c r="B233" s="20" t="s">
        <v>3237</v>
      </c>
      <c r="C233" s="19" t="s">
        <v>13</v>
      </c>
      <c r="D233" s="19" t="s">
        <v>3138</v>
      </c>
      <c r="E233" s="4">
        <v>0.85</v>
      </c>
      <c r="F233" s="42">
        <v>3.7</v>
      </c>
      <c r="G233" s="45">
        <v>250</v>
      </c>
      <c r="H233" s="22">
        <v>2.2000000000000002</v>
      </c>
      <c r="I233" s="6">
        <f t="shared" si="3"/>
        <v>1729.7500000000002</v>
      </c>
      <c r="J233" s="7" t="s">
        <v>3139</v>
      </c>
    </row>
    <row r="234" spans="1:10" ht="13.95" customHeight="1" x14ac:dyDescent="0.3">
      <c r="A234" s="20">
        <v>45921</v>
      </c>
      <c r="B234" s="20" t="s">
        <v>3237</v>
      </c>
      <c r="C234" s="19" t="s">
        <v>16</v>
      </c>
      <c r="D234" s="19" t="s">
        <v>3098</v>
      </c>
      <c r="E234" s="4">
        <v>0.8</v>
      </c>
      <c r="F234" s="42">
        <v>3.2</v>
      </c>
      <c r="G234" s="45">
        <v>250</v>
      </c>
      <c r="H234" s="22">
        <v>2.2000000000000002</v>
      </c>
      <c r="I234" s="6">
        <f t="shared" si="3"/>
        <v>1408</v>
      </c>
      <c r="J234" s="7" t="s">
        <v>139</v>
      </c>
    </row>
    <row r="235" spans="1:10" ht="13.95" customHeight="1" x14ac:dyDescent="0.3">
      <c r="A235" s="20">
        <v>45922</v>
      </c>
      <c r="B235" s="20" t="s">
        <v>3237</v>
      </c>
      <c r="C235" s="19" t="s">
        <v>18</v>
      </c>
      <c r="D235" s="19" t="s">
        <v>9</v>
      </c>
      <c r="E235" s="4">
        <v>0.65</v>
      </c>
      <c r="F235" s="42">
        <v>2.5</v>
      </c>
      <c r="G235" s="45">
        <v>250</v>
      </c>
      <c r="H235" s="22">
        <v>2.2000000000000002</v>
      </c>
      <c r="I235" s="6">
        <f t="shared" si="3"/>
        <v>893.75000000000011</v>
      </c>
      <c r="J235" s="7" t="s">
        <v>88</v>
      </c>
    </row>
    <row r="236" spans="1:10" ht="13.95" customHeight="1" x14ac:dyDescent="0.3">
      <c r="A236" s="20">
        <v>45923</v>
      </c>
      <c r="B236" s="20" t="s">
        <v>3237</v>
      </c>
      <c r="C236" s="19" t="s">
        <v>20</v>
      </c>
      <c r="D236" s="19" t="s">
        <v>9</v>
      </c>
      <c r="E236" s="4">
        <v>0.65</v>
      </c>
      <c r="F236" s="42">
        <v>2.5</v>
      </c>
      <c r="G236" s="45">
        <v>250</v>
      </c>
      <c r="H236" s="22">
        <v>2.2000000000000002</v>
      </c>
      <c r="I236" s="6">
        <f t="shared" si="3"/>
        <v>893.75000000000011</v>
      </c>
      <c r="J236" s="7" t="s">
        <v>88</v>
      </c>
    </row>
    <row r="237" spans="1:10" ht="13.95" customHeight="1" x14ac:dyDescent="0.3">
      <c r="A237" s="20">
        <v>45924</v>
      </c>
      <c r="B237" s="20" t="s">
        <v>3237</v>
      </c>
      <c r="C237" s="19" t="s">
        <v>5</v>
      </c>
      <c r="D237" s="19" t="s">
        <v>9</v>
      </c>
      <c r="E237" s="4">
        <v>0.7</v>
      </c>
      <c r="F237" s="42">
        <v>2.5499999999999998</v>
      </c>
      <c r="G237" s="45">
        <v>250</v>
      </c>
      <c r="H237" s="22">
        <v>2.2000000000000002</v>
      </c>
      <c r="I237" s="6">
        <f t="shared" si="3"/>
        <v>981.75</v>
      </c>
      <c r="J237" s="7" t="s">
        <v>88</v>
      </c>
    </row>
    <row r="238" spans="1:10" ht="13.95" customHeight="1" x14ac:dyDescent="0.3">
      <c r="A238" s="20">
        <v>45925</v>
      </c>
      <c r="B238" s="20" t="s">
        <v>3237</v>
      </c>
      <c r="C238" s="19" t="s">
        <v>8</v>
      </c>
      <c r="D238" s="19" t="s">
        <v>9</v>
      </c>
      <c r="E238" s="4">
        <v>0.7</v>
      </c>
      <c r="F238" s="42">
        <v>2.65</v>
      </c>
      <c r="G238" s="45">
        <v>250</v>
      </c>
      <c r="H238" s="22">
        <v>2.2000000000000002</v>
      </c>
      <c r="I238" s="6">
        <f t="shared" si="3"/>
        <v>1020.2500000000001</v>
      </c>
      <c r="J238" s="7" t="s">
        <v>88</v>
      </c>
    </row>
    <row r="239" spans="1:10" ht="13.95" customHeight="1" x14ac:dyDescent="0.3">
      <c r="A239" s="20">
        <v>45926</v>
      </c>
      <c r="B239" s="20" t="s">
        <v>3237</v>
      </c>
      <c r="C239" s="19" t="s">
        <v>11</v>
      </c>
      <c r="D239" s="19" t="s">
        <v>14</v>
      </c>
      <c r="E239" s="4">
        <v>0.75</v>
      </c>
      <c r="F239" s="42">
        <v>3</v>
      </c>
      <c r="G239" s="45">
        <v>250</v>
      </c>
      <c r="H239" s="22">
        <v>2.2000000000000002</v>
      </c>
      <c r="I239" s="6">
        <f t="shared" si="3"/>
        <v>1237.5</v>
      </c>
      <c r="J239" s="7" t="s">
        <v>67</v>
      </c>
    </row>
    <row r="240" spans="1:10" ht="13.95" customHeight="1" x14ac:dyDescent="0.3">
      <c r="A240" s="20">
        <v>45927</v>
      </c>
      <c r="B240" s="20" t="s">
        <v>3237</v>
      </c>
      <c r="C240" s="19" t="s">
        <v>13</v>
      </c>
      <c r="D240" s="19" t="s">
        <v>3130</v>
      </c>
      <c r="E240" s="4">
        <v>0.9</v>
      </c>
      <c r="F240" s="42">
        <v>3.65</v>
      </c>
      <c r="G240" s="45">
        <v>250</v>
      </c>
      <c r="H240" s="22">
        <v>2.2000000000000002</v>
      </c>
      <c r="I240" s="6">
        <f t="shared" si="3"/>
        <v>1806.7500000000002</v>
      </c>
      <c r="J240" s="7" t="s">
        <v>2454</v>
      </c>
    </row>
    <row r="241" spans="1:10" ht="13.95" customHeight="1" x14ac:dyDescent="0.3">
      <c r="A241" s="20">
        <v>45928</v>
      </c>
      <c r="B241" s="20" t="s">
        <v>3237</v>
      </c>
      <c r="C241" s="19" t="s">
        <v>16</v>
      </c>
      <c r="D241" s="19" t="s">
        <v>3098</v>
      </c>
      <c r="E241" s="4">
        <v>0.85</v>
      </c>
      <c r="F241" s="42">
        <v>3.2</v>
      </c>
      <c r="G241" s="45">
        <v>250</v>
      </c>
      <c r="H241" s="22">
        <v>2.2000000000000002</v>
      </c>
      <c r="I241" s="6">
        <f t="shared" si="3"/>
        <v>1496.0000000000002</v>
      </c>
      <c r="J241" s="7" t="s">
        <v>1697</v>
      </c>
    </row>
    <row r="242" spans="1:10" ht="13.95" customHeight="1" x14ac:dyDescent="0.3">
      <c r="A242" s="20">
        <v>45929</v>
      </c>
      <c r="B242" s="20" t="s">
        <v>3237</v>
      </c>
      <c r="C242" s="19" t="s">
        <v>18</v>
      </c>
      <c r="D242" s="19" t="s">
        <v>9</v>
      </c>
      <c r="E242" s="4">
        <v>0.65</v>
      </c>
      <c r="F242" s="42">
        <v>2.5</v>
      </c>
      <c r="G242" s="45">
        <v>250</v>
      </c>
      <c r="H242" s="22">
        <v>2.2000000000000002</v>
      </c>
      <c r="I242" s="6">
        <f t="shared" si="3"/>
        <v>893.75000000000011</v>
      </c>
      <c r="J242" s="7" t="s">
        <v>99</v>
      </c>
    </row>
    <row r="243" spans="1:10" ht="13.95" customHeight="1" x14ac:dyDescent="0.3">
      <c r="A243" s="20">
        <v>45930</v>
      </c>
      <c r="B243" s="20" t="s">
        <v>3237</v>
      </c>
      <c r="C243" s="19" t="s">
        <v>20</v>
      </c>
      <c r="D243" s="19" t="s">
        <v>9</v>
      </c>
      <c r="E243" s="4">
        <v>0.65</v>
      </c>
      <c r="F243" s="42">
        <v>2.5</v>
      </c>
      <c r="G243" s="45">
        <v>250</v>
      </c>
      <c r="H243" s="22">
        <v>2.2000000000000002</v>
      </c>
      <c r="I243" s="6">
        <f t="shared" si="3"/>
        <v>893.75000000000011</v>
      </c>
      <c r="J243" s="7" t="s">
        <v>3211</v>
      </c>
    </row>
    <row r="244" spans="1:10" ht="13.95" customHeight="1" x14ac:dyDescent="0.3">
      <c r="A244" s="20">
        <v>45870</v>
      </c>
      <c r="B244" s="20" t="s">
        <v>3237</v>
      </c>
      <c r="C244" s="19" t="s">
        <v>11</v>
      </c>
      <c r="D244" s="19" t="s">
        <v>829</v>
      </c>
      <c r="E244" s="4">
        <v>1</v>
      </c>
      <c r="F244" s="42">
        <v>3.9</v>
      </c>
      <c r="G244" s="45">
        <v>250</v>
      </c>
      <c r="H244" s="22">
        <v>2.6</v>
      </c>
      <c r="I244" s="6">
        <f t="shared" si="3"/>
        <v>2535</v>
      </c>
      <c r="J244" s="7" t="s">
        <v>531</v>
      </c>
    </row>
    <row r="245" spans="1:10" ht="13.95" customHeight="1" x14ac:dyDescent="0.3">
      <c r="A245" s="20">
        <v>45871</v>
      </c>
      <c r="B245" s="20" t="s">
        <v>3237</v>
      </c>
      <c r="C245" s="19" t="s">
        <v>13</v>
      </c>
      <c r="D245" s="19" t="s">
        <v>3117</v>
      </c>
      <c r="E245" s="4">
        <v>1</v>
      </c>
      <c r="F245" s="42">
        <v>4.5</v>
      </c>
      <c r="G245" s="45">
        <v>250</v>
      </c>
      <c r="H245" s="22">
        <v>2.6</v>
      </c>
      <c r="I245" s="6">
        <f t="shared" si="3"/>
        <v>2925</v>
      </c>
      <c r="J245" s="7" t="s">
        <v>3212</v>
      </c>
    </row>
    <row r="246" spans="1:10" ht="13.95" customHeight="1" x14ac:dyDescent="0.3">
      <c r="A246" s="20">
        <v>45872</v>
      </c>
      <c r="B246" s="20" t="s">
        <v>3237</v>
      </c>
      <c r="C246" s="19" t="s">
        <v>16</v>
      </c>
      <c r="D246" s="19" t="s">
        <v>3098</v>
      </c>
      <c r="E246" s="4">
        <v>1</v>
      </c>
      <c r="F246" s="42">
        <v>4</v>
      </c>
      <c r="G246" s="45">
        <v>250</v>
      </c>
      <c r="H246" s="22">
        <v>2.6</v>
      </c>
      <c r="I246" s="6">
        <f t="shared" si="3"/>
        <v>2600</v>
      </c>
      <c r="J246" s="7" t="s">
        <v>3094</v>
      </c>
    </row>
    <row r="247" spans="1:10" ht="13.95" customHeight="1" x14ac:dyDescent="0.3">
      <c r="A247" s="20">
        <v>45873</v>
      </c>
      <c r="B247" s="20" t="s">
        <v>3237</v>
      </c>
      <c r="C247" s="19" t="s">
        <v>18</v>
      </c>
      <c r="D247" s="19" t="s">
        <v>1347</v>
      </c>
      <c r="E247" s="4">
        <v>0.95</v>
      </c>
      <c r="F247" s="42">
        <v>3.1</v>
      </c>
      <c r="G247" s="45">
        <v>250</v>
      </c>
      <c r="H247" s="22">
        <v>2.6</v>
      </c>
      <c r="I247" s="6">
        <f t="shared" si="3"/>
        <v>1914.25</v>
      </c>
      <c r="J247" s="7" t="s">
        <v>3129</v>
      </c>
    </row>
    <row r="248" spans="1:10" ht="13.95" customHeight="1" x14ac:dyDescent="0.3">
      <c r="A248" s="20">
        <v>45874</v>
      </c>
      <c r="B248" s="20" t="s">
        <v>3237</v>
      </c>
      <c r="C248" s="19" t="s">
        <v>20</v>
      </c>
      <c r="D248" s="19" t="s">
        <v>1347</v>
      </c>
      <c r="E248" s="4">
        <v>0.95</v>
      </c>
      <c r="F248" s="42">
        <v>3.1</v>
      </c>
      <c r="G248" s="45">
        <v>250</v>
      </c>
      <c r="H248" s="22">
        <v>2.6</v>
      </c>
      <c r="I248" s="6">
        <f t="shared" si="3"/>
        <v>1914.25</v>
      </c>
      <c r="J248" s="7" t="s">
        <v>2194</v>
      </c>
    </row>
    <row r="249" spans="1:10" ht="13.95" customHeight="1" x14ac:dyDescent="0.3">
      <c r="A249" s="20">
        <v>45875</v>
      </c>
      <c r="B249" s="20" t="s">
        <v>3237</v>
      </c>
      <c r="C249" s="19" t="s">
        <v>5</v>
      </c>
      <c r="D249" s="19" t="s">
        <v>1347</v>
      </c>
      <c r="E249" s="4">
        <v>0.95</v>
      </c>
      <c r="F249" s="42">
        <v>3.2</v>
      </c>
      <c r="G249" s="45">
        <v>250</v>
      </c>
      <c r="H249" s="22">
        <v>2.6</v>
      </c>
      <c r="I249" s="6">
        <f t="shared" si="3"/>
        <v>1976</v>
      </c>
      <c r="J249" s="7" t="s">
        <v>88</v>
      </c>
    </row>
    <row r="250" spans="1:10" ht="13.95" customHeight="1" x14ac:dyDescent="0.3">
      <c r="A250" s="20">
        <v>45876</v>
      </c>
      <c r="B250" s="20" t="s">
        <v>3237</v>
      </c>
      <c r="C250" s="19" t="s">
        <v>8</v>
      </c>
      <c r="D250" s="19" t="s">
        <v>1347</v>
      </c>
      <c r="E250" s="4">
        <v>1</v>
      </c>
      <c r="F250" s="42">
        <v>3.3</v>
      </c>
      <c r="G250" s="45">
        <v>250</v>
      </c>
      <c r="H250" s="22">
        <v>2.6</v>
      </c>
      <c r="I250" s="6">
        <f t="shared" si="3"/>
        <v>2145</v>
      </c>
      <c r="J250" s="7" t="s">
        <v>82</v>
      </c>
    </row>
    <row r="251" spans="1:10" ht="13.95" customHeight="1" x14ac:dyDescent="0.3">
      <c r="A251" s="20">
        <v>45877</v>
      </c>
      <c r="B251" s="20" t="s">
        <v>3237</v>
      </c>
      <c r="C251" s="19" t="s">
        <v>11</v>
      </c>
      <c r="D251" s="19" t="s">
        <v>829</v>
      </c>
      <c r="E251" s="4">
        <v>1</v>
      </c>
      <c r="F251" s="42">
        <v>4</v>
      </c>
      <c r="G251" s="45">
        <v>250</v>
      </c>
      <c r="H251" s="22">
        <v>2.6</v>
      </c>
      <c r="I251" s="6">
        <f t="shared" si="3"/>
        <v>2600</v>
      </c>
      <c r="J251" s="7" t="s">
        <v>2654</v>
      </c>
    </row>
    <row r="252" spans="1:10" ht="13.95" customHeight="1" x14ac:dyDescent="0.3">
      <c r="A252" s="20">
        <v>45878</v>
      </c>
      <c r="B252" s="20" t="s">
        <v>3237</v>
      </c>
      <c r="C252" s="19" t="s">
        <v>13</v>
      </c>
      <c r="D252" s="19" t="s">
        <v>3096</v>
      </c>
      <c r="E252" s="4">
        <v>1</v>
      </c>
      <c r="F252" s="42">
        <v>4.5999999999999996</v>
      </c>
      <c r="G252" s="45">
        <v>250</v>
      </c>
      <c r="H252" s="22">
        <v>2.6</v>
      </c>
      <c r="I252" s="6">
        <f t="shared" si="3"/>
        <v>2990</v>
      </c>
      <c r="J252" s="7" t="s">
        <v>3115</v>
      </c>
    </row>
    <row r="253" spans="1:10" ht="13.95" customHeight="1" x14ac:dyDescent="0.3">
      <c r="A253" s="20">
        <v>45879</v>
      </c>
      <c r="B253" s="20" t="s">
        <v>3237</v>
      </c>
      <c r="C253" s="19" t="s">
        <v>16</v>
      </c>
      <c r="D253" s="19" t="s">
        <v>3098</v>
      </c>
      <c r="E253" s="4">
        <v>1</v>
      </c>
      <c r="F253" s="42">
        <v>4.0999999999999996</v>
      </c>
      <c r="G253" s="45">
        <v>250</v>
      </c>
      <c r="H253" s="22">
        <v>2.6</v>
      </c>
      <c r="I253" s="6">
        <f t="shared" si="3"/>
        <v>2665</v>
      </c>
      <c r="J253" s="7" t="s">
        <v>238</v>
      </c>
    </row>
    <row r="254" spans="1:10" ht="13.95" customHeight="1" x14ac:dyDescent="0.3">
      <c r="A254" s="20">
        <v>45880</v>
      </c>
      <c r="B254" s="20" t="s">
        <v>3237</v>
      </c>
      <c r="C254" s="19" t="s">
        <v>18</v>
      </c>
      <c r="D254" s="19" t="s">
        <v>1347</v>
      </c>
      <c r="E254" s="4">
        <v>0.95</v>
      </c>
      <c r="F254" s="42">
        <v>3.15</v>
      </c>
      <c r="G254" s="45">
        <v>250</v>
      </c>
      <c r="H254" s="22">
        <v>2.6</v>
      </c>
      <c r="I254" s="6">
        <f t="shared" si="3"/>
        <v>1945.125</v>
      </c>
      <c r="J254" s="7" t="s">
        <v>88</v>
      </c>
    </row>
    <row r="255" spans="1:10" ht="13.95" customHeight="1" x14ac:dyDescent="0.3">
      <c r="A255" s="20">
        <v>45881</v>
      </c>
      <c r="B255" s="20" t="s">
        <v>3237</v>
      </c>
      <c r="C255" s="19" t="s">
        <v>20</v>
      </c>
      <c r="D255" s="19" t="s">
        <v>1347</v>
      </c>
      <c r="E255" s="4">
        <v>0.95</v>
      </c>
      <c r="F255" s="42">
        <v>3.15</v>
      </c>
      <c r="G255" s="45">
        <v>250</v>
      </c>
      <c r="H255" s="22">
        <v>2.6</v>
      </c>
      <c r="I255" s="6">
        <f t="shared" si="3"/>
        <v>1945.125</v>
      </c>
      <c r="J255" s="7" t="s">
        <v>88</v>
      </c>
    </row>
    <row r="256" spans="1:10" ht="13.95" customHeight="1" x14ac:dyDescent="0.3">
      <c r="A256" s="20">
        <v>45882</v>
      </c>
      <c r="B256" s="20" t="s">
        <v>3237</v>
      </c>
      <c r="C256" s="19" t="s">
        <v>5</v>
      </c>
      <c r="D256" s="19" t="s">
        <v>3123</v>
      </c>
      <c r="E256" s="4">
        <v>1</v>
      </c>
      <c r="F256" s="42">
        <v>4.3</v>
      </c>
      <c r="G256" s="45">
        <v>250</v>
      </c>
      <c r="H256" s="22">
        <v>2.6</v>
      </c>
      <c r="I256" s="6">
        <f t="shared" si="3"/>
        <v>2795</v>
      </c>
      <c r="J256" s="7" t="s">
        <v>3213</v>
      </c>
    </row>
    <row r="257" spans="1:10" ht="13.95" customHeight="1" x14ac:dyDescent="0.3">
      <c r="A257" s="20">
        <v>45883</v>
      </c>
      <c r="B257" s="20" t="s">
        <v>3237</v>
      </c>
      <c r="C257" s="19" t="s">
        <v>8</v>
      </c>
      <c r="D257" s="19" t="s">
        <v>2874</v>
      </c>
      <c r="E257" s="4">
        <v>1</v>
      </c>
      <c r="F257" s="42">
        <v>3.7</v>
      </c>
      <c r="G257" s="45">
        <v>250</v>
      </c>
      <c r="H257" s="22">
        <v>2.6</v>
      </c>
      <c r="I257" s="6">
        <f t="shared" si="3"/>
        <v>2405</v>
      </c>
      <c r="J257" s="7" t="s">
        <v>3124</v>
      </c>
    </row>
    <row r="258" spans="1:10" ht="13.95" customHeight="1" x14ac:dyDescent="0.3">
      <c r="A258" s="20">
        <v>45884</v>
      </c>
      <c r="B258" s="20" t="s">
        <v>3237</v>
      </c>
      <c r="C258" s="19" t="s">
        <v>11</v>
      </c>
      <c r="D258" s="19" t="s">
        <v>2809</v>
      </c>
      <c r="E258" s="4">
        <v>1</v>
      </c>
      <c r="F258" s="42">
        <v>4.4000000000000004</v>
      </c>
      <c r="G258" s="45">
        <v>250</v>
      </c>
      <c r="H258" s="22">
        <v>2.6</v>
      </c>
      <c r="I258" s="6">
        <f t="shared" si="3"/>
        <v>2860</v>
      </c>
      <c r="J258" s="7" t="s">
        <v>3214</v>
      </c>
    </row>
    <row r="259" spans="1:10" ht="13.95" customHeight="1" x14ac:dyDescent="0.3">
      <c r="A259" s="20">
        <v>45885</v>
      </c>
      <c r="B259" s="20" t="s">
        <v>3237</v>
      </c>
      <c r="C259" s="19" t="s">
        <v>13</v>
      </c>
      <c r="D259" s="19" t="s">
        <v>3125</v>
      </c>
      <c r="E259" s="4">
        <v>1</v>
      </c>
      <c r="F259" s="42">
        <v>4.7</v>
      </c>
      <c r="G259" s="45">
        <v>250</v>
      </c>
      <c r="H259" s="22">
        <v>2.6</v>
      </c>
      <c r="I259" s="6">
        <f t="shared" si="3"/>
        <v>3055</v>
      </c>
      <c r="J259" s="7" t="s">
        <v>3215</v>
      </c>
    </row>
    <row r="260" spans="1:10" ht="13.95" customHeight="1" x14ac:dyDescent="0.3">
      <c r="A260" s="20">
        <v>45886</v>
      </c>
      <c r="B260" s="20" t="s">
        <v>3237</v>
      </c>
      <c r="C260" s="19" t="s">
        <v>16</v>
      </c>
      <c r="D260" s="19" t="s">
        <v>3098</v>
      </c>
      <c r="E260" s="4">
        <v>1</v>
      </c>
      <c r="F260" s="42">
        <v>4.2</v>
      </c>
      <c r="G260" s="45">
        <v>250</v>
      </c>
      <c r="H260" s="22">
        <v>2.6</v>
      </c>
      <c r="I260" s="6">
        <f t="shared" ref="I260:I323" si="4">(G260*E260)*F260*H260</f>
        <v>2730</v>
      </c>
      <c r="J260" s="7" t="s">
        <v>1336</v>
      </c>
    </row>
    <row r="261" spans="1:10" ht="13.95" customHeight="1" x14ac:dyDescent="0.3">
      <c r="A261" s="20">
        <v>45887</v>
      </c>
      <c r="B261" s="20" t="s">
        <v>3237</v>
      </c>
      <c r="C261" s="19" t="s">
        <v>18</v>
      </c>
      <c r="D261" s="19" t="s">
        <v>1347</v>
      </c>
      <c r="E261" s="4">
        <v>0.95</v>
      </c>
      <c r="F261" s="42">
        <v>3.2</v>
      </c>
      <c r="G261" s="45">
        <v>250</v>
      </c>
      <c r="H261" s="22">
        <v>2.6</v>
      </c>
      <c r="I261" s="6">
        <f t="shared" si="4"/>
        <v>1976</v>
      </c>
      <c r="J261" s="7" t="s">
        <v>88</v>
      </c>
    </row>
    <row r="262" spans="1:10" ht="13.95" customHeight="1" x14ac:dyDescent="0.3">
      <c r="A262" s="20">
        <v>45888</v>
      </c>
      <c r="B262" s="20" t="s">
        <v>3237</v>
      </c>
      <c r="C262" s="19" t="s">
        <v>20</v>
      </c>
      <c r="D262" s="19" t="s">
        <v>1347</v>
      </c>
      <c r="E262" s="4">
        <v>0.95</v>
      </c>
      <c r="F262" s="42">
        <v>3.2</v>
      </c>
      <c r="G262" s="45">
        <v>250</v>
      </c>
      <c r="H262" s="22">
        <v>2.6</v>
      </c>
      <c r="I262" s="6">
        <f t="shared" si="4"/>
        <v>1976</v>
      </c>
      <c r="J262" s="7" t="s">
        <v>88</v>
      </c>
    </row>
    <row r="263" spans="1:10" ht="13.95" customHeight="1" x14ac:dyDescent="0.3">
      <c r="A263" s="20">
        <v>45889</v>
      </c>
      <c r="B263" s="20" t="s">
        <v>3237</v>
      </c>
      <c r="C263" s="19" t="s">
        <v>5</v>
      </c>
      <c r="D263" s="19" t="s">
        <v>1347</v>
      </c>
      <c r="E263" s="4">
        <v>0.95</v>
      </c>
      <c r="F263" s="42">
        <v>3.3</v>
      </c>
      <c r="G263" s="45">
        <v>250</v>
      </c>
      <c r="H263" s="22">
        <v>2.6</v>
      </c>
      <c r="I263" s="6">
        <f t="shared" si="4"/>
        <v>2037.75</v>
      </c>
      <c r="J263" s="7" t="s">
        <v>88</v>
      </c>
    </row>
    <row r="264" spans="1:10" ht="13.95" customHeight="1" x14ac:dyDescent="0.3">
      <c r="A264" s="20">
        <v>45890</v>
      </c>
      <c r="B264" s="20" t="s">
        <v>3237</v>
      </c>
      <c r="C264" s="19" t="s">
        <v>8</v>
      </c>
      <c r="D264" s="19" t="s">
        <v>1347</v>
      </c>
      <c r="E264" s="4">
        <v>1</v>
      </c>
      <c r="F264" s="42">
        <v>3.4</v>
      </c>
      <c r="G264" s="45">
        <v>250</v>
      </c>
      <c r="H264" s="22">
        <v>2.6</v>
      </c>
      <c r="I264" s="6">
        <f t="shared" si="4"/>
        <v>2210</v>
      </c>
      <c r="J264" s="7" t="s">
        <v>82</v>
      </c>
    </row>
    <row r="265" spans="1:10" ht="13.95" customHeight="1" x14ac:dyDescent="0.3">
      <c r="A265" s="20">
        <v>45891</v>
      </c>
      <c r="B265" s="20" t="s">
        <v>3237</v>
      </c>
      <c r="C265" s="19" t="s">
        <v>11</v>
      </c>
      <c r="D265" s="19" t="s">
        <v>829</v>
      </c>
      <c r="E265" s="4">
        <v>1</v>
      </c>
      <c r="F265" s="42">
        <v>4.0999999999999996</v>
      </c>
      <c r="G265" s="45">
        <v>250</v>
      </c>
      <c r="H265" s="22">
        <v>2.6</v>
      </c>
      <c r="I265" s="6">
        <f t="shared" si="4"/>
        <v>2665</v>
      </c>
      <c r="J265" s="7" t="s">
        <v>1463</v>
      </c>
    </row>
    <row r="266" spans="1:10" ht="13.95" customHeight="1" x14ac:dyDescent="0.3">
      <c r="A266" s="20">
        <v>45892</v>
      </c>
      <c r="B266" s="20" t="s">
        <v>3237</v>
      </c>
      <c r="C266" s="19" t="s">
        <v>13</v>
      </c>
      <c r="D266" s="19" t="s">
        <v>3091</v>
      </c>
      <c r="E266" s="4">
        <v>1</v>
      </c>
      <c r="F266" s="42">
        <v>4.5999999999999996</v>
      </c>
      <c r="G266" s="45">
        <v>250</v>
      </c>
      <c r="H266" s="22">
        <v>2.6</v>
      </c>
      <c r="I266" s="6">
        <f t="shared" si="4"/>
        <v>2990</v>
      </c>
      <c r="J266" s="7" t="s">
        <v>1811</v>
      </c>
    </row>
    <row r="267" spans="1:10" ht="13.95" customHeight="1" x14ac:dyDescent="0.3">
      <c r="A267" s="20">
        <v>45893</v>
      </c>
      <c r="B267" s="20" t="s">
        <v>3237</v>
      </c>
      <c r="C267" s="19" t="s">
        <v>16</v>
      </c>
      <c r="D267" s="19" t="s">
        <v>3098</v>
      </c>
      <c r="E267" s="4">
        <v>1</v>
      </c>
      <c r="F267" s="42">
        <v>4.0999999999999996</v>
      </c>
      <c r="G267" s="45">
        <v>250</v>
      </c>
      <c r="H267" s="22">
        <v>2.6</v>
      </c>
      <c r="I267" s="6">
        <f t="shared" si="4"/>
        <v>2665</v>
      </c>
      <c r="J267" s="7" t="s">
        <v>3216</v>
      </c>
    </row>
    <row r="268" spans="1:10" ht="13.95" customHeight="1" x14ac:dyDescent="0.3">
      <c r="A268" s="20">
        <v>45894</v>
      </c>
      <c r="B268" s="20" t="s">
        <v>3237</v>
      </c>
      <c r="C268" s="19" t="s">
        <v>18</v>
      </c>
      <c r="D268" s="19" t="s">
        <v>1347</v>
      </c>
      <c r="E268" s="4">
        <v>0.9</v>
      </c>
      <c r="F268" s="42">
        <v>3.2</v>
      </c>
      <c r="G268" s="45">
        <v>250</v>
      </c>
      <c r="H268" s="22">
        <v>2.6</v>
      </c>
      <c r="I268" s="6">
        <f t="shared" si="4"/>
        <v>1872</v>
      </c>
      <c r="J268" s="7" t="s">
        <v>2812</v>
      </c>
    </row>
    <row r="269" spans="1:10" ht="13.95" customHeight="1" x14ac:dyDescent="0.3">
      <c r="A269" s="20">
        <v>45895</v>
      </c>
      <c r="B269" s="20" t="s">
        <v>3237</v>
      </c>
      <c r="C269" s="19" t="s">
        <v>20</v>
      </c>
      <c r="D269" s="19" t="s">
        <v>1347</v>
      </c>
      <c r="E269" s="4">
        <v>0.9</v>
      </c>
      <c r="F269" s="42">
        <v>3.2</v>
      </c>
      <c r="G269" s="45">
        <v>250</v>
      </c>
      <c r="H269" s="22">
        <v>2.6</v>
      </c>
      <c r="I269" s="6">
        <f t="shared" si="4"/>
        <v>1872</v>
      </c>
      <c r="J269" s="7" t="s">
        <v>88</v>
      </c>
    </row>
    <row r="270" spans="1:10" ht="13.95" customHeight="1" x14ac:dyDescent="0.3">
      <c r="A270" s="20">
        <v>45896</v>
      </c>
      <c r="B270" s="20" t="s">
        <v>3237</v>
      </c>
      <c r="C270" s="19" t="s">
        <v>5</v>
      </c>
      <c r="D270" s="19" t="s">
        <v>1347</v>
      </c>
      <c r="E270" s="4">
        <v>0.9</v>
      </c>
      <c r="F270" s="42">
        <v>3.3</v>
      </c>
      <c r="G270" s="45">
        <v>250</v>
      </c>
      <c r="H270" s="22">
        <v>2.6</v>
      </c>
      <c r="I270" s="6">
        <f t="shared" si="4"/>
        <v>1930.5</v>
      </c>
      <c r="J270" s="7" t="s">
        <v>88</v>
      </c>
    </row>
    <row r="271" spans="1:10" ht="13.95" customHeight="1" x14ac:dyDescent="0.3">
      <c r="A271" s="20">
        <v>45897</v>
      </c>
      <c r="B271" s="20" t="s">
        <v>3237</v>
      </c>
      <c r="C271" s="19" t="s">
        <v>8</v>
      </c>
      <c r="D271" s="19" t="s">
        <v>1347</v>
      </c>
      <c r="E271" s="4">
        <v>0.95</v>
      </c>
      <c r="F271" s="42">
        <v>3.4</v>
      </c>
      <c r="G271" s="45">
        <v>250</v>
      </c>
      <c r="H271" s="22">
        <v>2.6</v>
      </c>
      <c r="I271" s="6">
        <f t="shared" si="4"/>
        <v>2099.5</v>
      </c>
      <c r="J271" s="7" t="s">
        <v>3217</v>
      </c>
    </row>
    <row r="272" spans="1:10" ht="13.95" customHeight="1" x14ac:dyDescent="0.3">
      <c r="A272" s="20">
        <v>45898</v>
      </c>
      <c r="B272" s="20" t="s">
        <v>3237</v>
      </c>
      <c r="C272" s="19" t="s">
        <v>11</v>
      </c>
      <c r="D272" s="19" t="s">
        <v>829</v>
      </c>
      <c r="E272" s="4">
        <v>1</v>
      </c>
      <c r="F272" s="42">
        <v>4</v>
      </c>
      <c r="G272" s="45">
        <v>250</v>
      </c>
      <c r="H272" s="22">
        <v>2.6</v>
      </c>
      <c r="I272" s="6">
        <f t="shared" si="4"/>
        <v>2600</v>
      </c>
      <c r="J272" s="7" t="s">
        <v>3201</v>
      </c>
    </row>
    <row r="273" spans="1:10" ht="13.95" customHeight="1" x14ac:dyDescent="0.3">
      <c r="A273" s="20">
        <v>45899</v>
      </c>
      <c r="B273" s="20" t="s">
        <v>3237</v>
      </c>
      <c r="C273" s="19" t="s">
        <v>13</v>
      </c>
      <c r="D273" s="19" t="s">
        <v>3130</v>
      </c>
      <c r="E273" s="4">
        <v>1</v>
      </c>
      <c r="F273" s="42">
        <v>4.5999999999999996</v>
      </c>
      <c r="G273" s="45">
        <v>250</v>
      </c>
      <c r="H273" s="22">
        <v>2.6</v>
      </c>
      <c r="I273" s="6">
        <f t="shared" si="4"/>
        <v>2990</v>
      </c>
      <c r="J273" s="7" t="s">
        <v>3218</v>
      </c>
    </row>
    <row r="274" spans="1:10" ht="13.95" customHeight="1" x14ac:dyDescent="0.3">
      <c r="A274" s="20">
        <v>45900</v>
      </c>
      <c r="B274" s="20" t="s">
        <v>3237</v>
      </c>
      <c r="C274" s="19" t="s">
        <v>16</v>
      </c>
      <c r="D274" s="19" t="s">
        <v>3098</v>
      </c>
      <c r="E274" s="4">
        <v>1</v>
      </c>
      <c r="F274" s="42">
        <v>4.0999999999999996</v>
      </c>
      <c r="G274" s="45">
        <v>250</v>
      </c>
      <c r="H274" s="22">
        <v>2.6</v>
      </c>
      <c r="I274" s="6">
        <f t="shared" si="4"/>
        <v>2665</v>
      </c>
      <c r="J274" s="7" t="s">
        <v>755</v>
      </c>
    </row>
    <row r="275" spans="1:10" ht="13.95" customHeight="1" x14ac:dyDescent="0.3">
      <c r="A275" s="20">
        <v>45931</v>
      </c>
      <c r="B275" s="20" t="s">
        <v>3237</v>
      </c>
      <c r="C275" s="19" t="s">
        <v>5</v>
      </c>
      <c r="D275" s="19" t="s">
        <v>9</v>
      </c>
      <c r="E275" s="4">
        <v>0.6</v>
      </c>
      <c r="F275" s="42">
        <v>2.4</v>
      </c>
      <c r="G275" s="45">
        <v>250</v>
      </c>
      <c r="H275" s="22">
        <v>2.2000000000000002</v>
      </c>
      <c r="I275" s="6">
        <f t="shared" si="4"/>
        <v>792.00000000000011</v>
      </c>
      <c r="J275" s="7" t="s">
        <v>2193</v>
      </c>
    </row>
    <row r="276" spans="1:10" ht="13.95" customHeight="1" x14ac:dyDescent="0.3">
      <c r="A276" s="20">
        <v>45932</v>
      </c>
      <c r="B276" s="20" t="s">
        <v>3237</v>
      </c>
      <c r="C276" s="19" t="s">
        <v>8</v>
      </c>
      <c r="D276" s="19" t="s">
        <v>9</v>
      </c>
      <c r="E276" s="4">
        <v>0.6</v>
      </c>
      <c r="F276" s="42">
        <v>2.4</v>
      </c>
      <c r="G276" s="45">
        <v>250</v>
      </c>
      <c r="H276" s="22">
        <v>2.2000000000000002</v>
      </c>
      <c r="I276" s="6">
        <f t="shared" si="4"/>
        <v>792.00000000000011</v>
      </c>
      <c r="J276" s="7" t="s">
        <v>2194</v>
      </c>
    </row>
    <row r="277" spans="1:10" ht="13.95" customHeight="1" x14ac:dyDescent="0.3">
      <c r="A277" s="20">
        <v>45933</v>
      </c>
      <c r="B277" s="20" t="s">
        <v>3237</v>
      </c>
      <c r="C277" s="19" t="s">
        <v>11</v>
      </c>
      <c r="D277" s="19" t="s">
        <v>14</v>
      </c>
      <c r="E277" s="4">
        <v>0.7</v>
      </c>
      <c r="F277" s="42">
        <v>2.8</v>
      </c>
      <c r="G277" s="45">
        <v>250</v>
      </c>
      <c r="H277" s="22">
        <v>2.2000000000000002</v>
      </c>
      <c r="I277" s="6">
        <f t="shared" si="4"/>
        <v>1078</v>
      </c>
      <c r="J277" s="7" t="s">
        <v>282</v>
      </c>
    </row>
    <row r="278" spans="1:10" ht="13.95" customHeight="1" x14ac:dyDescent="0.3">
      <c r="A278" s="20">
        <v>45934</v>
      </c>
      <c r="B278" s="20" t="s">
        <v>3237</v>
      </c>
      <c r="C278" s="19" t="s">
        <v>13</v>
      </c>
      <c r="D278" s="19" t="s">
        <v>3096</v>
      </c>
      <c r="E278" s="4">
        <v>0.8</v>
      </c>
      <c r="F278" s="42">
        <v>3.5</v>
      </c>
      <c r="G278" s="45">
        <v>250</v>
      </c>
      <c r="H278" s="22">
        <v>2.2000000000000002</v>
      </c>
      <c r="I278" s="6">
        <f t="shared" si="4"/>
        <v>1540.0000000000002</v>
      </c>
      <c r="J278" s="7" t="s">
        <v>3109</v>
      </c>
    </row>
    <row r="279" spans="1:10" ht="13.95" customHeight="1" x14ac:dyDescent="0.3">
      <c r="A279" s="20">
        <v>45935</v>
      </c>
      <c r="B279" s="20" t="s">
        <v>3237</v>
      </c>
      <c r="C279" s="19" t="s">
        <v>16</v>
      </c>
      <c r="D279" s="19" t="s">
        <v>3098</v>
      </c>
      <c r="E279" s="4">
        <v>0.75</v>
      </c>
      <c r="F279" s="42">
        <v>3</v>
      </c>
      <c r="G279" s="45">
        <v>250</v>
      </c>
      <c r="H279" s="22">
        <v>2.2000000000000002</v>
      </c>
      <c r="I279" s="6">
        <f t="shared" si="4"/>
        <v>1237.5</v>
      </c>
      <c r="J279" s="7" t="s">
        <v>139</v>
      </c>
    </row>
    <row r="280" spans="1:10" ht="13.95" customHeight="1" x14ac:dyDescent="0.3">
      <c r="A280" s="20">
        <v>45936</v>
      </c>
      <c r="B280" s="20" t="s">
        <v>3237</v>
      </c>
      <c r="C280" s="19" t="s">
        <v>18</v>
      </c>
      <c r="D280" s="19" t="s">
        <v>9</v>
      </c>
      <c r="E280" s="4">
        <v>0.55000000000000004</v>
      </c>
      <c r="F280" s="42">
        <v>2.35</v>
      </c>
      <c r="G280" s="45">
        <v>250</v>
      </c>
      <c r="H280" s="22">
        <v>2.2000000000000002</v>
      </c>
      <c r="I280" s="6">
        <f t="shared" si="4"/>
        <v>710.87500000000011</v>
      </c>
      <c r="J280" s="7" t="s">
        <v>150</v>
      </c>
    </row>
    <row r="281" spans="1:10" ht="13.95" customHeight="1" x14ac:dyDescent="0.3">
      <c r="A281" s="20">
        <v>45937</v>
      </c>
      <c r="B281" s="20" t="s">
        <v>3237</v>
      </c>
      <c r="C281" s="19" t="s">
        <v>20</v>
      </c>
      <c r="D281" s="19" t="s">
        <v>9</v>
      </c>
      <c r="E281" s="4">
        <v>0.55000000000000004</v>
      </c>
      <c r="F281" s="42">
        <v>2.35</v>
      </c>
      <c r="G281" s="45">
        <v>250</v>
      </c>
      <c r="H281" s="22">
        <v>2.2000000000000002</v>
      </c>
      <c r="I281" s="6">
        <f t="shared" si="4"/>
        <v>710.87500000000011</v>
      </c>
      <c r="J281" s="7" t="s">
        <v>88</v>
      </c>
    </row>
    <row r="282" spans="1:10" ht="13.95" customHeight="1" x14ac:dyDescent="0.3">
      <c r="A282" s="20">
        <v>45938</v>
      </c>
      <c r="B282" s="20" t="s">
        <v>3237</v>
      </c>
      <c r="C282" s="19" t="s">
        <v>5</v>
      </c>
      <c r="D282" s="19" t="s">
        <v>9</v>
      </c>
      <c r="E282" s="4">
        <v>0.55000000000000004</v>
      </c>
      <c r="F282" s="42">
        <v>2.35</v>
      </c>
      <c r="G282" s="45">
        <v>250</v>
      </c>
      <c r="H282" s="22">
        <v>2.2000000000000002</v>
      </c>
      <c r="I282" s="6">
        <f t="shared" si="4"/>
        <v>710.87500000000011</v>
      </c>
      <c r="J282" s="7" t="s">
        <v>88</v>
      </c>
    </row>
    <row r="283" spans="1:10" ht="13.95" customHeight="1" x14ac:dyDescent="0.3">
      <c r="A283" s="20">
        <v>45939</v>
      </c>
      <c r="B283" s="20" t="s">
        <v>3237</v>
      </c>
      <c r="C283" s="19" t="s">
        <v>8</v>
      </c>
      <c r="D283" s="19" t="s">
        <v>9</v>
      </c>
      <c r="E283" s="4">
        <v>0.6</v>
      </c>
      <c r="F283" s="42">
        <v>2.4500000000000002</v>
      </c>
      <c r="G283" s="45">
        <v>250</v>
      </c>
      <c r="H283" s="22">
        <v>2.2000000000000002</v>
      </c>
      <c r="I283" s="6">
        <f t="shared" si="4"/>
        <v>808.50000000000011</v>
      </c>
      <c r="J283" s="7" t="s">
        <v>3080</v>
      </c>
    </row>
    <row r="284" spans="1:10" ht="13.95" customHeight="1" x14ac:dyDescent="0.3">
      <c r="A284" s="20">
        <v>45940</v>
      </c>
      <c r="B284" s="20" t="s">
        <v>3237</v>
      </c>
      <c r="C284" s="19" t="s">
        <v>11</v>
      </c>
      <c r="D284" s="19" t="s">
        <v>14</v>
      </c>
      <c r="E284" s="4">
        <v>0.7</v>
      </c>
      <c r="F284" s="42">
        <v>2.85</v>
      </c>
      <c r="G284" s="45">
        <v>250</v>
      </c>
      <c r="H284" s="22">
        <v>2.2000000000000002</v>
      </c>
      <c r="I284" s="6">
        <f t="shared" si="4"/>
        <v>1097.25</v>
      </c>
      <c r="J284" s="7" t="s">
        <v>390</v>
      </c>
    </row>
    <row r="285" spans="1:10" ht="13.95" customHeight="1" x14ac:dyDescent="0.3">
      <c r="A285" s="20">
        <v>45941</v>
      </c>
      <c r="B285" s="20" t="s">
        <v>3237</v>
      </c>
      <c r="C285" s="19" t="s">
        <v>13</v>
      </c>
      <c r="D285" s="19" t="s">
        <v>3143</v>
      </c>
      <c r="E285" s="4">
        <v>0.85</v>
      </c>
      <c r="F285" s="42">
        <v>3.6</v>
      </c>
      <c r="G285" s="45">
        <v>250</v>
      </c>
      <c r="H285" s="22">
        <v>2.2000000000000002</v>
      </c>
      <c r="I285" s="6">
        <f t="shared" si="4"/>
        <v>1683.0000000000002</v>
      </c>
      <c r="J285" s="7" t="s">
        <v>1711</v>
      </c>
    </row>
    <row r="286" spans="1:10" ht="13.95" customHeight="1" x14ac:dyDescent="0.3">
      <c r="A286" s="20">
        <v>45942</v>
      </c>
      <c r="B286" s="20" t="s">
        <v>3237</v>
      </c>
      <c r="C286" s="19" t="s">
        <v>16</v>
      </c>
      <c r="D286" s="19" t="s">
        <v>3098</v>
      </c>
      <c r="E286" s="4">
        <v>0.8</v>
      </c>
      <c r="F286" s="42">
        <v>3.1</v>
      </c>
      <c r="G286" s="45">
        <v>250</v>
      </c>
      <c r="H286" s="22">
        <v>2.2000000000000002</v>
      </c>
      <c r="I286" s="6">
        <f t="shared" si="4"/>
        <v>1364</v>
      </c>
      <c r="J286" s="7" t="s">
        <v>3113</v>
      </c>
    </row>
    <row r="287" spans="1:10" ht="13.95" customHeight="1" x14ac:dyDescent="0.3">
      <c r="A287" s="20">
        <v>45943</v>
      </c>
      <c r="B287" s="20" t="s">
        <v>3237</v>
      </c>
      <c r="C287" s="19" t="s">
        <v>18</v>
      </c>
      <c r="D287" s="19" t="s">
        <v>9</v>
      </c>
      <c r="E287" s="4">
        <v>0.5</v>
      </c>
      <c r="F287" s="42">
        <v>2.2999999999999998</v>
      </c>
      <c r="G287" s="45">
        <v>250</v>
      </c>
      <c r="H287" s="22">
        <v>2.2000000000000002</v>
      </c>
      <c r="I287" s="6">
        <f t="shared" si="4"/>
        <v>632.5</v>
      </c>
      <c r="J287" s="7" t="s">
        <v>150</v>
      </c>
    </row>
    <row r="288" spans="1:10" ht="13.95" customHeight="1" x14ac:dyDescent="0.3">
      <c r="A288" s="20">
        <v>45944</v>
      </c>
      <c r="B288" s="20" t="s">
        <v>3237</v>
      </c>
      <c r="C288" s="19" t="s">
        <v>20</v>
      </c>
      <c r="D288" s="19" t="s">
        <v>9</v>
      </c>
      <c r="E288" s="4">
        <v>0.5</v>
      </c>
      <c r="F288" s="42">
        <v>2.2999999999999998</v>
      </c>
      <c r="G288" s="45">
        <v>250</v>
      </c>
      <c r="H288" s="22">
        <v>2.2000000000000002</v>
      </c>
      <c r="I288" s="6">
        <f t="shared" si="4"/>
        <v>632.5</v>
      </c>
      <c r="J288" s="7" t="s">
        <v>88</v>
      </c>
    </row>
    <row r="289" spans="1:10" ht="13.95" customHeight="1" x14ac:dyDescent="0.3">
      <c r="A289" s="20">
        <v>45945</v>
      </c>
      <c r="B289" s="20" t="s">
        <v>3237</v>
      </c>
      <c r="C289" s="19" t="s">
        <v>5</v>
      </c>
      <c r="D289" s="19" t="s">
        <v>2691</v>
      </c>
      <c r="E289" s="4">
        <v>0.75</v>
      </c>
      <c r="F289" s="42">
        <v>3.2</v>
      </c>
      <c r="G289" s="45">
        <v>250</v>
      </c>
      <c r="H289" s="22">
        <v>2.2000000000000002</v>
      </c>
      <c r="I289" s="6">
        <f t="shared" si="4"/>
        <v>1320</v>
      </c>
      <c r="J289" s="7" t="s">
        <v>3144</v>
      </c>
    </row>
    <row r="290" spans="1:10" ht="13.95" customHeight="1" x14ac:dyDescent="0.3">
      <c r="A290" s="20">
        <v>45946</v>
      </c>
      <c r="B290" s="20" t="s">
        <v>3237</v>
      </c>
      <c r="C290" s="19" t="s">
        <v>8</v>
      </c>
      <c r="D290" s="19" t="s">
        <v>9</v>
      </c>
      <c r="E290" s="4">
        <v>0.55000000000000004</v>
      </c>
      <c r="F290" s="42">
        <v>2.4</v>
      </c>
      <c r="G290" s="45">
        <v>250</v>
      </c>
      <c r="H290" s="22">
        <v>2.2000000000000002</v>
      </c>
      <c r="I290" s="6">
        <f t="shared" si="4"/>
        <v>726.00000000000011</v>
      </c>
      <c r="J290" s="7" t="s">
        <v>88</v>
      </c>
    </row>
    <row r="291" spans="1:10" ht="13.95" customHeight="1" x14ac:dyDescent="0.3">
      <c r="A291" s="20">
        <v>45947</v>
      </c>
      <c r="B291" s="20" t="s">
        <v>3237</v>
      </c>
      <c r="C291" s="19" t="s">
        <v>11</v>
      </c>
      <c r="D291" s="19" t="s">
        <v>14</v>
      </c>
      <c r="E291" s="4">
        <v>0.65</v>
      </c>
      <c r="F291" s="42">
        <v>2.8</v>
      </c>
      <c r="G291" s="45">
        <v>250</v>
      </c>
      <c r="H291" s="22">
        <v>2.2000000000000002</v>
      </c>
      <c r="I291" s="6">
        <f t="shared" si="4"/>
        <v>1001</v>
      </c>
      <c r="J291" s="7" t="s">
        <v>3142</v>
      </c>
    </row>
    <row r="292" spans="1:10" ht="13.95" customHeight="1" x14ac:dyDescent="0.3">
      <c r="A292" s="20">
        <v>45948</v>
      </c>
      <c r="B292" s="20" t="s">
        <v>3237</v>
      </c>
      <c r="C292" s="19" t="s">
        <v>13</v>
      </c>
      <c r="D292" s="19" t="s">
        <v>3138</v>
      </c>
      <c r="E292" s="4">
        <v>0.8</v>
      </c>
      <c r="F292" s="42">
        <v>3.55</v>
      </c>
      <c r="G292" s="45">
        <v>250</v>
      </c>
      <c r="H292" s="22">
        <v>2.2000000000000002</v>
      </c>
      <c r="I292" s="6">
        <f t="shared" si="4"/>
        <v>1562.0000000000002</v>
      </c>
      <c r="J292" s="7" t="s">
        <v>1811</v>
      </c>
    </row>
    <row r="293" spans="1:10" ht="13.95" customHeight="1" x14ac:dyDescent="0.3">
      <c r="A293" s="20">
        <v>45949</v>
      </c>
      <c r="B293" s="20" t="s">
        <v>3237</v>
      </c>
      <c r="C293" s="19" t="s">
        <v>16</v>
      </c>
      <c r="D293" s="19" t="s">
        <v>3098</v>
      </c>
      <c r="E293" s="4">
        <v>0.75</v>
      </c>
      <c r="F293" s="42">
        <v>3.1</v>
      </c>
      <c r="G293" s="45">
        <v>250</v>
      </c>
      <c r="H293" s="22">
        <v>2.2000000000000002</v>
      </c>
      <c r="I293" s="6">
        <f t="shared" si="4"/>
        <v>1278.75</v>
      </c>
      <c r="J293" s="7" t="s">
        <v>1336</v>
      </c>
    </row>
    <row r="294" spans="1:10" ht="13.95" customHeight="1" x14ac:dyDescent="0.3">
      <c r="A294" s="20">
        <v>45950</v>
      </c>
      <c r="B294" s="20" t="s">
        <v>3237</v>
      </c>
      <c r="C294" s="19" t="s">
        <v>18</v>
      </c>
      <c r="D294" s="19" t="s">
        <v>9</v>
      </c>
      <c r="E294" s="4">
        <v>0.55000000000000004</v>
      </c>
      <c r="F294" s="42">
        <v>2.35</v>
      </c>
      <c r="G294" s="45">
        <v>250</v>
      </c>
      <c r="H294" s="22">
        <v>2.2000000000000002</v>
      </c>
      <c r="I294" s="6">
        <f t="shared" si="4"/>
        <v>710.87500000000011</v>
      </c>
      <c r="J294" s="7" t="s">
        <v>88</v>
      </c>
    </row>
    <row r="295" spans="1:10" ht="13.95" customHeight="1" x14ac:dyDescent="0.3">
      <c r="A295" s="20">
        <v>45951</v>
      </c>
      <c r="B295" s="20" t="s">
        <v>3237</v>
      </c>
      <c r="C295" s="19" t="s">
        <v>20</v>
      </c>
      <c r="D295" s="19" t="s">
        <v>9</v>
      </c>
      <c r="E295" s="4">
        <v>0.55000000000000004</v>
      </c>
      <c r="F295" s="42">
        <v>2.35</v>
      </c>
      <c r="G295" s="45">
        <v>250</v>
      </c>
      <c r="H295" s="22">
        <v>2.2000000000000002</v>
      </c>
      <c r="I295" s="6">
        <f t="shared" si="4"/>
        <v>710.87500000000011</v>
      </c>
      <c r="J295" s="7" t="s">
        <v>88</v>
      </c>
    </row>
    <row r="296" spans="1:10" ht="13.95" customHeight="1" x14ac:dyDescent="0.3">
      <c r="A296" s="20">
        <v>45952</v>
      </c>
      <c r="B296" s="20" t="s">
        <v>3237</v>
      </c>
      <c r="C296" s="19" t="s">
        <v>5</v>
      </c>
      <c r="D296" s="19" t="s">
        <v>9</v>
      </c>
      <c r="E296" s="4">
        <v>0.6</v>
      </c>
      <c r="F296" s="42">
        <v>2.4</v>
      </c>
      <c r="G296" s="45">
        <v>250</v>
      </c>
      <c r="H296" s="22">
        <v>2.2000000000000002</v>
      </c>
      <c r="I296" s="6">
        <f t="shared" si="4"/>
        <v>792.00000000000011</v>
      </c>
      <c r="J296" s="7" t="s">
        <v>88</v>
      </c>
    </row>
    <row r="297" spans="1:10" ht="13.95" customHeight="1" x14ac:dyDescent="0.3">
      <c r="A297" s="20">
        <v>45953</v>
      </c>
      <c r="B297" s="20" t="s">
        <v>3237</v>
      </c>
      <c r="C297" s="19" t="s">
        <v>8</v>
      </c>
      <c r="D297" s="19" t="s">
        <v>2833</v>
      </c>
      <c r="E297" s="4">
        <v>0.7</v>
      </c>
      <c r="F297" s="42">
        <v>2.6</v>
      </c>
      <c r="G297" s="45">
        <v>250</v>
      </c>
      <c r="H297" s="22">
        <v>2.2000000000000002</v>
      </c>
      <c r="I297" s="6">
        <f t="shared" si="4"/>
        <v>1001.0000000000001</v>
      </c>
      <c r="J297" s="7" t="s">
        <v>1461</v>
      </c>
    </row>
    <row r="298" spans="1:10" ht="13.95" customHeight="1" x14ac:dyDescent="0.3">
      <c r="A298" s="20">
        <v>45954</v>
      </c>
      <c r="B298" s="20" t="s">
        <v>3237</v>
      </c>
      <c r="C298" s="19" t="s">
        <v>11</v>
      </c>
      <c r="D298" s="19" t="s">
        <v>1564</v>
      </c>
      <c r="E298" s="4">
        <v>0.8</v>
      </c>
      <c r="F298" s="42">
        <v>3</v>
      </c>
      <c r="G298" s="45">
        <v>250</v>
      </c>
      <c r="H298" s="22">
        <v>2.2000000000000002</v>
      </c>
      <c r="I298" s="6">
        <f t="shared" si="4"/>
        <v>1320</v>
      </c>
      <c r="J298" s="7" t="s">
        <v>3219</v>
      </c>
    </row>
    <row r="299" spans="1:10" ht="13.95" customHeight="1" x14ac:dyDescent="0.3">
      <c r="A299" s="20">
        <v>45955</v>
      </c>
      <c r="B299" s="20" t="s">
        <v>3237</v>
      </c>
      <c r="C299" s="19" t="s">
        <v>13</v>
      </c>
      <c r="D299" s="19" t="s">
        <v>3147</v>
      </c>
      <c r="E299" s="4">
        <v>0.9</v>
      </c>
      <c r="F299" s="42">
        <v>3.7</v>
      </c>
      <c r="G299" s="45">
        <v>250</v>
      </c>
      <c r="H299" s="22">
        <v>2.2000000000000002</v>
      </c>
      <c r="I299" s="6">
        <f t="shared" si="4"/>
        <v>1831.5000000000002</v>
      </c>
      <c r="J299" s="7" t="s">
        <v>3092</v>
      </c>
    </row>
    <row r="300" spans="1:10" ht="13.95" customHeight="1" x14ac:dyDescent="0.3">
      <c r="A300" s="20">
        <v>45956</v>
      </c>
      <c r="B300" s="20" t="s">
        <v>3237</v>
      </c>
      <c r="C300" s="19" t="s">
        <v>16</v>
      </c>
      <c r="D300" s="19" t="s">
        <v>3098</v>
      </c>
      <c r="E300" s="4">
        <v>0.85</v>
      </c>
      <c r="F300" s="42">
        <v>3.25</v>
      </c>
      <c r="G300" s="45">
        <v>250</v>
      </c>
      <c r="H300" s="22">
        <v>2.2000000000000002</v>
      </c>
      <c r="I300" s="6">
        <f t="shared" si="4"/>
        <v>1519.3750000000002</v>
      </c>
      <c r="J300" s="7" t="s">
        <v>512</v>
      </c>
    </row>
    <row r="301" spans="1:10" ht="13.95" customHeight="1" x14ac:dyDescent="0.3">
      <c r="A301" s="20">
        <v>45957</v>
      </c>
      <c r="B301" s="20" t="s">
        <v>3237</v>
      </c>
      <c r="C301" s="19" t="s">
        <v>18</v>
      </c>
      <c r="D301" s="19" t="s">
        <v>2833</v>
      </c>
      <c r="E301" s="4">
        <v>0.75</v>
      </c>
      <c r="F301" s="42">
        <v>2.5499999999999998</v>
      </c>
      <c r="G301" s="45">
        <v>250</v>
      </c>
      <c r="H301" s="22">
        <v>2.2000000000000002</v>
      </c>
      <c r="I301" s="6">
        <f t="shared" si="4"/>
        <v>1051.875</v>
      </c>
      <c r="J301" s="7" t="s">
        <v>3220</v>
      </c>
    </row>
    <row r="302" spans="1:10" ht="13.95" customHeight="1" x14ac:dyDescent="0.3">
      <c r="A302" s="20">
        <v>45958</v>
      </c>
      <c r="B302" s="20" t="s">
        <v>3237</v>
      </c>
      <c r="C302" s="19" t="s">
        <v>20</v>
      </c>
      <c r="D302" s="19" t="s">
        <v>2833</v>
      </c>
      <c r="E302" s="4">
        <v>0.75</v>
      </c>
      <c r="F302" s="42">
        <v>2.5499999999999998</v>
      </c>
      <c r="G302" s="45">
        <v>250</v>
      </c>
      <c r="H302" s="22">
        <v>2.2000000000000002</v>
      </c>
      <c r="I302" s="6">
        <f t="shared" si="4"/>
        <v>1051.875</v>
      </c>
      <c r="J302" s="7" t="s">
        <v>2629</v>
      </c>
    </row>
    <row r="303" spans="1:10" ht="13.95" customHeight="1" x14ac:dyDescent="0.3">
      <c r="A303" s="20">
        <v>45959</v>
      </c>
      <c r="B303" s="20" t="s">
        <v>3237</v>
      </c>
      <c r="C303" s="19" t="s">
        <v>5</v>
      </c>
      <c r="D303" s="19" t="s">
        <v>2833</v>
      </c>
      <c r="E303" s="4">
        <v>0.75</v>
      </c>
      <c r="F303" s="42">
        <v>2.6</v>
      </c>
      <c r="G303" s="45">
        <v>250</v>
      </c>
      <c r="H303" s="22">
        <v>2.2000000000000002</v>
      </c>
      <c r="I303" s="6">
        <f t="shared" si="4"/>
        <v>1072.5</v>
      </c>
      <c r="J303" s="7" t="s">
        <v>88</v>
      </c>
    </row>
    <row r="304" spans="1:10" ht="13.95" customHeight="1" x14ac:dyDescent="0.3">
      <c r="A304" s="20">
        <v>45960</v>
      </c>
      <c r="B304" s="20" t="s">
        <v>3237</v>
      </c>
      <c r="C304" s="19" t="s">
        <v>8</v>
      </c>
      <c r="D304" s="19" t="s">
        <v>1465</v>
      </c>
      <c r="E304" s="4">
        <v>0.8</v>
      </c>
      <c r="F304" s="42">
        <v>2.8</v>
      </c>
      <c r="G304" s="45">
        <v>250</v>
      </c>
      <c r="H304" s="22">
        <v>2.2000000000000002</v>
      </c>
      <c r="I304" s="6">
        <f t="shared" si="4"/>
        <v>1232</v>
      </c>
      <c r="J304" s="7" t="s">
        <v>531</v>
      </c>
    </row>
    <row r="305" spans="1:10" ht="13.95" customHeight="1" x14ac:dyDescent="0.3">
      <c r="A305" s="20">
        <v>45961</v>
      </c>
      <c r="B305" s="20" t="s">
        <v>3237</v>
      </c>
      <c r="C305" s="19" t="s">
        <v>11</v>
      </c>
      <c r="D305" s="19" t="s">
        <v>3149</v>
      </c>
      <c r="E305" s="4">
        <v>1</v>
      </c>
      <c r="F305" s="42">
        <v>4.2</v>
      </c>
      <c r="G305" s="45">
        <v>250</v>
      </c>
      <c r="H305" s="22">
        <v>2.2000000000000002</v>
      </c>
      <c r="I305" s="6">
        <f t="shared" si="4"/>
        <v>2310</v>
      </c>
      <c r="J305" s="7" t="s">
        <v>3221</v>
      </c>
    </row>
    <row r="306" spans="1:10" ht="13.95" customHeight="1" x14ac:dyDescent="0.3">
      <c r="A306" s="20">
        <v>45962</v>
      </c>
      <c r="B306" s="20" t="s">
        <v>3237</v>
      </c>
      <c r="C306" s="19" t="s">
        <v>13</v>
      </c>
      <c r="D306" s="19" t="s">
        <v>3151</v>
      </c>
      <c r="E306" s="4">
        <v>0.7</v>
      </c>
      <c r="F306" s="42">
        <v>3.5</v>
      </c>
      <c r="G306" s="45">
        <v>250</v>
      </c>
      <c r="H306" s="22">
        <v>2.2000000000000002</v>
      </c>
      <c r="I306" s="6">
        <f t="shared" si="4"/>
        <v>1347.5</v>
      </c>
      <c r="J306" s="7" t="s">
        <v>3152</v>
      </c>
    </row>
    <row r="307" spans="1:10" ht="13.95" customHeight="1" x14ac:dyDescent="0.3">
      <c r="A307" s="20">
        <v>45963</v>
      </c>
      <c r="B307" s="20" t="s">
        <v>3237</v>
      </c>
      <c r="C307" s="19" t="s">
        <v>16</v>
      </c>
      <c r="D307" s="19" t="s">
        <v>3098</v>
      </c>
      <c r="E307" s="4">
        <v>0.65</v>
      </c>
      <c r="F307" s="42">
        <v>3</v>
      </c>
      <c r="G307" s="45">
        <v>250</v>
      </c>
      <c r="H307" s="22">
        <v>2.2000000000000002</v>
      </c>
      <c r="I307" s="6">
        <f t="shared" si="4"/>
        <v>1072.5</v>
      </c>
      <c r="J307" s="7" t="s">
        <v>139</v>
      </c>
    </row>
    <row r="308" spans="1:10" ht="13.95" customHeight="1" x14ac:dyDescent="0.3">
      <c r="A308" s="20">
        <v>45964</v>
      </c>
      <c r="B308" s="20" t="s">
        <v>3237</v>
      </c>
      <c r="C308" s="19" t="s">
        <v>18</v>
      </c>
      <c r="D308" s="19" t="s">
        <v>3153</v>
      </c>
      <c r="E308" s="4">
        <v>0.4</v>
      </c>
      <c r="F308" s="42">
        <v>2.2999999999999998</v>
      </c>
      <c r="G308" s="45">
        <v>250</v>
      </c>
      <c r="H308" s="22">
        <v>2.2000000000000002</v>
      </c>
      <c r="I308" s="6">
        <f t="shared" si="4"/>
        <v>506</v>
      </c>
      <c r="J308" s="7" t="s">
        <v>3154</v>
      </c>
    </row>
    <row r="309" spans="1:10" ht="13.95" customHeight="1" x14ac:dyDescent="0.3">
      <c r="A309" s="20">
        <v>45965</v>
      </c>
      <c r="B309" s="20" t="s">
        <v>3237</v>
      </c>
      <c r="C309" s="19" t="s">
        <v>20</v>
      </c>
      <c r="D309" s="19" t="s">
        <v>3153</v>
      </c>
      <c r="E309" s="4">
        <v>0.4</v>
      </c>
      <c r="F309" s="42">
        <v>2.2999999999999998</v>
      </c>
      <c r="G309" s="45">
        <v>250</v>
      </c>
      <c r="H309" s="22">
        <v>2.2000000000000002</v>
      </c>
      <c r="I309" s="6">
        <f t="shared" si="4"/>
        <v>506</v>
      </c>
      <c r="J309" s="7" t="s">
        <v>88</v>
      </c>
    </row>
    <row r="310" spans="1:10" ht="13.95" customHeight="1" x14ac:dyDescent="0.3">
      <c r="A310" s="20">
        <v>45966</v>
      </c>
      <c r="B310" s="20" t="s">
        <v>3237</v>
      </c>
      <c r="C310" s="19" t="s">
        <v>5</v>
      </c>
      <c r="D310" s="19" t="s">
        <v>3153</v>
      </c>
      <c r="E310" s="4">
        <v>0.4</v>
      </c>
      <c r="F310" s="42">
        <v>2.2999999999999998</v>
      </c>
      <c r="G310" s="45">
        <v>250</v>
      </c>
      <c r="H310" s="22">
        <v>2.2000000000000002</v>
      </c>
      <c r="I310" s="6">
        <f t="shared" si="4"/>
        <v>506</v>
      </c>
      <c r="J310" s="7" t="s">
        <v>88</v>
      </c>
    </row>
    <row r="311" spans="1:10" ht="13.95" customHeight="1" x14ac:dyDescent="0.3">
      <c r="A311" s="20">
        <v>45967</v>
      </c>
      <c r="B311" s="20" t="s">
        <v>3237</v>
      </c>
      <c r="C311" s="19" t="s">
        <v>8</v>
      </c>
      <c r="D311" s="19" t="s">
        <v>1263</v>
      </c>
      <c r="E311" s="4">
        <v>0.55000000000000004</v>
      </c>
      <c r="F311" s="42">
        <v>2.6</v>
      </c>
      <c r="G311" s="45">
        <v>250</v>
      </c>
      <c r="H311" s="22">
        <v>2.2000000000000002</v>
      </c>
      <c r="I311" s="6">
        <f t="shared" si="4"/>
        <v>786.50000000000011</v>
      </c>
      <c r="J311" s="7" t="s">
        <v>3222</v>
      </c>
    </row>
    <row r="312" spans="1:10" ht="13.95" customHeight="1" x14ac:dyDescent="0.3">
      <c r="A312" s="20">
        <v>45968</v>
      </c>
      <c r="B312" s="20" t="s">
        <v>3237</v>
      </c>
      <c r="C312" s="19" t="s">
        <v>11</v>
      </c>
      <c r="D312" s="19" t="s">
        <v>14</v>
      </c>
      <c r="E312" s="4">
        <v>0.5</v>
      </c>
      <c r="F312" s="42">
        <v>2.8</v>
      </c>
      <c r="G312" s="45">
        <v>250</v>
      </c>
      <c r="H312" s="22">
        <v>2.2000000000000002</v>
      </c>
      <c r="I312" s="6">
        <f t="shared" si="4"/>
        <v>770.00000000000011</v>
      </c>
      <c r="J312" s="7" t="s">
        <v>67</v>
      </c>
    </row>
    <row r="313" spans="1:10" ht="13.95" customHeight="1" x14ac:dyDescent="0.3">
      <c r="A313" s="20">
        <v>45969</v>
      </c>
      <c r="B313" s="20" t="s">
        <v>3237</v>
      </c>
      <c r="C313" s="19" t="s">
        <v>13</v>
      </c>
      <c r="D313" s="19" t="s">
        <v>3155</v>
      </c>
      <c r="E313" s="4">
        <v>0.65</v>
      </c>
      <c r="F313" s="42">
        <v>3.3</v>
      </c>
      <c r="G313" s="45">
        <v>250</v>
      </c>
      <c r="H313" s="22">
        <v>2.2000000000000002</v>
      </c>
      <c r="I313" s="6">
        <f t="shared" si="4"/>
        <v>1179.75</v>
      </c>
      <c r="J313" s="7" t="s">
        <v>2454</v>
      </c>
    </row>
    <row r="314" spans="1:10" ht="13.95" customHeight="1" x14ac:dyDescent="0.3">
      <c r="A314" s="20">
        <v>45970</v>
      </c>
      <c r="B314" s="20" t="s">
        <v>3237</v>
      </c>
      <c r="C314" s="19" t="s">
        <v>16</v>
      </c>
      <c r="D314" s="19" t="s">
        <v>3098</v>
      </c>
      <c r="E314" s="4">
        <v>0.6</v>
      </c>
      <c r="F314" s="42">
        <v>2.9</v>
      </c>
      <c r="G314" s="45">
        <v>250</v>
      </c>
      <c r="H314" s="22">
        <v>2.2000000000000002</v>
      </c>
      <c r="I314" s="6">
        <f t="shared" si="4"/>
        <v>957.00000000000011</v>
      </c>
      <c r="J314" s="7" t="s">
        <v>1336</v>
      </c>
    </row>
    <row r="315" spans="1:10" ht="13.95" customHeight="1" x14ac:dyDescent="0.3">
      <c r="A315" s="20">
        <v>45971</v>
      </c>
      <c r="B315" s="20" t="s">
        <v>3237</v>
      </c>
      <c r="C315" s="19" t="s">
        <v>18</v>
      </c>
      <c r="D315" s="19" t="s">
        <v>3153</v>
      </c>
      <c r="E315" s="4">
        <v>0.35</v>
      </c>
      <c r="F315" s="42">
        <v>2.2999999999999998</v>
      </c>
      <c r="G315" s="45">
        <v>250</v>
      </c>
      <c r="H315" s="22">
        <v>2.2000000000000002</v>
      </c>
      <c r="I315" s="6">
        <f t="shared" si="4"/>
        <v>442.75</v>
      </c>
      <c r="J315" s="7" t="s">
        <v>3223</v>
      </c>
    </row>
    <row r="316" spans="1:10" ht="13.95" customHeight="1" x14ac:dyDescent="0.3">
      <c r="A316" s="20">
        <v>45972</v>
      </c>
      <c r="B316" s="20" t="s">
        <v>3237</v>
      </c>
      <c r="C316" s="19" t="s">
        <v>20</v>
      </c>
      <c r="D316" s="19" t="s">
        <v>3153</v>
      </c>
      <c r="E316" s="4">
        <v>0.35</v>
      </c>
      <c r="F316" s="42">
        <v>2.2999999999999998</v>
      </c>
      <c r="G316" s="45">
        <v>250</v>
      </c>
      <c r="H316" s="22">
        <v>2.2000000000000002</v>
      </c>
      <c r="I316" s="6">
        <f t="shared" si="4"/>
        <v>442.75</v>
      </c>
      <c r="J316" s="7" t="s">
        <v>88</v>
      </c>
    </row>
    <row r="317" spans="1:10" ht="13.95" customHeight="1" x14ac:dyDescent="0.3">
      <c r="A317" s="20">
        <v>45973</v>
      </c>
      <c r="B317" s="20" t="s">
        <v>3237</v>
      </c>
      <c r="C317" s="19" t="s">
        <v>5</v>
      </c>
      <c r="D317" s="19" t="s">
        <v>3153</v>
      </c>
      <c r="E317" s="4">
        <v>0.4</v>
      </c>
      <c r="F317" s="42">
        <v>2.35</v>
      </c>
      <c r="G317" s="45">
        <v>250</v>
      </c>
      <c r="H317" s="22">
        <v>2.2000000000000002</v>
      </c>
      <c r="I317" s="6">
        <f t="shared" si="4"/>
        <v>517</v>
      </c>
      <c r="J317" s="7" t="s">
        <v>88</v>
      </c>
    </row>
    <row r="318" spans="1:10" ht="13.95" customHeight="1" x14ac:dyDescent="0.3">
      <c r="A318" s="20">
        <v>45974</v>
      </c>
      <c r="B318" s="20" t="s">
        <v>3237</v>
      </c>
      <c r="C318" s="19" t="s">
        <v>8</v>
      </c>
      <c r="D318" s="19" t="s">
        <v>1263</v>
      </c>
      <c r="E318" s="4">
        <v>0.6</v>
      </c>
      <c r="F318" s="42">
        <v>2.65</v>
      </c>
      <c r="G318" s="45">
        <v>250</v>
      </c>
      <c r="H318" s="22">
        <v>2.2000000000000002</v>
      </c>
      <c r="I318" s="6">
        <f t="shared" si="4"/>
        <v>874.50000000000011</v>
      </c>
      <c r="J318" s="7" t="s">
        <v>3224</v>
      </c>
    </row>
    <row r="319" spans="1:10" ht="13.95" customHeight="1" x14ac:dyDescent="0.3">
      <c r="A319" s="20">
        <v>45975</v>
      </c>
      <c r="B319" s="20" t="s">
        <v>3237</v>
      </c>
      <c r="C319" s="19" t="s">
        <v>11</v>
      </c>
      <c r="D319" s="19" t="s">
        <v>14</v>
      </c>
      <c r="E319" s="4">
        <v>0.55000000000000004</v>
      </c>
      <c r="F319" s="42">
        <v>2.8</v>
      </c>
      <c r="G319" s="45">
        <v>250</v>
      </c>
      <c r="H319" s="22">
        <v>2.2000000000000002</v>
      </c>
      <c r="I319" s="6">
        <f t="shared" si="4"/>
        <v>847.00000000000011</v>
      </c>
      <c r="J319" s="7" t="s">
        <v>390</v>
      </c>
    </row>
    <row r="320" spans="1:10" ht="13.95" customHeight="1" x14ac:dyDescent="0.3">
      <c r="A320" s="20">
        <v>45976</v>
      </c>
      <c r="B320" s="20" t="s">
        <v>3237</v>
      </c>
      <c r="C320" s="19" t="s">
        <v>13</v>
      </c>
      <c r="D320" s="19" t="s">
        <v>3156</v>
      </c>
      <c r="E320" s="4">
        <v>0.7</v>
      </c>
      <c r="F320" s="42">
        <v>3.4</v>
      </c>
      <c r="G320" s="45">
        <v>250</v>
      </c>
      <c r="H320" s="22">
        <v>2.2000000000000002</v>
      </c>
      <c r="I320" s="6">
        <f t="shared" si="4"/>
        <v>1309</v>
      </c>
      <c r="J320" s="7" t="s">
        <v>3109</v>
      </c>
    </row>
    <row r="321" spans="1:10" ht="13.95" customHeight="1" x14ac:dyDescent="0.3">
      <c r="A321" s="20">
        <v>45977</v>
      </c>
      <c r="B321" s="20" t="s">
        <v>3237</v>
      </c>
      <c r="C321" s="19" t="s">
        <v>16</v>
      </c>
      <c r="D321" s="19" t="s">
        <v>3098</v>
      </c>
      <c r="E321" s="4">
        <v>0.65</v>
      </c>
      <c r="F321" s="42">
        <v>2.95</v>
      </c>
      <c r="G321" s="45">
        <v>250</v>
      </c>
      <c r="H321" s="22">
        <v>2.2000000000000002</v>
      </c>
      <c r="I321" s="6">
        <f t="shared" si="4"/>
        <v>1054.6250000000002</v>
      </c>
      <c r="J321" s="7" t="s">
        <v>139</v>
      </c>
    </row>
    <row r="322" spans="1:10" ht="13.95" customHeight="1" x14ac:dyDescent="0.3">
      <c r="A322" s="20" t="s">
        <v>3225</v>
      </c>
      <c r="B322" s="20" t="s">
        <v>3237</v>
      </c>
      <c r="C322" s="19" t="s">
        <v>18</v>
      </c>
      <c r="D322" s="19" t="s">
        <v>3153</v>
      </c>
      <c r="E322" s="4">
        <v>0.35</v>
      </c>
      <c r="F322" s="42">
        <v>2.2999999999999998</v>
      </c>
      <c r="G322" s="45">
        <v>250</v>
      </c>
      <c r="H322" s="22">
        <v>2.2000000000000002</v>
      </c>
      <c r="I322" s="6">
        <f t="shared" si="4"/>
        <v>442.75</v>
      </c>
      <c r="J322" s="7" t="s">
        <v>88</v>
      </c>
    </row>
    <row r="323" spans="1:10" ht="13.95" customHeight="1" x14ac:dyDescent="0.3">
      <c r="A323" s="20">
        <v>45979</v>
      </c>
      <c r="B323" s="20" t="s">
        <v>3237</v>
      </c>
      <c r="C323" s="19" t="s">
        <v>20</v>
      </c>
      <c r="D323" s="19" t="s">
        <v>3153</v>
      </c>
      <c r="E323" s="4">
        <v>0.35</v>
      </c>
      <c r="F323" s="42">
        <v>2.2999999999999998</v>
      </c>
      <c r="G323" s="45">
        <v>250</v>
      </c>
      <c r="H323" s="22">
        <v>2.2000000000000002</v>
      </c>
      <c r="I323" s="6">
        <f t="shared" si="4"/>
        <v>442.75</v>
      </c>
      <c r="J323" s="7" t="s">
        <v>88</v>
      </c>
    </row>
    <row r="324" spans="1:10" ht="13.95" customHeight="1" x14ac:dyDescent="0.3">
      <c r="A324" s="20">
        <v>45980</v>
      </c>
      <c r="B324" s="20" t="s">
        <v>3237</v>
      </c>
      <c r="C324" s="19" t="s">
        <v>5</v>
      </c>
      <c r="D324" s="19" t="s">
        <v>3153</v>
      </c>
      <c r="E324" s="4">
        <v>0.4</v>
      </c>
      <c r="F324" s="42">
        <v>2.2999999999999998</v>
      </c>
      <c r="G324" s="45">
        <v>250</v>
      </c>
      <c r="H324" s="22">
        <v>2.2000000000000002</v>
      </c>
      <c r="I324" s="6">
        <f t="shared" ref="I324:I366" si="5">(G324*E324)*F324*H324</f>
        <v>506</v>
      </c>
      <c r="J324" s="7" t="s">
        <v>88</v>
      </c>
    </row>
    <row r="325" spans="1:10" ht="13.95" customHeight="1" x14ac:dyDescent="0.3">
      <c r="A325" s="20">
        <v>45981</v>
      </c>
      <c r="B325" s="20" t="s">
        <v>3237</v>
      </c>
      <c r="C325" s="19" t="s">
        <v>8</v>
      </c>
      <c r="D325" s="19" t="s">
        <v>1263</v>
      </c>
      <c r="E325" s="4">
        <v>0.55000000000000004</v>
      </c>
      <c r="F325" s="42">
        <v>2.6</v>
      </c>
      <c r="G325" s="45">
        <v>250</v>
      </c>
      <c r="H325" s="22">
        <v>2.2000000000000002</v>
      </c>
      <c r="I325" s="6">
        <f t="shared" si="5"/>
        <v>786.50000000000011</v>
      </c>
      <c r="J325" s="7" t="s">
        <v>1376</v>
      </c>
    </row>
    <row r="326" spans="1:10" ht="13.95" customHeight="1" x14ac:dyDescent="0.3">
      <c r="A326" s="20">
        <v>45982</v>
      </c>
      <c r="B326" s="20" t="s">
        <v>3237</v>
      </c>
      <c r="C326" s="19" t="s">
        <v>11</v>
      </c>
      <c r="D326" s="19" t="s">
        <v>14</v>
      </c>
      <c r="E326" s="4">
        <v>0.55000000000000004</v>
      </c>
      <c r="F326" s="42">
        <v>2.8</v>
      </c>
      <c r="G326" s="45">
        <v>250</v>
      </c>
      <c r="H326" s="22">
        <v>2.2000000000000002</v>
      </c>
      <c r="I326" s="6">
        <f t="shared" si="5"/>
        <v>847.00000000000011</v>
      </c>
      <c r="J326" s="7" t="s">
        <v>282</v>
      </c>
    </row>
    <row r="327" spans="1:10" ht="13.95" customHeight="1" x14ac:dyDescent="0.3">
      <c r="A327" s="20">
        <v>45983</v>
      </c>
      <c r="B327" s="20" t="s">
        <v>3237</v>
      </c>
      <c r="C327" s="19" t="s">
        <v>13</v>
      </c>
      <c r="D327" s="19" t="s">
        <v>3017</v>
      </c>
      <c r="E327" s="4">
        <v>0.65</v>
      </c>
      <c r="F327" s="42">
        <v>3.3</v>
      </c>
      <c r="G327" s="45">
        <v>250</v>
      </c>
      <c r="H327" s="22">
        <v>2.2000000000000002</v>
      </c>
      <c r="I327" s="6">
        <f t="shared" si="5"/>
        <v>1179.75</v>
      </c>
      <c r="J327" s="7" t="s">
        <v>1711</v>
      </c>
    </row>
    <row r="328" spans="1:10" ht="13.95" customHeight="1" x14ac:dyDescent="0.3">
      <c r="A328" s="20">
        <v>45984</v>
      </c>
      <c r="B328" s="20" t="s">
        <v>3237</v>
      </c>
      <c r="C328" s="19" t="s">
        <v>16</v>
      </c>
      <c r="D328" s="19" t="s">
        <v>3098</v>
      </c>
      <c r="E328" s="4">
        <v>0.6</v>
      </c>
      <c r="F328" s="42">
        <v>2.9</v>
      </c>
      <c r="G328" s="45">
        <v>250</v>
      </c>
      <c r="H328" s="22">
        <v>2.2000000000000002</v>
      </c>
      <c r="I328" s="6">
        <f t="shared" si="5"/>
        <v>957.00000000000011</v>
      </c>
      <c r="J328" s="7" t="s">
        <v>1336</v>
      </c>
    </row>
    <row r="329" spans="1:10" ht="13.95" customHeight="1" x14ac:dyDescent="0.3">
      <c r="A329" s="20">
        <v>45985</v>
      </c>
      <c r="B329" s="20" t="s">
        <v>3237</v>
      </c>
      <c r="C329" s="19" t="s">
        <v>18</v>
      </c>
      <c r="D329" s="19" t="s">
        <v>3153</v>
      </c>
      <c r="E329" s="4">
        <v>0.35</v>
      </c>
      <c r="F329" s="42">
        <v>2.2999999999999998</v>
      </c>
      <c r="G329" s="45">
        <v>250</v>
      </c>
      <c r="H329" s="22">
        <v>2.2000000000000002</v>
      </c>
      <c r="I329" s="6">
        <f t="shared" si="5"/>
        <v>442.75</v>
      </c>
      <c r="J329" s="7" t="s">
        <v>150</v>
      </c>
    </row>
    <row r="330" spans="1:10" ht="13.95" customHeight="1" x14ac:dyDescent="0.3">
      <c r="A330" s="20">
        <v>45986</v>
      </c>
      <c r="B330" s="20" t="s">
        <v>3237</v>
      </c>
      <c r="C330" s="19" t="s">
        <v>20</v>
      </c>
      <c r="D330" s="19" t="s">
        <v>3153</v>
      </c>
      <c r="E330" s="4">
        <v>0.35</v>
      </c>
      <c r="F330" s="42">
        <v>2.2999999999999998</v>
      </c>
      <c r="G330" s="45">
        <v>250</v>
      </c>
      <c r="H330" s="22">
        <v>2.2000000000000002</v>
      </c>
      <c r="I330" s="6">
        <f t="shared" si="5"/>
        <v>442.75</v>
      </c>
      <c r="J330" s="7" t="s">
        <v>88</v>
      </c>
    </row>
    <row r="331" spans="1:10" ht="13.95" customHeight="1" x14ac:dyDescent="0.3">
      <c r="A331" s="20">
        <v>45987</v>
      </c>
      <c r="B331" s="20" t="s">
        <v>3237</v>
      </c>
      <c r="C331" s="19" t="s">
        <v>5</v>
      </c>
      <c r="D331" s="19" t="s">
        <v>3153</v>
      </c>
      <c r="E331" s="4">
        <v>0.4</v>
      </c>
      <c r="F331" s="42">
        <v>2.2999999999999998</v>
      </c>
      <c r="G331" s="45">
        <v>250</v>
      </c>
      <c r="H331" s="22">
        <v>2.2000000000000002</v>
      </c>
      <c r="I331" s="6">
        <f t="shared" si="5"/>
        <v>506</v>
      </c>
      <c r="J331" s="7" t="s">
        <v>88</v>
      </c>
    </row>
    <row r="332" spans="1:10" ht="13.95" customHeight="1" x14ac:dyDescent="0.3">
      <c r="A332" s="20">
        <v>45988</v>
      </c>
      <c r="B332" s="20" t="s">
        <v>3237</v>
      </c>
      <c r="C332" s="19" t="s">
        <v>8</v>
      </c>
      <c r="D332" s="19" t="s">
        <v>1263</v>
      </c>
      <c r="E332" s="4">
        <v>0.6</v>
      </c>
      <c r="F332" s="42">
        <v>2.65</v>
      </c>
      <c r="G332" s="45">
        <v>250</v>
      </c>
      <c r="H332" s="22">
        <v>2.2000000000000002</v>
      </c>
      <c r="I332" s="6">
        <f t="shared" si="5"/>
        <v>874.50000000000011</v>
      </c>
      <c r="J332" s="7" t="s">
        <v>3226</v>
      </c>
    </row>
    <row r="333" spans="1:10" ht="13.95" customHeight="1" x14ac:dyDescent="0.3">
      <c r="A333" s="20">
        <v>45989</v>
      </c>
      <c r="B333" s="20" t="s">
        <v>3237</v>
      </c>
      <c r="C333" s="19" t="s">
        <v>11</v>
      </c>
      <c r="D333" s="19" t="s">
        <v>14</v>
      </c>
      <c r="E333" s="4">
        <v>0.6</v>
      </c>
      <c r="F333" s="42">
        <v>2.85</v>
      </c>
      <c r="G333" s="45">
        <v>250</v>
      </c>
      <c r="H333" s="22">
        <v>2.2000000000000002</v>
      </c>
      <c r="I333" s="6">
        <f t="shared" si="5"/>
        <v>940.50000000000011</v>
      </c>
      <c r="J333" s="7" t="s">
        <v>67</v>
      </c>
    </row>
    <row r="334" spans="1:10" ht="13.95" customHeight="1" x14ac:dyDescent="0.3">
      <c r="A334" s="20">
        <v>45990</v>
      </c>
      <c r="B334" s="20" t="s">
        <v>3237</v>
      </c>
      <c r="C334" s="19" t="s">
        <v>13</v>
      </c>
      <c r="D334" s="19" t="s">
        <v>3157</v>
      </c>
      <c r="E334" s="4">
        <v>0.75</v>
      </c>
      <c r="F334" s="42">
        <v>3.45</v>
      </c>
      <c r="G334" s="45">
        <v>250</v>
      </c>
      <c r="H334" s="22">
        <v>2.2000000000000002</v>
      </c>
      <c r="I334" s="6">
        <f t="shared" si="5"/>
        <v>1423.1250000000002</v>
      </c>
      <c r="J334" s="7" t="s">
        <v>1811</v>
      </c>
    </row>
    <row r="335" spans="1:10" ht="13.95" customHeight="1" x14ac:dyDescent="0.3">
      <c r="A335" s="20">
        <v>45991</v>
      </c>
      <c r="B335" s="20" t="s">
        <v>3237</v>
      </c>
      <c r="C335" s="19" t="s">
        <v>16</v>
      </c>
      <c r="D335" s="19" t="s">
        <v>3098</v>
      </c>
      <c r="E335" s="4">
        <v>0.7</v>
      </c>
      <c r="F335" s="42">
        <v>3</v>
      </c>
      <c r="G335" s="45">
        <v>250</v>
      </c>
      <c r="H335" s="22">
        <v>2.2000000000000002</v>
      </c>
      <c r="I335" s="6">
        <f t="shared" si="5"/>
        <v>1155</v>
      </c>
      <c r="J335" s="7" t="s">
        <v>3022</v>
      </c>
    </row>
    <row r="336" spans="1:10" ht="13.95" customHeight="1" x14ac:dyDescent="0.3">
      <c r="A336" s="20">
        <v>45992</v>
      </c>
      <c r="B336" s="20" t="s">
        <v>3237</v>
      </c>
      <c r="C336" s="19" t="s">
        <v>18</v>
      </c>
      <c r="D336" s="19" t="s">
        <v>3153</v>
      </c>
      <c r="E336" s="4">
        <v>0.35</v>
      </c>
      <c r="F336" s="42">
        <v>2.2999999999999998</v>
      </c>
      <c r="G336" s="45">
        <v>250</v>
      </c>
      <c r="H336" s="22">
        <v>2.2000000000000002</v>
      </c>
      <c r="I336" s="6">
        <f t="shared" si="5"/>
        <v>442.75</v>
      </c>
      <c r="J336" s="7" t="s">
        <v>2571</v>
      </c>
    </row>
    <row r="337" spans="1:10" ht="13.95" customHeight="1" x14ac:dyDescent="0.3">
      <c r="A337" s="20">
        <v>45993</v>
      </c>
      <c r="B337" s="20" t="s">
        <v>3237</v>
      </c>
      <c r="C337" s="19" t="s">
        <v>20</v>
      </c>
      <c r="D337" s="19" t="s">
        <v>3153</v>
      </c>
      <c r="E337" s="4">
        <v>0.35</v>
      </c>
      <c r="F337" s="42">
        <v>2.2999999999999998</v>
      </c>
      <c r="G337" s="45">
        <v>250</v>
      </c>
      <c r="H337" s="22">
        <v>2.2000000000000002</v>
      </c>
      <c r="I337" s="6">
        <f t="shared" si="5"/>
        <v>442.75</v>
      </c>
      <c r="J337" s="7" t="s">
        <v>2310</v>
      </c>
    </row>
    <row r="338" spans="1:10" ht="13.95" customHeight="1" x14ac:dyDescent="0.3">
      <c r="A338" s="20">
        <v>45994</v>
      </c>
      <c r="B338" s="20" t="s">
        <v>3237</v>
      </c>
      <c r="C338" s="19" t="s">
        <v>5</v>
      </c>
      <c r="D338" s="19" t="s">
        <v>3153</v>
      </c>
      <c r="E338" s="4">
        <v>0.4</v>
      </c>
      <c r="F338" s="42">
        <v>2.2999999999999998</v>
      </c>
      <c r="G338" s="45">
        <v>250</v>
      </c>
      <c r="H338" s="22">
        <v>2.2000000000000002</v>
      </c>
      <c r="I338" s="6">
        <f t="shared" si="5"/>
        <v>506</v>
      </c>
      <c r="J338" s="7" t="s">
        <v>88</v>
      </c>
    </row>
    <row r="339" spans="1:10" ht="13.95" customHeight="1" x14ac:dyDescent="0.3">
      <c r="A339" s="20">
        <v>45995</v>
      </c>
      <c r="B339" s="20" t="s">
        <v>3237</v>
      </c>
      <c r="C339" s="19" t="s">
        <v>8</v>
      </c>
      <c r="D339" s="19" t="s">
        <v>3227</v>
      </c>
      <c r="E339" s="4">
        <v>0.55000000000000004</v>
      </c>
      <c r="F339" s="42">
        <v>2.6</v>
      </c>
      <c r="G339" s="45">
        <v>250</v>
      </c>
      <c r="H339" s="22">
        <v>2.2000000000000002</v>
      </c>
      <c r="I339" s="6">
        <f t="shared" si="5"/>
        <v>786.50000000000011</v>
      </c>
      <c r="J339" s="7" t="s">
        <v>3228</v>
      </c>
    </row>
    <row r="340" spans="1:10" ht="13.95" customHeight="1" x14ac:dyDescent="0.3">
      <c r="A340" s="20">
        <v>45996</v>
      </c>
      <c r="B340" s="20" t="s">
        <v>3237</v>
      </c>
      <c r="C340" s="19" t="s">
        <v>11</v>
      </c>
      <c r="D340" s="19" t="s">
        <v>3229</v>
      </c>
      <c r="E340" s="4">
        <v>0.5</v>
      </c>
      <c r="F340" s="42">
        <v>2.75</v>
      </c>
      <c r="G340" s="45">
        <v>250</v>
      </c>
      <c r="H340" s="22">
        <v>2.2000000000000002</v>
      </c>
      <c r="I340" s="6">
        <f t="shared" si="5"/>
        <v>756.25000000000011</v>
      </c>
      <c r="J340" s="7" t="s">
        <v>282</v>
      </c>
    </row>
    <row r="341" spans="1:10" ht="13.95" customHeight="1" x14ac:dyDescent="0.3">
      <c r="A341" s="20">
        <v>45997</v>
      </c>
      <c r="B341" s="20" t="s">
        <v>3237</v>
      </c>
      <c r="C341" s="19" t="s">
        <v>13</v>
      </c>
      <c r="D341" s="19" t="s">
        <v>3230</v>
      </c>
      <c r="E341" s="4">
        <v>0.6</v>
      </c>
      <c r="F341" s="42">
        <v>3.2</v>
      </c>
      <c r="G341" s="45">
        <v>250</v>
      </c>
      <c r="H341" s="22">
        <v>2.2000000000000002</v>
      </c>
      <c r="I341" s="6">
        <f t="shared" si="5"/>
        <v>1056</v>
      </c>
      <c r="J341" s="7" t="s">
        <v>1481</v>
      </c>
    </row>
    <row r="342" spans="1:10" ht="13.95" customHeight="1" x14ac:dyDescent="0.3">
      <c r="A342" s="20">
        <v>45998</v>
      </c>
      <c r="B342" s="20" t="s">
        <v>3237</v>
      </c>
      <c r="C342" s="19" t="s">
        <v>16</v>
      </c>
      <c r="D342" s="19" t="s">
        <v>3098</v>
      </c>
      <c r="E342" s="4">
        <v>0.55000000000000004</v>
      </c>
      <c r="F342" s="42">
        <v>2.9</v>
      </c>
      <c r="G342" s="45">
        <v>250</v>
      </c>
      <c r="H342" s="22">
        <v>2.2000000000000002</v>
      </c>
      <c r="I342" s="6">
        <f t="shared" si="5"/>
        <v>877.25000000000011</v>
      </c>
      <c r="J342" s="7" t="s">
        <v>1336</v>
      </c>
    </row>
    <row r="343" spans="1:10" ht="13.95" customHeight="1" x14ac:dyDescent="0.3">
      <c r="A343" s="20">
        <v>45999</v>
      </c>
      <c r="B343" s="20" t="s">
        <v>3237</v>
      </c>
      <c r="C343" s="19" t="s">
        <v>18</v>
      </c>
      <c r="D343" s="19" t="s">
        <v>3153</v>
      </c>
      <c r="E343" s="4">
        <v>0.3</v>
      </c>
      <c r="F343" s="42">
        <v>2.25</v>
      </c>
      <c r="G343" s="45">
        <v>250</v>
      </c>
      <c r="H343" s="22">
        <v>2.2000000000000002</v>
      </c>
      <c r="I343" s="6">
        <f t="shared" si="5"/>
        <v>371.25000000000006</v>
      </c>
      <c r="J343" s="7" t="s">
        <v>1471</v>
      </c>
    </row>
    <row r="344" spans="1:10" ht="13.95" customHeight="1" x14ac:dyDescent="0.3">
      <c r="A344" s="20">
        <v>46000</v>
      </c>
      <c r="B344" s="20" t="s">
        <v>3237</v>
      </c>
      <c r="C344" s="19" t="s">
        <v>20</v>
      </c>
      <c r="D344" s="19" t="s">
        <v>3153</v>
      </c>
      <c r="E344" s="4">
        <v>0.3</v>
      </c>
      <c r="F344" s="42">
        <v>2.25</v>
      </c>
      <c r="G344" s="45">
        <v>250</v>
      </c>
      <c r="H344" s="22">
        <v>2.2000000000000002</v>
      </c>
      <c r="I344" s="6">
        <f t="shared" si="5"/>
        <v>371.25000000000006</v>
      </c>
      <c r="J344" s="7" t="s">
        <v>88</v>
      </c>
    </row>
    <row r="345" spans="1:10" ht="13.95" customHeight="1" x14ac:dyDescent="0.3">
      <c r="A345" s="20">
        <v>46001</v>
      </c>
      <c r="B345" s="20" t="s">
        <v>3237</v>
      </c>
      <c r="C345" s="19" t="s">
        <v>5</v>
      </c>
      <c r="D345" s="19" t="s">
        <v>3153</v>
      </c>
      <c r="E345" s="4">
        <v>0.35</v>
      </c>
      <c r="F345" s="42">
        <v>2.2999999999999998</v>
      </c>
      <c r="G345" s="45">
        <v>250</v>
      </c>
      <c r="H345" s="22">
        <v>2.2000000000000002</v>
      </c>
      <c r="I345" s="6">
        <f t="shared" si="5"/>
        <v>442.75</v>
      </c>
      <c r="J345" s="7" t="s">
        <v>88</v>
      </c>
    </row>
    <row r="346" spans="1:10" ht="13.95" customHeight="1" x14ac:dyDescent="0.3">
      <c r="A346" s="20">
        <v>46002</v>
      </c>
      <c r="B346" s="20" t="s">
        <v>3237</v>
      </c>
      <c r="C346" s="19" t="s">
        <v>8</v>
      </c>
      <c r="D346" s="19" t="s">
        <v>3227</v>
      </c>
      <c r="E346" s="4">
        <v>0.5</v>
      </c>
      <c r="F346" s="42">
        <v>2.6</v>
      </c>
      <c r="G346" s="45">
        <v>250</v>
      </c>
      <c r="H346" s="22">
        <v>2.2000000000000002</v>
      </c>
      <c r="I346" s="6">
        <f t="shared" si="5"/>
        <v>715.00000000000011</v>
      </c>
      <c r="J346" s="7" t="s">
        <v>2569</v>
      </c>
    </row>
    <row r="347" spans="1:10" ht="13.95" customHeight="1" x14ac:dyDescent="0.3">
      <c r="A347" s="20">
        <v>46003</v>
      </c>
      <c r="B347" s="20" t="s">
        <v>3237</v>
      </c>
      <c r="C347" s="19" t="s">
        <v>11</v>
      </c>
      <c r="D347" s="19" t="s">
        <v>14</v>
      </c>
      <c r="E347" s="4">
        <v>0.55000000000000004</v>
      </c>
      <c r="F347" s="42">
        <v>2.8</v>
      </c>
      <c r="G347" s="45">
        <v>250</v>
      </c>
      <c r="H347" s="22">
        <v>2.2000000000000002</v>
      </c>
      <c r="I347" s="6">
        <f t="shared" si="5"/>
        <v>847.00000000000011</v>
      </c>
      <c r="J347" s="7" t="s">
        <v>390</v>
      </c>
    </row>
    <row r="348" spans="1:10" ht="13.95" customHeight="1" x14ac:dyDescent="0.3">
      <c r="A348" s="20">
        <v>46004</v>
      </c>
      <c r="B348" s="20" t="s">
        <v>3237</v>
      </c>
      <c r="C348" s="19" t="s">
        <v>13</v>
      </c>
      <c r="D348" s="19" t="s">
        <v>3096</v>
      </c>
      <c r="E348" s="4">
        <v>0.65</v>
      </c>
      <c r="F348" s="42">
        <v>3.3</v>
      </c>
      <c r="G348" s="45">
        <v>250</v>
      </c>
      <c r="H348" s="22">
        <v>2.2000000000000002</v>
      </c>
      <c r="I348" s="6">
        <f t="shared" si="5"/>
        <v>1179.75</v>
      </c>
      <c r="J348" s="7" t="s">
        <v>3113</v>
      </c>
    </row>
    <row r="349" spans="1:10" ht="13.95" customHeight="1" x14ac:dyDescent="0.3">
      <c r="A349" s="20">
        <v>46005</v>
      </c>
      <c r="B349" s="20" t="s">
        <v>3237</v>
      </c>
      <c r="C349" s="19" t="s">
        <v>16</v>
      </c>
      <c r="D349" s="19" t="s">
        <v>3098</v>
      </c>
      <c r="E349" s="4">
        <v>0.6</v>
      </c>
      <c r="F349" s="42">
        <v>2.95</v>
      </c>
      <c r="G349" s="45">
        <v>250</v>
      </c>
      <c r="H349" s="22">
        <v>2.2000000000000002</v>
      </c>
      <c r="I349" s="6">
        <f t="shared" si="5"/>
        <v>973.50000000000011</v>
      </c>
      <c r="J349" s="7" t="s">
        <v>139</v>
      </c>
    </row>
    <row r="350" spans="1:10" ht="13.95" customHeight="1" x14ac:dyDescent="0.3">
      <c r="A350" s="20">
        <v>46006</v>
      </c>
      <c r="B350" s="20" t="s">
        <v>3237</v>
      </c>
      <c r="C350" s="19" t="s">
        <v>18</v>
      </c>
      <c r="D350" s="19" t="s">
        <v>3153</v>
      </c>
      <c r="E350" s="4">
        <v>0.35</v>
      </c>
      <c r="F350" s="42">
        <v>2.2999999999999998</v>
      </c>
      <c r="G350" s="45">
        <v>250</v>
      </c>
      <c r="H350" s="22">
        <v>2.2000000000000002</v>
      </c>
      <c r="I350" s="6">
        <f t="shared" si="5"/>
        <v>442.75</v>
      </c>
      <c r="J350" s="7" t="s">
        <v>88</v>
      </c>
    </row>
    <row r="351" spans="1:10" ht="13.95" customHeight="1" x14ac:dyDescent="0.3">
      <c r="A351" s="20">
        <v>46007</v>
      </c>
      <c r="B351" s="20" t="s">
        <v>3237</v>
      </c>
      <c r="C351" s="19" t="s">
        <v>20</v>
      </c>
      <c r="D351" s="19" t="s">
        <v>3153</v>
      </c>
      <c r="E351" s="4">
        <v>0.35</v>
      </c>
      <c r="F351" s="42">
        <v>2.2999999999999998</v>
      </c>
      <c r="G351" s="45">
        <v>250</v>
      </c>
      <c r="H351" s="22">
        <v>2.2000000000000002</v>
      </c>
      <c r="I351" s="6">
        <f t="shared" si="5"/>
        <v>442.75</v>
      </c>
      <c r="J351" s="7" t="s">
        <v>88</v>
      </c>
    </row>
    <row r="352" spans="1:10" ht="13.95" customHeight="1" x14ac:dyDescent="0.3">
      <c r="A352" s="20">
        <v>46008</v>
      </c>
      <c r="B352" s="20" t="s">
        <v>3237</v>
      </c>
      <c r="C352" s="19" t="s">
        <v>5</v>
      </c>
      <c r="D352" s="19" t="s">
        <v>3153</v>
      </c>
      <c r="E352" s="4">
        <v>0.4</v>
      </c>
      <c r="F352" s="42">
        <v>2.35</v>
      </c>
      <c r="G352" s="45">
        <v>250</v>
      </c>
      <c r="H352" s="22">
        <v>2.2000000000000002</v>
      </c>
      <c r="I352" s="6">
        <f t="shared" si="5"/>
        <v>517</v>
      </c>
      <c r="J352" s="7" t="s">
        <v>88</v>
      </c>
    </row>
    <row r="353" spans="1:10" ht="13.95" customHeight="1" x14ac:dyDescent="0.3">
      <c r="A353" s="20">
        <v>46009</v>
      </c>
      <c r="B353" s="20" t="s">
        <v>3237</v>
      </c>
      <c r="C353" s="19" t="s">
        <v>8</v>
      </c>
      <c r="D353" s="19" t="s">
        <v>1263</v>
      </c>
      <c r="E353" s="4">
        <v>0.55000000000000004</v>
      </c>
      <c r="F353" s="42">
        <v>2.65</v>
      </c>
      <c r="G353" s="45">
        <v>250</v>
      </c>
      <c r="H353" s="22">
        <v>2.2000000000000002</v>
      </c>
      <c r="I353" s="6">
        <f t="shared" si="5"/>
        <v>801.62500000000011</v>
      </c>
      <c r="J353" s="7" t="s">
        <v>3231</v>
      </c>
    </row>
    <row r="354" spans="1:10" ht="13.95" customHeight="1" x14ac:dyDescent="0.3">
      <c r="A354" s="20">
        <v>46010</v>
      </c>
      <c r="B354" s="20" t="s">
        <v>3237</v>
      </c>
      <c r="C354" s="19" t="s">
        <v>11</v>
      </c>
      <c r="D354" s="19" t="s">
        <v>3163</v>
      </c>
      <c r="E354" s="4">
        <v>0.65</v>
      </c>
      <c r="F354" s="42">
        <v>2.9</v>
      </c>
      <c r="G354" s="45">
        <v>250</v>
      </c>
      <c r="H354" s="22">
        <v>2.2000000000000002</v>
      </c>
      <c r="I354" s="6">
        <f t="shared" si="5"/>
        <v>1036.75</v>
      </c>
      <c r="J354" s="7" t="s">
        <v>1488</v>
      </c>
    </row>
    <row r="355" spans="1:10" ht="13.95" customHeight="1" x14ac:dyDescent="0.3">
      <c r="A355" s="20">
        <v>46011</v>
      </c>
      <c r="B355" s="20" t="s">
        <v>3237</v>
      </c>
      <c r="C355" s="19" t="s">
        <v>13</v>
      </c>
      <c r="D355" s="19" t="s">
        <v>3232</v>
      </c>
      <c r="E355" s="4">
        <v>0.8</v>
      </c>
      <c r="F355" s="42">
        <v>3.5</v>
      </c>
      <c r="G355" s="45">
        <v>250</v>
      </c>
      <c r="H355" s="22">
        <v>2.2000000000000002</v>
      </c>
      <c r="I355" s="6">
        <f t="shared" si="5"/>
        <v>1540.0000000000002</v>
      </c>
      <c r="J355" s="7" t="s">
        <v>3233</v>
      </c>
    </row>
    <row r="356" spans="1:10" ht="13.95" customHeight="1" x14ac:dyDescent="0.3">
      <c r="A356" s="20">
        <v>46012</v>
      </c>
      <c r="B356" s="20" t="s">
        <v>3237</v>
      </c>
      <c r="C356" s="19" t="s">
        <v>16</v>
      </c>
      <c r="D356" s="19" t="s">
        <v>3161</v>
      </c>
      <c r="E356" s="4">
        <v>0.8</v>
      </c>
      <c r="F356" s="42">
        <v>3.2</v>
      </c>
      <c r="G356" s="45">
        <v>250</v>
      </c>
      <c r="H356" s="22">
        <v>2.2000000000000002</v>
      </c>
      <c r="I356" s="6">
        <f t="shared" si="5"/>
        <v>1408</v>
      </c>
      <c r="J356" s="7" t="s">
        <v>1199</v>
      </c>
    </row>
    <row r="357" spans="1:10" ht="13.95" customHeight="1" x14ac:dyDescent="0.3">
      <c r="A357" s="20">
        <v>46013</v>
      </c>
      <c r="B357" s="20" t="s">
        <v>3237</v>
      </c>
      <c r="C357" s="19" t="s">
        <v>18</v>
      </c>
      <c r="D357" s="19" t="s">
        <v>3035</v>
      </c>
      <c r="E357" s="4">
        <v>0.75</v>
      </c>
      <c r="F357" s="42">
        <v>2.7</v>
      </c>
      <c r="G357" s="45">
        <v>250</v>
      </c>
      <c r="H357" s="22">
        <v>2.2000000000000002</v>
      </c>
      <c r="I357" s="6">
        <f t="shared" si="5"/>
        <v>1113.7500000000002</v>
      </c>
      <c r="J357" s="7" t="s">
        <v>3234</v>
      </c>
    </row>
    <row r="358" spans="1:10" ht="13.95" customHeight="1" x14ac:dyDescent="0.3">
      <c r="A358" s="20">
        <v>46014</v>
      </c>
      <c r="B358" s="20" t="s">
        <v>3237</v>
      </c>
      <c r="C358" s="19" t="s">
        <v>20</v>
      </c>
      <c r="D358" s="19" t="s">
        <v>3036</v>
      </c>
      <c r="E358" s="4">
        <v>0.8</v>
      </c>
      <c r="F358" s="42">
        <v>2.8</v>
      </c>
      <c r="G358" s="45">
        <v>250</v>
      </c>
      <c r="H358" s="22">
        <v>2.2000000000000002</v>
      </c>
      <c r="I358" s="6">
        <f t="shared" si="5"/>
        <v>1232</v>
      </c>
      <c r="J358" s="7" t="s">
        <v>667</v>
      </c>
    </row>
    <row r="359" spans="1:10" ht="13.95" customHeight="1" x14ac:dyDescent="0.3">
      <c r="A359" s="20">
        <v>46015</v>
      </c>
      <c r="B359" s="20" t="s">
        <v>3237</v>
      </c>
      <c r="C359" s="19" t="s">
        <v>5</v>
      </c>
      <c r="D359" s="19" t="s">
        <v>2576</v>
      </c>
      <c r="E359" s="4">
        <v>0.95</v>
      </c>
      <c r="F359" s="42">
        <v>4.0999999999999996</v>
      </c>
      <c r="G359" s="45">
        <v>250</v>
      </c>
      <c r="H359" s="22">
        <v>2.2000000000000002</v>
      </c>
      <c r="I359" s="6">
        <f t="shared" si="5"/>
        <v>2142.25</v>
      </c>
      <c r="J359" s="7" t="s">
        <v>3235</v>
      </c>
    </row>
    <row r="360" spans="1:10" ht="13.95" customHeight="1" x14ac:dyDescent="0.3">
      <c r="A360" s="20">
        <v>46016</v>
      </c>
      <c r="B360" s="20" t="s">
        <v>3237</v>
      </c>
      <c r="C360" s="19" t="s">
        <v>8</v>
      </c>
      <c r="D360" s="19" t="s">
        <v>3037</v>
      </c>
      <c r="E360" s="4">
        <v>0.95</v>
      </c>
      <c r="F360" s="42">
        <v>3.6</v>
      </c>
      <c r="G360" s="45">
        <v>250</v>
      </c>
      <c r="H360" s="22">
        <v>2.2000000000000002</v>
      </c>
      <c r="I360" s="6">
        <f t="shared" si="5"/>
        <v>1881.0000000000002</v>
      </c>
      <c r="J360" s="7" t="s">
        <v>1834</v>
      </c>
    </row>
    <row r="361" spans="1:10" ht="13.95" customHeight="1" x14ac:dyDescent="0.3">
      <c r="A361" s="20">
        <v>46017</v>
      </c>
      <c r="B361" s="20" t="s">
        <v>3237</v>
      </c>
      <c r="C361" s="19" t="s">
        <v>11</v>
      </c>
      <c r="D361" s="19" t="s">
        <v>3163</v>
      </c>
      <c r="E361" s="4">
        <v>0.9</v>
      </c>
      <c r="F361" s="42">
        <v>3.2</v>
      </c>
      <c r="G361" s="45">
        <v>250</v>
      </c>
      <c r="H361" s="22">
        <v>2.2000000000000002</v>
      </c>
      <c r="I361" s="6">
        <f t="shared" si="5"/>
        <v>1584.0000000000002</v>
      </c>
      <c r="J361" s="7" t="s">
        <v>1463</v>
      </c>
    </row>
    <row r="362" spans="1:10" ht="13.95" customHeight="1" x14ac:dyDescent="0.3">
      <c r="A362" s="20">
        <v>46018</v>
      </c>
      <c r="B362" s="20" t="s">
        <v>3237</v>
      </c>
      <c r="C362" s="19" t="s">
        <v>13</v>
      </c>
      <c r="D362" s="19" t="s">
        <v>3156</v>
      </c>
      <c r="E362" s="4">
        <v>1</v>
      </c>
      <c r="F362" s="42">
        <v>3.9</v>
      </c>
      <c r="G362" s="45">
        <v>250</v>
      </c>
      <c r="H362" s="22">
        <v>2.2000000000000002</v>
      </c>
      <c r="I362" s="6">
        <f t="shared" si="5"/>
        <v>2145</v>
      </c>
      <c r="J362" s="7" t="s">
        <v>3062</v>
      </c>
    </row>
    <row r="363" spans="1:10" ht="13.95" customHeight="1" x14ac:dyDescent="0.3">
      <c r="A363" s="20">
        <v>46019</v>
      </c>
      <c r="B363" s="20" t="s">
        <v>3237</v>
      </c>
      <c r="C363" s="19" t="s">
        <v>16</v>
      </c>
      <c r="D363" s="19" t="s">
        <v>3002</v>
      </c>
      <c r="E363" s="4">
        <v>0.95</v>
      </c>
      <c r="F363" s="42">
        <v>3.5</v>
      </c>
      <c r="G363" s="45">
        <v>250</v>
      </c>
      <c r="H363" s="22">
        <v>2.2000000000000002</v>
      </c>
      <c r="I363" s="6">
        <f t="shared" si="5"/>
        <v>1828.7500000000002</v>
      </c>
      <c r="J363" s="7" t="s">
        <v>139</v>
      </c>
    </row>
    <row r="364" spans="1:10" ht="13.95" customHeight="1" x14ac:dyDescent="0.3">
      <c r="A364" s="20">
        <v>46020</v>
      </c>
      <c r="B364" s="20" t="s">
        <v>3237</v>
      </c>
      <c r="C364" s="19" t="s">
        <v>18</v>
      </c>
      <c r="D364" s="19" t="s">
        <v>1565</v>
      </c>
      <c r="E364" s="4">
        <v>0.95</v>
      </c>
      <c r="F364" s="42">
        <v>3</v>
      </c>
      <c r="G364" s="45">
        <v>250</v>
      </c>
      <c r="H364" s="22">
        <v>2.2000000000000002</v>
      </c>
      <c r="I364" s="6">
        <f t="shared" si="5"/>
        <v>1567.5000000000002</v>
      </c>
      <c r="J364" s="7" t="s">
        <v>1449</v>
      </c>
    </row>
    <row r="365" spans="1:10" ht="13.95" customHeight="1" x14ac:dyDescent="0.3">
      <c r="A365" s="20">
        <v>46021</v>
      </c>
      <c r="B365" s="20" t="s">
        <v>3237</v>
      </c>
      <c r="C365" s="19" t="s">
        <v>20</v>
      </c>
      <c r="D365" s="19" t="s">
        <v>1565</v>
      </c>
      <c r="E365" s="4">
        <v>1</v>
      </c>
      <c r="F365" s="42">
        <v>3.2</v>
      </c>
      <c r="G365" s="45">
        <v>250</v>
      </c>
      <c r="H365" s="22">
        <v>2.2000000000000002</v>
      </c>
      <c r="I365" s="6">
        <f t="shared" si="5"/>
        <v>1760.0000000000002</v>
      </c>
      <c r="J365" s="7" t="s">
        <v>2283</v>
      </c>
    </row>
    <row r="366" spans="1:10" ht="13.95" customHeight="1" x14ac:dyDescent="0.3">
      <c r="A366" s="20">
        <v>46022</v>
      </c>
      <c r="B366" s="20" t="s">
        <v>3237</v>
      </c>
      <c r="C366" s="19" t="s">
        <v>5</v>
      </c>
      <c r="D366" s="19" t="s">
        <v>3041</v>
      </c>
      <c r="E366" s="4">
        <v>1</v>
      </c>
      <c r="F366" s="42">
        <v>4.9000000000000004</v>
      </c>
      <c r="G366" s="45">
        <v>250</v>
      </c>
      <c r="H366" s="22">
        <v>2.2000000000000002</v>
      </c>
      <c r="I366" s="6">
        <f t="shared" si="5"/>
        <v>2695</v>
      </c>
      <c r="J366" s="7" t="s">
        <v>3236</v>
      </c>
    </row>
    <row r="367" spans="1:10" ht="13.95" customHeight="1" x14ac:dyDescent="0.3">
      <c r="A367" s="20"/>
      <c r="B367" s="20"/>
      <c r="C367" s="19"/>
      <c r="D367" s="19"/>
      <c r="E367" s="4"/>
      <c r="F367" s="42"/>
      <c r="G367" s="45"/>
      <c r="H367" s="22"/>
      <c r="I367" s="6"/>
      <c r="J367" s="7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C33B7-8603-4C31-A4F9-885AF8DDEF34}">
  <sheetPr>
    <tabColor rgb="FFFFFF00"/>
  </sheetPr>
  <dimension ref="A1:K326"/>
  <sheetViews>
    <sheetView workbookViewId="0">
      <selection activeCell="E21" sqref="E21"/>
    </sheetView>
  </sheetViews>
  <sheetFormatPr baseColWidth="10" defaultRowHeight="14.4" x14ac:dyDescent="0.3"/>
  <cols>
    <col min="2" max="2" width="28.44140625" bestFit="1" customWidth="1"/>
    <col min="4" max="4" width="18.88671875" bestFit="1" customWidth="1"/>
    <col min="10" max="10" width="30" bestFit="1" customWidth="1"/>
  </cols>
  <sheetData>
    <row r="1" spans="1:11" ht="28.2" thickBot="1" x14ac:dyDescent="0.35">
      <c r="A1" s="1" t="s">
        <v>333</v>
      </c>
      <c r="B1" s="1" t="s">
        <v>670</v>
      </c>
      <c r="C1" s="34" t="s">
        <v>0</v>
      </c>
      <c r="D1" s="34" t="s">
        <v>1</v>
      </c>
      <c r="E1" s="37" t="s">
        <v>2</v>
      </c>
      <c r="F1" s="43" t="s">
        <v>3</v>
      </c>
      <c r="G1" s="47" t="s">
        <v>359</v>
      </c>
      <c r="H1" s="35" t="s">
        <v>360</v>
      </c>
      <c r="I1" s="47" t="s">
        <v>361</v>
      </c>
      <c r="J1" s="25" t="s">
        <v>4</v>
      </c>
    </row>
    <row r="2" spans="1:11" ht="13.95" customHeight="1" x14ac:dyDescent="0.3">
      <c r="A2" s="20">
        <v>45658</v>
      </c>
      <c r="B2" s="20" t="s">
        <v>3317</v>
      </c>
      <c r="C2" s="19" t="s">
        <v>5</v>
      </c>
      <c r="D2" s="19" t="s">
        <v>2859</v>
      </c>
      <c r="E2" s="4">
        <v>0.9</v>
      </c>
      <c r="F2" s="42">
        <v>3.8</v>
      </c>
      <c r="G2" s="45">
        <v>250</v>
      </c>
      <c r="H2" s="22">
        <v>1.9</v>
      </c>
      <c r="I2" s="6">
        <f>(G2*E2)*F2*H2</f>
        <v>1624.5</v>
      </c>
      <c r="J2" s="7" t="s">
        <v>2190</v>
      </c>
      <c r="K2">
        <f>I2*0.054</f>
        <v>87.722999999999999</v>
      </c>
    </row>
    <row r="3" spans="1:11" ht="13.95" customHeight="1" x14ac:dyDescent="0.3">
      <c r="A3" s="20">
        <v>45659</v>
      </c>
      <c r="B3" s="20" t="s">
        <v>3317</v>
      </c>
      <c r="C3" s="19" t="s">
        <v>8</v>
      </c>
      <c r="D3" s="19" t="s">
        <v>2176</v>
      </c>
      <c r="E3" s="4">
        <v>0.5</v>
      </c>
      <c r="F3" s="42">
        <v>2.2999999999999998</v>
      </c>
      <c r="G3" s="45">
        <v>250</v>
      </c>
      <c r="H3" s="22">
        <v>1.9</v>
      </c>
      <c r="I3" s="6">
        <f t="shared" ref="I3:I66" si="0">(G3*E3)*F3*H3</f>
        <v>546.25</v>
      </c>
      <c r="J3" s="7" t="s">
        <v>1639</v>
      </c>
      <c r="K3">
        <f t="shared" ref="K3:K66" si="1">I3*0.054</f>
        <v>29.497499999999999</v>
      </c>
    </row>
    <row r="4" spans="1:11" ht="13.95" customHeight="1" x14ac:dyDescent="0.3">
      <c r="A4" s="20">
        <v>45660</v>
      </c>
      <c r="B4" s="20" t="s">
        <v>3317</v>
      </c>
      <c r="C4" s="19" t="s">
        <v>11</v>
      </c>
      <c r="D4" s="19" t="s">
        <v>14</v>
      </c>
      <c r="E4" s="4">
        <v>0.45</v>
      </c>
      <c r="F4" s="42">
        <v>2.6</v>
      </c>
      <c r="G4" s="45">
        <v>250</v>
      </c>
      <c r="H4" s="22">
        <v>1.9</v>
      </c>
      <c r="I4" s="6">
        <f t="shared" si="0"/>
        <v>555.75</v>
      </c>
      <c r="J4" s="7" t="s">
        <v>2477</v>
      </c>
      <c r="K4">
        <f t="shared" si="1"/>
        <v>30.0105</v>
      </c>
    </row>
    <row r="5" spans="1:11" ht="13.95" customHeight="1" x14ac:dyDescent="0.3">
      <c r="A5" s="20">
        <v>45661</v>
      </c>
      <c r="B5" s="20" t="s">
        <v>3317</v>
      </c>
      <c r="C5" s="19" t="s">
        <v>13</v>
      </c>
      <c r="D5" s="19" t="s">
        <v>3230</v>
      </c>
      <c r="E5" s="4">
        <v>0.55000000000000004</v>
      </c>
      <c r="F5" s="42">
        <v>3.1</v>
      </c>
      <c r="G5" s="45">
        <v>250</v>
      </c>
      <c r="H5" s="22">
        <v>1.9</v>
      </c>
      <c r="I5" s="6">
        <f t="shared" si="0"/>
        <v>809.875</v>
      </c>
      <c r="J5" s="7" t="s">
        <v>1481</v>
      </c>
      <c r="K5">
        <f t="shared" si="1"/>
        <v>43.733249999999998</v>
      </c>
    </row>
    <row r="6" spans="1:11" ht="13.95" customHeight="1" x14ac:dyDescent="0.3">
      <c r="A6" s="20">
        <v>45662</v>
      </c>
      <c r="B6" s="20" t="s">
        <v>3317</v>
      </c>
      <c r="C6" s="19" t="s">
        <v>16</v>
      </c>
      <c r="D6" s="19" t="s">
        <v>3098</v>
      </c>
      <c r="E6" s="4">
        <v>0.5</v>
      </c>
      <c r="F6" s="42">
        <v>2.8</v>
      </c>
      <c r="G6" s="45">
        <v>250</v>
      </c>
      <c r="H6" s="22">
        <v>1.9</v>
      </c>
      <c r="I6" s="6">
        <f t="shared" si="0"/>
        <v>665</v>
      </c>
      <c r="J6" s="7" t="s">
        <v>3251</v>
      </c>
      <c r="K6">
        <f t="shared" si="1"/>
        <v>35.909999999999997</v>
      </c>
    </row>
    <row r="7" spans="1:11" ht="13.95" customHeight="1" x14ac:dyDescent="0.3">
      <c r="A7" s="20">
        <v>45663</v>
      </c>
      <c r="B7" s="20" t="s">
        <v>3317</v>
      </c>
      <c r="C7" s="19" t="s">
        <v>18</v>
      </c>
      <c r="D7" s="19" t="s">
        <v>3252</v>
      </c>
      <c r="E7" s="4">
        <v>0.35</v>
      </c>
      <c r="F7" s="42">
        <v>2.2000000000000002</v>
      </c>
      <c r="G7" s="45">
        <v>250</v>
      </c>
      <c r="H7" s="22">
        <v>1.9</v>
      </c>
      <c r="I7" s="6">
        <f t="shared" si="0"/>
        <v>365.75000000000006</v>
      </c>
      <c r="J7" s="7" t="s">
        <v>2485</v>
      </c>
      <c r="K7">
        <f t="shared" si="1"/>
        <v>19.750500000000002</v>
      </c>
    </row>
    <row r="8" spans="1:11" ht="13.95" customHeight="1" x14ac:dyDescent="0.3">
      <c r="A8" s="20">
        <v>45664</v>
      </c>
      <c r="B8" s="20" t="s">
        <v>3317</v>
      </c>
      <c r="C8" s="19" t="s">
        <v>20</v>
      </c>
      <c r="D8" s="19" t="s">
        <v>3252</v>
      </c>
      <c r="E8" s="4">
        <v>0.35</v>
      </c>
      <c r="F8" s="42">
        <v>2.2000000000000002</v>
      </c>
      <c r="G8" s="45">
        <v>250</v>
      </c>
      <c r="H8" s="22">
        <v>1.9</v>
      </c>
      <c r="I8" s="6">
        <f t="shared" si="0"/>
        <v>365.75000000000006</v>
      </c>
      <c r="J8" s="7" t="s">
        <v>88</v>
      </c>
      <c r="K8">
        <f t="shared" si="1"/>
        <v>19.750500000000002</v>
      </c>
    </row>
    <row r="9" spans="1:11" ht="13.95" customHeight="1" x14ac:dyDescent="0.3">
      <c r="A9" s="20">
        <v>45667</v>
      </c>
      <c r="B9" s="20" t="s">
        <v>3317</v>
      </c>
      <c r="C9" s="19" t="s">
        <v>11</v>
      </c>
      <c r="D9" s="19" t="s">
        <v>14</v>
      </c>
      <c r="E9" s="4">
        <v>0.4</v>
      </c>
      <c r="F9" s="42">
        <v>2.6</v>
      </c>
      <c r="G9" s="45">
        <v>250</v>
      </c>
      <c r="H9" s="22">
        <v>1.9</v>
      </c>
      <c r="I9" s="6">
        <f t="shared" si="0"/>
        <v>494</v>
      </c>
      <c r="J9" s="7" t="s">
        <v>91</v>
      </c>
      <c r="K9">
        <f t="shared" si="1"/>
        <v>26.675999999999998</v>
      </c>
    </row>
    <row r="10" spans="1:11" ht="13.95" customHeight="1" x14ac:dyDescent="0.3">
      <c r="A10" s="20">
        <v>45668</v>
      </c>
      <c r="B10" s="20" t="s">
        <v>3317</v>
      </c>
      <c r="C10" s="19" t="s">
        <v>13</v>
      </c>
      <c r="D10" s="19" t="s">
        <v>3253</v>
      </c>
      <c r="E10" s="4">
        <v>0.55000000000000004</v>
      </c>
      <c r="F10" s="42">
        <v>3.2</v>
      </c>
      <c r="G10" s="45">
        <v>250</v>
      </c>
      <c r="H10" s="22">
        <v>1.9</v>
      </c>
      <c r="I10" s="6">
        <f t="shared" si="0"/>
        <v>836</v>
      </c>
      <c r="J10" s="7" t="s">
        <v>2454</v>
      </c>
      <c r="K10">
        <f t="shared" si="1"/>
        <v>45.143999999999998</v>
      </c>
    </row>
    <row r="11" spans="1:11" ht="13.95" customHeight="1" x14ac:dyDescent="0.3">
      <c r="A11" s="20">
        <v>45669</v>
      </c>
      <c r="B11" s="20" t="s">
        <v>3317</v>
      </c>
      <c r="C11" s="19" t="s">
        <v>16</v>
      </c>
      <c r="D11" s="19" t="s">
        <v>3098</v>
      </c>
      <c r="E11" s="4">
        <v>0.5</v>
      </c>
      <c r="F11" s="42">
        <v>2.85</v>
      </c>
      <c r="G11" s="45">
        <v>250</v>
      </c>
      <c r="H11" s="22">
        <v>1.9</v>
      </c>
      <c r="I11" s="6">
        <f t="shared" si="0"/>
        <v>676.875</v>
      </c>
      <c r="J11" s="7" t="s">
        <v>139</v>
      </c>
      <c r="K11">
        <f t="shared" si="1"/>
        <v>36.551250000000003</v>
      </c>
    </row>
    <row r="12" spans="1:11" ht="13.95" customHeight="1" x14ac:dyDescent="0.3">
      <c r="A12" s="20">
        <v>45671</v>
      </c>
      <c r="B12" s="20" t="s">
        <v>3317</v>
      </c>
      <c r="C12" s="19" t="s">
        <v>20</v>
      </c>
      <c r="D12" s="19" t="s">
        <v>2720</v>
      </c>
      <c r="E12" s="4">
        <v>0.65</v>
      </c>
      <c r="F12" s="42">
        <v>3.3</v>
      </c>
      <c r="G12" s="45">
        <v>250</v>
      </c>
      <c r="H12" s="22">
        <v>1.9</v>
      </c>
      <c r="I12" s="6">
        <f t="shared" si="0"/>
        <v>1018.875</v>
      </c>
      <c r="J12" s="7" t="s">
        <v>2192</v>
      </c>
      <c r="K12">
        <f t="shared" si="1"/>
        <v>55.01925</v>
      </c>
    </row>
    <row r="13" spans="1:11" ht="13.95" customHeight="1" x14ac:dyDescent="0.3">
      <c r="A13" s="20">
        <v>45672</v>
      </c>
      <c r="B13" s="20" t="s">
        <v>3317</v>
      </c>
      <c r="C13" s="19" t="s">
        <v>5</v>
      </c>
      <c r="D13" s="19" t="s">
        <v>9</v>
      </c>
      <c r="E13" s="4">
        <v>0.35</v>
      </c>
      <c r="F13" s="42">
        <v>2.2000000000000002</v>
      </c>
      <c r="G13" s="45">
        <v>250</v>
      </c>
      <c r="H13" s="22">
        <v>1.9</v>
      </c>
      <c r="I13" s="6">
        <f t="shared" si="0"/>
        <v>365.75000000000006</v>
      </c>
      <c r="J13" s="7" t="s">
        <v>150</v>
      </c>
      <c r="K13">
        <f t="shared" si="1"/>
        <v>19.750500000000002</v>
      </c>
    </row>
    <row r="14" spans="1:11" ht="13.95" customHeight="1" x14ac:dyDescent="0.3">
      <c r="A14" s="20">
        <v>45673</v>
      </c>
      <c r="B14" s="20" t="s">
        <v>3317</v>
      </c>
      <c r="C14" s="19" t="s">
        <v>8</v>
      </c>
      <c r="D14" s="19" t="s">
        <v>1263</v>
      </c>
      <c r="E14" s="4">
        <v>0.5</v>
      </c>
      <c r="F14" s="42">
        <v>2.6</v>
      </c>
      <c r="G14" s="45">
        <v>250</v>
      </c>
      <c r="H14" s="22">
        <v>1.9</v>
      </c>
      <c r="I14" s="6">
        <f t="shared" si="0"/>
        <v>617.5</v>
      </c>
      <c r="J14" s="7" t="s">
        <v>2569</v>
      </c>
      <c r="K14">
        <f t="shared" si="1"/>
        <v>33.344999999999999</v>
      </c>
    </row>
    <row r="15" spans="1:11" ht="13.95" customHeight="1" x14ac:dyDescent="0.3">
      <c r="A15" s="20">
        <v>45675</v>
      </c>
      <c r="B15" s="20" t="s">
        <v>3317</v>
      </c>
      <c r="C15" s="19" t="s">
        <v>13</v>
      </c>
      <c r="D15" s="19" t="s">
        <v>14</v>
      </c>
      <c r="E15" s="4">
        <v>0.55000000000000004</v>
      </c>
      <c r="F15" s="42">
        <v>3.1</v>
      </c>
      <c r="G15" s="45">
        <v>250</v>
      </c>
      <c r="H15" s="22">
        <v>1.9</v>
      </c>
      <c r="I15" s="6">
        <f t="shared" si="0"/>
        <v>809.875</v>
      </c>
      <c r="J15" s="7" t="s">
        <v>1574</v>
      </c>
      <c r="K15">
        <f t="shared" si="1"/>
        <v>43.733249999999998</v>
      </c>
    </row>
    <row r="16" spans="1:11" ht="13.95" customHeight="1" x14ac:dyDescent="0.3">
      <c r="A16" s="20">
        <v>45676</v>
      </c>
      <c r="B16" s="20" t="s">
        <v>3317</v>
      </c>
      <c r="C16" s="19" t="s">
        <v>16</v>
      </c>
      <c r="D16" s="19" t="s">
        <v>3098</v>
      </c>
      <c r="E16" s="4">
        <v>0.5</v>
      </c>
      <c r="F16" s="42">
        <v>2.8</v>
      </c>
      <c r="G16" s="45">
        <v>250</v>
      </c>
      <c r="H16" s="22">
        <v>1.9</v>
      </c>
      <c r="I16" s="6">
        <f t="shared" si="0"/>
        <v>665</v>
      </c>
      <c r="J16" s="7" t="s">
        <v>88</v>
      </c>
      <c r="K16">
        <f t="shared" si="1"/>
        <v>35.909999999999997</v>
      </c>
    </row>
    <row r="17" spans="1:11" ht="13.95" customHeight="1" x14ac:dyDescent="0.3">
      <c r="A17" s="20">
        <v>45680</v>
      </c>
      <c r="B17" s="20" t="s">
        <v>3317</v>
      </c>
      <c r="C17" s="19" t="s">
        <v>8</v>
      </c>
      <c r="D17" s="19" t="s">
        <v>1263</v>
      </c>
      <c r="E17" s="4">
        <v>0.55000000000000004</v>
      </c>
      <c r="F17" s="42">
        <v>2.65</v>
      </c>
      <c r="G17" s="45">
        <v>250</v>
      </c>
      <c r="H17" s="22">
        <v>1.9</v>
      </c>
      <c r="I17" s="6">
        <f t="shared" si="0"/>
        <v>692.3125</v>
      </c>
      <c r="J17" s="7" t="s">
        <v>3254</v>
      </c>
      <c r="K17">
        <f t="shared" si="1"/>
        <v>37.384875000000001</v>
      </c>
    </row>
    <row r="18" spans="1:11" ht="13.95" customHeight="1" x14ac:dyDescent="0.3">
      <c r="A18" s="20">
        <v>45682</v>
      </c>
      <c r="B18" s="20" t="s">
        <v>3317</v>
      </c>
      <c r="C18" s="19" t="s">
        <v>13</v>
      </c>
      <c r="D18" s="19" t="s">
        <v>3156</v>
      </c>
      <c r="E18" s="4">
        <v>0.6</v>
      </c>
      <c r="F18" s="42">
        <v>3.2</v>
      </c>
      <c r="G18" s="45">
        <v>250</v>
      </c>
      <c r="H18" s="22">
        <v>1.9</v>
      </c>
      <c r="I18" s="6">
        <f t="shared" si="0"/>
        <v>912</v>
      </c>
      <c r="J18" s="7" t="s">
        <v>3113</v>
      </c>
      <c r="K18">
        <f t="shared" si="1"/>
        <v>49.247999999999998</v>
      </c>
    </row>
    <row r="19" spans="1:11" ht="13.95" customHeight="1" x14ac:dyDescent="0.3">
      <c r="A19" s="20">
        <v>45683</v>
      </c>
      <c r="B19" s="20" t="s">
        <v>3317</v>
      </c>
      <c r="C19" s="19" t="s">
        <v>16</v>
      </c>
      <c r="D19" s="19" t="s">
        <v>3098</v>
      </c>
      <c r="E19" s="4">
        <v>0.55000000000000004</v>
      </c>
      <c r="F19" s="42">
        <v>2.85</v>
      </c>
      <c r="G19" s="45">
        <v>250</v>
      </c>
      <c r="H19" s="22">
        <v>1.9</v>
      </c>
      <c r="I19" s="6">
        <f t="shared" si="0"/>
        <v>744.5625</v>
      </c>
      <c r="J19" s="7" t="s">
        <v>88</v>
      </c>
      <c r="K19">
        <f t="shared" si="1"/>
        <v>40.206375000000001</v>
      </c>
    </row>
    <row r="20" spans="1:11" ht="13.95" customHeight="1" x14ac:dyDescent="0.3">
      <c r="A20" s="20">
        <v>45687</v>
      </c>
      <c r="B20" s="20" t="s">
        <v>3317</v>
      </c>
      <c r="C20" s="19" t="s">
        <v>8</v>
      </c>
      <c r="D20" s="19" t="s">
        <v>9</v>
      </c>
      <c r="E20" s="4">
        <v>0.35</v>
      </c>
      <c r="F20" s="42">
        <v>2.2000000000000002</v>
      </c>
      <c r="G20" s="45">
        <v>250</v>
      </c>
      <c r="H20" s="22">
        <v>1.9</v>
      </c>
      <c r="I20" s="6">
        <f t="shared" si="0"/>
        <v>365.75000000000006</v>
      </c>
      <c r="J20" s="7" t="s">
        <v>150</v>
      </c>
      <c r="K20">
        <f t="shared" si="1"/>
        <v>19.750500000000002</v>
      </c>
    </row>
    <row r="21" spans="1:11" ht="13.95" customHeight="1" x14ac:dyDescent="0.3">
      <c r="A21" s="20">
        <v>45688</v>
      </c>
      <c r="B21" s="20" t="s">
        <v>3317</v>
      </c>
      <c r="C21" s="19" t="s">
        <v>11</v>
      </c>
      <c r="D21" s="19" t="s">
        <v>14</v>
      </c>
      <c r="E21" s="4">
        <v>0.45</v>
      </c>
      <c r="F21" s="42">
        <v>2.65</v>
      </c>
      <c r="G21" s="45">
        <v>250</v>
      </c>
      <c r="H21" s="22">
        <v>1.9</v>
      </c>
      <c r="I21" s="6">
        <f t="shared" si="0"/>
        <v>566.4375</v>
      </c>
      <c r="J21" s="7" t="s">
        <v>3255</v>
      </c>
      <c r="K21">
        <f t="shared" si="1"/>
        <v>30.587624999999999</v>
      </c>
    </row>
    <row r="22" spans="1:11" ht="13.95" customHeight="1" x14ac:dyDescent="0.3">
      <c r="A22" s="20">
        <v>45689</v>
      </c>
      <c r="B22" s="20" t="s">
        <v>3317</v>
      </c>
      <c r="C22" s="19" t="s">
        <v>13</v>
      </c>
      <c r="D22" s="19" t="s">
        <v>14</v>
      </c>
      <c r="E22" s="4">
        <v>0.55000000000000004</v>
      </c>
      <c r="F22" s="42">
        <v>3.1</v>
      </c>
      <c r="G22" s="45">
        <v>250</v>
      </c>
      <c r="H22" s="22">
        <v>2.1</v>
      </c>
      <c r="I22" s="6">
        <f t="shared" si="0"/>
        <v>895.125</v>
      </c>
      <c r="J22" s="7" t="s">
        <v>1805</v>
      </c>
      <c r="K22">
        <f t="shared" si="1"/>
        <v>48.336750000000002</v>
      </c>
    </row>
    <row r="23" spans="1:11" ht="13.95" customHeight="1" x14ac:dyDescent="0.3">
      <c r="A23" s="20">
        <v>45690</v>
      </c>
      <c r="B23" s="20" t="s">
        <v>3317</v>
      </c>
      <c r="C23" s="19" t="s">
        <v>16</v>
      </c>
      <c r="D23" s="19" t="s">
        <v>3098</v>
      </c>
      <c r="E23" s="4">
        <v>0.5</v>
      </c>
      <c r="F23" s="42">
        <v>2.8</v>
      </c>
      <c r="G23" s="45">
        <v>250</v>
      </c>
      <c r="H23" s="22">
        <v>2.1</v>
      </c>
      <c r="I23" s="6">
        <f t="shared" si="0"/>
        <v>735</v>
      </c>
      <c r="J23" s="7" t="s">
        <v>139</v>
      </c>
      <c r="K23">
        <f t="shared" si="1"/>
        <v>39.69</v>
      </c>
    </row>
    <row r="24" spans="1:11" ht="13.95" customHeight="1" x14ac:dyDescent="0.3">
      <c r="A24" s="20">
        <v>45691</v>
      </c>
      <c r="B24" s="20" t="s">
        <v>3317</v>
      </c>
      <c r="C24" s="19" t="s">
        <v>18</v>
      </c>
      <c r="D24" s="19" t="s">
        <v>9</v>
      </c>
      <c r="E24" s="4">
        <v>0.4</v>
      </c>
      <c r="F24" s="42">
        <v>2.2999999999999998</v>
      </c>
      <c r="G24" s="45">
        <v>250</v>
      </c>
      <c r="H24" s="22">
        <v>2.1</v>
      </c>
      <c r="I24" s="6">
        <f t="shared" si="0"/>
        <v>482.99999999999994</v>
      </c>
      <c r="J24" s="7" t="s">
        <v>2485</v>
      </c>
      <c r="K24">
        <f t="shared" si="1"/>
        <v>26.081999999999997</v>
      </c>
    </row>
    <row r="25" spans="1:11" ht="13.95" customHeight="1" x14ac:dyDescent="0.3">
      <c r="A25" s="20">
        <v>45694</v>
      </c>
      <c r="B25" s="20" t="s">
        <v>3317</v>
      </c>
      <c r="C25" s="19" t="s">
        <v>8</v>
      </c>
      <c r="D25" s="19" t="s">
        <v>1263</v>
      </c>
      <c r="E25" s="4">
        <v>0.55000000000000004</v>
      </c>
      <c r="F25" s="42">
        <v>2.6</v>
      </c>
      <c r="G25" s="45">
        <v>250</v>
      </c>
      <c r="H25" s="22">
        <v>2.1</v>
      </c>
      <c r="I25" s="6">
        <f t="shared" si="0"/>
        <v>750.75</v>
      </c>
      <c r="J25" s="7" t="s">
        <v>2569</v>
      </c>
      <c r="K25">
        <f t="shared" si="1"/>
        <v>40.540500000000002</v>
      </c>
    </row>
    <row r="26" spans="1:11" ht="13.95" customHeight="1" x14ac:dyDescent="0.3">
      <c r="A26" s="20">
        <v>45695</v>
      </c>
      <c r="B26" s="20" t="s">
        <v>3317</v>
      </c>
      <c r="C26" s="19" t="s">
        <v>11</v>
      </c>
      <c r="D26" s="19" t="s">
        <v>14</v>
      </c>
      <c r="E26" s="4">
        <v>0.6</v>
      </c>
      <c r="F26" s="42">
        <v>2.85</v>
      </c>
      <c r="G26" s="45">
        <v>250</v>
      </c>
      <c r="H26" s="22">
        <v>2.1</v>
      </c>
      <c r="I26" s="6">
        <f t="shared" si="0"/>
        <v>897.75</v>
      </c>
      <c r="J26" s="7" t="s">
        <v>67</v>
      </c>
      <c r="K26">
        <f t="shared" si="1"/>
        <v>48.478499999999997</v>
      </c>
    </row>
    <row r="27" spans="1:11" ht="13.95" customHeight="1" x14ac:dyDescent="0.3">
      <c r="A27" s="20">
        <v>45696</v>
      </c>
      <c r="B27" s="20" t="s">
        <v>3317</v>
      </c>
      <c r="C27" s="19" t="s">
        <v>13</v>
      </c>
      <c r="D27" s="19" t="s">
        <v>3156</v>
      </c>
      <c r="E27" s="4">
        <v>0.7</v>
      </c>
      <c r="F27" s="42">
        <v>3.4</v>
      </c>
      <c r="G27" s="45">
        <v>250</v>
      </c>
      <c r="H27" s="22">
        <v>2.1</v>
      </c>
      <c r="I27" s="6">
        <f t="shared" si="0"/>
        <v>1249.5</v>
      </c>
      <c r="J27" s="7" t="s">
        <v>2454</v>
      </c>
      <c r="K27">
        <f t="shared" si="1"/>
        <v>67.472999999999999</v>
      </c>
    </row>
    <row r="28" spans="1:11" ht="13.95" customHeight="1" x14ac:dyDescent="0.3">
      <c r="A28" s="20">
        <v>45697</v>
      </c>
      <c r="B28" s="20" t="s">
        <v>3317</v>
      </c>
      <c r="C28" s="19" t="s">
        <v>16</v>
      </c>
      <c r="D28" s="19" t="s">
        <v>3098</v>
      </c>
      <c r="E28" s="4">
        <v>0.65</v>
      </c>
      <c r="F28" s="42">
        <v>2.9</v>
      </c>
      <c r="G28" s="45">
        <v>250</v>
      </c>
      <c r="H28" s="22">
        <v>2.1</v>
      </c>
      <c r="I28" s="6">
        <f t="shared" si="0"/>
        <v>989.625</v>
      </c>
      <c r="J28" s="7" t="s">
        <v>1336</v>
      </c>
      <c r="K28">
        <f t="shared" si="1"/>
        <v>53.439749999999997</v>
      </c>
    </row>
    <row r="29" spans="1:11" ht="13.95" customHeight="1" x14ac:dyDescent="0.3">
      <c r="A29" s="20">
        <v>45700</v>
      </c>
      <c r="B29" s="20" t="s">
        <v>3317</v>
      </c>
      <c r="C29" s="19" t="s">
        <v>5</v>
      </c>
      <c r="D29" s="19" t="s">
        <v>2487</v>
      </c>
      <c r="E29" s="4">
        <v>0.45</v>
      </c>
      <c r="F29" s="42">
        <v>2.35</v>
      </c>
      <c r="G29" s="45">
        <v>250</v>
      </c>
      <c r="H29" s="22">
        <v>2.1</v>
      </c>
      <c r="I29" s="6">
        <f t="shared" si="0"/>
        <v>555.1875</v>
      </c>
      <c r="J29" s="7" t="s">
        <v>3256</v>
      </c>
      <c r="K29">
        <f t="shared" si="1"/>
        <v>29.980125000000001</v>
      </c>
    </row>
    <row r="30" spans="1:11" ht="13.95" customHeight="1" x14ac:dyDescent="0.3">
      <c r="A30" s="20">
        <v>45701</v>
      </c>
      <c r="B30" s="20" t="s">
        <v>3317</v>
      </c>
      <c r="C30" s="19" t="s">
        <v>8</v>
      </c>
      <c r="D30" s="19" t="s">
        <v>1072</v>
      </c>
      <c r="E30" s="4">
        <v>0.6</v>
      </c>
      <c r="F30" s="42">
        <v>2.7</v>
      </c>
      <c r="G30" s="45">
        <v>250</v>
      </c>
      <c r="H30" s="22">
        <v>2.1</v>
      </c>
      <c r="I30" s="6">
        <f t="shared" si="0"/>
        <v>850.5</v>
      </c>
      <c r="J30" s="7" t="s">
        <v>1498</v>
      </c>
      <c r="K30">
        <f t="shared" si="1"/>
        <v>45.927</v>
      </c>
    </row>
    <row r="31" spans="1:11" ht="13.95" customHeight="1" x14ac:dyDescent="0.3">
      <c r="A31" s="20">
        <v>45702</v>
      </c>
      <c r="B31" s="20" t="s">
        <v>3317</v>
      </c>
      <c r="C31" s="19" t="s">
        <v>11</v>
      </c>
      <c r="D31" s="19" t="s">
        <v>1939</v>
      </c>
      <c r="E31" s="4">
        <v>0.85</v>
      </c>
      <c r="F31" s="42">
        <v>3.9</v>
      </c>
      <c r="G31" s="45">
        <v>250</v>
      </c>
      <c r="H31" s="22">
        <v>2.1</v>
      </c>
      <c r="I31" s="6">
        <f t="shared" si="0"/>
        <v>1740.375</v>
      </c>
      <c r="J31" s="7" t="s">
        <v>3257</v>
      </c>
      <c r="K31">
        <f t="shared" si="1"/>
        <v>93.980249999999998</v>
      </c>
    </row>
    <row r="32" spans="1:11" ht="13.95" customHeight="1" x14ac:dyDescent="0.3">
      <c r="A32" s="20">
        <v>45703</v>
      </c>
      <c r="B32" s="20" t="s">
        <v>3317</v>
      </c>
      <c r="C32" s="19" t="s">
        <v>13</v>
      </c>
      <c r="D32" s="19" t="s">
        <v>14</v>
      </c>
      <c r="E32" s="4">
        <v>0.8</v>
      </c>
      <c r="F32" s="42">
        <v>3.5</v>
      </c>
      <c r="G32" s="45">
        <v>250</v>
      </c>
      <c r="H32" s="22">
        <v>2.1</v>
      </c>
      <c r="I32" s="6">
        <f t="shared" si="0"/>
        <v>1470</v>
      </c>
      <c r="J32" s="7" t="s">
        <v>197</v>
      </c>
      <c r="K32">
        <f t="shared" si="1"/>
        <v>79.38</v>
      </c>
    </row>
    <row r="33" spans="1:11" ht="13.95" customHeight="1" x14ac:dyDescent="0.3">
      <c r="A33" s="20">
        <v>45704</v>
      </c>
      <c r="B33" s="20" t="s">
        <v>3317</v>
      </c>
      <c r="C33" s="19" t="s">
        <v>16</v>
      </c>
      <c r="D33" s="19" t="s">
        <v>3098</v>
      </c>
      <c r="E33" s="4">
        <v>0.75</v>
      </c>
      <c r="F33" s="42">
        <v>3.1</v>
      </c>
      <c r="G33" s="45">
        <v>250</v>
      </c>
      <c r="H33" s="22">
        <v>2.1</v>
      </c>
      <c r="I33" s="6">
        <f t="shared" si="0"/>
        <v>1220.625</v>
      </c>
      <c r="J33" s="7" t="s">
        <v>559</v>
      </c>
      <c r="K33">
        <f t="shared" si="1"/>
        <v>65.913749999999993</v>
      </c>
    </row>
    <row r="34" spans="1:11" ht="13.95" customHeight="1" x14ac:dyDescent="0.3">
      <c r="A34" s="20">
        <v>45705</v>
      </c>
      <c r="B34" s="20" t="s">
        <v>3317</v>
      </c>
      <c r="C34" s="19" t="s">
        <v>18</v>
      </c>
      <c r="D34" s="19" t="s">
        <v>1491</v>
      </c>
      <c r="E34" s="4">
        <v>0.6</v>
      </c>
      <c r="F34" s="42">
        <v>2.5</v>
      </c>
      <c r="G34" s="45">
        <v>250</v>
      </c>
      <c r="H34" s="22">
        <v>2.1</v>
      </c>
      <c r="I34" s="6">
        <f t="shared" si="0"/>
        <v>787.5</v>
      </c>
      <c r="J34" s="7" t="s">
        <v>596</v>
      </c>
      <c r="K34">
        <f t="shared" si="1"/>
        <v>42.524999999999999</v>
      </c>
    </row>
    <row r="35" spans="1:11" ht="13.95" customHeight="1" x14ac:dyDescent="0.3">
      <c r="A35" s="20">
        <v>45706</v>
      </c>
      <c r="B35" s="20" t="s">
        <v>3317</v>
      </c>
      <c r="C35" s="19" t="s">
        <v>20</v>
      </c>
      <c r="D35" s="19" t="s">
        <v>1491</v>
      </c>
      <c r="E35" s="4">
        <v>0.6</v>
      </c>
      <c r="F35" s="42">
        <v>2.5</v>
      </c>
      <c r="G35" s="45">
        <v>250</v>
      </c>
      <c r="H35" s="22">
        <v>2.1</v>
      </c>
      <c r="I35" s="6">
        <f t="shared" si="0"/>
        <v>787.5</v>
      </c>
      <c r="J35" s="7" t="s">
        <v>3220</v>
      </c>
      <c r="K35">
        <f t="shared" si="1"/>
        <v>42.524999999999999</v>
      </c>
    </row>
    <row r="36" spans="1:11" ht="13.95" customHeight="1" x14ac:dyDescent="0.3">
      <c r="A36" s="20">
        <v>45709</v>
      </c>
      <c r="B36" s="20" t="s">
        <v>3317</v>
      </c>
      <c r="C36" s="19" t="s">
        <v>11</v>
      </c>
      <c r="D36" s="19" t="s">
        <v>1564</v>
      </c>
      <c r="E36" s="4">
        <v>0.7</v>
      </c>
      <c r="F36" s="42">
        <v>2.9</v>
      </c>
      <c r="G36" s="45">
        <v>250</v>
      </c>
      <c r="H36" s="22">
        <v>2.1</v>
      </c>
      <c r="I36" s="6">
        <f t="shared" si="0"/>
        <v>1065.75</v>
      </c>
      <c r="J36" s="7" t="s">
        <v>1684</v>
      </c>
      <c r="K36">
        <f t="shared" si="1"/>
        <v>57.5505</v>
      </c>
    </row>
    <row r="37" spans="1:11" ht="13.95" customHeight="1" x14ac:dyDescent="0.3">
      <c r="A37" s="20">
        <v>45710</v>
      </c>
      <c r="B37" s="20" t="s">
        <v>3317</v>
      </c>
      <c r="C37" s="19" t="s">
        <v>13</v>
      </c>
      <c r="D37" s="19" t="s">
        <v>3147</v>
      </c>
      <c r="E37" s="4">
        <v>0.85</v>
      </c>
      <c r="F37" s="42">
        <v>3.6</v>
      </c>
      <c r="G37" s="45">
        <v>250</v>
      </c>
      <c r="H37" s="22">
        <v>2.1</v>
      </c>
      <c r="I37" s="6">
        <f t="shared" si="0"/>
        <v>1606.5</v>
      </c>
      <c r="J37" s="7" t="s">
        <v>3109</v>
      </c>
      <c r="K37">
        <f t="shared" si="1"/>
        <v>86.751000000000005</v>
      </c>
    </row>
    <row r="38" spans="1:11" ht="13.95" customHeight="1" x14ac:dyDescent="0.3">
      <c r="A38" s="20">
        <v>45711</v>
      </c>
      <c r="B38" s="20" t="s">
        <v>3317</v>
      </c>
      <c r="C38" s="19" t="s">
        <v>16</v>
      </c>
      <c r="D38" s="19" t="s">
        <v>3098</v>
      </c>
      <c r="E38" s="4">
        <v>0.8</v>
      </c>
      <c r="F38" s="42">
        <v>3.2</v>
      </c>
      <c r="G38" s="45">
        <v>250</v>
      </c>
      <c r="H38" s="22">
        <v>2.1</v>
      </c>
      <c r="I38" s="6">
        <f t="shared" si="0"/>
        <v>1344</v>
      </c>
      <c r="J38" s="7" t="s">
        <v>3113</v>
      </c>
      <c r="K38">
        <f t="shared" si="1"/>
        <v>72.575999999999993</v>
      </c>
    </row>
    <row r="39" spans="1:11" ht="13.95" customHeight="1" x14ac:dyDescent="0.3">
      <c r="A39" s="20">
        <v>45712</v>
      </c>
      <c r="B39" s="20" t="s">
        <v>3317</v>
      </c>
      <c r="C39" s="19" t="s">
        <v>18</v>
      </c>
      <c r="D39" s="19" t="s">
        <v>1491</v>
      </c>
      <c r="E39" s="4">
        <v>0.65</v>
      </c>
      <c r="F39" s="42">
        <v>2.6</v>
      </c>
      <c r="G39" s="45">
        <v>250</v>
      </c>
      <c r="H39" s="22">
        <v>2.1</v>
      </c>
      <c r="I39" s="6">
        <f t="shared" si="0"/>
        <v>887.25</v>
      </c>
      <c r="J39" s="7" t="s">
        <v>3258</v>
      </c>
      <c r="K39">
        <f t="shared" si="1"/>
        <v>47.911499999999997</v>
      </c>
    </row>
    <row r="40" spans="1:11" ht="13.95" customHeight="1" x14ac:dyDescent="0.3">
      <c r="A40" s="20">
        <v>45715</v>
      </c>
      <c r="B40" s="20" t="s">
        <v>3317</v>
      </c>
      <c r="C40" s="19" t="s">
        <v>8</v>
      </c>
      <c r="D40" s="19" t="s">
        <v>2783</v>
      </c>
      <c r="E40" s="4">
        <v>0.5</v>
      </c>
      <c r="F40" s="42">
        <v>2.4</v>
      </c>
      <c r="G40" s="45">
        <v>250</v>
      </c>
      <c r="H40" s="22">
        <v>2.1</v>
      </c>
      <c r="I40" s="6">
        <f t="shared" si="0"/>
        <v>630</v>
      </c>
      <c r="J40" s="7" t="s">
        <v>527</v>
      </c>
      <c r="K40">
        <f t="shared" si="1"/>
        <v>34.020000000000003</v>
      </c>
    </row>
    <row r="41" spans="1:11" ht="13.95" customHeight="1" x14ac:dyDescent="0.3">
      <c r="A41" s="20">
        <v>45716</v>
      </c>
      <c r="B41" s="20" t="s">
        <v>3317</v>
      </c>
      <c r="C41" s="19" t="s">
        <v>11</v>
      </c>
      <c r="D41" s="19" t="s">
        <v>1417</v>
      </c>
      <c r="E41" s="4">
        <v>0.6</v>
      </c>
      <c r="F41" s="42">
        <v>2.8</v>
      </c>
      <c r="G41" s="45">
        <v>250</v>
      </c>
      <c r="H41" s="22">
        <v>2.1</v>
      </c>
      <c r="I41" s="6">
        <f t="shared" si="0"/>
        <v>882</v>
      </c>
      <c r="J41" s="7" t="s">
        <v>3259</v>
      </c>
      <c r="K41">
        <f t="shared" si="1"/>
        <v>47.628</v>
      </c>
    </row>
    <row r="42" spans="1:11" ht="13.95" customHeight="1" x14ac:dyDescent="0.3">
      <c r="A42" s="20">
        <v>45717</v>
      </c>
      <c r="B42" s="20" t="s">
        <v>3317</v>
      </c>
      <c r="C42" s="19" t="s">
        <v>13</v>
      </c>
      <c r="D42" s="19" t="s">
        <v>3067</v>
      </c>
      <c r="E42" s="4">
        <v>0.65</v>
      </c>
      <c r="F42" s="42">
        <v>3.2</v>
      </c>
      <c r="G42" s="45">
        <v>250</v>
      </c>
      <c r="H42" s="22">
        <v>2.2999999999999998</v>
      </c>
      <c r="I42" s="6">
        <f t="shared" si="0"/>
        <v>1196</v>
      </c>
      <c r="J42" s="7" t="s">
        <v>3181</v>
      </c>
      <c r="K42">
        <f t="shared" si="1"/>
        <v>64.584000000000003</v>
      </c>
    </row>
    <row r="43" spans="1:11" ht="13.95" customHeight="1" x14ac:dyDescent="0.3">
      <c r="A43" s="20">
        <v>45718</v>
      </c>
      <c r="B43" s="20" t="s">
        <v>3317</v>
      </c>
      <c r="C43" s="19" t="s">
        <v>16</v>
      </c>
      <c r="D43" s="19" t="s">
        <v>14</v>
      </c>
      <c r="E43" s="4">
        <v>0.6</v>
      </c>
      <c r="F43" s="42">
        <v>2.8</v>
      </c>
      <c r="G43" s="45">
        <v>250</v>
      </c>
      <c r="H43" s="22">
        <v>2.2999999999999998</v>
      </c>
      <c r="I43" s="6">
        <f t="shared" si="0"/>
        <v>965.99999999999989</v>
      </c>
      <c r="J43" s="7" t="s">
        <v>3182</v>
      </c>
      <c r="K43">
        <f t="shared" si="1"/>
        <v>52.163999999999994</v>
      </c>
    </row>
    <row r="44" spans="1:11" ht="13.95" customHeight="1" x14ac:dyDescent="0.3">
      <c r="A44" s="20">
        <v>45719</v>
      </c>
      <c r="B44" s="20" t="s">
        <v>3317</v>
      </c>
      <c r="C44" s="19" t="s">
        <v>18</v>
      </c>
      <c r="D44" s="19" t="s">
        <v>76</v>
      </c>
      <c r="E44" s="4">
        <v>0.4</v>
      </c>
      <c r="F44" s="42">
        <v>2.4</v>
      </c>
      <c r="G44" s="45">
        <v>250</v>
      </c>
      <c r="H44" s="22">
        <v>2.2999999999999998</v>
      </c>
      <c r="I44" s="6">
        <f t="shared" si="0"/>
        <v>552</v>
      </c>
      <c r="J44" s="7" t="s">
        <v>3260</v>
      </c>
      <c r="K44">
        <f t="shared" si="1"/>
        <v>29.808</v>
      </c>
    </row>
    <row r="45" spans="1:11" ht="13.95" customHeight="1" x14ac:dyDescent="0.3">
      <c r="A45" s="20">
        <v>45720</v>
      </c>
      <c r="B45" s="20" t="s">
        <v>3317</v>
      </c>
      <c r="C45" s="19" t="s">
        <v>20</v>
      </c>
      <c r="D45" s="19" t="s">
        <v>76</v>
      </c>
      <c r="E45" s="4">
        <v>0.4</v>
      </c>
      <c r="F45" s="42">
        <v>2.4</v>
      </c>
      <c r="G45" s="45">
        <v>250</v>
      </c>
      <c r="H45" s="22">
        <v>2.2999999999999998</v>
      </c>
      <c r="I45" s="6">
        <f t="shared" si="0"/>
        <v>552</v>
      </c>
      <c r="J45" s="7" t="s">
        <v>88</v>
      </c>
      <c r="K45">
        <f t="shared" si="1"/>
        <v>29.808</v>
      </c>
    </row>
    <row r="46" spans="1:11" ht="13.95" customHeight="1" x14ac:dyDescent="0.3">
      <c r="A46" s="20">
        <v>45721</v>
      </c>
      <c r="B46" s="20" t="s">
        <v>3317</v>
      </c>
      <c r="C46" s="19" t="s">
        <v>5</v>
      </c>
      <c r="D46" s="19" t="s">
        <v>76</v>
      </c>
      <c r="E46" s="4">
        <v>0.4</v>
      </c>
      <c r="F46" s="42">
        <v>2.4</v>
      </c>
      <c r="G46" s="45">
        <v>250</v>
      </c>
      <c r="H46" s="22">
        <v>2.2999999999999998</v>
      </c>
      <c r="I46" s="6">
        <f t="shared" si="0"/>
        <v>552</v>
      </c>
      <c r="J46" s="7" t="s">
        <v>88</v>
      </c>
      <c r="K46">
        <f t="shared" si="1"/>
        <v>29.808</v>
      </c>
    </row>
    <row r="47" spans="1:11" ht="13.95" customHeight="1" x14ac:dyDescent="0.3">
      <c r="A47" s="20">
        <v>45722</v>
      </c>
      <c r="B47" s="20" t="s">
        <v>3317</v>
      </c>
      <c r="C47" s="19" t="s">
        <v>8</v>
      </c>
      <c r="D47" s="19" t="s">
        <v>3070</v>
      </c>
      <c r="E47" s="4">
        <v>0.55000000000000004</v>
      </c>
      <c r="F47" s="42">
        <v>2.75</v>
      </c>
      <c r="G47" s="45">
        <v>250</v>
      </c>
      <c r="H47" s="22">
        <v>2.2999999999999998</v>
      </c>
      <c r="I47" s="6">
        <f t="shared" si="0"/>
        <v>869.68749999999989</v>
      </c>
      <c r="J47" s="7" t="s">
        <v>3261</v>
      </c>
      <c r="K47">
        <f t="shared" si="1"/>
        <v>46.963124999999991</v>
      </c>
    </row>
    <row r="48" spans="1:11" ht="13.95" customHeight="1" x14ac:dyDescent="0.3">
      <c r="A48" s="20">
        <v>45723</v>
      </c>
      <c r="B48" s="20" t="s">
        <v>3317</v>
      </c>
      <c r="C48" s="19" t="s">
        <v>11</v>
      </c>
      <c r="D48" s="19" t="s">
        <v>14</v>
      </c>
      <c r="E48" s="4">
        <v>0.65</v>
      </c>
      <c r="F48" s="42">
        <v>3.1</v>
      </c>
      <c r="G48" s="45">
        <v>250</v>
      </c>
      <c r="H48" s="22">
        <v>2.2999999999999998</v>
      </c>
      <c r="I48" s="6">
        <f t="shared" si="0"/>
        <v>1158.625</v>
      </c>
      <c r="J48" s="7" t="s">
        <v>268</v>
      </c>
      <c r="K48">
        <f t="shared" si="1"/>
        <v>62.565750000000001</v>
      </c>
    </row>
    <row r="49" spans="1:11" ht="13.95" customHeight="1" x14ac:dyDescent="0.3">
      <c r="A49" s="20">
        <v>45724</v>
      </c>
      <c r="B49" s="20" t="s">
        <v>3317</v>
      </c>
      <c r="C49" s="19" t="s">
        <v>13</v>
      </c>
      <c r="D49" s="19" t="s">
        <v>3185</v>
      </c>
      <c r="E49" s="4">
        <v>0.8</v>
      </c>
      <c r="F49" s="42">
        <v>3.6</v>
      </c>
      <c r="G49" s="45">
        <v>250</v>
      </c>
      <c r="H49" s="22">
        <v>2.2999999999999998</v>
      </c>
      <c r="I49" s="6">
        <f t="shared" si="0"/>
        <v>1655.9999999999998</v>
      </c>
      <c r="J49" s="7" t="s">
        <v>3262</v>
      </c>
      <c r="K49">
        <f t="shared" si="1"/>
        <v>89.423999999999992</v>
      </c>
    </row>
    <row r="50" spans="1:11" ht="13.95" customHeight="1" x14ac:dyDescent="0.3">
      <c r="A50" s="20">
        <v>45725</v>
      </c>
      <c r="B50" s="20" t="s">
        <v>3317</v>
      </c>
      <c r="C50" s="19" t="s">
        <v>16</v>
      </c>
      <c r="D50" s="19" t="s">
        <v>14</v>
      </c>
      <c r="E50" s="4">
        <v>0.7</v>
      </c>
      <c r="F50" s="42">
        <v>2.9</v>
      </c>
      <c r="G50" s="45">
        <v>250</v>
      </c>
      <c r="H50" s="22">
        <v>2.2999999999999998</v>
      </c>
      <c r="I50" s="6">
        <f t="shared" si="0"/>
        <v>1167.25</v>
      </c>
      <c r="J50" s="7" t="s">
        <v>3263</v>
      </c>
      <c r="K50">
        <f t="shared" si="1"/>
        <v>63.031500000000001</v>
      </c>
    </row>
    <row r="51" spans="1:11" ht="13.95" customHeight="1" x14ac:dyDescent="0.3">
      <c r="A51" s="20">
        <v>45726</v>
      </c>
      <c r="B51" s="20" t="s">
        <v>3317</v>
      </c>
      <c r="C51" s="19" t="s">
        <v>18</v>
      </c>
      <c r="D51" s="19" t="s">
        <v>76</v>
      </c>
      <c r="E51" s="4">
        <v>0.4</v>
      </c>
      <c r="F51" s="42">
        <v>2.4500000000000002</v>
      </c>
      <c r="G51" s="45">
        <v>250</v>
      </c>
      <c r="H51" s="22">
        <v>2.2999999999999998</v>
      </c>
      <c r="I51" s="6">
        <f t="shared" si="0"/>
        <v>563.5</v>
      </c>
      <c r="J51" s="7" t="s">
        <v>88</v>
      </c>
      <c r="K51">
        <f t="shared" si="1"/>
        <v>30.428999999999998</v>
      </c>
    </row>
    <row r="52" spans="1:11" ht="13.95" customHeight="1" x14ac:dyDescent="0.3">
      <c r="A52" s="20">
        <v>45727</v>
      </c>
      <c r="B52" s="20" t="s">
        <v>3317</v>
      </c>
      <c r="C52" s="19" t="s">
        <v>20</v>
      </c>
      <c r="D52" s="19" t="s">
        <v>76</v>
      </c>
      <c r="E52" s="4">
        <v>0.4</v>
      </c>
      <c r="F52" s="42">
        <v>2.4500000000000002</v>
      </c>
      <c r="G52" s="45">
        <v>250</v>
      </c>
      <c r="H52" s="22">
        <v>2.2999999999999998</v>
      </c>
      <c r="I52" s="6">
        <f t="shared" si="0"/>
        <v>563.5</v>
      </c>
      <c r="J52" s="7" t="s">
        <v>88</v>
      </c>
      <c r="K52">
        <f t="shared" si="1"/>
        <v>30.428999999999998</v>
      </c>
    </row>
    <row r="53" spans="1:11" ht="13.95" customHeight="1" x14ac:dyDescent="0.3">
      <c r="A53" s="20">
        <v>45728</v>
      </c>
      <c r="B53" s="20" t="s">
        <v>3317</v>
      </c>
      <c r="C53" s="19" t="s">
        <v>5</v>
      </c>
      <c r="D53" s="19" t="s">
        <v>76</v>
      </c>
      <c r="E53" s="4">
        <v>0.45</v>
      </c>
      <c r="F53" s="42">
        <v>2.4500000000000002</v>
      </c>
      <c r="G53" s="45">
        <v>250</v>
      </c>
      <c r="H53" s="22">
        <v>2.2999999999999998</v>
      </c>
      <c r="I53" s="6">
        <f t="shared" si="0"/>
        <v>633.9375</v>
      </c>
      <c r="J53" s="7" t="s">
        <v>88</v>
      </c>
      <c r="K53">
        <f t="shared" si="1"/>
        <v>34.232624999999999</v>
      </c>
    </row>
    <row r="54" spans="1:11" ht="13.95" customHeight="1" x14ac:dyDescent="0.3">
      <c r="A54" s="20">
        <v>45729</v>
      </c>
      <c r="B54" s="20" t="s">
        <v>3317</v>
      </c>
      <c r="C54" s="19" t="s">
        <v>8</v>
      </c>
      <c r="D54" s="19" t="s">
        <v>3070</v>
      </c>
      <c r="E54" s="4">
        <v>0.6</v>
      </c>
      <c r="F54" s="42">
        <v>2.8</v>
      </c>
      <c r="G54" s="45">
        <v>250</v>
      </c>
      <c r="H54" s="22">
        <v>2.2999999999999998</v>
      </c>
      <c r="I54" s="6">
        <f t="shared" si="0"/>
        <v>965.99999999999989</v>
      </c>
      <c r="J54" s="7" t="s">
        <v>3075</v>
      </c>
      <c r="K54">
        <f t="shared" si="1"/>
        <v>52.163999999999994</v>
      </c>
    </row>
    <row r="55" spans="1:11" ht="13.95" customHeight="1" x14ac:dyDescent="0.3">
      <c r="A55" s="20">
        <v>45730</v>
      </c>
      <c r="B55" s="20" t="s">
        <v>3317</v>
      </c>
      <c r="C55" s="19" t="s">
        <v>11</v>
      </c>
      <c r="D55" s="19" t="s">
        <v>14</v>
      </c>
      <c r="E55" s="4">
        <v>0.7</v>
      </c>
      <c r="F55" s="42">
        <v>3.15</v>
      </c>
      <c r="G55" s="45">
        <v>250</v>
      </c>
      <c r="H55" s="22">
        <v>2.2999999999999998</v>
      </c>
      <c r="I55" s="6">
        <f t="shared" si="0"/>
        <v>1267.875</v>
      </c>
      <c r="J55" s="7" t="s">
        <v>1783</v>
      </c>
      <c r="K55">
        <f t="shared" si="1"/>
        <v>68.465249999999997</v>
      </c>
    </row>
    <row r="56" spans="1:11" ht="13.95" customHeight="1" x14ac:dyDescent="0.3">
      <c r="A56" s="20">
        <v>45731</v>
      </c>
      <c r="B56" s="20" t="s">
        <v>3317</v>
      </c>
      <c r="C56" s="19" t="s">
        <v>13</v>
      </c>
      <c r="D56" s="19" t="s">
        <v>3264</v>
      </c>
      <c r="E56" s="4">
        <v>0.85</v>
      </c>
      <c r="F56" s="42">
        <v>3.7</v>
      </c>
      <c r="G56" s="45">
        <v>250</v>
      </c>
      <c r="H56" s="22">
        <v>2.2999999999999998</v>
      </c>
      <c r="I56" s="6">
        <f t="shared" si="0"/>
        <v>1808.3749999999998</v>
      </c>
      <c r="J56" s="7" t="s">
        <v>3246</v>
      </c>
      <c r="K56">
        <f t="shared" si="1"/>
        <v>97.652249999999981</v>
      </c>
    </row>
    <row r="57" spans="1:11" ht="13.95" customHeight="1" x14ac:dyDescent="0.3">
      <c r="A57" s="20">
        <v>45732</v>
      </c>
      <c r="B57" s="20" t="s">
        <v>3317</v>
      </c>
      <c r="C57" s="19" t="s">
        <v>16</v>
      </c>
      <c r="D57" s="19" t="s">
        <v>14</v>
      </c>
      <c r="E57" s="4">
        <v>0.75</v>
      </c>
      <c r="F57" s="42">
        <v>3</v>
      </c>
      <c r="G57" s="45">
        <v>250</v>
      </c>
      <c r="H57" s="22">
        <v>2.2999999999999998</v>
      </c>
      <c r="I57" s="6">
        <f t="shared" si="0"/>
        <v>1293.75</v>
      </c>
      <c r="J57" s="7" t="s">
        <v>139</v>
      </c>
      <c r="K57">
        <f t="shared" si="1"/>
        <v>69.862499999999997</v>
      </c>
    </row>
    <row r="58" spans="1:11" ht="13.95" customHeight="1" x14ac:dyDescent="0.3">
      <c r="A58" s="20">
        <v>45733</v>
      </c>
      <c r="B58" s="20" t="s">
        <v>3317</v>
      </c>
      <c r="C58" s="19" t="s">
        <v>18</v>
      </c>
      <c r="D58" s="19" t="s">
        <v>76</v>
      </c>
      <c r="E58" s="4">
        <v>0.45</v>
      </c>
      <c r="F58" s="42">
        <v>2.5</v>
      </c>
      <c r="G58" s="45">
        <v>250</v>
      </c>
      <c r="H58" s="22">
        <v>2.2999999999999998</v>
      </c>
      <c r="I58" s="6">
        <f t="shared" si="0"/>
        <v>646.875</v>
      </c>
      <c r="J58" s="7" t="s">
        <v>88</v>
      </c>
      <c r="K58">
        <f t="shared" si="1"/>
        <v>34.931249999999999</v>
      </c>
    </row>
    <row r="59" spans="1:11" ht="13.95" customHeight="1" x14ac:dyDescent="0.3">
      <c r="A59" s="20">
        <v>45734</v>
      </c>
      <c r="B59" s="20" t="s">
        <v>3317</v>
      </c>
      <c r="C59" s="19" t="s">
        <v>20</v>
      </c>
      <c r="D59" s="19" t="s">
        <v>76</v>
      </c>
      <c r="E59" s="4">
        <v>0.45</v>
      </c>
      <c r="F59" s="42">
        <v>2.5</v>
      </c>
      <c r="G59" s="45">
        <v>250</v>
      </c>
      <c r="H59" s="22">
        <v>2.2999999999999998</v>
      </c>
      <c r="I59" s="6">
        <f t="shared" si="0"/>
        <v>646.875</v>
      </c>
      <c r="J59" s="7" t="s">
        <v>88</v>
      </c>
      <c r="K59">
        <f t="shared" si="1"/>
        <v>34.931249999999999</v>
      </c>
    </row>
    <row r="60" spans="1:11" ht="13.95" customHeight="1" x14ac:dyDescent="0.3">
      <c r="A60" s="20">
        <v>45735</v>
      </c>
      <c r="B60" s="20" t="s">
        <v>3317</v>
      </c>
      <c r="C60" s="19" t="s">
        <v>5</v>
      </c>
      <c r="D60" s="19" t="s">
        <v>76</v>
      </c>
      <c r="E60" s="4">
        <v>0.5</v>
      </c>
      <c r="F60" s="42">
        <v>2.5499999999999998</v>
      </c>
      <c r="G60" s="45">
        <v>250</v>
      </c>
      <c r="H60" s="22">
        <v>2.2999999999999998</v>
      </c>
      <c r="I60" s="6">
        <f t="shared" si="0"/>
        <v>733.125</v>
      </c>
      <c r="J60" s="7" t="s">
        <v>88</v>
      </c>
      <c r="K60">
        <f t="shared" si="1"/>
        <v>39.588749999999997</v>
      </c>
    </row>
    <row r="61" spans="1:11" ht="13.95" customHeight="1" x14ac:dyDescent="0.3">
      <c r="A61" s="20">
        <v>45736</v>
      </c>
      <c r="B61" s="20" t="s">
        <v>3317</v>
      </c>
      <c r="C61" s="19" t="s">
        <v>8</v>
      </c>
      <c r="D61" s="19" t="s">
        <v>2740</v>
      </c>
      <c r="E61" s="4">
        <v>0.85</v>
      </c>
      <c r="F61" s="42">
        <v>3.5</v>
      </c>
      <c r="G61" s="45">
        <v>250</v>
      </c>
      <c r="H61" s="22">
        <v>2.2999999999999998</v>
      </c>
      <c r="I61" s="6">
        <f t="shared" si="0"/>
        <v>1710.6249999999998</v>
      </c>
      <c r="J61" s="7" t="s">
        <v>2230</v>
      </c>
      <c r="K61">
        <f t="shared" si="1"/>
        <v>92.373749999999987</v>
      </c>
    </row>
    <row r="62" spans="1:11" ht="13.95" customHeight="1" x14ac:dyDescent="0.3">
      <c r="A62" s="20">
        <v>45737</v>
      </c>
      <c r="B62" s="20" t="s">
        <v>3317</v>
      </c>
      <c r="C62" s="19" t="s">
        <v>11</v>
      </c>
      <c r="D62" s="19" t="s">
        <v>14</v>
      </c>
      <c r="E62" s="4">
        <v>0.8</v>
      </c>
      <c r="F62" s="42">
        <v>3.2</v>
      </c>
      <c r="G62" s="45">
        <v>250</v>
      </c>
      <c r="H62" s="22">
        <v>2.2999999999999998</v>
      </c>
      <c r="I62" s="6">
        <f t="shared" si="0"/>
        <v>1472</v>
      </c>
      <c r="J62" s="7" t="s">
        <v>197</v>
      </c>
      <c r="K62">
        <f t="shared" si="1"/>
        <v>79.488</v>
      </c>
    </row>
    <row r="63" spans="1:11" ht="13.95" customHeight="1" x14ac:dyDescent="0.3">
      <c r="A63" s="20">
        <v>45738</v>
      </c>
      <c r="B63" s="20" t="s">
        <v>3317</v>
      </c>
      <c r="C63" s="19" t="s">
        <v>13</v>
      </c>
      <c r="D63" s="19" t="s">
        <v>3185</v>
      </c>
      <c r="E63" s="4">
        <v>0.95</v>
      </c>
      <c r="F63" s="42">
        <v>3.8</v>
      </c>
      <c r="G63" s="45">
        <v>250</v>
      </c>
      <c r="H63" s="22">
        <v>2.2999999999999998</v>
      </c>
      <c r="I63" s="6">
        <f t="shared" si="0"/>
        <v>2075.75</v>
      </c>
      <c r="J63" s="7" t="s">
        <v>3265</v>
      </c>
      <c r="K63">
        <f t="shared" si="1"/>
        <v>112.09050000000001</v>
      </c>
    </row>
    <row r="64" spans="1:11" ht="13.95" customHeight="1" x14ac:dyDescent="0.3">
      <c r="A64" s="20">
        <v>45739</v>
      </c>
      <c r="B64" s="20" t="s">
        <v>3317</v>
      </c>
      <c r="C64" s="19" t="s">
        <v>16</v>
      </c>
      <c r="D64" s="19" t="s">
        <v>14</v>
      </c>
      <c r="E64" s="4">
        <v>0.85</v>
      </c>
      <c r="F64" s="42">
        <v>3.1</v>
      </c>
      <c r="G64" s="45">
        <v>250</v>
      </c>
      <c r="H64" s="22">
        <v>2.2999999999999998</v>
      </c>
      <c r="I64" s="6">
        <f t="shared" si="0"/>
        <v>1515.1249999999998</v>
      </c>
      <c r="J64" s="7" t="s">
        <v>1336</v>
      </c>
      <c r="K64">
        <f t="shared" si="1"/>
        <v>81.816749999999985</v>
      </c>
    </row>
    <row r="65" spans="1:11" ht="13.95" customHeight="1" x14ac:dyDescent="0.3">
      <c r="A65" s="20">
        <v>45740</v>
      </c>
      <c r="B65" s="20" t="s">
        <v>3317</v>
      </c>
      <c r="C65" s="19" t="s">
        <v>18</v>
      </c>
      <c r="D65" s="19" t="s">
        <v>76</v>
      </c>
      <c r="E65" s="4">
        <v>0.5</v>
      </c>
      <c r="F65" s="42">
        <v>2.6</v>
      </c>
      <c r="G65" s="45">
        <v>250</v>
      </c>
      <c r="H65" s="22">
        <v>2.2999999999999998</v>
      </c>
      <c r="I65" s="6">
        <f t="shared" si="0"/>
        <v>747.49999999999989</v>
      </c>
      <c r="J65" s="7" t="s">
        <v>88</v>
      </c>
      <c r="K65">
        <f t="shared" si="1"/>
        <v>40.364999999999995</v>
      </c>
    </row>
    <row r="66" spans="1:11" ht="13.95" customHeight="1" x14ac:dyDescent="0.3">
      <c r="A66" s="20">
        <v>45741</v>
      </c>
      <c r="B66" s="20" t="s">
        <v>3317</v>
      </c>
      <c r="C66" s="19" t="s">
        <v>20</v>
      </c>
      <c r="D66" s="19" t="s">
        <v>76</v>
      </c>
      <c r="E66" s="4">
        <v>0.5</v>
      </c>
      <c r="F66" s="42">
        <v>2.6</v>
      </c>
      <c r="G66" s="45">
        <v>250</v>
      </c>
      <c r="H66" s="22">
        <v>2.2999999999999998</v>
      </c>
      <c r="I66" s="6">
        <f t="shared" si="0"/>
        <v>747.49999999999989</v>
      </c>
      <c r="J66" s="7" t="s">
        <v>88</v>
      </c>
      <c r="K66">
        <f t="shared" si="1"/>
        <v>40.364999999999995</v>
      </c>
    </row>
    <row r="67" spans="1:11" ht="13.95" customHeight="1" x14ac:dyDescent="0.3">
      <c r="A67" s="20">
        <v>45742</v>
      </c>
      <c r="B67" s="20" t="s">
        <v>3317</v>
      </c>
      <c r="C67" s="19" t="s">
        <v>5</v>
      </c>
      <c r="D67" s="19" t="s">
        <v>76</v>
      </c>
      <c r="E67" s="4">
        <v>0.55000000000000004</v>
      </c>
      <c r="F67" s="42">
        <v>2.7</v>
      </c>
      <c r="G67" s="45">
        <v>250</v>
      </c>
      <c r="H67" s="22">
        <v>2.2999999999999998</v>
      </c>
      <c r="I67" s="6">
        <f t="shared" ref="I67:I130" si="2">(G67*E67)*F67*H67</f>
        <v>853.87499999999989</v>
      </c>
      <c r="J67" s="7" t="s">
        <v>88</v>
      </c>
      <c r="K67">
        <f t="shared" ref="K67:K130" si="3">I67*0.054</f>
        <v>46.109249999999996</v>
      </c>
    </row>
    <row r="68" spans="1:11" ht="13.95" customHeight="1" x14ac:dyDescent="0.3">
      <c r="A68" s="20">
        <v>45743</v>
      </c>
      <c r="B68" s="20" t="s">
        <v>3317</v>
      </c>
      <c r="C68" s="19" t="s">
        <v>8</v>
      </c>
      <c r="D68" s="19" t="s">
        <v>764</v>
      </c>
      <c r="E68" s="4">
        <v>0.7</v>
      </c>
      <c r="F68" s="42">
        <v>3</v>
      </c>
      <c r="G68" s="45">
        <v>250</v>
      </c>
      <c r="H68" s="22">
        <v>2.2999999999999998</v>
      </c>
      <c r="I68" s="6">
        <f t="shared" si="2"/>
        <v>1207.5</v>
      </c>
      <c r="J68" s="7" t="s">
        <v>3266</v>
      </c>
      <c r="K68">
        <f t="shared" si="3"/>
        <v>65.204999999999998</v>
      </c>
    </row>
    <row r="69" spans="1:11" ht="13.95" customHeight="1" x14ac:dyDescent="0.3">
      <c r="A69" s="20">
        <v>45744</v>
      </c>
      <c r="B69" s="20" t="s">
        <v>3317</v>
      </c>
      <c r="C69" s="19" t="s">
        <v>11</v>
      </c>
      <c r="D69" s="19" t="s">
        <v>904</v>
      </c>
      <c r="E69" s="4">
        <v>0.85</v>
      </c>
      <c r="F69" s="42">
        <v>3.4</v>
      </c>
      <c r="G69" s="45">
        <v>250</v>
      </c>
      <c r="H69" s="22">
        <v>2.2999999999999998</v>
      </c>
      <c r="I69" s="6">
        <f t="shared" si="2"/>
        <v>1661.7499999999998</v>
      </c>
      <c r="J69" s="7" t="s">
        <v>531</v>
      </c>
      <c r="K69">
        <f t="shared" si="3"/>
        <v>89.734499999999983</v>
      </c>
    </row>
    <row r="70" spans="1:11" ht="13.95" customHeight="1" x14ac:dyDescent="0.3">
      <c r="A70" s="20">
        <v>45745</v>
      </c>
      <c r="B70" s="20" t="s">
        <v>3317</v>
      </c>
      <c r="C70" s="19" t="s">
        <v>13</v>
      </c>
      <c r="D70" s="19" t="s">
        <v>2899</v>
      </c>
      <c r="E70" s="4">
        <v>1</v>
      </c>
      <c r="F70" s="42">
        <v>4.5</v>
      </c>
      <c r="G70" s="45">
        <v>250</v>
      </c>
      <c r="H70" s="22">
        <v>2.2999999999999998</v>
      </c>
      <c r="I70" s="6">
        <f t="shared" si="2"/>
        <v>2587.5</v>
      </c>
      <c r="J70" s="7" t="s">
        <v>3077</v>
      </c>
      <c r="K70">
        <f t="shared" si="3"/>
        <v>139.72499999999999</v>
      </c>
    </row>
    <row r="71" spans="1:11" ht="13.95" customHeight="1" x14ac:dyDescent="0.3">
      <c r="A71" s="20">
        <v>45746</v>
      </c>
      <c r="B71" s="20" t="s">
        <v>3317</v>
      </c>
      <c r="C71" s="19" t="s">
        <v>16</v>
      </c>
      <c r="D71" s="19" t="s">
        <v>2899</v>
      </c>
      <c r="E71" s="4">
        <v>1</v>
      </c>
      <c r="F71" s="42">
        <v>4.2</v>
      </c>
      <c r="G71" s="45">
        <v>250</v>
      </c>
      <c r="H71" s="22">
        <v>2.2999999999999998</v>
      </c>
      <c r="I71" s="6">
        <f t="shared" si="2"/>
        <v>2415</v>
      </c>
      <c r="J71" s="7" t="s">
        <v>3267</v>
      </c>
      <c r="K71">
        <f t="shared" si="3"/>
        <v>130.41</v>
      </c>
    </row>
    <row r="72" spans="1:11" ht="13.95" customHeight="1" x14ac:dyDescent="0.3">
      <c r="A72" s="20">
        <v>45747</v>
      </c>
      <c r="B72" s="20" t="s">
        <v>3317</v>
      </c>
      <c r="C72" s="19" t="s">
        <v>18</v>
      </c>
      <c r="D72" s="19" t="s">
        <v>1314</v>
      </c>
      <c r="E72" s="4">
        <v>0.8</v>
      </c>
      <c r="F72" s="42">
        <v>3</v>
      </c>
      <c r="G72" s="45">
        <v>250</v>
      </c>
      <c r="H72" s="22">
        <v>2.2999999999999998</v>
      </c>
      <c r="I72" s="6">
        <f t="shared" si="2"/>
        <v>1380</v>
      </c>
      <c r="J72" s="7" t="s">
        <v>3079</v>
      </c>
      <c r="K72">
        <f t="shared" si="3"/>
        <v>74.52</v>
      </c>
    </row>
    <row r="73" spans="1:11" ht="13.95" customHeight="1" x14ac:dyDescent="0.3">
      <c r="A73" s="20">
        <v>45748</v>
      </c>
      <c r="B73" s="20" t="s">
        <v>3317</v>
      </c>
      <c r="C73" s="19" t="s">
        <v>20</v>
      </c>
      <c r="D73" s="19" t="s">
        <v>9</v>
      </c>
      <c r="E73" s="4">
        <v>0.5</v>
      </c>
      <c r="F73" s="42">
        <v>2.2000000000000002</v>
      </c>
      <c r="G73" s="45">
        <v>250</v>
      </c>
      <c r="H73" s="22">
        <v>2.2999999999999998</v>
      </c>
      <c r="I73" s="6">
        <f t="shared" si="2"/>
        <v>632.5</v>
      </c>
      <c r="J73" s="7" t="s">
        <v>3268</v>
      </c>
      <c r="K73">
        <f t="shared" si="3"/>
        <v>34.155000000000001</v>
      </c>
    </row>
    <row r="74" spans="1:11" ht="13.95" customHeight="1" x14ac:dyDescent="0.3">
      <c r="A74" s="20">
        <v>45749</v>
      </c>
      <c r="B74" s="20" t="s">
        <v>3317</v>
      </c>
      <c r="C74" s="19" t="s">
        <v>5</v>
      </c>
      <c r="D74" s="19" t="s">
        <v>9</v>
      </c>
      <c r="E74" s="4">
        <v>0.5</v>
      </c>
      <c r="F74" s="42">
        <v>2.2000000000000002</v>
      </c>
      <c r="G74" s="45">
        <v>250</v>
      </c>
      <c r="H74" s="22">
        <v>2.2999999999999998</v>
      </c>
      <c r="I74" s="6">
        <f t="shared" si="2"/>
        <v>632.5</v>
      </c>
      <c r="J74" s="7" t="s">
        <v>2194</v>
      </c>
      <c r="K74">
        <f t="shared" si="3"/>
        <v>34.155000000000001</v>
      </c>
    </row>
    <row r="75" spans="1:11" ht="13.95" customHeight="1" x14ac:dyDescent="0.3">
      <c r="A75" s="20">
        <v>45750</v>
      </c>
      <c r="B75" s="20" t="s">
        <v>3317</v>
      </c>
      <c r="C75" s="19" t="s">
        <v>8</v>
      </c>
      <c r="D75" s="19" t="s">
        <v>9</v>
      </c>
      <c r="E75" s="4">
        <v>0.55000000000000004</v>
      </c>
      <c r="F75" s="42">
        <v>2.25</v>
      </c>
      <c r="G75" s="45">
        <v>250</v>
      </c>
      <c r="H75" s="22">
        <v>2.2999999999999998</v>
      </c>
      <c r="I75" s="6">
        <f t="shared" si="2"/>
        <v>711.5625</v>
      </c>
      <c r="J75" s="7" t="s">
        <v>3080</v>
      </c>
      <c r="K75">
        <f t="shared" si="3"/>
        <v>38.424374999999998</v>
      </c>
    </row>
    <row r="76" spans="1:11" ht="13.95" customHeight="1" x14ac:dyDescent="0.3">
      <c r="A76" s="20">
        <v>45751</v>
      </c>
      <c r="B76" s="20" t="s">
        <v>3317</v>
      </c>
      <c r="C76" s="19" t="s">
        <v>11</v>
      </c>
      <c r="D76" s="19" t="s">
        <v>14</v>
      </c>
      <c r="E76" s="4">
        <v>0.7</v>
      </c>
      <c r="F76" s="42">
        <v>2.8</v>
      </c>
      <c r="G76" s="45">
        <v>250</v>
      </c>
      <c r="H76" s="22">
        <v>2.2999999999999998</v>
      </c>
      <c r="I76" s="6">
        <f t="shared" si="2"/>
        <v>1126.9999999999998</v>
      </c>
      <c r="J76" s="7" t="s">
        <v>3269</v>
      </c>
      <c r="K76">
        <f t="shared" si="3"/>
        <v>60.85799999999999</v>
      </c>
    </row>
    <row r="77" spans="1:11" ht="13.95" customHeight="1" x14ac:dyDescent="0.3">
      <c r="A77" s="20">
        <v>45752</v>
      </c>
      <c r="B77" s="20" t="s">
        <v>3317</v>
      </c>
      <c r="C77" s="19" t="s">
        <v>13</v>
      </c>
      <c r="D77" s="19" t="s">
        <v>3197</v>
      </c>
      <c r="E77" s="4">
        <v>0.85</v>
      </c>
      <c r="F77" s="42">
        <v>3.4</v>
      </c>
      <c r="G77" s="45">
        <v>250</v>
      </c>
      <c r="H77" s="22">
        <v>2.2999999999999998</v>
      </c>
      <c r="I77" s="6">
        <f t="shared" si="2"/>
        <v>1661.7499999999998</v>
      </c>
      <c r="J77" s="7" t="s">
        <v>1711</v>
      </c>
      <c r="K77">
        <f t="shared" si="3"/>
        <v>89.734499999999983</v>
      </c>
    </row>
    <row r="78" spans="1:11" ht="13.95" customHeight="1" x14ac:dyDescent="0.3">
      <c r="A78" s="20">
        <v>45753</v>
      </c>
      <c r="B78" s="20" t="s">
        <v>3317</v>
      </c>
      <c r="C78" s="19" t="s">
        <v>16</v>
      </c>
      <c r="D78" s="19" t="s">
        <v>3098</v>
      </c>
      <c r="E78" s="4">
        <v>0.8</v>
      </c>
      <c r="F78" s="42">
        <v>2.8</v>
      </c>
      <c r="G78" s="45">
        <v>250</v>
      </c>
      <c r="H78" s="22">
        <v>2.2999999999999998</v>
      </c>
      <c r="I78" s="6">
        <f t="shared" si="2"/>
        <v>1288</v>
      </c>
      <c r="J78" s="7" t="s">
        <v>1278</v>
      </c>
      <c r="K78">
        <f t="shared" si="3"/>
        <v>69.551999999999992</v>
      </c>
    </row>
    <row r="79" spans="1:11" ht="13.95" customHeight="1" x14ac:dyDescent="0.3">
      <c r="A79" s="20">
        <v>45754</v>
      </c>
      <c r="B79" s="20" t="s">
        <v>3317</v>
      </c>
      <c r="C79" s="19" t="s">
        <v>18</v>
      </c>
      <c r="D79" s="19" t="s">
        <v>9</v>
      </c>
      <c r="E79" s="4">
        <v>0.55000000000000004</v>
      </c>
      <c r="F79" s="42">
        <v>2.2000000000000002</v>
      </c>
      <c r="G79" s="45">
        <v>250</v>
      </c>
      <c r="H79" s="22">
        <v>2.2999999999999998</v>
      </c>
      <c r="I79" s="6">
        <f t="shared" si="2"/>
        <v>695.75</v>
      </c>
      <c r="J79" s="7" t="s">
        <v>527</v>
      </c>
      <c r="K79">
        <f t="shared" si="3"/>
        <v>37.570500000000003</v>
      </c>
    </row>
    <row r="80" spans="1:11" ht="13.95" customHeight="1" x14ac:dyDescent="0.3">
      <c r="A80" s="20">
        <v>45755</v>
      </c>
      <c r="B80" s="20" t="s">
        <v>3317</v>
      </c>
      <c r="C80" s="19" t="s">
        <v>20</v>
      </c>
      <c r="D80" s="19" t="s">
        <v>9</v>
      </c>
      <c r="E80" s="4">
        <v>0.55000000000000004</v>
      </c>
      <c r="F80" s="42">
        <v>2.2000000000000002</v>
      </c>
      <c r="G80" s="45">
        <v>250</v>
      </c>
      <c r="H80" s="22">
        <v>2.2999999999999998</v>
      </c>
      <c r="I80" s="6">
        <f t="shared" si="2"/>
        <v>695.75</v>
      </c>
      <c r="J80" s="7" t="s">
        <v>88</v>
      </c>
      <c r="K80">
        <f t="shared" si="3"/>
        <v>37.570500000000003</v>
      </c>
    </row>
    <row r="81" spans="1:11" ht="13.95" customHeight="1" x14ac:dyDescent="0.3">
      <c r="A81" s="20">
        <v>45756</v>
      </c>
      <c r="B81" s="20" t="s">
        <v>3317</v>
      </c>
      <c r="C81" s="19" t="s">
        <v>5</v>
      </c>
      <c r="D81" s="19" t="s">
        <v>2753</v>
      </c>
      <c r="E81" s="4">
        <v>0.75</v>
      </c>
      <c r="F81" s="42">
        <v>3.1</v>
      </c>
      <c r="G81" s="45">
        <v>250</v>
      </c>
      <c r="H81" s="22">
        <v>2.2999999999999998</v>
      </c>
      <c r="I81" s="6">
        <f t="shared" si="2"/>
        <v>1336.875</v>
      </c>
      <c r="J81" s="7" t="s">
        <v>2192</v>
      </c>
      <c r="K81">
        <f t="shared" si="3"/>
        <v>72.191249999999997</v>
      </c>
    </row>
    <row r="82" spans="1:11" ht="13.95" customHeight="1" x14ac:dyDescent="0.3">
      <c r="A82" s="20">
        <v>45757</v>
      </c>
      <c r="B82" s="20" t="s">
        <v>3317</v>
      </c>
      <c r="C82" s="19" t="s">
        <v>8</v>
      </c>
      <c r="D82" s="19" t="s">
        <v>9</v>
      </c>
      <c r="E82" s="4">
        <v>0.6</v>
      </c>
      <c r="F82" s="42">
        <v>2.25</v>
      </c>
      <c r="G82" s="45">
        <v>250</v>
      </c>
      <c r="H82" s="22">
        <v>2.2999999999999998</v>
      </c>
      <c r="I82" s="6">
        <f t="shared" si="2"/>
        <v>776.24999999999989</v>
      </c>
      <c r="J82" s="7" t="s">
        <v>3190</v>
      </c>
      <c r="K82">
        <f t="shared" si="3"/>
        <v>41.917499999999997</v>
      </c>
    </row>
    <row r="83" spans="1:11" ht="13.95" customHeight="1" x14ac:dyDescent="0.3">
      <c r="A83" s="20">
        <v>45758</v>
      </c>
      <c r="B83" s="20" t="s">
        <v>3317</v>
      </c>
      <c r="C83" s="19" t="s">
        <v>11</v>
      </c>
      <c r="D83" s="19" t="s">
        <v>14</v>
      </c>
      <c r="E83" s="4">
        <v>0.75</v>
      </c>
      <c r="F83" s="42">
        <v>2.85</v>
      </c>
      <c r="G83" s="45">
        <v>250</v>
      </c>
      <c r="H83" s="22">
        <v>2.2999999999999998</v>
      </c>
      <c r="I83" s="6">
        <f t="shared" si="2"/>
        <v>1229.0625</v>
      </c>
      <c r="J83" s="7" t="s">
        <v>2609</v>
      </c>
      <c r="K83">
        <f t="shared" si="3"/>
        <v>66.369375000000005</v>
      </c>
    </row>
    <row r="84" spans="1:11" ht="13.95" customHeight="1" x14ac:dyDescent="0.3">
      <c r="A84" s="20">
        <v>45759</v>
      </c>
      <c r="B84" s="20" t="s">
        <v>3317</v>
      </c>
      <c r="C84" s="19" t="s">
        <v>13</v>
      </c>
      <c r="D84" s="19" t="s">
        <v>3096</v>
      </c>
      <c r="E84" s="4">
        <v>0.9</v>
      </c>
      <c r="F84" s="42">
        <v>3.5</v>
      </c>
      <c r="G84" s="45">
        <v>250</v>
      </c>
      <c r="H84" s="22">
        <v>2.2999999999999998</v>
      </c>
      <c r="I84" s="6">
        <f t="shared" si="2"/>
        <v>1811.2499999999998</v>
      </c>
      <c r="J84" s="7" t="s">
        <v>3109</v>
      </c>
      <c r="K84">
        <f t="shared" si="3"/>
        <v>97.80749999999999</v>
      </c>
    </row>
    <row r="85" spans="1:11" ht="13.95" customHeight="1" x14ac:dyDescent="0.3">
      <c r="A85" s="20">
        <v>45760</v>
      </c>
      <c r="B85" s="20" t="s">
        <v>3317</v>
      </c>
      <c r="C85" s="19" t="s">
        <v>16</v>
      </c>
      <c r="D85" s="19" t="s">
        <v>3098</v>
      </c>
      <c r="E85" s="4">
        <v>0.85</v>
      </c>
      <c r="F85" s="42">
        <v>3.1</v>
      </c>
      <c r="G85" s="45">
        <v>250</v>
      </c>
      <c r="H85" s="22">
        <v>2.2999999999999998</v>
      </c>
      <c r="I85" s="6">
        <f t="shared" si="2"/>
        <v>1515.1249999999998</v>
      </c>
      <c r="J85" s="7" t="s">
        <v>3270</v>
      </c>
      <c r="K85">
        <f t="shared" si="3"/>
        <v>81.816749999999985</v>
      </c>
    </row>
    <row r="86" spans="1:11" ht="13.95" customHeight="1" x14ac:dyDescent="0.3">
      <c r="A86" s="20">
        <v>45761</v>
      </c>
      <c r="B86" s="20" t="s">
        <v>3317</v>
      </c>
      <c r="C86" s="19" t="s">
        <v>18</v>
      </c>
      <c r="D86" s="19" t="s">
        <v>2833</v>
      </c>
      <c r="E86" s="4">
        <v>0.8</v>
      </c>
      <c r="F86" s="42">
        <v>2.5</v>
      </c>
      <c r="G86" s="45">
        <v>250</v>
      </c>
      <c r="H86" s="22">
        <v>2.2999999999999998</v>
      </c>
      <c r="I86" s="6">
        <f t="shared" si="2"/>
        <v>1150</v>
      </c>
      <c r="J86" s="7" t="s">
        <v>3220</v>
      </c>
      <c r="K86">
        <f t="shared" si="3"/>
        <v>62.1</v>
      </c>
    </row>
    <row r="87" spans="1:11" ht="13.95" customHeight="1" x14ac:dyDescent="0.3">
      <c r="A87" s="20">
        <v>45762</v>
      </c>
      <c r="B87" s="20" t="s">
        <v>3317</v>
      </c>
      <c r="C87" s="19" t="s">
        <v>20</v>
      </c>
      <c r="D87" s="19" t="s">
        <v>2833</v>
      </c>
      <c r="E87" s="4">
        <v>0.8</v>
      </c>
      <c r="F87" s="42">
        <v>2.5</v>
      </c>
      <c r="G87" s="45">
        <v>250</v>
      </c>
      <c r="H87" s="22">
        <v>2.2999999999999998</v>
      </c>
      <c r="I87" s="6">
        <f t="shared" si="2"/>
        <v>1150</v>
      </c>
      <c r="J87" s="7" t="s">
        <v>2629</v>
      </c>
      <c r="K87">
        <f t="shared" si="3"/>
        <v>62.1</v>
      </c>
    </row>
    <row r="88" spans="1:11" ht="13.95" customHeight="1" x14ac:dyDescent="0.3">
      <c r="A88" s="20">
        <v>45763</v>
      </c>
      <c r="B88" s="20" t="s">
        <v>3317</v>
      </c>
      <c r="C88" s="19" t="s">
        <v>5</v>
      </c>
      <c r="D88" s="19" t="s">
        <v>2833</v>
      </c>
      <c r="E88" s="4">
        <v>0.8</v>
      </c>
      <c r="F88" s="42">
        <v>2.5</v>
      </c>
      <c r="G88" s="45">
        <v>250</v>
      </c>
      <c r="H88" s="22">
        <v>2.2999999999999998</v>
      </c>
      <c r="I88" s="6">
        <f t="shared" si="2"/>
        <v>1150</v>
      </c>
      <c r="J88" s="7" t="s">
        <v>88</v>
      </c>
      <c r="K88">
        <f t="shared" si="3"/>
        <v>62.1</v>
      </c>
    </row>
    <row r="89" spans="1:11" ht="13.95" customHeight="1" x14ac:dyDescent="0.3">
      <c r="A89" s="20">
        <v>45764</v>
      </c>
      <c r="B89" s="20" t="s">
        <v>3317</v>
      </c>
      <c r="C89" s="19" t="s">
        <v>8</v>
      </c>
      <c r="D89" s="19" t="s">
        <v>2833</v>
      </c>
      <c r="E89" s="4">
        <v>0.85</v>
      </c>
      <c r="F89" s="42">
        <v>2.6</v>
      </c>
      <c r="G89" s="45">
        <v>250</v>
      </c>
      <c r="H89" s="22">
        <v>2.2999999999999998</v>
      </c>
      <c r="I89" s="6">
        <f t="shared" si="2"/>
        <v>1270.75</v>
      </c>
      <c r="J89" s="7" t="s">
        <v>3271</v>
      </c>
      <c r="K89">
        <f t="shared" si="3"/>
        <v>68.620499999999993</v>
      </c>
    </row>
    <row r="90" spans="1:11" ht="13.95" customHeight="1" x14ac:dyDescent="0.3">
      <c r="A90" s="20">
        <v>45765</v>
      </c>
      <c r="B90" s="20" t="s">
        <v>3317</v>
      </c>
      <c r="C90" s="19" t="s">
        <v>11</v>
      </c>
      <c r="D90" s="19" t="s">
        <v>2909</v>
      </c>
      <c r="E90" s="4">
        <v>0.9</v>
      </c>
      <c r="F90" s="42">
        <v>3.2</v>
      </c>
      <c r="G90" s="45">
        <v>250</v>
      </c>
      <c r="H90" s="22">
        <v>2.2999999999999998</v>
      </c>
      <c r="I90" s="6">
        <f t="shared" si="2"/>
        <v>1655.9999999999998</v>
      </c>
      <c r="J90" s="7" t="s">
        <v>609</v>
      </c>
      <c r="K90">
        <f t="shared" si="3"/>
        <v>89.423999999999992</v>
      </c>
    </row>
    <row r="91" spans="1:11" ht="13.95" customHeight="1" x14ac:dyDescent="0.3">
      <c r="A91" s="20">
        <v>45766</v>
      </c>
      <c r="B91" s="20" t="s">
        <v>3317</v>
      </c>
      <c r="C91" s="19" t="s">
        <v>13</v>
      </c>
      <c r="D91" s="19" t="s">
        <v>2910</v>
      </c>
      <c r="E91" s="4">
        <v>1</v>
      </c>
      <c r="F91" s="42">
        <v>3.8</v>
      </c>
      <c r="G91" s="45">
        <v>250</v>
      </c>
      <c r="H91" s="22">
        <v>2.2999999999999998</v>
      </c>
      <c r="I91" s="6">
        <f t="shared" si="2"/>
        <v>2185</v>
      </c>
      <c r="J91" s="7" t="s">
        <v>3272</v>
      </c>
      <c r="K91">
        <f t="shared" si="3"/>
        <v>117.99</v>
      </c>
    </row>
    <row r="92" spans="1:11" ht="13.95" customHeight="1" x14ac:dyDescent="0.3">
      <c r="A92" s="20">
        <v>45767</v>
      </c>
      <c r="B92" s="20" t="s">
        <v>3317</v>
      </c>
      <c r="C92" s="19" t="s">
        <v>16</v>
      </c>
      <c r="D92" s="19" t="s">
        <v>1774</v>
      </c>
      <c r="E92" s="4">
        <v>1</v>
      </c>
      <c r="F92" s="42">
        <v>4.0999999999999996</v>
      </c>
      <c r="G92" s="45">
        <v>250</v>
      </c>
      <c r="H92" s="22">
        <v>2.2999999999999998</v>
      </c>
      <c r="I92" s="6">
        <f t="shared" si="2"/>
        <v>2357.5</v>
      </c>
      <c r="J92" s="7" t="s">
        <v>3194</v>
      </c>
      <c r="K92">
        <f t="shared" si="3"/>
        <v>127.30499999999999</v>
      </c>
    </row>
    <row r="93" spans="1:11" ht="13.95" customHeight="1" x14ac:dyDescent="0.3">
      <c r="A93" s="20">
        <v>45768</v>
      </c>
      <c r="B93" s="20" t="s">
        <v>3317</v>
      </c>
      <c r="C93" s="19" t="s">
        <v>18</v>
      </c>
      <c r="D93" s="19" t="s">
        <v>2912</v>
      </c>
      <c r="E93" s="4">
        <v>0.95</v>
      </c>
      <c r="F93" s="42">
        <v>3.2</v>
      </c>
      <c r="G93" s="45">
        <v>250</v>
      </c>
      <c r="H93" s="22">
        <v>2.2999999999999998</v>
      </c>
      <c r="I93" s="6">
        <f t="shared" si="2"/>
        <v>1747.9999999999998</v>
      </c>
      <c r="J93" s="7" t="s">
        <v>3273</v>
      </c>
      <c r="K93">
        <f t="shared" si="3"/>
        <v>94.391999999999982</v>
      </c>
    </row>
    <row r="94" spans="1:11" ht="13.95" customHeight="1" x14ac:dyDescent="0.3">
      <c r="A94" s="20">
        <v>45769</v>
      </c>
      <c r="B94" s="20" t="s">
        <v>3317</v>
      </c>
      <c r="C94" s="19" t="s">
        <v>20</v>
      </c>
      <c r="D94" s="19" t="s">
        <v>9</v>
      </c>
      <c r="E94" s="4">
        <v>0.7</v>
      </c>
      <c r="F94" s="42">
        <v>2.2999999999999998</v>
      </c>
      <c r="G94" s="45">
        <v>250</v>
      </c>
      <c r="H94" s="22">
        <v>2.2999999999999998</v>
      </c>
      <c r="I94" s="6">
        <f t="shared" si="2"/>
        <v>925.74999999999977</v>
      </c>
      <c r="J94" s="7" t="s">
        <v>88</v>
      </c>
      <c r="K94">
        <f t="shared" si="3"/>
        <v>49.99049999999999</v>
      </c>
    </row>
    <row r="95" spans="1:11" ht="13.95" customHeight="1" x14ac:dyDescent="0.3">
      <c r="A95" s="20">
        <v>45770</v>
      </c>
      <c r="B95" s="20" t="s">
        <v>3317</v>
      </c>
      <c r="C95" s="19" t="s">
        <v>5</v>
      </c>
      <c r="D95" s="19" t="s">
        <v>9</v>
      </c>
      <c r="E95" s="4">
        <v>0.65</v>
      </c>
      <c r="F95" s="42">
        <v>2.2999999999999998</v>
      </c>
      <c r="G95" s="45">
        <v>250</v>
      </c>
      <c r="H95" s="22">
        <v>2.2999999999999998</v>
      </c>
      <c r="I95" s="6">
        <f t="shared" si="2"/>
        <v>859.62499999999977</v>
      </c>
      <c r="J95" s="7" t="s">
        <v>88</v>
      </c>
      <c r="K95">
        <f t="shared" si="3"/>
        <v>46.419749999999986</v>
      </c>
    </row>
    <row r="96" spans="1:11" ht="13.95" customHeight="1" x14ac:dyDescent="0.3">
      <c r="A96" s="20">
        <v>45771</v>
      </c>
      <c r="B96" s="20" t="s">
        <v>3317</v>
      </c>
      <c r="C96" s="19" t="s">
        <v>8</v>
      </c>
      <c r="D96" s="19" t="s">
        <v>9</v>
      </c>
      <c r="E96" s="4">
        <v>0.7</v>
      </c>
      <c r="F96" s="42">
        <v>2.35</v>
      </c>
      <c r="G96" s="45">
        <v>250</v>
      </c>
      <c r="H96" s="22">
        <v>2.2999999999999998</v>
      </c>
      <c r="I96" s="6">
        <f t="shared" si="2"/>
        <v>945.87499999999989</v>
      </c>
      <c r="J96" s="7" t="s">
        <v>88</v>
      </c>
      <c r="K96">
        <f t="shared" si="3"/>
        <v>51.077249999999992</v>
      </c>
    </row>
    <row r="97" spans="1:11" ht="13.95" customHeight="1" x14ac:dyDescent="0.3">
      <c r="A97" s="20">
        <v>45772</v>
      </c>
      <c r="B97" s="20" t="s">
        <v>3317</v>
      </c>
      <c r="C97" s="19" t="s">
        <v>11</v>
      </c>
      <c r="D97" s="19" t="s">
        <v>14</v>
      </c>
      <c r="E97" s="4">
        <v>0.75</v>
      </c>
      <c r="F97" s="42">
        <v>2.9</v>
      </c>
      <c r="G97" s="45">
        <v>250</v>
      </c>
      <c r="H97" s="22">
        <v>2.2999999999999998</v>
      </c>
      <c r="I97" s="6">
        <f t="shared" si="2"/>
        <v>1250.625</v>
      </c>
      <c r="J97" s="7" t="s">
        <v>390</v>
      </c>
      <c r="K97">
        <f t="shared" si="3"/>
        <v>67.533749999999998</v>
      </c>
    </row>
    <row r="98" spans="1:11" ht="13.95" customHeight="1" x14ac:dyDescent="0.3">
      <c r="A98" s="20">
        <v>45773</v>
      </c>
      <c r="B98" s="20" t="s">
        <v>3317</v>
      </c>
      <c r="C98" s="19" t="s">
        <v>13</v>
      </c>
      <c r="D98" s="19" t="s">
        <v>3274</v>
      </c>
      <c r="E98" s="4">
        <v>0.9</v>
      </c>
      <c r="F98" s="42">
        <v>3.6</v>
      </c>
      <c r="G98" s="45">
        <v>250</v>
      </c>
      <c r="H98" s="22">
        <v>2.2999999999999998</v>
      </c>
      <c r="I98" s="6">
        <f t="shared" si="2"/>
        <v>1862.9999999999998</v>
      </c>
      <c r="J98" s="7" t="s">
        <v>3242</v>
      </c>
      <c r="K98">
        <f t="shared" si="3"/>
        <v>100.60199999999999</v>
      </c>
    </row>
    <row r="99" spans="1:11" ht="13.95" customHeight="1" x14ac:dyDescent="0.3">
      <c r="A99" s="20">
        <v>45774</v>
      </c>
      <c r="B99" s="20" t="s">
        <v>3317</v>
      </c>
      <c r="C99" s="19" t="s">
        <v>16</v>
      </c>
      <c r="D99" s="19" t="s">
        <v>3098</v>
      </c>
      <c r="E99" s="4">
        <v>0.85</v>
      </c>
      <c r="F99" s="42">
        <v>3</v>
      </c>
      <c r="G99" s="45">
        <v>250</v>
      </c>
      <c r="H99" s="22">
        <v>2.2999999999999998</v>
      </c>
      <c r="I99" s="6">
        <f t="shared" si="2"/>
        <v>1466.25</v>
      </c>
      <c r="J99" s="7" t="s">
        <v>3065</v>
      </c>
      <c r="K99">
        <f t="shared" si="3"/>
        <v>79.177499999999995</v>
      </c>
    </row>
    <row r="100" spans="1:11" ht="13.95" customHeight="1" x14ac:dyDescent="0.3">
      <c r="A100" s="20">
        <v>45775</v>
      </c>
      <c r="B100" s="20" t="s">
        <v>3317</v>
      </c>
      <c r="C100" s="19" t="s">
        <v>18</v>
      </c>
      <c r="D100" s="19" t="s">
        <v>9</v>
      </c>
      <c r="E100" s="4">
        <v>0.6</v>
      </c>
      <c r="F100" s="42">
        <v>2.2000000000000002</v>
      </c>
      <c r="G100" s="45">
        <v>250</v>
      </c>
      <c r="H100" s="22">
        <v>2.2999999999999998</v>
      </c>
      <c r="I100" s="6">
        <f t="shared" si="2"/>
        <v>758.99999999999989</v>
      </c>
      <c r="J100" s="7" t="s">
        <v>88</v>
      </c>
      <c r="K100">
        <f t="shared" si="3"/>
        <v>40.98599999999999</v>
      </c>
    </row>
    <row r="101" spans="1:11" ht="13.95" customHeight="1" x14ac:dyDescent="0.3">
      <c r="A101" s="20">
        <v>45776</v>
      </c>
      <c r="B101" s="20" t="s">
        <v>3317</v>
      </c>
      <c r="C101" s="19" t="s">
        <v>20</v>
      </c>
      <c r="D101" s="19" t="s">
        <v>9</v>
      </c>
      <c r="E101" s="4">
        <v>0.6</v>
      </c>
      <c r="F101" s="42">
        <v>2.2000000000000002</v>
      </c>
      <c r="G101" s="45">
        <v>250</v>
      </c>
      <c r="H101" s="22">
        <v>2.2999999999999998</v>
      </c>
      <c r="I101" s="6">
        <f t="shared" si="2"/>
        <v>758.99999999999989</v>
      </c>
      <c r="J101" s="7" t="s">
        <v>88</v>
      </c>
      <c r="K101">
        <f t="shared" si="3"/>
        <v>40.98599999999999</v>
      </c>
    </row>
    <row r="102" spans="1:11" ht="13.95" customHeight="1" x14ac:dyDescent="0.3">
      <c r="A102" s="20">
        <v>45777</v>
      </c>
      <c r="B102" s="20" t="s">
        <v>3317</v>
      </c>
      <c r="C102" s="19" t="s">
        <v>5</v>
      </c>
      <c r="D102" s="19" t="s">
        <v>994</v>
      </c>
      <c r="E102" s="4">
        <v>0.85</v>
      </c>
      <c r="F102" s="42">
        <v>3.3</v>
      </c>
      <c r="G102" s="45">
        <v>250</v>
      </c>
      <c r="H102" s="22">
        <v>2.2999999999999998</v>
      </c>
      <c r="I102" s="6">
        <f t="shared" si="2"/>
        <v>1612.8749999999998</v>
      </c>
      <c r="J102" s="7" t="s">
        <v>2765</v>
      </c>
      <c r="K102">
        <f t="shared" si="3"/>
        <v>87.095249999999993</v>
      </c>
    </row>
    <row r="103" spans="1:11" ht="13.95" customHeight="1" x14ac:dyDescent="0.3">
      <c r="A103" s="20">
        <v>45778</v>
      </c>
      <c r="B103" s="20" t="s">
        <v>3317</v>
      </c>
      <c r="C103" s="19" t="s">
        <v>8</v>
      </c>
      <c r="D103" s="19" t="s">
        <v>2919</v>
      </c>
      <c r="E103" s="4">
        <v>0.95</v>
      </c>
      <c r="F103" s="42">
        <v>3.6</v>
      </c>
      <c r="G103" s="45">
        <v>250</v>
      </c>
      <c r="H103" s="22">
        <v>2.4</v>
      </c>
      <c r="I103" s="6">
        <f t="shared" si="2"/>
        <v>2052</v>
      </c>
      <c r="J103" s="7" t="s">
        <v>3088</v>
      </c>
      <c r="K103">
        <f t="shared" si="3"/>
        <v>110.80799999999999</v>
      </c>
    </row>
    <row r="104" spans="1:11" ht="13.95" customHeight="1" x14ac:dyDescent="0.3">
      <c r="A104" s="20">
        <v>45779</v>
      </c>
      <c r="B104" s="20" t="s">
        <v>3317</v>
      </c>
      <c r="C104" s="19" t="s">
        <v>11</v>
      </c>
      <c r="D104" s="19" t="s">
        <v>3275</v>
      </c>
      <c r="E104" s="4">
        <v>0.9</v>
      </c>
      <c r="F104" s="42">
        <v>3.1</v>
      </c>
      <c r="G104" s="45">
        <v>250</v>
      </c>
      <c r="H104" s="22">
        <v>2.4</v>
      </c>
      <c r="I104" s="6">
        <f t="shared" si="2"/>
        <v>1674</v>
      </c>
      <c r="J104" s="7" t="s">
        <v>2655</v>
      </c>
      <c r="K104">
        <f t="shared" si="3"/>
        <v>90.396000000000001</v>
      </c>
    </row>
    <row r="105" spans="1:11" ht="13.95" customHeight="1" x14ac:dyDescent="0.3">
      <c r="A105" s="20">
        <v>45780</v>
      </c>
      <c r="B105" s="20" t="s">
        <v>3317</v>
      </c>
      <c r="C105" s="19" t="s">
        <v>13</v>
      </c>
      <c r="D105" s="19" t="s">
        <v>3276</v>
      </c>
      <c r="E105" s="4">
        <v>1</v>
      </c>
      <c r="F105" s="42">
        <v>3.8</v>
      </c>
      <c r="G105" s="45">
        <v>250</v>
      </c>
      <c r="H105" s="22">
        <v>2.4</v>
      </c>
      <c r="I105" s="6">
        <f t="shared" si="2"/>
        <v>2280</v>
      </c>
      <c r="J105" s="7" t="s">
        <v>3277</v>
      </c>
      <c r="K105">
        <f t="shared" si="3"/>
        <v>123.12</v>
      </c>
    </row>
    <row r="106" spans="1:11" ht="13.95" customHeight="1" x14ac:dyDescent="0.3">
      <c r="A106" s="20">
        <v>45781</v>
      </c>
      <c r="B106" s="20" t="s">
        <v>3317</v>
      </c>
      <c r="C106" s="19" t="s">
        <v>16</v>
      </c>
      <c r="D106" s="19" t="s">
        <v>3098</v>
      </c>
      <c r="E106" s="4">
        <v>0.95</v>
      </c>
      <c r="F106" s="42">
        <v>3.3</v>
      </c>
      <c r="G106" s="45">
        <v>250</v>
      </c>
      <c r="H106" s="22">
        <v>2.4</v>
      </c>
      <c r="I106" s="6">
        <f t="shared" si="2"/>
        <v>1881</v>
      </c>
      <c r="J106" s="7" t="s">
        <v>1278</v>
      </c>
      <c r="K106">
        <f t="shared" si="3"/>
        <v>101.574</v>
      </c>
    </row>
    <row r="107" spans="1:11" ht="13.95" customHeight="1" x14ac:dyDescent="0.3">
      <c r="A107" s="20">
        <v>45782</v>
      </c>
      <c r="B107" s="20" t="s">
        <v>3317</v>
      </c>
      <c r="C107" s="19" t="s">
        <v>18</v>
      </c>
      <c r="D107" s="19" t="s">
        <v>9</v>
      </c>
      <c r="E107" s="4">
        <v>0.6</v>
      </c>
      <c r="F107" s="42">
        <v>2.2999999999999998</v>
      </c>
      <c r="G107" s="45">
        <v>250</v>
      </c>
      <c r="H107" s="22">
        <v>2.4</v>
      </c>
      <c r="I107" s="6">
        <f t="shared" si="2"/>
        <v>828</v>
      </c>
      <c r="J107" s="7" t="s">
        <v>2501</v>
      </c>
      <c r="K107">
        <f t="shared" si="3"/>
        <v>44.711999999999996</v>
      </c>
    </row>
    <row r="108" spans="1:11" ht="13.95" customHeight="1" x14ac:dyDescent="0.3">
      <c r="A108" s="20">
        <v>45783</v>
      </c>
      <c r="B108" s="20" t="s">
        <v>3317</v>
      </c>
      <c r="C108" s="19" t="s">
        <v>20</v>
      </c>
      <c r="D108" s="19" t="s">
        <v>9</v>
      </c>
      <c r="E108" s="4">
        <v>0.6</v>
      </c>
      <c r="F108" s="42">
        <v>2.2999999999999998</v>
      </c>
      <c r="G108" s="45">
        <v>250</v>
      </c>
      <c r="H108" s="22">
        <v>2.4</v>
      </c>
      <c r="I108" s="6">
        <f t="shared" si="2"/>
        <v>828</v>
      </c>
      <c r="J108" s="7" t="s">
        <v>88</v>
      </c>
      <c r="K108">
        <f t="shared" si="3"/>
        <v>44.711999999999996</v>
      </c>
    </row>
    <row r="109" spans="1:11" ht="13.95" customHeight="1" x14ac:dyDescent="0.3">
      <c r="A109" s="20">
        <v>45784</v>
      </c>
      <c r="B109" s="20" t="s">
        <v>3317</v>
      </c>
      <c r="C109" s="19" t="s">
        <v>5</v>
      </c>
      <c r="D109" s="19" t="s">
        <v>9</v>
      </c>
      <c r="E109" s="4">
        <v>0.6</v>
      </c>
      <c r="F109" s="42">
        <v>2.2999999999999998</v>
      </c>
      <c r="G109" s="45">
        <v>250</v>
      </c>
      <c r="H109" s="22">
        <v>2.4</v>
      </c>
      <c r="I109" s="6">
        <f t="shared" si="2"/>
        <v>828</v>
      </c>
      <c r="J109" s="7" t="s">
        <v>88</v>
      </c>
      <c r="K109">
        <f t="shared" si="3"/>
        <v>44.711999999999996</v>
      </c>
    </row>
    <row r="110" spans="1:11" ht="13.95" customHeight="1" x14ac:dyDescent="0.3">
      <c r="A110" s="20">
        <v>45785</v>
      </c>
      <c r="B110" s="20" t="s">
        <v>3317</v>
      </c>
      <c r="C110" s="19" t="s">
        <v>8</v>
      </c>
      <c r="D110" s="19" t="s">
        <v>9</v>
      </c>
      <c r="E110" s="4">
        <v>0.65</v>
      </c>
      <c r="F110" s="42">
        <v>2.4</v>
      </c>
      <c r="G110" s="45">
        <v>250</v>
      </c>
      <c r="H110" s="22">
        <v>2.4</v>
      </c>
      <c r="I110" s="6">
        <f t="shared" si="2"/>
        <v>936</v>
      </c>
      <c r="J110" s="7" t="s">
        <v>88</v>
      </c>
      <c r="K110">
        <f t="shared" si="3"/>
        <v>50.543999999999997</v>
      </c>
    </row>
    <row r="111" spans="1:11" ht="13.95" customHeight="1" x14ac:dyDescent="0.3">
      <c r="A111" s="20">
        <v>45786</v>
      </c>
      <c r="B111" s="20" t="s">
        <v>3317</v>
      </c>
      <c r="C111" s="19" t="s">
        <v>11</v>
      </c>
      <c r="D111" s="19" t="s">
        <v>14</v>
      </c>
      <c r="E111" s="4">
        <v>0.75</v>
      </c>
      <c r="F111" s="42">
        <v>2.9</v>
      </c>
      <c r="G111" s="45">
        <v>250</v>
      </c>
      <c r="H111" s="22">
        <v>2.4</v>
      </c>
      <c r="I111" s="6">
        <f t="shared" si="2"/>
        <v>1305</v>
      </c>
      <c r="J111" s="7" t="s">
        <v>3196</v>
      </c>
      <c r="K111">
        <f t="shared" si="3"/>
        <v>70.47</v>
      </c>
    </row>
    <row r="112" spans="1:11" ht="13.95" customHeight="1" x14ac:dyDescent="0.3">
      <c r="A112" s="20">
        <v>45787</v>
      </c>
      <c r="B112" s="20" t="s">
        <v>3317</v>
      </c>
      <c r="C112" s="19" t="s">
        <v>13</v>
      </c>
      <c r="D112" s="19" t="s">
        <v>3274</v>
      </c>
      <c r="E112" s="4">
        <v>0.85</v>
      </c>
      <c r="F112" s="42">
        <v>3.6</v>
      </c>
      <c r="G112" s="45">
        <v>250</v>
      </c>
      <c r="H112" s="22">
        <v>2.4</v>
      </c>
      <c r="I112" s="6">
        <f t="shared" si="2"/>
        <v>1836</v>
      </c>
      <c r="J112" s="7" t="s">
        <v>3278</v>
      </c>
      <c r="K112">
        <f t="shared" si="3"/>
        <v>99.144000000000005</v>
      </c>
    </row>
    <row r="113" spans="1:11" ht="13.95" customHeight="1" x14ac:dyDescent="0.3">
      <c r="A113" s="20">
        <v>45788</v>
      </c>
      <c r="B113" s="20" t="s">
        <v>3317</v>
      </c>
      <c r="C113" s="19" t="s">
        <v>16</v>
      </c>
      <c r="D113" s="19" t="s">
        <v>3098</v>
      </c>
      <c r="E113" s="4">
        <v>0.8</v>
      </c>
      <c r="F113" s="42">
        <v>3</v>
      </c>
      <c r="G113" s="45">
        <v>250</v>
      </c>
      <c r="H113" s="22">
        <v>2.4</v>
      </c>
      <c r="I113" s="6">
        <f t="shared" si="2"/>
        <v>1440</v>
      </c>
      <c r="J113" s="7" t="s">
        <v>3113</v>
      </c>
      <c r="K113">
        <f t="shared" si="3"/>
        <v>77.760000000000005</v>
      </c>
    </row>
    <row r="114" spans="1:11" ht="13.95" customHeight="1" x14ac:dyDescent="0.3">
      <c r="A114" s="20">
        <v>45789</v>
      </c>
      <c r="B114" s="20" t="s">
        <v>3317</v>
      </c>
      <c r="C114" s="19" t="s">
        <v>18</v>
      </c>
      <c r="D114" s="19" t="s">
        <v>9</v>
      </c>
      <c r="E114" s="4">
        <v>0.55000000000000004</v>
      </c>
      <c r="F114" s="42">
        <v>2.2999999999999998</v>
      </c>
      <c r="G114" s="45">
        <v>250</v>
      </c>
      <c r="H114" s="22">
        <v>2.4</v>
      </c>
      <c r="I114" s="6">
        <f t="shared" si="2"/>
        <v>759</v>
      </c>
      <c r="J114" s="7" t="s">
        <v>150</v>
      </c>
      <c r="K114">
        <f t="shared" si="3"/>
        <v>40.985999999999997</v>
      </c>
    </row>
    <row r="115" spans="1:11" ht="13.95" customHeight="1" x14ac:dyDescent="0.3">
      <c r="A115" s="20">
        <v>45790</v>
      </c>
      <c r="B115" s="20" t="s">
        <v>3317</v>
      </c>
      <c r="C115" s="19" t="s">
        <v>20</v>
      </c>
      <c r="D115" s="19" t="s">
        <v>9</v>
      </c>
      <c r="E115" s="4">
        <v>0.55000000000000004</v>
      </c>
      <c r="F115" s="42">
        <v>2.2999999999999998</v>
      </c>
      <c r="G115" s="45">
        <v>250</v>
      </c>
      <c r="H115" s="22">
        <v>2.4</v>
      </c>
      <c r="I115" s="6">
        <f t="shared" si="2"/>
        <v>759</v>
      </c>
      <c r="J115" s="7" t="s">
        <v>88</v>
      </c>
      <c r="K115">
        <f t="shared" si="3"/>
        <v>40.985999999999997</v>
      </c>
    </row>
    <row r="116" spans="1:11" ht="13.95" customHeight="1" x14ac:dyDescent="0.3">
      <c r="A116" s="20">
        <v>45791</v>
      </c>
      <c r="B116" s="20" t="s">
        <v>3317</v>
      </c>
      <c r="C116" s="19" t="s">
        <v>5</v>
      </c>
      <c r="D116" s="19" t="s">
        <v>9</v>
      </c>
      <c r="E116" s="4">
        <v>0.6</v>
      </c>
      <c r="F116" s="42">
        <v>2.2999999999999998</v>
      </c>
      <c r="G116" s="45">
        <v>250</v>
      </c>
      <c r="H116" s="22">
        <v>2.4</v>
      </c>
      <c r="I116" s="6">
        <f t="shared" si="2"/>
        <v>828</v>
      </c>
      <c r="J116" s="7" t="s">
        <v>88</v>
      </c>
      <c r="K116">
        <f t="shared" si="3"/>
        <v>44.711999999999996</v>
      </c>
    </row>
    <row r="117" spans="1:11" ht="13.95" customHeight="1" x14ac:dyDescent="0.3">
      <c r="A117" s="20">
        <v>45792</v>
      </c>
      <c r="B117" s="20" t="s">
        <v>3317</v>
      </c>
      <c r="C117" s="19" t="s">
        <v>8</v>
      </c>
      <c r="D117" s="19" t="s">
        <v>1263</v>
      </c>
      <c r="E117" s="4">
        <v>0.75</v>
      </c>
      <c r="F117" s="42">
        <v>2.75</v>
      </c>
      <c r="G117" s="45">
        <v>250</v>
      </c>
      <c r="H117" s="22">
        <v>2.4</v>
      </c>
      <c r="I117" s="6">
        <f t="shared" si="2"/>
        <v>1237.5</v>
      </c>
      <c r="J117" s="7" t="s">
        <v>2842</v>
      </c>
      <c r="K117">
        <f t="shared" si="3"/>
        <v>66.825000000000003</v>
      </c>
    </row>
    <row r="118" spans="1:11" ht="13.95" customHeight="1" x14ac:dyDescent="0.3">
      <c r="A118" s="20">
        <v>45793</v>
      </c>
      <c r="B118" s="20" t="s">
        <v>3317</v>
      </c>
      <c r="C118" s="19" t="s">
        <v>11</v>
      </c>
      <c r="D118" s="19" t="s">
        <v>14</v>
      </c>
      <c r="E118" s="4">
        <v>0.8</v>
      </c>
      <c r="F118" s="42">
        <v>3</v>
      </c>
      <c r="G118" s="45">
        <v>250</v>
      </c>
      <c r="H118" s="22">
        <v>2.4</v>
      </c>
      <c r="I118" s="6">
        <f t="shared" si="2"/>
        <v>1440</v>
      </c>
      <c r="J118" s="7" t="s">
        <v>67</v>
      </c>
      <c r="K118">
        <f t="shared" si="3"/>
        <v>77.760000000000005</v>
      </c>
    </row>
    <row r="119" spans="1:11" ht="13.95" customHeight="1" x14ac:dyDescent="0.3">
      <c r="A119" s="20">
        <v>45794</v>
      </c>
      <c r="B119" s="20" t="s">
        <v>3317</v>
      </c>
      <c r="C119" s="19" t="s">
        <v>13</v>
      </c>
      <c r="D119" s="19" t="s">
        <v>3197</v>
      </c>
      <c r="E119" s="4">
        <v>0.9</v>
      </c>
      <c r="F119" s="42">
        <v>3.6</v>
      </c>
      <c r="G119" s="45">
        <v>250</v>
      </c>
      <c r="H119" s="22">
        <v>2.4</v>
      </c>
      <c r="I119" s="6">
        <f t="shared" si="2"/>
        <v>1944</v>
      </c>
      <c r="J119" s="7" t="s">
        <v>3109</v>
      </c>
      <c r="K119">
        <f t="shared" si="3"/>
        <v>104.976</v>
      </c>
    </row>
    <row r="120" spans="1:11" ht="13.95" customHeight="1" x14ac:dyDescent="0.3">
      <c r="A120" s="20">
        <v>45795</v>
      </c>
      <c r="B120" s="20" t="s">
        <v>3317</v>
      </c>
      <c r="C120" s="19" t="s">
        <v>16</v>
      </c>
      <c r="D120" s="19" t="s">
        <v>3098</v>
      </c>
      <c r="E120" s="4">
        <v>0.85</v>
      </c>
      <c r="F120" s="42">
        <v>3.2</v>
      </c>
      <c r="G120" s="45">
        <v>250</v>
      </c>
      <c r="H120" s="22">
        <v>2.4</v>
      </c>
      <c r="I120" s="6">
        <f t="shared" si="2"/>
        <v>1632</v>
      </c>
      <c r="J120" s="7" t="s">
        <v>3279</v>
      </c>
      <c r="K120">
        <f t="shared" si="3"/>
        <v>88.128</v>
      </c>
    </row>
    <row r="121" spans="1:11" ht="13.95" customHeight="1" x14ac:dyDescent="0.3">
      <c r="A121" s="20">
        <v>45796</v>
      </c>
      <c r="B121" s="20" t="s">
        <v>3317</v>
      </c>
      <c r="C121" s="19" t="s">
        <v>18</v>
      </c>
      <c r="D121" s="19" t="s">
        <v>9</v>
      </c>
      <c r="E121" s="4">
        <v>0.6</v>
      </c>
      <c r="F121" s="42">
        <v>2.35</v>
      </c>
      <c r="G121" s="45">
        <v>250</v>
      </c>
      <c r="H121" s="22">
        <v>2.4</v>
      </c>
      <c r="I121" s="6">
        <f t="shared" si="2"/>
        <v>846</v>
      </c>
      <c r="J121" s="7" t="s">
        <v>88</v>
      </c>
      <c r="K121">
        <f t="shared" si="3"/>
        <v>45.683999999999997</v>
      </c>
    </row>
    <row r="122" spans="1:11" ht="13.95" customHeight="1" x14ac:dyDescent="0.3">
      <c r="A122" s="20">
        <v>45797</v>
      </c>
      <c r="B122" s="20" t="s">
        <v>3317</v>
      </c>
      <c r="C122" s="19" t="s">
        <v>20</v>
      </c>
      <c r="D122" s="19" t="s">
        <v>9</v>
      </c>
      <c r="E122" s="4">
        <v>0.6</v>
      </c>
      <c r="F122" s="42">
        <v>2.35</v>
      </c>
      <c r="G122" s="45">
        <v>250</v>
      </c>
      <c r="H122" s="22">
        <v>2.4</v>
      </c>
      <c r="I122" s="6">
        <f t="shared" si="2"/>
        <v>846</v>
      </c>
      <c r="J122" s="7" t="s">
        <v>88</v>
      </c>
      <c r="K122">
        <f t="shared" si="3"/>
        <v>45.683999999999997</v>
      </c>
    </row>
    <row r="123" spans="1:11" ht="13.95" customHeight="1" x14ac:dyDescent="0.3">
      <c r="A123" s="20">
        <v>45798</v>
      </c>
      <c r="B123" s="20" t="s">
        <v>3317</v>
      </c>
      <c r="C123" s="19" t="s">
        <v>5</v>
      </c>
      <c r="D123" s="19" t="s">
        <v>9</v>
      </c>
      <c r="E123" s="4">
        <v>0.65</v>
      </c>
      <c r="F123" s="42">
        <v>2.4</v>
      </c>
      <c r="G123" s="45">
        <v>250</v>
      </c>
      <c r="H123" s="22">
        <v>2.4</v>
      </c>
      <c r="I123" s="6">
        <f t="shared" si="2"/>
        <v>936</v>
      </c>
      <c r="J123" s="7" t="s">
        <v>88</v>
      </c>
      <c r="K123">
        <f t="shared" si="3"/>
        <v>50.543999999999997</v>
      </c>
    </row>
    <row r="124" spans="1:11" ht="13.95" customHeight="1" x14ac:dyDescent="0.3">
      <c r="A124" s="20">
        <v>45799</v>
      </c>
      <c r="B124" s="20" t="s">
        <v>3317</v>
      </c>
      <c r="C124" s="19" t="s">
        <v>8</v>
      </c>
      <c r="D124" s="19" t="s">
        <v>9</v>
      </c>
      <c r="E124" s="4">
        <v>0.7</v>
      </c>
      <c r="F124" s="42">
        <v>2.4500000000000002</v>
      </c>
      <c r="G124" s="45">
        <v>250</v>
      </c>
      <c r="H124" s="22">
        <v>2.4</v>
      </c>
      <c r="I124" s="6">
        <f t="shared" si="2"/>
        <v>1029</v>
      </c>
      <c r="J124" s="7" t="s">
        <v>88</v>
      </c>
      <c r="K124">
        <f t="shared" si="3"/>
        <v>55.566000000000003</v>
      </c>
    </row>
    <row r="125" spans="1:11" ht="13.95" customHeight="1" x14ac:dyDescent="0.3">
      <c r="A125" s="20">
        <v>45800</v>
      </c>
      <c r="B125" s="20" t="s">
        <v>3317</v>
      </c>
      <c r="C125" s="19" t="s">
        <v>11</v>
      </c>
      <c r="D125" s="19" t="s">
        <v>14</v>
      </c>
      <c r="E125" s="4">
        <v>0.85</v>
      </c>
      <c r="F125" s="42">
        <v>3.1</v>
      </c>
      <c r="G125" s="45">
        <v>250</v>
      </c>
      <c r="H125" s="22">
        <v>2.4</v>
      </c>
      <c r="I125" s="6">
        <f t="shared" si="2"/>
        <v>1581</v>
      </c>
      <c r="J125" s="7" t="s">
        <v>3280</v>
      </c>
      <c r="K125">
        <f t="shared" si="3"/>
        <v>85.373999999999995</v>
      </c>
    </row>
    <row r="126" spans="1:11" ht="13.95" customHeight="1" x14ac:dyDescent="0.3">
      <c r="A126" s="20">
        <v>45801</v>
      </c>
      <c r="B126" s="20" t="s">
        <v>3317</v>
      </c>
      <c r="C126" s="19" t="s">
        <v>13</v>
      </c>
      <c r="D126" s="19" t="s">
        <v>3281</v>
      </c>
      <c r="E126" s="4">
        <v>0.95</v>
      </c>
      <c r="F126" s="42">
        <v>3.7</v>
      </c>
      <c r="G126" s="45">
        <v>250</v>
      </c>
      <c r="H126" s="22">
        <v>2.4</v>
      </c>
      <c r="I126" s="6">
        <f t="shared" si="2"/>
        <v>2109</v>
      </c>
      <c r="J126" s="7" t="s">
        <v>2245</v>
      </c>
      <c r="K126">
        <f t="shared" si="3"/>
        <v>113.886</v>
      </c>
    </row>
    <row r="127" spans="1:11" ht="13.95" customHeight="1" x14ac:dyDescent="0.3">
      <c r="A127" s="20">
        <v>45802</v>
      </c>
      <c r="B127" s="20" t="s">
        <v>3317</v>
      </c>
      <c r="C127" s="19" t="s">
        <v>16</v>
      </c>
      <c r="D127" s="19" t="s">
        <v>3098</v>
      </c>
      <c r="E127" s="4">
        <v>0.9</v>
      </c>
      <c r="F127" s="42">
        <v>3.3</v>
      </c>
      <c r="G127" s="45">
        <v>250</v>
      </c>
      <c r="H127" s="22">
        <v>2.4</v>
      </c>
      <c r="I127" s="6">
        <f t="shared" si="2"/>
        <v>1782</v>
      </c>
      <c r="J127" s="7" t="s">
        <v>3216</v>
      </c>
      <c r="K127">
        <f t="shared" si="3"/>
        <v>96.227999999999994</v>
      </c>
    </row>
    <row r="128" spans="1:11" ht="13.95" customHeight="1" x14ac:dyDescent="0.3">
      <c r="A128" s="20">
        <v>45803</v>
      </c>
      <c r="B128" s="20" t="s">
        <v>3317</v>
      </c>
      <c r="C128" s="19" t="s">
        <v>18</v>
      </c>
      <c r="D128" s="19" t="s">
        <v>9</v>
      </c>
      <c r="E128" s="4">
        <v>0.65</v>
      </c>
      <c r="F128" s="42">
        <v>2.4</v>
      </c>
      <c r="G128" s="45">
        <v>250</v>
      </c>
      <c r="H128" s="22">
        <v>2.4</v>
      </c>
      <c r="I128" s="6">
        <f t="shared" si="2"/>
        <v>936</v>
      </c>
      <c r="J128" s="7" t="s">
        <v>88</v>
      </c>
      <c r="K128">
        <f t="shared" si="3"/>
        <v>50.543999999999997</v>
      </c>
    </row>
    <row r="129" spans="1:11" ht="13.95" customHeight="1" x14ac:dyDescent="0.3">
      <c r="A129" s="20">
        <v>45804</v>
      </c>
      <c r="B129" s="20" t="s">
        <v>3317</v>
      </c>
      <c r="C129" s="19" t="s">
        <v>20</v>
      </c>
      <c r="D129" s="19" t="s">
        <v>9</v>
      </c>
      <c r="E129" s="4">
        <v>0.65</v>
      </c>
      <c r="F129" s="42">
        <v>2.4</v>
      </c>
      <c r="G129" s="45">
        <v>250</v>
      </c>
      <c r="H129" s="22">
        <v>2.4</v>
      </c>
      <c r="I129" s="6">
        <f t="shared" si="2"/>
        <v>936</v>
      </c>
      <c r="J129" s="7" t="s">
        <v>88</v>
      </c>
      <c r="K129">
        <f t="shared" si="3"/>
        <v>50.543999999999997</v>
      </c>
    </row>
    <row r="130" spans="1:11" ht="13.95" customHeight="1" x14ac:dyDescent="0.3">
      <c r="A130" s="20">
        <v>45805</v>
      </c>
      <c r="B130" s="20" t="s">
        <v>3317</v>
      </c>
      <c r="C130" s="19" t="s">
        <v>5</v>
      </c>
      <c r="D130" s="19" t="s">
        <v>9</v>
      </c>
      <c r="E130" s="4">
        <v>0.7</v>
      </c>
      <c r="F130" s="42">
        <v>2.4500000000000002</v>
      </c>
      <c r="G130" s="45">
        <v>250</v>
      </c>
      <c r="H130" s="22">
        <v>2.4</v>
      </c>
      <c r="I130" s="6">
        <f t="shared" si="2"/>
        <v>1029</v>
      </c>
      <c r="J130" s="7" t="s">
        <v>88</v>
      </c>
      <c r="K130">
        <f t="shared" si="3"/>
        <v>55.566000000000003</v>
      </c>
    </row>
    <row r="131" spans="1:11" ht="13.95" customHeight="1" x14ac:dyDescent="0.3">
      <c r="A131" s="20">
        <v>45806</v>
      </c>
      <c r="B131" s="20" t="s">
        <v>3317</v>
      </c>
      <c r="C131" s="19" t="s">
        <v>8</v>
      </c>
      <c r="D131" s="19" t="s">
        <v>2928</v>
      </c>
      <c r="E131" s="4">
        <v>0.8</v>
      </c>
      <c r="F131" s="42">
        <v>2.7</v>
      </c>
      <c r="G131" s="45">
        <v>250</v>
      </c>
      <c r="H131" s="22">
        <v>2.4</v>
      </c>
      <c r="I131" s="6">
        <f t="shared" ref="I131:I194" si="4">(G131*E131)*F131*H131</f>
        <v>1296</v>
      </c>
      <c r="J131" s="7" t="s">
        <v>3282</v>
      </c>
      <c r="K131">
        <f t="shared" ref="K131:K194" si="5">I131*0.054</f>
        <v>69.983999999999995</v>
      </c>
    </row>
    <row r="132" spans="1:11" ht="13.95" customHeight="1" x14ac:dyDescent="0.3">
      <c r="A132" s="20">
        <v>45807</v>
      </c>
      <c r="B132" s="20" t="s">
        <v>3317</v>
      </c>
      <c r="C132" s="19" t="s">
        <v>11</v>
      </c>
      <c r="D132" s="19" t="s">
        <v>14</v>
      </c>
      <c r="E132" s="4">
        <v>0.9</v>
      </c>
      <c r="F132" s="42">
        <v>3.25</v>
      </c>
      <c r="G132" s="45">
        <v>250</v>
      </c>
      <c r="H132" s="22">
        <v>2.4</v>
      </c>
      <c r="I132" s="6">
        <f t="shared" si="4"/>
        <v>1755</v>
      </c>
      <c r="J132" s="7" t="s">
        <v>3283</v>
      </c>
      <c r="K132">
        <f t="shared" si="5"/>
        <v>94.77</v>
      </c>
    </row>
    <row r="133" spans="1:11" ht="13.95" customHeight="1" x14ac:dyDescent="0.3">
      <c r="A133" s="20">
        <v>45808</v>
      </c>
      <c r="B133" s="20" t="s">
        <v>3317</v>
      </c>
      <c r="C133" s="19" t="s">
        <v>13</v>
      </c>
      <c r="D133" s="19" t="s">
        <v>3130</v>
      </c>
      <c r="E133" s="4">
        <v>1</v>
      </c>
      <c r="F133" s="42">
        <v>3.9</v>
      </c>
      <c r="G133" s="45">
        <v>250</v>
      </c>
      <c r="H133" s="22">
        <v>2.4</v>
      </c>
      <c r="I133" s="6">
        <f t="shared" si="4"/>
        <v>2340</v>
      </c>
      <c r="J133" s="7" t="s">
        <v>948</v>
      </c>
      <c r="K133">
        <f t="shared" si="5"/>
        <v>126.36</v>
      </c>
    </row>
    <row r="134" spans="1:11" ht="13.95" customHeight="1" x14ac:dyDescent="0.3">
      <c r="A134" s="20">
        <v>45809</v>
      </c>
      <c r="B134" s="20" t="s">
        <v>3317</v>
      </c>
      <c r="C134" s="19" t="s">
        <v>16</v>
      </c>
      <c r="D134" s="19" t="s">
        <v>3098</v>
      </c>
      <c r="E134" s="4">
        <v>0.9</v>
      </c>
      <c r="F134" s="42">
        <v>3.3</v>
      </c>
      <c r="G134" s="45">
        <v>250</v>
      </c>
      <c r="H134" s="22">
        <v>2.5</v>
      </c>
      <c r="I134" s="6">
        <f t="shared" si="4"/>
        <v>1856.25</v>
      </c>
      <c r="J134" s="7" t="s">
        <v>3065</v>
      </c>
      <c r="K134">
        <f t="shared" si="5"/>
        <v>100.2375</v>
      </c>
    </row>
    <row r="135" spans="1:11" ht="13.95" customHeight="1" x14ac:dyDescent="0.3">
      <c r="A135" s="20">
        <v>45810</v>
      </c>
      <c r="B135" s="20" t="s">
        <v>3317</v>
      </c>
      <c r="C135" s="19" t="s">
        <v>18</v>
      </c>
      <c r="D135" s="19" t="s">
        <v>9</v>
      </c>
      <c r="E135" s="4">
        <v>0.7</v>
      </c>
      <c r="F135" s="42">
        <v>2.4</v>
      </c>
      <c r="G135" s="45">
        <v>250</v>
      </c>
      <c r="H135" s="22">
        <v>2.5</v>
      </c>
      <c r="I135" s="6">
        <f t="shared" si="4"/>
        <v>1050</v>
      </c>
      <c r="J135" s="7" t="s">
        <v>2526</v>
      </c>
      <c r="K135">
        <f t="shared" si="5"/>
        <v>56.7</v>
      </c>
    </row>
    <row r="136" spans="1:11" ht="13.95" customHeight="1" x14ac:dyDescent="0.3">
      <c r="A136" s="20">
        <v>45811</v>
      </c>
      <c r="B136" s="20" t="s">
        <v>3317</v>
      </c>
      <c r="C136" s="19" t="s">
        <v>20</v>
      </c>
      <c r="D136" s="19" t="s">
        <v>9</v>
      </c>
      <c r="E136" s="4">
        <v>0.7</v>
      </c>
      <c r="F136" s="42">
        <v>2.4</v>
      </c>
      <c r="G136" s="45">
        <v>250</v>
      </c>
      <c r="H136" s="22">
        <v>2.5</v>
      </c>
      <c r="I136" s="6">
        <f t="shared" si="4"/>
        <v>1050</v>
      </c>
      <c r="J136" s="7" t="s">
        <v>88</v>
      </c>
      <c r="K136">
        <f t="shared" si="5"/>
        <v>56.7</v>
      </c>
    </row>
    <row r="137" spans="1:11" ht="13.95" customHeight="1" x14ac:dyDescent="0.3">
      <c r="A137" s="20">
        <v>45812</v>
      </c>
      <c r="B137" s="20" t="s">
        <v>3317</v>
      </c>
      <c r="C137" s="19" t="s">
        <v>5</v>
      </c>
      <c r="D137" s="19" t="s">
        <v>9</v>
      </c>
      <c r="E137" s="4">
        <v>0.75</v>
      </c>
      <c r="F137" s="42">
        <v>2.4500000000000002</v>
      </c>
      <c r="G137" s="45">
        <v>250</v>
      </c>
      <c r="H137" s="22">
        <v>2.5</v>
      </c>
      <c r="I137" s="6">
        <f t="shared" si="4"/>
        <v>1148.4375000000002</v>
      </c>
      <c r="J137" s="7" t="s">
        <v>1368</v>
      </c>
      <c r="K137">
        <f t="shared" si="5"/>
        <v>62.015625000000014</v>
      </c>
    </row>
    <row r="138" spans="1:11" ht="13.95" customHeight="1" x14ac:dyDescent="0.3">
      <c r="A138" s="20">
        <v>45813</v>
      </c>
      <c r="B138" s="20" t="s">
        <v>3317</v>
      </c>
      <c r="C138" s="19" t="s">
        <v>8</v>
      </c>
      <c r="D138" s="19" t="s">
        <v>9</v>
      </c>
      <c r="E138" s="4">
        <v>0.75</v>
      </c>
      <c r="F138" s="42">
        <v>2.5</v>
      </c>
      <c r="G138" s="45">
        <v>250</v>
      </c>
      <c r="H138" s="22">
        <v>2.5</v>
      </c>
      <c r="I138" s="6">
        <f t="shared" si="4"/>
        <v>1171.875</v>
      </c>
      <c r="J138" s="7" t="s">
        <v>82</v>
      </c>
      <c r="K138">
        <f t="shared" si="5"/>
        <v>63.28125</v>
      </c>
    </row>
    <row r="139" spans="1:11" ht="13.95" customHeight="1" x14ac:dyDescent="0.3">
      <c r="A139" s="20">
        <v>45814</v>
      </c>
      <c r="B139" s="20" t="s">
        <v>3317</v>
      </c>
      <c r="C139" s="19" t="s">
        <v>11</v>
      </c>
      <c r="D139" s="19" t="s">
        <v>3284</v>
      </c>
      <c r="E139" s="4">
        <v>1</v>
      </c>
      <c r="F139" s="42">
        <v>4.2</v>
      </c>
      <c r="G139" s="45">
        <v>250</v>
      </c>
      <c r="H139" s="22">
        <v>2.5</v>
      </c>
      <c r="I139" s="6">
        <f t="shared" si="4"/>
        <v>2625</v>
      </c>
      <c r="J139" s="7" t="s">
        <v>2230</v>
      </c>
      <c r="K139">
        <f t="shared" si="5"/>
        <v>141.75</v>
      </c>
    </row>
    <row r="140" spans="1:11" ht="13.95" customHeight="1" x14ac:dyDescent="0.3">
      <c r="A140" s="20">
        <v>45815</v>
      </c>
      <c r="B140" s="20" t="s">
        <v>3317</v>
      </c>
      <c r="C140" s="19" t="s">
        <v>13</v>
      </c>
      <c r="D140" s="19" t="s">
        <v>3285</v>
      </c>
      <c r="E140" s="4">
        <v>1</v>
      </c>
      <c r="F140" s="42">
        <v>4.5</v>
      </c>
      <c r="G140" s="45">
        <v>250</v>
      </c>
      <c r="H140" s="22">
        <v>2.5</v>
      </c>
      <c r="I140" s="6">
        <f t="shared" si="4"/>
        <v>2812.5</v>
      </c>
      <c r="J140" s="7" t="s">
        <v>1217</v>
      </c>
      <c r="K140">
        <f t="shared" si="5"/>
        <v>151.875</v>
      </c>
    </row>
    <row r="141" spans="1:11" ht="13.95" customHeight="1" x14ac:dyDescent="0.3">
      <c r="A141" s="20">
        <v>45816</v>
      </c>
      <c r="B141" s="20" t="s">
        <v>3317</v>
      </c>
      <c r="C141" s="19" t="s">
        <v>16</v>
      </c>
      <c r="D141" s="19" t="s">
        <v>3286</v>
      </c>
      <c r="E141" s="4">
        <v>1</v>
      </c>
      <c r="F141" s="42">
        <v>4</v>
      </c>
      <c r="G141" s="45">
        <v>250</v>
      </c>
      <c r="H141" s="22">
        <v>2.5</v>
      </c>
      <c r="I141" s="6">
        <f t="shared" si="4"/>
        <v>2500</v>
      </c>
      <c r="J141" s="7" t="s">
        <v>3287</v>
      </c>
      <c r="K141">
        <f t="shared" si="5"/>
        <v>135</v>
      </c>
    </row>
    <row r="142" spans="1:11" ht="13.95" customHeight="1" x14ac:dyDescent="0.3">
      <c r="A142" s="20">
        <v>45817</v>
      </c>
      <c r="B142" s="20" t="s">
        <v>3317</v>
      </c>
      <c r="C142" s="19" t="s">
        <v>18</v>
      </c>
      <c r="D142" s="19" t="s">
        <v>1314</v>
      </c>
      <c r="E142" s="4">
        <v>0.85</v>
      </c>
      <c r="F142" s="42">
        <v>2.8</v>
      </c>
      <c r="G142" s="45">
        <v>250</v>
      </c>
      <c r="H142" s="22">
        <v>2.5</v>
      </c>
      <c r="I142" s="6">
        <f t="shared" si="4"/>
        <v>1487.5</v>
      </c>
      <c r="J142" s="7" t="s">
        <v>3288</v>
      </c>
      <c r="K142">
        <f t="shared" si="5"/>
        <v>80.325000000000003</v>
      </c>
    </row>
    <row r="143" spans="1:11" ht="13.95" customHeight="1" x14ac:dyDescent="0.3">
      <c r="A143" s="20">
        <v>45818</v>
      </c>
      <c r="B143" s="20" t="s">
        <v>3317</v>
      </c>
      <c r="C143" s="19" t="s">
        <v>20</v>
      </c>
      <c r="D143" s="19" t="s">
        <v>9</v>
      </c>
      <c r="E143" s="4">
        <v>0.75</v>
      </c>
      <c r="F143" s="42">
        <v>2.5</v>
      </c>
      <c r="G143" s="45">
        <v>250</v>
      </c>
      <c r="H143" s="22">
        <v>2.5</v>
      </c>
      <c r="I143" s="6">
        <f t="shared" si="4"/>
        <v>1171.875</v>
      </c>
      <c r="J143" s="7" t="s">
        <v>88</v>
      </c>
      <c r="K143">
        <f t="shared" si="5"/>
        <v>63.28125</v>
      </c>
    </row>
    <row r="144" spans="1:11" ht="13.95" customHeight="1" x14ac:dyDescent="0.3">
      <c r="A144" s="20">
        <v>45819</v>
      </c>
      <c r="B144" s="20" t="s">
        <v>3317</v>
      </c>
      <c r="C144" s="19" t="s">
        <v>5</v>
      </c>
      <c r="D144" s="19" t="s">
        <v>9</v>
      </c>
      <c r="E144" s="4">
        <v>0.75</v>
      </c>
      <c r="F144" s="42">
        <v>2.5</v>
      </c>
      <c r="G144" s="45">
        <v>250</v>
      </c>
      <c r="H144" s="22">
        <v>2.5</v>
      </c>
      <c r="I144" s="6">
        <f t="shared" si="4"/>
        <v>1171.875</v>
      </c>
      <c r="J144" s="7" t="s">
        <v>88</v>
      </c>
      <c r="K144">
        <f t="shared" si="5"/>
        <v>63.28125</v>
      </c>
    </row>
    <row r="145" spans="1:11" ht="13.95" customHeight="1" x14ac:dyDescent="0.3">
      <c r="A145" s="20">
        <v>45820</v>
      </c>
      <c r="B145" s="20" t="s">
        <v>3317</v>
      </c>
      <c r="C145" s="19" t="s">
        <v>8</v>
      </c>
      <c r="D145" s="19" t="s">
        <v>9</v>
      </c>
      <c r="E145" s="4">
        <v>0.8</v>
      </c>
      <c r="F145" s="42">
        <v>2.6</v>
      </c>
      <c r="G145" s="45">
        <v>250</v>
      </c>
      <c r="H145" s="22">
        <v>2.5</v>
      </c>
      <c r="I145" s="6">
        <f t="shared" si="4"/>
        <v>1300</v>
      </c>
      <c r="J145" s="7" t="s">
        <v>1838</v>
      </c>
      <c r="K145">
        <f t="shared" si="5"/>
        <v>70.2</v>
      </c>
    </row>
    <row r="146" spans="1:11" ht="13.95" customHeight="1" x14ac:dyDescent="0.3">
      <c r="A146" s="20">
        <v>45821</v>
      </c>
      <c r="B146" s="20" t="s">
        <v>3317</v>
      </c>
      <c r="C146" s="19" t="s">
        <v>11</v>
      </c>
      <c r="D146" s="19" t="s">
        <v>829</v>
      </c>
      <c r="E146" s="4">
        <v>0.9</v>
      </c>
      <c r="F146" s="42">
        <v>3.3</v>
      </c>
      <c r="G146" s="45">
        <v>250</v>
      </c>
      <c r="H146" s="22">
        <v>2.5</v>
      </c>
      <c r="I146" s="6">
        <f t="shared" si="4"/>
        <v>1856.25</v>
      </c>
      <c r="J146" s="7" t="s">
        <v>3289</v>
      </c>
      <c r="K146">
        <f t="shared" si="5"/>
        <v>100.2375</v>
      </c>
    </row>
    <row r="147" spans="1:11" ht="13.95" customHeight="1" x14ac:dyDescent="0.3">
      <c r="A147" s="20">
        <v>45822</v>
      </c>
      <c r="B147" s="20" t="s">
        <v>3317</v>
      </c>
      <c r="C147" s="19" t="s">
        <v>13</v>
      </c>
      <c r="D147" s="19" t="s">
        <v>3091</v>
      </c>
      <c r="E147" s="4">
        <v>1</v>
      </c>
      <c r="F147" s="42">
        <v>4.3</v>
      </c>
      <c r="G147" s="45">
        <v>250</v>
      </c>
      <c r="H147" s="22">
        <v>2.5</v>
      </c>
      <c r="I147" s="6">
        <f t="shared" si="4"/>
        <v>2687.5</v>
      </c>
      <c r="J147" s="7" t="s">
        <v>1811</v>
      </c>
      <c r="K147">
        <f t="shared" si="5"/>
        <v>145.125</v>
      </c>
    </row>
    <row r="148" spans="1:11" ht="13.95" customHeight="1" x14ac:dyDescent="0.3">
      <c r="A148" s="20">
        <v>45823</v>
      </c>
      <c r="B148" s="20" t="s">
        <v>3317</v>
      </c>
      <c r="C148" s="19" t="s">
        <v>16</v>
      </c>
      <c r="D148" s="19" t="s">
        <v>3093</v>
      </c>
      <c r="E148" s="4">
        <v>0.95</v>
      </c>
      <c r="F148" s="42">
        <v>3.7</v>
      </c>
      <c r="G148" s="45">
        <v>250</v>
      </c>
      <c r="H148" s="22">
        <v>2.5</v>
      </c>
      <c r="I148" s="6">
        <f t="shared" si="4"/>
        <v>2196.875</v>
      </c>
      <c r="J148" s="7" t="s">
        <v>3216</v>
      </c>
      <c r="K148">
        <f t="shared" si="5"/>
        <v>118.63124999999999</v>
      </c>
    </row>
    <row r="149" spans="1:11" ht="13.95" customHeight="1" x14ac:dyDescent="0.3">
      <c r="A149" s="20">
        <v>45824</v>
      </c>
      <c r="B149" s="20" t="s">
        <v>3317</v>
      </c>
      <c r="C149" s="19" t="s">
        <v>18</v>
      </c>
      <c r="D149" s="19" t="s">
        <v>9</v>
      </c>
      <c r="E149" s="4">
        <v>0.8</v>
      </c>
      <c r="F149" s="42">
        <v>2.6</v>
      </c>
      <c r="G149" s="45">
        <v>250</v>
      </c>
      <c r="H149" s="22">
        <v>2.5</v>
      </c>
      <c r="I149" s="6">
        <f t="shared" si="4"/>
        <v>1300</v>
      </c>
      <c r="J149" s="7" t="s">
        <v>88</v>
      </c>
      <c r="K149">
        <f t="shared" si="5"/>
        <v>70.2</v>
      </c>
    </row>
    <row r="150" spans="1:11" ht="13.95" customHeight="1" x14ac:dyDescent="0.3">
      <c r="A150" s="20">
        <v>45825</v>
      </c>
      <c r="B150" s="20" t="s">
        <v>3317</v>
      </c>
      <c r="C150" s="19" t="s">
        <v>20</v>
      </c>
      <c r="D150" s="19" t="s">
        <v>9</v>
      </c>
      <c r="E150" s="4">
        <v>0.8</v>
      </c>
      <c r="F150" s="42">
        <v>2.6</v>
      </c>
      <c r="G150" s="45">
        <v>250</v>
      </c>
      <c r="H150" s="22">
        <v>2.5</v>
      </c>
      <c r="I150" s="6">
        <f t="shared" si="4"/>
        <v>1300</v>
      </c>
      <c r="J150" s="7" t="s">
        <v>88</v>
      </c>
      <c r="K150">
        <f t="shared" si="5"/>
        <v>70.2</v>
      </c>
    </row>
    <row r="151" spans="1:11" ht="13.95" customHeight="1" x14ac:dyDescent="0.3">
      <c r="A151" s="20">
        <v>45826</v>
      </c>
      <c r="B151" s="20" t="s">
        <v>3317</v>
      </c>
      <c r="C151" s="19" t="s">
        <v>5</v>
      </c>
      <c r="D151" s="19" t="s">
        <v>9</v>
      </c>
      <c r="E151" s="4">
        <v>0.85</v>
      </c>
      <c r="F151" s="42">
        <v>2.7</v>
      </c>
      <c r="G151" s="45">
        <v>250</v>
      </c>
      <c r="H151" s="22">
        <v>2.5</v>
      </c>
      <c r="I151" s="6">
        <f t="shared" si="4"/>
        <v>1434.375</v>
      </c>
      <c r="J151" s="7" t="s">
        <v>3129</v>
      </c>
      <c r="K151">
        <f t="shared" si="5"/>
        <v>77.456249999999997</v>
      </c>
    </row>
    <row r="152" spans="1:11" ht="13.95" customHeight="1" x14ac:dyDescent="0.3">
      <c r="A152" s="20">
        <v>45827</v>
      </c>
      <c r="B152" s="20" t="s">
        <v>3317</v>
      </c>
      <c r="C152" s="19" t="s">
        <v>8</v>
      </c>
      <c r="D152" s="19" t="s">
        <v>9</v>
      </c>
      <c r="E152" s="4">
        <v>0.85</v>
      </c>
      <c r="F152" s="42">
        <v>2.75</v>
      </c>
      <c r="G152" s="45">
        <v>250</v>
      </c>
      <c r="H152" s="22">
        <v>2.5</v>
      </c>
      <c r="I152" s="6">
        <f t="shared" si="4"/>
        <v>1460.9375</v>
      </c>
      <c r="J152" s="7" t="s">
        <v>88</v>
      </c>
      <c r="K152">
        <f t="shared" si="5"/>
        <v>78.890625</v>
      </c>
    </row>
    <row r="153" spans="1:11" ht="13.95" customHeight="1" x14ac:dyDescent="0.3">
      <c r="A153" s="20">
        <v>45828</v>
      </c>
      <c r="B153" s="20" t="s">
        <v>3317</v>
      </c>
      <c r="C153" s="19" t="s">
        <v>11</v>
      </c>
      <c r="D153" s="19" t="s">
        <v>829</v>
      </c>
      <c r="E153" s="4">
        <v>0.95</v>
      </c>
      <c r="F153" s="42">
        <v>3.5</v>
      </c>
      <c r="G153" s="45">
        <v>250</v>
      </c>
      <c r="H153" s="22">
        <v>2.5</v>
      </c>
      <c r="I153" s="6">
        <f t="shared" si="4"/>
        <v>2078.125</v>
      </c>
      <c r="J153" s="7" t="s">
        <v>3290</v>
      </c>
      <c r="K153">
        <f t="shared" si="5"/>
        <v>112.21875</v>
      </c>
    </row>
    <row r="154" spans="1:11" ht="13.95" customHeight="1" x14ac:dyDescent="0.3">
      <c r="A154" s="20">
        <v>45829</v>
      </c>
      <c r="B154" s="20" t="s">
        <v>3317</v>
      </c>
      <c r="C154" s="19" t="s">
        <v>13</v>
      </c>
      <c r="D154" s="19" t="s">
        <v>3274</v>
      </c>
      <c r="E154" s="4">
        <v>1</v>
      </c>
      <c r="F154" s="42">
        <v>4.4000000000000004</v>
      </c>
      <c r="G154" s="45">
        <v>250</v>
      </c>
      <c r="H154" s="22">
        <v>2.5</v>
      </c>
      <c r="I154" s="6">
        <f t="shared" si="4"/>
        <v>2750</v>
      </c>
      <c r="J154" s="7" t="s">
        <v>3291</v>
      </c>
      <c r="K154">
        <f t="shared" si="5"/>
        <v>148.5</v>
      </c>
    </row>
    <row r="155" spans="1:11" ht="13.95" customHeight="1" x14ac:dyDescent="0.3">
      <c r="A155" s="20">
        <v>45830</v>
      </c>
      <c r="B155" s="20" t="s">
        <v>3317</v>
      </c>
      <c r="C155" s="19" t="s">
        <v>16</v>
      </c>
      <c r="D155" s="19" t="s">
        <v>3098</v>
      </c>
      <c r="E155" s="4">
        <v>0.95</v>
      </c>
      <c r="F155" s="42">
        <v>3.8</v>
      </c>
      <c r="G155" s="45">
        <v>250</v>
      </c>
      <c r="H155" s="22">
        <v>2.5</v>
      </c>
      <c r="I155" s="6">
        <f t="shared" si="4"/>
        <v>2256.25</v>
      </c>
      <c r="J155" s="7" t="s">
        <v>3113</v>
      </c>
      <c r="K155">
        <f t="shared" si="5"/>
        <v>121.83750000000001</v>
      </c>
    </row>
    <row r="156" spans="1:11" ht="13.95" customHeight="1" x14ac:dyDescent="0.3">
      <c r="A156" s="20">
        <v>45831</v>
      </c>
      <c r="B156" s="20" t="s">
        <v>3317</v>
      </c>
      <c r="C156" s="19" t="s">
        <v>18</v>
      </c>
      <c r="D156" s="19" t="s">
        <v>9</v>
      </c>
      <c r="E156" s="4">
        <v>0.85</v>
      </c>
      <c r="F156" s="42">
        <v>2.7</v>
      </c>
      <c r="G156" s="45">
        <v>250</v>
      </c>
      <c r="H156" s="22">
        <v>2.5</v>
      </c>
      <c r="I156" s="6">
        <f t="shared" si="4"/>
        <v>1434.375</v>
      </c>
      <c r="J156" s="7" t="s">
        <v>88</v>
      </c>
      <c r="K156">
        <f t="shared" si="5"/>
        <v>77.456249999999997</v>
      </c>
    </row>
    <row r="157" spans="1:11" ht="13.95" customHeight="1" x14ac:dyDescent="0.3">
      <c r="A157" s="20">
        <v>45832</v>
      </c>
      <c r="B157" s="20" t="s">
        <v>3317</v>
      </c>
      <c r="C157" s="19" t="s">
        <v>20</v>
      </c>
      <c r="D157" s="19" t="s">
        <v>9</v>
      </c>
      <c r="E157" s="4">
        <v>0.85</v>
      </c>
      <c r="F157" s="42">
        <v>2.7</v>
      </c>
      <c r="G157" s="45">
        <v>250</v>
      </c>
      <c r="H157" s="22">
        <v>2.5</v>
      </c>
      <c r="I157" s="6">
        <f t="shared" si="4"/>
        <v>1434.375</v>
      </c>
      <c r="J157" s="7" t="s">
        <v>88</v>
      </c>
      <c r="K157">
        <f t="shared" si="5"/>
        <v>77.456249999999997</v>
      </c>
    </row>
    <row r="158" spans="1:11" ht="13.95" customHeight="1" x14ac:dyDescent="0.3">
      <c r="A158" s="20">
        <v>45833</v>
      </c>
      <c r="B158" s="20" t="s">
        <v>3317</v>
      </c>
      <c r="C158" s="19" t="s">
        <v>5</v>
      </c>
      <c r="D158" s="19" t="s">
        <v>9</v>
      </c>
      <c r="E158" s="4">
        <v>0.9</v>
      </c>
      <c r="F158" s="42">
        <v>2.8</v>
      </c>
      <c r="G158" s="45">
        <v>250</v>
      </c>
      <c r="H158" s="22">
        <v>2.5</v>
      </c>
      <c r="I158" s="6">
        <f t="shared" si="4"/>
        <v>1575</v>
      </c>
      <c r="J158" s="7" t="s">
        <v>88</v>
      </c>
      <c r="K158">
        <f t="shared" si="5"/>
        <v>85.05</v>
      </c>
    </row>
    <row r="159" spans="1:11" ht="13.95" customHeight="1" x14ac:dyDescent="0.3">
      <c r="A159" s="20">
        <v>45834</v>
      </c>
      <c r="B159" s="20" t="s">
        <v>3317</v>
      </c>
      <c r="C159" s="19" t="s">
        <v>8</v>
      </c>
      <c r="D159" s="19" t="s">
        <v>9</v>
      </c>
      <c r="E159" s="4">
        <v>0.9</v>
      </c>
      <c r="F159" s="42">
        <v>2.85</v>
      </c>
      <c r="G159" s="45">
        <v>250</v>
      </c>
      <c r="H159" s="22">
        <v>2.5</v>
      </c>
      <c r="I159" s="6">
        <f t="shared" si="4"/>
        <v>1603.125</v>
      </c>
      <c r="J159" s="7" t="s">
        <v>3292</v>
      </c>
      <c r="K159">
        <f t="shared" si="5"/>
        <v>86.568749999999994</v>
      </c>
    </row>
    <row r="160" spans="1:11" ht="13.95" customHeight="1" x14ac:dyDescent="0.3">
      <c r="A160" s="20">
        <v>45835</v>
      </c>
      <c r="B160" s="20" t="s">
        <v>3317</v>
      </c>
      <c r="C160" s="19" t="s">
        <v>11</v>
      </c>
      <c r="D160" s="19" t="s">
        <v>829</v>
      </c>
      <c r="E160" s="4">
        <v>1</v>
      </c>
      <c r="F160" s="42">
        <v>3.7</v>
      </c>
      <c r="G160" s="45">
        <v>250</v>
      </c>
      <c r="H160" s="22">
        <v>2.5</v>
      </c>
      <c r="I160" s="6">
        <f t="shared" si="4"/>
        <v>2312.5</v>
      </c>
      <c r="J160" s="7" t="s">
        <v>2654</v>
      </c>
      <c r="K160">
        <f t="shared" si="5"/>
        <v>124.875</v>
      </c>
    </row>
    <row r="161" spans="1:11" ht="13.95" customHeight="1" x14ac:dyDescent="0.3">
      <c r="A161" s="20">
        <v>45836</v>
      </c>
      <c r="B161" s="20" t="s">
        <v>3317</v>
      </c>
      <c r="C161" s="19" t="s">
        <v>13</v>
      </c>
      <c r="D161" s="19" t="s">
        <v>3293</v>
      </c>
      <c r="E161" s="4">
        <v>1</v>
      </c>
      <c r="F161" s="42">
        <v>4.5999999999999996</v>
      </c>
      <c r="G161" s="45">
        <v>250</v>
      </c>
      <c r="H161" s="22">
        <v>2.5</v>
      </c>
      <c r="I161" s="6">
        <f t="shared" si="4"/>
        <v>2875</v>
      </c>
      <c r="J161" s="7" t="s">
        <v>3294</v>
      </c>
      <c r="K161">
        <f t="shared" si="5"/>
        <v>155.25</v>
      </c>
    </row>
    <row r="162" spans="1:11" ht="13.95" customHeight="1" x14ac:dyDescent="0.3">
      <c r="A162" s="20">
        <v>45837</v>
      </c>
      <c r="B162" s="20" t="s">
        <v>3317</v>
      </c>
      <c r="C162" s="19" t="s">
        <v>16</v>
      </c>
      <c r="D162" s="19" t="s">
        <v>3093</v>
      </c>
      <c r="E162" s="4">
        <v>1</v>
      </c>
      <c r="F162" s="42">
        <v>4</v>
      </c>
      <c r="G162" s="45">
        <v>250</v>
      </c>
      <c r="H162" s="22">
        <v>2.5</v>
      </c>
      <c r="I162" s="6">
        <f t="shared" si="4"/>
        <v>2500</v>
      </c>
      <c r="J162" s="7" t="s">
        <v>3216</v>
      </c>
      <c r="K162">
        <f t="shared" si="5"/>
        <v>135</v>
      </c>
    </row>
    <row r="163" spans="1:11" ht="13.95" customHeight="1" x14ac:dyDescent="0.3">
      <c r="A163" s="20">
        <v>45838</v>
      </c>
      <c r="B163" s="20" t="s">
        <v>3317</v>
      </c>
      <c r="C163" s="19" t="s">
        <v>18</v>
      </c>
      <c r="D163" s="19" t="s">
        <v>9</v>
      </c>
      <c r="E163" s="4">
        <v>0.9</v>
      </c>
      <c r="F163" s="42">
        <v>2.9</v>
      </c>
      <c r="G163" s="45">
        <v>250</v>
      </c>
      <c r="H163" s="22">
        <v>2.5</v>
      </c>
      <c r="I163" s="6">
        <f t="shared" si="4"/>
        <v>1631.25</v>
      </c>
      <c r="J163" s="7" t="s">
        <v>2941</v>
      </c>
      <c r="K163">
        <f t="shared" si="5"/>
        <v>88.087500000000006</v>
      </c>
    </row>
    <row r="164" spans="1:11" ht="13.95" customHeight="1" x14ac:dyDescent="0.3">
      <c r="A164" s="20">
        <v>45839</v>
      </c>
      <c r="B164" s="20" t="s">
        <v>3317</v>
      </c>
      <c r="C164" s="19" t="s">
        <v>20</v>
      </c>
      <c r="D164" s="19" t="s">
        <v>1347</v>
      </c>
      <c r="E164" s="4">
        <v>0.85</v>
      </c>
      <c r="F164" s="42">
        <v>2.9</v>
      </c>
      <c r="G164" s="45">
        <v>250</v>
      </c>
      <c r="H164" s="22">
        <v>2.6</v>
      </c>
      <c r="I164" s="6">
        <f t="shared" si="4"/>
        <v>1602.25</v>
      </c>
      <c r="J164" s="7" t="s">
        <v>3238</v>
      </c>
      <c r="K164">
        <f t="shared" si="5"/>
        <v>86.521500000000003</v>
      </c>
    </row>
    <row r="165" spans="1:11" ht="13.95" customHeight="1" x14ac:dyDescent="0.3">
      <c r="A165" s="20">
        <v>45840</v>
      </c>
      <c r="B165" s="20" t="s">
        <v>3317</v>
      </c>
      <c r="C165" s="19" t="s">
        <v>5</v>
      </c>
      <c r="D165" s="19" t="s">
        <v>1347</v>
      </c>
      <c r="E165" s="4">
        <v>0.85</v>
      </c>
      <c r="F165" s="42">
        <v>2.9</v>
      </c>
      <c r="G165" s="45">
        <v>250</v>
      </c>
      <c r="H165" s="22">
        <v>2.6</v>
      </c>
      <c r="I165" s="6">
        <f t="shared" si="4"/>
        <v>1602.25</v>
      </c>
      <c r="J165" s="7" t="s">
        <v>2194</v>
      </c>
      <c r="K165">
        <f t="shared" si="5"/>
        <v>86.521500000000003</v>
      </c>
    </row>
    <row r="166" spans="1:11" ht="13.95" customHeight="1" x14ac:dyDescent="0.3">
      <c r="A166" s="20">
        <v>45841</v>
      </c>
      <c r="B166" s="20" t="s">
        <v>3317</v>
      </c>
      <c r="C166" s="19" t="s">
        <v>8</v>
      </c>
      <c r="D166" s="19" t="s">
        <v>1347</v>
      </c>
      <c r="E166" s="4">
        <v>0.9</v>
      </c>
      <c r="F166" s="42">
        <v>3</v>
      </c>
      <c r="G166" s="45">
        <v>250</v>
      </c>
      <c r="H166" s="22">
        <v>2.6</v>
      </c>
      <c r="I166" s="6">
        <f t="shared" si="4"/>
        <v>1755</v>
      </c>
      <c r="J166" s="7" t="s">
        <v>3080</v>
      </c>
      <c r="K166">
        <f t="shared" si="5"/>
        <v>94.77</v>
      </c>
    </row>
    <row r="167" spans="1:11" ht="13.95" customHeight="1" x14ac:dyDescent="0.3">
      <c r="A167" s="20">
        <v>45842</v>
      </c>
      <c r="B167" s="20" t="s">
        <v>3317</v>
      </c>
      <c r="C167" s="19" t="s">
        <v>11</v>
      </c>
      <c r="D167" s="19" t="s">
        <v>3239</v>
      </c>
      <c r="E167" s="4">
        <v>0.95</v>
      </c>
      <c r="F167" s="42">
        <v>3.8</v>
      </c>
      <c r="G167" s="45">
        <v>250</v>
      </c>
      <c r="H167" s="22">
        <v>2.6</v>
      </c>
      <c r="I167" s="6">
        <f t="shared" si="4"/>
        <v>2346.5</v>
      </c>
      <c r="J167" s="7" t="s">
        <v>3240</v>
      </c>
      <c r="K167">
        <f t="shared" si="5"/>
        <v>126.711</v>
      </c>
    </row>
    <row r="168" spans="1:11" ht="13.95" customHeight="1" x14ac:dyDescent="0.3">
      <c r="A168" s="20">
        <v>45843</v>
      </c>
      <c r="B168" s="20" t="s">
        <v>3317</v>
      </c>
      <c r="C168" s="19" t="s">
        <v>13</v>
      </c>
      <c r="D168" s="19" t="s">
        <v>3241</v>
      </c>
      <c r="E168" s="4">
        <v>1</v>
      </c>
      <c r="F168" s="42">
        <v>4.4000000000000004</v>
      </c>
      <c r="G168" s="45">
        <v>250</v>
      </c>
      <c r="H168" s="22">
        <v>2.6</v>
      </c>
      <c r="I168" s="6">
        <f t="shared" si="4"/>
        <v>2860</v>
      </c>
      <c r="J168" s="7" t="s">
        <v>3242</v>
      </c>
      <c r="K168">
        <f t="shared" si="5"/>
        <v>154.44</v>
      </c>
    </row>
    <row r="169" spans="1:11" ht="13.95" customHeight="1" x14ac:dyDescent="0.3">
      <c r="A169" s="20">
        <v>45844</v>
      </c>
      <c r="B169" s="20" t="s">
        <v>3317</v>
      </c>
      <c r="C169" s="19" t="s">
        <v>16</v>
      </c>
      <c r="D169" s="19" t="s">
        <v>3002</v>
      </c>
      <c r="E169" s="4">
        <v>1</v>
      </c>
      <c r="F169" s="42">
        <v>3.7</v>
      </c>
      <c r="G169" s="45">
        <v>250</v>
      </c>
      <c r="H169" s="22">
        <v>2.6</v>
      </c>
      <c r="I169" s="6">
        <f t="shared" si="4"/>
        <v>2405</v>
      </c>
      <c r="J169" s="7" t="s">
        <v>3243</v>
      </c>
      <c r="K169">
        <f t="shared" si="5"/>
        <v>129.87</v>
      </c>
    </row>
    <row r="170" spans="1:11" ht="13.95" customHeight="1" x14ac:dyDescent="0.3">
      <c r="A170" s="20">
        <v>45845</v>
      </c>
      <c r="B170" s="20" t="s">
        <v>3317</v>
      </c>
      <c r="C170" s="19" t="s">
        <v>18</v>
      </c>
      <c r="D170" s="19" t="s">
        <v>1347</v>
      </c>
      <c r="E170" s="4">
        <v>0.9</v>
      </c>
      <c r="F170" s="42">
        <v>2.95</v>
      </c>
      <c r="G170" s="45">
        <v>250</v>
      </c>
      <c r="H170" s="22">
        <v>2.6</v>
      </c>
      <c r="I170" s="6">
        <f t="shared" si="4"/>
        <v>1725.75</v>
      </c>
      <c r="J170" s="7" t="s">
        <v>3129</v>
      </c>
      <c r="K170">
        <f t="shared" si="5"/>
        <v>93.1905</v>
      </c>
    </row>
    <row r="171" spans="1:11" ht="13.95" customHeight="1" x14ac:dyDescent="0.3">
      <c r="A171" s="20">
        <v>45848</v>
      </c>
      <c r="B171" s="20" t="s">
        <v>3317</v>
      </c>
      <c r="C171" s="19" t="s">
        <v>8</v>
      </c>
      <c r="D171" s="19" t="s">
        <v>1347</v>
      </c>
      <c r="E171" s="4">
        <v>0.95</v>
      </c>
      <c r="F171" s="42">
        <v>3.1</v>
      </c>
      <c r="G171" s="45">
        <v>250</v>
      </c>
      <c r="H171" s="22">
        <v>2.6</v>
      </c>
      <c r="I171" s="6">
        <f t="shared" si="4"/>
        <v>1914.25</v>
      </c>
      <c r="J171" s="7" t="s">
        <v>82</v>
      </c>
      <c r="K171">
        <f t="shared" si="5"/>
        <v>103.3695</v>
      </c>
    </row>
    <row r="172" spans="1:11" ht="13.95" customHeight="1" x14ac:dyDescent="0.3">
      <c r="A172" s="20">
        <v>45850</v>
      </c>
      <c r="B172" s="20" t="s">
        <v>3317</v>
      </c>
      <c r="C172" s="19" t="s">
        <v>13</v>
      </c>
      <c r="D172" s="19" t="s">
        <v>3096</v>
      </c>
      <c r="E172" s="4">
        <v>1</v>
      </c>
      <c r="F172" s="42">
        <v>4.5</v>
      </c>
      <c r="G172" s="45">
        <v>250</v>
      </c>
      <c r="H172" s="22">
        <v>2.6</v>
      </c>
      <c r="I172" s="6">
        <f t="shared" si="4"/>
        <v>2925</v>
      </c>
      <c r="J172" s="7" t="s">
        <v>1217</v>
      </c>
      <c r="K172">
        <f t="shared" si="5"/>
        <v>157.94999999999999</v>
      </c>
    </row>
    <row r="173" spans="1:11" ht="13.95" customHeight="1" x14ac:dyDescent="0.3">
      <c r="A173" s="20">
        <v>45851</v>
      </c>
      <c r="B173" s="20" t="s">
        <v>3317</v>
      </c>
      <c r="C173" s="19" t="s">
        <v>16</v>
      </c>
      <c r="D173" s="19" t="s">
        <v>3098</v>
      </c>
      <c r="E173" s="4">
        <v>1</v>
      </c>
      <c r="F173" s="42">
        <v>3.8</v>
      </c>
      <c r="G173" s="45">
        <v>250</v>
      </c>
      <c r="H173" s="22">
        <v>2.6</v>
      </c>
      <c r="I173" s="6">
        <f t="shared" si="4"/>
        <v>2470</v>
      </c>
      <c r="J173" s="7" t="s">
        <v>3244</v>
      </c>
      <c r="K173">
        <f t="shared" si="5"/>
        <v>133.38</v>
      </c>
    </row>
    <row r="174" spans="1:11" ht="13.95" customHeight="1" x14ac:dyDescent="0.3">
      <c r="A174" s="20">
        <v>45853</v>
      </c>
      <c r="B174" s="20" t="s">
        <v>3317</v>
      </c>
      <c r="C174" s="19" t="s">
        <v>20</v>
      </c>
      <c r="D174" s="19" t="s">
        <v>1347</v>
      </c>
      <c r="E174" s="4">
        <v>0.9</v>
      </c>
      <c r="F174" s="42">
        <v>3</v>
      </c>
      <c r="G174" s="45">
        <v>250</v>
      </c>
      <c r="H174" s="22">
        <v>2.6</v>
      </c>
      <c r="I174" s="6">
        <f t="shared" si="4"/>
        <v>1755</v>
      </c>
      <c r="J174" s="7" t="s">
        <v>3245</v>
      </c>
      <c r="K174">
        <f t="shared" si="5"/>
        <v>94.77</v>
      </c>
    </row>
    <row r="175" spans="1:11" ht="13.95" customHeight="1" x14ac:dyDescent="0.3">
      <c r="A175" s="20">
        <v>45856</v>
      </c>
      <c r="B175" s="20" t="s">
        <v>3317</v>
      </c>
      <c r="C175" s="19" t="s">
        <v>11</v>
      </c>
      <c r="D175" s="19" t="s">
        <v>3239</v>
      </c>
      <c r="E175" s="4">
        <v>1</v>
      </c>
      <c r="F175" s="42">
        <v>3.9</v>
      </c>
      <c r="G175" s="45">
        <v>250</v>
      </c>
      <c r="H175" s="22">
        <v>2.6</v>
      </c>
      <c r="I175" s="6">
        <f t="shared" si="4"/>
        <v>2535</v>
      </c>
      <c r="J175" s="7" t="s">
        <v>2654</v>
      </c>
      <c r="K175">
        <f t="shared" si="5"/>
        <v>136.88999999999999</v>
      </c>
    </row>
    <row r="176" spans="1:11" ht="13.95" customHeight="1" x14ac:dyDescent="0.3">
      <c r="A176" s="20">
        <v>45857</v>
      </c>
      <c r="B176" s="20" t="s">
        <v>3317</v>
      </c>
      <c r="C176" s="19" t="s">
        <v>13</v>
      </c>
      <c r="D176" s="19" t="s">
        <v>3091</v>
      </c>
      <c r="E176" s="4">
        <v>1</v>
      </c>
      <c r="F176" s="42">
        <v>4.5</v>
      </c>
      <c r="G176" s="45">
        <v>250</v>
      </c>
      <c r="H176" s="22">
        <v>2.6</v>
      </c>
      <c r="I176" s="6">
        <f t="shared" si="4"/>
        <v>2925</v>
      </c>
      <c r="J176" s="7" t="s">
        <v>3246</v>
      </c>
      <c r="K176">
        <f t="shared" si="5"/>
        <v>157.94999999999999</v>
      </c>
    </row>
    <row r="177" spans="1:11" ht="13.95" customHeight="1" x14ac:dyDescent="0.3">
      <c r="A177" s="20">
        <v>45858</v>
      </c>
      <c r="B177" s="20" t="s">
        <v>3317</v>
      </c>
      <c r="C177" s="19" t="s">
        <v>16</v>
      </c>
      <c r="D177" s="19" t="s">
        <v>3098</v>
      </c>
      <c r="E177" s="4">
        <v>1</v>
      </c>
      <c r="F177" s="42">
        <v>3.9</v>
      </c>
      <c r="G177" s="45">
        <v>250</v>
      </c>
      <c r="H177" s="22">
        <v>2.6</v>
      </c>
      <c r="I177" s="6">
        <f t="shared" si="4"/>
        <v>2535</v>
      </c>
      <c r="J177" s="7" t="s">
        <v>139</v>
      </c>
      <c r="K177">
        <f t="shared" si="5"/>
        <v>136.88999999999999</v>
      </c>
    </row>
    <row r="178" spans="1:11" ht="13.95" customHeight="1" x14ac:dyDescent="0.3">
      <c r="A178" s="20">
        <v>45863</v>
      </c>
      <c r="B178" s="20" t="s">
        <v>3317</v>
      </c>
      <c r="C178" s="19" t="s">
        <v>11</v>
      </c>
      <c r="D178" s="19" t="s">
        <v>3247</v>
      </c>
      <c r="E178" s="4">
        <v>1</v>
      </c>
      <c r="F178" s="42">
        <v>4.3</v>
      </c>
      <c r="G178" s="45">
        <v>250</v>
      </c>
      <c r="H178" s="22">
        <v>2.6</v>
      </c>
      <c r="I178" s="6">
        <f t="shared" si="4"/>
        <v>2795</v>
      </c>
      <c r="J178" s="7" t="s">
        <v>3248</v>
      </c>
      <c r="K178">
        <f t="shared" si="5"/>
        <v>150.93</v>
      </c>
    </row>
    <row r="179" spans="1:11" ht="13.95" customHeight="1" x14ac:dyDescent="0.3">
      <c r="A179" s="20">
        <v>45864</v>
      </c>
      <c r="B179" s="20" t="s">
        <v>3317</v>
      </c>
      <c r="C179" s="19" t="s">
        <v>13</v>
      </c>
      <c r="D179" s="19" t="s">
        <v>3096</v>
      </c>
      <c r="E179" s="4">
        <v>1</v>
      </c>
      <c r="F179" s="42">
        <v>4.5999999999999996</v>
      </c>
      <c r="G179" s="45">
        <v>250</v>
      </c>
      <c r="H179" s="22">
        <v>2.6</v>
      </c>
      <c r="I179" s="6">
        <f t="shared" si="4"/>
        <v>2990</v>
      </c>
      <c r="J179" s="7" t="s">
        <v>3109</v>
      </c>
      <c r="K179">
        <f t="shared" si="5"/>
        <v>161.46</v>
      </c>
    </row>
    <row r="180" spans="1:11" ht="13.95" customHeight="1" x14ac:dyDescent="0.3">
      <c r="A180" s="20">
        <v>45865</v>
      </c>
      <c r="B180" s="20" t="s">
        <v>3317</v>
      </c>
      <c r="C180" s="19" t="s">
        <v>16</v>
      </c>
      <c r="D180" s="19" t="s">
        <v>3098</v>
      </c>
      <c r="E180" s="4">
        <v>1</v>
      </c>
      <c r="F180" s="42">
        <v>4</v>
      </c>
      <c r="G180" s="45">
        <v>250</v>
      </c>
      <c r="H180" s="22">
        <v>2.6</v>
      </c>
      <c r="I180" s="6">
        <f t="shared" si="4"/>
        <v>2600</v>
      </c>
      <c r="J180" s="7" t="s">
        <v>3249</v>
      </c>
      <c r="K180">
        <f t="shared" si="5"/>
        <v>140.4</v>
      </c>
    </row>
    <row r="181" spans="1:11" ht="13.95" customHeight="1" x14ac:dyDescent="0.3">
      <c r="A181" s="20">
        <v>45869</v>
      </c>
      <c r="B181" s="20" t="s">
        <v>3317</v>
      </c>
      <c r="C181" s="19" t="s">
        <v>8</v>
      </c>
      <c r="D181" s="19" t="s">
        <v>2783</v>
      </c>
      <c r="E181" s="4">
        <v>1</v>
      </c>
      <c r="F181" s="42">
        <v>3.4</v>
      </c>
      <c r="G181" s="45">
        <v>250</v>
      </c>
      <c r="H181" s="22">
        <v>2.6</v>
      </c>
      <c r="I181" s="6">
        <f t="shared" si="4"/>
        <v>2210</v>
      </c>
      <c r="J181" s="7" t="s">
        <v>3250</v>
      </c>
      <c r="K181">
        <f t="shared" si="5"/>
        <v>119.34</v>
      </c>
    </row>
    <row r="182" spans="1:11" ht="13.95" customHeight="1" x14ac:dyDescent="0.3">
      <c r="A182" s="20">
        <v>45870</v>
      </c>
      <c r="B182" s="20" t="s">
        <v>3317</v>
      </c>
      <c r="C182" s="19" t="s">
        <v>11</v>
      </c>
      <c r="D182" s="19" t="s">
        <v>829</v>
      </c>
      <c r="E182" s="4">
        <v>1</v>
      </c>
      <c r="F182" s="42">
        <v>4</v>
      </c>
      <c r="G182" s="45">
        <v>250</v>
      </c>
      <c r="H182" s="22">
        <v>2.7</v>
      </c>
      <c r="I182" s="6">
        <f t="shared" si="4"/>
        <v>2700</v>
      </c>
      <c r="J182" s="7" t="s">
        <v>3116</v>
      </c>
      <c r="K182">
        <f t="shared" si="5"/>
        <v>145.80000000000001</v>
      </c>
    </row>
    <row r="183" spans="1:11" ht="13.95" customHeight="1" x14ac:dyDescent="0.3">
      <c r="A183" s="20">
        <v>45871</v>
      </c>
      <c r="B183" s="20" t="s">
        <v>3317</v>
      </c>
      <c r="C183" s="19" t="s">
        <v>13</v>
      </c>
      <c r="D183" s="19" t="s">
        <v>3117</v>
      </c>
      <c r="E183" s="4">
        <v>1</v>
      </c>
      <c r="F183" s="42">
        <v>4.5999999999999996</v>
      </c>
      <c r="G183" s="45">
        <v>250</v>
      </c>
      <c r="H183" s="22">
        <v>2.7</v>
      </c>
      <c r="I183" s="6">
        <f t="shared" si="4"/>
        <v>3105</v>
      </c>
      <c r="J183" s="7" t="s">
        <v>3295</v>
      </c>
      <c r="K183">
        <f t="shared" si="5"/>
        <v>167.67</v>
      </c>
    </row>
    <row r="184" spans="1:11" ht="13.95" customHeight="1" x14ac:dyDescent="0.3">
      <c r="A184" s="20">
        <v>45872</v>
      </c>
      <c r="B184" s="20" t="s">
        <v>3317</v>
      </c>
      <c r="C184" s="19" t="s">
        <v>16</v>
      </c>
      <c r="D184" s="19" t="s">
        <v>3093</v>
      </c>
      <c r="E184" s="4">
        <v>1</v>
      </c>
      <c r="F184" s="42">
        <v>4.0999999999999996</v>
      </c>
      <c r="G184" s="45">
        <v>250</v>
      </c>
      <c r="H184" s="22">
        <v>2.7</v>
      </c>
      <c r="I184" s="6">
        <f t="shared" si="4"/>
        <v>2767.5</v>
      </c>
      <c r="J184" s="7" t="s">
        <v>3118</v>
      </c>
      <c r="K184">
        <f t="shared" si="5"/>
        <v>149.44499999999999</v>
      </c>
    </row>
    <row r="185" spans="1:11" ht="13.95" customHeight="1" x14ac:dyDescent="0.3">
      <c r="A185" s="20">
        <v>45873</v>
      </c>
      <c r="B185" s="20" t="s">
        <v>3317</v>
      </c>
      <c r="C185" s="19" t="s">
        <v>18</v>
      </c>
      <c r="D185" s="19" t="s">
        <v>1347</v>
      </c>
      <c r="E185" s="4">
        <v>1</v>
      </c>
      <c r="F185" s="42">
        <v>3.3</v>
      </c>
      <c r="G185" s="45">
        <v>250</v>
      </c>
      <c r="H185" s="22">
        <v>2.7</v>
      </c>
      <c r="I185" s="6">
        <f t="shared" si="4"/>
        <v>2227.5</v>
      </c>
      <c r="J185" s="7" t="s">
        <v>3296</v>
      </c>
      <c r="K185">
        <f t="shared" si="5"/>
        <v>120.285</v>
      </c>
    </row>
    <row r="186" spans="1:11" ht="13.95" customHeight="1" x14ac:dyDescent="0.3">
      <c r="A186" s="20">
        <v>45874</v>
      </c>
      <c r="B186" s="20" t="s">
        <v>3317</v>
      </c>
      <c r="C186" s="19" t="s">
        <v>20</v>
      </c>
      <c r="D186" s="19" t="s">
        <v>1347</v>
      </c>
      <c r="E186" s="4">
        <v>1</v>
      </c>
      <c r="F186" s="42">
        <v>3.3</v>
      </c>
      <c r="G186" s="45">
        <v>250</v>
      </c>
      <c r="H186" s="22">
        <v>2.7</v>
      </c>
      <c r="I186" s="6">
        <f t="shared" si="4"/>
        <v>2227.5</v>
      </c>
      <c r="J186" s="7" t="s">
        <v>3119</v>
      </c>
      <c r="K186">
        <f t="shared" si="5"/>
        <v>120.285</v>
      </c>
    </row>
    <row r="187" spans="1:11" ht="13.95" customHeight="1" x14ac:dyDescent="0.3">
      <c r="A187" s="20">
        <v>45875</v>
      </c>
      <c r="B187" s="20" t="s">
        <v>3317</v>
      </c>
      <c r="C187" s="19" t="s">
        <v>5</v>
      </c>
      <c r="D187" s="19" t="s">
        <v>1347</v>
      </c>
      <c r="E187" s="4">
        <v>1</v>
      </c>
      <c r="F187" s="42">
        <v>3.4</v>
      </c>
      <c r="G187" s="45">
        <v>250</v>
      </c>
      <c r="H187" s="22">
        <v>2.7</v>
      </c>
      <c r="I187" s="6">
        <f t="shared" si="4"/>
        <v>2295</v>
      </c>
      <c r="J187" s="7" t="s">
        <v>3120</v>
      </c>
      <c r="K187">
        <f t="shared" si="5"/>
        <v>123.92999999999999</v>
      </c>
    </row>
    <row r="188" spans="1:11" ht="13.95" customHeight="1" x14ac:dyDescent="0.3">
      <c r="A188" s="20">
        <v>45876</v>
      </c>
      <c r="B188" s="20" t="s">
        <v>3317</v>
      </c>
      <c r="C188" s="19" t="s">
        <v>8</v>
      </c>
      <c r="D188" s="19" t="s">
        <v>1347</v>
      </c>
      <c r="E188" s="4">
        <v>1</v>
      </c>
      <c r="F188" s="42">
        <v>3.5</v>
      </c>
      <c r="G188" s="45">
        <v>250</v>
      </c>
      <c r="H188" s="22">
        <v>2.7</v>
      </c>
      <c r="I188" s="6">
        <f t="shared" si="4"/>
        <v>2362.5</v>
      </c>
      <c r="J188" s="7" t="s">
        <v>82</v>
      </c>
      <c r="K188">
        <f t="shared" si="5"/>
        <v>127.575</v>
      </c>
    </row>
    <row r="189" spans="1:11" ht="13.95" customHeight="1" x14ac:dyDescent="0.3">
      <c r="A189" s="20">
        <v>45877</v>
      </c>
      <c r="B189" s="20" t="s">
        <v>3317</v>
      </c>
      <c r="C189" s="19" t="s">
        <v>11</v>
      </c>
      <c r="D189" s="19" t="s">
        <v>829</v>
      </c>
      <c r="E189" s="4">
        <v>1</v>
      </c>
      <c r="F189" s="42">
        <v>4.0999999999999996</v>
      </c>
      <c r="G189" s="45">
        <v>250</v>
      </c>
      <c r="H189" s="22">
        <v>2.7</v>
      </c>
      <c r="I189" s="6">
        <f t="shared" si="4"/>
        <v>2767.5</v>
      </c>
      <c r="J189" s="7" t="s">
        <v>2654</v>
      </c>
      <c r="K189">
        <f t="shared" si="5"/>
        <v>149.44499999999999</v>
      </c>
    </row>
    <row r="190" spans="1:11" ht="13.95" customHeight="1" x14ac:dyDescent="0.3">
      <c r="A190" s="20">
        <v>45878</v>
      </c>
      <c r="B190" s="20" t="s">
        <v>3317</v>
      </c>
      <c r="C190" s="19" t="s">
        <v>13</v>
      </c>
      <c r="D190" s="19" t="s">
        <v>3096</v>
      </c>
      <c r="E190" s="4">
        <v>1</v>
      </c>
      <c r="F190" s="42">
        <v>4.7</v>
      </c>
      <c r="G190" s="45">
        <v>250</v>
      </c>
      <c r="H190" s="22">
        <v>2.7</v>
      </c>
      <c r="I190" s="6">
        <f t="shared" si="4"/>
        <v>3172.5</v>
      </c>
      <c r="J190" s="7" t="s">
        <v>3121</v>
      </c>
      <c r="K190">
        <f t="shared" si="5"/>
        <v>171.315</v>
      </c>
    </row>
    <row r="191" spans="1:11" ht="13.95" customHeight="1" x14ac:dyDescent="0.3">
      <c r="A191" s="20">
        <v>45879</v>
      </c>
      <c r="B191" s="20" t="s">
        <v>3317</v>
      </c>
      <c r="C191" s="19" t="s">
        <v>16</v>
      </c>
      <c r="D191" s="19" t="s">
        <v>3093</v>
      </c>
      <c r="E191" s="4">
        <v>1</v>
      </c>
      <c r="F191" s="42">
        <v>4.2</v>
      </c>
      <c r="G191" s="45">
        <v>250</v>
      </c>
      <c r="H191" s="22">
        <v>2.7</v>
      </c>
      <c r="I191" s="6">
        <f t="shared" si="4"/>
        <v>2835</v>
      </c>
      <c r="J191" s="7" t="s">
        <v>3122</v>
      </c>
      <c r="K191">
        <f t="shared" si="5"/>
        <v>153.09</v>
      </c>
    </row>
    <row r="192" spans="1:11" ht="13.95" customHeight="1" x14ac:dyDescent="0.3">
      <c r="A192" s="20">
        <v>45880</v>
      </c>
      <c r="B192" s="20" t="s">
        <v>3317</v>
      </c>
      <c r="C192" s="19" t="s">
        <v>18</v>
      </c>
      <c r="D192" s="19" t="s">
        <v>1347</v>
      </c>
      <c r="E192" s="4">
        <v>1</v>
      </c>
      <c r="F192" s="42">
        <v>3.35</v>
      </c>
      <c r="G192" s="45">
        <v>250</v>
      </c>
      <c r="H192" s="22">
        <v>2.7</v>
      </c>
      <c r="I192" s="6">
        <f t="shared" si="4"/>
        <v>2261.25</v>
      </c>
      <c r="J192" s="7" t="s">
        <v>88</v>
      </c>
      <c r="K192">
        <f t="shared" si="5"/>
        <v>122.1075</v>
      </c>
    </row>
    <row r="193" spans="1:11" ht="13.95" customHeight="1" x14ac:dyDescent="0.3">
      <c r="A193" s="20">
        <v>45881</v>
      </c>
      <c r="B193" s="20" t="s">
        <v>3317</v>
      </c>
      <c r="C193" s="19" t="s">
        <v>20</v>
      </c>
      <c r="D193" s="19" t="s">
        <v>1347</v>
      </c>
      <c r="E193" s="4">
        <v>1</v>
      </c>
      <c r="F193" s="42">
        <v>3.35</v>
      </c>
      <c r="G193" s="45">
        <v>250</v>
      </c>
      <c r="H193" s="22">
        <v>2.7</v>
      </c>
      <c r="I193" s="6">
        <f t="shared" si="4"/>
        <v>2261.25</v>
      </c>
      <c r="J193" s="7" t="s">
        <v>88</v>
      </c>
      <c r="K193">
        <f t="shared" si="5"/>
        <v>122.1075</v>
      </c>
    </row>
    <row r="194" spans="1:11" ht="13.95" customHeight="1" x14ac:dyDescent="0.3">
      <c r="A194" s="20">
        <v>45882</v>
      </c>
      <c r="B194" s="20" t="s">
        <v>3317</v>
      </c>
      <c r="C194" s="19" t="s">
        <v>5</v>
      </c>
      <c r="D194" s="19" t="s">
        <v>3123</v>
      </c>
      <c r="E194" s="4">
        <v>1</v>
      </c>
      <c r="F194" s="42">
        <v>4.5</v>
      </c>
      <c r="G194" s="45">
        <v>250</v>
      </c>
      <c r="H194" s="22">
        <v>2.7</v>
      </c>
      <c r="I194" s="6">
        <f t="shared" si="4"/>
        <v>3037.5</v>
      </c>
      <c r="J194" s="7" t="s">
        <v>2398</v>
      </c>
      <c r="K194">
        <f t="shared" si="5"/>
        <v>164.02500000000001</v>
      </c>
    </row>
    <row r="195" spans="1:11" ht="13.95" customHeight="1" x14ac:dyDescent="0.3">
      <c r="A195" s="20">
        <v>45883</v>
      </c>
      <c r="B195" s="20" t="s">
        <v>3317</v>
      </c>
      <c r="C195" s="19" t="s">
        <v>8</v>
      </c>
      <c r="D195" s="19" t="s">
        <v>2874</v>
      </c>
      <c r="E195" s="4">
        <v>1</v>
      </c>
      <c r="F195" s="42">
        <v>3.8</v>
      </c>
      <c r="G195" s="45">
        <v>250</v>
      </c>
      <c r="H195" s="22">
        <v>2.7</v>
      </c>
      <c r="I195" s="6">
        <f t="shared" ref="I195:I258" si="6">(G195*E195)*F195*H195</f>
        <v>2565</v>
      </c>
      <c r="J195" s="7" t="s">
        <v>3124</v>
      </c>
      <c r="K195">
        <f t="shared" ref="K195:K258" si="7">I195*0.054</f>
        <v>138.51</v>
      </c>
    </row>
    <row r="196" spans="1:11" ht="13.95" customHeight="1" x14ac:dyDescent="0.3">
      <c r="A196" s="20">
        <v>45884</v>
      </c>
      <c r="B196" s="20" t="s">
        <v>3317</v>
      </c>
      <c r="C196" s="19" t="s">
        <v>11</v>
      </c>
      <c r="D196" s="19" t="s">
        <v>2809</v>
      </c>
      <c r="E196" s="4">
        <v>1</v>
      </c>
      <c r="F196" s="42">
        <v>4.5</v>
      </c>
      <c r="G196" s="45">
        <v>250</v>
      </c>
      <c r="H196" s="22">
        <v>2.7</v>
      </c>
      <c r="I196" s="6">
        <f t="shared" si="6"/>
        <v>3037.5</v>
      </c>
      <c r="J196" s="7" t="s">
        <v>3297</v>
      </c>
      <c r="K196">
        <f t="shared" si="7"/>
        <v>164.02500000000001</v>
      </c>
    </row>
    <row r="197" spans="1:11" ht="13.95" customHeight="1" x14ac:dyDescent="0.3">
      <c r="A197" s="20">
        <v>45885</v>
      </c>
      <c r="B197" s="20" t="s">
        <v>3317</v>
      </c>
      <c r="C197" s="19" t="s">
        <v>13</v>
      </c>
      <c r="D197" s="19" t="s">
        <v>3125</v>
      </c>
      <c r="E197" s="4">
        <v>1</v>
      </c>
      <c r="F197" s="42">
        <v>4.8</v>
      </c>
      <c r="G197" s="45">
        <v>250</v>
      </c>
      <c r="H197" s="22">
        <v>2.7</v>
      </c>
      <c r="I197" s="6">
        <f t="shared" si="6"/>
        <v>3240</v>
      </c>
      <c r="J197" s="7" t="s">
        <v>3209</v>
      </c>
      <c r="K197">
        <f t="shared" si="7"/>
        <v>174.96</v>
      </c>
    </row>
    <row r="198" spans="1:11" ht="13.95" customHeight="1" x14ac:dyDescent="0.3">
      <c r="A198" s="20">
        <v>45886</v>
      </c>
      <c r="B198" s="20" t="s">
        <v>3317</v>
      </c>
      <c r="C198" s="19" t="s">
        <v>16</v>
      </c>
      <c r="D198" s="19" t="s">
        <v>3126</v>
      </c>
      <c r="E198" s="4">
        <v>1</v>
      </c>
      <c r="F198" s="42">
        <v>4.3</v>
      </c>
      <c r="G198" s="45">
        <v>250</v>
      </c>
      <c r="H198" s="22">
        <v>2.7</v>
      </c>
      <c r="I198" s="6">
        <f t="shared" si="6"/>
        <v>2902.5</v>
      </c>
      <c r="J198" s="7" t="s">
        <v>3127</v>
      </c>
      <c r="K198">
        <f t="shared" si="7"/>
        <v>156.73499999999999</v>
      </c>
    </row>
    <row r="199" spans="1:11" ht="13.95" customHeight="1" x14ac:dyDescent="0.3">
      <c r="A199" s="20">
        <v>45887</v>
      </c>
      <c r="B199" s="20" t="s">
        <v>3317</v>
      </c>
      <c r="C199" s="19" t="s">
        <v>18</v>
      </c>
      <c r="D199" s="19" t="s">
        <v>1347</v>
      </c>
      <c r="E199" s="4">
        <v>1</v>
      </c>
      <c r="F199" s="42">
        <v>3.4</v>
      </c>
      <c r="G199" s="45">
        <v>250</v>
      </c>
      <c r="H199" s="22">
        <v>2.7</v>
      </c>
      <c r="I199" s="6">
        <f t="shared" si="6"/>
        <v>2295</v>
      </c>
      <c r="J199" s="7" t="s">
        <v>88</v>
      </c>
      <c r="K199">
        <f t="shared" si="7"/>
        <v>123.92999999999999</v>
      </c>
    </row>
    <row r="200" spans="1:11" ht="13.95" customHeight="1" x14ac:dyDescent="0.3">
      <c r="A200" s="20">
        <v>45888</v>
      </c>
      <c r="B200" s="20" t="s">
        <v>3317</v>
      </c>
      <c r="C200" s="19" t="s">
        <v>20</v>
      </c>
      <c r="D200" s="19" t="s">
        <v>1347</v>
      </c>
      <c r="E200" s="4">
        <v>1</v>
      </c>
      <c r="F200" s="42">
        <v>3.4</v>
      </c>
      <c r="G200" s="45">
        <v>250</v>
      </c>
      <c r="H200" s="22">
        <v>2.7</v>
      </c>
      <c r="I200" s="6">
        <f t="shared" si="6"/>
        <v>2295</v>
      </c>
      <c r="J200" s="7" t="s">
        <v>88</v>
      </c>
      <c r="K200">
        <f t="shared" si="7"/>
        <v>123.92999999999999</v>
      </c>
    </row>
    <row r="201" spans="1:11" ht="13.95" customHeight="1" x14ac:dyDescent="0.3">
      <c r="A201" s="20">
        <v>45889</v>
      </c>
      <c r="B201" s="20" t="s">
        <v>3317</v>
      </c>
      <c r="C201" s="19" t="s">
        <v>5</v>
      </c>
      <c r="D201" s="19" t="s">
        <v>1347</v>
      </c>
      <c r="E201" s="4">
        <v>1</v>
      </c>
      <c r="F201" s="42">
        <v>3.5</v>
      </c>
      <c r="G201" s="45">
        <v>250</v>
      </c>
      <c r="H201" s="22">
        <v>2.7</v>
      </c>
      <c r="I201" s="6">
        <f t="shared" si="6"/>
        <v>2362.5</v>
      </c>
      <c r="J201" s="7" t="s">
        <v>88</v>
      </c>
      <c r="K201">
        <f t="shared" si="7"/>
        <v>127.575</v>
      </c>
    </row>
    <row r="202" spans="1:11" ht="13.95" customHeight="1" x14ac:dyDescent="0.3">
      <c r="A202" s="20">
        <v>45890</v>
      </c>
      <c r="B202" s="20" t="s">
        <v>3317</v>
      </c>
      <c r="C202" s="19" t="s">
        <v>8</v>
      </c>
      <c r="D202" s="19" t="s">
        <v>1347</v>
      </c>
      <c r="E202" s="4">
        <v>1</v>
      </c>
      <c r="F202" s="42">
        <v>3.6</v>
      </c>
      <c r="G202" s="45">
        <v>250</v>
      </c>
      <c r="H202" s="22">
        <v>2.7</v>
      </c>
      <c r="I202" s="6">
        <f t="shared" si="6"/>
        <v>2430</v>
      </c>
      <c r="J202" s="7" t="s">
        <v>82</v>
      </c>
      <c r="K202">
        <f t="shared" si="7"/>
        <v>131.22</v>
      </c>
    </row>
    <row r="203" spans="1:11" ht="13.95" customHeight="1" x14ac:dyDescent="0.3">
      <c r="A203" s="20">
        <v>45891</v>
      </c>
      <c r="B203" s="20" t="s">
        <v>3317</v>
      </c>
      <c r="C203" s="19" t="s">
        <v>11</v>
      </c>
      <c r="D203" s="19" t="s">
        <v>829</v>
      </c>
      <c r="E203" s="4">
        <v>1</v>
      </c>
      <c r="F203" s="42">
        <v>4.2</v>
      </c>
      <c r="G203" s="45">
        <v>250</v>
      </c>
      <c r="H203" s="22">
        <v>2.7</v>
      </c>
      <c r="I203" s="6">
        <f t="shared" si="6"/>
        <v>2835</v>
      </c>
      <c r="J203" s="7" t="s">
        <v>1214</v>
      </c>
      <c r="K203">
        <f t="shared" si="7"/>
        <v>153.09</v>
      </c>
    </row>
    <row r="204" spans="1:11" ht="13.95" customHeight="1" x14ac:dyDescent="0.3">
      <c r="A204" s="20">
        <v>45892</v>
      </c>
      <c r="B204" s="20" t="s">
        <v>3317</v>
      </c>
      <c r="C204" s="19" t="s">
        <v>13</v>
      </c>
      <c r="D204" s="19" t="s">
        <v>3091</v>
      </c>
      <c r="E204" s="4">
        <v>1</v>
      </c>
      <c r="F204" s="42">
        <v>4.7</v>
      </c>
      <c r="G204" s="45">
        <v>250</v>
      </c>
      <c r="H204" s="22">
        <v>2.7</v>
      </c>
      <c r="I204" s="6">
        <f t="shared" si="6"/>
        <v>3172.5</v>
      </c>
      <c r="J204" s="7" t="s">
        <v>1554</v>
      </c>
      <c r="K204">
        <f t="shared" si="7"/>
        <v>171.315</v>
      </c>
    </row>
    <row r="205" spans="1:11" ht="13.95" customHeight="1" x14ac:dyDescent="0.3">
      <c r="A205" s="20">
        <v>45893</v>
      </c>
      <c r="B205" s="20" t="s">
        <v>3317</v>
      </c>
      <c r="C205" s="19" t="s">
        <v>16</v>
      </c>
      <c r="D205" s="19" t="s">
        <v>3093</v>
      </c>
      <c r="E205" s="4">
        <v>1</v>
      </c>
      <c r="F205" s="42">
        <v>4.2</v>
      </c>
      <c r="G205" s="45">
        <v>250</v>
      </c>
      <c r="H205" s="22">
        <v>2.7</v>
      </c>
      <c r="I205" s="6">
        <f t="shared" si="6"/>
        <v>2835</v>
      </c>
      <c r="J205" s="7" t="s">
        <v>3128</v>
      </c>
      <c r="K205">
        <f t="shared" si="7"/>
        <v>153.09</v>
      </c>
    </row>
    <row r="206" spans="1:11" ht="13.95" customHeight="1" x14ac:dyDescent="0.3">
      <c r="A206" s="20">
        <v>45894</v>
      </c>
      <c r="B206" s="20" t="s">
        <v>3317</v>
      </c>
      <c r="C206" s="19" t="s">
        <v>18</v>
      </c>
      <c r="D206" s="19" t="s">
        <v>1347</v>
      </c>
      <c r="E206" s="4">
        <v>1</v>
      </c>
      <c r="F206" s="42">
        <v>3.3</v>
      </c>
      <c r="G206" s="45">
        <v>250</v>
      </c>
      <c r="H206" s="22">
        <v>2.7</v>
      </c>
      <c r="I206" s="6">
        <f t="shared" si="6"/>
        <v>2227.5</v>
      </c>
      <c r="J206" s="7" t="s">
        <v>3129</v>
      </c>
      <c r="K206">
        <f t="shared" si="7"/>
        <v>120.285</v>
      </c>
    </row>
    <row r="207" spans="1:11" ht="13.95" customHeight="1" x14ac:dyDescent="0.3">
      <c r="A207" s="20">
        <v>45895</v>
      </c>
      <c r="B207" s="20" t="s">
        <v>3317</v>
      </c>
      <c r="C207" s="19" t="s">
        <v>20</v>
      </c>
      <c r="D207" s="19" t="s">
        <v>1347</v>
      </c>
      <c r="E207" s="4">
        <v>1</v>
      </c>
      <c r="F207" s="42">
        <v>3.3</v>
      </c>
      <c r="G207" s="45">
        <v>250</v>
      </c>
      <c r="H207" s="22">
        <v>2.7</v>
      </c>
      <c r="I207" s="6">
        <f t="shared" si="6"/>
        <v>2227.5</v>
      </c>
      <c r="J207" s="7" t="s">
        <v>88</v>
      </c>
      <c r="K207">
        <f t="shared" si="7"/>
        <v>120.285</v>
      </c>
    </row>
    <row r="208" spans="1:11" ht="13.95" customHeight="1" x14ac:dyDescent="0.3">
      <c r="A208" s="20">
        <v>45896</v>
      </c>
      <c r="B208" s="20" t="s">
        <v>3317</v>
      </c>
      <c r="C208" s="19" t="s">
        <v>5</v>
      </c>
      <c r="D208" s="19" t="s">
        <v>1347</v>
      </c>
      <c r="E208" s="4">
        <v>1</v>
      </c>
      <c r="F208" s="42">
        <v>3.4</v>
      </c>
      <c r="G208" s="45">
        <v>250</v>
      </c>
      <c r="H208" s="22">
        <v>2.7</v>
      </c>
      <c r="I208" s="6">
        <f t="shared" si="6"/>
        <v>2295</v>
      </c>
      <c r="J208" s="7" t="s">
        <v>88</v>
      </c>
      <c r="K208">
        <f t="shared" si="7"/>
        <v>123.92999999999999</v>
      </c>
    </row>
    <row r="209" spans="1:11" ht="13.95" customHeight="1" x14ac:dyDescent="0.3">
      <c r="A209" s="20">
        <v>45897</v>
      </c>
      <c r="B209" s="20" t="s">
        <v>3317</v>
      </c>
      <c r="C209" s="19" t="s">
        <v>8</v>
      </c>
      <c r="D209" s="19" t="s">
        <v>1347</v>
      </c>
      <c r="E209" s="4">
        <v>1</v>
      </c>
      <c r="F209" s="42">
        <v>3.5</v>
      </c>
      <c r="G209" s="45">
        <v>250</v>
      </c>
      <c r="H209" s="22">
        <v>2.7</v>
      </c>
      <c r="I209" s="6">
        <f t="shared" si="6"/>
        <v>2362.5</v>
      </c>
      <c r="J209" s="7" t="s">
        <v>88</v>
      </c>
      <c r="K209">
        <f t="shared" si="7"/>
        <v>127.575</v>
      </c>
    </row>
    <row r="210" spans="1:11" ht="13.95" customHeight="1" x14ac:dyDescent="0.3">
      <c r="A210" s="20">
        <v>45898</v>
      </c>
      <c r="B210" s="20" t="s">
        <v>3317</v>
      </c>
      <c r="C210" s="19" t="s">
        <v>11</v>
      </c>
      <c r="D210" s="19" t="s">
        <v>829</v>
      </c>
      <c r="E210" s="4">
        <v>1</v>
      </c>
      <c r="F210" s="42">
        <v>4.0999999999999996</v>
      </c>
      <c r="G210" s="45">
        <v>250</v>
      </c>
      <c r="H210" s="22">
        <v>2.7</v>
      </c>
      <c r="I210" s="6">
        <f t="shared" si="6"/>
        <v>2767.5</v>
      </c>
      <c r="J210" s="7" t="s">
        <v>222</v>
      </c>
      <c r="K210">
        <f t="shared" si="7"/>
        <v>149.44499999999999</v>
      </c>
    </row>
    <row r="211" spans="1:11" ht="13.95" customHeight="1" x14ac:dyDescent="0.3">
      <c r="A211" s="20">
        <v>45899</v>
      </c>
      <c r="B211" s="20" t="s">
        <v>3317</v>
      </c>
      <c r="C211" s="19" t="s">
        <v>13</v>
      </c>
      <c r="D211" s="19" t="s">
        <v>3130</v>
      </c>
      <c r="E211" s="4">
        <v>1</v>
      </c>
      <c r="F211" s="42">
        <v>4.7</v>
      </c>
      <c r="G211" s="45">
        <v>250</v>
      </c>
      <c r="H211" s="22">
        <v>2.7</v>
      </c>
      <c r="I211" s="6">
        <f t="shared" si="6"/>
        <v>3172.5</v>
      </c>
      <c r="J211" s="7" t="s">
        <v>3298</v>
      </c>
      <c r="K211">
        <f t="shared" si="7"/>
        <v>171.315</v>
      </c>
    </row>
    <row r="212" spans="1:11" ht="13.95" customHeight="1" x14ac:dyDescent="0.3">
      <c r="A212" s="20">
        <v>45900</v>
      </c>
      <c r="B212" s="20" t="s">
        <v>3317</v>
      </c>
      <c r="C212" s="19" t="s">
        <v>16</v>
      </c>
      <c r="D212" s="19" t="s">
        <v>3098</v>
      </c>
      <c r="E212" s="4">
        <v>0.9</v>
      </c>
      <c r="F212" s="42">
        <v>4</v>
      </c>
      <c r="G212" s="45">
        <v>250</v>
      </c>
      <c r="H212" s="22">
        <v>2.7</v>
      </c>
      <c r="I212" s="6">
        <f t="shared" si="6"/>
        <v>2430</v>
      </c>
      <c r="J212" s="7" t="s">
        <v>3299</v>
      </c>
      <c r="K212">
        <f t="shared" si="7"/>
        <v>131.22</v>
      </c>
    </row>
    <row r="213" spans="1:11" ht="13.95" customHeight="1" x14ac:dyDescent="0.3">
      <c r="A213" s="20">
        <v>45901</v>
      </c>
      <c r="B213" s="20" t="s">
        <v>3317</v>
      </c>
      <c r="C213" s="19" t="s">
        <v>18</v>
      </c>
      <c r="D213" s="19" t="s">
        <v>3131</v>
      </c>
      <c r="E213" s="4">
        <v>0.85</v>
      </c>
      <c r="F213" s="42">
        <v>2.75</v>
      </c>
      <c r="G213" s="45">
        <v>250</v>
      </c>
      <c r="H213" s="22">
        <v>2.2000000000000002</v>
      </c>
      <c r="I213" s="6">
        <f t="shared" si="6"/>
        <v>1285.625</v>
      </c>
      <c r="J213" s="7" t="s">
        <v>3132</v>
      </c>
      <c r="K213">
        <f t="shared" si="7"/>
        <v>69.423749999999998</v>
      </c>
    </row>
    <row r="214" spans="1:11" ht="13.95" customHeight="1" x14ac:dyDescent="0.3">
      <c r="A214" s="20">
        <v>45902</v>
      </c>
      <c r="B214" s="20" t="s">
        <v>3317</v>
      </c>
      <c r="C214" s="19" t="s">
        <v>20</v>
      </c>
      <c r="D214" s="19" t="s">
        <v>9</v>
      </c>
      <c r="E214" s="4">
        <v>0.8</v>
      </c>
      <c r="F214" s="42">
        <v>2.6</v>
      </c>
      <c r="G214" s="45">
        <v>250</v>
      </c>
      <c r="H214" s="22">
        <v>2.2000000000000002</v>
      </c>
      <c r="I214" s="6">
        <f t="shared" si="6"/>
        <v>1144</v>
      </c>
      <c r="J214" s="7" t="s">
        <v>3300</v>
      </c>
      <c r="K214">
        <f t="shared" si="7"/>
        <v>61.775999999999996</v>
      </c>
    </row>
    <row r="215" spans="1:11" ht="13.95" customHeight="1" x14ac:dyDescent="0.3">
      <c r="A215" s="20">
        <v>45903</v>
      </c>
      <c r="B215" s="20" t="s">
        <v>3317</v>
      </c>
      <c r="C215" s="19" t="s">
        <v>5</v>
      </c>
      <c r="D215" s="19" t="s">
        <v>9</v>
      </c>
      <c r="E215" s="4">
        <v>0.8</v>
      </c>
      <c r="F215" s="42">
        <v>2.6</v>
      </c>
      <c r="G215" s="45">
        <v>250</v>
      </c>
      <c r="H215" s="22">
        <v>2.2000000000000002</v>
      </c>
      <c r="I215" s="6">
        <f t="shared" si="6"/>
        <v>1144</v>
      </c>
      <c r="J215" s="7" t="s">
        <v>88</v>
      </c>
      <c r="K215">
        <f t="shared" si="7"/>
        <v>61.775999999999996</v>
      </c>
    </row>
    <row r="216" spans="1:11" ht="13.95" customHeight="1" x14ac:dyDescent="0.3">
      <c r="A216" s="20">
        <v>45904</v>
      </c>
      <c r="B216" s="20" t="s">
        <v>3317</v>
      </c>
      <c r="C216" s="19" t="s">
        <v>8</v>
      </c>
      <c r="D216" s="19" t="s">
        <v>9</v>
      </c>
      <c r="E216" s="4">
        <v>0.8</v>
      </c>
      <c r="F216" s="42">
        <v>2.65</v>
      </c>
      <c r="G216" s="45">
        <v>250</v>
      </c>
      <c r="H216" s="22">
        <v>2.2000000000000002</v>
      </c>
      <c r="I216" s="6">
        <f t="shared" si="6"/>
        <v>1166</v>
      </c>
      <c r="J216" s="7" t="s">
        <v>67</v>
      </c>
      <c r="K216">
        <f t="shared" si="7"/>
        <v>62.963999999999999</v>
      </c>
    </row>
    <row r="217" spans="1:11" ht="13.95" customHeight="1" x14ac:dyDescent="0.3">
      <c r="A217" s="20">
        <v>45905</v>
      </c>
      <c r="B217" s="20" t="s">
        <v>3317</v>
      </c>
      <c r="C217" s="19" t="s">
        <v>11</v>
      </c>
      <c r="D217" s="19" t="s">
        <v>14</v>
      </c>
      <c r="E217" s="4">
        <v>0.85</v>
      </c>
      <c r="F217" s="42">
        <v>3.1</v>
      </c>
      <c r="G217" s="45">
        <v>250</v>
      </c>
      <c r="H217" s="22">
        <v>2.2000000000000002</v>
      </c>
      <c r="I217" s="6">
        <f t="shared" si="6"/>
        <v>1449.2500000000002</v>
      </c>
      <c r="J217" s="7" t="s">
        <v>390</v>
      </c>
      <c r="K217">
        <f t="shared" si="7"/>
        <v>78.259500000000017</v>
      </c>
    </row>
    <row r="218" spans="1:11" ht="13.95" customHeight="1" x14ac:dyDescent="0.3">
      <c r="A218" s="20">
        <v>45906</v>
      </c>
      <c r="B218" s="20" t="s">
        <v>3317</v>
      </c>
      <c r="C218" s="19" t="s">
        <v>13</v>
      </c>
      <c r="D218" s="19" t="s">
        <v>3135</v>
      </c>
      <c r="E218" s="4">
        <v>0.95</v>
      </c>
      <c r="F218" s="42">
        <v>3.8</v>
      </c>
      <c r="G218" s="45">
        <v>250</v>
      </c>
      <c r="H218" s="22">
        <v>2.2000000000000002</v>
      </c>
      <c r="I218" s="6">
        <f t="shared" si="6"/>
        <v>1985.5000000000002</v>
      </c>
      <c r="J218" s="7" t="s">
        <v>1811</v>
      </c>
      <c r="K218">
        <f t="shared" si="7"/>
        <v>107.21700000000001</v>
      </c>
    </row>
    <row r="219" spans="1:11" ht="13.95" customHeight="1" x14ac:dyDescent="0.3">
      <c r="A219" s="20">
        <v>45907</v>
      </c>
      <c r="B219" s="20" t="s">
        <v>3317</v>
      </c>
      <c r="C219" s="19" t="s">
        <v>16</v>
      </c>
      <c r="D219" s="19" t="s">
        <v>3098</v>
      </c>
      <c r="E219" s="4">
        <v>0.9</v>
      </c>
      <c r="F219" s="42">
        <v>3.3</v>
      </c>
      <c r="G219" s="45">
        <v>250</v>
      </c>
      <c r="H219" s="22">
        <v>2.2000000000000002</v>
      </c>
      <c r="I219" s="6">
        <f t="shared" si="6"/>
        <v>1633.5000000000002</v>
      </c>
      <c r="J219" s="7" t="s">
        <v>139</v>
      </c>
      <c r="K219">
        <f t="shared" si="7"/>
        <v>88.209000000000017</v>
      </c>
    </row>
    <row r="220" spans="1:11" ht="13.95" customHeight="1" x14ac:dyDescent="0.3">
      <c r="A220" s="20">
        <v>45908</v>
      </c>
      <c r="B220" s="20" t="s">
        <v>3317</v>
      </c>
      <c r="C220" s="19" t="s">
        <v>18</v>
      </c>
      <c r="D220" s="19" t="s">
        <v>9</v>
      </c>
      <c r="E220" s="4">
        <v>0.75</v>
      </c>
      <c r="F220" s="42">
        <v>2.5499999999999998</v>
      </c>
      <c r="G220" s="45">
        <v>250</v>
      </c>
      <c r="H220" s="22">
        <v>2.2000000000000002</v>
      </c>
      <c r="I220" s="6">
        <f t="shared" si="6"/>
        <v>1051.875</v>
      </c>
      <c r="J220" s="7" t="s">
        <v>527</v>
      </c>
      <c r="K220">
        <f t="shared" si="7"/>
        <v>56.801249999999996</v>
      </c>
    </row>
    <row r="221" spans="1:11" ht="13.95" customHeight="1" x14ac:dyDescent="0.3">
      <c r="A221" s="20">
        <v>45909</v>
      </c>
      <c r="B221" s="20" t="s">
        <v>3317</v>
      </c>
      <c r="C221" s="19" t="s">
        <v>20</v>
      </c>
      <c r="D221" s="19" t="s">
        <v>9</v>
      </c>
      <c r="E221" s="4">
        <v>0.7</v>
      </c>
      <c r="F221" s="42">
        <v>2.5</v>
      </c>
      <c r="G221" s="45">
        <v>250</v>
      </c>
      <c r="H221" s="22">
        <v>2.2000000000000002</v>
      </c>
      <c r="I221" s="6">
        <f t="shared" si="6"/>
        <v>962.50000000000011</v>
      </c>
      <c r="J221" s="7" t="s">
        <v>2501</v>
      </c>
      <c r="K221">
        <f t="shared" si="7"/>
        <v>51.975000000000009</v>
      </c>
    </row>
    <row r="222" spans="1:11" ht="13.95" customHeight="1" x14ac:dyDescent="0.3">
      <c r="A222" s="20">
        <v>45910</v>
      </c>
      <c r="B222" s="20" t="s">
        <v>3317</v>
      </c>
      <c r="C222" s="19" t="s">
        <v>5</v>
      </c>
      <c r="D222" s="19" t="s">
        <v>9</v>
      </c>
      <c r="E222" s="4">
        <v>0.75</v>
      </c>
      <c r="F222" s="42">
        <v>2.5499999999999998</v>
      </c>
      <c r="G222" s="45">
        <v>250</v>
      </c>
      <c r="H222" s="22">
        <v>2.2000000000000002</v>
      </c>
      <c r="I222" s="6">
        <f t="shared" si="6"/>
        <v>1051.875</v>
      </c>
      <c r="J222" s="7" t="s">
        <v>88</v>
      </c>
      <c r="K222">
        <f t="shared" si="7"/>
        <v>56.801249999999996</v>
      </c>
    </row>
    <row r="223" spans="1:11" ht="13.95" customHeight="1" x14ac:dyDescent="0.3">
      <c r="A223" s="20">
        <v>45912</v>
      </c>
      <c r="B223" s="20" t="s">
        <v>3317</v>
      </c>
      <c r="C223" s="19" t="s">
        <v>11</v>
      </c>
      <c r="D223" s="19" t="s">
        <v>14</v>
      </c>
      <c r="E223" s="4">
        <v>0.8</v>
      </c>
      <c r="F223" s="42">
        <v>3</v>
      </c>
      <c r="G223" s="45">
        <v>250</v>
      </c>
      <c r="H223" s="22">
        <v>2.2000000000000002</v>
      </c>
      <c r="I223" s="6">
        <f t="shared" si="6"/>
        <v>1320</v>
      </c>
      <c r="J223" s="7" t="s">
        <v>282</v>
      </c>
      <c r="K223">
        <f t="shared" si="7"/>
        <v>71.28</v>
      </c>
    </row>
    <row r="224" spans="1:11" ht="13.95" customHeight="1" x14ac:dyDescent="0.3">
      <c r="A224" s="20">
        <v>45913</v>
      </c>
      <c r="B224" s="20" t="s">
        <v>3317</v>
      </c>
      <c r="C224" s="19" t="s">
        <v>13</v>
      </c>
      <c r="D224" s="19" t="s">
        <v>3143</v>
      </c>
      <c r="E224" s="4">
        <v>0.9</v>
      </c>
      <c r="F224" s="42">
        <v>3.7</v>
      </c>
      <c r="G224" s="45">
        <v>250</v>
      </c>
      <c r="H224" s="22">
        <v>2.2000000000000002</v>
      </c>
      <c r="I224" s="6">
        <f t="shared" si="6"/>
        <v>1831.5000000000002</v>
      </c>
      <c r="J224" s="7" t="s">
        <v>1711</v>
      </c>
      <c r="K224">
        <f t="shared" si="7"/>
        <v>98.90100000000001</v>
      </c>
    </row>
    <row r="225" spans="1:11" ht="13.95" customHeight="1" x14ac:dyDescent="0.3">
      <c r="A225" s="20">
        <v>45914</v>
      </c>
      <c r="B225" s="20" t="s">
        <v>3317</v>
      </c>
      <c r="C225" s="19" t="s">
        <v>16</v>
      </c>
      <c r="D225" s="19" t="s">
        <v>3098</v>
      </c>
      <c r="E225" s="4">
        <v>0.85</v>
      </c>
      <c r="F225" s="42">
        <v>3.25</v>
      </c>
      <c r="G225" s="45">
        <v>250</v>
      </c>
      <c r="H225" s="22">
        <v>2.2000000000000002</v>
      </c>
      <c r="I225" s="6">
        <f t="shared" si="6"/>
        <v>1519.3750000000002</v>
      </c>
      <c r="J225" s="7" t="s">
        <v>3216</v>
      </c>
      <c r="K225">
        <f t="shared" si="7"/>
        <v>82.046250000000015</v>
      </c>
    </row>
    <row r="226" spans="1:11" ht="13.95" customHeight="1" x14ac:dyDescent="0.3">
      <c r="A226" s="20">
        <v>45915</v>
      </c>
      <c r="B226" s="20" t="s">
        <v>3317</v>
      </c>
      <c r="C226" s="19" t="s">
        <v>18</v>
      </c>
      <c r="D226" s="19" t="s">
        <v>9</v>
      </c>
      <c r="E226" s="4">
        <v>0.7</v>
      </c>
      <c r="F226" s="42">
        <v>2.5</v>
      </c>
      <c r="G226" s="45">
        <v>250</v>
      </c>
      <c r="H226" s="22">
        <v>2.2000000000000002</v>
      </c>
      <c r="I226" s="6">
        <f t="shared" si="6"/>
        <v>962.50000000000011</v>
      </c>
      <c r="J226" s="7" t="s">
        <v>3129</v>
      </c>
      <c r="K226">
        <f t="shared" si="7"/>
        <v>51.975000000000009</v>
      </c>
    </row>
    <row r="227" spans="1:11" ht="13.95" customHeight="1" x14ac:dyDescent="0.3">
      <c r="A227" s="20">
        <v>45918</v>
      </c>
      <c r="B227" s="20" t="s">
        <v>3317</v>
      </c>
      <c r="C227" s="19" t="s">
        <v>8</v>
      </c>
      <c r="D227" s="19" t="s">
        <v>9</v>
      </c>
      <c r="E227" s="4">
        <v>0.75</v>
      </c>
      <c r="F227" s="42">
        <v>2.6</v>
      </c>
      <c r="G227" s="45">
        <v>250</v>
      </c>
      <c r="H227" s="22">
        <v>2.2000000000000002</v>
      </c>
      <c r="I227" s="6">
        <f t="shared" si="6"/>
        <v>1072.5</v>
      </c>
      <c r="J227" s="7" t="s">
        <v>88</v>
      </c>
      <c r="K227">
        <f t="shared" si="7"/>
        <v>57.914999999999999</v>
      </c>
    </row>
    <row r="228" spans="1:11" ht="13.95" customHeight="1" x14ac:dyDescent="0.3">
      <c r="A228" s="20">
        <v>45920</v>
      </c>
      <c r="B228" s="20" t="s">
        <v>3317</v>
      </c>
      <c r="C228" s="19" t="s">
        <v>13</v>
      </c>
      <c r="D228" s="19" t="s">
        <v>3138</v>
      </c>
      <c r="E228" s="4">
        <v>0.85</v>
      </c>
      <c r="F228" s="42">
        <v>3.65</v>
      </c>
      <c r="G228" s="45">
        <v>250</v>
      </c>
      <c r="H228" s="22">
        <v>2.2000000000000002</v>
      </c>
      <c r="I228" s="6">
        <f t="shared" si="6"/>
        <v>1706.3750000000002</v>
      </c>
      <c r="J228" s="7" t="s">
        <v>3139</v>
      </c>
      <c r="K228">
        <f t="shared" si="7"/>
        <v>92.144250000000014</v>
      </c>
    </row>
    <row r="229" spans="1:11" ht="13.95" customHeight="1" x14ac:dyDescent="0.3">
      <c r="A229" s="20">
        <v>45921</v>
      </c>
      <c r="B229" s="20" t="s">
        <v>3317</v>
      </c>
      <c r="C229" s="19" t="s">
        <v>16</v>
      </c>
      <c r="D229" s="19" t="s">
        <v>3098</v>
      </c>
      <c r="E229" s="4">
        <v>0.8</v>
      </c>
      <c r="F229" s="42">
        <v>3.2</v>
      </c>
      <c r="G229" s="45">
        <v>250</v>
      </c>
      <c r="H229" s="22">
        <v>2.2000000000000002</v>
      </c>
      <c r="I229" s="6">
        <f t="shared" si="6"/>
        <v>1408</v>
      </c>
      <c r="J229" s="7" t="s">
        <v>139</v>
      </c>
      <c r="K229">
        <f t="shared" si="7"/>
        <v>76.031999999999996</v>
      </c>
    </row>
    <row r="230" spans="1:11" ht="13.95" customHeight="1" x14ac:dyDescent="0.3">
      <c r="A230" s="20">
        <v>45922</v>
      </c>
      <c r="B230" s="20" t="s">
        <v>3317</v>
      </c>
      <c r="C230" s="19" t="s">
        <v>18</v>
      </c>
      <c r="D230" s="19" t="s">
        <v>9</v>
      </c>
      <c r="E230" s="4">
        <v>0.65</v>
      </c>
      <c r="F230" s="42">
        <v>2.5</v>
      </c>
      <c r="G230" s="45">
        <v>250</v>
      </c>
      <c r="H230" s="22">
        <v>2.2000000000000002</v>
      </c>
      <c r="I230" s="6">
        <f t="shared" si="6"/>
        <v>893.75000000000011</v>
      </c>
      <c r="J230" s="7" t="s">
        <v>88</v>
      </c>
      <c r="K230">
        <f t="shared" si="7"/>
        <v>48.262500000000003</v>
      </c>
    </row>
    <row r="231" spans="1:11" ht="13.95" customHeight="1" x14ac:dyDescent="0.3">
      <c r="A231" s="20">
        <v>45925</v>
      </c>
      <c r="B231" s="20" t="s">
        <v>3317</v>
      </c>
      <c r="C231" s="19" t="s">
        <v>8</v>
      </c>
      <c r="D231" s="19" t="s">
        <v>9</v>
      </c>
      <c r="E231" s="4">
        <v>0.7</v>
      </c>
      <c r="F231" s="42">
        <v>2.5499999999999998</v>
      </c>
      <c r="G231" s="45">
        <v>250</v>
      </c>
      <c r="H231" s="22">
        <v>2.2000000000000002</v>
      </c>
      <c r="I231" s="6">
        <f t="shared" si="6"/>
        <v>981.75</v>
      </c>
      <c r="J231" s="7" t="s">
        <v>88</v>
      </c>
      <c r="K231">
        <f t="shared" si="7"/>
        <v>53.014499999999998</v>
      </c>
    </row>
    <row r="232" spans="1:11" ht="13.95" customHeight="1" x14ac:dyDescent="0.3">
      <c r="A232" s="20">
        <v>45927</v>
      </c>
      <c r="B232" s="20" t="s">
        <v>3317</v>
      </c>
      <c r="C232" s="19" t="s">
        <v>13</v>
      </c>
      <c r="D232" s="19" t="s">
        <v>3130</v>
      </c>
      <c r="E232" s="4">
        <v>0.9</v>
      </c>
      <c r="F232" s="42">
        <v>3.6</v>
      </c>
      <c r="G232" s="45">
        <v>250</v>
      </c>
      <c r="H232" s="22">
        <v>2.2000000000000002</v>
      </c>
      <c r="I232" s="6">
        <f t="shared" si="6"/>
        <v>1782.0000000000002</v>
      </c>
      <c r="J232" s="7" t="s">
        <v>2454</v>
      </c>
      <c r="K232">
        <f t="shared" si="7"/>
        <v>96.228000000000009</v>
      </c>
    </row>
    <row r="233" spans="1:11" ht="13.95" customHeight="1" x14ac:dyDescent="0.3">
      <c r="A233" s="20">
        <v>45928</v>
      </c>
      <c r="B233" s="20" t="s">
        <v>3317</v>
      </c>
      <c r="C233" s="19" t="s">
        <v>16</v>
      </c>
      <c r="D233" s="19" t="s">
        <v>3098</v>
      </c>
      <c r="E233" s="4">
        <v>0.85</v>
      </c>
      <c r="F233" s="42">
        <v>3.15</v>
      </c>
      <c r="G233" s="45">
        <v>250</v>
      </c>
      <c r="H233" s="22">
        <v>2.2000000000000002</v>
      </c>
      <c r="I233" s="6">
        <f t="shared" si="6"/>
        <v>1472.6250000000002</v>
      </c>
      <c r="J233" s="7" t="s">
        <v>3301</v>
      </c>
      <c r="K233">
        <f t="shared" si="7"/>
        <v>79.521750000000011</v>
      </c>
    </row>
    <row r="234" spans="1:11" ht="13.95" customHeight="1" x14ac:dyDescent="0.3">
      <c r="A234" s="20">
        <v>45930</v>
      </c>
      <c r="B234" s="20" t="s">
        <v>3317</v>
      </c>
      <c r="C234" s="19" t="s">
        <v>20</v>
      </c>
      <c r="D234" s="19" t="s">
        <v>2783</v>
      </c>
      <c r="E234" s="4">
        <v>0.65</v>
      </c>
      <c r="F234" s="42">
        <v>2.5</v>
      </c>
      <c r="G234" s="45">
        <v>250</v>
      </c>
      <c r="H234" s="22">
        <v>2.2000000000000002</v>
      </c>
      <c r="I234" s="6">
        <f t="shared" si="6"/>
        <v>893.75000000000011</v>
      </c>
      <c r="J234" s="7" t="s">
        <v>3211</v>
      </c>
      <c r="K234">
        <f t="shared" si="7"/>
        <v>48.262500000000003</v>
      </c>
    </row>
    <row r="235" spans="1:11" ht="13.95" customHeight="1" x14ac:dyDescent="0.3">
      <c r="A235" s="20">
        <v>45931</v>
      </c>
      <c r="B235" s="20" t="s">
        <v>3317</v>
      </c>
      <c r="C235" s="19" t="s">
        <v>5</v>
      </c>
      <c r="D235" s="19" t="s">
        <v>3153</v>
      </c>
      <c r="E235" s="4">
        <v>0.55000000000000004</v>
      </c>
      <c r="F235" s="42">
        <v>2.35</v>
      </c>
      <c r="G235" s="45">
        <v>250</v>
      </c>
      <c r="H235" s="22">
        <v>2.2000000000000002</v>
      </c>
      <c r="I235" s="6">
        <f t="shared" si="6"/>
        <v>710.87500000000011</v>
      </c>
      <c r="J235" s="7" t="s">
        <v>3302</v>
      </c>
      <c r="K235">
        <f t="shared" si="7"/>
        <v>38.387250000000009</v>
      </c>
    </row>
    <row r="236" spans="1:11" ht="13.95" customHeight="1" x14ac:dyDescent="0.3">
      <c r="A236" s="20">
        <v>45932</v>
      </c>
      <c r="B236" s="20" t="s">
        <v>3317</v>
      </c>
      <c r="C236" s="19" t="s">
        <v>8</v>
      </c>
      <c r="D236" s="19" t="s">
        <v>3153</v>
      </c>
      <c r="E236" s="4">
        <v>0.55000000000000004</v>
      </c>
      <c r="F236" s="42">
        <v>2.35</v>
      </c>
      <c r="G236" s="45">
        <v>250</v>
      </c>
      <c r="H236" s="22">
        <v>2.2000000000000002</v>
      </c>
      <c r="I236" s="6">
        <f t="shared" si="6"/>
        <v>710.87500000000011</v>
      </c>
      <c r="J236" s="7" t="s">
        <v>3303</v>
      </c>
      <c r="K236">
        <f t="shared" si="7"/>
        <v>38.387250000000009</v>
      </c>
    </row>
    <row r="237" spans="1:11" ht="13.95" customHeight="1" x14ac:dyDescent="0.3">
      <c r="A237" s="20">
        <v>45933</v>
      </c>
      <c r="B237" s="20" t="s">
        <v>3317</v>
      </c>
      <c r="C237" s="19" t="s">
        <v>11</v>
      </c>
      <c r="D237" s="19" t="s">
        <v>14</v>
      </c>
      <c r="E237" s="4">
        <v>0.7</v>
      </c>
      <c r="F237" s="42">
        <v>2.8</v>
      </c>
      <c r="G237" s="45">
        <v>250</v>
      </c>
      <c r="H237" s="22">
        <v>2.2000000000000002</v>
      </c>
      <c r="I237" s="6">
        <f t="shared" si="6"/>
        <v>1078</v>
      </c>
      <c r="J237" s="7" t="s">
        <v>1266</v>
      </c>
      <c r="K237">
        <f t="shared" si="7"/>
        <v>58.211999999999996</v>
      </c>
    </row>
    <row r="238" spans="1:11" ht="13.95" customHeight="1" x14ac:dyDescent="0.3">
      <c r="A238" s="20">
        <v>45934</v>
      </c>
      <c r="B238" s="20" t="s">
        <v>3317</v>
      </c>
      <c r="C238" s="19" t="s">
        <v>13</v>
      </c>
      <c r="D238" s="19" t="s">
        <v>3304</v>
      </c>
      <c r="E238" s="4">
        <v>0.85</v>
      </c>
      <c r="F238" s="42">
        <v>3.55</v>
      </c>
      <c r="G238" s="45">
        <v>250</v>
      </c>
      <c r="H238" s="22">
        <v>2.2000000000000002</v>
      </c>
      <c r="I238" s="6">
        <f t="shared" si="6"/>
        <v>1659.6250000000002</v>
      </c>
      <c r="J238" s="7" t="s">
        <v>3109</v>
      </c>
      <c r="K238">
        <f t="shared" si="7"/>
        <v>89.61975000000001</v>
      </c>
    </row>
    <row r="239" spans="1:11" ht="13.95" customHeight="1" x14ac:dyDescent="0.3">
      <c r="A239" s="20">
        <v>45935</v>
      </c>
      <c r="B239" s="20" t="s">
        <v>3317</v>
      </c>
      <c r="C239" s="19" t="s">
        <v>16</v>
      </c>
      <c r="D239" s="19" t="s">
        <v>3098</v>
      </c>
      <c r="E239" s="4">
        <v>0.8</v>
      </c>
      <c r="F239" s="42">
        <v>3.1</v>
      </c>
      <c r="G239" s="45">
        <v>250</v>
      </c>
      <c r="H239" s="22">
        <v>2.2000000000000002</v>
      </c>
      <c r="I239" s="6">
        <f t="shared" si="6"/>
        <v>1364</v>
      </c>
      <c r="J239" s="7" t="s">
        <v>238</v>
      </c>
      <c r="K239">
        <f t="shared" si="7"/>
        <v>73.656000000000006</v>
      </c>
    </row>
    <row r="240" spans="1:11" ht="13.95" customHeight="1" x14ac:dyDescent="0.3">
      <c r="A240" s="20">
        <v>45936</v>
      </c>
      <c r="B240" s="20" t="s">
        <v>3317</v>
      </c>
      <c r="C240" s="19" t="s">
        <v>18</v>
      </c>
      <c r="D240" s="19" t="s">
        <v>3153</v>
      </c>
      <c r="E240" s="4">
        <v>0.5</v>
      </c>
      <c r="F240" s="42">
        <v>2.2999999999999998</v>
      </c>
      <c r="G240" s="45">
        <v>250</v>
      </c>
      <c r="H240" s="22">
        <v>2.2000000000000002</v>
      </c>
      <c r="I240" s="6">
        <f t="shared" si="6"/>
        <v>632.5</v>
      </c>
      <c r="J240" s="7" t="s">
        <v>2563</v>
      </c>
      <c r="K240">
        <f t="shared" si="7"/>
        <v>34.155000000000001</v>
      </c>
    </row>
    <row r="241" spans="1:11" ht="13.95" customHeight="1" x14ac:dyDescent="0.3">
      <c r="A241" s="20">
        <v>45937</v>
      </c>
      <c r="B241" s="20" t="s">
        <v>3317</v>
      </c>
      <c r="C241" s="19" t="s">
        <v>20</v>
      </c>
      <c r="D241" s="19" t="s">
        <v>3153</v>
      </c>
      <c r="E241" s="4">
        <v>0.5</v>
      </c>
      <c r="F241" s="42">
        <v>2.2999999999999998</v>
      </c>
      <c r="G241" s="45">
        <v>250</v>
      </c>
      <c r="H241" s="22">
        <v>2.2000000000000002</v>
      </c>
      <c r="I241" s="6">
        <f t="shared" si="6"/>
        <v>632.5</v>
      </c>
      <c r="J241" s="7" t="s">
        <v>88</v>
      </c>
      <c r="K241">
        <f t="shared" si="7"/>
        <v>34.155000000000001</v>
      </c>
    </row>
    <row r="242" spans="1:11" ht="13.95" customHeight="1" x14ac:dyDescent="0.3">
      <c r="A242" s="20">
        <v>45938</v>
      </c>
      <c r="B242" s="20" t="s">
        <v>3317</v>
      </c>
      <c r="C242" s="19" t="s">
        <v>5</v>
      </c>
      <c r="D242" s="19" t="s">
        <v>3153</v>
      </c>
      <c r="E242" s="4">
        <v>0.5</v>
      </c>
      <c r="F242" s="42">
        <v>2.35</v>
      </c>
      <c r="G242" s="45">
        <v>250</v>
      </c>
      <c r="H242" s="22">
        <v>2.2000000000000002</v>
      </c>
      <c r="I242" s="6">
        <f t="shared" si="6"/>
        <v>646.25</v>
      </c>
      <c r="J242" s="7" t="s">
        <v>88</v>
      </c>
      <c r="K242">
        <f t="shared" si="7"/>
        <v>34.897500000000001</v>
      </c>
    </row>
    <row r="243" spans="1:11" ht="13.95" customHeight="1" x14ac:dyDescent="0.3">
      <c r="A243" s="20">
        <v>45939</v>
      </c>
      <c r="B243" s="20" t="s">
        <v>3317</v>
      </c>
      <c r="C243" s="19" t="s">
        <v>8</v>
      </c>
      <c r="D243" s="19" t="s">
        <v>3153</v>
      </c>
      <c r="E243" s="4">
        <v>0.55000000000000004</v>
      </c>
      <c r="F243" s="42">
        <v>2.4</v>
      </c>
      <c r="G243" s="45">
        <v>250</v>
      </c>
      <c r="H243" s="22">
        <v>2.2000000000000002</v>
      </c>
      <c r="I243" s="6">
        <f t="shared" si="6"/>
        <v>726.00000000000011</v>
      </c>
      <c r="J243" s="7" t="s">
        <v>82</v>
      </c>
      <c r="K243">
        <f t="shared" si="7"/>
        <v>39.204000000000008</v>
      </c>
    </row>
    <row r="244" spans="1:11" ht="13.95" customHeight="1" x14ac:dyDescent="0.3">
      <c r="A244" s="20">
        <v>45940</v>
      </c>
      <c r="B244" s="20" t="s">
        <v>3317</v>
      </c>
      <c r="C244" s="19" t="s">
        <v>11</v>
      </c>
      <c r="D244" s="19" t="s">
        <v>14</v>
      </c>
      <c r="E244" s="4">
        <v>0.7</v>
      </c>
      <c r="F244" s="42">
        <v>2.85</v>
      </c>
      <c r="G244" s="45">
        <v>250</v>
      </c>
      <c r="H244" s="22">
        <v>2.2000000000000002</v>
      </c>
      <c r="I244" s="6">
        <f t="shared" si="6"/>
        <v>1097.25</v>
      </c>
      <c r="J244" s="7" t="s">
        <v>390</v>
      </c>
      <c r="K244">
        <f t="shared" si="7"/>
        <v>59.2515</v>
      </c>
    </row>
    <row r="245" spans="1:11" ht="13.95" customHeight="1" x14ac:dyDescent="0.3">
      <c r="A245" s="20">
        <v>45941</v>
      </c>
      <c r="B245" s="20" t="s">
        <v>3317</v>
      </c>
      <c r="C245" s="19" t="s">
        <v>13</v>
      </c>
      <c r="D245" s="19" t="s">
        <v>3274</v>
      </c>
      <c r="E245" s="4">
        <v>0.8</v>
      </c>
      <c r="F245" s="42">
        <v>3.5</v>
      </c>
      <c r="G245" s="45">
        <v>250</v>
      </c>
      <c r="H245" s="22">
        <v>2.2000000000000002</v>
      </c>
      <c r="I245" s="6">
        <f t="shared" si="6"/>
        <v>1540.0000000000002</v>
      </c>
      <c r="J245" s="7" t="s">
        <v>3305</v>
      </c>
      <c r="K245">
        <f t="shared" si="7"/>
        <v>83.160000000000011</v>
      </c>
    </row>
    <row r="246" spans="1:11" ht="13.95" customHeight="1" x14ac:dyDescent="0.3">
      <c r="A246" s="20">
        <v>45942</v>
      </c>
      <c r="B246" s="20" t="s">
        <v>3317</v>
      </c>
      <c r="C246" s="19" t="s">
        <v>16</v>
      </c>
      <c r="D246" s="19" t="s">
        <v>3098</v>
      </c>
      <c r="E246" s="4">
        <v>0.75</v>
      </c>
      <c r="F246" s="42">
        <v>3</v>
      </c>
      <c r="G246" s="45">
        <v>250</v>
      </c>
      <c r="H246" s="22">
        <v>2.2000000000000002</v>
      </c>
      <c r="I246" s="6">
        <f t="shared" si="6"/>
        <v>1237.5</v>
      </c>
      <c r="J246" s="7" t="s">
        <v>3113</v>
      </c>
      <c r="K246">
        <f t="shared" si="7"/>
        <v>66.825000000000003</v>
      </c>
    </row>
    <row r="247" spans="1:11" ht="13.95" customHeight="1" x14ac:dyDescent="0.3">
      <c r="A247" s="20">
        <v>45943</v>
      </c>
      <c r="B247" s="20" t="s">
        <v>3317</v>
      </c>
      <c r="C247" s="19" t="s">
        <v>18</v>
      </c>
      <c r="D247" s="19" t="s">
        <v>9</v>
      </c>
      <c r="E247" s="4">
        <v>0.55000000000000004</v>
      </c>
      <c r="F247" s="42">
        <v>2.35</v>
      </c>
      <c r="G247" s="45">
        <v>250</v>
      </c>
      <c r="H247" s="22">
        <v>2.2000000000000002</v>
      </c>
      <c r="I247" s="6">
        <f t="shared" si="6"/>
        <v>710.87500000000011</v>
      </c>
      <c r="J247" s="7" t="s">
        <v>150</v>
      </c>
      <c r="K247">
        <f t="shared" si="7"/>
        <v>38.387250000000009</v>
      </c>
    </row>
    <row r="248" spans="1:11" ht="13.95" customHeight="1" x14ac:dyDescent="0.3">
      <c r="A248" s="20">
        <v>45944</v>
      </c>
      <c r="B248" s="20" t="s">
        <v>3317</v>
      </c>
      <c r="C248" s="19" t="s">
        <v>20</v>
      </c>
      <c r="D248" s="19" t="s">
        <v>994</v>
      </c>
      <c r="E248" s="4">
        <v>0.65</v>
      </c>
      <c r="F248" s="42">
        <v>2.6</v>
      </c>
      <c r="G248" s="45">
        <v>250</v>
      </c>
      <c r="H248" s="22">
        <v>2.2000000000000002</v>
      </c>
      <c r="I248" s="6">
        <f t="shared" si="6"/>
        <v>929.50000000000011</v>
      </c>
      <c r="J248" s="7" t="s">
        <v>2690</v>
      </c>
      <c r="K248">
        <f t="shared" si="7"/>
        <v>50.193000000000005</v>
      </c>
    </row>
    <row r="249" spans="1:11" ht="13.95" customHeight="1" x14ac:dyDescent="0.3">
      <c r="A249" s="20">
        <v>45945</v>
      </c>
      <c r="B249" s="20" t="s">
        <v>3317</v>
      </c>
      <c r="C249" s="19" t="s">
        <v>5</v>
      </c>
      <c r="D249" s="19" t="s">
        <v>2691</v>
      </c>
      <c r="E249" s="4">
        <v>0.85</v>
      </c>
      <c r="F249" s="42">
        <v>3.4</v>
      </c>
      <c r="G249" s="45">
        <v>250</v>
      </c>
      <c r="H249" s="22">
        <v>2.2000000000000002</v>
      </c>
      <c r="I249" s="6">
        <f t="shared" si="6"/>
        <v>1589.5000000000002</v>
      </c>
      <c r="J249" s="7" t="s">
        <v>2230</v>
      </c>
      <c r="K249">
        <f t="shared" si="7"/>
        <v>85.833000000000013</v>
      </c>
    </row>
    <row r="250" spans="1:11" ht="13.95" customHeight="1" x14ac:dyDescent="0.3">
      <c r="A250" s="20">
        <v>45946</v>
      </c>
      <c r="B250" s="20" t="s">
        <v>3317</v>
      </c>
      <c r="C250" s="19" t="s">
        <v>8</v>
      </c>
      <c r="D250" s="19" t="s">
        <v>9</v>
      </c>
      <c r="E250" s="4">
        <v>0.55000000000000004</v>
      </c>
      <c r="F250" s="42">
        <v>2.35</v>
      </c>
      <c r="G250" s="45">
        <v>250</v>
      </c>
      <c r="H250" s="22">
        <v>2.2000000000000002</v>
      </c>
      <c r="I250" s="6">
        <f t="shared" si="6"/>
        <v>710.87500000000011</v>
      </c>
      <c r="J250" s="7" t="s">
        <v>774</v>
      </c>
      <c r="K250">
        <f t="shared" si="7"/>
        <v>38.387250000000009</v>
      </c>
    </row>
    <row r="251" spans="1:11" ht="13.95" customHeight="1" x14ac:dyDescent="0.3">
      <c r="A251" s="20">
        <v>45947</v>
      </c>
      <c r="B251" s="20" t="s">
        <v>3317</v>
      </c>
      <c r="C251" s="19" t="s">
        <v>11</v>
      </c>
      <c r="D251" s="19" t="s">
        <v>14</v>
      </c>
      <c r="E251" s="4">
        <v>0.7</v>
      </c>
      <c r="F251" s="42">
        <v>2.85</v>
      </c>
      <c r="G251" s="45">
        <v>250</v>
      </c>
      <c r="H251" s="22">
        <v>2.2000000000000002</v>
      </c>
      <c r="I251" s="6">
        <f t="shared" si="6"/>
        <v>1097.25</v>
      </c>
      <c r="J251" s="7" t="s">
        <v>282</v>
      </c>
      <c r="K251">
        <f t="shared" si="7"/>
        <v>59.2515</v>
      </c>
    </row>
    <row r="252" spans="1:11" ht="13.95" customHeight="1" x14ac:dyDescent="0.3">
      <c r="A252" s="20">
        <v>45948</v>
      </c>
      <c r="B252" s="20" t="s">
        <v>3317</v>
      </c>
      <c r="C252" s="19" t="s">
        <v>13</v>
      </c>
      <c r="D252" s="19" t="s">
        <v>3306</v>
      </c>
      <c r="E252" s="4">
        <v>0.85</v>
      </c>
      <c r="F252" s="42">
        <v>3.6</v>
      </c>
      <c r="G252" s="45">
        <v>250</v>
      </c>
      <c r="H252" s="22">
        <v>2.2000000000000002</v>
      </c>
      <c r="I252" s="6">
        <f t="shared" si="6"/>
        <v>1683.0000000000002</v>
      </c>
      <c r="J252" s="7" t="s">
        <v>1711</v>
      </c>
      <c r="K252">
        <f t="shared" si="7"/>
        <v>90.882000000000005</v>
      </c>
    </row>
    <row r="253" spans="1:11" ht="13.95" customHeight="1" x14ac:dyDescent="0.3">
      <c r="A253" s="20">
        <v>45949</v>
      </c>
      <c r="B253" s="20" t="s">
        <v>3317</v>
      </c>
      <c r="C253" s="19" t="s">
        <v>16</v>
      </c>
      <c r="D253" s="19" t="s">
        <v>3098</v>
      </c>
      <c r="E253" s="4">
        <v>0.8</v>
      </c>
      <c r="F253" s="42">
        <v>3.1</v>
      </c>
      <c r="G253" s="45">
        <v>250</v>
      </c>
      <c r="H253" s="22">
        <v>2.2000000000000002</v>
      </c>
      <c r="I253" s="6">
        <f t="shared" si="6"/>
        <v>1364</v>
      </c>
      <c r="J253" s="7" t="s">
        <v>1336</v>
      </c>
      <c r="K253">
        <f t="shared" si="7"/>
        <v>73.656000000000006</v>
      </c>
    </row>
    <row r="254" spans="1:11" ht="13.95" customHeight="1" x14ac:dyDescent="0.3">
      <c r="A254" s="20">
        <v>45950</v>
      </c>
      <c r="B254" s="20" t="s">
        <v>3317</v>
      </c>
      <c r="C254" s="19" t="s">
        <v>18</v>
      </c>
      <c r="D254" s="19" t="s">
        <v>9</v>
      </c>
      <c r="E254" s="4">
        <v>0.55000000000000004</v>
      </c>
      <c r="F254" s="42">
        <v>2.35</v>
      </c>
      <c r="G254" s="45">
        <v>250</v>
      </c>
      <c r="H254" s="22">
        <v>2.2000000000000002</v>
      </c>
      <c r="I254" s="6">
        <f t="shared" si="6"/>
        <v>710.87500000000011</v>
      </c>
      <c r="J254" s="7" t="s">
        <v>88</v>
      </c>
      <c r="K254">
        <f t="shared" si="7"/>
        <v>38.387250000000009</v>
      </c>
    </row>
    <row r="255" spans="1:11" ht="13.95" customHeight="1" x14ac:dyDescent="0.3">
      <c r="A255" s="20">
        <v>45951</v>
      </c>
      <c r="B255" s="20" t="s">
        <v>3317</v>
      </c>
      <c r="C255" s="19" t="s">
        <v>20</v>
      </c>
      <c r="D255" s="19" t="s">
        <v>9</v>
      </c>
      <c r="E255" s="4">
        <v>0.55000000000000004</v>
      </c>
      <c r="F255" s="42">
        <v>2.35</v>
      </c>
      <c r="G255" s="45">
        <v>250</v>
      </c>
      <c r="H255" s="22">
        <v>2.2000000000000002</v>
      </c>
      <c r="I255" s="6">
        <f t="shared" si="6"/>
        <v>710.87500000000011</v>
      </c>
      <c r="J255" s="7" t="s">
        <v>88</v>
      </c>
      <c r="K255">
        <f t="shared" si="7"/>
        <v>38.387250000000009</v>
      </c>
    </row>
    <row r="256" spans="1:11" ht="13.95" customHeight="1" x14ac:dyDescent="0.3">
      <c r="A256" s="20">
        <v>45952</v>
      </c>
      <c r="B256" s="20" t="s">
        <v>3317</v>
      </c>
      <c r="C256" s="19" t="s">
        <v>5</v>
      </c>
      <c r="D256" s="19" t="s">
        <v>9</v>
      </c>
      <c r="E256" s="4">
        <v>0.6</v>
      </c>
      <c r="F256" s="42">
        <v>2.4</v>
      </c>
      <c r="G256" s="45">
        <v>250</v>
      </c>
      <c r="H256" s="22">
        <v>2.2000000000000002</v>
      </c>
      <c r="I256" s="6">
        <f t="shared" si="6"/>
        <v>792.00000000000011</v>
      </c>
      <c r="J256" s="7" t="s">
        <v>88</v>
      </c>
      <c r="K256">
        <f t="shared" si="7"/>
        <v>42.768000000000008</v>
      </c>
    </row>
    <row r="257" spans="1:11" ht="13.95" customHeight="1" x14ac:dyDescent="0.3">
      <c r="A257" s="20">
        <v>45953</v>
      </c>
      <c r="B257" s="20" t="s">
        <v>3317</v>
      </c>
      <c r="C257" s="19" t="s">
        <v>8</v>
      </c>
      <c r="D257" s="19" t="s">
        <v>2833</v>
      </c>
      <c r="E257" s="4">
        <v>0.75</v>
      </c>
      <c r="F257" s="42">
        <v>2.7</v>
      </c>
      <c r="G257" s="45">
        <v>250</v>
      </c>
      <c r="H257" s="22">
        <v>2.2000000000000002</v>
      </c>
      <c r="I257" s="6">
        <f t="shared" si="6"/>
        <v>1113.7500000000002</v>
      </c>
      <c r="J257" s="7" t="s">
        <v>1818</v>
      </c>
      <c r="K257">
        <f t="shared" si="7"/>
        <v>60.142500000000013</v>
      </c>
    </row>
    <row r="258" spans="1:11" ht="13.95" customHeight="1" x14ac:dyDescent="0.3">
      <c r="A258" s="20">
        <v>45954</v>
      </c>
      <c r="B258" s="20" t="s">
        <v>3317</v>
      </c>
      <c r="C258" s="19" t="s">
        <v>11</v>
      </c>
      <c r="D258" s="19" t="s">
        <v>1564</v>
      </c>
      <c r="E258" s="4">
        <v>0.85</v>
      </c>
      <c r="F258" s="42">
        <v>3.1</v>
      </c>
      <c r="G258" s="45">
        <v>250</v>
      </c>
      <c r="H258" s="22">
        <v>2.2000000000000002</v>
      </c>
      <c r="I258" s="6">
        <f t="shared" si="6"/>
        <v>1449.2500000000002</v>
      </c>
      <c r="J258" s="7" t="s">
        <v>3307</v>
      </c>
      <c r="K258">
        <f t="shared" si="7"/>
        <v>78.259500000000017</v>
      </c>
    </row>
    <row r="259" spans="1:11" ht="13.95" customHeight="1" x14ac:dyDescent="0.3">
      <c r="A259" s="20">
        <v>45955</v>
      </c>
      <c r="B259" s="20" t="s">
        <v>3317</v>
      </c>
      <c r="C259" s="19" t="s">
        <v>13</v>
      </c>
      <c r="D259" s="19" t="s">
        <v>3151</v>
      </c>
      <c r="E259" s="4">
        <v>0.95</v>
      </c>
      <c r="F259" s="42">
        <v>3.8</v>
      </c>
      <c r="G259" s="45">
        <v>250</v>
      </c>
      <c r="H259" s="22">
        <v>2.2000000000000002</v>
      </c>
      <c r="I259" s="6">
        <f t="shared" ref="I259:I322" si="8">(G259*E259)*F259*H259</f>
        <v>1985.5000000000002</v>
      </c>
      <c r="J259" s="7" t="s">
        <v>3308</v>
      </c>
      <c r="K259">
        <f t="shared" ref="K259:K322" si="9">I259*0.054</f>
        <v>107.21700000000001</v>
      </c>
    </row>
    <row r="260" spans="1:11" ht="13.95" customHeight="1" x14ac:dyDescent="0.3">
      <c r="A260" s="20">
        <v>45956</v>
      </c>
      <c r="B260" s="20" t="s">
        <v>3317</v>
      </c>
      <c r="C260" s="19" t="s">
        <v>16</v>
      </c>
      <c r="D260" s="19" t="s">
        <v>3002</v>
      </c>
      <c r="E260" s="4">
        <v>0.9</v>
      </c>
      <c r="F260" s="42">
        <v>3.3</v>
      </c>
      <c r="G260" s="45">
        <v>250</v>
      </c>
      <c r="H260" s="22">
        <v>2.2000000000000002</v>
      </c>
      <c r="I260" s="6">
        <f t="shared" si="8"/>
        <v>1633.5000000000002</v>
      </c>
      <c r="J260" s="7" t="s">
        <v>1404</v>
      </c>
      <c r="K260">
        <f t="shared" si="9"/>
        <v>88.209000000000017</v>
      </c>
    </row>
    <row r="261" spans="1:11" ht="13.95" customHeight="1" x14ac:dyDescent="0.3">
      <c r="A261" s="20">
        <v>45957</v>
      </c>
      <c r="B261" s="20" t="s">
        <v>3317</v>
      </c>
      <c r="C261" s="19" t="s">
        <v>18</v>
      </c>
      <c r="D261" s="19" t="s">
        <v>2833</v>
      </c>
      <c r="E261" s="4">
        <v>0.8</v>
      </c>
      <c r="F261" s="42">
        <v>2.6</v>
      </c>
      <c r="G261" s="45">
        <v>250</v>
      </c>
      <c r="H261" s="22">
        <v>2.2000000000000002</v>
      </c>
      <c r="I261" s="6">
        <f t="shared" si="8"/>
        <v>1144</v>
      </c>
      <c r="J261" s="7" t="s">
        <v>3309</v>
      </c>
      <c r="K261">
        <f t="shared" si="9"/>
        <v>61.775999999999996</v>
      </c>
    </row>
    <row r="262" spans="1:11" ht="13.95" customHeight="1" x14ac:dyDescent="0.3">
      <c r="A262" s="20">
        <v>45958</v>
      </c>
      <c r="B262" s="20" t="s">
        <v>3317</v>
      </c>
      <c r="C262" s="19" t="s">
        <v>20</v>
      </c>
      <c r="D262" s="19" t="s">
        <v>2833</v>
      </c>
      <c r="E262" s="4">
        <v>0.8</v>
      </c>
      <c r="F262" s="42">
        <v>2.6</v>
      </c>
      <c r="G262" s="45">
        <v>250</v>
      </c>
      <c r="H262" s="22">
        <v>2.2000000000000002</v>
      </c>
      <c r="I262" s="6">
        <f t="shared" si="8"/>
        <v>1144</v>
      </c>
      <c r="J262" s="7" t="s">
        <v>3258</v>
      </c>
      <c r="K262">
        <f t="shared" si="9"/>
        <v>61.775999999999996</v>
      </c>
    </row>
    <row r="263" spans="1:11" ht="13.95" customHeight="1" x14ac:dyDescent="0.3">
      <c r="A263" s="20">
        <v>45959</v>
      </c>
      <c r="B263" s="20" t="s">
        <v>3317</v>
      </c>
      <c r="C263" s="19" t="s">
        <v>5</v>
      </c>
      <c r="D263" s="19" t="s">
        <v>2833</v>
      </c>
      <c r="E263" s="4">
        <v>0.85</v>
      </c>
      <c r="F263" s="42">
        <v>2.65</v>
      </c>
      <c r="G263" s="45">
        <v>250</v>
      </c>
      <c r="H263" s="22">
        <v>2.2000000000000002</v>
      </c>
      <c r="I263" s="6">
        <f t="shared" si="8"/>
        <v>1238.875</v>
      </c>
      <c r="J263" s="7" t="s">
        <v>88</v>
      </c>
      <c r="K263">
        <f t="shared" si="9"/>
        <v>66.899249999999995</v>
      </c>
    </row>
    <row r="264" spans="1:11" ht="13.95" customHeight="1" x14ac:dyDescent="0.3">
      <c r="A264" s="20">
        <v>45960</v>
      </c>
      <c r="B264" s="20" t="s">
        <v>3317</v>
      </c>
      <c r="C264" s="19" t="s">
        <v>8</v>
      </c>
      <c r="D264" s="19" t="s">
        <v>1465</v>
      </c>
      <c r="E264" s="4">
        <v>0.9</v>
      </c>
      <c r="F264" s="42">
        <v>2.9</v>
      </c>
      <c r="G264" s="45">
        <v>250</v>
      </c>
      <c r="H264" s="22">
        <v>2.2000000000000002</v>
      </c>
      <c r="I264" s="6">
        <f t="shared" si="8"/>
        <v>1435.5000000000002</v>
      </c>
      <c r="J264" s="7" t="s">
        <v>531</v>
      </c>
      <c r="K264">
        <f t="shared" si="9"/>
        <v>77.51700000000001</v>
      </c>
    </row>
    <row r="265" spans="1:11" ht="13.95" customHeight="1" x14ac:dyDescent="0.3">
      <c r="A265" s="20">
        <v>45961</v>
      </c>
      <c r="B265" s="20" t="s">
        <v>3317</v>
      </c>
      <c r="C265" s="19" t="s">
        <v>11</v>
      </c>
      <c r="D265" s="19" t="s">
        <v>3149</v>
      </c>
      <c r="E265" s="4">
        <v>1</v>
      </c>
      <c r="F265" s="42">
        <v>4.3</v>
      </c>
      <c r="G265" s="45">
        <v>250</v>
      </c>
      <c r="H265" s="22">
        <v>2.2000000000000002</v>
      </c>
      <c r="I265" s="6">
        <f t="shared" si="8"/>
        <v>2365</v>
      </c>
      <c r="J265" s="7" t="s">
        <v>2459</v>
      </c>
      <c r="K265">
        <f t="shared" si="9"/>
        <v>127.71</v>
      </c>
    </row>
    <row r="266" spans="1:11" ht="13.95" customHeight="1" x14ac:dyDescent="0.3">
      <c r="A266" s="20">
        <v>45962</v>
      </c>
      <c r="B266" s="20" t="s">
        <v>3317</v>
      </c>
      <c r="C266" s="19" t="s">
        <v>13</v>
      </c>
      <c r="D266" s="19" t="s">
        <v>3310</v>
      </c>
      <c r="E266" s="4">
        <v>0.65</v>
      </c>
      <c r="F266" s="42">
        <v>3.2</v>
      </c>
      <c r="G266" s="45">
        <v>250</v>
      </c>
      <c r="H266" s="22">
        <v>1.9</v>
      </c>
      <c r="I266" s="6">
        <f t="shared" si="8"/>
        <v>988</v>
      </c>
      <c r="J266" s="7" t="s">
        <v>3311</v>
      </c>
      <c r="K266">
        <f t="shared" si="9"/>
        <v>53.351999999999997</v>
      </c>
    </row>
    <row r="267" spans="1:11" ht="13.95" customHeight="1" x14ac:dyDescent="0.3">
      <c r="A267" s="20">
        <v>45963</v>
      </c>
      <c r="B267" s="20" t="s">
        <v>3317</v>
      </c>
      <c r="C267" s="19" t="s">
        <v>16</v>
      </c>
      <c r="D267" s="19" t="s">
        <v>3098</v>
      </c>
      <c r="E267" s="4">
        <v>0.55000000000000004</v>
      </c>
      <c r="F267" s="42">
        <v>2.8</v>
      </c>
      <c r="G267" s="45">
        <v>250</v>
      </c>
      <c r="H267" s="22">
        <v>1.9</v>
      </c>
      <c r="I267" s="6">
        <f t="shared" si="8"/>
        <v>731.5</v>
      </c>
      <c r="J267" s="7" t="s">
        <v>139</v>
      </c>
      <c r="K267">
        <f t="shared" si="9"/>
        <v>39.500999999999998</v>
      </c>
    </row>
    <row r="268" spans="1:11" ht="13.95" customHeight="1" x14ac:dyDescent="0.3">
      <c r="A268" s="20">
        <v>45964</v>
      </c>
      <c r="B268" s="20" t="s">
        <v>3317</v>
      </c>
      <c r="C268" s="19" t="s">
        <v>18</v>
      </c>
      <c r="D268" s="19" t="s">
        <v>3252</v>
      </c>
      <c r="E268" s="4">
        <v>0.35</v>
      </c>
      <c r="F268" s="42">
        <v>2.2000000000000002</v>
      </c>
      <c r="G268" s="45">
        <v>250</v>
      </c>
      <c r="H268" s="22">
        <v>1.9</v>
      </c>
      <c r="I268" s="6">
        <f t="shared" si="8"/>
        <v>365.75000000000006</v>
      </c>
      <c r="J268" s="7" t="s">
        <v>2485</v>
      </c>
      <c r="K268">
        <f t="shared" si="9"/>
        <v>19.750500000000002</v>
      </c>
    </row>
    <row r="269" spans="1:11" ht="13.95" customHeight="1" x14ac:dyDescent="0.3">
      <c r="A269" s="20">
        <v>45965</v>
      </c>
      <c r="B269" s="20" t="s">
        <v>3317</v>
      </c>
      <c r="C269" s="19" t="s">
        <v>20</v>
      </c>
      <c r="D269" s="19" t="s">
        <v>3252</v>
      </c>
      <c r="E269" s="4">
        <v>0.35</v>
      </c>
      <c r="F269" s="42">
        <v>2.2000000000000002</v>
      </c>
      <c r="G269" s="45">
        <v>250</v>
      </c>
      <c r="H269" s="22">
        <v>1.9</v>
      </c>
      <c r="I269" s="6">
        <f t="shared" si="8"/>
        <v>365.75000000000006</v>
      </c>
      <c r="J269" s="7" t="s">
        <v>150</v>
      </c>
      <c r="K269">
        <f t="shared" si="9"/>
        <v>19.750500000000002</v>
      </c>
    </row>
    <row r="270" spans="1:11" ht="13.95" customHeight="1" x14ac:dyDescent="0.3">
      <c r="A270" s="20">
        <v>45966</v>
      </c>
      <c r="B270" s="20" t="s">
        <v>3317</v>
      </c>
      <c r="C270" s="19" t="s">
        <v>5</v>
      </c>
      <c r="D270" s="19" t="s">
        <v>3252</v>
      </c>
      <c r="E270" s="4">
        <v>0.35</v>
      </c>
      <c r="F270" s="42">
        <v>2.2000000000000002</v>
      </c>
      <c r="G270" s="45">
        <v>250</v>
      </c>
      <c r="H270" s="22">
        <v>1.9</v>
      </c>
      <c r="I270" s="6">
        <f t="shared" si="8"/>
        <v>365.75000000000006</v>
      </c>
      <c r="J270" s="7" t="s">
        <v>150</v>
      </c>
      <c r="K270">
        <f t="shared" si="9"/>
        <v>19.750500000000002</v>
      </c>
    </row>
    <row r="271" spans="1:11" ht="13.95" customHeight="1" x14ac:dyDescent="0.3">
      <c r="A271" s="20">
        <v>45967</v>
      </c>
      <c r="B271" s="20" t="s">
        <v>3317</v>
      </c>
      <c r="C271" s="19" t="s">
        <v>8</v>
      </c>
      <c r="D271" s="19" t="s">
        <v>3227</v>
      </c>
      <c r="E271" s="4">
        <v>0.55000000000000004</v>
      </c>
      <c r="F271" s="42">
        <v>2.65</v>
      </c>
      <c r="G271" s="45">
        <v>250</v>
      </c>
      <c r="H271" s="22">
        <v>1.9</v>
      </c>
      <c r="I271" s="6">
        <f t="shared" si="8"/>
        <v>692.3125</v>
      </c>
      <c r="J271" s="7" t="s">
        <v>2569</v>
      </c>
      <c r="K271">
        <f t="shared" si="9"/>
        <v>37.384875000000001</v>
      </c>
    </row>
    <row r="272" spans="1:11" ht="13.95" customHeight="1" x14ac:dyDescent="0.3">
      <c r="A272" s="20">
        <v>45968</v>
      </c>
      <c r="B272" s="20" t="s">
        <v>3317</v>
      </c>
      <c r="C272" s="19" t="s">
        <v>11</v>
      </c>
      <c r="D272" s="19" t="s">
        <v>14</v>
      </c>
      <c r="E272" s="4">
        <v>0.5</v>
      </c>
      <c r="F272" s="42">
        <v>2.75</v>
      </c>
      <c r="G272" s="45">
        <v>250</v>
      </c>
      <c r="H272" s="22">
        <v>1.9</v>
      </c>
      <c r="I272" s="6">
        <f t="shared" si="8"/>
        <v>653.125</v>
      </c>
      <c r="J272" s="7" t="s">
        <v>91</v>
      </c>
      <c r="K272">
        <f t="shared" si="9"/>
        <v>35.268749999999997</v>
      </c>
    </row>
    <row r="273" spans="1:11" ht="13.95" customHeight="1" x14ac:dyDescent="0.3">
      <c r="A273" s="20">
        <v>45969</v>
      </c>
      <c r="B273" s="20" t="s">
        <v>3317</v>
      </c>
      <c r="C273" s="19" t="s">
        <v>13</v>
      </c>
      <c r="D273" s="19" t="s">
        <v>3230</v>
      </c>
      <c r="E273" s="4">
        <v>0.6</v>
      </c>
      <c r="F273" s="42">
        <v>3.15</v>
      </c>
      <c r="G273" s="45">
        <v>250</v>
      </c>
      <c r="H273" s="22">
        <v>1.9</v>
      </c>
      <c r="I273" s="6">
        <f t="shared" si="8"/>
        <v>897.75</v>
      </c>
      <c r="J273" s="7" t="s">
        <v>1481</v>
      </c>
      <c r="K273">
        <f t="shared" si="9"/>
        <v>48.478499999999997</v>
      </c>
    </row>
    <row r="274" spans="1:11" ht="13.95" customHeight="1" x14ac:dyDescent="0.3">
      <c r="A274" s="20">
        <v>45970</v>
      </c>
      <c r="B274" s="20" t="s">
        <v>3317</v>
      </c>
      <c r="C274" s="19" t="s">
        <v>16</v>
      </c>
      <c r="D274" s="19" t="s">
        <v>3098</v>
      </c>
      <c r="E274" s="4">
        <v>0.55000000000000004</v>
      </c>
      <c r="F274" s="42">
        <v>2.85</v>
      </c>
      <c r="G274" s="45">
        <v>250</v>
      </c>
      <c r="H274" s="22">
        <v>1.9</v>
      </c>
      <c r="I274" s="6">
        <f t="shared" si="8"/>
        <v>744.5625</v>
      </c>
      <c r="J274" s="7" t="s">
        <v>88</v>
      </c>
      <c r="K274">
        <f t="shared" si="9"/>
        <v>40.206375000000001</v>
      </c>
    </row>
    <row r="275" spans="1:11" ht="13.95" customHeight="1" x14ac:dyDescent="0.3">
      <c r="A275" s="20">
        <v>45971</v>
      </c>
      <c r="B275" s="20" t="s">
        <v>3317</v>
      </c>
      <c r="C275" s="19" t="s">
        <v>18</v>
      </c>
      <c r="D275" s="19" t="s">
        <v>3252</v>
      </c>
      <c r="E275" s="4">
        <v>0.35</v>
      </c>
      <c r="F275" s="42">
        <v>2.2000000000000002</v>
      </c>
      <c r="G275" s="45">
        <v>250</v>
      </c>
      <c r="H275" s="22">
        <v>1.9</v>
      </c>
      <c r="I275" s="6">
        <f t="shared" si="8"/>
        <v>365.75000000000006</v>
      </c>
      <c r="J275" s="7" t="s">
        <v>88</v>
      </c>
      <c r="K275">
        <f t="shared" si="9"/>
        <v>19.750500000000002</v>
      </c>
    </row>
    <row r="276" spans="1:11" ht="13.95" customHeight="1" x14ac:dyDescent="0.3">
      <c r="A276" s="20">
        <v>45972</v>
      </c>
      <c r="B276" s="20" t="s">
        <v>3317</v>
      </c>
      <c r="C276" s="19" t="s">
        <v>20</v>
      </c>
      <c r="D276" s="19" t="s">
        <v>3252</v>
      </c>
      <c r="E276" s="4">
        <v>0.35</v>
      </c>
      <c r="F276" s="42">
        <v>2.2000000000000002</v>
      </c>
      <c r="G276" s="45">
        <v>250</v>
      </c>
      <c r="H276" s="22">
        <v>1.9</v>
      </c>
      <c r="I276" s="6">
        <f t="shared" si="8"/>
        <v>365.75000000000006</v>
      </c>
      <c r="J276" s="7" t="s">
        <v>88</v>
      </c>
      <c r="K276">
        <f t="shared" si="9"/>
        <v>19.750500000000002</v>
      </c>
    </row>
    <row r="277" spans="1:11" ht="13.95" customHeight="1" x14ac:dyDescent="0.3">
      <c r="A277" s="20">
        <v>45973</v>
      </c>
      <c r="B277" s="20" t="s">
        <v>3317</v>
      </c>
      <c r="C277" s="19" t="s">
        <v>5</v>
      </c>
      <c r="D277" s="19" t="s">
        <v>3252</v>
      </c>
      <c r="E277" s="4">
        <v>0.4</v>
      </c>
      <c r="F277" s="42">
        <v>2.25</v>
      </c>
      <c r="G277" s="45">
        <v>250</v>
      </c>
      <c r="H277" s="22">
        <v>1.9</v>
      </c>
      <c r="I277" s="6">
        <f t="shared" si="8"/>
        <v>427.5</v>
      </c>
      <c r="J277" s="7" t="s">
        <v>88</v>
      </c>
      <c r="K277">
        <f t="shared" si="9"/>
        <v>23.085000000000001</v>
      </c>
    </row>
    <row r="278" spans="1:11" ht="13.95" customHeight="1" x14ac:dyDescent="0.3">
      <c r="A278" s="20">
        <v>45974</v>
      </c>
      <c r="B278" s="20" t="s">
        <v>3317</v>
      </c>
      <c r="C278" s="19" t="s">
        <v>8</v>
      </c>
      <c r="D278" s="19" t="s">
        <v>3227</v>
      </c>
      <c r="E278" s="4">
        <v>0.6</v>
      </c>
      <c r="F278" s="42">
        <v>2.7</v>
      </c>
      <c r="G278" s="45">
        <v>250</v>
      </c>
      <c r="H278" s="22">
        <v>1.9</v>
      </c>
      <c r="I278" s="6">
        <f t="shared" si="8"/>
        <v>769.5</v>
      </c>
      <c r="J278" s="7" t="s">
        <v>3254</v>
      </c>
      <c r="K278">
        <f t="shared" si="9"/>
        <v>41.552999999999997</v>
      </c>
    </row>
    <row r="279" spans="1:11" ht="13.95" customHeight="1" x14ac:dyDescent="0.3">
      <c r="A279" s="20">
        <v>45975</v>
      </c>
      <c r="B279" s="20" t="s">
        <v>3317</v>
      </c>
      <c r="C279" s="19" t="s">
        <v>11</v>
      </c>
      <c r="D279" s="19" t="s">
        <v>14</v>
      </c>
      <c r="E279" s="4">
        <v>0.55000000000000004</v>
      </c>
      <c r="F279" s="42">
        <v>2.8</v>
      </c>
      <c r="G279" s="45">
        <v>250</v>
      </c>
      <c r="H279" s="22">
        <v>1.9</v>
      </c>
      <c r="I279" s="6">
        <f t="shared" si="8"/>
        <v>731.5</v>
      </c>
      <c r="J279" s="7" t="s">
        <v>1095</v>
      </c>
      <c r="K279">
        <f t="shared" si="9"/>
        <v>39.500999999999998</v>
      </c>
    </row>
    <row r="280" spans="1:11" ht="13.95" customHeight="1" x14ac:dyDescent="0.3">
      <c r="A280" s="20">
        <v>45976</v>
      </c>
      <c r="B280" s="20" t="s">
        <v>3317</v>
      </c>
      <c r="C280" s="19" t="s">
        <v>13</v>
      </c>
      <c r="D280" s="19" t="s">
        <v>3312</v>
      </c>
      <c r="E280" s="4">
        <v>0.65</v>
      </c>
      <c r="F280" s="42">
        <v>3.3</v>
      </c>
      <c r="G280" s="45">
        <v>250</v>
      </c>
      <c r="H280" s="22">
        <v>1.9</v>
      </c>
      <c r="I280" s="6">
        <f t="shared" si="8"/>
        <v>1018.875</v>
      </c>
      <c r="J280" s="7" t="s">
        <v>1811</v>
      </c>
      <c r="K280">
        <f t="shared" si="9"/>
        <v>55.01925</v>
      </c>
    </row>
    <row r="281" spans="1:11" ht="13.95" customHeight="1" x14ac:dyDescent="0.3">
      <c r="A281" s="20">
        <v>45977</v>
      </c>
      <c r="B281" s="20" t="s">
        <v>3317</v>
      </c>
      <c r="C281" s="19" t="s">
        <v>16</v>
      </c>
      <c r="D281" s="19" t="s">
        <v>3098</v>
      </c>
      <c r="E281" s="4">
        <v>0.6</v>
      </c>
      <c r="F281" s="42">
        <v>2.9</v>
      </c>
      <c r="G281" s="45">
        <v>250</v>
      </c>
      <c r="H281" s="22">
        <v>1.9</v>
      </c>
      <c r="I281" s="6">
        <f t="shared" si="8"/>
        <v>826.5</v>
      </c>
      <c r="J281" s="7" t="s">
        <v>3113</v>
      </c>
      <c r="K281">
        <f t="shared" si="9"/>
        <v>44.631</v>
      </c>
    </row>
    <row r="282" spans="1:11" ht="13.95" customHeight="1" x14ac:dyDescent="0.3">
      <c r="A282" s="20">
        <v>45978</v>
      </c>
      <c r="B282" s="20" t="s">
        <v>3317</v>
      </c>
      <c r="C282" s="19" t="s">
        <v>18</v>
      </c>
      <c r="D282" s="19" t="s">
        <v>3252</v>
      </c>
      <c r="E282" s="4">
        <v>0.35</v>
      </c>
      <c r="F282" s="42">
        <v>2.2000000000000002</v>
      </c>
      <c r="G282" s="45">
        <v>250</v>
      </c>
      <c r="H282" s="22">
        <v>1.9</v>
      </c>
      <c r="I282" s="6">
        <f t="shared" si="8"/>
        <v>365.75000000000006</v>
      </c>
      <c r="J282" s="7" t="s">
        <v>150</v>
      </c>
      <c r="K282">
        <f t="shared" si="9"/>
        <v>19.750500000000002</v>
      </c>
    </row>
    <row r="283" spans="1:11" ht="13.95" customHeight="1" x14ac:dyDescent="0.3">
      <c r="A283" s="20">
        <v>45979</v>
      </c>
      <c r="B283" s="20" t="s">
        <v>3317</v>
      </c>
      <c r="C283" s="19" t="s">
        <v>20</v>
      </c>
      <c r="D283" s="19" t="s">
        <v>3252</v>
      </c>
      <c r="E283" s="4">
        <v>0.35</v>
      </c>
      <c r="F283" s="42">
        <v>2.2000000000000002</v>
      </c>
      <c r="G283" s="45">
        <v>250</v>
      </c>
      <c r="H283" s="22">
        <v>1.9</v>
      </c>
      <c r="I283" s="6">
        <f t="shared" si="8"/>
        <v>365.75000000000006</v>
      </c>
      <c r="J283" s="7" t="s">
        <v>150</v>
      </c>
      <c r="K283">
        <f t="shared" si="9"/>
        <v>19.750500000000002</v>
      </c>
    </row>
    <row r="284" spans="1:11" ht="13.95" customHeight="1" x14ac:dyDescent="0.3">
      <c r="A284" s="20">
        <v>45980</v>
      </c>
      <c r="B284" s="20" t="s">
        <v>3317</v>
      </c>
      <c r="C284" s="19" t="s">
        <v>5</v>
      </c>
      <c r="D284" s="19" t="s">
        <v>3252</v>
      </c>
      <c r="E284" s="4">
        <v>0.35</v>
      </c>
      <c r="F284" s="42">
        <v>2.2000000000000002</v>
      </c>
      <c r="G284" s="45">
        <v>250</v>
      </c>
      <c r="H284" s="22">
        <v>1.9</v>
      </c>
      <c r="I284" s="6">
        <f t="shared" si="8"/>
        <v>365.75000000000006</v>
      </c>
      <c r="J284" s="7" t="s">
        <v>150</v>
      </c>
      <c r="K284">
        <f t="shared" si="9"/>
        <v>19.750500000000002</v>
      </c>
    </row>
    <row r="285" spans="1:11" ht="13.95" customHeight="1" x14ac:dyDescent="0.3">
      <c r="A285" s="20">
        <v>45981</v>
      </c>
      <c r="B285" s="20" t="s">
        <v>3317</v>
      </c>
      <c r="C285" s="19" t="s">
        <v>8</v>
      </c>
      <c r="D285" s="19" t="s">
        <v>3227</v>
      </c>
      <c r="E285" s="4">
        <v>0.6</v>
      </c>
      <c r="F285" s="42">
        <v>2.7</v>
      </c>
      <c r="G285" s="45">
        <v>250</v>
      </c>
      <c r="H285" s="22">
        <v>1.9</v>
      </c>
      <c r="I285" s="6">
        <f t="shared" si="8"/>
        <v>769.5</v>
      </c>
      <c r="J285" s="7" t="s">
        <v>1376</v>
      </c>
      <c r="K285">
        <f t="shared" si="9"/>
        <v>41.552999999999997</v>
      </c>
    </row>
    <row r="286" spans="1:11" ht="13.95" customHeight="1" x14ac:dyDescent="0.3">
      <c r="A286" s="20">
        <v>45982</v>
      </c>
      <c r="B286" s="20" t="s">
        <v>3317</v>
      </c>
      <c r="C286" s="19" t="s">
        <v>11</v>
      </c>
      <c r="D286" s="19" t="s">
        <v>14</v>
      </c>
      <c r="E286" s="4">
        <v>0.55000000000000004</v>
      </c>
      <c r="F286" s="42">
        <v>2.8</v>
      </c>
      <c r="G286" s="45">
        <v>250</v>
      </c>
      <c r="H286" s="22">
        <v>1.9</v>
      </c>
      <c r="I286" s="6">
        <f t="shared" si="8"/>
        <v>731.5</v>
      </c>
      <c r="J286" s="7" t="s">
        <v>390</v>
      </c>
      <c r="K286">
        <f t="shared" si="9"/>
        <v>39.500999999999998</v>
      </c>
    </row>
    <row r="287" spans="1:11" ht="13.95" customHeight="1" x14ac:dyDescent="0.3">
      <c r="A287" s="20">
        <v>45983</v>
      </c>
      <c r="B287" s="20" t="s">
        <v>3317</v>
      </c>
      <c r="C287" s="19" t="s">
        <v>13</v>
      </c>
      <c r="D287" s="19" t="s">
        <v>3017</v>
      </c>
      <c r="E287" s="4">
        <v>0.65</v>
      </c>
      <c r="F287" s="42">
        <v>3.25</v>
      </c>
      <c r="G287" s="45">
        <v>250</v>
      </c>
      <c r="H287" s="22">
        <v>1.9</v>
      </c>
      <c r="I287" s="6">
        <f t="shared" si="8"/>
        <v>1003.4375</v>
      </c>
      <c r="J287" s="7" t="s">
        <v>3242</v>
      </c>
      <c r="K287">
        <f t="shared" si="9"/>
        <v>54.185625000000002</v>
      </c>
    </row>
    <row r="288" spans="1:11" ht="13.95" customHeight="1" x14ac:dyDescent="0.3">
      <c r="A288" s="20">
        <v>45984</v>
      </c>
      <c r="B288" s="20" t="s">
        <v>3317</v>
      </c>
      <c r="C288" s="19" t="s">
        <v>16</v>
      </c>
      <c r="D288" s="19" t="s">
        <v>3098</v>
      </c>
      <c r="E288" s="4">
        <v>0.6</v>
      </c>
      <c r="F288" s="42">
        <v>2.9</v>
      </c>
      <c r="G288" s="45">
        <v>250</v>
      </c>
      <c r="H288" s="22">
        <v>1.9</v>
      </c>
      <c r="I288" s="6">
        <f t="shared" si="8"/>
        <v>826.5</v>
      </c>
      <c r="J288" s="7" t="s">
        <v>88</v>
      </c>
      <c r="K288">
        <f t="shared" si="9"/>
        <v>44.631</v>
      </c>
    </row>
    <row r="289" spans="1:11" ht="13.95" customHeight="1" x14ac:dyDescent="0.3">
      <c r="A289" s="20">
        <v>45985</v>
      </c>
      <c r="B289" s="20" t="s">
        <v>3317</v>
      </c>
      <c r="C289" s="19" t="s">
        <v>18</v>
      </c>
      <c r="D289" s="19" t="s">
        <v>3252</v>
      </c>
      <c r="E289" s="4">
        <v>0.3</v>
      </c>
      <c r="F289" s="42">
        <v>2.2000000000000002</v>
      </c>
      <c r="G289" s="45">
        <v>250</v>
      </c>
      <c r="H289" s="22">
        <v>1.9</v>
      </c>
      <c r="I289" s="6">
        <f t="shared" si="8"/>
        <v>313.5</v>
      </c>
      <c r="J289" s="7" t="s">
        <v>272</v>
      </c>
      <c r="K289">
        <f t="shared" si="9"/>
        <v>16.928999999999998</v>
      </c>
    </row>
    <row r="290" spans="1:11" ht="13.95" customHeight="1" x14ac:dyDescent="0.3">
      <c r="A290" s="20">
        <v>45986</v>
      </c>
      <c r="B290" s="20" t="s">
        <v>3317</v>
      </c>
      <c r="C290" s="19" t="s">
        <v>20</v>
      </c>
      <c r="D290" s="19" t="s">
        <v>3252</v>
      </c>
      <c r="E290" s="4">
        <v>0.3</v>
      </c>
      <c r="F290" s="42">
        <v>2.2000000000000002</v>
      </c>
      <c r="G290" s="45">
        <v>250</v>
      </c>
      <c r="H290" s="22">
        <v>1.9</v>
      </c>
      <c r="I290" s="6">
        <f t="shared" si="8"/>
        <v>313.5</v>
      </c>
      <c r="J290" s="7" t="s">
        <v>88</v>
      </c>
      <c r="K290">
        <f t="shared" si="9"/>
        <v>16.928999999999998</v>
      </c>
    </row>
    <row r="291" spans="1:11" ht="13.95" customHeight="1" x14ac:dyDescent="0.3">
      <c r="A291" s="20">
        <v>45987</v>
      </c>
      <c r="B291" s="20" t="s">
        <v>3317</v>
      </c>
      <c r="C291" s="19" t="s">
        <v>5</v>
      </c>
      <c r="D291" s="19" t="s">
        <v>3252</v>
      </c>
      <c r="E291" s="4">
        <v>0.35</v>
      </c>
      <c r="F291" s="42">
        <v>2.2000000000000002</v>
      </c>
      <c r="G291" s="45">
        <v>250</v>
      </c>
      <c r="H291" s="22">
        <v>1.9</v>
      </c>
      <c r="I291" s="6">
        <f t="shared" si="8"/>
        <v>365.75000000000006</v>
      </c>
      <c r="J291" s="7" t="s">
        <v>88</v>
      </c>
      <c r="K291">
        <f t="shared" si="9"/>
        <v>19.750500000000002</v>
      </c>
    </row>
    <row r="292" spans="1:11" ht="13.95" customHeight="1" x14ac:dyDescent="0.3">
      <c r="A292" s="20">
        <v>45988</v>
      </c>
      <c r="B292" s="20" t="s">
        <v>3317</v>
      </c>
      <c r="C292" s="19" t="s">
        <v>8</v>
      </c>
      <c r="D292" s="19" t="s">
        <v>3227</v>
      </c>
      <c r="E292" s="4">
        <v>0.55000000000000004</v>
      </c>
      <c r="F292" s="42">
        <v>2.65</v>
      </c>
      <c r="G292" s="45">
        <v>250</v>
      </c>
      <c r="H292" s="22">
        <v>1.9</v>
      </c>
      <c r="I292" s="6">
        <f t="shared" si="8"/>
        <v>692.3125</v>
      </c>
      <c r="J292" s="7" t="s">
        <v>2569</v>
      </c>
      <c r="K292">
        <f t="shared" si="9"/>
        <v>37.384875000000001</v>
      </c>
    </row>
    <row r="293" spans="1:11" ht="13.95" customHeight="1" x14ac:dyDescent="0.3">
      <c r="A293" s="20">
        <v>45989</v>
      </c>
      <c r="B293" s="20" t="s">
        <v>3317</v>
      </c>
      <c r="C293" s="19" t="s">
        <v>11</v>
      </c>
      <c r="D293" s="19" t="s">
        <v>14</v>
      </c>
      <c r="E293" s="4">
        <v>0.6</v>
      </c>
      <c r="F293" s="42">
        <v>2.85</v>
      </c>
      <c r="G293" s="45">
        <v>250</v>
      </c>
      <c r="H293" s="22">
        <v>1.9</v>
      </c>
      <c r="I293" s="6">
        <f t="shared" si="8"/>
        <v>812.25</v>
      </c>
      <c r="J293" s="7" t="s">
        <v>67</v>
      </c>
      <c r="K293">
        <f t="shared" si="9"/>
        <v>43.861499999999999</v>
      </c>
    </row>
    <row r="294" spans="1:11" ht="13.95" customHeight="1" x14ac:dyDescent="0.3">
      <c r="A294" s="20">
        <v>45990</v>
      </c>
      <c r="B294" s="20" t="s">
        <v>3317</v>
      </c>
      <c r="C294" s="19" t="s">
        <v>13</v>
      </c>
      <c r="D294" s="19" t="s">
        <v>3157</v>
      </c>
      <c r="E294" s="4">
        <v>0.7</v>
      </c>
      <c r="F294" s="42">
        <v>3.4</v>
      </c>
      <c r="G294" s="45">
        <v>250</v>
      </c>
      <c r="H294" s="22">
        <v>1.9</v>
      </c>
      <c r="I294" s="6">
        <f t="shared" si="8"/>
        <v>1130.5</v>
      </c>
      <c r="J294" s="7" t="s">
        <v>3173</v>
      </c>
      <c r="K294">
        <f t="shared" si="9"/>
        <v>61.046999999999997</v>
      </c>
    </row>
    <row r="295" spans="1:11" ht="13.95" customHeight="1" x14ac:dyDescent="0.3">
      <c r="A295" s="20">
        <v>45991</v>
      </c>
      <c r="B295" s="20" t="s">
        <v>3317</v>
      </c>
      <c r="C295" s="19" t="s">
        <v>16</v>
      </c>
      <c r="D295" s="19" t="s">
        <v>3098</v>
      </c>
      <c r="E295" s="4">
        <v>0.65</v>
      </c>
      <c r="F295" s="42">
        <v>3</v>
      </c>
      <c r="G295" s="45">
        <v>250</v>
      </c>
      <c r="H295" s="22">
        <v>1.9</v>
      </c>
      <c r="I295" s="6">
        <f t="shared" si="8"/>
        <v>926.25</v>
      </c>
      <c r="J295" s="7" t="s">
        <v>3022</v>
      </c>
      <c r="K295">
        <f t="shared" si="9"/>
        <v>50.017499999999998</v>
      </c>
    </row>
    <row r="296" spans="1:11" ht="13.95" customHeight="1" x14ac:dyDescent="0.3">
      <c r="A296" s="20">
        <v>45962</v>
      </c>
      <c r="B296" s="20" t="s">
        <v>3317</v>
      </c>
      <c r="C296" s="19" t="s">
        <v>13</v>
      </c>
      <c r="D296" s="19" t="s">
        <v>3310</v>
      </c>
      <c r="E296" s="4">
        <v>0.65</v>
      </c>
      <c r="F296" s="42">
        <v>3.2</v>
      </c>
      <c r="G296" s="45">
        <v>250</v>
      </c>
      <c r="H296" s="22">
        <v>2</v>
      </c>
      <c r="I296" s="6">
        <f t="shared" si="8"/>
        <v>1040</v>
      </c>
      <c r="J296" s="7" t="s">
        <v>3311</v>
      </c>
      <c r="K296">
        <f t="shared" si="9"/>
        <v>56.16</v>
      </c>
    </row>
    <row r="297" spans="1:11" ht="13.95" customHeight="1" x14ac:dyDescent="0.3">
      <c r="A297" s="20">
        <v>45963</v>
      </c>
      <c r="B297" s="20" t="s">
        <v>3317</v>
      </c>
      <c r="C297" s="19" t="s">
        <v>16</v>
      </c>
      <c r="D297" s="19" t="s">
        <v>3098</v>
      </c>
      <c r="E297" s="4">
        <v>0.55000000000000004</v>
      </c>
      <c r="F297" s="42">
        <v>2.8</v>
      </c>
      <c r="G297" s="45">
        <v>250</v>
      </c>
      <c r="H297" s="22">
        <v>2</v>
      </c>
      <c r="I297" s="6">
        <f t="shared" si="8"/>
        <v>770</v>
      </c>
      <c r="J297" s="7" t="s">
        <v>139</v>
      </c>
      <c r="K297">
        <f t="shared" si="9"/>
        <v>41.58</v>
      </c>
    </row>
    <row r="298" spans="1:11" ht="13.95" customHeight="1" x14ac:dyDescent="0.3">
      <c r="A298" s="20">
        <v>45964</v>
      </c>
      <c r="B298" s="20" t="s">
        <v>3317</v>
      </c>
      <c r="C298" s="19" t="s">
        <v>18</v>
      </c>
      <c r="D298" s="19" t="s">
        <v>3252</v>
      </c>
      <c r="E298" s="4">
        <v>0.35</v>
      </c>
      <c r="F298" s="42">
        <v>2.2000000000000002</v>
      </c>
      <c r="G298" s="45">
        <v>250</v>
      </c>
      <c r="H298" s="22">
        <v>2</v>
      </c>
      <c r="I298" s="6">
        <f t="shared" si="8"/>
        <v>385.00000000000006</v>
      </c>
      <c r="J298" s="7" t="s">
        <v>2485</v>
      </c>
      <c r="K298">
        <f t="shared" si="9"/>
        <v>20.790000000000003</v>
      </c>
    </row>
    <row r="299" spans="1:11" ht="13.95" customHeight="1" x14ac:dyDescent="0.3">
      <c r="A299" s="20">
        <v>45965</v>
      </c>
      <c r="B299" s="20" t="s">
        <v>3317</v>
      </c>
      <c r="C299" s="19" t="s">
        <v>20</v>
      </c>
      <c r="D299" s="19" t="s">
        <v>3252</v>
      </c>
      <c r="E299" s="4">
        <v>0.35</v>
      </c>
      <c r="F299" s="42">
        <v>2.2000000000000002</v>
      </c>
      <c r="G299" s="45">
        <v>250</v>
      </c>
      <c r="H299" s="22">
        <v>2</v>
      </c>
      <c r="I299" s="6">
        <f t="shared" si="8"/>
        <v>385.00000000000006</v>
      </c>
      <c r="J299" s="7" t="s">
        <v>150</v>
      </c>
      <c r="K299">
        <f t="shared" si="9"/>
        <v>20.790000000000003</v>
      </c>
    </row>
    <row r="300" spans="1:11" ht="13.95" customHeight="1" x14ac:dyDescent="0.3">
      <c r="A300" s="20">
        <v>45966</v>
      </c>
      <c r="B300" s="20" t="s">
        <v>3317</v>
      </c>
      <c r="C300" s="19" t="s">
        <v>5</v>
      </c>
      <c r="D300" s="19" t="s">
        <v>3252</v>
      </c>
      <c r="E300" s="4">
        <v>0.35</v>
      </c>
      <c r="F300" s="42">
        <v>2.2000000000000002</v>
      </c>
      <c r="G300" s="45">
        <v>250</v>
      </c>
      <c r="H300" s="22">
        <v>2</v>
      </c>
      <c r="I300" s="6">
        <f t="shared" si="8"/>
        <v>385.00000000000006</v>
      </c>
      <c r="J300" s="7" t="s">
        <v>150</v>
      </c>
      <c r="K300">
        <f t="shared" si="9"/>
        <v>20.790000000000003</v>
      </c>
    </row>
    <row r="301" spans="1:11" ht="13.95" customHeight="1" x14ac:dyDescent="0.3">
      <c r="A301" s="20">
        <v>45967</v>
      </c>
      <c r="B301" s="20" t="s">
        <v>3317</v>
      </c>
      <c r="C301" s="19" t="s">
        <v>8</v>
      </c>
      <c r="D301" s="19" t="s">
        <v>3227</v>
      </c>
      <c r="E301" s="4">
        <v>0.55000000000000004</v>
      </c>
      <c r="F301" s="42">
        <v>2.65</v>
      </c>
      <c r="G301" s="45">
        <v>250</v>
      </c>
      <c r="H301" s="22">
        <v>2</v>
      </c>
      <c r="I301" s="6">
        <f t="shared" si="8"/>
        <v>728.75</v>
      </c>
      <c r="J301" s="7" t="s">
        <v>2569</v>
      </c>
      <c r="K301">
        <f t="shared" si="9"/>
        <v>39.352499999999999</v>
      </c>
    </row>
    <row r="302" spans="1:11" ht="13.95" customHeight="1" x14ac:dyDescent="0.3">
      <c r="A302" s="20">
        <v>45968</v>
      </c>
      <c r="B302" s="20" t="s">
        <v>3317</v>
      </c>
      <c r="C302" s="19" t="s">
        <v>11</v>
      </c>
      <c r="D302" s="19" t="s">
        <v>14</v>
      </c>
      <c r="E302" s="4">
        <v>0.5</v>
      </c>
      <c r="F302" s="42">
        <v>2.75</v>
      </c>
      <c r="G302" s="45">
        <v>250</v>
      </c>
      <c r="H302" s="22">
        <v>2</v>
      </c>
      <c r="I302" s="6">
        <f t="shared" si="8"/>
        <v>687.5</v>
      </c>
      <c r="J302" s="7" t="s">
        <v>91</v>
      </c>
      <c r="K302">
        <f t="shared" si="9"/>
        <v>37.125</v>
      </c>
    </row>
    <row r="303" spans="1:11" ht="13.95" customHeight="1" x14ac:dyDescent="0.3">
      <c r="A303" s="20">
        <v>45969</v>
      </c>
      <c r="B303" s="20" t="s">
        <v>3317</v>
      </c>
      <c r="C303" s="19" t="s">
        <v>13</v>
      </c>
      <c r="D303" s="19" t="s">
        <v>3230</v>
      </c>
      <c r="E303" s="4">
        <v>0.6</v>
      </c>
      <c r="F303" s="42">
        <v>3.15</v>
      </c>
      <c r="G303" s="45">
        <v>250</v>
      </c>
      <c r="H303" s="22">
        <v>2</v>
      </c>
      <c r="I303" s="6">
        <f t="shared" si="8"/>
        <v>945</v>
      </c>
      <c r="J303" s="7" t="s">
        <v>1481</v>
      </c>
      <c r="K303">
        <f t="shared" si="9"/>
        <v>51.03</v>
      </c>
    </row>
    <row r="304" spans="1:11" ht="13.95" customHeight="1" x14ac:dyDescent="0.3">
      <c r="A304" s="20">
        <v>45970</v>
      </c>
      <c r="B304" s="20" t="s">
        <v>3317</v>
      </c>
      <c r="C304" s="19" t="s">
        <v>16</v>
      </c>
      <c r="D304" s="19" t="s">
        <v>3098</v>
      </c>
      <c r="E304" s="4">
        <v>0.55000000000000004</v>
      </c>
      <c r="F304" s="42">
        <v>2.85</v>
      </c>
      <c r="G304" s="45">
        <v>250</v>
      </c>
      <c r="H304" s="22">
        <v>2</v>
      </c>
      <c r="I304" s="6">
        <f t="shared" si="8"/>
        <v>783.75</v>
      </c>
      <c r="J304" s="7" t="s">
        <v>88</v>
      </c>
      <c r="K304">
        <f t="shared" si="9"/>
        <v>42.322499999999998</v>
      </c>
    </row>
    <row r="305" spans="1:11" ht="13.95" customHeight="1" x14ac:dyDescent="0.3">
      <c r="A305" s="20">
        <v>45971</v>
      </c>
      <c r="B305" s="20" t="s">
        <v>3317</v>
      </c>
      <c r="C305" s="19" t="s">
        <v>18</v>
      </c>
      <c r="D305" s="19" t="s">
        <v>3252</v>
      </c>
      <c r="E305" s="4">
        <v>0.35</v>
      </c>
      <c r="F305" s="42">
        <v>2.2000000000000002</v>
      </c>
      <c r="G305" s="45">
        <v>250</v>
      </c>
      <c r="H305" s="22">
        <v>2</v>
      </c>
      <c r="I305" s="6">
        <f t="shared" si="8"/>
        <v>385.00000000000006</v>
      </c>
      <c r="J305" s="7" t="s">
        <v>88</v>
      </c>
      <c r="K305">
        <f t="shared" si="9"/>
        <v>20.790000000000003</v>
      </c>
    </row>
    <row r="306" spans="1:11" ht="13.95" customHeight="1" x14ac:dyDescent="0.3">
      <c r="A306" s="20">
        <v>45972</v>
      </c>
      <c r="B306" s="20" t="s">
        <v>3317</v>
      </c>
      <c r="C306" s="19" t="s">
        <v>20</v>
      </c>
      <c r="D306" s="19" t="s">
        <v>3252</v>
      </c>
      <c r="E306" s="4">
        <v>0.35</v>
      </c>
      <c r="F306" s="42">
        <v>2.2000000000000002</v>
      </c>
      <c r="G306" s="45">
        <v>250</v>
      </c>
      <c r="H306" s="22">
        <v>2</v>
      </c>
      <c r="I306" s="6">
        <f t="shared" si="8"/>
        <v>385.00000000000006</v>
      </c>
      <c r="J306" s="7" t="s">
        <v>88</v>
      </c>
      <c r="K306">
        <f t="shared" si="9"/>
        <v>20.790000000000003</v>
      </c>
    </row>
    <row r="307" spans="1:11" ht="13.95" customHeight="1" x14ac:dyDescent="0.3">
      <c r="A307" s="20">
        <v>45973</v>
      </c>
      <c r="B307" s="20" t="s">
        <v>3317</v>
      </c>
      <c r="C307" s="19" t="s">
        <v>5</v>
      </c>
      <c r="D307" s="19" t="s">
        <v>3252</v>
      </c>
      <c r="E307" s="4">
        <v>0.4</v>
      </c>
      <c r="F307" s="42">
        <v>2.25</v>
      </c>
      <c r="G307" s="45">
        <v>250</v>
      </c>
      <c r="H307" s="22">
        <v>2</v>
      </c>
      <c r="I307" s="6">
        <f t="shared" si="8"/>
        <v>450</v>
      </c>
      <c r="J307" s="7" t="s">
        <v>88</v>
      </c>
      <c r="K307">
        <f t="shared" si="9"/>
        <v>24.3</v>
      </c>
    </row>
    <row r="308" spans="1:11" ht="13.95" customHeight="1" x14ac:dyDescent="0.3">
      <c r="A308" s="20">
        <v>45974</v>
      </c>
      <c r="B308" s="20" t="s">
        <v>3317</v>
      </c>
      <c r="C308" s="19" t="s">
        <v>8</v>
      </c>
      <c r="D308" s="19" t="s">
        <v>3227</v>
      </c>
      <c r="E308" s="4">
        <v>0.6</v>
      </c>
      <c r="F308" s="42">
        <v>2.7</v>
      </c>
      <c r="G308" s="45">
        <v>250</v>
      </c>
      <c r="H308" s="22">
        <v>2</v>
      </c>
      <c r="I308" s="6">
        <f t="shared" si="8"/>
        <v>810</v>
      </c>
      <c r="J308" s="7" t="s">
        <v>3254</v>
      </c>
      <c r="K308">
        <f t="shared" si="9"/>
        <v>43.74</v>
      </c>
    </row>
    <row r="309" spans="1:11" ht="13.95" customHeight="1" x14ac:dyDescent="0.3">
      <c r="A309" s="20">
        <v>45975</v>
      </c>
      <c r="B309" s="20" t="s">
        <v>3317</v>
      </c>
      <c r="C309" s="19" t="s">
        <v>11</v>
      </c>
      <c r="D309" s="19" t="s">
        <v>14</v>
      </c>
      <c r="E309" s="4">
        <v>0.55000000000000004</v>
      </c>
      <c r="F309" s="42">
        <v>2.8</v>
      </c>
      <c r="G309" s="45">
        <v>250</v>
      </c>
      <c r="H309" s="22">
        <v>2</v>
      </c>
      <c r="I309" s="6">
        <f t="shared" si="8"/>
        <v>770</v>
      </c>
      <c r="J309" s="7" t="s">
        <v>1095</v>
      </c>
      <c r="K309">
        <f t="shared" si="9"/>
        <v>41.58</v>
      </c>
    </row>
    <row r="310" spans="1:11" ht="13.95" customHeight="1" x14ac:dyDescent="0.3">
      <c r="A310" s="20">
        <v>45976</v>
      </c>
      <c r="B310" s="20" t="s">
        <v>3317</v>
      </c>
      <c r="C310" s="19" t="s">
        <v>13</v>
      </c>
      <c r="D310" s="19" t="s">
        <v>3312</v>
      </c>
      <c r="E310" s="4">
        <v>0.65</v>
      </c>
      <c r="F310" s="42">
        <v>3.3</v>
      </c>
      <c r="G310" s="45">
        <v>250</v>
      </c>
      <c r="H310" s="22">
        <v>2</v>
      </c>
      <c r="I310" s="6">
        <f t="shared" si="8"/>
        <v>1072.5</v>
      </c>
      <c r="J310" s="7" t="s">
        <v>1811</v>
      </c>
      <c r="K310">
        <f t="shared" si="9"/>
        <v>57.914999999999999</v>
      </c>
    </row>
    <row r="311" spans="1:11" ht="13.95" customHeight="1" x14ac:dyDescent="0.3">
      <c r="A311" s="20">
        <v>45977</v>
      </c>
      <c r="B311" s="20" t="s">
        <v>3317</v>
      </c>
      <c r="C311" s="19" t="s">
        <v>16</v>
      </c>
      <c r="D311" s="19" t="s">
        <v>3098</v>
      </c>
      <c r="E311" s="4">
        <v>0.6</v>
      </c>
      <c r="F311" s="42">
        <v>2.9</v>
      </c>
      <c r="G311" s="45">
        <v>250</v>
      </c>
      <c r="H311" s="22">
        <v>2</v>
      </c>
      <c r="I311" s="6">
        <f t="shared" si="8"/>
        <v>870</v>
      </c>
      <c r="J311" s="7" t="s">
        <v>3113</v>
      </c>
      <c r="K311">
        <f t="shared" si="9"/>
        <v>46.98</v>
      </c>
    </row>
    <row r="312" spans="1:11" ht="13.95" customHeight="1" x14ac:dyDescent="0.3">
      <c r="A312" s="20">
        <v>45978</v>
      </c>
      <c r="B312" s="20" t="s">
        <v>3317</v>
      </c>
      <c r="C312" s="19" t="s">
        <v>18</v>
      </c>
      <c r="D312" s="19" t="s">
        <v>3252</v>
      </c>
      <c r="E312" s="4">
        <v>0.35</v>
      </c>
      <c r="F312" s="42">
        <v>2.2000000000000002</v>
      </c>
      <c r="G312" s="45">
        <v>250</v>
      </c>
      <c r="H312" s="22">
        <v>2</v>
      </c>
      <c r="I312" s="6">
        <f t="shared" si="8"/>
        <v>385.00000000000006</v>
      </c>
      <c r="J312" s="7" t="s">
        <v>150</v>
      </c>
      <c r="K312">
        <f t="shared" si="9"/>
        <v>20.790000000000003</v>
      </c>
    </row>
    <row r="313" spans="1:11" ht="13.95" customHeight="1" x14ac:dyDescent="0.3">
      <c r="A313" s="20">
        <v>45979</v>
      </c>
      <c r="B313" s="20" t="s">
        <v>3317</v>
      </c>
      <c r="C313" s="19" t="s">
        <v>20</v>
      </c>
      <c r="D313" s="19" t="s">
        <v>3252</v>
      </c>
      <c r="E313" s="4">
        <v>0.35</v>
      </c>
      <c r="F313" s="42">
        <v>2.2000000000000002</v>
      </c>
      <c r="G313" s="45">
        <v>250</v>
      </c>
      <c r="H313" s="22">
        <v>2</v>
      </c>
      <c r="I313" s="6">
        <f t="shared" si="8"/>
        <v>385.00000000000006</v>
      </c>
      <c r="J313" s="7" t="s">
        <v>150</v>
      </c>
      <c r="K313">
        <f t="shared" si="9"/>
        <v>20.790000000000003</v>
      </c>
    </row>
    <row r="314" spans="1:11" ht="13.95" customHeight="1" x14ac:dyDescent="0.3">
      <c r="A314" s="20">
        <v>45980</v>
      </c>
      <c r="B314" s="20" t="s">
        <v>3317</v>
      </c>
      <c r="C314" s="19" t="s">
        <v>5</v>
      </c>
      <c r="D314" s="19" t="s">
        <v>3252</v>
      </c>
      <c r="E314" s="4">
        <v>0.35</v>
      </c>
      <c r="F314" s="42">
        <v>2.2000000000000002</v>
      </c>
      <c r="G314" s="45">
        <v>250</v>
      </c>
      <c r="H314" s="22">
        <v>2</v>
      </c>
      <c r="I314" s="6">
        <f t="shared" si="8"/>
        <v>385.00000000000006</v>
      </c>
      <c r="J314" s="7" t="s">
        <v>150</v>
      </c>
      <c r="K314">
        <f t="shared" si="9"/>
        <v>20.790000000000003</v>
      </c>
    </row>
    <row r="315" spans="1:11" ht="13.95" customHeight="1" x14ac:dyDescent="0.3">
      <c r="A315" s="20">
        <v>45981</v>
      </c>
      <c r="B315" s="20" t="s">
        <v>3317</v>
      </c>
      <c r="C315" s="19" t="s">
        <v>8</v>
      </c>
      <c r="D315" s="19" t="s">
        <v>3227</v>
      </c>
      <c r="E315" s="4">
        <v>0.6</v>
      </c>
      <c r="F315" s="42">
        <v>2.7</v>
      </c>
      <c r="G315" s="45">
        <v>250</v>
      </c>
      <c r="H315" s="22">
        <v>2</v>
      </c>
      <c r="I315" s="6">
        <f t="shared" si="8"/>
        <v>810</v>
      </c>
      <c r="J315" s="7" t="s">
        <v>1376</v>
      </c>
      <c r="K315">
        <f t="shared" si="9"/>
        <v>43.74</v>
      </c>
    </row>
    <row r="316" spans="1:11" ht="13.95" customHeight="1" x14ac:dyDescent="0.3">
      <c r="A316" s="20">
        <v>45982</v>
      </c>
      <c r="B316" s="20" t="s">
        <v>3317</v>
      </c>
      <c r="C316" s="19" t="s">
        <v>11</v>
      </c>
      <c r="D316" s="19" t="s">
        <v>14</v>
      </c>
      <c r="E316" s="4">
        <v>0.55000000000000004</v>
      </c>
      <c r="F316" s="42">
        <v>2.8</v>
      </c>
      <c r="G316" s="45">
        <v>250</v>
      </c>
      <c r="H316" s="22">
        <v>2</v>
      </c>
      <c r="I316" s="6">
        <f t="shared" si="8"/>
        <v>770</v>
      </c>
      <c r="J316" s="7" t="s">
        <v>390</v>
      </c>
      <c r="K316">
        <f t="shared" si="9"/>
        <v>41.58</v>
      </c>
    </row>
    <row r="317" spans="1:11" ht="13.95" customHeight="1" x14ac:dyDescent="0.3">
      <c r="A317" s="20">
        <v>45983</v>
      </c>
      <c r="B317" s="20" t="s">
        <v>3317</v>
      </c>
      <c r="C317" s="19" t="s">
        <v>13</v>
      </c>
      <c r="D317" s="19" t="s">
        <v>3017</v>
      </c>
      <c r="E317" s="4">
        <v>0.65</v>
      </c>
      <c r="F317" s="42">
        <v>3.25</v>
      </c>
      <c r="G317" s="45">
        <v>250</v>
      </c>
      <c r="H317" s="22">
        <v>2</v>
      </c>
      <c r="I317" s="6">
        <f t="shared" si="8"/>
        <v>1056.25</v>
      </c>
      <c r="J317" s="7" t="s">
        <v>3242</v>
      </c>
      <c r="K317">
        <f t="shared" si="9"/>
        <v>57.037500000000001</v>
      </c>
    </row>
    <row r="318" spans="1:11" ht="13.95" customHeight="1" x14ac:dyDescent="0.3">
      <c r="A318" s="20">
        <v>45984</v>
      </c>
      <c r="B318" s="20" t="s">
        <v>3317</v>
      </c>
      <c r="C318" s="19" t="s">
        <v>16</v>
      </c>
      <c r="D318" s="19" t="s">
        <v>3098</v>
      </c>
      <c r="E318" s="4">
        <v>0.6</v>
      </c>
      <c r="F318" s="42">
        <v>2.9</v>
      </c>
      <c r="G318" s="45">
        <v>250</v>
      </c>
      <c r="H318" s="22">
        <v>2</v>
      </c>
      <c r="I318" s="6">
        <f t="shared" si="8"/>
        <v>870</v>
      </c>
      <c r="J318" s="7" t="s">
        <v>88</v>
      </c>
      <c r="K318">
        <f t="shared" si="9"/>
        <v>46.98</v>
      </c>
    </row>
    <row r="319" spans="1:11" ht="13.95" customHeight="1" x14ac:dyDescent="0.3">
      <c r="A319" s="20">
        <v>45985</v>
      </c>
      <c r="B319" s="20" t="s">
        <v>3317</v>
      </c>
      <c r="C319" s="19" t="s">
        <v>18</v>
      </c>
      <c r="D319" s="19" t="s">
        <v>3252</v>
      </c>
      <c r="E319" s="4">
        <v>0.3</v>
      </c>
      <c r="F319" s="42">
        <v>2.2000000000000002</v>
      </c>
      <c r="G319" s="45">
        <v>250</v>
      </c>
      <c r="H319" s="22">
        <v>2</v>
      </c>
      <c r="I319" s="6">
        <f t="shared" si="8"/>
        <v>330</v>
      </c>
      <c r="J319" s="7" t="s">
        <v>272</v>
      </c>
      <c r="K319">
        <f t="shared" si="9"/>
        <v>17.82</v>
      </c>
    </row>
    <row r="320" spans="1:11" ht="13.95" customHeight="1" x14ac:dyDescent="0.3">
      <c r="A320" s="20">
        <v>45986</v>
      </c>
      <c r="B320" s="20" t="s">
        <v>3317</v>
      </c>
      <c r="C320" s="19" t="s">
        <v>20</v>
      </c>
      <c r="D320" s="19" t="s">
        <v>3252</v>
      </c>
      <c r="E320" s="4">
        <v>0.3</v>
      </c>
      <c r="F320" s="42">
        <v>2.2000000000000002</v>
      </c>
      <c r="G320" s="45">
        <v>250</v>
      </c>
      <c r="H320" s="22">
        <v>2</v>
      </c>
      <c r="I320" s="6">
        <f t="shared" si="8"/>
        <v>330</v>
      </c>
      <c r="J320" s="7" t="s">
        <v>88</v>
      </c>
      <c r="K320">
        <f t="shared" si="9"/>
        <v>17.82</v>
      </c>
    </row>
    <row r="321" spans="1:11" ht="13.95" customHeight="1" x14ac:dyDescent="0.3">
      <c r="A321" s="20">
        <v>45987</v>
      </c>
      <c r="B321" s="20" t="s">
        <v>3317</v>
      </c>
      <c r="C321" s="19" t="s">
        <v>5</v>
      </c>
      <c r="D321" s="19" t="s">
        <v>3252</v>
      </c>
      <c r="E321" s="4">
        <v>0.35</v>
      </c>
      <c r="F321" s="42">
        <v>2.2000000000000002</v>
      </c>
      <c r="G321" s="45">
        <v>250</v>
      </c>
      <c r="H321" s="22">
        <v>2</v>
      </c>
      <c r="I321" s="6">
        <f t="shared" si="8"/>
        <v>385.00000000000006</v>
      </c>
      <c r="J321" s="7" t="s">
        <v>88</v>
      </c>
      <c r="K321">
        <f t="shared" si="9"/>
        <v>20.790000000000003</v>
      </c>
    </row>
    <row r="322" spans="1:11" ht="13.95" customHeight="1" x14ac:dyDescent="0.3">
      <c r="A322" s="20">
        <v>45988</v>
      </c>
      <c r="B322" s="20" t="s">
        <v>3317</v>
      </c>
      <c r="C322" s="19" t="s">
        <v>8</v>
      </c>
      <c r="D322" s="19" t="s">
        <v>3227</v>
      </c>
      <c r="E322" s="4">
        <v>0.55000000000000004</v>
      </c>
      <c r="F322" s="42">
        <v>2.65</v>
      </c>
      <c r="G322" s="45">
        <v>250</v>
      </c>
      <c r="H322" s="22">
        <v>2</v>
      </c>
      <c r="I322" s="6">
        <f t="shared" si="8"/>
        <v>728.75</v>
      </c>
      <c r="J322" s="7" t="s">
        <v>2569</v>
      </c>
      <c r="K322">
        <f t="shared" si="9"/>
        <v>39.352499999999999</v>
      </c>
    </row>
    <row r="323" spans="1:11" ht="13.95" customHeight="1" x14ac:dyDescent="0.3">
      <c r="A323" s="20">
        <v>45989</v>
      </c>
      <c r="B323" s="20" t="s">
        <v>3317</v>
      </c>
      <c r="C323" s="19" t="s">
        <v>11</v>
      </c>
      <c r="D323" s="19" t="s">
        <v>14</v>
      </c>
      <c r="E323" s="4">
        <v>0.6</v>
      </c>
      <c r="F323" s="42">
        <v>2.85</v>
      </c>
      <c r="G323" s="45">
        <v>250</v>
      </c>
      <c r="H323" s="22">
        <v>2</v>
      </c>
      <c r="I323" s="6">
        <f t="shared" ref="I323:I325" si="10">(G323*E323)*F323*H323</f>
        <v>855</v>
      </c>
      <c r="J323" s="7" t="s">
        <v>67</v>
      </c>
      <c r="K323">
        <f t="shared" ref="K323:K325" si="11">I323*0.054</f>
        <v>46.17</v>
      </c>
    </row>
    <row r="324" spans="1:11" ht="13.95" customHeight="1" x14ac:dyDescent="0.3">
      <c r="A324" s="20">
        <v>45990</v>
      </c>
      <c r="B324" s="20" t="s">
        <v>3317</v>
      </c>
      <c r="C324" s="19" t="s">
        <v>13</v>
      </c>
      <c r="D324" s="19" t="s">
        <v>3157</v>
      </c>
      <c r="E324" s="4">
        <v>0.7</v>
      </c>
      <c r="F324" s="42">
        <v>3.4</v>
      </c>
      <c r="G324" s="45">
        <v>250</v>
      </c>
      <c r="H324" s="22">
        <v>2</v>
      </c>
      <c r="I324" s="6">
        <f t="shared" si="10"/>
        <v>1190</v>
      </c>
      <c r="J324" s="7" t="s">
        <v>3173</v>
      </c>
      <c r="K324">
        <f t="shared" si="11"/>
        <v>64.260000000000005</v>
      </c>
    </row>
    <row r="325" spans="1:11" ht="13.95" customHeight="1" x14ac:dyDescent="0.3">
      <c r="A325" s="20">
        <v>45991</v>
      </c>
      <c r="B325" s="20" t="s">
        <v>3317</v>
      </c>
      <c r="C325" s="19" t="s">
        <v>16</v>
      </c>
      <c r="D325" s="19" t="s">
        <v>3098</v>
      </c>
      <c r="E325" s="4">
        <v>0.65</v>
      </c>
      <c r="F325" s="42">
        <v>3</v>
      </c>
      <c r="G325" s="45">
        <v>250</v>
      </c>
      <c r="H325" s="22">
        <v>2</v>
      </c>
      <c r="I325" s="6">
        <f t="shared" si="10"/>
        <v>975</v>
      </c>
      <c r="J325" s="7" t="s">
        <v>3022</v>
      </c>
      <c r="K325">
        <f t="shared" si="11"/>
        <v>52.65</v>
      </c>
    </row>
    <row r="326" spans="1:11" ht="13.95" customHeight="1" x14ac:dyDescent="0.3">
      <c r="A326" s="20"/>
      <c r="B326" s="20"/>
      <c r="C326" s="19"/>
      <c r="D326" s="19"/>
      <c r="E326" s="4"/>
      <c r="F326" s="42"/>
      <c r="G326" s="45"/>
      <c r="H326" s="22"/>
      <c r="I326" s="6"/>
      <c r="J326" s="7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7B41D-15A2-4E55-9FF6-5F3BC9FCFB7E}">
  <sheetPr>
    <tabColor rgb="FFFFFF00"/>
  </sheetPr>
  <dimension ref="A1:K357"/>
  <sheetViews>
    <sheetView workbookViewId="0">
      <selection activeCell="A2" sqref="A2:XFD2"/>
    </sheetView>
  </sheetViews>
  <sheetFormatPr baseColWidth="10" defaultRowHeight="14.4" x14ac:dyDescent="0.3"/>
  <cols>
    <col min="2" max="2" width="22.5546875" bestFit="1" customWidth="1"/>
    <col min="4" max="4" width="19.88671875" bestFit="1" customWidth="1"/>
    <col min="10" max="10" width="31.88671875" bestFit="1" customWidth="1"/>
  </cols>
  <sheetData>
    <row r="1" spans="1:11" ht="28.2" thickBot="1" x14ac:dyDescent="0.35">
      <c r="A1" s="1" t="s">
        <v>333</v>
      </c>
      <c r="B1" s="1" t="s">
        <v>670</v>
      </c>
      <c r="C1" s="34" t="s">
        <v>0</v>
      </c>
      <c r="D1" s="34" t="s">
        <v>1</v>
      </c>
      <c r="E1" s="37" t="s">
        <v>2</v>
      </c>
      <c r="F1" s="43" t="s">
        <v>3</v>
      </c>
      <c r="G1" s="47" t="s">
        <v>359</v>
      </c>
      <c r="H1" s="35" t="s">
        <v>360</v>
      </c>
      <c r="I1" s="47" t="s">
        <v>361</v>
      </c>
      <c r="J1" s="25" t="s">
        <v>4</v>
      </c>
      <c r="K1">
        <v>211</v>
      </c>
    </row>
    <row r="2" spans="1:11" ht="13.95" customHeight="1" x14ac:dyDescent="0.3">
      <c r="A2" s="20">
        <v>45658</v>
      </c>
      <c r="B2" s="20" t="s">
        <v>3461</v>
      </c>
      <c r="C2" s="19" t="s">
        <v>5</v>
      </c>
      <c r="D2" s="19" t="s">
        <v>3318</v>
      </c>
      <c r="E2" s="4">
        <v>0.85</v>
      </c>
      <c r="F2" s="42">
        <v>4.2</v>
      </c>
      <c r="G2" s="45">
        <v>211</v>
      </c>
      <c r="H2" s="22">
        <v>1.8</v>
      </c>
      <c r="I2" s="6">
        <f t="shared" ref="I2:I65" si="0">(G2*E2)*F2*H2</f>
        <v>1355.886</v>
      </c>
      <c r="J2" s="7" t="s">
        <v>3319</v>
      </c>
    </row>
    <row r="3" spans="1:11" ht="13.95" customHeight="1" x14ac:dyDescent="0.3">
      <c r="A3" s="20">
        <v>45659</v>
      </c>
      <c r="B3" s="20" t="s">
        <v>3461</v>
      </c>
      <c r="C3" s="19" t="s">
        <v>8</v>
      </c>
      <c r="D3" s="19" t="s">
        <v>2176</v>
      </c>
      <c r="E3" s="4">
        <v>0.4</v>
      </c>
      <c r="F3" s="42">
        <v>2.1</v>
      </c>
      <c r="G3" s="45">
        <v>211</v>
      </c>
      <c r="H3" s="22">
        <v>1.8</v>
      </c>
      <c r="I3" s="6">
        <f t="shared" si="0"/>
        <v>319.03200000000004</v>
      </c>
      <c r="J3" s="7" t="s">
        <v>3320</v>
      </c>
    </row>
    <row r="4" spans="1:11" ht="13.95" customHeight="1" x14ac:dyDescent="0.3">
      <c r="A4" s="20">
        <v>45660</v>
      </c>
      <c r="B4" s="20" t="s">
        <v>3461</v>
      </c>
      <c r="C4" s="19" t="s">
        <v>11</v>
      </c>
      <c r="D4" s="19" t="s">
        <v>2993</v>
      </c>
      <c r="E4" s="4">
        <v>0.45</v>
      </c>
      <c r="F4" s="42">
        <v>2.4</v>
      </c>
      <c r="G4" s="45">
        <v>211</v>
      </c>
      <c r="H4" s="22">
        <v>1.8</v>
      </c>
      <c r="I4" s="6">
        <f t="shared" si="0"/>
        <v>410.18400000000003</v>
      </c>
      <c r="J4" s="7" t="s">
        <v>3321</v>
      </c>
    </row>
    <row r="5" spans="1:11" ht="13.95" customHeight="1" x14ac:dyDescent="0.3">
      <c r="A5" s="20">
        <v>45661</v>
      </c>
      <c r="B5" s="20" t="s">
        <v>3461</v>
      </c>
      <c r="C5" s="19" t="s">
        <v>13</v>
      </c>
      <c r="D5" s="19" t="s">
        <v>2982</v>
      </c>
      <c r="E5" s="4">
        <v>0.55000000000000004</v>
      </c>
      <c r="F5" s="42">
        <v>3.15</v>
      </c>
      <c r="G5" s="45">
        <v>211</v>
      </c>
      <c r="H5" s="22">
        <v>1.8</v>
      </c>
      <c r="I5" s="6">
        <f t="shared" si="0"/>
        <v>658.00350000000003</v>
      </c>
      <c r="J5" s="7" t="s">
        <v>3322</v>
      </c>
    </row>
    <row r="6" spans="1:11" ht="13.95" customHeight="1" x14ac:dyDescent="0.3">
      <c r="A6" s="20">
        <v>45662</v>
      </c>
      <c r="B6" s="20" t="s">
        <v>3461</v>
      </c>
      <c r="C6" s="19" t="s">
        <v>16</v>
      </c>
      <c r="D6" s="19" t="s">
        <v>3323</v>
      </c>
      <c r="E6" s="4">
        <v>0.5</v>
      </c>
      <c r="F6" s="42">
        <v>2.6</v>
      </c>
      <c r="G6" s="45">
        <v>211</v>
      </c>
      <c r="H6" s="22">
        <v>1.8</v>
      </c>
      <c r="I6" s="6">
        <f t="shared" si="0"/>
        <v>493.74</v>
      </c>
      <c r="J6" s="7" t="s">
        <v>3324</v>
      </c>
    </row>
    <row r="7" spans="1:11" ht="13.95" customHeight="1" x14ac:dyDescent="0.3">
      <c r="A7" s="20">
        <v>45663</v>
      </c>
      <c r="B7" s="20" t="s">
        <v>3461</v>
      </c>
      <c r="C7" s="19" t="s">
        <v>18</v>
      </c>
      <c r="D7" s="19" t="s">
        <v>3325</v>
      </c>
      <c r="E7" s="4">
        <v>0.35</v>
      </c>
      <c r="F7" s="42">
        <v>2.1</v>
      </c>
      <c r="G7" s="45">
        <v>211</v>
      </c>
      <c r="H7" s="22">
        <v>1.8</v>
      </c>
      <c r="I7" s="6">
        <f t="shared" si="0"/>
        <v>279.15300000000002</v>
      </c>
      <c r="J7" s="7" t="s">
        <v>3326</v>
      </c>
    </row>
    <row r="8" spans="1:11" ht="13.95" customHeight="1" x14ac:dyDescent="0.3">
      <c r="A8" s="20">
        <v>45664</v>
      </c>
      <c r="B8" s="20" t="s">
        <v>3461</v>
      </c>
      <c r="C8" s="19" t="s">
        <v>20</v>
      </c>
      <c r="D8" s="19" t="s">
        <v>3325</v>
      </c>
      <c r="E8" s="4">
        <v>0.35</v>
      </c>
      <c r="F8" s="42">
        <v>2.1</v>
      </c>
      <c r="G8" s="45">
        <v>211</v>
      </c>
      <c r="H8" s="22">
        <v>1.8</v>
      </c>
      <c r="I8" s="6">
        <f t="shared" si="0"/>
        <v>279.15300000000002</v>
      </c>
      <c r="J8" s="7" t="s">
        <v>3327</v>
      </c>
    </row>
    <row r="9" spans="1:11" ht="13.95" customHeight="1" x14ac:dyDescent="0.3">
      <c r="A9" s="20">
        <v>45665</v>
      </c>
      <c r="B9" s="20" t="s">
        <v>3461</v>
      </c>
      <c r="C9" s="19" t="s">
        <v>5</v>
      </c>
      <c r="D9" s="19" t="s">
        <v>3325</v>
      </c>
      <c r="E9" s="4">
        <v>0.35</v>
      </c>
      <c r="F9" s="42">
        <v>2.1</v>
      </c>
      <c r="G9" s="45">
        <v>211</v>
      </c>
      <c r="H9" s="22">
        <v>1.8</v>
      </c>
      <c r="I9" s="6">
        <f t="shared" si="0"/>
        <v>279.15300000000002</v>
      </c>
      <c r="J9" s="7" t="s">
        <v>88</v>
      </c>
    </row>
    <row r="10" spans="1:11" ht="13.95" customHeight="1" x14ac:dyDescent="0.3">
      <c r="A10" s="20">
        <v>45666</v>
      </c>
      <c r="B10" s="20" t="s">
        <v>3461</v>
      </c>
      <c r="C10" s="19" t="s">
        <v>8</v>
      </c>
      <c r="D10" s="19" t="s">
        <v>3325</v>
      </c>
      <c r="E10" s="4">
        <v>0.35</v>
      </c>
      <c r="F10" s="42">
        <v>2.15</v>
      </c>
      <c r="G10" s="45">
        <v>211</v>
      </c>
      <c r="H10" s="22">
        <v>1.8</v>
      </c>
      <c r="I10" s="6">
        <f t="shared" si="0"/>
        <v>285.79949999999997</v>
      </c>
      <c r="J10" s="7" t="s">
        <v>88</v>
      </c>
    </row>
    <row r="11" spans="1:11" ht="13.95" customHeight="1" x14ac:dyDescent="0.3">
      <c r="A11" s="20">
        <v>45667</v>
      </c>
      <c r="B11" s="20" t="s">
        <v>3461</v>
      </c>
      <c r="C11" s="19" t="s">
        <v>11</v>
      </c>
      <c r="D11" s="19" t="s">
        <v>2993</v>
      </c>
      <c r="E11" s="4">
        <v>0.45</v>
      </c>
      <c r="F11" s="42">
        <v>2.4500000000000002</v>
      </c>
      <c r="G11" s="45">
        <v>211</v>
      </c>
      <c r="H11" s="22">
        <v>1.8</v>
      </c>
      <c r="I11" s="6">
        <f t="shared" si="0"/>
        <v>418.72950000000003</v>
      </c>
      <c r="J11" s="7" t="s">
        <v>1095</v>
      </c>
    </row>
    <row r="12" spans="1:11" ht="13.95" customHeight="1" x14ac:dyDescent="0.3">
      <c r="A12" s="20">
        <v>45668</v>
      </c>
      <c r="B12" s="20" t="s">
        <v>3461</v>
      </c>
      <c r="C12" s="19" t="s">
        <v>13</v>
      </c>
      <c r="D12" s="19" t="s">
        <v>3328</v>
      </c>
      <c r="E12" s="4">
        <v>0.55000000000000004</v>
      </c>
      <c r="F12" s="42">
        <v>3.2</v>
      </c>
      <c r="G12" s="45">
        <v>211</v>
      </c>
      <c r="H12" s="22">
        <v>1.8</v>
      </c>
      <c r="I12" s="6">
        <f t="shared" si="0"/>
        <v>668.44800000000009</v>
      </c>
      <c r="J12" s="7" t="s">
        <v>3329</v>
      </c>
    </row>
    <row r="13" spans="1:11" ht="13.95" customHeight="1" x14ac:dyDescent="0.3">
      <c r="A13" s="20">
        <v>45669</v>
      </c>
      <c r="B13" s="20" t="s">
        <v>3461</v>
      </c>
      <c r="C13" s="19" t="s">
        <v>16</v>
      </c>
      <c r="D13" s="19" t="s">
        <v>3323</v>
      </c>
      <c r="E13" s="4">
        <v>0.5</v>
      </c>
      <c r="F13" s="42">
        <v>2.65</v>
      </c>
      <c r="G13" s="45">
        <v>211</v>
      </c>
      <c r="H13" s="22">
        <v>1.8</v>
      </c>
      <c r="I13" s="6">
        <f t="shared" si="0"/>
        <v>503.23500000000001</v>
      </c>
      <c r="J13" s="7" t="s">
        <v>3330</v>
      </c>
    </row>
    <row r="14" spans="1:11" ht="13.95" customHeight="1" x14ac:dyDescent="0.3">
      <c r="A14" s="20">
        <v>45670</v>
      </c>
      <c r="B14" s="20" t="s">
        <v>3461</v>
      </c>
      <c r="C14" s="19" t="s">
        <v>18</v>
      </c>
      <c r="D14" s="19" t="s">
        <v>3325</v>
      </c>
      <c r="E14" s="4">
        <v>0.3</v>
      </c>
      <c r="F14" s="42">
        <v>2.1</v>
      </c>
      <c r="G14" s="45">
        <v>211</v>
      </c>
      <c r="H14" s="22">
        <v>1.8</v>
      </c>
      <c r="I14" s="6">
        <f t="shared" si="0"/>
        <v>239.27400000000003</v>
      </c>
      <c r="J14" s="7" t="s">
        <v>2373</v>
      </c>
    </row>
    <row r="15" spans="1:11" ht="13.95" customHeight="1" x14ac:dyDescent="0.3">
      <c r="A15" s="20">
        <v>45671</v>
      </c>
      <c r="B15" s="20" t="s">
        <v>3461</v>
      </c>
      <c r="C15" s="19" t="s">
        <v>20</v>
      </c>
      <c r="D15" s="19" t="s">
        <v>2720</v>
      </c>
      <c r="E15" s="4">
        <v>0.5</v>
      </c>
      <c r="F15" s="42">
        <v>2.8</v>
      </c>
      <c r="G15" s="45">
        <v>211</v>
      </c>
      <c r="H15" s="22">
        <v>1.8</v>
      </c>
      <c r="I15" s="6">
        <f t="shared" si="0"/>
        <v>531.72</v>
      </c>
      <c r="J15" s="7" t="s">
        <v>3331</v>
      </c>
    </row>
    <row r="16" spans="1:11" ht="13.95" customHeight="1" x14ac:dyDescent="0.3">
      <c r="A16" s="20">
        <v>45672</v>
      </c>
      <c r="B16" s="20" t="s">
        <v>3461</v>
      </c>
      <c r="C16" s="19" t="s">
        <v>5</v>
      </c>
      <c r="D16" s="19" t="s">
        <v>3325</v>
      </c>
      <c r="E16" s="4">
        <v>0.3</v>
      </c>
      <c r="F16" s="42">
        <v>2.1</v>
      </c>
      <c r="G16" s="45">
        <v>211</v>
      </c>
      <c r="H16" s="22">
        <v>1.8</v>
      </c>
      <c r="I16" s="6">
        <f t="shared" si="0"/>
        <v>239.27400000000003</v>
      </c>
      <c r="J16" s="7" t="s">
        <v>88</v>
      </c>
    </row>
    <row r="17" spans="1:10" ht="13.95" customHeight="1" x14ac:dyDescent="0.3">
      <c r="A17" s="20">
        <v>45673</v>
      </c>
      <c r="B17" s="20" t="s">
        <v>3461</v>
      </c>
      <c r="C17" s="19" t="s">
        <v>8</v>
      </c>
      <c r="D17" s="19" t="s">
        <v>3325</v>
      </c>
      <c r="E17" s="4">
        <v>0.35</v>
      </c>
      <c r="F17" s="42">
        <v>2.15</v>
      </c>
      <c r="G17" s="45">
        <v>211</v>
      </c>
      <c r="H17" s="22">
        <v>1.8</v>
      </c>
      <c r="I17" s="6">
        <f t="shared" si="0"/>
        <v>285.79949999999997</v>
      </c>
      <c r="J17" s="7" t="s">
        <v>88</v>
      </c>
    </row>
    <row r="18" spans="1:10" ht="13.95" customHeight="1" x14ac:dyDescent="0.3">
      <c r="A18" s="20">
        <v>45674</v>
      </c>
      <c r="B18" s="20" t="s">
        <v>3461</v>
      </c>
      <c r="C18" s="19" t="s">
        <v>11</v>
      </c>
      <c r="D18" s="19" t="s">
        <v>2993</v>
      </c>
      <c r="E18" s="4">
        <v>0.45</v>
      </c>
      <c r="F18" s="42">
        <v>2.4</v>
      </c>
      <c r="G18" s="45">
        <v>211</v>
      </c>
      <c r="H18" s="22">
        <v>1.8</v>
      </c>
      <c r="I18" s="6">
        <f t="shared" si="0"/>
        <v>410.18400000000003</v>
      </c>
      <c r="J18" s="7" t="s">
        <v>3332</v>
      </c>
    </row>
    <row r="19" spans="1:10" ht="13.95" customHeight="1" x14ac:dyDescent="0.3">
      <c r="A19" s="20">
        <v>45675</v>
      </c>
      <c r="B19" s="20" t="s">
        <v>3461</v>
      </c>
      <c r="C19" s="19" t="s">
        <v>13</v>
      </c>
      <c r="D19" s="19" t="s">
        <v>3333</v>
      </c>
      <c r="E19" s="4">
        <v>0.6</v>
      </c>
      <c r="F19" s="42">
        <v>3.3</v>
      </c>
      <c r="G19" s="45">
        <v>211</v>
      </c>
      <c r="H19" s="22">
        <v>1.8</v>
      </c>
      <c r="I19" s="6">
        <f t="shared" si="0"/>
        <v>752.00400000000002</v>
      </c>
      <c r="J19" s="7" t="s">
        <v>3334</v>
      </c>
    </row>
    <row r="20" spans="1:10" ht="13.95" customHeight="1" x14ac:dyDescent="0.3">
      <c r="A20" s="20">
        <v>45676</v>
      </c>
      <c r="B20" s="20" t="s">
        <v>3461</v>
      </c>
      <c r="C20" s="19" t="s">
        <v>16</v>
      </c>
      <c r="D20" s="19" t="s">
        <v>3323</v>
      </c>
      <c r="E20" s="4">
        <v>0.55000000000000004</v>
      </c>
      <c r="F20" s="42">
        <v>2.7</v>
      </c>
      <c r="G20" s="45">
        <v>211</v>
      </c>
      <c r="H20" s="22">
        <v>1.8</v>
      </c>
      <c r="I20" s="6">
        <f t="shared" si="0"/>
        <v>564.00300000000004</v>
      </c>
      <c r="J20" s="7" t="s">
        <v>3335</v>
      </c>
    </row>
    <row r="21" spans="1:10" ht="13.95" customHeight="1" x14ac:dyDescent="0.3">
      <c r="A21" s="20">
        <v>45677</v>
      </c>
      <c r="B21" s="20" t="s">
        <v>3461</v>
      </c>
      <c r="C21" s="19" t="s">
        <v>18</v>
      </c>
      <c r="D21" s="19" t="s">
        <v>3325</v>
      </c>
      <c r="E21" s="4">
        <v>0.3</v>
      </c>
      <c r="F21" s="42">
        <v>2.1</v>
      </c>
      <c r="G21" s="45">
        <v>211</v>
      </c>
      <c r="H21" s="22">
        <v>1.8</v>
      </c>
      <c r="I21" s="6">
        <f t="shared" si="0"/>
        <v>239.27400000000003</v>
      </c>
      <c r="J21" s="7" t="s">
        <v>272</v>
      </c>
    </row>
    <row r="22" spans="1:10" ht="13.95" customHeight="1" x14ac:dyDescent="0.3">
      <c r="A22" s="20">
        <v>45678</v>
      </c>
      <c r="B22" s="20" t="s">
        <v>3461</v>
      </c>
      <c r="C22" s="19" t="s">
        <v>20</v>
      </c>
      <c r="D22" s="19" t="s">
        <v>3325</v>
      </c>
      <c r="E22" s="4">
        <v>0.3</v>
      </c>
      <c r="F22" s="42">
        <v>2.1</v>
      </c>
      <c r="G22" s="45">
        <v>211</v>
      </c>
      <c r="H22" s="22">
        <v>1.8</v>
      </c>
      <c r="I22" s="6">
        <f t="shared" si="0"/>
        <v>239.27400000000003</v>
      </c>
      <c r="J22" s="7" t="s">
        <v>88</v>
      </c>
    </row>
    <row r="23" spans="1:10" ht="13.95" customHeight="1" x14ac:dyDescent="0.3">
      <c r="A23" s="20">
        <v>45679</v>
      </c>
      <c r="B23" s="20" t="s">
        <v>3461</v>
      </c>
      <c r="C23" s="19" t="s">
        <v>5</v>
      </c>
      <c r="D23" s="19" t="s">
        <v>3325</v>
      </c>
      <c r="E23" s="4">
        <v>0.35</v>
      </c>
      <c r="F23" s="42">
        <v>2.15</v>
      </c>
      <c r="G23" s="45">
        <v>211</v>
      </c>
      <c r="H23" s="22">
        <v>1.8</v>
      </c>
      <c r="I23" s="6">
        <f t="shared" si="0"/>
        <v>285.79949999999997</v>
      </c>
      <c r="J23" s="7" t="s">
        <v>88</v>
      </c>
    </row>
    <row r="24" spans="1:10" ht="13.95" customHeight="1" x14ac:dyDescent="0.3">
      <c r="A24" s="20">
        <v>45680</v>
      </c>
      <c r="B24" s="20" t="s">
        <v>3461</v>
      </c>
      <c r="C24" s="19" t="s">
        <v>8</v>
      </c>
      <c r="D24" s="19" t="s">
        <v>3325</v>
      </c>
      <c r="E24" s="4">
        <v>0.35</v>
      </c>
      <c r="F24" s="42">
        <v>2.15</v>
      </c>
      <c r="G24" s="45">
        <v>211</v>
      </c>
      <c r="H24" s="22">
        <v>1.8</v>
      </c>
      <c r="I24" s="6">
        <f t="shared" si="0"/>
        <v>285.79949999999997</v>
      </c>
      <c r="J24" s="7" t="s">
        <v>88</v>
      </c>
    </row>
    <row r="25" spans="1:10" ht="13.95" customHeight="1" x14ac:dyDescent="0.3">
      <c r="A25" s="20">
        <v>45681</v>
      </c>
      <c r="B25" s="20" t="s">
        <v>3461</v>
      </c>
      <c r="C25" s="19" t="s">
        <v>11</v>
      </c>
      <c r="D25" s="19" t="s">
        <v>2993</v>
      </c>
      <c r="E25" s="4">
        <v>0.45</v>
      </c>
      <c r="F25" s="42">
        <v>2.4500000000000002</v>
      </c>
      <c r="G25" s="45">
        <v>211</v>
      </c>
      <c r="H25" s="22">
        <v>1.8</v>
      </c>
      <c r="I25" s="6">
        <f t="shared" si="0"/>
        <v>418.72950000000003</v>
      </c>
      <c r="J25" s="7" t="s">
        <v>1783</v>
      </c>
    </row>
    <row r="26" spans="1:10" ht="13.95" customHeight="1" x14ac:dyDescent="0.3">
      <c r="A26" s="20">
        <v>45682</v>
      </c>
      <c r="B26" s="20" t="s">
        <v>3461</v>
      </c>
      <c r="C26" s="19" t="s">
        <v>13</v>
      </c>
      <c r="D26" s="19" t="s">
        <v>3156</v>
      </c>
      <c r="E26" s="4">
        <v>0.6</v>
      </c>
      <c r="F26" s="42">
        <v>3.4</v>
      </c>
      <c r="G26" s="45">
        <v>211</v>
      </c>
      <c r="H26" s="22">
        <v>1.8</v>
      </c>
      <c r="I26" s="6">
        <f t="shared" si="0"/>
        <v>774.79200000000003</v>
      </c>
      <c r="J26" s="7" t="s">
        <v>3336</v>
      </c>
    </row>
    <row r="27" spans="1:10" ht="13.95" customHeight="1" x14ac:dyDescent="0.3">
      <c r="A27" s="20">
        <v>45683</v>
      </c>
      <c r="B27" s="20" t="s">
        <v>3461</v>
      </c>
      <c r="C27" s="19" t="s">
        <v>16</v>
      </c>
      <c r="D27" s="19" t="s">
        <v>3323</v>
      </c>
      <c r="E27" s="4">
        <v>0.55000000000000004</v>
      </c>
      <c r="F27" s="42">
        <v>2.75</v>
      </c>
      <c r="G27" s="45">
        <v>211</v>
      </c>
      <c r="H27" s="22">
        <v>1.8</v>
      </c>
      <c r="I27" s="6">
        <f t="shared" si="0"/>
        <v>574.4475000000001</v>
      </c>
      <c r="J27" s="7" t="s">
        <v>3337</v>
      </c>
    </row>
    <row r="28" spans="1:10" ht="13.95" customHeight="1" x14ac:dyDescent="0.3">
      <c r="A28" s="20">
        <v>45684</v>
      </c>
      <c r="B28" s="20" t="s">
        <v>3461</v>
      </c>
      <c r="C28" s="19" t="s">
        <v>18</v>
      </c>
      <c r="D28" s="19" t="s">
        <v>3325</v>
      </c>
      <c r="E28" s="4">
        <v>0.3</v>
      </c>
      <c r="F28" s="42">
        <v>2.1</v>
      </c>
      <c r="G28" s="45">
        <v>211</v>
      </c>
      <c r="H28" s="22">
        <v>1.8</v>
      </c>
      <c r="I28" s="6">
        <f t="shared" si="0"/>
        <v>239.27400000000003</v>
      </c>
      <c r="J28" s="7" t="s">
        <v>150</v>
      </c>
    </row>
    <row r="29" spans="1:10" ht="13.95" customHeight="1" x14ac:dyDescent="0.3">
      <c r="A29" s="20">
        <v>45685</v>
      </c>
      <c r="B29" s="20" t="s">
        <v>3461</v>
      </c>
      <c r="C29" s="19" t="s">
        <v>20</v>
      </c>
      <c r="D29" s="19" t="s">
        <v>3325</v>
      </c>
      <c r="E29" s="4">
        <v>0.3</v>
      </c>
      <c r="F29" s="42">
        <v>2.1</v>
      </c>
      <c r="G29" s="45">
        <v>211</v>
      </c>
      <c r="H29" s="22">
        <v>1.8</v>
      </c>
      <c r="I29" s="6">
        <f t="shared" si="0"/>
        <v>239.27400000000003</v>
      </c>
      <c r="J29" s="7" t="s">
        <v>88</v>
      </c>
    </row>
    <row r="30" spans="1:10" ht="13.95" customHeight="1" x14ac:dyDescent="0.3">
      <c r="A30" s="20">
        <v>45686</v>
      </c>
      <c r="B30" s="20" t="s">
        <v>3461</v>
      </c>
      <c r="C30" s="19" t="s">
        <v>5</v>
      </c>
      <c r="D30" s="19" t="s">
        <v>3325</v>
      </c>
      <c r="E30" s="4">
        <v>0.35</v>
      </c>
      <c r="F30" s="42">
        <v>2.1</v>
      </c>
      <c r="G30" s="45">
        <v>211</v>
      </c>
      <c r="H30" s="22">
        <v>1.8</v>
      </c>
      <c r="I30" s="6">
        <f t="shared" si="0"/>
        <v>279.15300000000002</v>
      </c>
      <c r="J30" s="7" t="s">
        <v>88</v>
      </c>
    </row>
    <row r="31" spans="1:10" ht="13.95" customHeight="1" x14ac:dyDescent="0.3">
      <c r="A31" s="20">
        <v>45687</v>
      </c>
      <c r="B31" s="20" t="s">
        <v>3461</v>
      </c>
      <c r="C31" s="19" t="s">
        <v>8</v>
      </c>
      <c r="D31" s="19" t="s">
        <v>3325</v>
      </c>
      <c r="E31" s="4">
        <v>0.35</v>
      </c>
      <c r="F31" s="42">
        <v>2.15</v>
      </c>
      <c r="G31" s="45">
        <v>211</v>
      </c>
      <c r="H31" s="22">
        <v>1.8</v>
      </c>
      <c r="I31" s="6">
        <f t="shared" si="0"/>
        <v>285.79949999999997</v>
      </c>
      <c r="J31" s="7" t="s">
        <v>3255</v>
      </c>
    </row>
    <row r="32" spans="1:10" ht="13.95" customHeight="1" x14ac:dyDescent="0.3">
      <c r="A32" s="20">
        <v>45688</v>
      </c>
      <c r="B32" s="20" t="s">
        <v>3461</v>
      </c>
      <c r="C32" s="19" t="s">
        <v>11</v>
      </c>
      <c r="D32" s="19" t="s">
        <v>14</v>
      </c>
      <c r="E32" s="4">
        <v>0.5</v>
      </c>
      <c r="F32" s="42">
        <v>2.5</v>
      </c>
      <c r="G32" s="45">
        <v>211</v>
      </c>
      <c r="H32" s="22">
        <v>1.8</v>
      </c>
      <c r="I32" s="6">
        <f t="shared" si="0"/>
        <v>474.75</v>
      </c>
      <c r="J32" s="7" t="s">
        <v>3338</v>
      </c>
    </row>
    <row r="33" spans="1:10" ht="13.95" customHeight="1" x14ac:dyDescent="0.3">
      <c r="A33" s="20">
        <v>45689</v>
      </c>
      <c r="B33" s="20" t="s">
        <v>3461</v>
      </c>
      <c r="C33" s="19" t="s">
        <v>13</v>
      </c>
      <c r="D33" s="19" t="s">
        <v>3339</v>
      </c>
      <c r="E33" s="4">
        <v>0.55000000000000004</v>
      </c>
      <c r="F33" s="42">
        <v>3.2</v>
      </c>
      <c r="G33" s="45">
        <v>211</v>
      </c>
      <c r="H33" s="22">
        <v>1.9</v>
      </c>
      <c r="I33" s="6">
        <f t="shared" si="0"/>
        <v>705.58400000000006</v>
      </c>
      <c r="J33" s="7" t="s">
        <v>3340</v>
      </c>
    </row>
    <row r="34" spans="1:10" ht="13.95" customHeight="1" x14ac:dyDescent="0.3">
      <c r="A34" s="20">
        <v>45690</v>
      </c>
      <c r="B34" s="20" t="s">
        <v>3461</v>
      </c>
      <c r="C34" s="19" t="s">
        <v>16</v>
      </c>
      <c r="D34" s="19" t="s">
        <v>3323</v>
      </c>
      <c r="E34" s="4">
        <v>0.5</v>
      </c>
      <c r="F34" s="42">
        <v>2.7</v>
      </c>
      <c r="G34" s="45">
        <v>211</v>
      </c>
      <c r="H34" s="22">
        <v>1.9</v>
      </c>
      <c r="I34" s="6">
        <f t="shared" si="0"/>
        <v>541.21500000000003</v>
      </c>
      <c r="J34" s="7" t="s">
        <v>3337</v>
      </c>
    </row>
    <row r="35" spans="1:10" ht="13.95" customHeight="1" x14ac:dyDescent="0.3">
      <c r="A35" s="20">
        <v>45691</v>
      </c>
      <c r="B35" s="20" t="s">
        <v>3461</v>
      </c>
      <c r="C35" s="19" t="s">
        <v>18</v>
      </c>
      <c r="D35" s="19" t="s">
        <v>3325</v>
      </c>
      <c r="E35" s="4">
        <v>0.4</v>
      </c>
      <c r="F35" s="42">
        <v>2.15</v>
      </c>
      <c r="G35" s="45">
        <v>211</v>
      </c>
      <c r="H35" s="22">
        <v>1.9</v>
      </c>
      <c r="I35" s="6">
        <f t="shared" si="0"/>
        <v>344.774</v>
      </c>
      <c r="J35" s="7" t="s">
        <v>3341</v>
      </c>
    </row>
    <row r="36" spans="1:10" ht="13.95" customHeight="1" x14ac:dyDescent="0.3">
      <c r="A36" s="20">
        <v>45694</v>
      </c>
      <c r="B36" s="20" t="s">
        <v>3461</v>
      </c>
      <c r="C36" s="19" t="s">
        <v>8</v>
      </c>
      <c r="D36" s="19" t="s">
        <v>3325</v>
      </c>
      <c r="E36" s="4">
        <v>0.45</v>
      </c>
      <c r="F36" s="42">
        <v>2.2000000000000002</v>
      </c>
      <c r="G36" s="45">
        <v>211</v>
      </c>
      <c r="H36" s="22">
        <v>1.9</v>
      </c>
      <c r="I36" s="6">
        <f t="shared" si="0"/>
        <v>396.89100000000002</v>
      </c>
      <c r="J36" s="7" t="s">
        <v>3342</v>
      </c>
    </row>
    <row r="37" spans="1:10" ht="13.95" customHeight="1" x14ac:dyDescent="0.3">
      <c r="A37" s="20">
        <v>45695</v>
      </c>
      <c r="B37" s="20" t="s">
        <v>3461</v>
      </c>
      <c r="C37" s="19" t="s">
        <v>11</v>
      </c>
      <c r="D37" s="19" t="s">
        <v>2993</v>
      </c>
      <c r="E37" s="4">
        <v>0.55000000000000004</v>
      </c>
      <c r="F37" s="42">
        <v>2.6</v>
      </c>
      <c r="G37" s="45">
        <v>211</v>
      </c>
      <c r="H37" s="22">
        <v>1.9</v>
      </c>
      <c r="I37" s="6">
        <f t="shared" si="0"/>
        <v>573.28700000000003</v>
      </c>
      <c r="J37" s="7" t="s">
        <v>67</v>
      </c>
    </row>
    <row r="38" spans="1:10" ht="13.95" customHeight="1" x14ac:dyDescent="0.3">
      <c r="A38" s="20">
        <v>45696</v>
      </c>
      <c r="B38" s="20" t="s">
        <v>3461</v>
      </c>
      <c r="C38" s="19" t="s">
        <v>13</v>
      </c>
      <c r="D38" s="19" t="s">
        <v>3156</v>
      </c>
      <c r="E38" s="4">
        <v>0.65</v>
      </c>
      <c r="F38" s="42">
        <v>3.4</v>
      </c>
      <c r="G38" s="45">
        <v>211</v>
      </c>
      <c r="H38" s="22">
        <v>1.9</v>
      </c>
      <c r="I38" s="6">
        <f t="shared" si="0"/>
        <v>885.98899999999992</v>
      </c>
      <c r="J38" s="7" t="s">
        <v>3343</v>
      </c>
    </row>
    <row r="39" spans="1:10" ht="13.95" customHeight="1" x14ac:dyDescent="0.3">
      <c r="A39" s="20">
        <v>45697</v>
      </c>
      <c r="B39" s="20" t="s">
        <v>3461</v>
      </c>
      <c r="C39" s="19" t="s">
        <v>16</v>
      </c>
      <c r="D39" s="19" t="s">
        <v>3323</v>
      </c>
      <c r="E39" s="4">
        <v>0.6</v>
      </c>
      <c r="F39" s="42">
        <v>2.8</v>
      </c>
      <c r="G39" s="45">
        <v>211</v>
      </c>
      <c r="H39" s="22">
        <v>1.9</v>
      </c>
      <c r="I39" s="6">
        <f t="shared" si="0"/>
        <v>673.51199999999994</v>
      </c>
      <c r="J39" s="7" t="s">
        <v>3330</v>
      </c>
    </row>
    <row r="40" spans="1:10" ht="13.95" customHeight="1" x14ac:dyDescent="0.3">
      <c r="A40" s="20">
        <v>45700</v>
      </c>
      <c r="B40" s="20" t="s">
        <v>3461</v>
      </c>
      <c r="C40" s="19" t="s">
        <v>5</v>
      </c>
      <c r="D40" s="19" t="s">
        <v>3344</v>
      </c>
      <c r="E40" s="4">
        <v>0.5</v>
      </c>
      <c r="F40" s="42">
        <v>2.4</v>
      </c>
      <c r="G40" s="45">
        <v>211</v>
      </c>
      <c r="H40" s="22">
        <v>1.9</v>
      </c>
      <c r="I40" s="6">
        <f t="shared" si="0"/>
        <v>481.08</v>
      </c>
      <c r="J40" s="7" t="s">
        <v>1587</v>
      </c>
    </row>
    <row r="41" spans="1:10" ht="13.95" customHeight="1" x14ac:dyDescent="0.3">
      <c r="A41" s="20">
        <v>45701</v>
      </c>
      <c r="B41" s="20" t="s">
        <v>3461</v>
      </c>
      <c r="C41" s="19" t="s">
        <v>8</v>
      </c>
      <c r="D41" s="19" t="s">
        <v>1072</v>
      </c>
      <c r="E41" s="4">
        <v>0.65</v>
      </c>
      <c r="F41" s="42">
        <v>2.9</v>
      </c>
      <c r="G41" s="45">
        <v>211</v>
      </c>
      <c r="H41" s="22">
        <v>1.9</v>
      </c>
      <c r="I41" s="6">
        <f t="shared" si="0"/>
        <v>755.69650000000001</v>
      </c>
      <c r="J41" s="7" t="s">
        <v>3345</v>
      </c>
    </row>
    <row r="42" spans="1:10" ht="13.95" customHeight="1" x14ac:dyDescent="0.3">
      <c r="A42" s="20">
        <v>45702</v>
      </c>
      <c r="B42" s="20" t="s">
        <v>3461</v>
      </c>
      <c r="C42" s="19" t="s">
        <v>11</v>
      </c>
      <c r="D42" s="19" t="s">
        <v>1939</v>
      </c>
      <c r="E42" s="4">
        <v>0.95</v>
      </c>
      <c r="F42" s="42">
        <v>4.8</v>
      </c>
      <c r="G42" s="45">
        <v>211</v>
      </c>
      <c r="H42" s="22">
        <v>1.9</v>
      </c>
      <c r="I42" s="6">
        <f t="shared" si="0"/>
        <v>1828.1039999999996</v>
      </c>
      <c r="J42" s="7" t="s">
        <v>3346</v>
      </c>
    </row>
    <row r="43" spans="1:10" ht="13.95" customHeight="1" x14ac:dyDescent="0.3">
      <c r="A43" s="20">
        <v>45703</v>
      </c>
      <c r="B43" s="20" t="s">
        <v>3461</v>
      </c>
      <c r="C43" s="19" t="s">
        <v>13</v>
      </c>
      <c r="D43" s="19" t="s">
        <v>3347</v>
      </c>
      <c r="E43" s="4">
        <v>0.9</v>
      </c>
      <c r="F43" s="42">
        <v>3.8</v>
      </c>
      <c r="G43" s="45">
        <v>211</v>
      </c>
      <c r="H43" s="22">
        <v>1.9</v>
      </c>
      <c r="I43" s="6">
        <f t="shared" si="0"/>
        <v>1371.078</v>
      </c>
      <c r="J43" s="7" t="s">
        <v>3348</v>
      </c>
    </row>
    <row r="44" spans="1:10" ht="13.95" customHeight="1" x14ac:dyDescent="0.3">
      <c r="A44" s="20">
        <v>45704</v>
      </c>
      <c r="B44" s="20" t="s">
        <v>3461</v>
      </c>
      <c r="C44" s="19" t="s">
        <v>16</v>
      </c>
      <c r="D44" s="19" t="s">
        <v>3349</v>
      </c>
      <c r="E44" s="4">
        <v>0.8</v>
      </c>
      <c r="F44" s="42">
        <v>3.3</v>
      </c>
      <c r="G44" s="45">
        <v>211</v>
      </c>
      <c r="H44" s="22">
        <v>1.9</v>
      </c>
      <c r="I44" s="6">
        <f t="shared" si="0"/>
        <v>1058.376</v>
      </c>
      <c r="J44" s="7" t="s">
        <v>559</v>
      </c>
    </row>
    <row r="45" spans="1:10" ht="13.95" customHeight="1" x14ac:dyDescent="0.3">
      <c r="A45" s="20">
        <v>45705</v>
      </c>
      <c r="B45" s="20" t="s">
        <v>3461</v>
      </c>
      <c r="C45" s="19" t="s">
        <v>18</v>
      </c>
      <c r="D45" s="19" t="s">
        <v>1491</v>
      </c>
      <c r="E45" s="4">
        <v>0.6</v>
      </c>
      <c r="F45" s="42">
        <v>2.4</v>
      </c>
      <c r="G45" s="45">
        <v>211</v>
      </c>
      <c r="H45" s="22">
        <v>1.9</v>
      </c>
      <c r="I45" s="6">
        <f t="shared" si="0"/>
        <v>577.29599999999994</v>
      </c>
      <c r="J45" s="7" t="s">
        <v>3350</v>
      </c>
    </row>
    <row r="46" spans="1:10" ht="13.95" customHeight="1" x14ac:dyDescent="0.3">
      <c r="A46" s="20">
        <v>45708</v>
      </c>
      <c r="B46" s="20" t="s">
        <v>3461</v>
      </c>
      <c r="C46" s="19" t="s">
        <v>8</v>
      </c>
      <c r="D46" s="19" t="s">
        <v>1491</v>
      </c>
      <c r="E46" s="4">
        <v>0.65</v>
      </c>
      <c r="F46" s="42">
        <v>2.5</v>
      </c>
      <c r="G46" s="45">
        <v>211</v>
      </c>
      <c r="H46" s="22">
        <v>1.9</v>
      </c>
      <c r="I46" s="6">
        <f t="shared" si="0"/>
        <v>651.46249999999998</v>
      </c>
      <c r="J46" s="7" t="s">
        <v>2341</v>
      </c>
    </row>
    <row r="47" spans="1:10" ht="13.95" customHeight="1" x14ac:dyDescent="0.3">
      <c r="A47" s="20">
        <v>45709</v>
      </c>
      <c r="B47" s="20" t="s">
        <v>3461</v>
      </c>
      <c r="C47" s="19" t="s">
        <v>11</v>
      </c>
      <c r="D47" s="19" t="s">
        <v>1564</v>
      </c>
      <c r="E47" s="4">
        <v>0.75</v>
      </c>
      <c r="F47" s="42">
        <v>2.9</v>
      </c>
      <c r="G47" s="45">
        <v>211</v>
      </c>
      <c r="H47" s="22">
        <v>1.9</v>
      </c>
      <c r="I47" s="6">
        <f t="shared" si="0"/>
        <v>871.95749999999998</v>
      </c>
      <c r="J47" s="7" t="s">
        <v>3351</v>
      </c>
    </row>
    <row r="48" spans="1:10" ht="13.95" customHeight="1" x14ac:dyDescent="0.3">
      <c r="A48" s="20">
        <v>45710</v>
      </c>
      <c r="B48" s="20" t="s">
        <v>3461</v>
      </c>
      <c r="C48" s="19" t="s">
        <v>13</v>
      </c>
      <c r="D48" s="19" t="s">
        <v>3306</v>
      </c>
      <c r="E48" s="4">
        <v>0.85</v>
      </c>
      <c r="F48" s="42">
        <v>3.6</v>
      </c>
      <c r="G48" s="45">
        <v>211</v>
      </c>
      <c r="H48" s="22">
        <v>1.9</v>
      </c>
      <c r="I48" s="6">
        <f t="shared" si="0"/>
        <v>1226.7539999999999</v>
      </c>
      <c r="J48" s="7" t="s">
        <v>3336</v>
      </c>
    </row>
    <row r="49" spans="1:10" ht="13.95" customHeight="1" x14ac:dyDescent="0.3">
      <c r="A49" s="20">
        <v>45711</v>
      </c>
      <c r="B49" s="20" t="s">
        <v>3461</v>
      </c>
      <c r="C49" s="19" t="s">
        <v>16</v>
      </c>
      <c r="D49" s="19" t="s">
        <v>3323</v>
      </c>
      <c r="E49" s="4">
        <v>0.8</v>
      </c>
      <c r="F49" s="42">
        <v>3.1</v>
      </c>
      <c r="G49" s="45">
        <v>211</v>
      </c>
      <c r="H49" s="22">
        <v>1.9</v>
      </c>
      <c r="I49" s="6">
        <f t="shared" si="0"/>
        <v>994.23200000000008</v>
      </c>
      <c r="J49" s="7" t="s">
        <v>3352</v>
      </c>
    </row>
    <row r="50" spans="1:10" ht="13.95" customHeight="1" x14ac:dyDescent="0.3">
      <c r="A50" s="20">
        <v>45714</v>
      </c>
      <c r="B50" s="20" t="s">
        <v>3461</v>
      </c>
      <c r="C50" s="19" t="s">
        <v>5</v>
      </c>
      <c r="D50" s="19" t="s">
        <v>2783</v>
      </c>
      <c r="E50" s="4">
        <v>0.45</v>
      </c>
      <c r="F50" s="42">
        <v>2.2000000000000002</v>
      </c>
      <c r="G50" s="45">
        <v>211</v>
      </c>
      <c r="H50" s="22">
        <v>1.9</v>
      </c>
      <c r="I50" s="6">
        <f t="shared" si="0"/>
        <v>396.89100000000002</v>
      </c>
      <c r="J50" s="7" t="s">
        <v>1628</v>
      </c>
    </row>
    <row r="51" spans="1:10" ht="13.95" customHeight="1" x14ac:dyDescent="0.3">
      <c r="A51" s="20">
        <v>45716</v>
      </c>
      <c r="B51" s="20" t="s">
        <v>3461</v>
      </c>
      <c r="C51" s="19" t="s">
        <v>11</v>
      </c>
      <c r="D51" s="19" t="s">
        <v>3353</v>
      </c>
      <c r="E51" s="4">
        <v>0.55000000000000004</v>
      </c>
      <c r="F51" s="42">
        <v>2.6</v>
      </c>
      <c r="G51" s="45">
        <v>211</v>
      </c>
      <c r="H51" s="22">
        <v>1.9</v>
      </c>
      <c r="I51" s="6">
        <f t="shared" si="0"/>
        <v>573.28700000000003</v>
      </c>
      <c r="J51" s="7" t="s">
        <v>3354</v>
      </c>
    </row>
    <row r="52" spans="1:10" ht="13.95" customHeight="1" x14ac:dyDescent="0.3">
      <c r="A52" s="20">
        <v>45717</v>
      </c>
      <c r="B52" s="20" t="s">
        <v>3461</v>
      </c>
      <c r="C52" s="19" t="s">
        <v>13</v>
      </c>
      <c r="D52" s="19" t="s">
        <v>2736</v>
      </c>
      <c r="E52" s="4">
        <v>0.65</v>
      </c>
      <c r="F52" s="42">
        <v>4.0999999999999996</v>
      </c>
      <c r="G52" s="45">
        <v>211</v>
      </c>
      <c r="H52" s="22">
        <v>1.8</v>
      </c>
      <c r="I52" s="6">
        <f t="shared" si="0"/>
        <v>1012.1669999999999</v>
      </c>
      <c r="J52" s="7" t="s">
        <v>3355</v>
      </c>
    </row>
    <row r="53" spans="1:10" ht="13.95" customHeight="1" x14ac:dyDescent="0.3">
      <c r="A53" s="20">
        <v>45718</v>
      </c>
      <c r="B53" s="20" t="s">
        <v>3461</v>
      </c>
      <c r="C53" s="19" t="s">
        <v>16</v>
      </c>
      <c r="D53" s="19" t="s">
        <v>76</v>
      </c>
      <c r="E53" s="4">
        <v>0.55000000000000004</v>
      </c>
      <c r="F53" s="42">
        <v>3.1</v>
      </c>
      <c r="G53" s="45">
        <v>211</v>
      </c>
      <c r="H53" s="22">
        <v>1.8</v>
      </c>
      <c r="I53" s="6">
        <f t="shared" si="0"/>
        <v>647.55900000000008</v>
      </c>
      <c r="J53" s="7" t="s">
        <v>3356</v>
      </c>
    </row>
    <row r="54" spans="1:10" ht="13.95" customHeight="1" x14ac:dyDescent="0.3">
      <c r="A54" s="20">
        <v>45719</v>
      </c>
      <c r="B54" s="20" t="s">
        <v>3461</v>
      </c>
      <c r="C54" s="19" t="s">
        <v>18</v>
      </c>
      <c r="D54" s="19" t="s">
        <v>3325</v>
      </c>
      <c r="E54" s="4">
        <v>0.35</v>
      </c>
      <c r="F54" s="42">
        <v>2.4</v>
      </c>
      <c r="G54" s="45">
        <v>211</v>
      </c>
      <c r="H54" s="22">
        <v>1.8</v>
      </c>
      <c r="I54" s="6">
        <f t="shared" si="0"/>
        <v>319.03199999999998</v>
      </c>
      <c r="J54" s="7" t="s">
        <v>3357</v>
      </c>
    </row>
    <row r="55" spans="1:10" ht="13.95" customHeight="1" x14ac:dyDescent="0.3">
      <c r="A55" s="20">
        <v>45720</v>
      </c>
      <c r="B55" s="20" t="s">
        <v>3461</v>
      </c>
      <c r="C55" s="19" t="s">
        <v>20</v>
      </c>
      <c r="D55" s="19" t="s">
        <v>3325</v>
      </c>
      <c r="E55" s="4">
        <v>0.35</v>
      </c>
      <c r="F55" s="42">
        <v>2.4</v>
      </c>
      <c r="G55" s="45">
        <v>211</v>
      </c>
      <c r="H55" s="22">
        <v>1.8</v>
      </c>
      <c r="I55" s="6">
        <f t="shared" si="0"/>
        <v>319.03199999999998</v>
      </c>
      <c r="J55" s="7" t="s">
        <v>88</v>
      </c>
    </row>
    <row r="56" spans="1:10" ht="13.95" customHeight="1" x14ac:dyDescent="0.3">
      <c r="A56" s="20">
        <v>45721</v>
      </c>
      <c r="B56" s="20" t="s">
        <v>3461</v>
      </c>
      <c r="C56" s="19" t="s">
        <v>5</v>
      </c>
      <c r="D56" s="19" t="s">
        <v>3325</v>
      </c>
      <c r="E56" s="4">
        <v>0.4</v>
      </c>
      <c r="F56" s="42">
        <v>2.4</v>
      </c>
      <c r="G56" s="45">
        <v>211</v>
      </c>
      <c r="H56" s="22">
        <v>1.8</v>
      </c>
      <c r="I56" s="6">
        <f t="shared" si="0"/>
        <v>364.608</v>
      </c>
      <c r="J56" s="7" t="s">
        <v>88</v>
      </c>
    </row>
    <row r="57" spans="1:10" ht="13.95" customHeight="1" x14ac:dyDescent="0.3">
      <c r="A57" s="20">
        <v>45722</v>
      </c>
      <c r="B57" s="20" t="s">
        <v>3461</v>
      </c>
      <c r="C57" s="19" t="s">
        <v>8</v>
      </c>
      <c r="D57" s="19" t="s">
        <v>3325</v>
      </c>
      <c r="E57" s="4">
        <v>0.4</v>
      </c>
      <c r="F57" s="42">
        <v>2.4500000000000002</v>
      </c>
      <c r="G57" s="45">
        <v>211</v>
      </c>
      <c r="H57" s="22">
        <v>1.8</v>
      </c>
      <c r="I57" s="6">
        <f t="shared" si="0"/>
        <v>372.20400000000006</v>
      </c>
      <c r="J57" s="7" t="s">
        <v>82</v>
      </c>
    </row>
    <row r="58" spans="1:10" ht="13.95" customHeight="1" x14ac:dyDescent="0.3">
      <c r="A58" s="20">
        <v>45723</v>
      </c>
      <c r="B58" s="20" t="s">
        <v>3461</v>
      </c>
      <c r="C58" s="19" t="s">
        <v>11</v>
      </c>
      <c r="D58" s="19" t="s">
        <v>3358</v>
      </c>
      <c r="E58" s="4">
        <v>0.55000000000000004</v>
      </c>
      <c r="F58" s="42">
        <v>3.3</v>
      </c>
      <c r="G58" s="45">
        <v>211</v>
      </c>
      <c r="H58" s="22">
        <v>1.8</v>
      </c>
      <c r="I58" s="6">
        <f t="shared" si="0"/>
        <v>689.3370000000001</v>
      </c>
      <c r="J58" s="7" t="s">
        <v>3359</v>
      </c>
    </row>
    <row r="59" spans="1:10" ht="13.95" customHeight="1" x14ac:dyDescent="0.3">
      <c r="A59" s="20">
        <v>45724</v>
      </c>
      <c r="B59" s="20" t="s">
        <v>3461</v>
      </c>
      <c r="C59" s="19" t="s">
        <v>13</v>
      </c>
      <c r="D59" s="19" t="s">
        <v>3360</v>
      </c>
      <c r="E59" s="4">
        <v>0.7</v>
      </c>
      <c r="F59" s="42">
        <v>3.8</v>
      </c>
      <c r="G59" s="45">
        <v>211</v>
      </c>
      <c r="H59" s="22">
        <v>1.8</v>
      </c>
      <c r="I59" s="6">
        <f t="shared" si="0"/>
        <v>1010.2679999999998</v>
      </c>
      <c r="J59" s="7" t="s">
        <v>1478</v>
      </c>
    </row>
    <row r="60" spans="1:10" ht="13.95" customHeight="1" x14ac:dyDescent="0.3">
      <c r="A60" s="20">
        <v>45725</v>
      </c>
      <c r="B60" s="20" t="s">
        <v>3461</v>
      </c>
      <c r="C60" s="19" t="s">
        <v>16</v>
      </c>
      <c r="D60" s="19" t="s">
        <v>3361</v>
      </c>
      <c r="E60" s="4">
        <v>0.6</v>
      </c>
      <c r="F60" s="42">
        <v>3</v>
      </c>
      <c r="G60" s="45">
        <v>211</v>
      </c>
      <c r="H60" s="22">
        <v>1.8</v>
      </c>
      <c r="I60" s="6">
        <f t="shared" si="0"/>
        <v>683.64</v>
      </c>
      <c r="J60" s="7" t="s">
        <v>3362</v>
      </c>
    </row>
    <row r="61" spans="1:10" ht="13.95" customHeight="1" x14ac:dyDescent="0.3">
      <c r="A61" s="20">
        <v>45726</v>
      </c>
      <c r="B61" s="20" t="s">
        <v>3461</v>
      </c>
      <c r="C61" s="19" t="s">
        <v>18</v>
      </c>
      <c r="D61" s="19" t="s">
        <v>3325</v>
      </c>
      <c r="E61" s="4">
        <v>0.35</v>
      </c>
      <c r="F61" s="42">
        <v>2.2999999999999998</v>
      </c>
      <c r="G61" s="45">
        <v>211</v>
      </c>
      <c r="H61" s="22">
        <v>1.8</v>
      </c>
      <c r="I61" s="6">
        <f t="shared" si="0"/>
        <v>305.73899999999992</v>
      </c>
      <c r="J61" s="7" t="s">
        <v>3363</v>
      </c>
    </row>
    <row r="62" spans="1:10" ht="13.95" customHeight="1" x14ac:dyDescent="0.3">
      <c r="A62" s="20">
        <v>45727</v>
      </c>
      <c r="B62" s="20" t="s">
        <v>3461</v>
      </c>
      <c r="C62" s="19" t="s">
        <v>20</v>
      </c>
      <c r="D62" s="19" t="s">
        <v>3325</v>
      </c>
      <c r="E62" s="4">
        <v>0.35</v>
      </c>
      <c r="F62" s="42">
        <v>2.2999999999999998</v>
      </c>
      <c r="G62" s="45">
        <v>211</v>
      </c>
      <c r="H62" s="22">
        <v>1.8</v>
      </c>
      <c r="I62" s="6">
        <f t="shared" si="0"/>
        <v>305.73899999999992</v>
      </c>
      <c r="J62" s="7" t="s">
        <v>88</v>
      </c>
    </row>
    <row r="63" spans="1:10" ht="13.95" customHeight="1" x14ac:dyDescent="0.3">
      <c r="A63" s="20">
        <v>45728</v>
      </c>
      <c r="B63" s="20" t="s">
        <v>3461</v>
      </c>
      <c r="C63" s="19" t="s">
        <v>5</v>
      </c>
      <c r="D63" s="19" t="s">
        <v>3325</v>
      </c>
      <c r="E63" s="4">
        <v>0.4</v>
      </c>
      <c r="F63" s="42">
        <v>2.2999999999999998</v>
      </c>
      <c r="G63" s="45">
        <v>211</v>
      </c>
      <c r="H63" s="22">
        <v>1.8</v>
      </c>
      <c r="I63" s="6">
        <f t="shared" si="0"/>
        <v>349.416</v>
      </c>
      <c r="J63" s="7" t="s">
        <v>88</v>
      </c>
    </row>
    <row r="64" spans="1:10" ht="13.95" customHeight="1" x14ac:dyDescent="0.3">
      <c r="A64" s="20">
        <v>45729</v>
      </c>
      <c r="B64" s="20" t="s">
        <v>3461</v>
      </c>
      <c r="C64" s="19" t="s">
        <v>8</v>
      </c>
      <c r="D64" s="19" t="s">
        <v>3325</v>
      </c>
      <c r="E64" s="4">
        <v>0.45</v>
      </c>
      <c r="F64" s="42">
        <v>2.4</v>
      </c>
      <c r="G64" s="45">
        <v>211</v>
      </c>
      <c r="H64" s="22">
        <v>1.8</v>
      </c>
      <c r="I64" s="6">
        <f t="shared" si="0"/>
        <v>410.18400000000003</v>
      </c>
      <c r="J64" s="7" t="s">
        <v>67</v>
      </c>
    </row>
    <row r="65" spans="1:10" ht="13.95" customHeight="1" x14ac:dyDescent="0.3">
      <c r="A65" s="20">
        <v>45730</v>
      </c>
      <c r="B65" s="20" t="s">
        <v>3461</v>
      </c>
      <c r="C65" s="19" t="s">
        <v>11</v>
      </c>
      <c r="D65" s="19" t="s">
        <v>3358</v>
      </c>
      <c r="E65" s="4">
        <v>0.6</v>
      </c>
      <c r="F65" s="42">
        <v>3.3</v>
      </c>
      <c r="G65" s="45">
        <v>211</v>
      </c>
      <c r="H65" s="22">
        <v>1.8</v>
      </c>
      <c r="I65" s="6">
        <f t="shared" si="0"/>
        <v>752.00400000000002</v>
      </c>
      <c r="J65" s="7" t="s">
        <v>3364</v>
      </c>
    </row>
    <row r="66" spans="1:10" ht="13.95" customHeight="1" x14ac:dyDescent="0.3">
      <c r="A66" s="20">
        <v>45731</v>
      </c>
      <c r="B66" s="20" t="s">
        <v>3461</v>
      </c>
      <c r="C66" s="19" t="s">
        <v>13</v>
      </c>
      <c r="D66" s="19" t="s">
        <v>3365</v>
      </c>
      <c r="E66" s="4">
        <v>0.75</v>
      </c>
      <c r="F66" s="42">
        <v>4.2</v>
      </c>
      <c r="G66" s="45">
        <v>211</v>
      </c>
      <c r="H66" s="22">
        <v>1.8</v>
      </c>
      <c r="I66" s="6">
        <f t="shared" ref="I66:I129" si="1">(G66*E66)*F66*H66</f>
        <v>1196.3699999999999</v>
      </c>
      <c r="J66" s="7" t="s">
        <v>3366</v>
      </c>
    </row>
    <row r="67" spans="1:10" ht="13.95" customHeight="1" x14ac:dyDescent="0.3">
      <c r="A67" s="20">
        <v>45732</v>
      </c>
      <c r="B67" s="20" t="s">
        <v>3461</v>
      </c>
      <c r="C67" s="19" t="s">
        <v>16</v>
      </c>
      <c r="D67" s="19" t="s">
        <v>3361</v>
      </c>
      <c r="E67" s="4">
        <v>0.65</v>
      </c>
      <c r="F67" s="42">
        <v>3.1</v>
      </c>
      <c r="G67" s="45">
        <v>211</v>
      </c>
      <c r="H67" s="22">
        <v>1.8</v>
      </c>
      <c r="I67" s="6">
        <f t="shared" si="1"/>
        <v>765.29700000000003</v>
      </c>
      <c r="J67" s="7" t="s">
        <v>139</v>
      </c>
    </row>
    <row r="68" spans="1:10" ht="13.95" customHeight="1" x14ac:dyDescent="0.3">
      <c r="A68" s="20">
        <v>45733</v>
      </c>
      <c r="B68" s="20" t="s">
        <v>3461</v>
      </c>
      <c r="C68" s="19" t="s">
        <v>18</v>
      </c>
      <c r="D68" s="19" t="s">
        <v>3325</v>
      </c>
      <c r="E68" s="4">
        <v>0.4</v>
      </c>
      <c r="F68" s="42">
        <v>2.2999999999999998</v>
      </c>
      <c r="G68" s="45">
        <v>211</v>
      </c>
      <c r="H68" s="22">
        <v>1.8</v>
      </c>
      <c r="I68" s="6">
        <f t="shared" si="1"/>
        <v>349.416</v>
      </c>
      <c r="J68" s="7" t="s">
        <v>88</v>
      </c>
    </row>
    <row r="69" spans="1:10" ht="13.95" customHeight="1" x14ac:dyDescent="0.3">
      <c r="A69" s="20">
        <v>45734</v>
      </c>
      <c r="B69" s="20" t="s">
        <v>3461</v>
      </c>
      <c r="C69" s="19" t="s">
        <v>20</v>
      </c>
      <c r="D69" s="19" t="s">
        <v>3325</v>
      </c>
      <c r="E69" s="4">
        <v>0.4</v>
      </c>
      <c r="F69" s="42">
        <v>2.2999999999999998</v>
      </c>
      <c r="G69" s="45">
        <v>211</v>
      </c>
      <c r="H69" s="22">
        <v>1.8</v>
      </c>
      <c r="I69" s="6">
        <f t="shared" si="1"/>
        <v>349.416</v>
      </c>
      <c r="J69" s="7" t="s">
        <v>88</v>
      </c>
    </row>
    <row r="70" spans="1:10" ht="13.95" customHeight="1" x14ac:dyDescent="0.3">
      <c r="A70" s="20">
        <v>45735</v>
      </c>
      <c r="B70" s="20" t="s">
        <v>3461</v>
      </c>
      <c r="C70" s="19" t="s">
        <v>5</v>
      </c>
      <c r="D70" s="19" t="s">
        <v>994</v>
      </c>
      <c r="E70" s="4">
        <v>0.55000000000000004</v>
      </c>
      <c r="F70" s="42">
        <v>2.8</v>
      </c>
      <c r="G70" s="45">
        <v>211</v>
      </c>
      <c r="H70" s="22">
        <v>1.8</v>
      </c>
      <c r="I70" s="6">
        <f t="shared" si="1"/>
        <v>584.89200000000005</v>
      </c>
      <c r="J70" s="7" t="s">
        <v>2637</v>
      </c>
    </row>
    <row r="71" spans="1:10" ht="13.95" customHeight="1" x14ac:dyDescent="0.3">
      <c r="A71" s="20">
        <v>45736</v>
      </c>
      <c r="B71" s="20" t="s">
        <v>3461</v>
      </c>
      <c r="C71" s="19" t="s">
        <v>8</v>
      </c>
      <c r="D71" s="19" t="s">
        <v>2740</v>
      </c>
      <c r="E71" s="4">
        <v>0.8</v>
      </c>
      <c r="F71" s="42">
        <v>3.9</v>
      </c>
      <c r="G71" s="45">
        <v>211</v>
      </c>
      <c r="H71" s="22">
        <v>1.8</v>
      </c>
      <c r="I71" s="6">
        <f t="shared" si="1"/>
        <v>1184.9760000000001</v>
      </c>
      <c r="J71" s="7" t="s">
        <v>2754</v>
      </c>
    </row>
    <row r="72" spans="1:10" ht="13.95" customHeight="1" x14ac:dyDescent="0.3">
      <c r="A72" s="20">
        <v>45737</v>
      </c>
      <c r="B72" s="20" t="s">
        <v>3461</v>
      </c>
      <c r="C72" s="19" t="s">
        <v>11</v>
      </c>
      <c r="D72" s="19" t="s">
        <v>14</v>
      </c>
      <c r="E72" s="4">
        <v>0.65</v>
      </c>
      <c r="F72" s="42">
        <v>3.4</v>
      </c>
      <c r="G72" s="45">
        <v>211</v>
      </c>
      <c r="H72" s="22">
        <v>1.8</v>
      </c>
      <c r="I72" s="6">
        <f t="shared" si="1"/>
        <v>839.35800000000006</v>
      </c>
      <c r="J72" s="7" t="s">
        <v>3367</v>
      </c>
    </row>
    <row r="73" spans="1:10" ht="13.95" customHeight="1" x14ac:dyDescent="0.3">
      <c r="A73" s="20">
        <v>45738</v>
      </c>
      <c r="B73" s="20" t="s">
        <v>3461</v>
      </c>
      <c r="C73" s="19" t="s">
        <v>13</v>
      </c>
      <c r="D73" s="19" t="s">
        <v>3306</v>
      </c>
      <c r="E73" s="4">
        <v>0.75</v>
      </c>
      <c r="F73" s="42">
        <v>3.85</v>
      </c>
      <c r="G73" s="45">
        <v>211</v>
      </c>
      <c r="H73" s="22">
        <v>1.8</v>
      </c>
      <c r="I73" s="6">
        <f t="shared" si="1"/>
        <v>1096.6725000000001</v>
      </c>
      <c r="J73" s="7" t="s">
        <v>2829</v>
      </c>
    </row>
    <row r="74" spans="1:10" ht="13.95" customHeight="1" x14ac:dyDescent="0.3">
      <c r="A74" s="20">
        <v>45739</v>
      </c>
      <c r="B74" s="20" t="s">
        <v>3461</v>
      </c>
      <c r="C74" s="19" t="s">
        <v>16</v>
      </c>
      <c r="D74" s="19" t="s">
        <v>3361</v>
      </c>
      <c r="E74" s="4">
        <v>0.65</v>
      </c>
      <c r="F74" s="42">
        <v>3.1</v>
      </c>
      <c r="G74" s="45">
        <v>211</v>
      </c>
      <c r="H74" s="22">
        <v>1.8</v>
      </c>
      <c r="I74" s="6">
        <f t="shared" si="1"/>
        <v>765.29700000000003</v>
      </c>
      <c r="J74" s="7" t="s">
        <v>88</v>
      </c>
    </row>
    <row r="75" spans="1:10" ht="13.95" customHeight="1" x14ac:dyDescent="0.3">
      <c r="A75" s="20">
        <v>45740</v>
      </c>
      <c r="B75" s="20" t="s">
        <v>3461</v>
      </c>
      <c r="C75" s="19" t="s">
        <v>18</v>
      </c>
      <c r="D75" s="19" t="s">
        <v>3325</v>
      </c>
      <c r="E75" s="4">
        <v>0.4</v>
      </c>
      <c r="F75" s="42">
        <v>2.35</v>
      </c>
      <c r="G75" s="45">
        <v>211</v>
      </c>
      <c r="H75" s="22">
        <v>1.8</v>
      </c>
      <c r="I75" s="6">
        <f t="shared" si="1"/>
        <v>357.01200000000006</v>
      </c>
      <c r="J75" s="7" t="s">
        <v>1628</v>
      </c>
    </row>
    <row r="76" spans="1:10" ht="13.95" customHeight="1" x14ac:dyDescent="0.3">
      <c r="A76" s="20">
        <v>45741</v>
      </c>
      <c r="B76" s="20" t="s">
        <v>3461</v>
      </c>
      <c r="C76" s="19" t="s">
        <v>20</v>
      </c>
      <c r="D76" s="19" t="s">
        <v>3325</v>
      </c>
      <c r="E76" s="4">
        <v>0.45</v>
      </c>
      <c r="F76" s="42">
        <v>2.35</v>
      </c>
      <c r="G76" s="45">
        <v>211</v>
      </c>
      <c r="H76" s="22">
        <v>1.8</v>
      </c>
      <c r="I76" s="6">
        <f t="shared" si="1"/>
        <v>401.63850000000002</v>
      </c>
      <c r="J76" s="7" t="s">
        <v>88</v>
      </c>
    </row>
    <row r="77" spans="1:10" ht="13.95" customHeight="1" x14ac:dyDescent="0.3">
      <c r="A77" s="20">
        <v>45742</v>
      </c>
      <c r="B77" s="20" t="s">
        <v>3461</v>
      </c>
      <c r="C77" s="19" t="s">
        <v>5</v>
      </c>
      <c r="D77" s="19" t="s">
        <v>3368</v>
      </c>
      <c r="E77" s="4">
        <v>0.6</v>
      </c>
      <c r="F77" s="42">
        <v>2.9</v>
      </c>
      <c r="G77" s="45">
        <v>211</v>
      </c>
      <c r="H77" s="22">
        <v>1.8</v>
      </c>
      <c r="I77" s="6">
        <f t="shared" si="1"/>
        <v>660.85199999999998</v>
      </c>
      <c r="J77" s="7" t="s">
        <v>3369</v>
      </c>
    </row>
    <row r="78" spans="1:10" ht="13.95" customHeight="1" x14ac:dyDescent="0.3">
      <c r="A78" s="20">
        <v>45743</v>
      </c>
      <c r="B78" s="20" t="s">
        <v>3461</v>
      </c>
      <c r="C78" s="19" t="s">
        <v>8</v>
      </c>
      <c r="D78" s="19" t="s">
        <v>3370</v>
      </c>
      <c r="E78" s="4">
        <v>0.85</v>
      </c>
      <c r="F78" s="42">
        <v>4.8</v>
      </c>
      <c r="G78" s="45">
        <v>211</v>
      </c>
      <c r="H78" s="22">
        <v>1.8</v>
      </c>
      <c r="I78" s="6">
        <f t="shared" si="1"/>
        <v>1549.5840000000001</v>
      </c>
      <c r="J78" s="7" t="s">
        <v>3371</v>
      </c>
    </row>
    <row r="79" spans="1:10" ht="13.95" customHeight="1" x14ac:dyDescent="0.3">
      <c r="A79" s="20">
        <v>45744</v>
      </c>
      <c r="B79" s="20" t="s">
        <v>3461</v>
      </c>
      <c r="C79" s="19" t="s">
        <v>11</v>
      </c>
      <c r="D79" s="19" t="s">
        <v>3358</v>
      </c>
      <c r="E79" s="4">
        <v>0.75</v>
      </c>
      <c r="F79" s="42">
        <v>3.5</v>
      </c>
      <c r="G79" s="45">
        <v>211</v>
      </c>
      <c r="H79" s="22">
        <v>1.8</v>
      </c>
      <c r="I79" s="6">
        <f t="shared" si="1"/>
        <v>996.97500000000002</v>
      </c>
      <c r="J79" s="7" t="s">
        <v>3372</v>
      </c>
    </row>
    <row r="80" spans="1:10" ht="13.95" customHeight="1" x14ac:dyDescent="0.3">
      <c r="A80" s="20">
        <v>45745</v>
      </c>
      <c r="B80" s="20" t="s">
        <v>3461</v>
      </c>
      <c r="C80" s="19" t="s">
        <v>13</v>
      </c>
      <c r="D80" s="19" t="s">
        <v>3373</v>
      </c>
      <c r="E80" s="4">
        <v>0.9</v>
      </c>
      <c r="F80" s="42">
        <v>4.2</v>
      </c>
      <c r="G80" s="45">
        <v>211</v>
      </c>
      <c r="H80" s="22">
        <v>1.8</v>
      </c>
      <c r="I80" s="6">
        <f t="shared" si="1"/>
        <v>1435.644</v>
      </c>
      <c r="J80" s="7" t="s">
        <v>1440</v>
      </c>
    </row>
    <row r="81" spans="1:10" ht="13.95" customHeight="1" x14ac:dyDescent="0.3">
      <c r="A81" s="20">
        <v>45746</v>
      </c>
      <c r="B81" s="20" t="s">
        <v>3461</v>
      </c>
      <c r="C81" s="19" t="s">
        <v>16</v>
      </c>
      <c r="D81" s="19" t="s">
        <v>904</v>
      </c>
      <c r="E81" s="4">
        <v>0.95</v>
      </c>
      <c r="F81" s="42">
        <v>3.5</v>
      </c>
      <c r="G81" s="45">
        <v>211</v>
      </c>
      <c r="H81" s="22">
        <v>1.8</v>
      </c>
      <c r="I81" s="6">
        <f t="shared" si="1"/>
        <v>1262.8349999999998</v>
      </c>
      <c r="J81" s="7" t="s">
        <v>531</v>
      </c>
    </row>
    <row r="82" spans="1:10" ht="13.95" customHeight="1" x14ac:dyDescent="0.3">
      <c r="A82" s="20">
        <v>45747</v>
      </c>
      <c r="B82" s="20" t="s">
        <v>3461</v>
      </c>
      <c r="C82" s="19" t="s">
        <v>18</v>
      </c>
      <c r="D82" s="19" t="s">
        <v>2899</v>
      </c>
      <c r="E82" s="4">
        <v>1</v>
      </c>
      <c r="F82" s="42">
        <v>5.5</v>
      </c>
      <c r="G82" s="45">
        <v>211</v>
      </c>
      <c r="H82" s="22">
        <v>1.8</v>
      </c>
      <c r="I82" s="6">
        <f t="shared" si="1"/>
        <v>2088.9</v>
      </c>
      <c r="J82" s="7" t="s">
        <v>3374</v>
      </c>
    </row>
    <row r="83" spans="1:10" ht="13.95" customHeight="1" x14ac:dyDescent="0.3">
      <c r="A83" s="20">
        <v>45748</v>
      </c>
      <c r="B83" s="20" t="s">
        <v>3461</v>
      </c>
      <c r="C83" s="19" t="s">
        <v>20</v>
      </c>
      <c r="D83" s="19" t="s">
        <v>1314</v>
      </c>
      <c r="E83" s="4">
        <v>0.6</v>
      </c>
      <c r="F83" s="42">
        <v>2.75</v>
      </c>
      <c r="G83" s="45">
        <v>211</v>
      </c>
      <c r="H83" s="22">
        <v>1.9</v>
      </c>
      <c r="I83" s="6">
        <f t="shared" si="1"/>
        <v>661.4849999999999</v>
      </c>
      <c r="J83" s="7" t="s">
        <v>1509</v>
      </c>
    </row>
    <row r="84" spans="1:10" ht="13.95" customHeight="1" x14ac:dyDescent="0.3">
      <c r="A84" s="20">
        <v>45749</v>
      </c>
      <c r="B84" s="20" t="s">
        <v>3461</v>
      </c>
      <c r="C84" s="19" t="s">
        <v>5</v>
      </c>
      <c r="D84" s="19" t="s">
        <v>3325</v>
      </c>
      <c r="E84" s="4">
        <v>0.45</v>
      </c>
      <c r="F84" s="42">
        <v>2.2000000000000002</v>
      </c>
      <c r="G84" s="45">
        <v>211</v>
      </c>
      <c r="H84" s="22">
        <v>1.9</v>
      </c>
      <c r="I84" s="6">
        <f t="shared" si="1"/>
        <v>396.89100000000002</v>
      </c>
      <c r="J84" s="7" t="s">
        <v>3375</v>
      </c>
    </row>
    <row r="85" spans="1:10" ht="13.95" customHeight="1" x14ac:dyDescent="0.3">
      <c r="A85" s="20">
        <v>45750</v>
      </c>
      <c r="B85" s="20" t="s">
        <v>3461</v>
      </c>
      <c r="C85" s="19" t="s">
        <v>8</v>
      </c>
      <c r="D85" s="19" t="s">
        <v>3325</v>
      </c>
      <c r="E85" s="4">
        <v>0.45</v>
      </c>
      <c r="F85" s="42">
        <v>2.2000000000000002</v>
      </c>
      <c r="G85" s="45">
        <v>211</v>
      </c>
      <c r="H85" s="22">
        <v>1.9</v>
      </c>
      <c r="I85" s="6">
        <f t="shared" si="1"/>
        <v>396.89100000000002</v>
      </c>
      <c r="J85" s="7" t="s">
        <v>2341</v>
      </c>
    </row>
    <row r="86" spans="1:10" ht="13.95" customHeight="1" x14ac:dyDescent="0.3">
      <c r="A86" s="20">
        <v>45751</v>
      </c>
      <c r="B86" s="20" t="s">
        <v>3461</v>
      </c>
      <c r="C86" s="19" t="s">
        <v>11</v>
      </c>
      <c r="D86" s="19" t="s">
        <v>2993</v>
      </c>
      <c r="E86" s="4">
        <v>0.55000000000000004</v>
      </c>
      <c r="F86" s="42">
        <v>2.5499999999999998</v>
      </c>
      <c r="G86" s="45">
        <v>211</v>
      </c>
      <c r="H86" s="22">
        <v>1.9</v>
      </c>
      <c r="I86" s="6">
        <f t="shared" si="1"/>
        <v>562.26224999999999</v>
      </c>
      <c r="J86" s="7" t="s">
        <v>67</v>
      </c>
    </row>
    <row r="87" spans="1:10" ht="13.95" customHeight="1" x14ac:dyDescent="0.3">
      <c r="A87" s="20">
        <v>45752</v>
      </c>
      <c r="B87" s="20" t="s">
        <v>3461</v>
      </c>
      <c r="C87" s="19" t="s">
        <v>13</v>
      </c>
      <c r="D87" s="19" t="s">
        <v>3197</v>
      </c>
      <c r="E87" s="4">
        <v>0.65</v>
      </c>
      <c r="F87" s="42">
        <v>3.35</v>
      </c>
      <c r="G87" s="45">
        <v>211</v>
      </c>
      <c r="H87" s="22">
        <v>1.9</v>
      </c>
      <c r="I87" s="6">
        <f t="shared" si="1"/>
        <v>872.95974999999999</v>
      </c>
      <c r="J87" s="7" t="s">
        <v>2510</v>
      </c>
    </row>
    <row r="88" spans="1:10" ht="13.95" customHeight="1" x14ac:dyDescent="0.3">
      <c r="A88" s="20">
        <v>45753</v>
      </c>
      <c r="B88" s="20" t="s">
        <v>3461</v>
      </c>
      <c r="C88" s="19" t="s">
        <v>16</v>
      </c>
      <c r="D88" s="19" t="s">
        <v>3098</v>
      </c>
      <c r="E88" s="4">
        <v>0.6</v>
      </c>
      <c r="F88" s="42">
        <v>3.1</v>
      </c>
      <c r="G88" s="45">
        <v>211</v>
      </c>
      <c r="H88" s="22">
        <v>1.9</v>
      </c>
      <c r="I88" s="6">
        <f t="shared" si="1"/>
        <v>745.67399999999998</v>
      </c>
      <c r="J88" s="7" t="s">
        <v>3337</v>
      </c>
    </row>
    <row r="89" spans="1:10" ht="13.95" customHeight="1" x14ac:dyDescent="0.3">
      <c r="A89" s="20">
        <v>45754</v>
      </c>
      <c r="B89" s="20" t="s">
        <v>3461</v>
      </c>
      <c r="C89" s="19" t="s">
        <v>18</v>
      </c>
      <c r="D89" s="19" t="s">
        <v>3325</v>
      </c>
      <c r="E89" s="4">
        <v>0.4</v>
      </c>
      <c r="F89" s="42">
        <v>2.2000000000000002</v>
      </c>
      <c r="G89" s="45">
        <v>211</v>
      </c>
      <c r="H89" s="22">
        <v>1.9</v>
      </c>
      <c r="I89" s="6">
        <f t="shared" si="1"/>
        <v>352.79200000000003</v>
      </c>
      <c r="J89" s="7" t="s">
        <v>1628</v>
      </c>
    </row>
    <row r="90" spans="1:10" ht="13.95" customHeight="1" x14ac:dyDescent="0.3">
      <c r="A90" s="20">
        <v>45755</v>
      </c>
      <c r="B90" s="20" t="s">
        <v>3461</v>
      </c>
      <c r="C90" s="19" t="s">
        <v>20</v>
      </c>
      <c r="D90" s="19" t="s">
        <v>3325</v>
      </c>
      <c r="E90" s="4">
        <v>0.4</v>
      </c>
      <c r="F90" s="42">
        <v>2.2000000000000002</v>
      </c>
      <c r="G90" s="45">
        <v>211</v>
      </c>
      <c r="H90" s="22">
        <v>1.9</v>
      </c>
      <c r="I90" s="6">
        <f t="shared" si="1"/>
        <v>352.79200000000003</v>
      </c>
      <c r="J90" s="7" t="s">
        <v>88</v>
      </c>
    </row>
    <row r="91" spans="1:10" ht="13.95" customHeight="1" x14ac:dyDescent="0.3">
      <c r="A91" s="20">
        <v>45756</v>
      </c>
      <c r="B91" s="20" t="s">
        <v>3461</v>
      </c>
      <c r="C91" s="19" t="s">
        <v>5</v>
      </c>
      <c r="D91" s="19" t="s">
        <v>3325</v>
      </c>
      <c r="E91" s="4">
        <v>0.45</v>
      </c>
      <c r="F91" s="42">
        <v>2.25</v>
      </c>
      <c r="G91" s="45">
        <v>211</v>
      </c>
      <c r="H91" s="22">
        <v>1.9</v>
      </c>
      <c r="I91" s="6">
        <f t="shared" si="1"/>
        <v>405.91125</v>
      </c>
      <c r="J91" s="7" t="s">
        <v>88</v>
      </c>
    </row>
    <row r="92" spans="1:10" ht="13.95" customHeight="1" x14ac:dyDescent="0.3">
      <c r="A92" s="20">
        <v>45757</v>
      </c>
      <c r="B92" s="20" t="s">
        <v>3461</v>
      </c>
      <c r="C92" s="19" t="s">
        <v>8</v>
      </c>
      <c r="D92" s="19" t="s">
        <v>3325</v>
      </c>
      <c r="E92" s="4">
        <v>0.5</v>
      </c>
      <c r="F92" s="42">
        <v>2.2999999999999998</v>
      </c>
      <c r="G92" s="45">
        <v>211</v>
      </c>
      <c r="H92" s="22">
        <v>1.9</v>
      </c>
      <c r="I92" s="6">
        <f t="shared" si="1"/>
        <v>461.03499999999991</v>
      </c>
      <c r="J92" s="7" t="s">
        <v>3376</v>
      </c>
    </row>
    <row r="93" spans="1:10" ht="13.95" customHeight="1" x14ac:dyDescent="0.3">
      <c r="A93" s="20">
        <v>45758</v>
      </c>
      <c r="B93" s="20" t="s">
        <v>3461</v>
      </c>
      <c r="C93" s="19" t="s">
        <v>11</v>
      </c>
      <c r="D93" s="19" t="s">
        <v>2993</v>
      </c>
      <c r="E93" s="4">
        <v>0.6</v>
      </c>
      <c r="F93" s="42">
        <v>2.6</v>
      </c>
      <c r="G93" s="45">
        <v>211</v>
      </c>
      <c r="H93" s="22">
        <v>1.9</v>
      </c>
      <c r="I93" s="6">
        <f t="shared" si="1"/>
        <v>625.40399999999988</v>
      </c>
      <c r="J93" s="7" t="s">
        <v>1111</v>
      </c>
    </row>
    <row r="94" spans="1:10" ht="13.95" customHeight="1" x14ac:dyDescent="0.3">
      <c r="A94" s="20">
        <v>45759</v>
      </c>
      <c r="B94" s="20" t="s">
        <v>3461</v>
      </c>
      <c r="C94" s="19" t="s">
        <v>13</v>
      </c>
      <c r="D94" s="19" t="s">
        <v>3333</v>
      </c>
      <c r="E94" s="4">
        <v>0.7</v>
      </c>
      <c r="F94" s="42">
        <v>3.4</v>
      </c>
      <c r="G94" s="45">
        <v>211</v>
      </c>
      <c r="H94" s="22">
        <v>1.9</v>
      </c>
      <c r="I94" s="6">
        <f t="shared" si="1"/>
        <v>954.14199999999983</v>
      </c>
      <c r="J94" s="7" t="s">
        <v>3377</v>
      </c>
    </row>
    <row r="95" spans="1:10" ht="13.95" customHeight="1" x14ac:dyDescent="0.3">
      <c r="A95" s="20">
        <v>45760</v>
      </c>
      <c r="B95" s="20" t="s">
        <v>3461</v>
      </c>
      <c r="C95" s="19" t="s">
        <v>16</v>
      </c>
      <c r="D95" s="19" t="s">
        <v>3323</v>
      </c>
      <c r="E95" s="4">
        <v>0.65</v>
      </c>
      <c r="F95" s="42">
        <v>2.8</v>
      </c>
      <c r="G95" s="45">
        <v>211</v>
      </c>
      <c r="H95" s="22">
        <v>1.9</v>
      </c>
      <c r="I95" s="6">
        <f t="shared" si="1"/>
        <v>729.63799999999992</v>
      </c>
      <c r="J95" s="7" t="s">
        <v>3330</v>
      </c>
    </row>
    <row r="96" spans="1:10" ht="13.95" customHeight="1" x14ac:dyDescent="0.3">
      <c r="A96" s="20">
        <v>45761</v>
      </c>
      <c r="B96" s="20" t="s">
        <v>3461</v>
      </c>
      <c r="C96" s="19" t="s">
        <v>18</v>
      </c>
      <c r="D96" s="19" t="s">
        <v>3325</v>
      </c>
      <c r="E96" s="4">
        <v>0.45</v>
      </c>
      <c r="F96" s="42">
        <v>2.2000000000000002</v>
      </c>
      <c r="G96" s="45">
        <v>211</v>
      </c>
      <c r="H96" s="22">
        <v>1.9</v>
      </c>
      <c r="I96" s="6">
        <f t="shared" si="1"/>
        <v>396.89100000000002</v>
      </c>
      <c r="J96" s="7" t="s">
        <v>88</v>
      </c>
    </row>
    <row r="97" spans="1:10" ht="13.95" customHeight="1" x14ac:dyDescent="0.3">
      <c r="A97" s="20">
        <v>45762</v>
      </c>
      <c r="B97" s="20" t="s">
        <v>3461</v>
      </c>
      <c r="C97" s="19" t="s">
        <v>20</v>
      </c>
      <c r="D97" s="19" t="s">
        <v>3325</v>
      </c>
      <c r="E97" s="4">
        <v>0.45</v>
      </c>
      <c r="F97" s="42">
        <v>2.2000000000000002</v>
      </c>
      <c r="G97" s="45">
        <v>211</v>
      </c>
      <c r="H97" s="22">
        <v>1.9</v>
      </c>
      <c r="I97" s="6">
        <f t="shared" si="1"/>
        <v>396.89100000000002</v>
      </c>
      <c r="J97" s="7" t="s">
        <v>88</v>
      </c>
    </row>
    <row r="98" spans="1:10" ht="13.95" customHeight="1" x14ac:dyDescent="0.3">
      <c r="A98" s="20">
        <v>45763</v>
      </c>
      <c r="B98" s="20" t="s">
        <v>3461</v>
      </c>
      <c r="C98" s="19" t="s">
        <v>5</v>
      </c>
      <c r="D98" s="19" t="s">
        <v>3325</v>
      </c>
      <c r="E98" s="4">
        <v>0.5</v>
      </c>
      <c r="F98" s="42">
        <v>2.2999999999999998</v>
      </c>
      <c r="G98" s="45">
        <v>211</v>
      </c>
      <c r="H98" s="22">
        <v>1.9</v>
      </c>
      <c r="I98" s="6">
        <f t="shared" si="1"/>
        <v>461.03499999999991</v>
      </c>
      <c r="J98" s="7" t="s">
        <v>88</v>
      </c>
    </row>
    <row r="99" spans="1:10" ht="13.95" customHeight="1" x14ac:dyDescent="0.3">
      <c r="A99" s="20">
        <v>45764</v>
      </c>
      <c r="B99" s="20" t="s">
        <v>3461</v>
      </c>
      <c r="C99" s="19" t="s">
        <v>8</v>
      </c>
      <c r="D99" s="19" t="s">
        <v>3378</v>
      </c>
      <c r="E99" s="4">
        <v>0.65</v>
      </c>
      <c r="F99" s="42">
        <v>2.8</v>
      </c>
      <c r="G99" s="45">
        <v>211</v>
      </c>
      <c r="H99" s="22">
        <v>1.9</v>
      </c>
      <c r="I99" s="6">
        <f t="shared" si="1"/>
        <v>729.63799999999992</v>
      </c>
      <c r="J99" s="7" t="s">
        <v>1769</v>
      </c>
    </row>
    <row r="100" spans="1:10" ht="13.95" customHeight="1" x14ac:dyDescent="0.3">
      <c r="A100" s="20">
        <v>45765</v>
      </c>
      <c r="B100" s="20" t="s">
        <v>3461</v>
      </c>
      <c r="C100" s="19" t="s">
        <v>11</v>
      </c>
      <c r="D100" s="19" t="s">
        <v>2909</v>
      </c>
      <c r="E100" s="4">
        <v>0.75</v>
      </c>
      <c r="F100" s="42">
        <v>3.1</v>
      </c>
      <c r="G100" s="45">
        <v>211</v>
      </c>
      <c r="H100" s="22">
        <v>1.9</v>
      </c>
      <c r="I100" s="6">
        <f t="shared" si="1"/>
        <v>932.09249999999997</v>
      </c>
      <c r="J100" s="7" t="s">
        <v>3379</v>
      </c>
    </row>
    <row r="101" spans="1:10" ht="13.95" customHeight="1" x14ac:dyDescent="0.3">
      <c r="A101" s="20">
        <v>45766</v>
      </c>
      <c r="B101" s="20" t="s">
        <v>3461</v>
      </c>
      <c r="C101" s="19" t="s">
        <v>13</v>
      </c>
      <c r="D101" s="19" t="s">
        <v>3380</v>
      </c>
      <c r="E101" s="4">
        <v>0.9</v>
      </c>
      <c r="F101" s="42">
        <v>4.0999999999999996</v>
      </c>
      <c r="G101" s="45">
        <v>211</v>
      </c>
      <c r="H101" s="22">
        <v>1.9</v>
      </c>
      <c r="I101" s="6">
        <f t="shared" si="1"/>
        <v>1479.3209999999997</v>
      </c>
      <c r="J101" s="7" t="s">
        <v>3381</v>
      </c>
    </row>
    <row r="102" spans="1:10" ht="13.95" customHeight="1" x14ac:dyDescent="0.3">
      <c r="A102" s="20">
        <v>45767</v>
      </c>
      <c r="B102" s="20" t="s">
        <v>3461</v>
      </c>
      <c r="C102" s="19" t="s">
        <v>16</v>
      </c>
      <c r="D102" s="19" t="s">
        <v>1774</v>
      </c>
      <c r="E102" s="4">
        <v>0.95</v>
      </c>
      <c r="F102" s="42">
        <v>4.9000000000000004</v>
      </c>
      <c r="G102" s="45">
        <v>211</v>
      </c>
      <c r="H102" s="22">
        <v>1.9</v>
      </c>
      <c r="I102" s="6">
        <f t="shared" si="1"/>
        <v>1866.1895</v>
      </c>
      <c r="J102" s="7" t="s">
        <v>3382</v>
      </c>
    </row>
    <row r="103" spans="1:10" ht="13.95" customHeight="1" x14ac:dyDescent="0.3">
      <c r="A103" s="20">
        <v>45768</v>
      </c>
      <c r="B103" s="20" t="s">
        <v>3461</v>
      </c>
      <c r="C103" s="19" t="s">
        <v>18</v>
      </c>
      <c r="D103" s="19" t="s">
        <v>2912</v>
      </c>
      <c r="E103" s="4">
        <v>0.85</v>
      </c>
      <c r="F103" s="42">
        <v>3.6</v>
      </c>
      <c r="G103" s="45">
        <v>211</v>
      </c>
      <c r="H103" s="22">
        <v>1.9</v>
      </c>
      <c r="I103" s="6">
        <f t="shared" si="1"/>
        <v>1226.7539999999999</v>
      </c>
      <c r="J103" s="7" t="s">
        <v>3383</v>
      </c>
    </row>
    <row r="104" spans="1:10" ht="13.95" customHeight="1" x14ac:dyDescent="0.3">
      <c r="A104" s="20">
        <v>45769</v>
      </c>
      <c r="B104" s="20" t="s">
        <v>3461</v>
      </c>
      <c r="C104" s="19" t="s">
        <v>20</v>
      </c>
      <c r="D104" s="19" t="s">
        <v>3325</v>
      </c>
      <c r="E104" s="4">
        <v>0.55000000000000004</v>
      </c>
      <c r="F104" s="42">
        <v>2.2999999999999998</v>
      </c>
      <c r="G104" s="45">
        <v>211</v>
      </c>
      <c r="H104" s="22">
        <v>1.9</v>
      </c>
      <c r="I104" s="6">
        <f t="shared" si="1"/>
        <v>507.13850000000002</v>
      </c>
      <c r="J104" s="7" t="s">
        <v>88</v>
      </c>
    </row>
    <row r="105" spans="1:10" ht="13.95" customHeight="1" x14ac:dyDescent="0.3">
      <c r="A105" s="20">
        <v>45770</v>
      </c>
      <c r="B105" s="20" t="s">
        <v>3461</v>
      </c>
      <c r="C105" s="19" t="s">
        <v>5</v>
      </c>
      <c r="D105" s="19" t="s">
        <v>3325</v>
      </c>
      <c r="E105" s="4">
        <v>0.55000000000000004</v>
      </c>
      <c r="F105" s="42">
        <v>2.2999999999999998</v>
      </c>
      <c r="G105" s="45">
        <v>211</v>
      </c>
      <c r="H105" s="22">
        <v>1.9</v>
      </c>
      <c r="I105" s="6">
        <f t="shared" si="1"/>
        <v>507.13850000000002</v>
      </c>
      <c r="J105" s="7" t="s">
        <v>88</v>
      </c>
    </row>
    <row r="106" spans="1:10" ht="13.95" customHeight="1" x14ac:dyDescent="0.3">
      <c r="A106" s="20">
        <v>45771</v>
      </c>
      <c r="B106" s="20" t="s">
        <v>3461</v>
      </c>
      <c r="C106" s="19" t="s">
        <v>8</v>
      </c>
      <c r="D106" s="19" t="s">
        <v>3325</v>
      </c>
      <c r="E106" s="4">
        <v>0.55000000000000004</v>
      </c>
      <c r="F106" s="42">
        <v>2.35</v>
      </c>
      <c r="G106" s="45">
        <v>211</v>
      </c>
      <c r="H106" s="22">
        <v>1.9</v>
      </c>
      <c r="I106" s="6">
        <f t="shared" si="1"/>
        <v>518.16325000000006</v>
      </c>
      <c r="J106" s="7" t="s">
        <v>88</v>
      </c>
    </row>
    <row r="107" spans="1:10" ht="13.95" customHeight="1" x14ac:dyDescent="0.3">
      <c r="A107" s="20">
        <v>45772</v>
      </c>
      <c r="B107" s="20" t="s">
        <v>3461</v>
      </c>
      <c r="C107" s="19" t="s">
        <v>11</v>
      </c>
      <c r="D107" s="19" t="s">
        <v>2993</v>
      </c>
      <c r="E107" s="4">
        <v>0.65</v>
      </c>
      <c r="F107" s="42">
        <v>2.65</v>
      </c>
      <c r="G107" s="45">
        <v>211</v>
      </c>
      <c r="H107" s="22">
        <v>1.9</v>
      </c>
      <c r="I107" s="6">
        <f t="shared" si="1"/>
        <v>690.55025000000001</v>
      </c>
      <c r="J107" s="7" t="s">
        <v>1095</v>
      </c>
    </row>
    <row r="108" spans="1:10" ht="13.95" customHeight="1" x14ac:dyDescent="0.3">
      <c r="A108" s="20">
        <v>45773</v>
      </c>
      <c r="B108" s="20" t="s">
        <v>3461</v>
      </c>
      <c r="C108" s="19" t="s">
        <v>13</v>
      </c>
      <c r="D108" s="19" t="s">
        <v>3306</v>
      </c>
      <c r="E108" s="4">
        <v>0.75</v>
      </c>
      <c r="F108" s="42">
        <v>3.45</v>
      </c>
      <c r="G108" s="45">
        <v>211</v>
      </c>
      <c r="H108" s="22">
        <v>1.9</v>
      </c>
      <c r="I108" s="6">
        <f t="shared" si="1"/>
        <v>1037.3287499999999</v>
      </c>
      <c r="J108" s="7" t="s">
        <v>3139</v>
      </c>
    </row>
    <row r="109" spans="1:10" ht="13.95" customHeight="1" x14ac:dyDescent="0.3">
      <c r="A109" s="20">
        <v>45774</v>
      </c>
      <c r="B109" s="20" t="s">
        <v>3461</v>
      </c>
      <c r="C109" s="19" t="s">
        <v>16</v>
      </c>
      <c r="D109" s="19" t="s">
        <v>3323</v>
      </c>
      <c r="E109" s="4">
        <v>0.7</v>
      </c>
      <c r="F109" s="42">
        <v>2.85</v>
      </c>
      <c r="G109" s="45">
        <v>211</v>
      </c>
      <c r="H109" s="22">
        <v>1.9</v>
      </c>
      <c r="I109" s="6">
        <f t="shared" si="1"/>
        <v>799.79549999999995</v>
      </c>
      <c r="J109" s="7" t="s">
        <v>88</v>
      </c>
    </row>
    <row r="110" spans="1:10" ht="13.95" customHeight="1" x14ac:dyDescent="0.3">
      <c r="A110" s="20">
        <v>45775</v>
      </c>
      <c r="B110" s="20" t="s">
        <v>3461</v>
      </c>
      <c r="C110" s="19" t="s">
        <v>18</v>
      </c>
      <c r="D110" s="19" t="s">
        <v>3325</v>
      </c>
      <c r="E110" s="4">
        <v>0.5</v>
      </c>
      <c r="F110" s="42">
        <v>2.2000000000000002</v>
      </c>
      <c r="G110" s="45">
        <v>211</v>
      </c>
      <c r="H110" s="22">
        <v>1.9</v>
      </c>
      <c r="I110" s="6">
        <f t="shared" si="1"/>
        <v>440.99</v>
      </c>
      <c r="J110" s="7" t="s">
        <v>150</v>
      </c>
    </row>
    <row r="111" spans="1:10" ht="13.95" customHeight="1" x14ac:dyDescent="0.3">
      <c r="A111" s="20">
        <v>45776</v>
      </c>
      <c r="B111" s="20" t="s">
        <v>3461</v>
      </c>
      <c r="C111" s="19" t="s">
        <v>20</v>
      </c>
      <c r="D111" s="19" t="s">
        <v>3325</v>
      </c>
      <c r="E111" s="4">
        <v>0.5</v>
      </c>
      <c r="F111" s="42">
        <v>2.2000000000000002</v>
      </c>
      <c r="G111" s="45">
        <v>211</v>
      </c>
      <c r="H111" s="22">
        <v>1.9</v>
      </c>
      <c r="I111" s="6">
        <f t="shared" si="1"/>
        <v>440.99</v>
      </c>
      <c r="J111" s="7" t="s">
        <v>150</v>
      </c>
    </row>
    <row r="112" spans="1:10" ht="13.95" customHeight="1" x14ac:dyDescent="0.3">
      <c r="A112" s="20">
        <v>45777</v>
      </c>
      <c r="B112" s="20" t="s">
        <v>3461</v>
      </c>
      <c r="C112" s="19" t="s">
        <v>5</v>
      </c>
      <c r="D112" s="19" t="s">
        <v>1126</v>
      </c>
      <c r="E112" s="4">
        <v>0.75</v>
      </c>
      <c r="F112" s="42">
        <v>3.1</v>
      </c>
      <c r="G112" s="45">
        <v>211</v>
      </c>
      <c r="H112" s="22">
        <v>1.9</v>
      </c>
      <c r="I112" s="6">
        <f t="shared" si="1"/>
        <v>932.09249999999997</v>
      </c>
      <c r="J112" s="7" t="s">
        <v>3384</v>
      </c>
    </row>
    <row r="113" spans="1:10" ht="13.95" customHeight="1" x14ac:dyDescent="0.3">
      <c r="A113" s="20">
        <v>45778</v>
      </c>
      <c r="B113" s="20" t="s">
        <v>3461</v>
      </c>
      <c r="C113" s="19" t="s">
        <v>8</v>
      </c>
      <c r="D113" s="19" t="s">
        <v>2919</v>
      </c>
      <c r="E113" s="4">
        <v>0.85</v>
      </c>
      <c r="F113" s="42">
        <v>3.8</v>
      </c>
      <c r="G113" s="45">
        <v>211</v>
      </c>
      <c r="H113" s="22">
        <v>1.9</v>
      </c>
      <c r="I113" s="6">
        <f t="shared" si="1"/>
        <v>1294.9069999999999</v>
      </c>
      <c r="J113" s="7" t="s">
        <v>3385</v>
      </c>
    </row>
    <row r="114" spans="1:10" ht="13.95" customHeight="1" x14ac:dyDescent="0.3">
      <c r="A114" s="20">
        <v>45779</v>
      </c>
      <c r="B114" s="20" t="s">
        <v>3461</v>
      </c>
      <c r="C114" s="19" t="s">
        <v>11</v>
      </c>
      <c r="D114" s="19" t="s">
        <v>3275</v>
      </c>
      <c r="E114" s="4">
        <v>0.75</v>
      </c>
      <c r="F114" s="42">
        <v>2.9</v>
      </c>
      <c r="G114" s="45">
        <v>211</v>
      </c>
      <c r="H114" s="22">
        <v>1.9</v>
      </c>
      <c r="I114" s="6">
        <f t="shared" si="1"/>
        <v>871.95749999999998</v>
      </c>
      <c r="J114" s="7" t="s">
        <v>3386</v>
      </c>
    </row>
    <row r="115" spans="1:10" ht="13.95" customHeight="1" x14ac:dyDescent="0.3">
      <c r="A115" s="20">
        <v>45780</v>
      </c>
      <c r="B115" s="20" t="s">
        <v>3461</v>
      </c>
      <c r="C115" s="19" t="s">
        <v>13</v>
      </c>
      <c r="D115" s="19" t="s">
        <v>3276</v>
      </c>
      <c r="E115" s="4">
        <v>0.9</v>
      </c>
      <c r="F115" s="42">
        <v>3.95</v>
      </c>
      <c r="G115" s="45">
        <v>211</v>
      </c>
      <c r="H115" s="22">
        <v>1.9</v>
      </c>
      <c r="I115" s="6">
        <f t="shared" si="1"/>
        <v>1425.1994999999999</v>
      </c>
      <c r="J115" s="7" t="s">
        <v>3139</v>
      </c>
    </row>
    <row r="116" spans="1:10" ht="13.95" customHeight="1" x14ac:dyDescent="0.3">
      <c r="A116" s="20">
        <v>45781</v>
      </c>
      <c r="B116" s="20" t="s">
        <v>3461</v>
      </c>
      <c r="C116" s="19" t="s">
        <v>16</v>
      </c>
      <c r="D116" s="19" t="s">
        <v>3098</v>
      </c>
      <c r="E116" s="4">
        <v>0.8</v>
      </c>
      <c r="F116" s="42">
        <v>3.2</v>
      </c>
      <c r="G116" s="45">
        <v>211</v>
      </c>
      <c r="H116" s="22">
        <v>1.9</v>
      </c>
      <c r="I116" s="6">
        <f t="shared" si="1"/>
        <v>1026.3040000000001</v>
      </c>
      <c r="J116" s="7" t="s">
        <v>3387</v>
      </c>
    </row>
    <row r="117" spans="1:10" ht="13.95" customHeight="1" x14ac:dyDescent="0.3">
      <c r="A117" s="20">
        <v>45782</v>
      </c>
      <c r="B117" s="20" t="s">
        <v>3461</v>
      </c>
      <c r="C117" s="19" t="s">
        <v>18</v>
      </c>
      <c r="D117" s="19" t="s">
        <v>3325</v>
      </c>
      <c r="E117" s="4">
        <v>0.5</v>
      </c>
      <c r="F117" s="42">
        <v>2.2999999999999998</v>
      </c>
      <c r="G117" s="45">
        <v>211</v>
      </c>
      <c r="H117" s="22">
        <v>1.9</v>
      </c>
      <c r="I117" s="6">
        <f t="shared" si="1"/>
        <v>461.03499999999991</v>
      </c>
      <c r="J117" s="7" t="s">
        <v>2501</v>
      </c>
    </row>
    <row r="118" spans="1:10" ht="13.95" customHeight="1" x14ac:dyDescent="0.3">
      <c r="A118" s="20">
        <v>45783</v>
      </c>
      <c r="B118" s="20" t="s">
        <v>3461</v>
      </c>
      <c r="C118" s="19" t="s">
        <v>20</v>
      </c>
      <c r="D118" s="19" t="s">
        <v>3325</v>
      </c>
      <c r="E118" s="4">
        <v>0.5</v>
      </c>
      <c r="F118" s="42">
        <v>2.2999999999999998</v>
      </c>
      <c r="G118" s="45">
        <v>211</v>
      </c>
      <c r="H118" s="22">
        <v>1.9</v>
      </c>
      <c r="I118" s="6">
        <f t="shared" si="1"/>
        <v>461.03499999999991</v>
      </c>
      <c r="J118" s="7" t="s">
        <v>88</v>
      </c>
    </row>
    <row r="119" spans="1:10" ht="13.95" customHeight="1" x14ac:dyDescent="0.3">
      <c r="A119" s="20">
        <v>45784</v>
      </c>
      <c r="B119" s="20" t="s">
        <v>3461</v>
      </c>
      <c r="C119" s="19" t="s">
        <v>5</v>
      </c>
      <c r="D119" s="19" t="s">
        <v>3325</v>
      </c>
      <c r="E119" s="4">
        <v>0.55000000000000004</v>
      </c>
      <c r="F119" s="42">
        <v>2.35</v>
      </c>
      <c r="G119" s="45">
        <v>211</v>
      </c>
      <c r="H119" s="22">
        <v>1.9</v>
      </c>
      <c r="I119" s="6">
        <f t="shared" si="1"/>
        <v>518.16325000000006</v>
      </c>
      <c r="J119" s="7" t="s">
        <v>88</v>
      </c>
    </row>
    <row r="120" spans="1:10" ht="13.95" customHeight="1" x14ac:dyDescent="0.3">
      <c r="A120" s="20">
        <v>45785</v>
      </c>
      <c r="B120" s="20" t="s">
        <v>3461</v>
      </c>
      <c r="C120" s="19" t="s">
        <v>8</v>
      </c>
      <c r="D120" s="19" t="s">
        <v>3325</v>
      </c>
      <c r="E120" s="4">
        <v>0.6</v>
      </c>
      <c r="F120" s="42">
        <v>2.4</v>
      </c>
      <c r="G120" s="45">
        <v>211</v>
      </c>
      <c r="H120" s="22">
        <v>1.9</v>
      </c>
      <c r="I120" s="6">
        <f t="shared" si="1"/>
        <v>577.29599999999994</v>
      </c>
      <c r="J120" s="7" t="s">
        <v>3376</v>
      </c>
    </row>
    <row r="121" spans="1:10" ht="13.95" customHeight="1" x14ac:dyDescent="0.3">
      <c r="A121" s="20">
        <v>45786</v>
      </c>
      <c r="B121" s="20" t="s">
        <v>3461</v>
      </c>
      <c r="C121" s="19" t="s">
        <v>11</v>
      </c>
      <c r="D121" s="19" t="s">
        <v>14</v>
      </c>
      <c r="E121" s="4">
        <v>0.7</v>
      </c>
      <c r="F121" s="42">
        <v>2.8</v>
      </c>
      <c r="G121" s="45">
        <v>211</v>
      </c>
      <c r="H121" s="22">
        <v>1.9</v>
      </c>
      <c r="I121" s="6">
        <f t="shared" si="1"/>
        <v>785.7639999999999</v>
      </c>
      <c r="J121" s="7" t="s">
        <v>1095</v>
      </c>
    </row>
    <row r="122" spans="1:10" ht="13.95" customHeight="1" x14ac:dyDescent="0.3">
      <c r="A122" s="20">
        <v>45787</v>
      </c>
      <c r="B122" s="20" t="s">
        <v>3461</v>
      </c>
      <c r="C122" s="19" t="s">
        <v>13</v>
      </c>
      <c r="D122" s="19" t="s">
        <v>3274</v>
      </c>
      <c r="E122" s="4">
        <v>0.8</v>
      </c>
      <c r="F122" s="42">
        <v>3.7</v>
      </c>
      <c r="G122" s="45">
        <v>211</v>
      </c>
      <c r="H122" s="22">
        <v>1.9</v>
      </c>
      <c r="I122" s="6">
        <f t="shared" si="1"/>
        <v>1186.664</v>
      </c>
      <c r="J122" s="7" t="s">
        <v>3388</v>
      </c>
    </row>
    <row r="123" spans="1:10" ht="13.95" customHeight="1" x14ac:dyDescent="0.3">
      <c r="A123" s="20">
        <v>45788</v>
      </c>
      <c r="B123" s="20" t="s">
        <v>3461</v>
      </c>
      <c r="C123" s="19" t="s">
        <v>16</v>
      </c>
      <c r="D123" s="19" t="s">
        <v>3323</v>
      </c>
      <c r="E123" s="4">
        <v>0.75</v>
      </c>
      <c r="F123" s="42">
        <v>3.1</v>
      </c>
      <c r="G123" s="45">
        <v>211</v>
      </c>
      <c r="H123" s="22">
        <v>1.9</v>
      </c>
      <c r="I123" s="6">
        <f t="shared" si="1"/>
        <v>932.09249999999997</v>
      </c>
      <c r="J123" s="7" t="s">
        <v>3330</v>
      </c>
    </row>
    <row r="124" spans="1:10" ht="13.95" customHeight="1" x14ac:dyDescent="0.3">
      <c r="A124" s="20">
        <v>45789</v>
      </c>
      <c r="B124" s="20" t="s">
        <v>3461</v>
      </c>
      <c r="C124" s="19" t="s">
        <v>18</v>
      </c>
      <c r="D124" s="19" t="s">
        <v>3325</v>
      </c>
      <c r="E124" s="4">
        <v>0.5</v>
      </c>
      <c r="F124" s="42">
        <v>2.2999999999999998</v>
      </c>
      <c r="G124" s="45">
        <v>211</v>
      </c>
      <c r="H124" s="22">
        <v>1.9</v>
      </c>
      <c r="I124" s="6">
        <f t="shared" si="1"/>
        <v>461.03499999999991</v>
      </c>
      <c r="J124" s="7" t="s">
        <v>150</v>
      </c>
    </row>
    <row r="125" spans="1:10" ht="13.95" customHeight="1" x14ac:dyDescent="0.3">
      <c r="A125" s="20">
        <v>45790</v>
      </c>
      <c r="B125" s="20" t="s">
        <v>3461</v>
      </c>
      <c r="C125" s="19" t="s">
        <v>20</v>
      </c>
      <c r="D125" s="19" t="s">
        <v>3325</v>
      </c>
      <c r="E125" s="4">
        <v>0.5</v>
      </c>
      <c r="F125" s="42">
        <v>2.2999999999999998</v>
      </c>
      <c r="G125" s="45">
        <v>211</v>
      </c>
      <c r="H125" s="22">
        <v>1.9</v>
      </c>
      <c r="I125" s="6">
        <f t="shared" si="1"/>
        <v>461.03499999999991</v>
      </c>
      <c r="J125" s="7" t="s">
        <v>88</v>
      </c>
    </row>
    <row r="126" spans="1:10" ht="13.95" customHeight="1" x14ac:dyDescent="0.3">
      <c r="A126" s="20">
        <v>45791</v>
      </c>
      <c r="B126" s="20" t="s">
        <v>3461</v>
      </c>
      <c r="C126" s="19" t="s">
        <v>5</v>
      </c>
      <c r="D126" s="19" t="s">
        <v>3325</v>
      </c>
      <c r="E126" s="4">
        <v>0.55000000000000004</v>
      </c>
      <c r="F126" s="42">
        <v>2.2999999999999998</v>
      </c>
      <c r="G126" s="45">
        <v>211</v>
      </c>
      <c r="H126" s="22">
        <v>1.9</v>
      </c>
      <c r="I126" s="6">
        <f t="shared" si="1"/>
        <v>507.13850000000002</v>
      </c>
      <c r="J126" s="7" t="s">
        <v>88</v>
      </c>
    </row>
    <row r="127" spans="1:10" ht="13.95" customHeight="1" x14ac:dyDescent="0.3">
      <c r="A127" s="20">
        <v>45792</v>
      </c>
      <c r="B127" s="20" t="s">
        <v>3461</v>
      </c>
      <c r="C127" s="19" t="s">
        <v>8</v>
      </c>
      <c r="D127" s="19" t="s">
        <v>1738</v>
      </c>
      <c r="E127" s="4">
        <v>0.7</v>
      </c>
      <c r="F127" s="42">
        <v>2.75</v>
      </c>
      <c r="G127" s="45">
        <v>211</v>
      </c>
      <c r="H127" s="22">
        <v>1.9</v>
      </c>
      <c r="I127" s="6">
        <f t="shared" si="1"/>
        <v>771.73249999999985</v>
      </c>
      <c r="J127" s="7" t="s">
        <v>3389</v>
      </c>
    </row>
    <row r="128" spans="1:10" ht="13.95" customHeight="1" x14ac:dyDescent="0.3">
      <c r="A128" s="20">
        <v>45793</v>
      </c>
      <c r="B128" s="20" t="s">
        <v>3461</v>
      </c>
      <c r="C128" s="19" t="s">
        <v>11</v>
      </c>
      <c r="D128" s="19" t="s">
        <v>14</v>
      </c>
      <c r="E128" s="4">
        <v>0.75</v>
      </c>
      <c r="F128" s="42">
        <v>2.9</v>
      </c>
      <c r="G128" s="45">
        <v>211</v>
      </c>
      <c r="H128" s="22">
        <v>1.9</v>
      </c>
      <c r="I128" s="6">
        <f t="shared" si="1"/>
        <v>871.95749999999998</v>
      </c>
      <c r="J128" s="7" t="s">
        <v>67</v>
      </c>
    </row>
    <row r="129" spans="1:10" ht="13.95" customHeight="1" x14ac:dyDescent="0.3">
      <c r="A129" s="20">
        <v>45794</v>
      </c>
      <c r="B129" s="20" t="s">
        <v>3461</v>
      </c>
      <c r="C129" s="19" t="s">
        <v>13</v>
      </c>
      <c r="D129" s="19" t="s">
        <v>3306</v>
      </c>
      <c r="E129" s="4">
        <v>0.85</v>
      </c>
      <c r="F129" s="42">
        <v>3.85</v>
      </c>
      <c r="G129" s="45">
        <v>211</v>
      </c>
      <c r="H129" s="22">
        <v>1.9</v>
      </c>
      <c r="I129" s="6">
        <f t="shared" si="1"/>
        <v>1311.9452499999998</v>
      </c>
      <c r="J129" s="7" t="s">
        <v>2294</v>
      </c>
    </row>
    <row r="130" spans="1:10" ht="13.95" customHeight="1" x14ac:dyDescent="0.3">
      <c r="A130" s="20">
        <v>45795</v>
      </c>
      <c r="B130" s="20" t="s">
        <v>3461</v>
      </c>
      <c r="C130" s="19" t="s">
        <v>16</v>
      </c>
      <c r="D130" s="19" t="s">
        <v>3098</v>
      </c>
      <c r="E130" s="4">
        <v>0.8</v>
      </c>
      <c r="F130" s="42">
        <v>3.25</v>
      </c>
      <c r="G130" s="45">
        <v>211</v>
      </c>
      <c r="H130" s="22">
        <v>1.9</v>
      </c>
      <c r="I130" s="6">
        <f t="shared" ref="I130:I193" si="2">(G130*E130)*F130*H130</f>
        <v>1042.3399999999999</v>
      </c>
      <c r="J130" s="7" t="s">
        <v>139</v>
      </c>
    </row>
    <row r="131" spans="1:10" ht="13.95" customHeight="1" x14ac:dyDescent="0.3">
      <c r="A131" s="20">
        <v>45796</v>
      </c>
      <c r="B131" s="20" t="s">
        <v>3461</v>
      </c>
      <c r="C131" s="19" t="s">
        <v>18</v>
      </c>
      <c r="D131" s="19" t="s">
        <v>3325</v>
      </c>
      <c r="E131" s="4">
        <v>0.55000000000000004</v>
      </c>
      <c r="F131" s="42">
        <v>2.35</v>
      </c>
      <c r="G131" s="45">
        <v>211</v>
      </c>
      <c r="H131" s="22">
        <v>1.9</v>
      </c>
      <c r="I131" s="6">
        <f t="shared" si="2"/>
        <v>518.16325000000006</v>
      </c>
      <c r="J131" s="7" t="s">
        <v>88</v>
      </c>
    </row>
    <row r="132" spans="1:10" ht="13.95" customHeight="1" x14ac:dyDescent="0.3">
      <c r="A132" s="20">
        <v>45797</v>
      </c>
      <c r="B132" s="20" t="s">
        <v>3461</v>
      </c>
      <c r="C132" s="19" t="s">
        <v>20</v>
      </c>
      <c r="D132" s="19" t="s">
        <v>3325</v>
      </c>
      <c r="E132" s="4">
        <v>0.55000000000000004</v>
      </c>
      <c r="F132" s="42">
        <v>2.35</v>
      </c>
      <c r="G132" s="45">
        <v>211</v>
      </c>
      <c r="H132" s="22">
        <v>1.9</v>
      </c>
      <c r="I132" s="6">
        <f t="shared" si="2"/>
        <v>518.16325000000006</v>
      </c>
      <c r="J132" s="7" t="s">
        <v>88</v>
      </c>
    </row>
    <row r="133" spans="1:10" ht="13.95" customHeight="1" x14ac:dyDescent="0.3">
      <c r="A133" s="20">
        <v>45798</v>
      </c>
      <c r="B133" s="20" t="s">
        <v>3461</v>
      </c>
      <c r="C133" s="19" t="s">
        <v>5</v>
      </c>
      <c r="D133" s="19" t="s">
        <v>3325</v>
      </c>
      <c r="E133" s="4">
        <v>0.6</v>
      </c>
      <c r="F133" s="42">
        <v>2.4</v>
      </c>
      <c r="G133" s="45">
        <v>211</v>
      </c>
      <c r="H133" s="22">
        <v>1.9</v>
      </c>
      <c r="I133" s="6">
        <f t="shared" si="2"/>
        <v>577.29599999999994</v>
      </c>
      <c r="J133" s="7" t="s">
        <v>88</v>
      </c>
    </row>
    <row r="134" spans="1:10" ht="13.95" customHeight="1" x14ac:dyDescent="0.3">
      <c r="A134" s="20">
        <v>45799</v>
      </c>
      <c r="B134" s="20" t="s">
        <v>3461</v>
      </c>
      <c r="C134" s="19" t="s">
        <v>8</v>
      </c>
      <c r="D134" s="19" t="s">
        <v>3325</v>
      </c>
      <c r="E134" s="4">
        <v>0.65</v>
      </c>
      <c r="F134" s="42">
        <v>2.4500000000000002</v>
      </c>
      <c r="G134" s="45">
        <v>211</v>
      </c>
      <c r="H134" s="22">
        <v>1.9</v>
      </c>
      <c r="I134" s="6">
        <f t="shared" si="2"/>
        <v>638.43325000000004</v>
      </c>
      <c r="J134" s="7" t="s">
        <v>82</v>
      </c>
    </row>
    <row r="135" spans="1:10" ht="13.95" customHeight="1" x14ac:dyDescent="0.3">
      <c r="A135" s="20">
        <v>45800</v>
      </c>
      <c r="B135" s="20" t="s">
        <v>3461</v>
      </c>
      <c r="C135" s="19" t="s">
        <v>11</v>
      </c>
      <c r="D135" s="19" t="s">
        <v>14</v>
      </c>
      <c r="E135" s="4">
        <v>0.75</v>
      </c>
      <c r="F135" s="42">
        <v>2.95</v>
      </c>
      <c r="G135" s="45">
        <v>211</v>
      </c>
      <c r="H135" s="22">
        <v>1.9</v>
      </c>
      <c r="I135" s="6">
        <f t="shared" si="2"/>
        <v>886.99125000000004</v>
      </c>
      <c r="J135" s="7" t="s">
        <v>3280</v>
      </c>
    </row>
    <row r="136" spans="1:10" ht="13.95" customHeight="1" x14ac:dyDescent="0.3">
      <c r="A136" s="20">
        <v>45801</v>
      </c>
      <c r="B136" s="20" t="s">
        <v>3461</v>
      </c>
      <c r="C136" s="19" t="s">
        <v>13</v>
      </c>
      <c r="D136" s="19" t="s">
        <v>3390</v>
      </c>
      <c r="E136" s="4">
        <v>0.9</v>
      </c>
      <c r="F136" s="42">
        <v>3.9</v>
      </c>
      <c r="G136" s="45">
        <v>211</v>
      </c>
      <c r="H136" s="22">
        <v>1.9</v>
      </c>
      <c r="I136" s="6">
        <f t="shared" si="2"/>
        <v>1407.1589999999999</v>
      </c>
      <c r="J136" s="7" t="s">
        <v>3391</v>
      </c>
    </row>
    <row r="137" spans="1:10" ht="13.95" customHeight="1" x14ac:dyDescent="0.3">
      <c r="A137" s="20">
        <v>45802</v>
      </c>
      <c r="B137" s="20" t="s">
        <v>3461</v>
      </c>
      <c r="C137" s="19" t="s">
        <v>16</v>
      </c>
      <c r="D137" s="19" t="s">
        <v>3098</v>
      </c>
      <c r="E137" s="4">
        <v>0.85</v>
      </c>
      <c r="F137" s="42">
        <v>3.3</v>
      </c>
      <c r="G137" s="45">
        <v>211</v>
      </c>
      <c r="H137" s="22">
        <v>1.9</v>
      </c>
      <c r="I137" s="6">
        <f t="shared" si="2"/>
        <v>1124.5244999999998</v>
      </c>
      <c r="J137" s="7" t="s">
        <v>3352</v>
      </c>
    </row>
    <row r="138" spans="1:10" ht="13.95" customHeight="1" x14ac:dyDescent="0.3">
      <c r="A138" s="20">
        <v>45803</v>
      </c>
      <c r="B138" s="20" t="s">
        <v>3461</v>
      </c>
      <c r="C138" s="19" t="s">
        <v>18</v>
      </c>
      <c r="D138" s="19" t="s">
        <v>3325</v>
      </c>
      <c r="E138" s="4">
        <v>0.6</v>
      </c>
      <c r="F138" s="42">
        <v>2.4</v>
      </c>
      <c r="G138" s="45">
        <v>211</v>
      </c>
      <c r="H138" s="22">
        <v>1.9</v>
      </c>
      <c r="I138" s="6">
        <f t="shared" si="2"/>
        <v>577.29599999999994</v>
      </c>
      <c r="J138" s="7" t="s">
        <v>88</v>
      </c>
    </row>
    <row r="139" spans="1:10" ht="13.95" customHeight="1" x14ac:dyDescent="0.3">
      <c r="A139" s="20">
        <v>45804</v>
      </c>
      <c r="B139" s="20" t="s">
        <v>3461</v>
      </c>
      <c r="C139" s="19" t="s">
        <v>20</v>
      </c>
      <c r="D139" s="19" t="s">
        <v>3325</v>
      </c>
      <c r="E139" s="4">
        <v>0.6</v>
      </c>
      <c r="F139" s="42">
        <v>2.4</v>
      </c>
      <c r="G139" s="45">
        <v>211</v>
      </c>
      <c r="H139" s="22">
        <v>1.9</v>
      </c>
      <c r="I139" s="6">
        <f t="shared" si="2"/>
        <v>577.29599999999994</v>
      </c>
      <c r="J139" s="7" t="s">
        <v>88</v>
      </c>
    </row>
    <row r="140" spans="1:10" ht="13.95" customHeight="1" x14ac:dyDescent="0.3">
      <c r="A140" s="20">
        <v>45744</v>
      </c>
      <c r="B140" s="20" t="s">
        <v>3461</v>
      </c>
      <c r="C140" s="19" t="s">
        <v>5</v>
      </c>
      <c r="D140" s="19" t="s">
        <v>3325</v>
      </c>
      <c r="E140" s="4">
        <v>0.65</v>
      </c>
      <c r="F140" s="42">
        <v>2.4500000000000002</v>
      </c>
      <c r="G140" s="45">
        <v>211</v>
      </c>
      <c r="H140" s="22">
        <v>1.9</v>
      </c>
      <c r="I140" s="6">
        <f t="shared" si="2"/>
        <v>638.43325000000004</v>
      </c>
      <c r="J140" s="7" t="s">
        <v>88</v>
      </c>
    </row>
    <row r="141" spans="1:10" ht="13.95" customHeight="1" x14ac:dyDescent="0.3">
      <c r="A141" s="20">
        <v>45806</v>
      </c>
      <c r="B141" s="20" t="s">
        <v>3461</v>
      </c>
      <c r="C141" s="19" t="s">
        <v>8</v>
      </c>
      <c r="D141" s="19" t="s">
        <v>2928</v>
      </c>
      <c r="E141" s="4">
        <v>0.75</v>
      </c>
      <c r="F141" s="42">
        <v>2.8</v>
      </c>
      <c r="G141" s="45">
        <v>211</v>
      </c>
      <c r="H141" s="22">
        <v>1.9</v>
      </c>
      <c r="I141" s="6">
        <f t="shared" si="2"/>
        <v>841.88999999999987</v>
      </c>
      <c r="J141" s="7" t="s">
        <v>3392</v>
      </c>
    </row>
    <row r="142" spans="1:10" ht="13.95" customHeight="1" x14ac:dyDescent="0.3">
      <c r="A142" s="20">
        <v>45807</v>
      </c>
      <c r="B142" s="20" t="s">
        <v>3461</v>
      </c>
      <c r="C142" s="19" t="s">
        <v>11</v>
      </c>
      <c r="D142" s="19" t="s">
        <v>14</v>
      </c>
      <c r="E142" s="4">
        <v>0.85</v>
      </c>
      <c r="F142" s="42">
        <v>3.2</v>
      </c>
      <c r="G142" s="45">
        <v>211</v>
      </c>
      <c r="H142" s="22">
        <v>1.9</v>
      </c>
      <c r="I142" s="6">
        <f t="shared" si="2"/>
        <v>1090.4479999999999</v>
      </c>
      <c r="J142" s="7" t="s">
        <v>197</v>
      </c>
    </row>
    <row r="143" spans="1:10" ht="13.95" customHeight="1" x14ac:dyDescent="0.3">
      <c r="A143" s="20">
        <v>45808</v>
      </c>
      <c r="B143" s="20" t="s">
        <v>3461</v>
      </c>
      <c r="C143" s="19" t="s">
        <v>13</v>
      </c>
      <c r="D143" s="19" t="s">
        <v>3393</v>
      </c>
      <c r="E143" s="4">
        <v>0.95</v>
      </c>
      <c r="F143" s="42">
        <v>4.0999999999999996</v>
      </c>
      <c r="G143" s="45">
        <v>211</v>
      </c>
      <c r="H143" s="22">
        <v>1.9</v>
      </c>
      <c r="I143" s="6">
        <f t="shared" si="2"/>
        <v>1561.5054999999998</v>
      </c>
      <c r="J143" s="7" t="s">
        <v>1217</v>
      </c>
    </row>
    <row r="144" spans="1:10" ht="13.95" customHeight="1" x14ac:dyDescent="0.3">
      <c r="A144" s="20">
        <v>45809</v>
      </c>
      <c r="B144" s="20" t="s">
        <v>3461</v>
      </c>
      <c r="C144" s="19" t="s">
        <v>16</v>
      </c>
      <c r="D144" s="19" t="s">
        <v>3098</v>
      </c>
      <c r="E144" s="4">
        <v>0.8</v>
      </c>
      <c r="F144" s="42">
        <v>3.3</v>
      </c>
      <c r="G144" s="45">
        <v>211</v>
      </c>
      <c r="H144" s="22">
        <v>1.9</v>
      </c>
      <c r="I144" s="6">
        <f t="shared" si="2"/>
        <v>1058.376</v>
      </c>
      <c r="J144" s="7" t="s">
        <v>3394</v>
      </c>
    </row>
    <row r="145" spans="1:10" ht="13.95" customHeight="1" x14ac:dyDescent="0.3">
      <c r="A145" s="20">
        <v>45810</v>
      </c>
      <c r="B145" s="20" t="s">
        <v>3461</v>
      </c>
      <c r="C145" s="19" t="s">
        <v>18</v>
      </c>
      <c r="D145" s="19" t="s">
        <v>3325</v>
      </c>
      <c r="E145" s="4">
        <v>0.6</v>
      </c>
      <c r="F145" s="42">
        <v>2.2999999999999998</v>
      </c>
      <c r="G145" s="45">
        <v>211</v>
      </c>
      <c r="H145" s="22">
        <v>1.9</v>
      </c>
      <c r="I145" s="6">
        <f t="shared" si="2"/>
        <v>553.24199999999985</v>
      </c>
      <c r="J145" s="7" t="s">
        <v>2501</v>
      </c>
    </row>
    <row r="146" spans="1:10" ht="13.95" customHeight="1" x14ac:dyDescent="0.3">
      <c r="A146" s="20">
        <v>45811</v>
      </c>
      <c r="B146" s="20" t="s">
        <v>3461</v>
      </c>
      <c r="C146" s="19" t="s">
        <v>20</v>
      </c>
      <c r="D146" s="19" t="s">
        <v>3325</v>
      </c>
      <c r="E146" s="4">
        <v>0.6</v>
      </c>
      <c r="F146" s="42">
        <v>2.2999999999999998</v>
      </c>
      <c r="G146" s="45">
        <v>211</v>
      </c>
      <c r="H146" s="22">
        <v>1.9</v>
      </c>
      <c r="I146" s="6">
        <f t="shared" si="2"/>
        <v>553.24199999999985</v>
      </c>
      <c r="J146" s="7" t="s">
        <v>88</v>
      </c>
    </row>
    <row r="147" spans="1:10" ht="13.95" customHeight="1" x14ac:dyDescent="0.3">
      <c r="A147" s="20">
        <v>45812</v>
      </c>
      <c r="B147" s="20" t="s">
        <v>3461</v>
      </c>
      <c r="C147" s="19" t="s">
        <v>5</v>
      </c>
      <c r="D147" s="19" t="s">
        <v>1072</v>
      </c>
      <c r="E147" s="4">
        <v>0.75</v>
      </c>
      <c r="F147" s="42">
        <v>2.8</v>
      </c>
      <c r="G147" s="45">
        <v>211</v>
      </c>
      <c r="H147" s="22">
        <v>1.9</v>
      </c>
      <c r="I147" s="6">
        <f t="shared" si="2"/>
        <v>841.88999999999987</v>
      </c>
      <c r="J147" s="7" t="s">
        <v>572</v>
      </c>
    </row>
    <row r="148" spans="1:10" ht="13.95" customHeight="1" x14ac:dyDescent="0.3">
      <c r="A148" s="20">
        <v>45813</v>
      </c>
      <c r="B148" s="20" t="s">
        <v>3461</v>
      </c>
      <c r="C148" s="19" t="s">
        <v>8</v>
      </c>
      <c r="D148" s="19" t="s">
        <v>3395</v>
      </c>
      <c r="E148" s="4">
        <v>0.85</v>
      </c>
      <c r="F148" s="42">
        <v>3.2</v>
      </c>
      <c r="G148" s="45">
        <v>211</v>
      </c>
      <c r="H148" s="22">
        <v>1.9</v>
      </c>
      <c r="I148" s="6">
        <f t="shared" si="2"/>
        <v>1090.4479999999999</v>
      </c>
      <c r="J148" s="7" t="s">
        <v>2468</v>
      </c>
    </row>
    <row r="149" spans="1:10" ht="13.95" customHeight="1" x14ac:dyDescent="0.3">
      <c r="A149" s="20">
        <v>45814</v>
      </c>
      <c r="B149" s="20" t="s">
        <v>3461</v>
      </c>
      <c r="C149" s="19" t="s">
        <v>11</v>
      </c>
      <c r="D149" s="19" t="s">
        <v>3396</v>
      </c>
      <c r="E149" s="4">
        <v>1</v>
      </c>
      <c r="F149" s="42">
        <v>4.8</v>
      </c>
      <c r="G149" s="45">
        <v>211</v>
      </c>
      <c r="H149" s="22">
        <v>1.9</v>
      </c>
      <c r="I149" s="6">
        <f t="shared" si="2"/>
        <v>1924.32</v>
      </c>
      <c r="J149" s="7" t="s">
        <v>3397</v>
      </c>
    </row>
    <row r="150" spans="1:10" ht="13.95" customHeight="1" x14ac:dyDescent="0.3">
      <c r="A150" s="20">
        <v>45815</v>
      </c>
      <c r="B150" s="20" t="s">
        <v>3461</v>
      </c>
      <c r="C150" s="19" t="s">
        <v>13</v>
      </c>
      <c r="D150" s="19" t="s">
        <v>2656</v>
      </c>
      <c r="E150" s="4">
        <v>1</v>
      </c>
      <c r="F150" s="42">
        <v>4.2</v>
      </c>
      <c r="G150" s="45">
        <v>211</v>
      </c>
      <c r="H150" s="22">
        <v>1.9</v>
      </c>
      <c r="I150" s="6">
        <f t="shared" si="2"/>
        <v>1683.78</v>
      </c>
      <c r="J150" s="7" t="s">
        <v>2657</v>
      </c>
    </row>
    <row r="151" spans="1:10" ht="13.95" customHeight="1" x14ac:dyDescent="0.3">
      <c r="A151" s="20">
        <v>45816</v>
      </c>
      <c r="B151" s="20" t="s">
        <v>3461</v>
      </c>
      <c r="C151" s="19" t="s">
        <v>16</v>
      </c>
      <c r="D151" s="19" t="s">
        <v>3398</v>
      </c>
      <c r="E151" s="4">
        <v>0.9</v>
      </c>
      <c r="F151" s="42">
        <v>3.5</v>
      </c>
      <c r="G151" s="45">
        <v>211</v>
      </c>
      <c r="H151" s="22">
        <v>1.9</v>
      </c>
      <c r="I151" s="6">
        <f t="shared" si="2"/>
        <v>1262.8349999999998</v>
      </c>
      <c r="J151" s="7" t="s">
        <v>3399</v>
      </c>
    </row>
    <row r="152" spans="1:10" ht="13.95" customHeight="1" x14ac:dyDescent="0.3">
      <c r="A152" s="20">
        <v>45817</v>
      </c>
      <c r="B152" s="20" t="s">
        <v>3461</v>
      </c>
      <c r="C152" s="19" t="s">
        <v>18</v>
      </c>
      <c r="D152" s="19" t="s">
        <v>3400</v>
      </c>
      <c r="E152" s="4">
        <v>0.55000000000000004</v>
      </c>
      <c r="F152" s="42">
        <v>2.2999999999999998</v>
      </c>
      <c r="G152" s="45">
        <v>211</v>
      </c>
      <c r="H152" s="22">
        <v>1.9</v>
      </c>
      <c r="I152" s="6">
        <f t="shared" si="2"/>
        <v>507.13850000000002</v>
      </c>
      <c r="J152" s="7" t="s">
        <v>2019</v>
      </c>
    </row>
    <row r="153" spans="1:10" ht="13.95" customHeight="1" x14ac:dyDescent="0.3">
      <c r="A153" s="20">
        <v>45818</v>
      </c>
      <c r="B153" s="20" t="s">
        <v>3461</v>
      </c>
      <c r="C153" s="19" t="s">
        <v>20</v>
      </c>
      <c r="D153" s="19" t="s">
        <v>3325</v>
      </c>
      <c r="E153" s="4">
        <v>0.55000000000000004</v>
      </c>
      <c r="F153" s="42">
        <v>2.2999999999999998</v>
      </c>
      <c r="G153" s="45">
        <v>211</v>
      </c>
      <c r="H153" s="22">
        <v>1.9</v>
      </c>
      <c r="I153" s="6">
        <f t="shared" si="2"/>
        <v>507.13850000000002</v>
      </c>
      <c r="J153" s="7" t="s">
        <v>88</v>
      </c>
    </row>
    <row r="154" spans="1:10" ht="13.95" customHeight="1" x14ac:dyDescent="0.3">
      <c r="A154" s="20">
        <v>45819</v>
      </c>
      <c r="B154" s="20" t="s">
        <v>3461</v>
      </c>
      <c r="C154" s="19" t="s">
        <v>5</v>
      </c>
      <c r="D154" s="19" t="s">
        <v>3325</v>
      </c>
      <c r="E154" s="4">
        <v>0.6</v>
      </c>
      <c r="F154" s="42">
        <v>2.35</v>
      </c>
      <c r="G154" s="45">
        <v>211</v>
      </c>
      <c r="H154" s="22">
        <v>1.9</v>
      </c>
      <c r="I154" s="6">
        <f t="shared" si="2"/>
        <v>565.26900000000001</v>
      </c>
      <c r="J154" s="7" t="s">
        <v>88</v>
      </c>
    </row>
    <row r="155" spans="1:10" ht="13.95" customHeight="1" x14ac:dyDescent="0.3">
      <c r="A155" s="20">
        <v>45820</v>
      </c>
      <c r="B155" s="20" t="s">
        <v>3461</v>
      </c>
      <c r="C155" s="19" t="s">
        <v>8</v>
      </c>
      <c r="D155" s="19" t="s">
        <v>3325</v>
      </c>
      <c r="E155" s="4">
        <v>0.65</v>
      </c>
      <c r="F155" s="42">
        <v>2.4</v>
      </c>
      <c r="G155" s="45">
        <v>211</v>
      </c>
      <c r="H155" s="22">
        <v>1.9</v>
      </c>
      <c r="I155" s="6">
        <f t="shared" si="2"/>
        <v>625.404</v>
      </c>
      <c r="J155" s="7" t="s">
        <v>2485</v>
      </c>
    </row>
    <row r="156" spans="1:10" ht="13.95" customHeight="1" x14ac:dyDescent="0.3">
      <c r="A156" s="20">
        <v>45821</v>
      </c>
      <c r="B156" s="20" t="s">
        <v>3461</v>
      </c>
      <c r="C156" s="19" t="s">
        <v>11</v>
      </c>
      <c r="D156" s="19" t="s">
        <v>2993</v>
      </c>
      <c r="E156" s="4">
        <v>0.75</v>
      </c>
      <c r="F156" s="42">
        <v>2.85</v>
      </c>
      <c r="G156" s="45">
        <v>211</v>
      </c>
      <c r="H156" s="22">
        <v>1.9</v>
      </c>
      <c r="I156" s="6">
        <f t="shared" si="2"/>
        <v>856.92374999999993</v>
      </c>
      <c r="J156" s="7" t="s">
        <v>1095</v>
      </c>
    </row>
    <row r="157" spans="1:10" ht="13.95" customHeight="1" x14ac:dyDescent="0.3">
      <c r="A157" s="20">
        <v>45822</v>
      </c>
      <c r="B157" s="20" t="s">
        <v>3461</v>
      </c>
      <c r="C157" s="19" t="s">
        <v>13</v>
      </c>
      <c r="D157" s="19" t="s">
        <v>3091</v>
      </c>
      <c r="E157" s="4">
        <v>0.85</v>
      </c>
      <c r="F157" s="42">
        <v>3.8</v>
      </c>
      <c r="G157" s="45">
        <v>211</v>
      </c>
      <c r="H157" s="22">
        <v>1.9</v>
      </c>
      <c r="I157" s="6">
        <f t="shared" si="2"/>
        <v>1294.9069999999999</v>
      </c>
      <c r="J157" s="7" t="s">
        <v>3401</v>
      </c>
    </row>
    <row r="158" spans="1:10" ht="13.95" customHeight="1" x14ac:dyDescent="0.3">
      <c r="A158" s="20">
        <v>45823</v>
      </c>
      <c r="B158" s="20" t="s">
        <v>3461</v>
      </c>
      <c r="C158" s="19" t="s">
        <v>16</v>
      </c>
      <c r="D158" s="19" t="s">
        <v>3098</v>
      </c>
      <c r="E158" s="4">
        <v>0.8</v>
      </c>
      <c r="F158" s="42">
        <v>3.2</v>
      </c>
      <c r="G158" s="45">
        <v>211</v>
      </c>
      <c r="H158" s="22">
        <v>1.9</v>
      </c>
      <c r="I158" s="6">
        <f t="shared" si="2"/>
        <v>1026.3040000000001</v>
      </c>
      <c r="J158" s="7" t="s">
        <v>3337</v>
      </c>
    </row>
    <row r="159" spans="1:10" ht="13.95" customHeight="1" x14ac:dyDescent="0.3">
      <c r="A159" s="20">
        <v>45824</v>
      </c>
      <c r="B159" s="20" t="s">
        <v>3461</v>
      </c>
      <c r="C159" s="19" t="s">
        <v>18</v>
      </c>
      <c r="D159" s="19" t="s">
        <v>3325</v>
      </c>
      <c r="E159" s="4">
        <v>0.6</v>
      </c>
      <c r="F159" s="42">
        <v>2.35</v>
      </c>
      <c r="G159" s="45">
        <v>211</v>
      </c>
      <c r="H159" s="22">
        <v>1.9</v>
      </c>
      <c r="I159" s="6">
        <f t="shared" si="2"/>
        <v>565.26900000000001</v>
      </c>
      <c r="J159" s="7" t="s">
        <v>88</v>
      </c>
    </row>
    <row r="160" spans="1:10" ht="13.95" customHeight="1" x14ac:dyDescent="0.3">
      <c r="A160" s="20">
        <v>45825</v>
      </c>
      <c r="B160" s="20" t="s">
        <v>3461</v>
      </c>
      <c r="C160" s="19" t="s">
        <v>20</v>
      </c>
      <c r="D160" s="19" t="s">
        <v>3325</v>
      </c>
      <c r="E160" s="4">
        <v>0.6</v>
      </c>
      <c r="F160" s="42">
        <v>2.35</v>
      </c>
      <c r="G160" s="45">
        <v>211</v>
      </c>
      <c r="H160" s="22">
        <v>1.9</v>
      </c>
      <c r="I160" s="6">
        <f t="shared" si="2"/>
        <v>565.26900000000001</v>
      </c>
      <c r="J160" s="7" t="s">
        <v>88</v>
      </c>
    </row>
    <row r="161" spans="1:10" ht="13.95" customHeight="1" x14ac:dyDescent="0.3">
      <c r="A161" s="20">
        <v>45826</v>
      </c>
      <c r="B161" s="20" t="s">
        <v>3461</v>
      </c>
      <c r="C161" s="19" t="s">
        <v>5</v>
      </c>
      <c r="D161" s="19" t="s">
        <v>3325</v>
      </c>
      <c r="E161" s="4">
        <v>0.65</v>
      </c>
      <c r="F161" s="42">
        <v>2.4</v>
      </c>
      <c r="G161" s="45">
        <v>211</v>
      </c>
      <c r="H161" s="22">
        <v>1.9</v>
      </c>
      <c r="I161" s="6">
        <f t="shared" si="2"/>
        <v>625.404</v>
      </c>
      <c r="J161" s="7" t="s">
        <v>88</v>
      </c>
    </row>
    <row r="162" spans="1:10" ht="13.95" customHeight="1" x14ac:dyDescent="0.3">
      <c r="A162" s="20">
        <v>45827</v>
      </c>
      <c r="B162" s="20" t="s">
        <v>3461</v>
      </c>
      <c r="C162" s="19" t="s">
        <v>8</v>
      </c>
      <c r="D162" s="19" t="s">
        <v>3325</v>
      </c>
      <c r="E162" s="4">
        <v>0.7</v>
      </c>
      <c r="F162" s="42">
        <v>2.5</v>
      </c>
      <c r="G162" s="45">
        <v>211</v>
      </c>
      <c r="H162" s="22">
        <v>1.9</v>
      </c>
      <c r="I162" s="6">
        <f t="shared" si="2"/>
        <v>701.57499999999993</v>
      </c>
      <c r="J162" s="7" t="s">
        <v>82</v>
      </c>
    </row>
    <row r="163" spans="1:10" ht="13.95" customHeight="1" x14ac:dyDescent="0.3">
      <c r="A163" s="20">
        <v>45828</v>
      </c>
      <c r="B163" s="20" t="s">
        <v>3461</v>
      </c>
      <c r="C163" s="19" t="s">
        <v>11</v>
      </c>
      <c r="D163" s="19" t="s">
        <v>14</v>
      </c>
      <c r="E163" s="4">
        <v>0.8</v>
      </c>
      <c r="F163" s="42">
        <v>2.95</v>
      </c>
      <c r="G163" s="45">
        <v>211</v>
      </c>
      <c r="H163" s="22">
        <v>1.9</v>
      </c>
      <c r="I163" s="6">
        <f t="shared" si="2"/>
        <v>946.12400000000002</v>
      </c>
      <c r="J163" s="7" t="s">
        <v>3402</v>
      </c>
    </row>
    <row r="164" spans="1:10" ht="13.95" customHeight="1" x14ac:dyDescent="0.3">
      <c r="A164" s="20">
        <v>45829</v>
      </c>
      <c r="B164" s="20" t="s">
        <v>3461</v>
      </c>
      <c r="C164" s="19" t="s">
        <v>13</v>
      </c>
      <c r="D164" s="19" t="s">
        <v>3017</v>
      </c>
      <c r="E164" s="4">
        <v>0.9</v>
      </c>
      <c r="F164" s="42">
        <v>4.0999999999999996</v>
      </c>
      <c r="G164" s="45">
        <v>211</v>
      </c>
      <c r="H164" s="22">
        <v>1.9</v>
      </c>
      <c r="I164" s="6">
        <f t="shared" si="2"/>
        <v>1479.3209999999997</v>
      </c>
      <c r="J164" s="7" t="s">
        <v>2658</v>
      </c>
    </row>
    <row r="165" spans="1:10" ht="13.95" customHeight="1" x14ac:dyDescent="0.3">
      <c r="A165" s="20">
        <v>45830</v>
      </c>
      <c r="B165" s="20" t="s">
        <v>3461</v>
      </c>
      <c r="C165" s="19" t="s">
        <v>16</v>
      </c>
      <c r="D165" s="19" t="s">
        <v>3098</v>
      </c>
      <c r="E165" s="4">
        <v>0.85</v>
      </c>
      <c r="F165" s="42">
        <v>3.3</v>
      </c>
      <c r="G165" s="45">
        <v>211</v>
      </c>
      <c r="H165" s="22">
        <v>1.9</v>
      </c>
      <c r="I165" s="6">
        <f t="shared" si="2"/>
        <v>1124.5244999999998</v>
      </c>
      <c r="J165" s="7" t="s">
        <v>3403</v>
      </c>
    </row>
    <row r="166" spans="1:10" ht="13.95" customHeight="1" x14ac:dyDescent="0.3">
      <c r="A166" s="20">
        <v>45831</v>
      </c>
      <c r="B166" s="20" t="s">
        <v>3461</v>
      </c>
      <c r="C166" s="19" t="s">
        <v>18</v>
      </c>
      <c r="D166" s="19" t="s">
        <v>3325</v>
      </c>
      <c r="E166" s="4">
        <v>0.65</v>
      </c>
      <c r="F166" s="42">
        <v>2.4</v>
      </c>
      <c r="G166" s="45">
        <v>211</v>
      </c>
      <c r="H166" s="22">
        <v>1.9</v>
      </c>
      <c r="I166" s="6">
        <f t="shared" si="2"/>
        <v>625.404</v>
      </c>
      <c r="J166" s="7" t="s">
        <v>88</v>
      </c>
    </row>
    <row r="167" spans="1:10" ht="13.95" customHeight="1" x14ac:dyDescent="0.3">
      <c r="A167" s="20">
        <v>45832</v>
      </c>
      <c r="B167" s="20" t="s">
        <v>3461</v>
      </c>
      <c r="C167" s="19" t="s">
        <v>20</v>
      </c>
      <c r="D167" s="19" t="s">
        <v>3325</v>
      </c>
      <c r="E167" s="4">
        <v>0.65</v>
      </c>
      <c r="F167" s="42">
        <v>2.4</v>
      </c>
      <c r="G167" s="45">
        <v>211</v>
      </c>
      <c r="H167" s="22">
        <v>1.9</v>
      </c>
      <c r="I167" s="6">
        <f t="shared" si="2"/>
        <v>625.404</v>
      </c>
      <c r="J167" s="7" t="s">
        <v>88</v>
      </c>
    </row>
    <row r="168" spans="1:10" ht="13.95" customHeight="1" x14ac:dyDescent="0.3">
      <c r="A168" s="20">
        <v>45833</v>
      </c>
      <c r="B168" s="20" t="s">
        <v>3461</v>
      </c>
      <c r="C168" s="19" t="s">
        <v>5</v>
      </c>
      <c r="D168" s="19" t="s">
        <v>3325</v>
      </c>
      <c r="E168" s="4">
        <v>0.7</v>
      </c>
      <c r="F168" s="42">
        <v>2.4500000000000002</v>
      </c>
      <c r="G168" s="45">
        <v>211</v>
      </c>
      <c r="H168" s="22">
        <v>1.9</v>
      </c>
      <c r="I168" s="6">
        <f t="shared" si="2"/>
        <v>687.54349999999999</v>
      </c>
      <c r="J168" s="7" t="s">
        <v>88</v>
      </c>
    </row>
    <row r="169" spans="1:10" ht="13.95" customHeight="1" x14ac:dyDescent="0.3">
      <c r="A169" s="20">
        <v>45834</v>
      </c>
      <c r="B169" s="20" t="s">
        <v>3461</v>
      </c>
      <c r="C169" s="19" t="s">
        <v>8</v>
      </c>
      <c r="D169" s="19" t="s">
        <v>3325</v>
      </c>
      <c r="E169" s="4">
        <v>0.75</v>
      </c>
      <c r="F169" s="42">
        <v>2.5499999999999998</v>
      </c>
      <c r="G169" s="45">
        <v>211</v>
      </c>
      <c r="H169" s="22">
        <v>1.9</v>
      </c>
      <c r="I169" s="6">
        <f t="shared" si="2"/>
        <v>766.72124999999994</v>
      </c>
      <c r="J169" s="7" t="s">
        <v>3404</v>
      </c>
    </row>
    <row r="170" spans="1:10" ht="13.95" customHeight="1" x14ac:dyDescent="0.3">
      <c r="A170" s="20">
        <v>45835</v>
      </c>
      <c r="B170" s="20" t="s">
        <v>3461</v>
      </c>
      <c r="C170" s="19" t="s">
        <v>11</v>
      </c>
      <c r="D170" s="19" t="s">
        <v>14</v>
      </c>
      <c r="E170" s="4">
        <v>0.85</v>
      </c>
      <c r="F170" s="42">
        <v>3.1</v>
      </c>
      <c r="G170" s="45">
        <v>211</v>
      </c>
      <c r="H170" s="22">
        <v>1.9</v>
      </c>
      <c r="I170" s="6">
        <f t="shared" si="2"/>
        <v>1056.3715</v>
      </c>
      <c r="J170" s="7" t="s">
        <v>3405</v>
      </c>
    </row>
    <row r="171" spans="1:10" ht="13.95" customHeight="1" x14ac:dyDescent="0.3">
      <c r="A171" s="20">
        <v>45836</v>
      </c>
      <c r="B171" s="20" t="s">
        <v>3461</v>
      </c>
      <c r="C171" s="19" t="s">
        <v>13</v>
      </c>
      <c r="D171" s="19" t="s">
        <v>3206</v>
      </c>
      <c r="E171" s="4">
        <v>0.95</v>
      </c>
      <c r="F171" s="42">
        <v>4.2</v>
      </c>
      <c r="G171" s="45">
        <v>211</v>
      </c>
      <c r="H171" s="22">
        <v>1.9</v>
      </c>
      <c r="I171" s="6">
        <f t="shared" si="2"/>
        <v>1599.5909999999999</v>
      </c>
      <c r="J171" s="7" t="s">
        <v>3406</v>
      </c>
    </row>
    <row r="172" spans="1:10" ht="13.95" customHeight="1" x14ac:dyDescent="0.3">
      <c r="A172" s="20">
        <v>45837</v>
      </c>
      <c r="B172" s="20" t="s">
        <v>3461</v>
      </c>
      <c r="C172" s="19" t="s">
        <v>16</v>
      </c>
      <c r="D172" s="19" t="s">
        <v>3098</v>
      </c>
      <c r="E172" s="4">
        <v>0.9</v>
      </c>
      <c r="F172" s="42">
        <v>3.4</v>
      </c>
      <c r="G172" s="45">
        <v>211</v>
      </c>
      <c r="H172" s="22">
        <v>1.9</v>
      </c>
      <c r="I172" s="6">
        <f t="shared" si="2"/>
        <v>1226.7539999999999</v>
      </c>
      <c r="J172" s="7" t="s">
        <v>3352</v>
      </c>
    </row>
    <row r="173" spans="1:10" ht="13.95" customHeight="1" x14ac:dyDescent="0.3">
      <c r="A173" s="20">
        <v>45838</v>
      </c>
      <c r="B173" s="20" t="s">
        <v>3461</v>
      </c>
      <c r="C173" s="19" t="s">
        <v>18</v>
      </c>
      <c r="D173" s="19" t="s">
        <v>1340</v>
      </c>
      <c r="E173" s="4">
        <v>0.75</v>
      </c>
      <c r="F173" s="42">
        <v>2.6</v>
      </c>
      <c r="G173" s="45">
        <v>211</v>
      </c>
      <c r="H173" s="22">
        <v>1.9</v>
      </c>
      <c r="I173" s="6">
        <f t="shared" si="2"/>
        <v>781.755</v>
      </c>
      <c r="J173" s="7" t="s">
        <v>2941</v>
      </c>
    </row>
    <row r="174" spans="1:10" ht="13.95" customHeight="1" x14ac:dyDescent="0.3">
      <c r="A174" s="20">
        <v>45839</v>
      </c>
      <c r="B174" s="20" t="s">
        <v>3461</v>
      </c>
      <c r="C174" s="19" t="s">
        <v>20</v>
      </c>
      <c r="D174" s="19" t="s">
        <v>1340</v>
      </c>
      <c r="E174" s="4">
        <v>0.75</v>
      </c>
      <c r="F174" s="42">
        <v>2.7</v>
      </c>
      <c r="G174" s="45">
        <v>211</v>
      </c>
      <c r="H174" s="22">
        <v>2.1</v>
      </c>
      <c r="I174" s="6">
        <f t="shared" si="2"/>
        <v>897.27750000000015</v>
      </c>
      <c r="J174" s="7" t="s">
        <v>609</v>
      </c>
    </row>
    <row r="175" spans="1:10" ht="13.95" customHeight="1" x14ac:dyDescent="0.3">
      <c r="A175" s="20">
        <v>45840</v>
      </c>
      <c r="B175" s="20" t="s">
        <v>3461</v>
      </c>
      <c r="C175" s="19" t="s">
        <v>5</v>
      </c>
      <c r="D175" s="19" t="s">
        <v>1340</v>
      </c>
      <c r="E175" s="4">
        <v>0.75</v>
      </c>
      <c r="F175" s="42">
        <v>2.7</v>
      </c>
      <c r="G175" s="45">
        <v>211</v>
      </c>
      <c r="H175" s="22">
        <v>2.1</v>
      </c>
      <c r="I175" s="6">
        <f t="shared" si="2"/>
        <v>897.27750000000015</v>
      </c>
      <c r="J175" s="7" t="s">
        <v>2341</v>
      </c>
    </row>
    <row r="176" spans="1:10" ht="13.95" customHeight="1" x14ac:dyDescent="0.3">
      <c r="A176" s="20">
        <v>45841</v>
      </c>
      <c r="B176" s="20" t="s">
        <v>3461</v>
      </c>
      <c r="C176" s="19" t="s">
        <v>8</v>
      </c>
      <c r="D176" s="19" t="s">
        <v>1340</v>
      </c>
      <c r="E176" s="4">
        <v>0.8</v>
      </c>
      <c r="F176" s="42">
        <v>2.8</v>
      </c>
      <c r="G176" s="45">
        <v>211</v>
      </c>
      <c r="H176" s="22">
        <v>2.1</v>
      </c>
      <c r="I176" s="6">
        <f t="shared" si="2"/>
        <v>992.54399999999998</v>
      </c>
      <c r="J176" s="7" t="s">
        <v>67</v>
      </c>
    </row>
    <row r="177" spans="1:10" ht="13.95" customHeight="1" x14ac:dyDescent="0.3">
      <c r="A177" s="20">
        <v>45842</v>
      </c>
      <c r="B177" s="20" t="s">
        <v>3461</v>
      </c>
      <c r="C177" s="19" t="s">
        <v>11</v>
      </c>
      <c r="D177" s="19" t="s">
        <v>829</v>
      </c>
      <c r="E177" s="4">
        <v>0.85</v>
      </c>
      <c r="F177" s="42">
        <v>3.1</v>
      </c>
      <c r="G177" s="45">
        <v>211</v>
      </c>
      <c r="H177" s="22">
        <v>2.1</v>
      </c>
      <c r="I177" s="6">
        <f t="shared" si="2"/>
        <v>1167.5685000000001</v>
      </c>
      <c r="J177" s="7" t="s">
        <v>1971</v>
      </c>
    </row>
    <row r="178" spans="1:10" ht="13.95" customHeight="1" x14ac:dyDescent="0.3">
      <c r="A178" s="20">
        <v>45843</v>
      </c>
      <c r="B178" s="20" t="s">
        <v>3461</v>
      </c>
      <c r="C178" s="19" t="s">
        <v>13</v>
      </c>
      <c r="D178" s="19" t="s">
        <v>3091</v>
      </c>
      <c r="E178" s="4">
        <v>0.95</v>
      </c>
      <c r="F178" s="42">
        <v>4.2</v>
      </c>
      <c r="G178" s="45">
        <v>211</v>
      </c>
      <c r="H178" s="22">
        <v>2.1</v>
      </c>
      <c r="I178" s="6">
        <f t="shared" si="2"/>
        <v>1767.9690000000001</v>
      </c>
      <c r="J178" s="7" t="s">
        <v>3401</v>
      </c>
    </row>
    <row r="179" spans="1:10" ht="13.95" customHeight="1" x14ac:dyDescent="0.3">
      <c r="A179" s="20">
        <v>45844</v>
      </c>
      <c r="B179" s="20" t="s">
        <v>3461</v>
      </c>
      <c r="C179" s="19" t="s">
        <v>16</v>
      </c>
      <c r="D179" s="19" t="s">
        <v>3093</v>
      </c>
      <c r="E179" s="4">
        <v>0.9</v>
      </c>
      <c r="F179" s="42">
        <v>3.5</v>
      </c>
      <c r="G179" s="45">
        <v>211</v>
      </c>
      <c r="H179" s="22">
        <v>2.1</v>
      </c>
      <c r="I179" s="6">
        <f t="shared" si="2"/>
        <v>1395.7650000000001</v>
      </c>
      <c r="J179" s="7" t="s">
        <v>3407</v>
      </c>
    </row>
    <row r="180" spans="1:10" ht="13.95" customHeight="1" x14ac:dyDescent="0.3">
      <c r="A180" s="20">
        <v>45845</v>
      </c>
      <c r="B180" s="20" t="s">
        <v>3461</v>
      </c>
      <c r="C180" s="19" t="s">
        <v>18</v>
      </c>
      <c r="D180" s="19" t="s">
        <v>1340</v>
      </c>
      <c r="E180" s="4">
        <v>0.8</v>
      </c>
      <c r="F180" s="42">
        <v>2.75</v>
      </c>
      <c r="G180" s="45">
        <v>211</v>
      </c>
      <c r="H180" s="22">
        <v>2.1</v>
      </c>
      <c r="I180" s="6">
        <f t="shared" si="2"/>
        <v>974.82000000000016</v>
      </c>
      <c r="J180" s="7" t="s">
        <v>3376</v>
      </c>
    </row>
    <row r="181" spans="1:10" ht="13.95" customHeight="1" x14ac:dyDescent="0.3">
      <c r="A181" s="20">
        <v>45846</v>
      </c>
      <c r="B181" s="20" t="s">
        <v>3461</v>
      </c>
      <c r="C181" s="19" t="s">
        <v>20</v>
      </c>
      <c r="D181" s="19" t="s">
        <v>1340</v>
      </c>
      <c r="E181" s="4">
        <v>0.8</v>
      </c>
      <c r="F181" s="42">
        <v>2.75</v>
      </c>
      <c r="G181" s="45">
        <v>211</v>
      </c>
      <c r="H181" s="22">
        <v>2.1</v>
      </c>
      <c r="I181" s="6">
        <f t="shared" si="2"/>
        <v>974.82000000000016</v>
      </c>
      <c r="J181" s="7" t="s">
        <v>88</v>
      </c>
    </row>
    <row r="182" spans="1:10" ht="13.95" customHeight="1" x14ac:dyDescent="0.3">
      <c r="A182" s="20">
        <v>45847</v>
      </c>
      <c r="B182" s="20" t="s">
        <v>3461</v>
      </c>
      <c r="C182" s="19" t="s">
        <v>5</v>
      </c>
      <c r="D182" s="19" t="s">
        <v>1340</v>
      </c>
      <c r="E182" s="4">
        <v>0.85</v>
      </c>
      <c r="F182" s="42">
        <v>2.8</v>
      </c>
      <c r="G182" s="45">
        <v>211</v>
      </c>
      <c r="H182" s="22">
        <v>2.1</v>
      </c>
      <c r="I182" s="6">
        <f t="shared" si="2"/>
        <v>1054.578</v>
      </c>
      <c r="J182" s="7" t="s">
        <v>88</v>
      </c>
    </row>
    <row r="183" spans="1:10" ht="13.95" customHeight="1" x14ac:dyDescent="0.3">
      <c r="A183" s="20">
        <v>45848</v>
      </c>
      <c r="B183" s="20" t="s">
        <v>3461</v>
      </c>
      <c r="C183" s="19" t="s">
        <v>8</v>
      </c>
      <c r="D183" s="19" t="s">
        <v>1340</v>
      </c>
      <c r="E183" s="4">
        <v>0.85</v>
      </c>
      <c r="F183" s="42">
        <v>2.85</v>
      </c>
      <c r="G183" s="45">
        <v>211</v>
      </c>
      <c r="H183" s="22">
        <v>2.1</v>
      </c>
      <c r="I183" s="6">
        <f t="shared" si="2"/>
        <v>1073.40975</v>
      </c>
      <c r="J183" s="7" t="s">
        <v>82</v>
      </c>
    </row>
    <row r="184" spans="1:10" ht="13.95" customHeight="1" x14ac:dyDescent="0.3">
      <c r="A184" s="20">
        <v>45849</v>
      </c>
      <c r="B184" s="20" t="s">
        <v>3461</v>
      </c>
      <c r="C184" s="19" t="s">
        <v>11</v>
      </c>
      <c r="D184" s="19" t="s">
        <v>829</v>
      </c>
      <c r="E184" s="4">
        <v>0.9</v>
      </c>
      <c r="F184" s="42">
        <v>3.2</v>
      </c>
      <c r="G184" s="45">
        <v>211</v>
      </c>
      <c r="H184" s="22">
        <v>2.1</v>
      </c>
      <c r="I184" s="6">
        <f t="shared" si="2"/>
        <v>1276.1280000000002</v>
      </c>
      <c r="J184" s="7" t="s">
        <v>3367</v>
      </c>
    </row>
    <row r="185" spans="1:10" ht="13.95" customHeight="1" x14ac:dyDescent="0.3">
      <c r="A185" s="20">
        <v>45850</v>
      </c>
      <c r="B185" s="20" t="s">
        <v>3461</v>
      </c>
      <c r="C185" s="19" t="s">
        <v>13</v>
      </c>
      <c r="D185" s="19" t="s">
        <v>3408</v>
      </c>
      <c r="E185" s="4">
        <v>1</v>
      </c>
      <c r="F185" s="42">
        <v>4.4000000000000004</v>
      </c>
      <c r="G185" s="45">
        <v>211</v>
      </c>
      <c r="H185" s="22">
        <v>2.1</v>
      </c>
      <c r="I185" s="6">
        <f t="shared" si="2"/>
        <v>1949.6400000000003</v>
      </c>
      <c r="J185" s="7" t="s">
        <v>3409</v>
      </c>
    </row>
    <row r="186" spans="1:10" ht="13.95" customHeight="1" x14ac:dyDescent="0.3">
      <c r="A186" s="20">
        <v>45851</v>
      </c>
      <c r="B186" s="20" t="s">
        <v>3461</v>
      </c>
      <c r="C186" s="19" t="s">
        <v>16</v>
      </c>
      <c r="D186" s="19" t="s">
        <v>3093</v>
      </c>
      <c r="E186" s="4">
        <v>0.95</v>
      </c>
      <c r="F186" s="42">
        <v>3.6</v>
      </c>
      <c r="G186" s="45">
        <v>211</v>
      </c>
      <c r="H186" s="22">
        <v>2.1</v>
      </c>
      <c r="I186" s="6">
        <f t="shared" si="2"/>
        <v>1515.402</v>
      </c>
      <c r="J186" s="7" t="s">
        <v>139</v>
      </c>
    </row>
    <row r="187" spans="1:10" ht="13.95" customHeight="1" x14ac:dyDescent="0.3">
      <c r="A187" s="20">
        <v>45852</v>
      </c>
      <c r="B187" s="20" t="s">
        <v>3461</v>
      </c>
      <c r="C187" s="19" t="s">
        <v>18</v>
      </c>
      <c r="D187" s="19" t="s">
        <v>1608</v>
      </c>
      <c r="E187" s="4">
        <v>0.85</v>
      </c>
      <c r="F187" s="42">
        <v>3.1</v>
      </c>
      <c r="G187" s="45">
        <v>211</v>
      </c>
      <c r="H187" s="22">
        <v>2.1</v>
      </c>
      <c r="I187" s="6">
        <f t="shared" si="2"/>
        <v>1167.5685000000001</v>
      </c>
      <c r="J187" s="7" t="s">
        <v>3410</v>
      </c>
    </row>
    <row r="188" spans="1:10" ht="13.95" customHeight="1" x14ac:dyDescent="0.3">
      <c r="A188" s="20">
        <v>45853</v>
      </c>
      <c r="B188" s="20" t="s">
        <v>3461</v>
      </c>
      <c r="C188" s="19" t="s">
        <v>20</v>
      </c>
      <c r="D188" s="19" t="s">
        <v>1340</v>
      </c>
      <c r="E188" s="4">
        <v>0.8</v>
      </c>
      <c r="F188" s="42">
        <v>2.75</v>
      </c>
      <c r="G188" s="45">
        <v>211</v>
      </c>
      <c r="H188" s="22">
        <v>2.1</v>
      </c>
      <c r="I188" s="6">
        <f t="shared" si="2"/>
        <v>974.82000000000016</v>
      </c>
      <c r="J188" s="7" t="s">
        <v>88</v>
      </c>
    </row>
    <row r="189" spans="1:10" ht="13.95" customHeight="1" x14ac:dyDescent="0.3">
      <c r="A189" s="20">
        <v>45854</v>
      </c>
      <c r="B189" s="20" t="s">
        <v>3461</v>
      </c>
      <c r="C189" s="19" t="s">
        <v>5</v>
      </c>
      <c r="D189" s="19" t="s">
        <v>1340</v>
      </c>
      <c r="E189" s="4">
        <v>0.85</v>
      </c>
      <c r="F189" s="42">
        <v>2.8</v>
      </c>
      <c r="G189" s="45">
        <v>211</v>
      </c>
      <c r="H189" s="22">
        <v>2.1</v>
      </c>
      <c r="I189" s="6">
        <f t="shared" si="2"/>
        <v>1054.578</v>
      </c>
      <c r="J189" s="7" t="s">
        <v>88</v>
      </c>
    </row>
    <row r="190" spans="1:10" ht="13.95" customHeight="1" x14ac:dyDescent="0.3">
      <c r="A190" s="20">
        <v>45855</v>
      </c>
      <c r="B190" s="20" t="s">
        <v>3461</v>
      </c>
      <c r="C190" s="19" t="s">
        <v>8</v>
      </c>
      <c r="D190" s="19" t="s">
        <v>1340</v>
      </c>
      <c r="E190" s="4">
        <v>0.9</v>
      </c>
      <c r="F190" s="42">
        <v>2.9</v>
      </c>
      <c r="G190" s="45">
        <v>211</v>
      </c>
      <c r="H190" s="22">
        <v>2.1</v>
      </c>
      <c r="I190" s="6">
        <f t="shared" si="2"/>
        <v>1156.4910000000002</v>
      </c>
      <c r="J190" s="7" t="s">
        <v>67</v>
      </c>
    </row>
    <row r="191" spans="1:10" ht="13.95" customHeight="1" x14ac:dyDescent="0.3">
      <c r="A191" s="20">
        <v>45856</v>
      </c>
      <c r="B191" s="20" t="s">
        <v>3461</v>
      </c>
      <c r="C191" s="19" t="s">
        <v>11</v>
      </c>
      <c r="D191" s="19" t="s">
        <v>829</v>
      </c>
      <c r="E191" s="4">
        <v>0.95</v>
      </c>
      <c r="F191" s="42">
        <v>3.3</v>
      </c>
      <c r="G191" s="45">
        <v>211</v>
      </c>
      <c r="H191" s="22">
        <v>2.1</v>
      </c>
      <c r="I191" s="6">
        <f t="shared" si="2"/>
        <v>1389.1184999999998</v>
      </c>
      <c r="J191" s="7" t="s">
        <v>2654</v>
      </c>
    </row>
    <row r="192" spans="1:10" ht="13.95" customHeight="1" x14ac:dyDescent="0.3">
      <c r="A192" s="20">
        <v>45857</v>
      </c>
      <c r="B192" s="20" t="s">
        <v>3461</v>
      </c>
      <c r="C192" s="19" t="s">
        <v>13</v>
      </c>
      <c r="D192" s="19" t="s">
        <v>3411</v>
      </c>
      <c r="E192" s="4">
        <v>1</v>
      </c>
      <c r="F192" s="42">
        <v>4.3</v>
      </c>
      <c r="G192" s="45">
        <v>211</v>
      </c>
      <c r="H192" s="22">
        <v>2.1</v>
      </c>
      <c r="I192" s="6">
        <f t="shared" si="2"/>
        <v>1905.33</v>
      </c>
      <c r="J192" s="7" t="s">
        <v>3412</v>
      </c>
    </row>
    <row r="193" spans="1:10" ht="13.95" customHeight="1" x14ac:dyDescent="0.3">
      <c r="A193" s="20">
        <v>45858</v>
      </c>
      <c r="B193" s="20" t="s">
        <v>3461</v>
      </c>
      <c r="C193" s="19" t="s">
        <v>16</v>
      </c>
      <c r="D193" s="19" t="s">
        <v>3093</v>
      </c>
      <c r="E193" s="4">
        <v>0.95</v>
      </c>
      <c r="F193" s="42">
        <v>3.65</v>
      </c>
      <c r="G193" s="45">
        <v>211</v>
      </c>
      <c r="H193" s="22">
        <v>2.1</v>
      </c>
      <c r="I193" s="6">
        <f t="shared" si="2"/>
        <v>1536.4492499999999</v>
      </c>
      <c r="J193" s="7" t="s">
        <v>3413</v>
      </c>
    </row>
    <row r="194" spans="1:10" ht="13.95" customHeight="1" x14ac:dyDescent="0.3">
      <c r="A194" s="20">
        <v>45859</v>
      </c>
      <c r="B194" s="20" t="s">
        <v>3461</v>
      </c>
      <c r="C194" s="19" t="s">
        <v>18</v>
      </c>
      <c r="D194" s="19" t="s">
        <v>1340</v>
      </c>
      <c r="E194" s="4">
        <v>0.85</v>
      </c>
      <c r="F194" s="42">
        <v>2.8</v>
      </c>
      <c r="G194" s="45">
        <v>211</v>
      </c>
      <c r="H194" s="22">
        <v>2.1</v>
      </c>
      <c r="I194" s="6">
        <f t="shared" ref="I194:I257" si="3">(G194*E194)*F194*H194</f>
        <v>1054.578</v>
      </c>
      <c r="J194" s="7" t="s">
        <v>88</v>
      </c>
    </row>
    <row r="195" spans="1:10" ht="13.95" customHeight="1" x14ac:dyDescent="0.3">
      <c r="A195" s="20">
        <v>45860</v>
      </c>
      <c r="B195" s="20" t="s">
        <v>3461</v>
      </c>
      <c r="C195" s="19" t="s">
        <v>20</v>
      </c>
      <c r="D195" s="19" t="s">
        <v>1340</v>
      </c>
      <c r="E195" s="4">
        <v>0.85</v>
      </c>
      <c r="F195" s="42">
        <v>2.8</v>
      </c>
      <c r="G195" s="45">
        <v>211</v>
      </c>
      <c r="H195" s="22">
        <v>2.1</v>
      </c>
      <c r="I195" s="6">
        <f t="shared" si="3"/>
        <v>1054.578</v>
      </c>
      <c r="J195" s="7" t="s">
        <v>88</v>
      </c>
    </row>
    <row r="196" spans="1:10" ht="13.95" customHeight="1" x14ac:dyDescent="0.3">
      <c r="A196" s="20">
        <v>45861</v>
      </c>
      <c r="B196" s="20" t="s">
        <v>3461</v>
      </c>
      <c r="C196" s="19" t="s">
        <v>5</v>
      </c>
      <c r="D196" s="19" t="s">
        <v>1340</v>
      </c>
      <c r="E196" s="4">
        <v>0.9</v>
      </c>
      <c r="F196" s="42">
        <v>2.9</v>
      </c>
      <c r="G196" s="45">
        <v>211</v>
      </c>
      <c r="H196" s="22">
        <v>2.1</v>
      </c>
      <c r="I196" s="6">
        <f t="shared" si="3"/>
        <v>1156.4910000000002</v>
      </c>
      <c r="J196" s="7" t="s">
        <v>88</v>
      </c>
    </row>
    <row r="197" spans="1:10" ht="13.95" customHeight="1" x14ac:dyDescent="0.3">
      <c r="A197" s="20">
        <v>45862</v>
      </c>
      <c r="B197" s="20" t="s">
        <v>3461</v>
      </c>
      <c r="C197" s="19" t="s">
        <v>8</v>
      </c>
      <c r="D197" s="19" t="s">
        <v>994</v>
      </c>
      <c r="E197" s="4">
        <v>0.95</v>
      </c>
      <c r="F197" s="42">
        <v>3.1</v>
      </c>
      <c r="G197" s="45">
        <v>211</v>
      </c>
      <c r="H197" s="22">
        <v>2.1</v>
      </c>
      <c r="I197" s="6">
        <f t="shared" si="3"/>
        <v>1304.9295</v>
      </c>
      <c r="J197" s="7" t="s">
        <v>3414</v>
      </c>
    </row>
    <row r="198" spans="1:10" ht="13.95" customHeight="1" x14ac:dyDescent="0.3">
      <c r="A198" s="20">
        <v>45863</v>
      </c>
      <c r="B198" s="20" t="s">
        <v>3461</v>
      </c>
      <c r="C198" s="19" t="s">
        <v>11</v>
      </c>
      <c r="D198" s="19" t="s">
        <v>2803</v>
      </c>
      <c r="E198" s="4">
        <v>1</v>
      </c>
      <c r="F198" s="42">
        <v>4.5</v>
      </c>
      <c r="G198" s="45">
        <v>211</v>
      </c>
      <c r="H198" s="22">
        <v>2.1</v>
      </c>
      <c r="I198" s="6">
        <f t="shared" si="3"/>
        <v>1993.95</v>
      </c>
      <c r="J198" s="7" t="s">
        <v>1699</v>
      </c>
    </row>
    <row r="199" spans="1:10" ht="13.95" customHeight="1" x14ac:dyDescent="0.3">
      <c r="A199" s="20">
        <v>45864</v>
      </c>
      <c r="B199" s="20" t="s">
        <v>3461</v>
      </c>
      <c r="C199" s="19" t="s">
        <v>13</v>
      </c>
      <c r="D199" s="19" t="s">
        <v>3091</v>
      </c>
      <c r="E199" s="4">
        <v>1</v>
      </c>
      <c r="F199" s="42">
        <v>4.4000000000000004</v>
      </c>
      <c r="G199" s="45">
        <v>211</v>
      </c>
      <c r="H199" s="22">
        <v>2.1</v>
      </c>
      <c r="I199" s="6">
        <f t="shared" si="3"/>
        <v>1949.6400000000003</v>
      </c>
      <c r="J199" s="7" t="s">
        <v>2841</v>
      </c>
    </row>
    <row r="200" spans="1:10" ht="13.95" customHeight="1" x14ac:dyDescent="0.3">
      <c r="A200" s="20">
        <v>45865</v>
      </c>
      <c r="B200" s="20" t="s">
        <v>3461</v>
      </c>
      <c r="C200" s="19" t="s">
        <v>16</v>
      </c>
      <c r="D200" s="19" t="s">
        <v>3093</v>
      </c>
      <c r="E200" s="4">
        <v>0.95</v>
      </c>
      <c r="F200" s="42">
        <v>3.7</v>
      </c>
      <c r="G200" s="45">
        <v>211</v>
      </c>
      <c r="H200" s="22">
        <v>2.1</v>
      </c>
      <c r="I200" s="6">
        <f t="shared" si="3"/>
        <v>1557.4965</v>
      </c>
      <c r="J200" s="7" t="s">
        <v>139</v>
      </c>
    </row>
    <row r="201" spans="1:10" ht="13.95" customHeight="1" x14ac:dyDescent="0.3">
      <c r="A201" s="20">
        <v>45866</v>
      </c>
      <c r="B201" s="20" t="s">
        <v>3461</v>
      </c>
      <c r="C201" s="19" t="s">
        <v>18</v>
      </c>
      <c r="D201" s="19" t="s">
        <v>1340</v>
      </c>
      <c r="E201" s="4">
        <v>0.9</v>
      </c>
      <c r="F201" s="42">
        <v>2.85</v>
      </c>
      <c r="G201" s="45">
        <v>211</v>
      </c>
      <c r="H201" s="22">
        <v>2.1</v>
      </c>
      <c r="I201" s="6">
        <f t="shared" si="3"/>
        <v>1136.5515</v>
      </c>
      <c r="J201" s="7" t="s">
        <v>88</v>
      </c>
    </row>
    <row r="202" spans="1:10" ht="13.95" customHeight="1" x14ac:dyDescent="0.3">
      <c r="A202" s="20">
        <v>45867</v>
      </c>
      <c r="B202" s="20" t="s">
        <v>3461</v>
      </c>
      <c r="C202" s="19" t="s">
        <v>20</v>
      </c>
      <c r="D202" s="19" t="s">
        <v>1340</v>
      </c>
      <c r="E202" s="4">
        <v>0.9</v>
      </c>
      <c r="F202" s="42">
        <v>2.85</v>
      </c>
      <c r="G202" s="45">
        <v>211</v>
      </c>
      <c r="H202" s="22">
        <v>2.1</v>
      </c>
      <c r="I202" s="6">
        <f t="shared" si="3"/>
        <v>1136.5515</v>
      </c>
      <c r="J202" s="7" t="s">
        <v>88</v>
      </c>
    </row>
    <row r="203" spans="1:10" ht="13.95" customHeight="1" x14ac:dyDescent="0.3">
      <c r="A203" s="20">
        <v>45868</v>
      </c>
      <c r="B203" s="20" t="s">
        <v>3461</v>
      </c>
      <c r="C203" s="19" t="s">
        <v>5</v>
      </c>
      <c r="D203" s="19" t="s">
        <v>1340</v>
      </c>
      <c r="E203" s="4">
        <v>0.95</v>
      </c>
      <c r="F203" s="42">
        <v>2.9</v>
      </c>
      <c r="G203" s="45">
        <v>211</v>
      </c>
      <c r="H203" s="22">
        <v>2.1</v>
      </c>
      <c r="I203" s="6">
        <f t="shared" si="3"/>
        <v>1220.7404999999999</v>
      </c>
      <c r="J203" s="7" t="s">
        <v>88</v>
      </c>
    </row>
    <row r="204" spans="1:10" ht="13.95" customHeight="1" x14ac:dyDescent="0.3">
      <c r="A204" s="20">
        <v>45869</v>
      </c>
      <c r="B204" s="20" t="s">
        <v>3461</v>
      </c>
      <c r="C204" s="19" t="s">
        <v>8</v>
      </c>
      <c r="D204" s="19" t="s">
        <v>3415</v>
      </c>
      <c r="E204" s="4">
        <v>1</v>
      </c>
      <c r="F204" s="42">
        <v>3.2</v>
      </c>
      <c r="G204" s="45">
        <v>211</v>
      </c>
      <c r="H204" s="22">
        <v>2.1</v>
      </c>
      <c r="I204" s="6">
        <f t="shared" si="3"/>
        <v>1417.92</v>
      </c>
      <c r="J204" s="7" t="s">
        <v>3416</v>
      </c>
    </row>
    <row r="205" spans="1:10" ht="13.95" customHeight="1" x14ac:dyDescent="0.3">
      <c r="A205" s="20">
        <v>45870</v>
      </c>
      <c r="B205" s="20" t="s">
        <v>3461</v>
      </c>
      <c r="C205" s="19" t="s">
        <v>11</v>
      </c>
      <c r="D205" s="19" t="s">
        <v>829</v>
      </c>
      <c r="E205" s="4">
        <v>1</v>
      </c>
      <c r="F205" s="42">
        <v>3.3</v>
      </c>
      <c r="G205" s="45">
        <v>211</v>
      </c>
      <c r="H205" s="22">
        <v>2.2000000000000002</v>
      </c>
      <c r="I205" s="6">
        <f t="shared" si="3"/>
        <v>1531.8600000000001</v>
      </c>
      <c r="J205" s="7" t="s">
        <v>531</v>
      </c>
    </row>
    <row r="206" spans="1:10" ht="13.95" customHeight="1" x14ac:dyDescent="0.3">
      <c r="A206" s="20">
        <v>45871</v>
      </c>
      <c r="B206" s="20" t="s">
        <v>3461</v>
      </c>
      <c r="C206" s="19" t="s">
        <v>13</v>
      </c>
      <c r="D206" s="19" t="s">
        <v>3117</v>
      </c>
      <c r="E206" s="4">
        <v>1</v>
      </c>
      <c r="F206" s="42">
        <v>4.5</v>
      </c>
      <c r="G206" s="45">
        <v>211</v>
      </c>
      <c r="H206" s="22">
        <v>2.2000000000000002</v>
      </c>
      <c r="I206" s="6">
        <f t="shared" si="3"/>
        <v>2088.9</v>
      </c>
      <c r="J206" s="7" t="s">
        <v>3417</v>
      </c>
    </row>
    <row r="207" spans="1:10" ht="13.95" customHeight="1" x14ac:dyDescent="0.3">
      <c r="A207" s="20">
        <v>45872</v>
      </c>
      <c r="B207" s="20" t="s">
        <v>3461</v>
      </c>
      <c r="C207" s="19" t="s">
        <v>16</v>
      </c>
      <c r="D207" s="19" t="s">
        <v>3093</v>
      </c>
      <c r="E207" s="4">
        <v>1</v>
      </c>
      <c r="F207" s="42">
        <v>3.8</v>
      </c>
      <c r="G207" s="45">
        <v>211</v>
      </c>
      <c r="H207" s="22">
        <v>2.2000000000000002</v>
      </c>
      <c r="I207" s="6">
        <f t="shared" si="3"/>
        <v>1763.96</v>
      </c>
      <c r="J207" s="7" t="s">
        <v>3418</v>
      </c>
    </row>
    <row r="208" spans="1:10" ht="13.95" customHeight="1" x14ac:dyDescent="0.3">
      <c r="A208" s="20">
        <v>45873</v>
      </c>
      <c r="B208" s="20" t="s">
        <v>3461</v>
      </c>
      <c r="C208" s="19" t="s">
        <v>18</v>
      </c>
      <c r="D208" s="19" t="s">
        <v>1347</v>
      </c>
      <c r="E208" s="4">
        <v>0.95</v>
      </c>
      <c r="F208" s="42">
        <v>2.9</v>
      </c>
      <c r="G208" s="45">
        <v>211</v>
      </c>
      <c r="H208" s="22">
        <v>2.2000000000000002</v>
      </c>
      <c r="I208" s="6">
        <f t="shared" si="3"/>
        <v>1278.8710000000001</v>
      </c>
      <c r="J208" s="7" t="s">
        <v>2341</v>
      </c>
    </row>
    <row r="209" spans="1:10" ht="13.95" customHeight="1" x14ac:dyDescent="0.3">
      <c r="A209" s="20">
        <v>45874</v>
      </c>
      <c r="B209" s="20" t="s">
        <v>3461</v>
      </c>
      <c r="C209" s="19" t="s">
        <v>20</v>
      </c>
      <c r="D209" s="19" t="s">
        <v>1347</v>
      </c>
      <c r="E209" s="4">
        <v>0.95</v>
      </c>
      <c r="F209" s="42">
        <v>2.9</v>
      </c>
      <c r="G209" s="45">
        <v>211</v>
      </c>
      <c r="H209" s="22">
        <v>2.2000000000000002</v>
      </c>
      <c r="I209" s="6">
        <f t="shared" si="3"/>
        <v>1278.8710000000001</v>
      </c>
      <c r="J209" s="7" t="s">
        <v>88</v>
      </c>
    </row>
    <row r="210" spans="1:10" ht="13.95" customHeight="1" x14ac:dyDescent="0.3">
      <c r="A210" s="20">
        <v>45875</v>
      </c>
      <c r="B210" s="20" t="s">
        <v>3461</v>
      </c>
      <c r="C210" s="19" t="s">
        <v>5</v>
      </c>
      <c r="D210" s="19" t="s">
        <v>1347</v>
      </c>
      <c r="E210" s="4">
        <v>0.95</v>
      </c>
      <c r="F210" s="42">
        <v>2.95</v>
      </c>
      <c r="G210" s="45">
        <v>211</v>
      </c>
      <c r="H210" s="22">
        <v>2.2000000000000002</v>
      </c>
      <c r="I210" s="6">
        <f t="shared" si="3"/>
        <v>1300.9205000000002</v>
      </c>
      <c r="J210" s="7" t="s">
        <v>3419</v>
      </c>
    </row>
    <row r="211" spans="1:10" ht="13.95" customHeight="1" x14ac:dyDescent="0.3">
      <c r="A211" s="20">
        <v>45876</v>
      </c>
      <c r="B211" s="20" t="s">
        <v>3461</v>
      </c>
      <c r="C211" s="19" t="s">
        <v>8</v>
      </c>
      <c r="D211" s="19" t="s">
        <v>1347</v>
      </c>
      <c r="E211" s="4">
        <v>1</v>
      </c>
      <c r="F211" s="42">
        <v>3.1</v>
      </c>
      <c r="G211" s="45">
        <v>211</v>
      </c>
      <c r="H211" s="22">
        <v>2.2000000000000002</v>
      </c>
      <c r="I211" s="6">
        <f t="shared" si="3"/>
        <v>1439.0200000000002</v>
      </c>
      <c r="J211" s="7" t="s">
        <v>82</v>
      </c>
    </row>
    <row r="212" spans="1:10" ht="13.95" customHeight="1" x14ac:dyDescent="0.3">
      <c r="A212" s="20">
        <v>45877</v>
      </c>
      <c r="B212" s="20" t="s">
        <v>3461</v>
      </c>
      <c r="C212" s="19" t="s">
        <v>11</v>
      </c>
      <c r="D212" s="19" t="s">
        <v>829</v>
      </c>
      <c r="E212" s="4">
        <v>1</v>
      </c>
      <c r="F212" s="42">
        <v>3.4</v>
      </c>
      <c r="G212" s="45">
        <v>211</v>
      </c>
      <c r="H212" s="22">
        <v>2.2000000000000002</v>
      </c>
      <c r="I212" s="6">
        <f t="shared" si="3"/>
        <v>1578.28</v>
      </c>
      <c r="J212" s="7" t="s">
        <v>3420</v>
      </c>
    </row>
    <row r="213" spans="1:10" ht="13.95" customHeight="1" x14ac:dyDescent="0.3">
      <c r="A213" s="20">
        <v>45878</v>
      </c>
      <c r="B213" s="20" t="s">
        <v>3461</v>
      </c>
      <c r="C213" s="19" t="s">
        <v>13</v>
      </c>
      <c r="D213" s="19" t="s">
        <v>3408</v>
      </c>
      <c r="E213" s="4">
        <v>1</v>
      </c>
      <c r="F213" s="42">
        <v>4.5999999999999996</v>
      </c>
      <c r="G213" s="45">
        <v>211</v>
      </c>
      <c r="H213" s="22">
        <v>2.2000000000000002</v>
      </c>
      <c r="I213" s="6">
        <f t="shared" si="3"/>
        <v>2135.3200000000002</v>
      </c>
      <c r="J213" s="7" t="s">
        <v>3409</v>
      </c>
    </row>
    <row r="214" spans="1:10" ht="13.95" customHeight="1" x14ac:dyDescent="0.3">
      <c r="A214" s="20">
        <v>45879</v>
      </c>
      <c r="B214" s="20" t="s">
        <v>3461</v>
      </c>
      <c r="C214" s="19" t="s">
        <v>16</v>
      </c>
      <c r="D214" s="19" t="s">
        <v>3093</v>
      </c>
      <c r="E214" s="4">
        <v>1</v>
      </c>
      <c r="F214" s="42">
        <v>3.9</v>
      </c>
      <c r="G214" s="45">
        <v>211</v>
      </c>
      <c r="H214" s="22">
        <v>2.2000000000000002</v>
      </c>
      <c r="I214" s="6">
        <f t="shared" si="3"/>
        <v>1810.38</v>
      </c>
      <c r="J214" s="7" t="s">
        <v>139</v>
      </c>
    </row>
    <row r="215" spans="1:10" ht="13.95" customHeight="1" x14ac:dyDescent="0.3">
      <c r="A215" s="20">
        <v>45880</v>
      </c>
      <c r="B215" s="20" t="s">
        <v>3461</v>
      </c>
      <c r="C215" s="19" t="s">
        <v>18</v>
      </c>
      <c r="D215" s="19" t="s">
        <v>1347</v>
      </c>
      <c r="E215" s="4">
        <v>0.95</v>
      </c>
      <c r="F215" s="42">
        <v>2.9</v>
      </c>
      <c r="G215" s="45">
        <v>211</v>
      </c>
      <c r="H215" s="22">
        <v>2.2000000000000002</v>
      </c>
      <c r="I215" s="6">
        <f t="shared" si="3"/>
        <v>1278.8710000000001</v>
      </c>
      <c r="J215" s="7" t="s">
        <v>88</v>
      </c>
    </row>
    <row r="216" spans="1:10" ht="13.95" customHeight="1" x14ac:dyDescent="0.3">
      <c r="A216" s="20">
        <v>45881</v>
      </c>
      <c r="B216" s="20" t="s">
        <v>3461</v>
      </c>
      <c r="C216" s="19" t="s">
        <v>20</v>
      </c>
      <c r="D216" s="19" t="s">
        <v>1347</v>
      </c>
      <c r="E216" s="4">
        <v>0.95</v>
      </c>
      <c r="F216" s="42">
        <v>2.95</v>
      </c>
      <c r="G216" s="45">
        <v>211</v>
      </c>
      <c r="H216" s="22">
        <v>2.2000000000000002</v>
      </c>
      <c r="I216" s="6">
        <f t="shared" si="3"/>
        <v>1300.9205000000002</v>
      </c>
      <c r="J216" s="7" t="s">
        <v>1453</v>
      </c>
    </row>
    <row r="217" spans="1:10" ht="13.95" customHeight="1" x14ac:dyDescent="0.3">
      <c r="A217" s="20">
        <v>45882</v>
      </c>
      <c r="B217" s="20" t="s">
        <v>3461</v>
      </c>
      <c r="C217" s="19" t="s">
        <v>5</v>
      </c>
      <c r="D217" s="19" t="s">
        <v>3123</v>
      </c>
      <c r="E217" s="4">
        <v>1</v>
      </c>
      <c r="F217" s="42">
        <v>4.5999999999999996</v>
      </c>
      <c r="G217" s="45">
        <v>211</v>
      </c>
      <c r="H217" s="22">
        <v>2.2000000000000002</v>
      </c>
      <c r="I217" s="6">
        <f t="shared" si="3"/>
        <v>2135.3200000000002</v>
      </c>
      <c r="J217" s="7" t="s">
        <v>1699</v>
      </c>
    </row>
    <row r="218" spans="1:10" ht="13.95" customHeight="1" x14ac:dyDescent="0.3">
      <c r="A218" s="20">
        <v>45883</v>
      </c>
      <c r="B218" s="20" t="s">
        <v>3461</v>
      </c>
      <c r="C218" s="19" t="s">
        <v>8</v>
      </c>
      <c r="D218" s="19" t="s">
        <v>2874</v>
      </c>
      <c r="E218" s="4">
        <v>1</v>
      </c>
      <c r="F218" s="42">
        <v>3.5</v>
      </c>
      <c r="G218" s="45">
        <v>211</v>
      </c>
      <c r="H218" s="22">
        <v>2.2000000000000002</v>
      </c>
      <c r="I218" s="6">
        <f t="shared" si="3"/>
        <v>1624.7</v>
      </c>
      <c r="J218" s="7" t="s">
        <v>3124</v>
      </c>
    </row>
    <row r="219" spans="1:10" ht="13.95" customHeight="1" x14ac:dyDescent="0.3">
      <c r="A219" s="20">
        <v>45884</v>
      </c>
      <c r="B219" s="20" t="s">
        <v>3461</v>
      </c>
      <c r="C219" s="19" t="s">
        <v>11</v>
      </c>
      <c r="D219" s="19" t="s">
        <v>2809</v>
      </c>
      <c r="E219" s="4">
        <v>1</v>
      </c>
      <c r="F219" s="42">
        <v>4.4000000000000004</v>
      </c>
      <c r="G219" s="45">
        <v>211</v>
      </c>
      <c r="H219" s="22">
        <v>2.2000000000000002</v>
      </c>
      <c r="I219" s="6">
        <f t="shared" si="3"/>
        <v>2042.4800000000005</v>
      </c>
      <c r="J219" s="7" t="s">
        <v>2493</v>
      </c>
    </row>
    <row r="220" spans="1:10" ht="13.95" customHeight="1" x14ac:dyDescent="0.3">
      <c r="A220" s="20">
        <v>45885</v>
      </c>
      <c r="B220" s="20" t="s">
        <v>3461</v>
      </c>
      <c r="C220" s="19" t="s">
        <v>13</v>
      </c>
      <c r="D220" s="19" t="s">
        <v>3125</v>
      </c>
      <c r="E220" s="4">
        <v>1</v>
      </c>
      <c r="F220" s="42">
        <v>4.8</v>
      </c>
      <c r="G220" s="45">
        <v>211</v>
      </c>
      <c r="H220" s="22">
        <v>2.2000000000000002</v>
      </c>
      <c r="I220" s="6">
        <f t="shared" si="3"/>
        <v>2228.16</v>
      </c>
      <c r="J220" s="7" t="s">
        <v>3421</v>
      </c>
    </row>
    <row r="221" spans="1:10" ht="13.95" customHeight="1" x14ac:dyDescent="0.3">
      <c r="A221" s="20">
        <v>45886</v>
      </c>
      <c r="B221" s="20" t="s">
        <v>3461</v>
      </c>
      <c r="C221" s="19" t="s">
        <v>16</v>
      </c>
      <c r="D221" s="19" t="s">
        <v>3093</v>
      </c>
      <c r="E221" s="4">
        <v>1</v>
      </c>
      <c r="F221" s="42">
        <v>4.0999999999999996</v>
      </c>
      <c r="G221" s="45">
        <v>211</v>
      </c>
      <c r="H221" s="22">
        <v>2.2000000000000002</v>
      </c>
      <c r="I221" s="6">
        <f t="shared" si="3"/>
        <v>1903.22</v>
      </c>
      <c r="J221" s="7" t="s">
        <v>3422</v>
      </c>
    </row>
    <row r="222" spans="1:10" ht="13.95" customHeight="1" x14ac:dyDescent="0.3">
      <c r="A222" s="20">
        <v>45887</v>
      </c>
      <c r="B222" s="20" t="s">
        <v>3461</v>
      </c>
      <c r="C222" s="19" t="s">
        <v>18</v>
      </c>
      <c r="D222" s="19" t="s">
        <v>1347</v>
      </c>
      <c r="E222" s="4">
        <v>0.95</v>
      </c>
      <c r="F222" s="42">
        <v>2.9</v>
      </c>
      <c r="G222" s="45">
        <v>211</v>
      </c>
      <c r="H222" s="22">
        <v>2.2000000000000002</v>
      </c>
      <c r="I222" s="6">
        <f t="shared" si="3"/>
        <v>1278.8710000000001</v>
      </c>
      <c r="J222" s="7" t="s">
        <v>88</v>
      </c>
    </row>
    <row r="223" spans="1:10" ht="13.95" customHeight="1" x14ac:dyDescent="0.3">
      <c r="A223" s="20">
        <v>45888</v>
      </c>
      <c r="B223" s="20" t="s">
        <v>3461</v>
      </c>
      <c r="C223" s="19" t="s">
        <v>20</v>
      </c>
      <c r="D223" s="19" t="s">
        <v>1347</v>
      </c>
      <c r="E223" s="4">
        <v>0.95</v>
      </c>
      <c r="F223" s="42">
        <v>2.9</v>
      </c>
      <c r="G223" s="45">
        <v>211</v>
      </c>
      <c r="H223" s="22">
        <v>2.2000000000000002</v>
      </c>
      <c r="I223" s="6">
        <f t="shared" si="3"/>
        <v>1278.8710000000001</v>
      </c>
      <c r="J223" s="7" t="s">
        <v>88</v>
      </c>
    </row>
    <row r="224" spans="1:10" ht="13.95" customHeight="1" x14ac:dyDescent="0.3">
      <c r="A224" s="20">
        <v>45889</v>
      </c>
      <c r="B224" s="20" t="s">
        <v>3461</v>
      </c>
      <c r="C224" s="19" t="s">
        <v>5</v>
      </c>
      <c r="D224" s="19" t="s">
        <v>1347</v>
      </c>
      <c r="E224" s="4">
        <v>0.95</v>
      </c>
      <c r="F224" s="42">
        <v>3</v>
      </c>
      <c r="G224" s="45">
        <v>211</v>
      </c>
      <c r="H224" s="22">
        <v>2.2000000000000002</v>
      </c>
      <c r="I224" s="6">
        <f t="shared" si="3"/>
        <v>1322.9699999999998</v>
      </c>
      <c r="J224" s="7" t="s">
        <v>88</v>
      </c>
    </row>
    <row r="225" spans="1:10" ht="13.95" customHeight="1" x14ac:dyDescent="0.3">
      <c r="A225" s="20">
        <v>45890</v>
      </c>
      <c r="B225" s="20" t="s">
        <v>3461</v>
      </c>
      <c r="C225" s="19" t="s">
        <v>8</v>
      </c>
      <c r="D225" s="19" t="s">
        <v>1347</v>
      </c>
      <c r="E225" s="4">
        <v>0.95</v>
      </c>
      <c r="F225" s="42">
        <v>3.1</v>
      </c>
      <c r="G225" s="45">
        <v>211</v>
      </c>
      <c r="H225" s="22">
        <v>2.2000000000000002</v>
      </c>
      <c r="I225" s="6">
        <f t="shared" si="3"/>
        <v>1367.069</v>
      </c>
      <c r="J225" s="7" t="s">
        <v>82</v>
      </c>
    </row>
    <row r="226" spans="1:10" ht="13.95" customHeight="1" x14ac:dyDescent="0.3">
      <c r="A226" s="20">
        <v>45891</v>
      </c>
      <c r="B226" s="20" t="s">
        <v>3461</v>
      </c>
      <c r="C226" s="19" t="s">
        <v>11</v>
      </c>
      <c r="D226" s="19" t="s">
        <v>829</v>
      </c>
      <c r="E226" s="4">
        <v>1</v>
      </c>
      <c r="F226" s="42">
        <v>3.5</v>
      </c>
      <c r="G226" s="45">
        <v>211</v>
      </c>
      <c r="H226" s="22">
        <v>2.2000000000000002</v>
      </c>
      <c r="I226" s="6">
        <f t="shared" si="3"/>
        <v>1624.7</v>
      </c>
      <c r="J226" s="7" t="s">
        <v>2342</v>
      </c>
    </row>
    <row r="227" spans="1:10" ht="13.95" customHeight="1" x14ac:dyDescent="0.3">
      <c r="A227" s="20">
        <v>45892</v>
      </c>
      <c r="B227" s="20" t="s">
        <v>3461</v>
      </c>
      <c r="C227" s="19" t="s">
        <v>13</v>
      </c>
      <c r="D227" s="19" t="s">
        <v>3091</v>
      </c>
      <c r="E227" s="4">
        <v>1</v>
      </c>
      <c r="F227" s="42">
        <v>4.5</v>
      </c>
      <c r="G227" s="45">
        <v>211</v>
      </c>
      <c r="H227" s="22">
        <v>2.2000000000000002</v>
      </c>
      <c r="I227" s="6">
        <f t="shared" si="3"/>
        <v>2088.9</v>
      </c>
      <c r="J227" s="7" t="s">
        <v>2294</v>
      </c>
    </row>
    <row r="228" spans="1:10" ht="13.95" customHeight="1" x14ac:dyDescent="0.3">
      <c r="A228" s="20">
        <v>45893</v>
      </c>
      <c r="B228" s="20" t="s">
        <v>3461</v>
      </c>
      <c r="C228" s="19" t="s">
        <v>16</v>
      </c>
      <c r="D228" s="19" t="s">
        <v>3093</v>
      </c>
      <c r="E228" s="4">
        <v>1</v>
      </c>
      <c r="F228" s="42">
        <v>3.9</v>
      </c>
      <c r="G228" s="45">
        <v>211</v>
      </c>
      <c r="H228" s="22">
        <v>2.2000000000000002</v>
      </c>
      <c r="I228" s="6">
        <f t="shared" si="3"/>
        <v>1810.38</v>
      </c>
      <c r="J228" s="7" t="s">
        <v>3352</v>
      </c>
    </row>
    <row r="229" spans="1:10" ht="13.95" customHeight="1" x14ac:dyDescent="0.3">
      <c r="A229" s="20">
        <v>45894</v>
      </c>
      <c r="B229" s="20" t="s">
        <v>3461</v>
      </c>
      <c r="C229" s="19" t="s">
        <v>18</v>
      </c>
      <c r="D229" s="19" t="s">
        <v>1347</v>
      </c>
      <c r="E229" s="4">
        <v>0.9</v>
      </c>
      <c r="F229" s="42">
        <v>2.9</v>
      </c>
      <c r="G229" s="45">
        <v>211</v>
      </c>
      <c r="H229" s="22">
        <v>2.2000000000000002</v>
      </c>
      <c r="I229" s="6">
        <f t="shared" si="3"/>
        <v>1211.5620000000001</v>
      </c>
      <c r="J229" s="7" t="s">
        <v>3129</v>
      </c>
    </row>
    <row r="230" spans="1:10" ht="13.95" customHeight="1" x14ac:dyDescent="0.3">
      <c r="A230" s="20">
        <v>45895</v>
      </c>
      <c r="B230" s="20" t="s">
        <v>3461</v>
      </c>
      <c r="C230" s="19" t="s">
        <v>20</v>
      </c>
      <c r="D230" s="19" t="s">
        <v>1347</v>
      </c>
      <c r="E230" s="4">
        <v>0.9</v>
      </c>
      <c r="F230" s="42">
        <v>2.9</v>
      </c>
      <c r="G230" s="45">
        <v>211</v>
      </c>
      <c r="H230" s="22">
        <v>2.2000000000000002</v>
      </c>
      <c r="I230" s="6">
        <f t="shared" si="3"/>
        <v>1211.5620000000001</v>
      </c>
      <c r="J230" s="7" t="s">
        <v>88</v>
      </c>
    </row>
    <row r="231" spans="1:10" ht="13.95" customHeight="1" x14ac:dyDescent="0.3">
      <c r="A231" s="20">
        <v>45896</v>
      </c>
      <c r="B231" s="20" t="s">
        <v>3461</v>
      </c>
      <c r="C231" s="19" t="s">
        <v>5</v>
      </c>
      <c r="D231" s="19" t="s">
        <v>1347</v>
      </c>
      <c r="E231" s="4">
        <v>0.9</v>
      </c>
      <c r="F231" s="42">
        <v>3</v>
      </c>
      <c r="G231" s="45">
        <v>211</v>
      </c>
      <c r="H231" s="22">
        <v>2.2000000000000002</v>
      </c>
      <c r="I231" s="6">
        <f t="shared" si="3"/>
        <v>1253.3400000000001</v>
      </c>
      <c r="J231" s="7" t="s">
        <v>88</v>
      </c>
    </row>
    <row r="232" spans="1:10" ht="13.95" customHeight="1" x14ac:dyDescent="0.3">
      <c r="A232" s="20">
        <v>45897</v>
      </c>
      <c r="B232" s="20" t="s">
        <v>3461</v>
      </c>
      <c r="C232" s="19" t="s">
        <v>8</v>
      </c>
      <c r="D232" s="19" t="s">
        <v>1347</v>
      </c>
      <c r="E232" s="4">
        <v>0.95</v>
      </c>
      <c r="F232" s="42">
        <v>3.1</v>
      </c>
      <c r="G232" s="45">
        <v>211</v>
      </c>
      <c r="H232" s="22">
        <v>2.2000000000000002</v>
      </c>
      <c r="I232" s="6">
        <f t="shared" si="3"/>
        <v>1367.069</v>
      </c>
      <c r="J232" s="7" t="s">
        <v>88</v>
      </c>
    </row>
    <row r="233" spans="1:10" ht="13.95" customHeight="1" x14ac:dyDescent="0.3">
      <c r="A233" s="20">
        <v>45898</v>
      </c>
      <c r="B233" s="20" t="s">
        <v>3461</v>
      </c>
      <c r="C233" s="19" t="s">
        <v>11</v>
      </c>
      <c r="D233" s="19" t="s">
        <v>829</v>
      </c>
      <c r="E233" s="4">
        <v>1</v>
      </c>
      <c r="F233" s="42">
        <v>3.4</v>
      </c>
      <c r="G233" s="45">
        <v>211</v>
      </c>
      <c r="H233" s="22">
        <v>2.2000000000000002</v>
      </c>
      <c r="I233" s="6">
        <f t="shared" si="3"/>
        <v>1578.28</v>
      </c>
      <c r="J233" s="7" t="s">
        <v>222</v>
      </c>
    </row>
    <row r="234" spans="1:10" ht="13.95" customHeight="1" x14ac:dyDescent="0.3">
      <c r="A234" s="20">
        <v>45899</v>
      </c>
      <c r="B234" s="20" t="s">
        <v>3461</v>
      </c>
      <c r="C234" s="19" t="s">
        <v>13</v>
      </c>
      <c r="D234" s="19" t="s">
        <v>3130</v>
      </c>
      <c r="E234" s="4">
        <v>1</v>
      </c>
      <c r="F234" s="42">
        <v>4.7</v>
      </c>
      <c r="G234" s="45">
        <v>211</v>
      </c>
      <c r="H234" s="22">
        <v>2.2000000000000002</v>
      </c>
      <c r="I234" s="6">
        <f t="shared" si="3"/>
        <v>2181.7400000000002</v>
      </c>
      <c r="J234" s="7" t="s">
        <v>3423</v>
      </c>
    </row>
    <row r="235" spans="1:10" ht="13.95" customHeight="1" x14ac:dyDescent="0.3">
      <c r="A235" s="20">
        <v>45900</v>
      </c>
      <c r="B235" s="20" t="s">
        <v>3461</v>
      </c>
      <c r="C235" s="19" t="s">
        <v>16</v>
      </c>
      <c r="D235" s="19" t="s">
        <v>3098</v>
      </c>
      <c r="E235" s="4">
        <v>0.95</v>
      </c>
      <c r="F235" s="42">
        <v>3.8</v>
      </c>
      <c r="G235" s="45">
        <v>211</v>
      </c>
      <c r="H235" s="22">
        <v>2.2000000000000002</v>
      </c>
      <c r="I235" s="6">
        <f t="shared" si="3"/>
        <v>1675.7619999999999</v>
      </c>
      <c r="J235" s="7" t="s">
        <v>755</v>
      </c>
    </row>
    <row r="236" spans="1:10" ht="13.95" customHeight="1" x14ac:dyDescent="0.3">
      <c r="A236" s="20">
        <v>45901</v>
      </c>
      <c r="B236" s="20" t="s">
        <v>3461</v>
      </c>
      <c r="C236" s="19" t="s">
        <v>18</v>
      </c>
      <c r="D236" s="19" t="s">
        <v>3424</v>
      </c>
      <c r="E236" s="4">
        <v>0.75</v>
      </c>
      <c r="F236" s="42">
        <v>2.4</v>
      </c>
      <c r="G236" s="45">
        <v>211</v>
      </c>
      <c r="H236" s="22">
        <v>1.9</v>
      </c>
      <c r="I236" s="6">
        <f t="shared" si="3"/>
        <v>721.62</v>
      </c>
      <c r="J236" s="7" t="s">
        <v>3425</v>
      </c>
    </row>
    <row r="237" spans="1:10" ht="13.95" customHeight="1" x14ac:dyDescent="0.3">
      <c r="A237" s="20">
        <v>45902</v>
      </c>
      <c r="B237" s="20" t="s">
        <v>3461</v>
      </c>
      <c r="C237" s="19" t="s">
        <v>20</v>
      </c>
      <c r="D237" s="19" t="s">
        <v>3252</v>
      </c>
      <c r="E237" s="4">
        <v>0.7</v>
      </c>
      <c r="F237" s="42">
        <v>2.2999999999999998</v>
      </c>
      <c r="G237" s="45">
        <v>211</v>
      </c>
      <c r="H237" s="22">
        <v>1.9</v>
      </c>
      <c r="I237" s="6">
        <f t="shared" si="3"/>
        <v>645.44899999999984</v>
      </c>
      <c r="J237" s="7" t="s">
        <v>2341</v>
      </c>
    </row>
    <row r="238" spans="1:10" ht="13.95" customHeight="1" x14ac:dyDescent="0.3">
      <c r="A238" s="20">
        <v>45903</v>
      </c>
      <c r="B238" s="20" t="s">
        <v>3461</v>
      </c>
      <c r="C238" s="19" t="s">
        <v>5</v>
      </c>
      <c r="D238" s="19" t="s">
        <v>3252</v>
      </c>
      <c r="E238" s="4">
        <v>0.7</v>
      </c>
      <c r="F238" s="42">
        <v>2.2999999999999998</v>
      </c>
      <c r="G238" s="45">
        <v>211</v>
      </c>
      <c r="H238" s="22">
        <v>1.9</v>
      </c>
      <c r="I238" s="6">
        <f t="shared" si="3"/>
        <v>645.44899999999984</v>
      </c>
      <c r="J238" s="7" t="s">
        <v>88</v>
      </c>
    </row>
    <row r="239" spans="1:10" ht="13.95" customHeight="1" x14ac:dyDescent="0.3">
      <c r="A239" s="20">
        <v>45904</v>
      </c>
      <c r="B239" s="20" t="s">
        <v>3461</v>
      </c>
      <c r="C239" s="19" t="s">
        <v>8</v>
      </c>
      <c r="D239" s="19" t="s">
        <v>3252</v>
      </c>
      <c r="E239" s="4">
        <v>0.75</v>
      </c>
      <c r="F239" s="42">
        <v>2.35</v>
      </c>
      <c r="G239" s="45">
        <v>211</v>
      </c>
      <c r="H239" s="22">
        <v>1.9</v>
      </c>
      <c r="I239" s="6">
        <f t="shared" si="3"/>
        <v>706.58624999999995</v>
      </c>
      <c r="J239" s="7" t="s">
        <v>82</v>
      </c>
    </row>
    <row r="240" spans="1:10" ht="13.95" customHeight="1" x14ac:dyDescent="0.3">
      <c r="A240" s="20">
        <v>45905</v>
      </c>
      <c r="B240" s="20" t="s">
        <v>3461</v>
      </c>
      <c r="C240" s="19" t="s">
        <v>11</v>
      </c>
      <c r="D240" s="19" t="s">
        <v>2993</v>
      </c>
      <c r="E240" s="4">
        <v>0.8</v>
      </c>
      <c r="F240" s="42">
        <v>2.9</v>
      </c>
      <c r="G240" s="45">
        <v>211</v>
      </c>
      <c r="H240" s="22">
        <v>1.9</v>
      </c>
      <c r="I240" s="6">
        <f t="shared" si="3"/>
        <v>930.08800000000008</v>
      </c>
      <c r="J240" s="7" t="s">
        <v>1111</v>
      </c>
    </row>
    <row r="241" spans="1:10" ht="13.95" customHeight="1" x14ac:dyDescent="0.3">
      <c r="A241" s="20">
        <v>45906</v>
      </c>
      <c r="B241" s="20" t="s">
        <v>3461</v>
      </c>
      <c r="C241" s="19" t="s">
        <v>13</v>
      </c>
      <c r="D241" s="19" t="s">
        <v>2965</v>
      </c>
      <c r="E241" s="4">
        <v>0.9</v>
      </c>
      <c r="F241" s="42">
        <v>3.9</v>
      </c>
      <c r="G241" s="45">
        <v>211</v>
      </c>
      <c r="H241" s="22">
        <v>1.9</v>
      </c>
      <c r="I241" s="6">
        <f t="shared" si="3"/>
        <v>1407.1589999999999</v>
      </c>
      <c r="J241" s="7" t="s">
        <v>3401</v>
      </c>
    </row>
    <row r="242" spans="1:10" ht="13.95" customHeight="1" x14ac:dyDescent="0.3">
      <c r="A242" s="20">
        <v>45907</v>
      </c>
      <c r="B242" s="20" t="s">
        <v>3461</v>
      </c>
      <c r="C242" s="19" t="s">
        <v>16</v>
      </c>
      <c r="D242" s="19" t="s">
        <v>3098</v>
      </c>
      <c r="E242" s="4">
        <v>0.85</v>
      </c>
      <c r="F242" s="42">
        <v>3.3</v>
      </c>
      <c r="G242" s="45">
        <v>211</v>
      </c>
      <c r="H242" s="22">
        <v>1.9</v>
      </c>
      <c r="I242" s="6">
        <f t="shared" si="3"/>
        <v>1124.5244999999998</v>
      </c>
      <c r="J242" s="7" t="s">
        <v>3407</v>
      </c>
    </row>
    <row r="243" spans="1:10" ht="13.95" customHeight="1" x14ac:dyDescent="0.3">
      <c r="A243" s="20">
        <v>45908</v>
      </c>
      <c r="B243" s="20" t="s">
        <v>3461</v>
      </c>
      <c r="C243" s="19" t="s">
        <v>18</v>
      </c>
      <c r="D243" s="19" t="s">
        <v>3325</v>
      </c>
      <c r="E243" s="4">
        <v>0.7</v>
      </c>
      <c r="F243" s="42">
        <v>2.2999999999999998</v>
      </c>
      <c r="G243" s="45">
        <v>211</v>
      </c>
      <c r="H243" s="22">
        <v>1.9</v>
      </c>
      <c r="I243" s="6">
        <f t="shared" si="3"/>
        <v>645.44899999999984</v>
      </c>
      <c r="J243" s="7" t="s">
        <v>2563</v>
      </c>
    </row>
    <row r="244" spans="1:10" ht="13.95" customHeight="1" x14ac:dyDescent="0.3">
      <c r="A244" s="20">
        <v>45909</v>
      </c>
      <c r="B244" s="20" t="s">
        <v>3461</v>
      </c>
      <c r="C244" s="19" t="s">
        <v>20</v>
      </c>
      <c r="D244" s="19" t="s">
        <v>3325</v>
      </c>
      <c r="E244" s="4">
        <v>0.7</v>
      </c>
      <c r="F244" s="42">
        <v>2.2999999999999998</v>
      </c>
      <c r="G244" s="45">
        <v>211</v>
      </c>
      <c r="H244" s="22">
        <v>1.9</v>
      </c>
      <c r="I244" s="6">
        <f t="shared" si="3"/>
        <v>645.44899999999984</v>
      </c>
      <c r="J244" s="7" t="s">
        <v>88</v>
      </c>
    </row>
    <row r="245" spans="1:10" ht="13.95" customHeight="1" x14ac:dyDescent="0.3">
      <c r="A245" s="20">
        <v>45910</v>
      </c>
      <c r="B245" s="20" t="s">
        <v>3461</v>
      </c>
      <c r="C245" s="19" t="s">
        <v>5</v>
      </c>
      <c r="D245" s="19" t="s">
        <v>3325</v>
      </c>
      <c r="E245" s="4">
        <v>0.75</v>
      </c>
      <c r="F245" s="42">
        <v>2.35</v>
      </c>
      <c r="G245" s="45">
        <v>211</v>
      </c>
      <c r="H245" s="22">
        <v>1.9</v>
      </c>
      <c r="I245" s="6">
        <f t="shared" si="3"/>
        <v>706.58624999999995</v>
      </c>
      <c r="J245" s="7" t="s">
        <v>88</v>
      </c>
    </row>
    <row r="246" spans="1:10" ht="13.95" customHeight="1" x14ac:dyDescent="0.3">
      <c r="A246" s="20">
        <v>45911</v>
      </c>
      <c r="B246" s="20" t="s">
        <v>3461</v>
      </c>
      <c r="C246" s="19" t="s">
        <v>8</v>
      </c>
      <c r="D246" s="19" t="s">
        <v>3325</v>
      </c>
      <c r="E246" s="4">
        <v>0.75</v>
      </c>
      <c r="F246" s="42">
        <v>2.4</v>
      </c>
      <c r="G246" s="45">
        <v>211</v>
      </c>
      <c r="H246" s="22">
        <v>1.9</v>
      </c>
      <c r="I246" s="6">
        <f t="shared" si="3"/>
        <v>721.62</v>
      </c>
      <c r="J246" s="7" t="s">
        <v>88</v>
      </c>
    </row>
    <row r="247" spans="1:10" ht="13.95" customHeight="1" x14ac:dyDescent="0.3">
      <c r="A247" s="20">
        <v>45912</v>
      </c>
      <c r="B247" s="20" t="s">
        <v>3461</v>
      </c>
      <c r="C247" s="19" t="s">
        <v>11</v>
      </c>
      <c r="D247" s="19" t="s">
        <v>2993</v>
      </c>
      <c r="E247" s="4">
        <v>0.85</v>
      </c>
      <c r="F247" s="42">
        <v>3</v>
      </c>
      <c r="G247" s="45">
        <v>211</v>
      </c>
      <c r="H247" s="22">
        <v>1.9</v>
      </c>
      <c r="I247" s="6">
        <f t="shared" si="3"/>
        <v>1022.2949999999998</v>
      </c>
      <c r="J247" s="7" t="s">
        <v>1095</v>
      </c>
    </row>
    <row r="248" spans="1:10" ht="13.95" customHeight="1" x14ac:dyDescent="0.3">
      <c r="A248" s="20">
        <v>45913</v>
      </c>
      <c r="B248" s="20" t="s">
        <v>3461</v>
      </c>
      <c r="C248" s="19" t="s">
        <v>13</v>
      </c>
      <c r="D248" s="19" t="s">
        <v>3426</v>
      </c>
      <c r="E248" s="4">
        <v>0.95</v>
      </c>
      <c r="F248" s="42">
        <v>4.0999999999999996</v>
      </c>
      <c r="G248" s="45">
        <v>211</v>
      </c>
      <c r="H248" s="22">
        <v>1.9</v>
      </c>
      <c r="I248" s="6">
        <f t="shared" si="3"/>
        <v>1561.5054999999998</v>
      </c>
      <c r="J248" s="7" t="s">
        <v>3427</v>
      </c>
    </row>
    <row r="249" spans="1:10" ht="13.95" customHeight="1" x14ac:dyDescent="0.3">
      <c r="A249" s="20">
        <v>45914</v>
      </c>
      <c r="B249" s="20" t="s">
        <v>3461</v>
      </c>
      <c r="C249" s="19" t="s">
        <v>16</v>
      </c>
      <c r="D249" s="19" t="s">
        <v>3098</v>
      </c>
      <c r="E249" s="4">
        <v>0.9</v>
      </c>
      <c r="F249" s="42">
        <v>3.4</v>
      </c>
      <c r="G249" s="45">
        <v>211</v>
      </c>
      <c r="H249" s="22">
        <v>1.9</v>
      </c>
      <c r="I249" s="6">
        <f t="shared" si="3"/>
        <v>1226.7539999999999</v>
      </c>
      <c r="J249" s="7" t="s">
        <v>3337</v>
      </c>
    </row>
    <row r="250" spans="1:10" ht="13.95" customHeight="1" x14ac:dyDescent="0.3">
      <c r="A250" s="20">
        <v>45915</v>
      </c>
      <c r="B250" s="20" t="s">
        <v>3461</v>
      </c>
      <c r="C250" s="19" t="s">
        <v>18</v>
      </c>
      <c r="D250" s="19" t="s">
        <v>3325</v>
      </c>
      <c r="E250" s="4">
        <v>0.7</v>
      </c>
      <c r="F250" s="42">
        <v>2.35</v>
      </c>
      <c r="G250" s="45">
        <v>211</v>
      </c>
      <c r="H250" s="22">
        <v>1.9</v>
      </c>
      <c r="I250" s="6">
        <f t="shared" si="3"/>
        <v>659.48049999999989</v>
      </c>
      <c r="J250" s="7" t="s">
        <v>88</v>
      </c>
    </row>
    <row r="251" spans="1:10" ht="13.95" customHeight="1" x14ac:dyDescent="0.3">
      <c r="A251" s="20">
        <v>45916</v>
      </c>
      <c r="B251" s="20" t="s">
        <v>3461</v>
      </c>
      <c r="C251" s="19" t="s">
        <v>20</v>
      </c>
      <c r="D251" s="19" t="s">
        <v>3325</v>
      </c>
      <c r="E251" s="4">
        <v>0.7</v>
      </c>
      <c r="F251" s="42">
        <v>2.2999999999999998</v>
      </c>
      <c r="G251" s="45">
        <v>211</v>
      </c>
      <c r="H251" s="22">
        <v>1.9</v>
      </c>
      <c r="I251" s="6">
        <f t="shared" si="3"/>
        <v>645.44899999999984</v>
      </c>
      <c r="J251" s="7" t="s">
        <v>88</v>
      </c>
    </row>
    <row r="252" spans="1:10" ht="13.95" customHeight="1" x14ac:dyDescent="0.3">
      <c r="A252" s="20">
        <v>45917</v>
      </c>
      <c r="B252" s="20" t="s">
        <v>3461</v>
      </c>
      <c r="C252" s="19" t="s">
        <v>5</v>
      </c>
      <c r="D252" s="19" t="s">
        <v>3325</v>
      </c>
      <c r="E252" s="4">
        <v>0.75</v>
      </c>
      <c r="F252" s="42">
        <v>2.2999999999999998</v>
      </c>
      <c r="G252" s="45">
        <v>211</v>
      </c>
      <c r="H252" s="22">
        <v>1.9</v>
      </c>
      <c r="I252" s="6">
        <f t="shared" si="3"/>
        <v>691.5524999999999</v>
      </c>
      <c r="J252" s="7" t="s">
        <v>88</v>
      </c>
    </row>
    <row r="253" spans="1:10" ht="13.95" customHeight="1" x14ac:dyDescent="0.3">
      <c r="A253" s="20">
        <v>45918</v>
      </c>
      <c r="B253" s="20" t="s">
        <v>3461</v>
      </c>
      <c r="C253" s="19" t="s">
        <v>8</v>
      </c>
      <c r="D253" s="19" t="s">
        <v>3325</v>
      </c>
      <c r="E253" s="4">
        <v>0.8</v>
      </c>
      <c r="F253" s="42">
        <v>2.4</v>
      </c>
      <c r="G253" s="45">
        <v>211</v>
      </c>
      <c r="H253" s="22">
        <v>1.9</v>
      </c>
      <c r="I253" s="6">
        <f t="shared" si="3"/>
        <v>769.72799999999995</v>
      </c>
      <c r="J253" s="7" t="s">
        <v>67</v>
      </c>
    </row>
    <row r="254" spans="1:10" ht="13.95" customHeight="1" x14ac:dyDescent="0.3">
      <c r="A254" s="20">
        <v>45919</v>
      </c>
      <c r="B254" s="20" t="s">
        <v>3461</v>
      </c>
      <c r="C254" s="19" t="s">
        <v>11</v>
      </c>
      <c r="D254" s="19" t="s">
        <v>2993</v>
      </c>
      <c r="E254" s="4">
        <v>0.85</v>
      </c>
      <c r="F254" s="42">
        <v>3.1</v>
      </c>
      <c r="G254" s="45">
        <v>211</v>
      </c>
      <c r="H254" s="22">
        <v>1.9</v>
      </c>
      <c r="I254" s="6">
        <f t="shared" si="3"/>
        <v>1056.3715</v>
      </c>
      <c r="J254" s="7" t="s">
        <v>2654</v>
      </c>
    </row>
    <row r="255" spans="1:10" ht="13.95" customHeight="1" x14ac:dyDescent="0.3">
      <c r="A255" s="20">
        <v>45920</v>
      </c>
      <c r="B255" s="20" t="s">
        <v>3461</v>
      </c>
      <c r="C255" s="19" t="s">
        <v>13</v>
      </c>
      <c r="D255" s="19" t="s">
        <v>3143</v>
      </c>
      <c r="E255" s="4">
        <v>0.95</v>
      </c>
      <c r="F255" s="42">
        <v>4.2</v>
      </c>
      <c r="G255" s="45">
        <v>211</v>
      </c>
      <c r="H255" s="22">
        <v>1.9</v>
      </c>
      <c r="I255" s="6">
        <f t="shared" si="3"/>
        <v>1599.5909999999999</v>
      </c>
      <c r="J255" s="7" t="s">
        <v>3417</v>
      </c>
    </row>
    <row r="256" spans="1:10" ht="13.95" customHeight="1" x14ac:dyDescent="0.3">
      <c r="A256" s="20">
        <v>45921</v>
      </c>
      <c r="B256" s="20" t="s">
        <v>3461</v>
      </c>
      <c r="C256" s="19" t="s">
        <v>16</v>
      </c>
      <c r="D256" s="19" t="s">
        <v>3098</v>
      </c>
      <c r="E256" s="4">
        <v>0.9</v>
      </c>
      <c r="F256" s="42">
        <v>3.5</v>
      </c>
      <c r="G256" s="45">
        <v>211</v>
      </c>
      <c r="H256" s="22">
        <v>1.9</v>
      </c>
      <c r="I256" s="6">
        <f t="shared" si="3"/>
        <v>1262.8349999999998</v>
      </c>
      <c r="J256" s="7" t="s">
        <v>139</v>
      </c>
    </row>
    <row r="257" spans="1:10" ht="13.95" customHeight="1" x14ac:dyDescent="0.3">
      <c r="A257" s="20">
        <v>45922</v>
      </c>
      <c r="B257" s="20" t="s">
        <v>3461</v>
      </c>
      <c r="C257" s="19" t="s">
        <v>18</v>
      </c>
      <c r="D257" s="19" t="s">
        <v>3325</v>
      </c>
      <c r="E257" s="4">
        <v>0.7</v>
      </c>
      <c r="F257" s="42">
        <v>2.2999999999999998</v>
      </c>
      <c r="G257" s="45">
        <v>211</v>
      </c>
      <c r="H257" s="22">
        <v>1.9</v>
      </c>
      <c r="I257" s="6">
        <f t="shared" si="3"/>
        <v>645.44899999999984</v>
      </c>
      <c r="J257" s="7" t="s">
        <v>88</v>
      </c>
    </row>
    <row r="258" spans="1:10" ht="13.95" customHeight="1" x14ac:dyDescent="0.3">
      <c r="A258" s="20">
        <v>45923</v>
      </c>
      <c r="B258" s="20" t="s">
        <v>3461</v>
      </c>
      <c r="C258" s="19" t="s">
        <v>20</v>
      </c>
      <c r="D258" s="19" t="s">
        <v>3325</v>
      </c>
      <c r="E258" s="4">
        <v>0.7</v>
      </c>
      <c r="F258" s="42">
        <v>2.2999999999999998</v>
      </c>
      <c r="G258" s="45">
        <v>211</v>
      </c>
      <c r="H258" s="22">
        <v>1.9</v>
      </c>
      <c r="I258" s="6">
        <f t="shared" ref="I258:I321" si="4">(G258*E258)*F258*H258</f>
        <v>645.44899999999984</v>
      </c>
      <c r="J258" s="7" t="s">
        <v>88</v>
      </c>
    </row>
    <row r="259" spans="1:10" ht="13.95" customHeight="1" x14ac:dyDescent="0.3">
      <c r="A259" s="20">
        <v>45924</v>
      </c>
      <c r="B259" s="20" t="s">
        <v>3461</v>
      </c>
      <c r="C259" s="19" t="s">
        <v>5</v>
      </c>
      <c r="D259" s="19" t="s">
        <v>3325</v>
      </c>
      <c r="E259" s="4">
        <v>0.75</v>
      </c>
      <c r="F259" s="42">
        <v>2.35</v>
      </c>
      <c r="G259" s="45">
        <v>211</v>
      </c>
      <c r="H259" s="22">
        <v>1.9</v>
      </c>
      <c r="I259" s="6">
        <f t="shared" si="4"/>
        <v>706.58624999999995</v>
      </c>
      <c r="J259" s="7" t="s">
        <v>88</v>
      </c>
    </row>
    <row r="260" spans="1:10" ht="13.95" customHeight="1" x14ac:dyDescent="0.3">
      <c r="A260" s="20">
        <v>45925</v>
      </c>
      <c r="B260" s="20" t="s">
        <v>3461</v>
      </c>
      <c r="C260" s="19" t="s">
        <v>8</v>
      </c>
      <c r="D260" s="19" t="s">
        <v>3325</v>
      </c>
      <c r="E260" s="4">
        <v>0.75</v>
      </c>
      <c r="F260" s="42">
        <v>2.4500000000000002</v>
      </c>
      <c r="G260" s="45">
        <v>211</v>
      </c>
      <c r="H260" s="22">
        <v>1.9</v>
      </c>
      <c r="I260" s="6">
        <f t="shared" si="4"/>
        <v>736.65375000000006</v>
      </c>
      <c r="J260" s="7" t="s">
        <v>72</v>
      </c>
    </row>
    <row r="261" spans="1:10" ht="13.95" customHeight="1" x14ac:dyDescent="0.3">
      <c r="A261" s="20">
        <v>45926</v>
      </c>
      <c r="B261" s="20" t="s">
        <v>3461</v>
      </c>
      <c r="C261" s="19" t="s">
        <v>11</v>
      </c>
      <c r="D261" s="19" t="s">
        <v>2993</v>
      </c>
      <c r="E261" s="4">
        <v>0.85</v>
      </c>
      <c r="F261" s="42">
        <v>3.2</v>
      </c>
      <c r="G261" s="45">
        <v>211</v>
      </c>
      <c r="H261" s="22">
        <v>1.9</v>
      </c>
      <c r="I261" s="6">
        <f t="shared" si="4"/>
        <v>1090.4479999999999</v>
      </c>
      <c r="J261" s="7" t="s">
        <v>1971</v>
      </c>
    </row>
    <row r="262" spans="1:10" ht="13.95" customHeight="1" x14ac:dyDescent="0.3">
      <c r="A262" s="20">
        <v>45927</v>
      </c>
      <c r="B262" s="20" t="s">
        <v>3461</v>
      </c>
      <c r="C262" s="19" t="s">
        <v>13</v>
      </c>
      <c r="D262" s="19" t="s">
        <v>3304</v>
      </c>
      <c r="E262" s="4">
        <v>0.95</v>
      </c>
      <c r="F262" s="42">
        <v>4.1500000000000004</v>
      </c>
      <c r="G262" s="45">
        <v>211</v>
      </c>
      <c r="H262" s="22">
        <v>1.9</v>
      </c>
      <c r="I262" s="6">
        <f t="shared" si="4"/>
        <v>1580.5482500000001</v>
      </c>
      <c r="J262" s="7" t="s">
        <v>2009</v>
      </c>
    </row>
    <row r="263" spans="1:10" ht="13.95" customHeight="1" x14ac:dyDescent="0.3">
      <c r="A263" s="20">
        <v>45928</v>
      </c>
      <c r="B263" s="20" t="s">
        <v>3461</v>
      </c>
      <c r="C263" s="19" t="s">
        <v>16</v>
      </c>
      <c r="D263" s="19" t="s">
        <v>3098</v>
      </c>
      <c r="E263" s="4">
        <v>0.9</v>
      </c>
      <c r="F263" s="42">
        <v>3.45</v>
      </c>
      <c r="G263" s="45">
        <v>211</v>
      </c>
      <c r="H263" s="22">
        <v>1.9</v>
      </c>
      <c r="I263" s="6">
        <f t="shared" si="4"/>
        <v>1244.7945000000002</v>
      </c>
      <c r="J263" s="7" t="s">
        <v>3352</v>
      </c>
    </row>
    <row r="264" spans="1:10" ht="13.95" customHeight="1" x14ac:dyDescent="0.3">
      <c r="A264" s="20">
        <v>45929</v>
      </c>
      <c r="B264" s="20" t="s">
        <v>3461</v>
      </c>
      <c r="C264" s="19" t="s">
        <v>18</v>
      </c>
      <c r="D264" s="19" t="s">
        <v>3325</v>
      </c>
      <c r="E264" s="4">
        <v>0.65</v>
      </c>
      <c r="F264" s="42">
        <v>2.2999999999999998</v>
      </c>
      <c r="G264" s="45">
        <v>211</v>
      </c>
      <c r="H264" s="22">
        <v>1.9</v>
      </c>
      <c r="I264" s="6">
        <f t="shared" si="4"/>
        <v>599.34550000000002</v>
      </c>
      <c r="J264" s="7" t="s">
        <v>1628</v>
      </c>
    </row>
    <row r="265" spans="1:10" ht="13.95" customHeight="1" x14ac:dyDescent="0.3">
      <c r="A265" s="20">
        <v>45930</v>
      </c>
      <c r="B265" s="20" t="s">
        <v>3461</v>
      </c>
      <c r="C265" s="19" t="s">
        <v>20</v>
      </c>
      <c r="D265" s="19" t="s">
        <v>44</v>
      </c>
      <c r="E265" s="4">
        <v>0.65</v>
      </c>
      <c r="F265" s="42">
        <v>2.2999999999999998</v>
      </c>
      <c r="G265" s="45">
        <v>211</v>
      </c>
      <c r="H265" s="22">
        <v>1.9</v>
      </c>
      <c r="I265" s="6">
        <f t="shared" si="4"/>
        <v>599.34550000000002</v>
      </c>
      <c r="J265" s="7" t="s">
        <v>3428</v>
      </c>
    </row>
    <row r="266" spans="1:10" ht="13.95" customHeight="1" x14ac:dyDescent="0.3">
      <c r="A266" s="20">
        <v>45931</v>
      </c>
      <c r="B266" s="20" t="s">
        <v>3461</v>
      </c>
      <c r="C266" s="19" t="s">
        <v>5</v>
      </c>
      <c r="D266" s="19" t="s">
        <v>3325</v>
      </c>
      <c r="E266" s="4">
        <v>0.6</v>
      </c>
      <c r="F266" s="42">
        <v>2.2999999999999998</v>
      </c>
      <c r="G266" s="45">
        <v>211</v>
      </c>
      <c r="H266" s="22">
        <v>1.9</v>
      </c>
      <c r="I266" s="6">
        <f t="shared" si="4"/>
        <v>553.24199999999985</v>
      </c>
      <c r="J266" s="7" t="s">
        <v>3429</v>
      </c>
    </row>
    <row r="267" spans="1:10" ht="13.95" customHeight="1" x14ac:dyDescent="0.3">
      <c r="A267" s="20">
        <v>45932</v>
      </c>
      <c r="B267" s="20" t="s">
        <v>3461</v>
      </c>
      <c r="C267" s="19" t="s">
        <v>8</v>
      </c>
      <c r="D267" s="19" t="s">
        <v>3325</v>
      </c>
      <c r="E267" s="4">
        <v>0.6</v>
      </c>
      <c r="F267" s="42">
        <v>2.2999999999999998</v>
      </c>
      <c r="G267" s="45">
        <v>211</v>
      </c>
      <c r="H267" s="22">
        <v>1.9</v>
      </c>
      <c r="I267" s="6">
        <f t="shared" si="4"/>
        <v>553.24199999999985</v>
      </c>
      <c r="J267" s="7" t="s">
        <v>2931</v>
      </c>
    </row>
    <row r="268" spans="1:10" ht="13.95" customHeight="1" x14ac:dyDescent="0.3">
      <c r="A268" s="20">
        <v>45933</v>
      </c>
      <c r="B268" s="20" t="s">
        <v>3461</v>
      </c>
      <c r="C268" s="19" t="s">
        <v>11</v>
      </c>
      <c r="D268" s="19" t="s">
        <v>2993</v>
      </c>
      <c r="E268" s="4">
        <v>0.7</v>
      </c>
      <c r="F268" s="42">
        <v>2.8</v>
      </c>
      <c r="G268" s="45">
        <v>211</v>
      </c>
      <c r="H268" s="22">
        <v>1.9</v>
      </c>
      <c r="I268" s="6">
        <f t="shared" si="4"/>
        <v>785.7639999999999</v>
      </c>
      <c r="J268" s="7" t="s">
        <v>3430</v>
      </c>
    </row>
    <row r="269" spans="1:10" ht="13.95" customHeight="1" x14ac:dyDescent="0.3">
      <c r="A269" s="20">
        <v>45934</v>
      </c>
      <c r="B269" s="20" t="s">
        <v>3461</v>
      </c>
      <c r="C269" s="19" t="s">
        <v>13</v>
      </c>
      <c r="D269" s="19" t="s">
        <v>3304</v>
      </c>
      <c r="E269" s="4">
        <v>0.8</v>
      </c>
      <c r="F269" s="42">
        <v>3.9</v>
      </c>
      <c r="G269" s="45">
        <v>211</v>
      </c>
      <c r="H269" s="22">
        <v>1.9</v>
      </c>
      <c r="I269" s="6">
        <f t="shared" si="4"/>
        <v>1250.808</v>
      </c>
      <c r="J269" s="7" t="s">
        <v>3401</v>
      </c>
    </row>
    <row r="270" spans="1:10" ht="13.95" customHeight="1" x14ac:dyDescent="0.3">
      <c r="A270" s="20">
        <v>45935</v>
      </c>
      <c r="B270" s="20" t="s">
        <v>3461</v>
      </c>
      <c r="C270" s="19" t="s">
        <v>16</v>
      </c>
      <c r="D270" s="19" t="s">
        <v>3098</v>
      </c>
      <c r="E270" s="4">
        <v>0.75</v>
      </c>
      <c r="F270" s="42">
        <v>3.2</v>
      </c>
      <c r="G270" s="45">
        <v>211</v>
      </c>
      <c r="H270" s="22">
        <v>1.9</v>
      </c>
      <c r="I270" s="6">
        <f t="shared" si="4"/>
        <v>962.16</v>
      </c>
      <c r="J270" s="7" t="s">
        <v>3431</v>
      </c>
    </row>
    <row r="271" spans="1:10" ht="13.95" customHeight="1" x14ac:dyDescent="0.3">
      <c r="A271" s="20">
        <v>45936</v>
      </c>
      <c r="B271" s="20" t="s">
        <v>3461</v>
      </c>
      <c r="C271" s="19" t="s">
        <v>18</v>
      </c>
      <c r="D271" s="19" t="s">
        <v>3325</v>
      </c>
      <c r="E271" s="4">
        <v>0.55000000000000004</v>
      </c>
      <c r="F271" s="42">
        <v>2.25</v>
      </c>
      <c r="G271" s="45">
        <v>211</v>
      </c>
      <c r="H271" s="22">
        <v>1.9</v>
      </c>
      <c r="I271" s="6">
        <f t="shared" si="4"/>
        <v>496.11374999999998</v>
      </c>
      <c r="J271" s="7" t="s">
        <v>1628</v>
      </c>
    </row>
    <row r="272" spans="1:10" ht="13.95" customHeight="1" x14ac:dyDescent="0.3">
      <c r="A272" s="20">
        <v>45937</v>
      </c>
      <c r="B272" s="20" t="s">
        <v>3461</v>
      </c>
      <c r="C272" s="19" t="s">
        <v>20</v>
      </c>
      <c r="D272" s="19" t="s">
        <v>3325</v>
      </c>
      <c r="E272" s="4">
        <v>0.55000000000000004</v>
      </c>
      <c r="F272" s="42">
        <v>2.25</v>
      </c>
      <c r="G272" s="45">
        <v>211</v>
      </c>
      <c r="H272" s="22">
        <v>1.9</v>
      </c>
      <c r="I272" s="6">
        <f t="shared" si="4"/>
        <v>496.11374999999998</v>
      </c>
      <c r="J272" s="7" t="s">
        <v>88</v>
      </c>
    </row>
    <row r="273" spans="1:10" ht="13.95" customHeight="1" x14ac:dyDescent="0.3">
      <c r="A273" s="20">
        <v>45938</v>
      </c>
      <c r="B273" s="20" t="s">
        <v>3461</v>
      </c>
      <c r="C273" s="19" t="s">
        <v>5</v>
      </c>
      <c r="D273" s="19" t="s">
        <v>3325</v>
      </c>
      <c r="E273" s="4">
        <v>0.6</v>
      </c>
      <c r="F273" s="42">
        <v>2.2999999999999998</v>
      </c>
      <c r="G273" s="45">
        <v>211</v>
      </c>
      <c r="H273" s="22">
        <v>1.9</v>
      </c>
      <c r="I273" s="6">
        <f t="shared" si="4"/>
        <v>553.24199999999985</v>
      </c>
      <c r="J273" s="7" t="s">
        <v>88</v>
      </c>
    </row>
    <row r="274" spans="1:10" ht="13.95" customHeight="1" x14ac:dyDescent="0.3">
      <c r="A274" s="20">
        <v>45939</v>
      </c>
      <c r="B274" s="20" t="s">
        <v>3461</v>
      </c>
      <c r="C274" s="19" t="s">
        <v>8</v>
      </c>
      <c r="D274" s="19" t="s">
        <v>3325</v>
      </c>
      <c r="E274" s="4">
        <v>0.65</v>
      </c>
      <c r="F274" s="42">
        <v>2.35</v>
      </c>
      <c r="G274" s="45">
        <v>211</v>
      </c>
      <c r="H274" s="22">
        <v>1.9</v>
      </c>
      <c r="I274" s="6">
        <f t="shared" si="4"/>
        <v>612.37474999999995</v>
      </c>
      <c r="J274" s="7" t="s">
        <v>88</v>
      </c>
    </row>
    <row r="275" spans="1:10" ht="13.95" customHeight="1" x14ac:dyDescent="0.3">
      <c r="A275" s="20">
        <v>45940</v>
      </c>
      <c r="B275" s="20" t="s">
        <v>3461</v>
      </c>
      <c r="C275" s="19" t="s">
        <v>11</v>
      </c>
      <c r="D275" s="19" t="s">
        <v>2993</v>
      </c>
      <c r="E275" s="4">
        <v>0.75</v>
      </c>
      <c r="F275" s="42">
        <v>2.9</v>
      </c>
      <c r="G275" s="45">
        <v>211</v>
      </c>
      <c r="H275" s="22">
        <v>1.9</v>
      </c>
      <c r="I275" s="6">
        <f t="shared" si="4"/>
        <v>871.95749999999998</v>
      </c>
      <c r="J275" s="7" t="s">
        <v>2432</v>
      </c>
    </row>
    <row r="276" spans="1:10" ht="13.95" customHeight="1" x14ac:dyDescent="0.3">
      <c r="A276" s="20">
        <v>45941</v>
      </c>
      <c r="B276" s="20" t="s">
        <v>3461</v>
      </c>
      <c r="C276" s="19" t="s">
        <v>13</v>
      </c>
      <c r="D276" s="19" t="s">
        <v>3328</v>
      </c>
      <c r="E276" s="4">
        <v>0.85</v>
      </c>
      <c r="F276" s="42">
        <v>4.0999999999999996</v>
      </c>
      <c r="G276" s="45">
        <v>211</v>
      </c>
      <c r="H276" s="22">
        <v>1.9</v>
      </c>
      <c r="I276" s="6">
        <f t="shared" si="4"/>
        <v>1397.1364999999998</v>
      </c>
      <c r="J276" s="7" t="s">
        <v>3427</v>
      </c>
    </row>
    <row r="277" spans="1:10" ht="13.95" customHeight="1" x14ac:dyDescent="0.3">
      <c r="A277" s="20">
        <v>45942</v>
      </c>
      <c r="B277" s="20" t="s">
        <v>3461</v>
      </c>
      <c r="C277" s="19" t="s">
        <v>16</v>
      </c>
      <c r="D277" s="19" t="s">
        <v>3098</v>
      </c>
      <c r="E277" s="4">
        <v>0.8</v>
      </c>
      <c r="F277" s="42">
        <v>3.3</v>
      </c>
      <c r="G277" s="45">
        <v>211</v>
      </c>
      <c r="H277" s="22">
        <v>1.9</v>
      </c>
      <c r="I277" s="6">
        <f t="shared" si="4"/>
        <v>1058.376</v>
      </c>
      <c r="J277" s="7" t="s">
        <v>139</v>
      </c>
    </row>
    <row r="278" spans="1:10" ht="13.95" customHeight="1" x14ac:dyDescent="0.3">
      <c r="A278" s="20">
        <v>45943</v>
      </c>
      <c r="B278" s="20" t="s">
        <v>3461</v>
      </c>
      <c r="C278" s="19" t="s">
        <v>18</v>
      </c>
      <c r="D278" s="19" t="s">
        <v>3325</v>
      </c>
      <c r="E278" s="4">
        <v>0.6</v>
      </c>
      <c r="F278" s="42">
        <v>2.2999999999999998</v>
      </c>
      <c r="G278" s="45">
        <v>211</v>
      </c>
      <c r="H278" s="22">
        <v>1.9</v>
      </c>
      <c r="I278" s="6">
        <f t="shared" si="4"/>
        <v>553.24199999999985</v>
      </c>
      <c r="J278" s="7" t="s">
        <v>88</v>
      </c>
    </row>
    <row r="279" spans="1:10" ht="13.95" customHeight="1" x14ac:dyDescent="0.3">
      <c r="A279" s="20">
        <v>45944</v>
      </c>
      <c r="B279" s="20" t="s">
        <v>3461</v>
      </c>
      <c r="C279" s="19" t="s">
        <v>20</v>
      </c>
      <c r="D279" s="19" t="s">
        <v>994</v>
      </c>
      <c r="E279" s="4">
        <v>0.7</v>
      </c>
      <c r="F279" s="42">
        <v>2.7</v>
      </c>
      <c r="G279" s="45">
        <v>211</v>
      </c>
      <c r="H279" s="22">
        <v>1.9</v>
      </c>
      <c r="I279" s="6">
        <f t="shared" si="4"/>
        <v>757.70100000000002</v>
      </c>
      <c r="J279" s="7" t="s">
        <v>3414</v>
      </c>
    </row>
    <row r="280" spans="1:10" ht="13.95" customHeight="1" x14ac:dyDescent="0.3">
      <c r="A280" s="20">
        <v>45945</v>
      </c>
      <c r="B280" s="20" t="s">
        <v>3461</v>
      </c>
      <c r="C280" s="19" t="s">
        <v>5</v>
      </c>
      <c r="D280" s="19" t="s">
        <v>2691</v>
      </c>
      <c r="E280" s="4">
        <v>0.85</v>
      </c>
      <c r="F280" s="42">
        <v>3.8</v>
      </c>
      <c r="G280" s="45">
        <v>211</v>
      </c>
      <c r="H280" s="22">
        <v>1.9</v>
      </c>
      <c r="I280" s="6">
        <f t="shared" si="4"/>
        <v>1294.9069999999999</v>
      </c>
      <c r="J280" s="7" t="s">
        <v>1692</v>
      </c>
    </row>
    <row r="281" spans="1:10" ht="13.95" customHeight="1" x14ac:dyDescent="0.3">
      <c r="A281" s="20">
        <v>45946</v>
      </c>
      <c r="B281" s="20" t="s">
        <v>3461</v>
      </c>
      <c r="C281" s="19" t="s">
        <v>8</v>
      </c>
      <c r="D281" s="19" t="s">
        <v>3325</v>
      </c>
      <c r="E281" s="4">
        <v>0.6</v>
      </c>
      <c r="F281" s="42">
        <v>2.2999999999999998</v>
      </c>
      <c r="G281" s="45">
        <v>211</v>
      </c>
      <c r="H281" s="22">
        <v>1.9</v>
      </c>
      <c r="I281" s="6">
        <f t="shared" si="4"/>
        <v>553.24199999999985</v>
      </c>
      <c r="J281" s="7" t="s">
        <v>774</v>
      </c>
    </row>
    <row r="282" spans="1:10" ht="13.95" customHeight="1" x14ac:dyDescent="0.3">
      <c r="A282" s="20">
        <v>45947</v>
      </c>
      <c r="B282" s="20" t="s">
        <v>3461</v>
      </c>
      <c r="C282" s="19" t="s">
        <v>11</v>
      </c>
      <c r="D282" s="19" t="s">
        <v>2993</v>
      </c>
      <c r="E282" s="4">
        <v>0.7</v>
      </c>
      <c r="F282" s="42">
        <v>2.85</v>
      </c>
      <c r="G282" s="45">
        <v>211</v>
      </c>
      <c r="H282" s="22">
        <v>1.9</v>
      </c>
      <c r="I282" s="6">
        <f t="shared" si="4"/>
        <v>799.79549999999995</v>
      </c>
      <c r="J282" s="7" t="s">
        <v>390</v>
      </c>
    </row>
    <row r="283" spans="1:10" ht="13.95" customHeight="1" x14ac:dyDescent="0.3">
      <c r="A283" s="20">
        <v>45948</v>
      </c>
      <c r="B283" s="20" t="s">
        <v>3461</v>
      </c>
      <c r="C283" s="19" t="s">
        <v>13</v>
      </c>
      <c r="D283" s="19" t="s">
        <v>3306</v>
      </c>
      <c r="E283" s="4">
        <v>0.8</v>
      </c>
      <c r="F283" s="42">
        <v>3.95</v>
      </c>
      <c r="G283" s="45">
        <v>211</v>
      </c>
      <c r="H283" s="22">
        <v>1.9</v>
      </c>
      <c r="I283" s="6">
        <f t="shared" si="4"/>
        <v>1266.8440000000001</v>
      </c>
      <c r="J283" s="7" t="s">
        <v>2292</v>
      </c>
    </row>
    <row r="284" spans="1:10" ht="13.95" customHeight="1" x14ac:dyDescent="0.3">
      <c r="A284" s="20">
        <v>45949</v>
      </c>
      <c r="B284" s="20" t="s">
        <v>3461</v>
      </c>
      <c r="C284" s="19" t="s">
        <v>16</v>
      </c>
      <c r="D284" s="19" t="s">
        <v>3098</v>
      </c>
      <c r="E284" s="4">
        <v>0.75</v>
      </c>
      <c r="F284" s="42">
        <v>3.25</v>
      </c>
      <c r="G284" s="45">
        <v>211</v>
      </c>
      <c r="H284" s="22">
        <v>1.9</v>
      </c>
      <c r="I284" s="6">
        <f t="shared" si="4"/>
        <v>977.19374999999991</v>
      </c>
      <c r="J284" s="7" t="s">
        <v>88</v>
      </c>
    </row>
    <row r="285" spans="1:10" ht="13.95" customHeight="1" x14ac:dyDescent="0.3">
      <c r="A285" s="20">
        <v>45950</v>
      </c>
      <c r="B285" s="20" t="s">
        <v>3461</v>
      </c>
      <c r="C285" s="19" t="s">
        <v>18</v>
      </c>
      <c r="D285" s="19" t="s">
        <v>3325</v>
      </c>
      <c r="E285" s="4">
        <v>0.65</v>
      </c>
      <c r="F285" s="42">
        <v>2.2999999999999998</v>
      </c>
      <c r="G285" s="45">
        <v>211</v>
      </c>
      <c r="H285" s="22">
        <v>1.9</v>
      </c>
      <c r="I285" s="6">
        <f t="shared" si="4"/>
        <v>599.34550000000002</v>
      </c>
      <c r="J285" s="7" t="s">
        <v>3432</v>
      </c>
    </row>
    <row r="286" spans="1:10" ht="13.95" customHeight="1" x14ac:dyDescent="0.3">
      <c r="A286" s="20">
        <v>45951</v>
      </c>
      <c r="B286" s="20" t="s">
        <v>3461</v>
      </c>
      <c r="C286" s="19" t="s">
        <v>20</v>
      </c>
      <c r="D286" s="19" t="s">
        <v>2833</v>
      </c>
      <c r="E286" s="4">
        <v>0.7</v>
      </c>
      <c r="F286" s="42">
        <v>2.4</v>
      </c>
      <c r="G286" s="45">
        <v>211</v>
      </c>
      <c r="H286" s="22">
        <v>1.9</v>
      </c>
      <c r="I286" s="6">
        <f t="shared" si="4"/>
        <v>673.51199999999994</v>
      </c>
      <c r="J286" s="7" t="s">
        <v>3433</v>
      </c>
    </row>
    <row r="287" spans="1:10" ht="13.95" customHeight="1" x14ac:dyDescent="0.3">
      <c r="A287" s="20">
        <v>45952</v>
      </c>
      <c r="B287" s="20" t="s">
        <v>3461</v>
      </c>
      <c r="C287" s="19" t="s">
        <v>5</v>
      </c>
      <c r="D287" s="19" t="s">
        <v>2833</v>
      </c>
      <c r="E287" s="4">
        <v>0.75</v>
      </c>
      <c r="F287" s="42">
        <v>2.4500000000000002</v>
      </c>
      <c r="G287" s="45">
        <v>211</v>
      </c>
      <c r="H287" s="22">
        <v>1.9</v>
      </c>
      <c r="I287" s="6">
        <f t="shared" si="4"/>
        <v>736.65375000000006</v>
      </c>
      <c r="J287" s="7" t="s">
        <v>3434</v>
      </c>
    </row>
    <row r="288" spans="1:10" ht="13.95" customHeight="1" x14ac:dyDescent="0.3">
      <c r="A288" s="20">
        <v>45953</v>
      </c>
      <c r="B288" s="20" t="s">
        <v>3461</v>
      </c>
      <c r="C288" s="19" t="s">
        <v>8</v>
      </c>
      <c r="D288" s="19" t="s">
        <v>2833</v>
      </c>
      <c r="E288" s="4">
        <v>0.8</v>
      </c>
      <c r="F288" s="42">
        <v>2.5499999999999998</v>
      </c>
      <c r="G288" s="45">
        <v>211</v>
      </c>
      <c r="H288" s="22">
        <v>1.9</v>
      </c>
      <c r="I288" s="6">
        <f t="shared" si="4"/>
        <v>817.83600000000001</v>
      </c>
      <c r="J288" s="7" t="s">
        <v>2466</v>
      </c>
    </row>
    <row r="289" spans="1:10" ht="13.95" customHeight="1" x14ac:dyDescent="0.3">
      <c r="A289" s="20">
        <v>45954</v>
      </c>
      <c r="B289" s="20" t="s">
        <v>3461</v>
      </c>
      <c r="C289" s="19" t="s">
        <v>11</v>
      </c>
      <c r="D289" s="19" t="s">
        <v>1564</v>
      </c>
      <c r="E289" s="4">
        <v>0.9</v>
      </c>
      <c r="F289" s="42">
        <v>3.2</v>
      </c>
      <c r="G289" s="45">
        <v>211</v>
      </c>
      <c r="H289" s="22">
        <v>1.9</v>
      </c>
      <c r="I289" s="6">
        <f t="shared" si="4"/>
        <v>1154.5920000000001</v>
      </c>
      <c r="J289" s="7" t="s">
        <v>2654</v>
      </c>
    </row>
    <row r="290" spans="1:10" ht="13.95" customHeight="1" x14ac:dyDescent="0.3">
      <c r="A290" s="20">
        <v>45955</v>
      </c>
      <c r="B290" s="20" t="s">
        <v>3461</v>
      </c>
      <c r="C290" s="19" t="s">
        <v>13</v>
      </c>
      <c r="D290" s="19" t="s">
        <v>3151</v>
      </c>
      <c r="E290" s="4">
        <v>1</v>
      </c>
      <c r="F290" s="42">
        <v>4.3</v>
      </c>
      <c r="G290" s="45">
        <v>211</v>
      </c>
      <c r="H290" s="22">
        <v>1.9</v>
      </c>
      <c r="I290" s="6">
        <f t="shared" si="4"/>
        <v>1723.87</v>
      </c>
      <c r="J290" s="7" t="s">
        <v>3435</v>
      </c>
    </row>
    <row r="291" spans="1:10" ht="13.95" customHeight="1" x14ac:dyDescent="0.3">
      <c r="A291" s="20">
        <v>45956</v>
      </c>
      <c r="B291" s="20" t="s">
        <v>3461</v>
      </c>
      <c r="C291" s="19" t="s">
        <v>16</v>
      </c>
      <c r="D291" s="19" t="s">
        <v>3002</v>
      </c>
      <c r="E291" s="4">
        <v>0.95</v>
      </c>
      <c r="F291" s="42">
        <v>3.6</v>
      </c>
      <c r="G291" s="45">
        <v>211</v>
      </c>
      <c r="H291" s="22">
        <v>1.9</v>
      </c>
      <c r="I291" s="6">
        <f t="shared" si="4"/>
        <v>1371.078</v>
      </c>
      <c r="J291" s="7" t="s">
        <v>512</v>
      </c>
    </row>
    <row r="292" spans="1:10" ht="13.95" customHeight="1" x14ac:dyDescent="0.3">
      <c r="A292" s="20">
        <v>45957</v>
      </c>
      <c r="B292" s="20" t="s">
        <v>3461</v>
      </c>
      <c r="C292" s="19" t="s">
        <v>18</v>
      </c>
      <c r="D292" s="19" t="s">
        <v>2833</v>
      </c>
      <c r="E292" s="4">
        <v>0.85</v>
      </c>
      <c r="F292" s="42">
        <v>2.6</v>
      </c>
      <c r="G292" s="45">
        <v>211</v>
      </c>
      <c r="H292" s="22">
        <v>1.9</v>
      </c>
      <c r="I292" s="6">
        <f t="shared" si="4"/>
        <v>885.98899999999992</v>
      </c>
      <c r="J292" s="7" t="s">
        <v>3436</v>
      </c>
    </row>
    <row r="293" spans="1:10" ht="13.95" customHeight="1" x14ac:dyDescent="0.3">
      <c r="A293" s="20">
        <v>45958</v>
      </c>
      <c r="B293" s="20" t="s">
        <v>3461</v>
      </c>
      <c r="C293" s="19" t="s">
        <v>20</v>
      </c>
      <c r="D293" s="19" t="s">
        <v>2833</v>
      </c>
      <c r="E293" s="4">
        <v>0.85</v>
      </c>
      <c r="F293" s="42">
        <v>2.6</v>
      </c>
      <c r="G293" s="45">
        <v>211</v>
      </c>
      <c r="H293" s="22">
        <v>1.9</v>
      </c>
      <c r="I293" s="6">
        <f t="shared" si="4"/>
        <v>885.98899999999992</v>
      </c>
      <c r="J293" s="7" t="s">
        <v>88</v>
      </c>
    </row>
    <row r="294" spans="1:10" ht="13.95" customHeight="1" x14ac:dyDescent="0.3">
      <c r="A294" s="20">
        <v>45959</v>
      </c>
      <c r="B294" s="20" t="s">
        <v>3461</v>
      </c>
      <c r="C294" s="19" t="s">
        <v>5</v>
      </c>
      <c r="D294" s="19" t="s">
        <v>2833</v>
      </c>
      <c r="E294" s="4">
        <v>0.9</v>
      </c>
      <c r="F294" s="42">
        <v>2.7</v>
      </c>
      <c r="G294" s="45">
        <v>211</v>
      </c>
      <c r="H294" s="22">
        <v>1.9</v>
      </c>
      <c r="I294" s="6">
        <f t="shared" si="4"/>
        <v>974.18700000000001</v>
      </c>
      <c r="J294" s="7" t="s">
        <v>88</v>
      </c>
    </row>
    <row r="295" spans="1:10" ht="13.95" customHeight="1" x14ac:dyDescent="0.3">
      <c r="A295" s="20">
        <v>45960</v>
      </c>
      <c r="B295" s="20" t="s">
        <v>3461</v>
      </c>
      <c r="C295" s="19" t="s">
        <v>8</v>
      </c>
      <c r="D295" s="19" t="s">
        <v>1465</v>
      </c>
      <c r="E295" s="4">
        <v>0.95</v>
      </c>
      <c r="F295" s="42">
        <v>3.1</v>
      </c>
      <c r="G295" s="45">
        <v>211</v>
      </c>
      <c r="H295" s="22">
        <v>1.9</v>
      </c>
      <c r="I295" s="6">
        <f t="shared" si="4"/>
        <v>1180.6505</v>
      </c>
      <c r="J295" s="7" t="s">
        <v>531</v>
      </c>
    </row>
    <row r="296" spans="1:10" ht="13.95" customHeight="1" x14ac:dyDescent="0.3">
      <c r="A296" s="20">
        <v>45961</v>
      </c>
      <c r="B296" s="20" t="s">
        <v>3461</v>
      </c>
      <c r="C296" s="19" t="s">
        <v>11</v>
      </c>
      <c r="D296" s="19" t="s">
        <v>3437</v>
      </c>
      <c r="E296" s="4">
        <v>1</v>
      </c>
      <c r="F296" s="42">
        <v>4.9000000000000004</v>
      </c>
      <c r="G296" s="45">
        <v>211</v>
      </c>
      <c r="H296" s="22">
        <v>1.9</v>
      </c>
      <c r="I296" s="6">
        <f t="shared" si="4"/>
        <v>1964.41</v>
      </c>
      <c r="J296" s="7" t="s">
        <v>3438</v>
      </c>
    </row>
    <row r="297" spans="1:10" ht="13.95" customHeight="1" x14ac:dyDescent="0.3">
      <c r="A297" s="20">
        <v>45962</v>
      </c>
      <c r="B297" s="20" t="s">
        <v>3461</v>
      </c>
      <c r="C297" s="19" t="s">
        <v>13</v>
      </c>
      <c r="D297" s="19" t="s">
        <v>3439</v>
      </c>
      <c r="E297" s="4">
        <v>0.8</v>
      </c>
      <c r="F297" s="42">
        <v>3.8</v>
      </c>
      <c r="G297" s="45">
        <v>211</v>
      </c>
      <c r="H297" s="22">
        <v>1.8</v>
      </c>
      <c r="I297" s="6">
        <f t="shared" si="4"/>
        <v>1154.5920000000001</v>
      </c>
      <c r="J297" s="7" t="s">
        <v>3440</v>
      </c>
    </row>
    <row r="298" spans="1:10" ht="13.95" customHeight="1" x14ac:dyDescent="0.3">
      <c r="A298" s="20">
        <v>45963</v>
      </c>
      <c r="B298" s="20" t="s">
        <v>3461</v>
      </c>
      <c r="C298" s="19" t="s">
        <v>16</v>
      </c>
      <c r="D298" s="19" t="s">
        <v>3098</v>
      </c>
      <c r="E298" s="4">
        <v>0.7</v>
      </c>
      <c r="F298" s="42">
        <v>3.2</v>
      </c>
      <c r="G298" s="45">
        <v>211</v>
      </c>
      <c r="H298" s="22">
        <v>1.8</v>
      </c>
      <c r="I298" s="6">
        <f t="shared" si="4"/>
        <v>850.75199999999995</v>
      </c>
      <c r="J298" s="7" t="s">
        <v>3441</v>
      </c>
    </row>
    <row r="299" spans="1:10" ht="13.95" customHeight="1" x14ac:dyDescent="0.3">
      <c r="A299" s="20">
        <v>45964</v>
      </c>
      <c r="B299" s="20" t="s">
        <v>3461</v>
      </c>
      <c r="C299" s="19" t="s">
        <v>18</v>
      </c>
      <c r="D299" s="19" t="s">
        <v>3325</v>
      </c>
      <c r="E299" s="4">
        <v>0.35</v>
      </c>
      <c r="F299" s="42">
        <v>2.2000000000000002</v>
      </c>
      <c r="G299" s="45">
        <v>211</v>
      </c>
      <c r="H299" s="22">
        <v>1.8</v>
      </c>
      <c r="I299" s="6">
        <f t="shared" si="4"/>
        <v>292.44600000000003</v>
      </c>
      <c r="J299" s="7" t="s">
        <v>3442</v>
      </c>
    </row>
    <row r="300" spans="1:10" ht="13.95" customHeight="1" x14ac:dyDescent="0.3">
      <c r="A300" s="20">
        <v>45965</v>
      </c>
      <c r="B300" s="20" t="s">
        <v>3461</v>
      </c>
      <c r="C300" s="19" t="s">
        <v>20</v>
      </c>
      <c r="D300" s="19" t="s">
        <v>3325</v>
      </c>
      <c r="E300" s="4">
        <v>0.35</v>
      </c>
      <c r="F300" s="42">
        <v>2.2000000000000002</v>
      </c>
      <c r="G300" s="45">
        <v>211</v>
      </c>
      <c r="H300" s="22">
        <v>1.8</v>
      </c>
      <c r="I300" s="6">
        <f t="shared" si="4"/>
        <v>292.44600000000003</v>
      </c>
      <c r="J300" s="7" t="s">
        <v>2501</v>
      </c>
    </row>
    <row r="301" spans="1:10" ht="13.95" customHeight="1" x14ac:dyDescent="0.3">
      <c r="A301" s="20">
        <v>45966</v>
      </c>
      <c r="B301" s="20" t="s">
        <v>3461</v>
      </c>
      <c r="C301" s="19" t="s">
        <v>5</v>
      </c>
      <c r="D301" s="19" t="s">
        <v>3325</v>
      </c>
      <c r="E301" s="4">
        <v>0.35</v>
      </c>
      <c r="F301" s="42">
        <v>2.2000000000000002</v>
      </c>
      <c r="G301" s="45">
        <v>211</v>
      </c>
      <c r="H301" s="22">
        <v>1.8</v>
      </c>
      <c r="I301" s="6">
        <f t="shared" si="4"/>
        <v>292.44600000000003</v>
      </c>
      <c r="J301" s="7" t="s">
        <v>88</v>
      </c>
    </row>
    <row r="302" spans="1:10" ht="13.95" customHeight="1" x14ac:dyDescent="0.3">
      <c r="A302" s="20">
        <v>45967</v>
      </c>
      <c r="B302" s="20" t="s">
        <v>3461</v>
      </c>
      <c r="C302" s="19" t="s">
        <v>8</v>
      </c>
      <c r="D302" s="19" t="s">
        <v>3325</v>
      </c>
      <c r="E302" s="4">
        <v>0.4</v>
      </c>
      <c r="F302" s="42">
        <v>2.25</v>
      </c>
      <c r="G302" s="45">
        <v>211</v>
      </c>
      <c r="H302" s="22">
        <v>1.8</v>
      </c>
      <c r="I302" s="6">
        <f t="shared" si="4"/>
        <v>341.82</v>
      </c>
      <c r="J302" s="7" t="s">
        <v>3080</v>
      </c>
    </row>
    <row r="303" spans="1:10" ht="13.95" customHeight="1" x14ac:dyDescent="0.3">
      <c r="A303" s="20">
        <v>45968</v>
      </c>
      <c r="B303" s="20" t="s">
        <v>3461</v>
      </c>
      <c r="C303" s="19" t="s">
        <v>11</v>
      </c>
      <c r="D303" s="19" t="s">
        <v>2993</v>
      </c>
      <c r="E303" s="4">
        <v>0.5</v>
      </c>
      <c r="F303" s="42">
        <v>2.6</v>
      </c>
      <c r="G303" s="45">
        <v>211</v>
      </c>
      <c r="H303" s="22">
        <v>1.8</v>
      </c>
      <c r="I303" s="6">
        <f t="shared" si="4"/>
        <v>493.74</v>
      </c>
      <c r="J303" s="7" t="s">
        <v>3443</v>
      </c>
    </row>
    <row r="304" spans="1:10" ht="13.95" customHeight="1" x14ac:dyDescent="0.3">
      <c r="A304" s="20">
        <v>45969</v>
      </c>
      <c r="B304" s="20" t="s">
        <v>3461</v>
      </c>
      <c r="C304" s="19" t="s">
        <v>13</v>
      </c>
      <c r="D304" s="19" t="s">
        <v>3333</v>
      </c>
      <c r="E304" s="4">
        <v>0.6</v>
      </c>
      <c r="F304" s="42">
        <v>3.35</v>
      </c>
      <c r="G304" s="45">
        <v>211</v>
      </c>
      <c r="H304" s="22">
        <v>1.8</v>
      </c>
      <c r="I304" s="6">
        <f t="shared" si="4"/>
        <v>763.39800000000002</v>
      </c>
      <c r="J304" s="7" t="s">
        <v>2292</v>
      </c>
    </row>
    <row r="305" spans="1:10" ht="13.95" customHeight="1" x14ac:dyDescent="0.3">
      <c r="A305" s="20">
        <v>45970</v>
      </c>
      <c r="B305" s="20" t="s">
        <v>3461</v>
      </c>
      <c r="C305" s="19" t="s">
        <v>16</v>
      </c>
      <c r="D305" s="19" t="s">
        <v>3323</v>
      </c>
      <c r="E305" s="4">
        <v>0.55000000000000004</v>
      </c>
      <c r="F305" s="42">
        <v>2.8</v>
      </c>
      <c r="G305" s="45">
        <v>211</v>
      </c>
      <c r="H305" s="22">
        <v>1.8</v>
      </c>
      <c r="I305" s="6">
        <f t="shared" si="4"/>
        <v>584.89200000000005</v>
      </c>
      <c r="J305" s="7" t="s">
        <v>3337</v>
      </c>
    </row>
    <row r="306" spans="1:10" ht="13.95" customHeight="1" x14ac:dyDescent="0.3">
      <c r="A306" s="20">
        <v>45971</v>
      </c>
      <c r="B306" s="20" t="s">
        <v>3461</v>
      </c>
      <c r="C306" s="19" t="s">
        <v>18</v>
      </c>
      <c r="D306" s="19" t="s">
        <v>3325</v>
      </c>
      <c r="E306" s="4">
        <v>0.3</v>
      </c>
      <c r="F306" s="42">
        <v>2.15</v>
      </c>
      <c r="G306" s="45">
        <v>211</v>
      </c>
      <c r="H306" s="22">
        <v>1.8</v>
      </c>
      <c r="I306" s="6">
        <f t="shared" si="4"/>
        <v>244.971</v>
      </c>
      <c r="J306" s="7" t="s">
        <v>3444</v>
      </c>
    </row>
    <row r="307" spans="1:10" ht="13.95" customHeight="1" x14ac:dyDescent="0.3">
      <c r="A307" s="20">
        <v>45972</v>
      </c>
      <c r="B307" s="20" t="s">
        <v>3461</v>
      </c>
      <c r="C307" s="19" t="s">
        <v>20</v>
      </c>
      <c r="D307" s="19" t="s">
        <v>3325</v>
      </c>
      <c r="E307" s="4">
        <v>0.3</v>
      </c>
      <c r="F307" s="42">
        <v>2.15</v>
      </c>
      <c r="G307" s="45">
        <v>211</v>
      </c>
      <c r="H307" s="22">
        <v>1.8</v>
      </c>
      <c r="I307" s="6">
        <f t="shared" si="4"/>
        <v>244.971</v>
      </c>
      <c r="J307" s="7" t="s">
        <v>88</v>
      </c>
    </row>
    <row r="308" spans="1:10" ht="13.95" customHeight="1" x14ac:dyDescent="0.3">
      <c r="A308" s="20">
        <v>45973</v>
      </c>
      <c r="B308" s="20" t="s">
        <v>3461</v>
      </c>
      <c r="C308" s="19" t="s">
        <v>5</v>
      </c>
      <c r="D308" s="19" t="s">
        <v>3325</v>
      </c>
      <c r="E308" s="4">
        <v>0.35</v>
      </c>
      <c r="F308" s="42">
        <v>2.15</v>
      </c>
      <c r="G308" s="45">
        <v>211</v>
      </c>
      <c r="H308" s="22">
        <v>1.8</v>
      </c>
      <c r="I308" s="6">
        <f t="shared" si="4"/>
        <v>285.79949999999997</v>
      </c>
      <c r="J308" s="7" t="s">
        <v>88</v>
      </c>
    </row>
    <row r="309" spans="1:10" ht="13.95" customHeight="1" x14ac:dyDescent="0.3">
      <c r="A309" s="20">
        <v>45974</v>
      </c>
      <c r="B309" s="20" t="s">
        <v>3461</v>
      </c>
      <c r="C309" s="19" t="s">
        <v>8</v>
      </c>
      <c r="D309" s="19" t="s">
        <v>3325</v>
      </c>
      <c r="E309" s="4">
        <v>0.35</v>
      </c>
      <c r="F309" s="42">
        <v>2.2000000000000002</v>
      </c>
      <c r="G309" s="45">
        <v>211</v>
      </c>
      <c r="H309" s="22">
        <v>1.8</v>
      </c>
      <c r="I309" s="6">
        <f t="shared" si="4"/>
        <v>292.44600000000003</v>
      </c>
      <c r="J309" s="7" t="s">
        <v>88</v>
      </c>
    </row>
    <row r="310" spans="1:10" ht="13.95" customHeight="1" x14ac:dyDescent="0.3">
      <c r="A310" s="20">
        <v>45975</v>
      </c>
      <c r="B310" s="20" t="s">
        <v>3461</v>
      </c>
      <c r="C310" s="19" t="s">
        <v>11</v>
      </c>
      <c r="D310" s="19" t="s">
        <v>2993</v>
      </c>
      <c r="E310" s="4">
        <v>0.45</v>
      </c>
      <c r="F310" s="42">
        <v>2.65</v>
      </c>
      <c r="G310" s="45">
        <v>211</v>
      </c>
      <c r="H310" s="22">
        <v>1.8</v>
      </c>
      <c r="I310" s="6">
        <f t="shared" si="4"/>
        <v>452.91150000000005</v>
      </c>
      <c r="J310" s="7" t="s">
        <v>503</v>
      </c>
    </row>
    <row r="311" spans="1:10" ht="13.95" customHeight="1" x14ac:dyDescent="0.3">
      <c r="A311" s="20">
        <v>45976</v>
      </c>
      <c r="B311" s="20" t="s">
        <v>3461</v>
      </c>
      <c r="C311" s="19" t="s">
        <v>13</v>
      </c>
      <c r="D311" s="19" t="s">
        <v>3156</v>
      </c>
      <c r="E311" s="4">
        <v>0.55000000000000004</v>
      </c>
      <c r="F311" s="42">
        <v>3.45</v>
      </c>
      <c r="G311" s="45">
        <v>211</v>
      </c>
      <c r="H311" s="22">
        <v>1.8</v>
      </c>
      <c r="I311" s="6">
        <f t="shared" si="4"/>
        <v>720.67050000000017</v>
      </c>
      <c r="J311" s="7" t="s">
        <v>3445</v>
      </c>
    </row>
    <row r="312" spans="1:10" ht="13.95" customHeight="1" x14ac:dyDescent="0.3">
      <c r="A312" s="20">
        <v>45977</v>
      </c>
      <c r="B312" s="20" t="s">
        <v>3461</v>
      </c>
      <c r="C312" s="19" t="s">
        <v>16</v>
      </c>
      <c r="D312" s="19" t="s">
        <v>3323</v>
      </c>
      <c r="E312" s="4">
        <v>0.5</v>
      </c>
      <c r="F312" s="42">
        <v>2.8</v>
      </c>
      <c r="G312" s="45">
        <v>211</v>
      </c>
      <c r="H312" s="22">
        <v>1.8</v>
      </c>
      <c r="I312" s="6">
        <f t="shared" si="4"/>
        <v>531.72</v>
      </c>
      <c r="J312" s="7" t="s">
        <v>3313</v>
      </c>
    </row>
    <row r="313" spans="1:10" ht="13.95" customHeight="1" x14ac:dyDescent="0.3">
      <c r="A313" s="20">
        <v>45978</v>
      </c>
      <c r="B313" s="20" t="s">
        <v>3461</v>
      </c>
      <c r="C313" s="19" t="s">
        <v>18</v>
      </c>
      <c r="D313" s="19" t="s">
        <v>3325</v>
      </c>
      <c r="E313" s="4">
        <v>0.3</v>
      </c>
      <c r="F313" s="42">
        <v>2.1</v>
      </c>
      <c r="G313" s="45">
        <v>211</v>
      </c>
      <c r="H313" s="22">
        <v>1.8</v>
      </c>
      <c r="I313" s="6">
        <f t="shared" si="4"/>
        <v>239.27400000000003</v>
      </c>
      <c r="J313" s="7" t="s">
        <v>2373</v>
      </c>
    </row>
    <row r="314" spans="1:10" ht="13.95" customHeight="1" x14ac:dyDescent="0.3">
      <c r="A314" s="20">
        <v>45979</v>
      </c>
      <c r="B314" s="20" t="s">
        <v>3461</v>
      </c>
      <c r="C314" s="19" t="s">
        <v>20</v>
      </c>
      <c r="D314" s="19" t="s">
        <v>3325</v>
      </c>
      <c r="E314" s="4">
        <v>0.3</v>
      </c>
      <c r="F314" s="42">
        <v>2.1</v>
      </c>
      <c r="G314" s="45">
        <v>211</v>
      </c>
      <c r="H314" s="22">
        <v>1.8</v>
      </c>
      <c r="I314" s="6">
        <f t="shared" si="4"/>
        <v>239.27400000000003</v>
      </c>
      <c r="J314" s="7" t="s">
        <v>88</v>
      </c>
    </row>
    <row r="315" spans="1:10" ht="13.95" customHeight="1" x14ac:dyDescent="0.3">
      <c r="A315" s="20">
        <v>45980</v>
      </c>
      <c r="B315" s="20" t="s">
        <v>3461</v>
      </c>
      <c r="C315" s="19" t="s">
        <v>5</v>
      </c>
      <c r="D315" s="19" t="s">
        <v>3325</v>
      </c>
      <c r="E315" s="4">
        <v>0.3</v>
      </c>
      <c r="F315" s="42">
        <v>2.1</v>
      </c>
      <c r="G315" s="45">
        <v>211</v>
      </c>
      <c r="H315" s="22">
        <v>1.8</v>
      </c>
      <c r="I315" s="6">
        <f t="shared" si="4"/>
        <v>239.27400000000003</v>
      </c>
      <c r="J315" s="7" t="s">
        <v>88</v>
      </c>
    </row>
    <row r="316" spans="1:10" ht="13.95" customHeight="1" x14ac:dyDescent="0.3">
      <c r="A316" s="20">
        <v>45981</v>
      </c>
      <c r="B316" s="20" t="s">
        <v>3461</v>
      </c>
      <c r="C316" s="19" t="s">
        <v>8</v>
      </c>
      <c r="D316" s="19" t="s">
        <v>3325</v>
      </c>
      <c r="E316" s="4">
        <v>0.35</v>
      </c>
      <c r="F316" s="42">
        <v>2.15</v>
      </c>
      <c r="G316" s="45">
        <v>211</v>
      </c>
      <c r="H316" s="22">
        <v>1.8</v>
      </c>
      <c r="I316" s="6">
        <f t="shared" si="4"/>
        <v>285.79949999999997</v>
      </c>
      <c r="J316" s="7" t="s">
        <v>88</v>
      </c>
    </row>
    <row r="317" spans="1:10" ht="13.95" customHeight="1" x14ac:dyDescent="0.3">
      <c r="A317" s="20">
        <v>45982</v>
      </c>
      <c r="B317" s="20" t="s">
        <v>3461</v>
      </c>
      <c r="C317" s="19" t="s">
        <v>11</v>
      </c>
      <c r="D317" s="19" t="s">
        <v>2993</v>
      </c>
      <c r="E317" s="4">
        <v>0.45</v>
      </c>
      <c r="F317" s="42">
        <v>2.6</v>
      </c>
      <c r="G317" s="45">
        <v>211</v>
      </c>
      <c r="H317" s="22">
        <v>1.8</v>
      </c>
      <c r="I317" s="6">
        <f t="shared" si="4"/>
        <v>444.36600000000004</v>
      </c>
      <c r="J317" s="7" t="s">
        <v>67</v>
      </c>
    </row>
    <row r="318" spans="1:10" ht="13.95" customHeight="1" x14ac:dyDescent="0.3">
      <c r="A318" s="20">
        <v>45983</v>
      </c>
      <c r="B318" s="20" t="s">
        <v>3461</v>
      </c>
      <c r="C318" s="19" t="s">
        <v>13</v>
      </c>
      <c r="D318" s="19" t="s">
        <v>3328</v>
      </c>
      <c r="E318" s="4">
        <v>0.55000000000000004</v>
      </c>
      <c r="F318" s="42">
        <v>3.4</v>
      </c>
      <c r="G318" s="45">
        <v>211</v>
      </c>
      <c r="H318" s="22">
        <v>1.8</v>
      </c>
      <c r="I318" s="6">
        <f t="shared" si="4"/>
        <v>710.22600000000011</v>
      </c>
      <c r="J318" s="7" t="s">
        <v>3446</v>
      </c>
    </row>
    <row r="319" spans="1:10" ht="13.95" customHeight="1" x14ac:dyDescent="0.3">
      <c r="A319" s="20">
        <v>45984</v>
      </c>
      <c r="B319" s="20" t="s">
        <v>3461</v>
      </c>
      <c r="C319" s="19" t="s">
        <v>16</v>
      </c>
      <c r="D319" s="19" t="s">
        <v>3323</v>
      </c>
      <c r="E319" s="4">
        <v>0.5</v>
      </c>
      <c r="F319" s="42">
        <v>2.75</v>
      </c>
      <c r="G319" s="45">
        <v>211</v>
      </c>
      <c r="H319" s="22">
        <v>1.8</v>
      </c>
      <c r="I319" s="6">
        <f t="shared" si="4"/>
        <v>522.22500000000002</v>
      </c>
      <c r="J319" s="7" t="s">
        <v>3330</v>
      </c>
    </row>
    <row r="320" spans="1:10" ht="13.95" customHeight="1" x14ac:dyDescent="0.3">
      <c r="A320" s="20">
        <v>45985</v>
      </c>
      <c r="B320" s="20" t="s">
        <v>3461</v>
      </c>
      <c r="C320" s="19" t="s">
        <v>18</v>
      </c>
      <c r="D320" s="19" t="s">
        <v>3325</v>
      </c>
      <c r="E320" s="4">
        <v>0.3</v>
      </c>
      <c r="F320" s="42">
        <v>2.1</v>
      </c>
      <c r="G320" s="45">
        <v>211</v>
      </c>
      <c r="H320" s="22">
        <v>1.8</v>
      </c>
      <c r="I320" s="6">
        <f t="shared" si="4"/>
        <v>239.27400000000003</v>
      </c>
      <c r="J320" s="7" t="s">
        <v>3447</v>
      </c>
    </row>
    <row r="321" spans="1:10" ht="13.95" customHeight="1" x14ac:dyDescent="0.3">
      <c r="A321" s="20">
        <v>45986</v>
      </c>
      <c r="B321" s="20" t="s">
        <v>3461</v>
      </c>
      <c r="C321" s="19" t="s">
        <v>20</v>
      </c>
      <c r="D321" s="19" t="s">
        <v>3325</v>
      </c>
      <c r="E321" s="4">
        <v>0.3</v>
      </c>
      <c r="F321" s="42">
        <v>2.1</v>
      </c>
      <c r="G321" s="45">
        <v>211</v>
      </c>
      <c r="H321" s="22">
        <v>1.8</v>
      </c>
      <c r="I321" s="6">
        <f t="shared" si="4"/>
        <v>239.27400000000003</v>
      </c>
      <c r="J321" s="7" t="s">
        <v>88</v>
      </c>
    </row>
    <row r="322" spans="1:10" ht="13.95" customHeight="1" x14ac:dyDescent="0.3">
      <c r="A322" s="20">
        <v>45987</v>
      </c>
      <c r="B322" s="20" t="s">
        <v>3461</v>
      </c>
      <c r="C322" s="19" t="s">
        <v>5</v>
      </c>
      <c r="D322" s="19" t="s">
        <v>3325</v>
      </c>
      <c r="E322" s="4">
        <v>0.35</v>
      </c>
      <c r="F322" s="42">
        <v>2.15</v>
      </c>
      <c r="G322" s="45">
        <v>211</v>
      </c>
      <c r="H322" s="22">
        <v>1.8</v>
      </c>
      <c r="I322" s="6">
        <f t="shared" ref="I322:I357" si="5">(G322*E322)*F322*H322</f>
        <v>285.79949999999997</v>
      </c>
      <c r="J322" s="7" t="s">
        <v>88</v>
      </c>
    </row>
    <row r="323" spans="1:10" ht="13.95" customHeight="1" x14ac:dyDescent="0.3">
      <c r="A323" s="20">
        <v>45988</v>
      </c>
      <c r="B323" s="20" t="s">
        <v>3461</v>
      </c>
      <c r="C323" s="19" t="s">
        <v>8</v>
      </c>
      <c r="D323" s="19" t="s">
        <v>3325</v>
      </c>
      <c r="E323" s="4">
        <v>0.4</v>
      </c>
      <c r="F323" s="42">
        <v>2.2000000000000002</v>
      </c>
      <c r="G323" s="45">
        <v>211</v>
      </c>
      <c r="H323" s="22">
        <v>1.8</v>
      </c>
      <c r="I323" s="6">
        <f t="shared" si="5"/>
        <v>334.22400000000005</v>
      </c>
      <c r="J323" s="7" t="s">
        <v>72</v>
      </c>
    </row>
    <row r="324" spans="1:10" ht="13.95" customHeight="1" x14ac:dyDescent="0.3">
      <c r="A324" s="20">
        <v>45989</v>
      </c>
      <c r="B324" s="20" t="s">
        <v>3461</v>
      </c>
      <c r="C324" s="19" t="s">
        <v>11</v>
      </c>
      <c r="D324" s="19" t="s">
        <v>2993</v>
      </c>
      <c r="E324" s="4">
        <v>0.5</v>
      </c>
      <c r="F324" s="42">
        <v>2.7</v>
      </c>
      <c r="G324" s="45">
        <v>211</v>
      </c>
      <c r="H324" s="22">
        <v>1.8</v>
      </c>
      <c r="I324" s="6">
        <f t="shared" si="5"/>
        <v>512.73</v>
      </c>
      <c r="J324" s="7" t="s">
        <v>390</v>
      </c>
    </row>
    <row r="325" spans="1:10" ht="13.95" customHeight="1" x14ac:dyDescent="0.3">
      <c r="A325" s="20">
        <v>45990</v>
      </c>
      <c r="B325" s="20" t="s">
        <v>3461</v>
      </c>
      <c r="C325" s="19" t="s">
        <v>13</v>
      </c>
      <c r="D325" s="19" t="s">
        <v>3304</v>
      </c>
      <c r="E325" s="4">
        <v>0.6</v>
      </c>
      <c r="F325" s="42">
        <v>3.4</v>
      </c>
      <c r="G325" s="45">
        <v>211</v>
      </c>
      <c r="H325" s="22">
        <v>1.8</v>
      </c>
      <c r="I325" s="6">
        <f t="shared" si="5"/>
        <v>774.79200000000003</v>
      </c>
      <c r="J325" s="7" t="s">
        <v>2510</v>
      </c>
    </row>
    <row r="326" spans="1:10" ht="13.95" customHeight="1" x14ac:dyDescent="0.3">
      <c r="A326" s="20">
        <v>45991</v>
      </c>
      <c r="B326" s="20" t="s">
        <v>3461</v>
      </c>
      <c r="C326" s="19" t="s">
        <v>16</v>
      </c>
      <c r="D326" s="19" t="s">
        <v>3098</v>
      </c>
      <c r="E326" s="4">
        <v>0.55000000000000004</v>
      </c>
      <c r="F326" s="42">
        <v>3</v>
      </c>
      <c r="G326" s="45">
        <v>211</v>
      </c>
      <c r="H326" s="22">
        <v>1.8</v>
      </c>
      <c r="I326" s="6">
        <f t="shared" si="5"/>
        <v>626.67000000000007</v>
      </c>
      <c r="J326" s="7" t="s">
        <v>3022</v>
      </c>
    </row>
    <row r="327" spans="1:10" ht="13.95" customHeight="1" x14ac:dyDescent="0.3">
      <c r="A327" s="20">
        <v>45992</v>
      </c>
      <c r="B327" s="20" t="s">
        <v>3461</v>
      </c>
      <c r="C327" s="19" t="s">
        <v>18</v>
      </c>
      <c r="D327" s="19" t="s">
        <v>3325</v>
      </c>
      <c r="E327" s="4">
        <v>0.35</v>
      </c>
      <c r="F327" s="42">
        <v>2.2000000000000002</v>
      </c>
      <c r="G327" s="45">
        <v>211</v>
      </c>
      <c r="H327" s="22">
        <v>1.9</v>
      </c>
      <c r="I327" s="6">
        <f t="shared" si="5"/>
        <v>308.69299999999998</v>
      </c>
      <c r="J327" s="7" t="s">
        <v>1601</v>
      </c>
    </row>
    <row r="328" spans="1:10" ht="13.95" customHeight="1" x14ac:dyDescent="0.3">
      <c r="A328" s="20">
        <v>45993</v>
      </c>
      <c r="B328" s="20" t="s">
        <v>3461</v>
      </c>
      <c r="C328" s="19" t="s">
        <v>20</v>
      </c>
      <c r="D328" s="19" t="s">
        <v>3325</v>
      </c>
      <c r="E328" s="4">
        <v>0.35</v>
      </c>
      <c r="F328" s="42">
        <v>2.2000000000000002</v>
      </c>
      <c r="G328" s="45">
        <v>211</v>
      </c>
      <c r="H328" s="22">
        <v>1.9</v>
      </c>
      <c r="I328" s="6">
        <f t="shared" si="5"/>
        <v>308.69299999999998</v>
      </c>
      <c r="J328" s="7" t="s">
        <v>2501</v>
      </c>
    </row>
    <row r="329" spans="1:10" ht="13.95" customHeight="1" x14ac:dyDescent="0.3">
      <c r="A329" s="20">
        <v>45994</v>
      </c>
      <c r="B329" s="20" t="s">
        <v>3461</v>
      </c>
      <c r="C329" s="19" t="s">
        <v>5</v>
      </c>
      <c r="D329" s="19" t="s">
        <v>3325</v>
      </c>
      <c r="E329" s="4">
        <v>0.35</v>
      </c>
      <c r="F329" s="42">
        <v>2.2000000000000002</v>
      </c>
      <c r="G329" s="45">
        <v>211</v>
      </c>
      <c r="H329" s="22">
        <v>1.9</v>
      </c>
      <c r="I329" s="6">
        <f t="shared" si="5"/>
        <v>308.69299999999998</v>
      </c>
      <c r="J329" s="7" t="s">
        <v>88</v>
      </c>
    </row>
    <row r="330" spans="1:10" ht="13.95" customHeight="1" x14ac:dyDescent="0.3">
      <c r="A330" s="20">
        <v>45995</v>
      </c>
      <c r="B330" s="20" t="s">
        <v>3461</v>
      </c>
      <c r="C330" s="19" t="s">
        <v>8</v>
      </c>
      <c r="D330" s="19" t="s">
        <v>3325</v>
      </c>
      <c r="E330" s="4">
        <v>0.4</v>
      </c>
      <c r="F330" s="42">
        <v>2.25</v>
      </c>
      <c r="G330" s="45">
        <v>211</v>
      </c>
      <c r="H330" s="22">
        <v>1.9</v>
      </c>
      <c r="I330" s="6">
        <f t="shared" si="5"/>
        <v>360.81</v>
      </c>
      <c r="J330" s="7" t="s">
        <v>3080</v>
      </c>
    </row>
    <row r="331" spans="1:10" ht="13.95" customHeight="1" x14ac:dyDescent="0.3">
      <c r="A331" s="20">
        <v>45996</v>
      </c>
      <c r="B331" s="20" t="s">
        <v>3461</v>
      </c>
      <c r="C331" s="19" t="s">
        <v>11</v>
      </c>
      <c r="D331" s="19" t="s">
        <v>2993</v>
      </c>
      <c r="E331" s="4">
        <v>0.45</v>
      </c>
      <c r="F331" s="42">
        <v>2.6</v>
      </c>
      <c r="G331" s="45">
        <v>211</v>
      </c>
      <c r="H331" s="22">
        <v>1.9</v>
      </c>
      <c r="I331" s="6">
        <f t="shared" si="5"/>
        <v>469.053</v>
      </c>
      <c r="J331" s="7" t="s">
        <v>1095</v>
      </c>
    </row>
    <row r="332" spans="1:10" ht="13.95" customHeight="1" x14ac:dyDescent="0.3">
      <c r="A332" s="20">
        <v>45997</v>
      </c>
      <c r="B332" s="20" t="s">
        <v>3461</v>
      </c>
      <c r="C332" s="19" t="s">
        <v>13</v>
      </c>
      <c r="D332" s="19" t="s">
        <v>3333</v>
      </c>
      <c r="E332" s="4">
        <v>0.55000000000000004</v>
      </c>
      <c r="F332" s="42">
        <v>3.3</v>
      </c>
      <c r="G332" s="45">
        <v>211</v>
      </c>
      <c r="H332" s="22">
        <v>1.9</v>
      </c>
      <c r="I332" s="6">
        <f t="shared" si="5"/>
        <v>727.63350000000003</v>
      </c>
      <c r="J332" s="7" t="s">
        <v>2292</v>
      </c>
    </row>
    <row r="333" spans="1:10" ht="13.95" customHeight="1" x14ac:dyDescent="0.3">
      <c r="A333" s="20">
        <v>45998</v>
      </c>
      <c r="B333" s="20" t="s">
        <v>3461</v>
      </c>
      <c r="C333" s="19" t="s">
        <v>16</v>
      </c>
      <c r="D333" s="19" t="s">
        <v>3323</v>
      </c>
      <c r="E333" s="4">
        <v>0.5</v>
      </c>
      <c r="F333" s="42">
        <v>2.8</v>
      </c>
      <c r="G333" s="45">
        <v>211</v>
      </c>
      <c r="H333" s="22">
        <v>1.9</v>
      </c>
      <c r="I333" s="6">
        <f t="shared" si="5"/>
        <v>561.25999999999988</v>
      </c>
      <c r="J333" s="7" t="s">
        <v>3337</v>
      </c>
    </row>
    <row r="334" spans="1:10" ht="13.95" customHeight="1" x14ac:dyDescent="0.3">
      <c r="A334" s="20">
        <v>45999</v>
      </c>
      <c r="B334" s="20" t="s">
        <v>3461</v>
      </c>
      <c r="C334" s="19" t="s">
        <v>18</v>
      </c>
      <c r="D334" s="19" t="s">
        <v>3325</v>
      </c>
      <c r="E334" s="4">
        <v>0.35</v>
      </c>
      <c r="F334" s="42">
        <v>2.2000000000000002</v>
      </c>
      <c r="G334" s="45">
        <v>211</v>
      </c>
      <c r="H334" s="22">
        <v>1.9</v>
      </c>
      <c r="I334" s="6">
        <f t="shared" si="5"/>
        <v>308.69299999999998</v>
      </c>
      <c r="J334" s="7" t="s">
        <v>3448</v>
      </c>
    </row>
    <row r="335" spans="1:10" ht="13.95" customHeight="1" x14ac:dyDescent="0.3">
      <c r="A335" s="20">
        <v>46000</v>
      </c>
      <c r="B335" s="20" t="s">
        <v>3461</v>
      </c>
      <c r="C335" s="19" t="s">
        <v>20</v>
      </c>
      <c r="D335" s="19" t="s">
        <v>3325</v>
      </c>
      <c r="E335" s="4">
        <v>0.35</v>
      </c>
      <c r="F335" s="42">
        <v>2.2000000000000002</v>
      </c>
      <c r="G335" s="45">
        <v>211</v>
      </c>
      <c r="H335" s="22">
        <v>1.9</v>
      </c>
      <c r="I335" s="6">
        <f t="shared" si="5"/>
        <v>308.69299999999998</v>
      </c>
      <c r="J335" s="7" t="s">
        <v>88</v>
      </c>
    </row>
    <row r="336" spans="1:10" ht="13.95" customHeight="1" x14ac:dyDescent="0.3">
      <c r="A336" s="20">
        <v>46001</v>
      </c>
      <c r="B336" s="20" t="s">
        <v>3461</v>
      </c>
      <c r="C336" s="19" t="s">
        <v>5</v>
      </c>
      <c r="D336" s="19" t="s">
        <v>3325</v>
      </c>
      <c r="E336" s="4">
        <v>0.4</v>
      </c>
      <c r="F336" s="42">
        <v>2.2000000000000002</v>
      </c>
      <c r="G336" s="45">
        <v>211</v>
      </c>
      <c r="H336" s="22">
        <v>1.9</v>
      </c>
      <c r="I336" s="6">
        <f t="shared" si="5"/>
        <v>352.79200000000003</v>
      </c>
      <c r="J336" s="7" t="s">
        <v>88</v>
      </c>
    </row>
    <row r="337" spans="1:10" ht="13.95" customHeight="1" x14ac:dyDescent="0.3">
      <c r="A337" s="20">
        <v>46002</v>
      </c>
      <c r="B337" s="20" t="s">
        <v>3461</v>
      </c>
      <c r="C337" s="19" t="s">
        <v>8</v>
      </c>
      <c r="D337" s="19" t="s">
        <v>3325</v>
      </c>
      <c r="E337" s="4">
        <v>0.4</v>
      </c>
      <c r="F337" s="42">
        <v>2.25</v>
      </c>
      <c r="G337" s="45">
        <v>211</v>
      </c>
      <c r="H337" s="22">
        <v>1.9</v>
      </c>
      <c r="I337" s="6">
        <f t="shared" si="5"/>
        <v>360.81</v>
      </c>
      <c r="J337" s="7" t="s">
        <v>88</v>
      </c>
    </row>
    <row r="338" spans="1:10" ht="13.95" customHeight="1" x14ac:dyDescent="0.3">
      <c r="A338" s="20">
        <v>46003</v>
      </c>
      <c r="B338" s="20" t="s">
        <v>3461</v>
      </c>
      <c r="C338" s="19" t="s">
        <v>11</v>
      </c>
      <c r="D338" s="19" t="s">
        <v>2993</v>
      </c>
      <c r="E338" s="4">
        <v>0.45</v>
      </c>
      <c r="F338" s="42">
        <v>2.65</v>
      </c>
      <c r="G338" s="45">
        <v>211</v>
      </c>
      <c r="H338" s="22">
        <v>1.9</v>
      </c>
      <c r="I338" s="6">
        <f t="shared" si="5"/>
        <v>478.07324999999997</v>
      </c>
      <c r="J338" s="7" t="s">
        <v>503</v>
      </c>
    </row>
    <row r="339" spans="1:10" ht="13.95" customHeight="1" x14ac:dyDescent="0.3">
      <c r="A339" s="20">
        <v>46004</v>
      </c>
      <c r="B339" s="20" t="s">
        <v>3461</v>
      </c>
      <c r="C339" s="19" t="s">
        <v>13</v>
      </c>
      <c r="D339" s="19" t="s">
        <v>3328</v>
      </c>
      <c r="E339" s="4">
        <v>0.55000000000000004</v>
      </c>
      <c r="F339" s="42">
        <v>3.35</v>
      </c>
      <c r="G339" s="45">
        <v>211</v>
      </c>
      <c r="H339" s="22">
        <v>1.9</v>
      </c>
      <c r="I339" s="6">
        <f t="shared" si="5"/>
        <v>738.65825000000007</v>
      </c>
      <c r="J339" s="7" t="s">
        <v>3449</v>
      </c>
    </row>
    <row r="340" spans="1:10" ht="13.95" customHeight="1" x14ac:dyDescent="0.3">
      <c r="A340" s="20">
        <v>46005</v>
      </c>
      <c r="B340" s="20" t="s">
        <v>3461</v>
      </c>
      <c r="C340" s="19" t="s">
        <v>16</v>
      </c>
      <c r="D340" s="19" t="s">
        <v>3323</v>
      </c>
      <c r="E340" s="4">
        <v>0.5</v>
      </c>
      <c r="F340" s="42">
        <v>2.8</v>
      </c>
      <c r="G340" s="45">
        <v>211</v>
      </c>
      <c r="H340" s="22">
        <v>1.9</v>
      </c>
      <c r="I340" s="6">
        <f t="shared" si="5"/>
        <v>561.25999999999988</v>
      </c>
      <c r="J340" s="7" t="s">
        <v>3330</v>
      </c>
    </row>
    <row r="341" spans="1:10" ht="13.95" customHeight="1" x14ac:dyDescent="0.3">
      <c r="A341" s="20">
        <v>46006</v>
      </c>
      <c r="B341" s="20" t="s">
        <v>3461</v>
      </c>
      <c r="C341" s="19" t="s">
        <v>18</v>
      </c>
      <c r="D341" s="19" t="s">
        <v>3325</v>
      </c>
      <c r="E341" s="4">
        <v>0.4</v>
      </c>
      <c r="F341" s="42">
        <v>2.2000000000000002</v>
      </c>
      <c r="G341" s="45">
        <v>211</v>
      </c>
      <c r="H341" s="22">
        <v>1.9</v>
      </c>
      <c r="I341" s="6">
        <f t="shared" si="5"/>
        <v>352.79200000000003</v>
      </c>
      <c r="J341" s="7" t="s">
        <v>88</v>
      </c>
    </row>
    <row r="342" spans="1:10" ht="13.95" customHeight="1" x14ac:dyDescent="0.3">
      <c r="A342" s="20">
        <v>46007</v>
      </c>
      <c r="B342" s="20" t="s">
        <v>3461</v>
      </c>
      <c r="C342" s="19" t="s">
        <v>20</v>
      </c>
      <c r="D342" s="19" t="s">
        <v>3325</v>
      </c>
      <c r="E342" s="4">
        <v>0.4</v>
      </c>
      <c r="F342" s="42">
        <v>2.2000000000000002</v>
      </c>
      <c r="G342" s="45">
        <v>211</v>
      </c>
      <c r="H342" s="22">
        <v>1.9</v>
      </c>
      <c r="I342" s="6">
        <f t="shared" si="5"/>
        <v>352.79200000000003</v>
      </c>
      <c r="J342" s="7" t="s">
        <v>88</v>
      </c>
    </row>
    <row r="343" spans="1:10" ht="13.95" customHeight="1" x14ac:dyDescent="0.3">
      <c r="A343" s="20">
        <v>46008</v>
      </c>
      <c r="B343" s="20" t="s">
        <v>3461</v>
      </c>
      <c r="C343" s="19" t="s">
        <v>5</v>
      </c>
      <c r="D343" s="19" t="s">
        <v>3325</v>
      </c>
      <c r="E343" s="4">
        <v>0.45</v>
      </c>
      <c r="F343" s="42">
        <v>2.25</v>
      </c>
      <c r="G343" s="45">
        <v>211</v>
      </c>
      <c r="H343" s="22">
        <v>1.9</v>
      </c>
      <c r="I343" s="6">
        <f t="shared" si="5"/>
        <v>405.91125</v>
      </c>
      <c r="J343" s="7" t="s">
        <v>529</v>
      </c>
    </row>
    <row r="344" spans="1:10" ht="13.95" customHeight="1" x14ac:dyDescent="0.3">
      <c r="A344" s="20">
        <v>46009</v>
      </c>
      <c r="B344" s="20" t="s">
        <v>3461</v>
      </c>
      <c r="C344" s="19" t="s">
        <v>8</v>
      </c>
      <c r="D344" s="19" t="s">
        <v>3450</v>
      </c>
      <c r="E344" s="4">
        <v>0.5</v>
      </c>
      <c r="F344" s="42">
        <v>2.2999999999999998</v>
      </c>
      <c r="G344" s="45">
        <v>211</v>
      </c>
      <c r="H344" s="22">
        <v>1.9</v>
      </c>
      <c r="I344" s="6">
        <f t="shared" si="5"/>
        <v>461.03499999999991</v>
      </c>
      <c r="J344" s="7" t="s">
        <v>3451</v>
      </c>
    </row>
    <row r="345" spans="1:10" ht="13.95" customHeight="1" x14ac:dyDescent="0.3">
      <c r="A345" s="20">
        <v>46010</v>
      </c>
      <c r="B345" s="20" t="s">
        <v>3461</v>
      </c>
      <c r="C345" s="19" t="s">
        <v>11</v>
      </c>
      <c r="D345" s="19" t="s">
        <v>3163</v>
      </c>
      <c r="E345" s="4">
        <v>0.6</v>
      </c>
      <c r="F345" s="42">
        <v>2.8</v>
      </c>
      <c r="G345" s="45">
        <v>211</v>
      </c>
      <c r="H345" s="22">
        <v>1.9</v>
      </c>
      <c r="I345" s="6">
        <f t="shared" si="5"/>
        <v>673.51199999999994</v>
      </c>
      <c r="J345" s="7" t="s">
        <v>1769</v>
      </c>
    </row>
    <row r="346" spans="1:10" ht="13.95" customHeight="1" x14ac:dyDescent="0.3">
      <c r="A346" s="20">
        <v>46011</v>
      </c>
      <c r="B346" s="20" t="s">
        <v>3461</v>
      </c>
      <c r="C346" s="19" t="s">
        <v>13</v>
      </c>
      <c r="D346" s="19" t="s">
        <v>3156</v>
      </c>
      <c r="E346" s="4">
        <v>0.7</v>
      </c>
      <c r="F346" s="42">
        <v>3.45</v>
      </c>
      <c r="G346" s="45">
        <v>211</v>
      </c>
      <c r="H346" s="22">
        <v>1.9</v>
      </c>
      <c r="I346" s="6">
        <f t="shared" si="5"/>
        <v>968.17349999999999</v>
      </c>
      <c r="J346" s="7" t="s">
        <v>3452</v>
      </c>
    </row>
    <row r="347" spans="1:10" ht="13.95" customHeight="1" x14ac:dyDescent="0.3">
      <c r="A347" s="20">
        <v>46012</v>
      </c>
      <c r="B347" s="20" t="s">
        <v>3461</v>
      </c>
      <c r="C347" s="19" t="s">
        <v>16</v>
      </c>
      <c r="D347" s="19" t="s">
        <v>3098</v>
      </c>
      <c r="E347" s="4">
        <v>0.65</v>
      </c>
      <c r="F347" s="42">
        <v>3.15</v>
      </c>
      <c r="G347" s="45">
        <v>211</v>
      </c>
      <c r="H347" s="22">
        <v>1.9</v>
      </c>
      <c r="I347" s="6">
        <f t="shared" si="5"/>
        <v>820.84274999999991</v>
      </c>
      <c r="J347" s="7" t="s">
        <v>139</v>
      </c>
    </row>
    <row r="348" spans="1:10" ht="13.95" customHeight="1" x14ac:dyDescent="0.3">
      <c r="A348" s="20">
        <v>46013</v>
      </c>
      <c r="B348" s="20" t="s">
        <v>3461</v>
      </c>
      <c r="C348" s="19" t="s">
        <v>18</v>
      </c>
      <c r="D348" s="19" t="s">
        <v>3453</v>
      </c>
      <c r="E348" s="4">
        <v>0.65</v>
      </c>
      <c r="F348" s="42">
        <v>2.6</v>
      </c>
      <c r="G348" s="45">
        <v>211</v>
      </c>
      <c r="H348" s="22">
        <v>1.9</v>
      </c>
      <c r="I348" s="6">
        <f t="shared" si="5"/>
        <v>677.52100000000007</v>
      </c>
      <c r="J348" s="7" t="s">
        <v>2629</v>
      </c>
    </row>
    <row r="349" spans="1:10" ht="13.95" customHeight="1" x14ac:dyDescent="0.3">
      <c r="A349" s="20">
        <v>46014</v>
      </c>
      <c r="B349" s="20" t="s">
        <v>3461</v>
      </c>
      <c r="C349" s="19" t="s">
        <v>20</v>
      </c>
      <c r="D349" s="19" t="s">
        <v>2575</v>
      </c>
      <c r="E349" s="4">
        <v>0.75</v>
      </c>
      <c r="F349" s="42">
        <v>2.9</v>
      </c>
      <c r="G349" s="45">
        <v>211</v>
      </c>
      <c r="H349" s="22">
        <v>1.9</v>
      </c>
      <c r="I349" s="6">
        <f t="shared" si="5"/>
        <v>871.95749999999998</v>
      </c>
      <c r="J349" s="7" t="s">
        <v>3454</v>
      </c>
    </row>
    <row r="350" spans="1:10" ht="13.95" customHeight="1" x14ac:dyDescent="0.3">
      <c r="A350" s="20">
        <v>46015</v>
      </c>
      <c r="B350" s="20" t="s">
        <v>3461</v>
      </c>
      <c r="C350" s="19" t="s">
        <v>5</v>
      </c>
      <c r="D350" s="19" t="s">
        <v>2576</v>
      </c>
      <c r="E350" s="4">
        <v>0.9</v>
      </c>
      <c r="F350" s="42">
        <v>4.9000000000000004</v>
      </c>
      <c r="G350" s="45">
        <v>211</v>
      </c>
      <c r="H350" s="22">
        <v>1.9</v>
      </c>
      <c r="I350" s="6">
        <f t="shared" si="5"/>
        <v>1767.9690000000001</v>
      </c>
      <c r="J350" s="7" t="s">
        <v>3455</v>
      </c>
    </row>
    <row r="351" spans="1:10" ht="13.95" customHeight="1" x14ac:dyDescent="0.3">
      <c r="A351" s="20">
        <v>46016</v>
      </c>
      <c r="B351" s="20" t="s">
        <v>3461</v>
      </c>
      <c r="C351" s="19" t="s">
        <v>8</v>
      </c>
      <c r="D351" s="19" t="s">
        <v>2471</v>
      </c>
      <c r="E351" s="4">
        <v>0.85</v>
      </c>
      <c r="F351" s="42">
        <v>3.8</v>
      </c>
      <c r="G351" s="45">
        <v>211</v>
      </c>
      <c r="H351" s="22">
        <v>1.9</v>
      </c>
      <c r="I351" s="6">
        <f t="shared" si="5"/>
        <v>1294.9069999999999</v>
      </c>
      <c r="J351" s="7" t="s">
        <v>2472</v>
      </c>
    </row>
    <row r="352" spans="1:10" ht="13.95" customHeight="1" x14ac:dyDescent="0.3">
      <c r="A352" s="20">
        <v>46017</v>
      </c>
      <c r="B352" s="20" t="s">
        <v>3461</v>
      </c>
      <c r="C352" s="19" t="s">
        <v>11</v>
      </c>
      <c r="D352" s="19" t="s">
        <v>3163</v>
      </c>
      <c r="E352" s="4">
        <v>0.85</v>
      </c>
      <c r="F352" s="42">
        <v>3.3</v>
      </c>
      <c r="G352" s="45">
        <v>211</v>
      </c>
      <c r="H352" s="22">
        <v>1.9</v>
      </c>
      <c r="I352" s="6">
        <f t="shared" si="5"/>
        <v>1124.5244999999998</v>
      </c>
      <c r="J352" s="7" t="s">
        <v>3456</v>
      </c>
    </row>
    <row r="353" spans="1:10" ht="13.95" customHeight="1" x14ac:dyDescent="0.3">
      <c r="A353" s="20">
        <v>46018</v>
      </c>
      <c r="B353" s="20" t="s">
        <v>3461</v>
      </c>
      <c r="C353" s="19" t="s">
        <v>13</v>
      </c>
      <c r="D353" s="19" t="s">
        <v>3306</v>
      </c>
      <c r="E353" s="4">
        <v>0.95</v>
      </c>
      <c r="F353" s="42">
        <v>4.0999999999999996</v>
      </c>
      <c r="G353" s="45">
        <v>211</v>
      </c>
      <c r="H353" s="22">
        <v>1.9</v>
      </c>
      <c r="I353" s="6">
        <f t="shared" si="5"/>
        <v>1561.5054999999998</v>
      </c>
      <c r="J353" s="7" t="s">
        <v>3457</v>
      </c>
    </row>
    <row r="354" spans="1:10" ht="13.95" customHeight="1" x14ac:dyDescent="0.3">
      <c r="A354" s="20">
        <v>46019</v>
      </c>
      <c r="B354" s="20" t="s">
        <v>3461</v>
      </c>
      <c r="C354" s="19" t="s">
        <v>16</v>
      </c>
      <c r="D354" s="19" t="s">
        <v>3098</v>
      </c>
      <c r="E354" s="4">
        <v>0.9</v>
      </c>
      <c r="F354" s="42">
        <v>3.45</v>
      </c>
      <c r="G354" s="45">
        <v>211</v>
      </c>
      <c r="H354" s="22">
        <v>1.9</v>
      </c>
      <c r="I354" s="6">
        <f t="shared" si="5"/>
        <v>1244.7945000000002</v>
      </c>
      <c r="J354" s="7" t="s">
        <v>3352</v>
      </c>
    </row>
    <row r="355" spans="1:10" ht="13.95" customHeight="1" x14ac:dyDescent="0.3">
      <c r="A355" s="20">
        <v>46020</v>
      </c>
      <c r="B355" s="20" t="s">
        <v>3461</v>
      </c>
      <c r="C355" s="19" t="s">
        <v>18</v>
      </c>
      <c r="D355" s="19" t="s">
        <v>1565</v>
      </c>
      <c r="E355" s="4">
        <v>0.9</v>
      </c>
      <c r="F355" s="42">
        <v>2.9</v>
      </c>
      <c r="G355" s="45">
        <v>211</v>
      </c>
      <c r="H355" s="22">
        <v>1.9</v>
      </c>
      <c r="I355" s="6">
        <f t="shared" si="5"/>
        <v>1046.3489999999999</v>
      </c>
      <c r="J355" s="7" t="s">
        <v>3458</v>
      </c>
    </row>
    <row r="356" spans="1:10" ht="13.95" customHeight="1" x14ac:dyDescent="0.3">
      <c r="A356" s="20">
        <v>46021</v>
      </c>
      <c r="B356" s="20" t="s">
        <v>3461</v>
      </c>
      <c r="C356" s="19" t="s">
        <v>20</v>
      </c>
      <c r="D356" s="19" t="s">
        <v>3315</v>
      </c>
      <c r="E356" s="4">
        <v>1</v>
      </c>
      <c r="F356" s="42">
        <v>3.3</v>
      </c>
      <c r="G356" s="45">
        <v>211</v>
      </c>
      <c r="H356" s="22">
        <v>1.9</v>
      </c>
      <c r="I356" s="6">
        <f t="shared" si="5"/>
        <v>1322.9699999999998</v>
      </c>
      <c r="J356" s="7" t="s">
        <v>3459</v>
      </c>
    </row>
    <row r="357" spans="1:10" ht="13.95" customHeight="1" x14ac:dyDescent="0.3">
      <c r="A357" s="20">
        <v>46022</v>
      </c>
      <c r="B357" s="20" t="s">
        <v>3461</v>
      </c>
      <c r="C357" s="19" t="s">
        <v>5</v>
      </c>
      <c r="D357" s="19" t="s">
        <v>1567</v>
      </c>
      <c r="E357" s="4">
        <v>1</v>
      </c>
      <c r="F357" s="42">
        <v>6.5</v>
      </c>
      <c r="G357" s="45">
        <v>211</v>
      </c>
      <c r="H357" s="22">
        <v>1.9</v>
      </c>
      <c r="I357" s="6">
        <f t="shared" si="5"/>
        <v>2605.85</v>
      </c>
      <c r="J357" s="7" t="s">
        <v>3460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B8984-1242-4C4B-BABF-404127136056}">
  <sheetPr>
    <tabColor rgb="FFFFFF00"/>
  </sheetPr>
  <dimension ref="A1:L328"/>
  <sheetViews>
    <sheetView workbookViewId="0">
      <selection activeCell="I2" sqref="I2"/>
    </sheetView>
  </sheetViews>
  <sheetFormatPr baseColWidth="10" defaultRowHeight="14.4" x14ac:dyDescent="0.3"/>
  <cols>
    <col min="2" max="2" width="18.6640625" bestFit="1" customWidth="1"/>
    <col min="4" max="4" width="19.6640625" bestFit="1" customWidth="1"/>
    <col min="10" max="10" width="24.5546875" bestFit="1" customWidth="1"/>
  </cols>
  <sheetData>
    <row r="1" spans="1:12" ht="28.2" thickBot="1" x14ac:dyDescent="0.35">
      <c r="A1" s="1" t="s">
        <v>333</v>
      </c>
      <c r="B1" s="1" t="s">
        <v>670</v>
      </c>
      <c r="C1" s="34" t="s">
        <v>0</v>
      </c>
      <c r="D1" s="34" t="s">
        <v>1</v>
      </c>
      <c r="E1" s="37" t="s">
        <v>2</v>
      </c>
      <c r="F1" s="43" t="s">
        <v>3</v>
      </c>
      <c r="G1" s="47" t="s">
        <v>359</v>
      </c>
      <c r="H1" s="35" t="s">
        <v>360</v>
      </c>
      <c r="I1" s="47" t="s">
        <v>361</v>
      </c>
      <c r="J1" s="25" t="s">
        <v>4</v>
      </c>
      <c r="K1">
        <v>213</v>
      </c>
      <c r="L1">
        <v>2</v>
      </c>
    </row>
    <row r="2" spans="1:12" ht="13.95" customHeight="1" x14ac:dyDescent="0.3">
      <c r="A2" s="20">
        <v>45658</v>
      </c>
      <c r="B2" s="20" t="s">
        <v>3607</v>
      </c>
      <c r="C2" s="19" t="s">
        <v>5</v>
      </c>
      <c r="D2" s="19" t="s">
        <v>3465</v>
      </c>
      <c r="E2" s="4">
        <v>0.9</v>
      </c>
      <c r="F2" s="42">
        <v>4.0999999999999996</v>
      </c>
      <c r="G2" s="45">
        <v>213</v>
      </c>
      <c r="H2" s="22">
        <v>2</v>
      </c>
      <c r="I2" s="6">
        <f t="shared" ref="I2:I65" si="0">(G2*E2)*F2*H2</f>
        <v>1571.94</v>
      </c>
      <c r="J2" s="7" t="s">
        <v>3466</v>
      </c>
    </row>
    <row r="3" spans="1:12" ht="13.95" customHeight="1" x14ac:dyDescent="0.3">
      <c r="A3" s="20">
        <v>45659</v>
      </c>
      <c r="B3" s="20" t="s">
        <v>3607</v>
      </c>
      <c r="C3" s="19" t="s">
        <v>8</v>
      </c>
      <c r="D3" s="19" t="s">
        <v>1052</v>
      </c>
      <c r="E3" s="4">
        <v>0.5</v>
      </c>
      <c r="F3" s="42">
        <v>2.2999999999999998</v>
      </c>
      <c r="G3" s="45">
        <v>213</v>
      </c>
      <c r="H3" s="22">
        <v>2</v>
      </c>
      <c r="I3" s="6">
        <f t="shared" si="0"/>
        <v>489.9</v>
      </c>
      <c r="J3" s="7" t="s">
        <v>3467</v>
      </c>
    </row>
    <row r="4" spans="1:12" ht="13.95" customHeight="1" x14ac:dyDescent="0.3">
      <c r="A4" s="20">
        <v>45660</v>
      </c>
      <c r="B4" s="20" t="s">
        <v>3607</v>
      </c>
      <c r="C4" s="19" t="s">
        <v>11</v>
      </c>
      <c r="D4" s="19" t="s">
        <v>14</v>
      </c>
      <c r="E4" s="4">
        <v>0.55000000000000004</v>
      </c>
      <c r="F4" s="42">
        <v>2.8</v>
      </c>
      <c r="G4" s="45">
        <v>213</v>
      </c>
      <c r="H4" s="22">
        <v>2</v>
      </c>
      <c r="I4" s="6">
        <f t="shared" si="0"/>
        <v>656.04</v>
      </c>
      <c r="J4" s="7" t="s">
        <v>2655</v>
      </c>
    </row>
    <row r="5" spans="1:12" ht="13.95" customHeight="1" x14ac:dyDescent="0.3">
      <c r="A5" s="20">
        <v>45661</v>
      </c>
      <c r="B5" s="20" t="s">
        <v>3607</v>
      </c>
      <c r="C5" s="19" t="s">
        <v>13</v>
      </c>
      <c r="D5" s="19" t="s">
        <v>3156</v>
      </c>
      <c r="E5" s="4">
        <v>0.7</v>
      </c>
      <c r="F5" s="42">
        <v>3.55</v>
      </c>
      <c r="G5" s="45">
        <v>213</v>
      </c>
      <c r="H5" s="22">
        <v>2</v>
      </c>
      <c r="I5" s="6">
        <f t="shared" si="0"/>
        <v>1058.6099999999999</v>
      </c>
      <c r="J5" s="7" t="s">
        <v>3468</v>
      </c>
    </row>
    <row r="6" spans="1:12" ht="13.95" customHeight="1" x14ac:dyDescent="0.3">
      <c r="A6" s="20">
        <v>45662</v>
      </c>
      <c r="B6" s="20" t="s">
        <v>3607</v>
      </c>
      <c r="C6" s="19" t="s">
        <v>16</v>
      </c>
      <c r="D6" s="19" t="s">
        <v>3323</v>
      </c>
      <c r="E6" s="4">
        <v>0.6</v>
      </c>
      <c r="F6" s="42">
        <v>2.9</v>
      </c>
      <c r="G6" s="45">
        <v>213</v>
      </c>
      <c r="H6" s="22">
        <v>2</v>
      </c>
      <c r="I6" s="6">
        <f t="shared" si="0"/>
        <v>741.24</v>
      </c>
      <c r="J6" s="7" t="s">
        <v>3469</v>
      </c>
    </row>
    <row r="7" spans="1:12" ht="13.95" customHeight="1" x14ac:dyDescent="0.3">
      <c r="A7" s="20">
        <v>45663</v>
      </c>
      <c r="B7" s="20" t="s">
        <v>3607</v>
      </c>
      <c r="C7" s="19" t="s">
        <v>18</v>
      </c>
      <c r="D7" s="19" t="s">
        <v>1263</v>
      </c>
      <c r="E7" s="4">
        <v>0.45</v>
      </c>
      <c r="F7" s="42">
        <v>2.15</v>
      </c>
      <c r="G7" s="45">
        <v>213</v>
      </c>
      <c r="H7" s="22">
        <v>2</v>
      </c>
      <c r="I7" s="6">
        <f t="shared" si="0"/>
        <v>412.15500000000003</v>
      </c>
      <c r="J7" s="7" t="s">
        <v>3470</v>
      </c>
    </row>
    <row r="8" spans="1:12" ht="13.95" customHeight="1" x14ac:dyDescent="0.3">
      <c r="A8" s="20">
        <v>45664</v>
      </c>
      <c r="B8" s="20" t="s">
        <v>3607</v>
      </c>
      <c r="C8" s="19" t="s">
        <v>20</v>
      </c>
      <c r="D8" s="19" t="s">
        <v>1263</v>
      </c>
      <c r="E8" s="4">
        <v>0.45</v>
      </c>
      <c r="F8" s="42">
        <v>2.1</v>
      </c>
      <c r="G8" s="45">
        <v>213</v>
      </c>
      <c r="H8" s="22">
        <v>2</v>
      </c>
      <c r="I8" s="6">
        <f t="shared" si="0"/>
        <v>402.57000000000005</v>
      </c>
      <c r="J8" s="7" t="s">
        <v>3471</v>
      </c>
    </row>
    <row r="9" spans="1:12" ht="13.95" customHeight="1" x14ac:dyDescent="0.3">
      <c r="A9" s="20">
        <v>45665</v>
      </c>
      <c r="B9" s="20" t="s">
        <v>3607</v>
      </c>
      <c r="C9" s="19" t="s">
        <v>5</v>
      </c>
      <c r="D9" s="19" t="s">
        <v>1263</v>
      </c>
      <c r="E9" s="4">
        <v>0.45</v>
      </c>
      <c r="F9" s="42">
        <v>2.1</v>
      </c>
      <c r="G9" s="45">
        <v>213</v>
      </c>
      <c r="H9" s="22">
        <v>2</v>
      </c>
      <c r="I9" s="6">
        <f t="shared" si="0"/>
        <v>402.57000000000005</v>
      </c>
      <c r="J9" s="7" t="s">
        <v>3471</v>
      </c>
    </row>
    <row r="10" spans="1:12" ht="13.95" customHeight="1" x14ac:dyDescent="0.3">
      <c r="A10" s="20">
        <v>45666</v>
      </c>
      <c r="B10" s="20" t="s">
        <v>3607</v>
      </c>
      <c r="C10" s="19" t="s">
        <v>8</v>
      </c>
      <c r="D10" s="19" t="s">
        <v>1263</v>
      </c>
      <c r="E10" s="4">
        <v>0.5</v>
      </c>
      <c r="F10" s="42">
        <v>2.2000000000000002</v>
      </c>
      <c r="G10" s="45">
        <v>213</v>
      </c>
      <c r="H10" s="22">
        <v>2</v>
      </c>
      <c r="I10" s="6">
        <f t="shared" si="0"/>
        <v>468.6</v>
      </c>
      <c r="J10" s="7" t="s">
        <v>3472</v>
      </c>
    </row>
    <row r="11" spans="1:12" ht="13.95" customHeight="1" x14ac:dyDescent="0.3">
      <c r="A11" s="20">
        <v>45667</v>
      </c>
      <c r="B11" s="20" t="s">
        <v>3607</v>
      </c>
      <c r="C11" s="19" t="s">
        <v>11</v>
      </c>
      <c r="D11" s="19" t="s">
        <v>2993</v>
      </c>
      <c r="E11" s="4">
        <v>0.55000000000000004</v>
      </c>
      <c r="F11" s="42">
        <v>2.75</v>
      </c>
      <c r="G11" s="45">
        <v>213</v>
      </c>
      <c r="H11" s="22">
        <v>2</v>
      </c>
      <c r="I11" s="6">
        <f t="shared" si="0"/>
        <v>644.32500000000005</v>
      </c>
      <c r="J11" s="7" t="s">
        <v>1600</v>
      </c>
    </row>
    <row r="12" spans="1:12" ht="13.95" customHeight="1" x14ac:dyDescent="0.3">
      <c r="A12" s="20">
        <v>45668</v>
      </c>
      <c r="B12" s="20" t="s">
        <v>3607</v>
      </c>
      <c r="C12" s="19" t="s">
        <v>13</v>
      </c>
      <c r="D12" s="19" t="s">
        <v>3473</v>
      </c>
      <c r="E12" s="4">
        <v>0.7</v>
      </c>
      <c r="F12" s="42">
        <v>3.45</v>
      </c>
      <c r="G12" s="45">
        <v>213</v>
      </c>
      <c r="H12" s="22">
        <v>2</v>
      </c>
      <c r="I12" s="6">
        <f t="shared" si="0"/>
        <v>1028.79</v>
      </c>
      <c r="J12" s="7" t="s">
        <v>1740</v>
      </c>
    </row>
    <row r="13" spans="1:12" ht="13.95" customHeight="1" x14ac:dyDescent="0.3">
      <c r="A13" s="20">
        <v>45669</v>
      </c>
      <c r="B13" s="20" t="s">
        <v>3607</v>
      </c>
      <c r="C13" s="19" t="s">
        <v>16</v>
      </c>
      <c r="D13" s="19" t="s">
        <v>3474</v>
      </c>
      <c r="E13" s="4">
        <v>0.65</v>
      </c>
      <c r="F13" s="42">
        <v>3.1</v>
      </c>
      <c r="G13" s="45">
        <v>213</v>
      </c>
      <c r="H13" s="22">
        <v>2</v>
      </c>
      <c r="I13" s="6">
        <f t="shared" si="0"/>
        <v>858.3900000000001</v>
      </c>
      <c r="J13" s="7" t="s">
        <v>3475</v>
      </c>
    </row>
    <row r="14" spans="1:12" ht="13.95" customHeight="1" x14ac:dyDescent="0.3">
      <c r="A14" s="20">
        <v>45670</v>
      </c>
      <c r="B14" s="20" t="s">
        <v>3607</v>
      </c>
      <c r="C14" s="19" t="s">
        <v>18</v>
      </c>
      <c r="D14" s="19" t="s">
        <v>1259</v>
      </c>
      <c r="E14" s="4">
        <v>0.35</v>
      </c>
      <c r="F14" s="42">
        <v>2.1</v>
      </c>
      <c r="G14" s="45">
        <v>213</v>
      </c>
      <c r="H14" s="22">
        <v>2</v>
      </c>
      <c r="I14" s="6">
        <f t="shared" si="0"/>
        <v>313.11</v>
      </c>
      <c r="J14" s="7" t="s">
        <v>1628</v>
      </c>
    </row>
    <row r="15" spans="1:12" ht="13.95" customHeight="1" x14ac:dyDescent="0.3">
      <c r="A15" s="20">
        <v>45671</v>
      </c>
      <c r="B15" s="20" t="s">
        <v>3607</v>
      </c>
      <c r="C15" s="19" t="s">
        <v>20</v>
      </c>
      <c r="D15" s="19" t="s">
        <v>2720</v>
      </c>
      <c r="E15" s="4">
        <v>0.55000000000000004</v>
      </c>
      <c r="F15" s="42">
        <v>3.2</v>
      </c>
      <c r="G15" s="45">
        <v>213</v>
      </c>
      <c r="H15" s="22">
        <v>2</v>
      </c>
      <c r="I15" s="6">
        <f t="shared" si="0"/>
        <v>749.7600000000001</v>
      </c>
      <c r="J15" s="7" t="s">
        <v>3476</v>
      </c>
    </row>
    <row r="16" spans="1:12" ht="13.95" customHeight="1" x14ac:dyDescent="0.3">
      <c r="A16" s="20">
        <v>45672</v>
      </c>
      <c r="B16" s="20" t="s">
        <v>3607</v>
      </c>
      <c r="C16" s="19" t="s">
        <v>5</v>
      </c>
      <c r="D16" s="19" t="s">
        <v>1259</v>
      </c>
      <c r="E16" s="4">
        <v>0.35</v>
      </c>
      <c r="F16" s="42">
        <v>2.1</v>
      </c>
      <c r="G16" s="45">
        <v>213</v>
      </c>
      <c r="H16" s="22">
        <v>2</v>
      </c>
      <c r="I16" s="6">
        <f t="shared" si="0"/>
        <v>313.11</v>
      </c>
      <c r="J16" s="7" t="s">
        <v>88</v>
      </c>
    </row>
    <row r="17" spans="1:10" ht="13.95" customHeight="1" x14ac:dyDescent="0.3">
      <c r="A17" s="20">
        <v>45673</v>
      </c>
      <c r="B17" s="20" t="s">
        <v>3607</v>
      </c>
      <c r="C17" s="19" t="s">
        <v>8</v>
      </c>
      <c r="D17" s="19" t="s">
        <v>1259</v>
      </c>
      <c r="E17" s="4">
        <v>0.4</v>
      </c>
      <c r="F17" s="42">
        <v>2.15</v>
      </c>
      <c r="G17" s="45">
        <v>213</v>
      </c>
      <c r="H17" s="22">
        <v>2</v>
      </c>
      <c r="I17" s="6">
        <f t="shared" si="0"/>
        <v>366.36</v>
      </c>
      <c r="J17" s="7" t="s">
        <v>88</v>
      </c>
    </row>
    <row r="18" spans="1:10" ht="13.95" customHeight="1" x14ac:dyDescent="0.3">
      <c r="A18" s="20">
        <v>45674</v>
      </c>
      <c r="B18" s="20" t="s">
        <v>3607</v>
      </c>
      <c r="C18" s="19" t="s">
        <v>11</v>
      </c>
      <c r="D18" s="19" t="s">
        <v>2993</v>
      </c>
      <c r="E18" s="4">
        <v>0.5</v>
      </c>
      <c r="F18" s="42">
        <v>2.7</v>
      </c>
      <c r="G18" s="45">
        <v>213</v>
      </c>
      <c r="H18" s="22">
        <v>2</v>
      </c>
      <c r="I18" s="6">
        <f t="shared" si="0"/>
        <v>575.1</v>
      </c>
      <c r="J18" s="7" t="s">
        <v>3477</v>
      </c>
    </row>
    <row r="19" spans="1:10" ht="13.95" customHeight="1" x14ac:dyDescent="0.3">
      <c r="A19" s="20">
        <v>45675</v>
      </c>
      <c r="B19" s="20" t="s">
        <v>3607</v>
      </c>
      <c r="C19" s="19" t="s">
        <v>13</v>
      </c>
      <c r="D19" s="19" t="s">
        <v>3156</v>
      </c>
      <c r="E19" s="4">
        <v>0.65</v>
      </c>
      <c r="F19" s="42">
        <v>3.4</v>
      </c>
      <c r="G19" s="45">
        <v>213</v>
      </c>
      <c r="H19" s="22">
        <v>2</v>
      </c>
      <c r="I19" s="6">
        <f t="shared" si="0"/>
        <v>941.46</v>
      </c>
      <c r="J19" s="7" t="s">
        <v>2510</v>
      </c>
    </row>
    <row r="20" spans="1:10" ht="13.95" customHeight="1" x14ac:dyDescent="0.3">
      <c r="A20" s="20">
        <v>45676</v>
      </c>
      <c r="B20" s="20" t="s">
        <v>3607</v>
      </c>
      <c r="C20" s="19" t="s">
        <v>16</v>
      </c>
      <c r="D20" s="19" t="s">
        <v>3323</v>
      </c>
      <c r="E20" s="4">
        <v>0.6</v>
      </c>
      <c r="F20" s="42">
        <v>2.95</v>
      </c>
      <c r="G20" s="45">
        <v>213</v>
      </c>
      <c r="H20" s="22">
        <v>2</v>
      </c>
      <c r="I20" s="6">
        <f t="shared" si="0"/>
        <v>754.02</v>
      </c>
      <c r="J20" s="7" t="s">
        <v>3313</v>
      </c>
    </row>
    <row r="21" spans="1:10" ht="13.95" customHeight="1" x14ac:dyDescent="0.3">
      <c r="A21" s="20">
        <v>45677</v>
      </c>
      <c r="B21" s="20" t="s">
        <v>3607</v>
      </c>
      <c r="C21" s="19" t="s">
        <v>18</v>
      </c>
      <c r="D21" s="19" t="s">
        <v>1263</v>
      </c>
      <c r="E21" s="4">
        <v>0.4</v>
      </c>
      <c r="F21" s="42">
        <v>2.15</v>
      </c>
      <c r="G21" s="45">
        <v>213</v>
      </c>
      <c r="H21" s="22">
        <v>2</v>
      </c>
      <c r="I21" s="6">
        <f t="shared" si="0"/>
        <v>366.36</v>
      </c>
      <c r="J21" s="7" t="s">
        <v>645</v>
      </c>
    </row>
    <row r="22" spans="1:10" ht="13.95" customHeight="1" x14ac:dyDescent="0.3">
      <c r="A22" s="20">
        <v>45678</v>
      </c>
      <c r="B22" s="20" t="s">
        <v>3607</v>
      </c>
      <c r="C22" s="19" t="s">
        <v>20</v>
      </c>
      <c r="D22" s="19" t="s">
        <v>1263</v>
      </c>
      <c r="E22" s="4">
        <v>0.4</v>
      </c>
      <c r="F22" s="42">
        <v>2.1</v>
      </c>
      <c r="G22" s="45">
        <v>213</v>
      </c>
      <c r="H22" s="22">
        <v>2</v>
      </c>
      <c r="I22" s="6">
        <f t="shared" si="0"/>
        <v>357.84000000000003</v>
      </c>
      <c r="J22" s="7" t="s">
        <v>88</v>
      </c>
    </row>
    <row r="23" spans="1:10" ht="13.95" customHeight="1" x14ac:dyDescent="0.3">
      <c r="A23" s="20">
        <v>45679</v>
      </c>
      <c r="B23" s="20" t="s">
        <v>3607</v>
      </c>
      <c r="C23" s="19" t="s">
        <v>5</v>
      </c>
      <c r="D23" s="19" t="s">
        <v>1263</v>
      </c>
      <c r="E23" s="4">
        <v>0.45</v>
      </c>
      <c r="F23" s="42">
        <v>2.15</v>
      </c>
      <c r="G23" s="45">
        <v>213</v>
      </c>
      <c r="H23" s="22">
        <v>2</v>
      </c>
      <c r="I23" s="6">
        <f t="shared" si="0"/>
        <v>412.15500000000003</v>
      </c>
      <c r="J23" s="7" t="s">
        <v>88</v>
      </c>
    </row>
    <row r="24" spans="1:10" ht="13.95" customHeight="1" x14ac:dyDescent="0.3">
      <c r="A24" s="20">
        <v>45680</v>
      </c>
      <c r="B24" s="20" t="s">
        <v>3607</v>
      </c>
      <c r="C24" s="19" t="s">
        <v>8</v>
      </c>
      <c r="D24" s="19" t="s">
        <v>1263</v>
      </c>
      <c r="E24" s="4">
        <v>0.45</v>
      </c>
      <c r="F24" s="42">
        <v>2.2000000000000002</v>
      </c>
      <c r="G24" s="45">
        <v>213</v>
      </c>
      <c r="H24" s="22">
        <v>2</v>
      </c>
      <c r="I24" s="6">
        <f t="shared" si="0"/>
        <v>421.74000000000007</v>
      </c>
      <c r="J24" s="7" t="s">
        <v>82</v>
      </c>
    </row>
    <row r="25" spans="1:10" ht="13.95" customHeight="1" x14ac:dyDescent="0.3">
      <c r="A25" s="20">
        <v>45681</v>
      </c>
      <c r="B25" s="20" t="s">
        <v>3607</v>
      </c>
      <c r="C25" s="19" t="s">
        <v>11</v>
      </c>
      <c r="D25" s="19" t="s">
        <v>14</v>
      </c>
      <c r="E25" s="4">
        <v>0.6</v>
      </c>
      <c r="F25" s="42">
        <v>2.8</v>
      </c>
      <c r="G25" s="45">
        <v>213</v>
      </c>
      <c r="H25" s="22">
        <v>2</v>
      </c>
      <c r="I25" s="6">
        <f t="shared" si="0"/>
        <v>715.68</v>
      </c>
      <c r="J25" s="7" t="s">
        <v>1266</v>
      </c>
    </row>
    <row r="26" spans="1:10" ht="13.95" customHeight="1" x14ac:dyDescent="0.3">
      <c r="A26" s="20">
        <v>45682</v>
      </c>
      <c r="B26" s="20" t="s">
        <v>3607</v>
      </c>
      <c r="C26" s="19" t="s">
        <v>13</v>
      </c>
      <c r="D26" s="19" t="s">
        <v>3478</v>
      </c>
      <c r="E26" s="4">
        <v>0.75</v>
      </c>
      <c r="F26" s="42">
        <v>3.5</v>
      </c>
      <c r="G26" s="45">
        <v>213</v>
      </c>
      <c r="H26" s="22">
        <v>2</v>
      </c>
      <c r="I26" s="6">
        <f t="shared" si="0"/>
        <v>1118.25</v>
      </c>
      <c r="J26" s="7" t="s">
        <v>3479</v>
      </c>
    </row>
    <row r="27" spans="1:10" ht="13.95" customHeight="1" x14ac:dyDescent="0.3">
      <c r="A27" s="20">
        <v>45683</v>
      </c>
      <c r="B27" s="20" t="s">
        <v>3607</v>
      </c>
      <c r="C27" s="19" t="s">
        <v>16</v>
      </c>
      <c r="D27" s="19" t="s">
        <v>3480</v>
      </c>
      <c r="E27" s="4">
        <v>0.7</v>
      </c>
      <c r="F27" s="42">
        <v>3.15</v>
      </c>
      <c r="G27" s="45">
        <v>213</v>
      </c>
      <c r="H27" s="22">
        <v>2</v>
      </c>
      <c r="I27" s="6">
        <f t="shared" si="0"/>
        <v>939.32999999999993</v>
      </c>
      <c r="J27" s="7" t="s">
        <v>3113</v>
      </c>
    </row>
    <row r="28" spans="1:10" ht="13.95" customHeight="1" x14ac:dyDescent="0.3">
      <c r="A28" s="20">
        <v>45684</v>
      </c>
      <c r="B28" s="20" t="s">
        <v>3607</v>
      </c>
      <c r="C28" s="19" t="s">
        <v>18</v>
      </c>
      <c r="D28" s="19" t="s">
        <v>1259</v>
      </c>
      <c r="E28" s="4">
        <v>0.35</v>
      </c>
      <c r="F28" s="42">
        <v>2.1</v>
      </c>
      <c r="G28" s="45">
        <v>213</v>
      </c>
      <c r="H28" s="22">
        <v>2</v>
      </c>
      <c r="I28" s="6">
        <f t="shared" si="0"/>
        <v>313.11</v>
      </c>
      <c r="J28" s="7" t="s">
        <v>88</v>
      </c>
    </row>
    <row r="29" spans="1:10" ht="13.95" customHeight="1" x14ac:dyDescent="0.3">
      <c r="A29" s="20">
        <v>45685</v>
      </c>
      <c r="B29" s="20" t="s">
        <v>3607</v>
      </c>
      <c r="C29" s="19" t="s">
        <v>20</v>
      </c>
      <c r="D29" s="19" t="s">
        <v>1259</v>
      </c>
      <c r="E29" s="4">
        <v>0.35</v>
      </c>
      <c r="F29" s="42">
        <v>2.1</v>
      </c>
      <c r="G29" s="45">
        <v>213</v>
      </c>
      <c r="H29" s="22">
        <v>2</v>
      </c>
      <c r="I29" s="6">
        <f t="shared" si="0"/>
        <v>313.11</v>
      </c>
      <c r="J29" s="7" t="s">
        <v>88</v>
      </c>
    </row>
    <row r="30" spans="1:10" ht="13.95" customHeight="1" x14ac:dyDescent="0.3">
      <c r="A30" s="20">
        <v>45686</v>
      </c>
      <c r="B30" s="20" t="s">
        <v>3607</v>
      </c>
      <c r="C30" s="19" t="s">
        <v>5</v>
      </c>
      <c r="D30" s="19" t="s">
        <v>1259</v>
      </c>
      <c r="E30" s="4">
        <v>0.4</v>
      </c>
      <c r="F30" s="42">
        <v>2.15</v>
      </c>
      <c r="G30" s="45">
        <v>213</v>
      </c>
      <c r="H30" s="22">
        <v>2</v>
      </c>
      <c r="I30" s="6">
        <f t="shared" si="0"/>
        <v>366.36</v>
      </c>
      <c r="J30" s="7" t="s">
        <v>88</v>
      </c>
    </row>
    <row r="31" spans="1:10" ht="13.95" customHeight="1" x14ac:dyDescent="0.3">
      <c r="A31" s="20">
        <v>45687</v>
      </c>
      <c r="B31" s="20" t="s">
        <v>3607</v>
      </c>
      <c r="C31" s="19" t="s">
        <v>8</v>
      </c>
      <c r="D31" s="19" t="s">
        <v>44</v>
      </c>
      <c r="E31" s="4">
        <v>0.45</v>
      </c>
      <c r="F31" s="42">
        <v>2.2000000000000002</v>
      </c>
      <c r="G31" s="45">
        <v>213</v>
      </c>
      <c r="H31" s="22">
        <v>2</v>
      </c>
      <c r="I31" s="6">
        <f t="shared" si="0"/>
        <v>421.74000000000007</v>
      </c>
      <c r="J31" s="7" t="s">
        <v>88</v>
      </c>
    </row>
    <row r="32" spans="1:10" ht="13.95" customHeight="1" x14ac:dyDescent="0.3">
      <c r="A32" s="20">
        <v>45688</v>
      </c>
      <c r="B32" s="20" t="s">
        <v>3607</v>
      </c>
      <c r="C32" s="19" t="s">
        <v>11</v>
      </c>
      <c r="D32" s="19" t="s">
        <v>14</v>
      </c>
      <c r="E32" s="4">
        <v>0.6</v>
      </c>
      <c r="F32" s="42">
        <v>2.75</v>
      </c>
      <c r="G32" s="45">
        <v>213</v>
      </c>
      <c r="H32" s="22">
        <v>2</v>
      </c>
      <c r="I32" s="6">
        <f t="shared" si="0"/>
        <v>702.9</v>
      </c>
      <c r="J32" s="7" t="s">
        <v>3338</v>
      </c>
    </row>
    <row r="33" spans="1:10" ht="13.95" customHeight="1" x14ac:dyDescent="0.3">
      <c r="A33" s="20">
        <v>45689</v>
      </c>
      <c r="B33" s="20" t="s">
        <v>3607</v>
      </c>
      <c r="C33" s="19" t="s">
        <v>13</v>
      </c>
      <c r="D33" s="19" t="s">
        <v>14</v>
      </c>
      <c r="E33" s="4">
        <v>0.6</v>
      </c>
      <c r="F33" s="42">
        <v>3.3</v>
      </c>
      <c r="G33" s="45">
        <v>213</v>
      </c>
      <c r="H33" s="22">
        <v>2</v>
      </c>
      <c r="I33" s="6">
        <f t="shared" si="0"/>
        <v>843.4799999999999</v>
      </c>
      <c r="J33" s="7" t="s">
        <v>3030</v>
      </c>
    </row>
    <row r="34" spans="1:10" ht="13.95" customHeight="1" x14ac:dyDescent="0.3">
      <c r="A34" s="20">
        <v>45690</v>
      </c>
      <c r="B34" s="20" t="s">
        <v>3607</v>
      </c>
      <c r="C34" s="19" t="s">
        <v>16</v>
      </c>
      <c r="D34" s="19" t="s">
        <v>3323</v>
      </c>
      <c r="E34" s="4">
        <v>0.55000000000000004</v>
      </c>
      <c r="F34" s="42">
        <v>2.9</v>
      </c>
      <c r="G34" s="45">
        <v>213</v>
      </c>
      <c r="H34" s="22">
        <v>2</v>
      </c>
      <c r="I34" s="6">
        <f t="shared" si="0"/>
        <v>679.47</v>
      </c>
      <c r="J34" s="7" t="s">
        <v>238</v>
      </c>
    </row>
    <row r="35" spans="1:10" ht="13.95" customHeight="1" x14ac:dyDescent="0.3">
      <c r="A35" s="20">
        <v>45691</v>
      </c>
      <c r="B35" s="20" t="s">
        <v>3607</v>
      </c>
      <c r="C35" s="19" t="s">
        <v>18</v>
      </c>
      <c r="D35" s="19" t="s">
        <v>1263</v>
      </c>
      <c r="E35" s="4">
        <v>0.45</v>
      </c>
      <c r="F35" s="42">
        <v>2.15</v>
      </c>
      <c r="G35" s="45">
        <v>213</v>
      </c>
      <c r="H35" s="22">
        <v>2</v>
      </c>
      <c r="I35" s="6">
        <f t="shared" si="0"/>
        <v>412.15500000000003</v>
      </c>
      <c r="J35" s="7" t="s">
        <v>115</v>
      </c>
    </row>
    <row r="36" spans="1:10" ht="13.95" customHeight="1" x14ac:dyDescent="0.3">
      <c r="A36" s="20">
        <v>45692</v>
      </c>
      <c r="B36" s="20" t="s">
        <v>3607</v>
      </c>
      <c r="C36" s="19" t="s">
        <v>20</v>
      </c>
      <c r="D36" s="19" t="s">
        <v>1263</v>
      </c>
      <c r="E36" s="4">
        <v>0.5</v>
      </c>
      <c r="F36" s="42">
        <v>2.15</v>
      </c>
      <c r="G36" s="45">
        <v>213</v>
      </c>
      <c r="H36" s="22">
        <v>2</v>
      </c>
      <c r="I36" s="6">
        <f t="shared" si="0"/>
        <v>457.95</v>
      </c>
      <c r="J36" s="7" t="s">
        <v>1376</v>
      </c>
    </row>
    <row r="37" spans="1:10" ht="13.95" customHeight="1" x14ac:dyDescent="0.3">
      <c r="A37" s="20">
        <v>45693</v>
      </c>
      <c r="B37" s="20" t="s">
        <v>3607</v>
      </c>
      <c r="C37" s="19" t="s">
        <v>5</v>
      </c>
      <c r="D37" s="19" t="s">
        <v>1263</v>
      </c>
      <c r="E37" s="4">
        <v>0.5</v>
      </c>
      <c r="F37" s="42">
        <v>2.15</v>
      </c>
      <c r="G37" s="45">
        <v>213</v>
      </c>
      <c r="H37" s="22">
        <v>2</v>
      </c>
      <c r="I37" s="6">
        <f t="shared" si="0"/>
        <v>457.95</v>
      </c>
      <c r="J37" s="7" t="s">
        <v>3471</v>
      </c>
    </row>
    <row r="38" spans="1:10" ht="13.95" customHeight="1" x14ac:dyDescent="0.3">
      <c r="A38" s="20">
        <v>45694</v>
      </c>
      <c r="B38" s="20" t="s">
        <v>3607</v>
      </c>
      <c r="C38" s="19" t="s">
        <v>8</v>
      </c>
      <c r="D38" s="19" t="s">
        <v>706</v>
      </c>
      <c r="E38" s="4">
        <v>0.45</v>
      </c>
      <c r="F38" s="42">
        <v>2.2000000000000002</v>
      </c>
      <c r="G38" s="45">
        <v>213</v>
      </c>
      <c r="H38" s="22">
        <v>2</v>
      </c>
      <c r="I38" s="6">
        <f t="shared" si="0"/>
        <v>421.74000000000007</v>
      </c>
      <c r="J38" s="7" t="s">
        <v>88</v>
      </c>
    </row>
    <row r="39" spans="1:10" ht="13.95" customHeight="1" x14ac:dyDescent="0.3">
      <c r="A39" s="20">
        <v>45695</v>
      </c>
      <c r="B39" s="20" t="s">
        <v>3607</v>
      </c>
      <c r="C39" s="19" t="s">
        <v>11</v>
      </c>
      <c r="D39" s="19" t="s">
        <v>2993</v>
      </c>
      <c r="E39" s="4">
        <v>0.55000000000000004</v>
      </c>
      <c r="F39" s="42">
        <v>2.75</v>
      </c>
      <c r="G39" s="45">
        <v>213</v>
      </c>
      <c r="H39" s="22">
        <v>2</v>
      </c>
      <c r="I39" s="6">
        <f t="shared" si="0"/>
        <v>644.32500000000005</v>
      </c>
      <c r="J39" s="7" t="s">
        <v>1600</v>
      </c>
    </row>
    <row r="40" spans="1:10" ht="13.95" customHeight="1" x14ac:dyDescent="0.3">
      <c r="A40" s="20">
        <v>45696</v>
      </c>
      <c r="B40" s="20" t="s">
        <v>3607</v>
      </c>
      <c r="C40" s="19" t="s">
        <v>13</v>
      </c>
      <c r="D40" s="19" t="s">
        <v>3156</v>
      </c>
      <c r="E40" s="4">
        <v>0.65</v>
      </c>
      <c r="F40" s="42">
        <v>3.45</v>
      </c>
      <c r="G40" s="45">
        <v>213</v>
      </c>
      <c r="H40" s="22">
        <v>2</v>
      </c>
      <c r="I40" s="6">
        <f t="shared" si="0"/>
        <v>955.30500000000018</v>
      </c>
      <c r="J40" s="7" t="s">
        <v>3481</v>
      </c>
    </row>
    <row r="41" spans="1:10" ht="13.95" customHeight="1" x14ac:dyDescent="0.3">
      <c r="A41" s="20">
        <v>45697</v>
      </c>
      <c r="B41" s="20" t="s">
        <v>3607</v>
      </c>
      <c r="C41" s="19" t="s">
        <v>16</v>
      </c>
      <c r="D41" s="19" t="s">
        <v>3323</v>
      </c>
      <c r="E41" s="4">
        <v>0.6</v>
      </c>
      <c r="F41" s="42">
        <v>2.95</v>
      </c>
      <c r="G41" s="45">
        <v>213</v>
      </c>
      <c r="H41" s="22">
        <v>2</v>
      </c>
      <c r="I41" s="6">
        <f t="shared" si="0"/>
        <v>754.02</v>
      </c>
      <c r="J41" s="7" t="s">
        <v>88</v>
      </c>
    </row>
    <row r="42" spans="1:10" ht="13.95" customHeight="1" x14ac:dyDescent="0.3">
      <c r="A42" s="20">
        <v>45698</v>
      </c>
      <c r="B42" s="20" t="s">
        <v>3607</v>
      </c>
      <c r="C42" s="19" t="s">
        <v>18</v>
      </c>
      <c r="D42" s="19" t="s">
        <v>706</v>
      </c>
      <c r="E42" s="4">
        <v>0.4</v>
      </c>
      <c r="F42" s="42">
        <v>2.1</v>
      </c>
      <c r="G42" s="45">
        <v>213</v>
      </c>
      <c r="H42" s="22">
        <v>2</v>
      </c>
      <c r="I42" s="6">
        <f t="shared" si="0"/>
        <v>357.84000000000003</v>
      </c>
      <c r="J42" s="7" t="s">
        <v>527</v>
      </c>
    </row>
    <row r="43" spans="1:10" ht="13.95" customHeight="1" x14ac:dyDescent="0.3">
      <c r="A43" s="20">
        <v>45699</v>
      </c>
      <c r="B43" s="20" t="s">
        <v>3607</v>
      </c>
      <c r="C43" s="19" t="s">
        <v>20</v>
      </c>
      <c r="D43" s="19" t="s">
        <v>706</v>
      </c>
      <c r="E43" s="4">
        <v>0.4</v>
      </c>
      <c r="F43" s="42">
        <v>2.1</v>
      </c>
      <c r="G43" s="45">
        <v>213</v>
      </c>
      <c r="H43" s="22">
        <v>2</v>
      </c>
      <c r="I43" s="6">
        <f t="shared" si="0"/>
        <v>357.84000000000003</v>
      </c>
      <c r="J43" s="7" t="s">
        <v>88</v>
      </c>
    </row>
    <row r="44" spans="1:10" ht="13.95" customHeight="1" x14ac:dyDescent="0.3">
      <c r="A44" s="20">
        <v>45700</v>
      </c>
      <c r="B44" s="20" t="s">
        <v>3607</v>
      </c>
      <c r="C44" s="19" t="s">
        <v>5</v>
      </c>
      <c r="D44" s="19" t="s">
        <v>3450</v>
      </c>
      <c r="E44" s="4">
        <v>0.5</v>
      </c>
      <c r="F44" s="42">
        <v>2.2999999999999998</v>
      </c>
      <c r="G44" s="45">
        <v>213</v>
      </c>
      <c r="H44" s="22">
        <v>2</v>
      </c>
      <c r="I44" s="6">
        <f t="shared" si="0"/>
        <v>489.9</v>
      </c>
      <c r="J44" s="7" t="s">
        <v>1938</v>
      </c>
    </row>
    <row r="45" spans="1:10" ht="13.95" customHeight="1" x14ac:dyDescent="0.3">
      <c r="A45" s="20">
        <v>45701</v>
      </c>
      <c r="B45" s="20" t="s">
        <v>3607</v>
      </c>
      <c r="C45" s="19" t="s">
        <v>8</v>
      </c>
      <c r="D45" s="19" t="s">
        <v>843</v>
      </c>
      <c r="E45" s="4">
        <v>0.65</v>
      </c>
      <c r="F45" s="42">
        <v>2.9</v>
      </c>
      <c r="G45" s="45">
        <v>213</v>
      </c>
      <c r="H45" s="22">
        <v>2</v>
      </c>
      <c r="I45" s="6">
        <f t="shared" si="0"/>
        <v>803.0100000000001</v>
      </c>
      <c r="J45" s="7" t="s">
        <v>1742</v>
      </c>
    </row>
    <row r="46" spans="1:10" ht="13.95" customHeight="1" x14ac:dyDescent="0.3">
      <c r="A46" s="20">
        <v>45702</v>
      </c>
      <c r="B46" s="20" t="s">
        <v>3607</v>
      </c>
      <c r="C46" s="19" t="s">
        <v>11</v>
      </c>
      <c r="D46" s="19" t="s">
        <v>1939</v>
      </c>
      <c r="E46" s="4">
        <v>0.9</v>
      </c>
      <c r="F46" s="42">
        <v>4.4000000000000004</v>
      </c>
      <c r="G46" s="45">
        <v>213</v>
      </c>
      <c r="H46" s="22">
        <v>2</v>
      </c>
      <c r="I46" s="6">
        <f t="shared" si="0"/>
        <v>1686.9600000000003</v>
      </c>
      <c r="J46" s="7" t="s">
        <v>3482</v>
      </c>
    </row>
    <row r="47" spans="1:10" ht="13.95" customHeight="1" x14ac:dyDescent="0.3">
      <c r="A47" s="20">
        <v>45703</v>
      </c>
      <c r="B47" s="20" t="s">
        <v>3607</v>
      </c>
      <c r="C47" s="19" t="s">
        <v>13</v>
      </c>
      <c r="D47" s="19" t="s">
        <v>14</v>
      </c>
      <c r="E47" s="4">
        <v>0.85</v>
      </c>
      <c r="F47" s="42">
        <v>3.6</v>
      </c>
      <c r="G47" s="45">
        <v>213</v>
      </c>
      <c r="H47" s="22">
        <v>2</v>
      </c>
      <c r="I47" s="6">
        <f t="shared" si="0"/>
        <v>1303.56</v>
      </c>
      <c r="J47" s="7" t="s">
        <v>3483</v>
      </c>
    </row>
    <row r="48" spans="1:10" ht="13.95" customHeight="1" x14ac:dyDescent="0.3">
      <c r="A48" s="20">
        <v>45704</v>
      </c>
      <c r="B48" s="20" t="s">
        <v>3607</v>
      </c>
      <c r="C48" s="19" t="s">
        <v>16</v>
      </c>
      <c r="D48" s="19" t="s">
        <v>3480</v>
      </c>
      <c r="E48" s="4">
        <v>0.75</v>
      </c>
      <c r="F48" s="42">
        <v>3.2</v>
      </c>
      <c r="G48" s="45">
        <v>213</v>
      </c>
      <c r="H48" s="22">
        <v>2</v>
      </c>
      <c r="I48" s="6">
        <f t="shared" si="0"/>
        <v>1022.4000000000001</v>
      </c>
      <c r="J48" s="7" t="s">
        <v>237</v>
      </c>
    </row>
    <row r="49" spans="1:10" ht="13.95" customHeight="1" x14ac:dyDescent="0.3">
      <c r="A49" s="20">
        <v>45705</v>
      </c>
      <c r="B49" s="20" t="s">
        <v>3607</v>
      </c>
      <c r="C49" s="19" t="s">
        <v>18</v>
      </c>
      <c r="D49" s="19" t="s">
        <v>706</v>
      </c>
      <c r="E49" s="4">
        <v>0.45</v>
      </c>
      <c r="F49" s="42">
        <v>2.15</v>
      </c>
      <c r="G49" s="45">
        <v>213</v>
      </c>
      <c r="H49" s="22">
        <v>2</v>
      </c>
      <c r="I49" s="6">
        <f t="shared" si="0"/>
        <v>412.15500000000003</v>
      </c>
      <c r="J49" s="7" t="s">
        <v>3484</v>
      </c>
    </row>
    <row r="50" spans="1:10" ht="13.95" customHeight="1" x14ac:dyDescent="0.3">
      <c r="A50" s="20">
        <v>45706</v>
      </c>
      <c r="B50" s="20" t="s">
        <v>3607</v>
      </c>
      <c r="C50" s="19" t="s">
        <v>20</v>
      </c>
      <c r="D50" s="19" t="s">
        <v>706</v>
      </c>
      <c r="E50" s="4">
        <v>0.45</v>
      </c>
      <c r="F50" s="42">
        <v>2.15</v>
      </c>
      <c r="G50" s="45">
        <v>213</v>
      </c>
      <c r="H50" s="22">
        <v>2</v>
      </c>
      <c r="I50" s="6">
        <f t="shared" si="0"/>
        <v>412.15500000000003</v>
      </c>
      <c r="J50" s="7" t="s">
        <v>88</v>
      </c>
    </row>
    <row r="51" spans="1:10" ht="13.95" customHeight="1" x14ac:dyDescent="0.3">
      <c r="A51" s="20">
        <v>45707</v>
      </c>
      <c r="B51" s="20" t="s">
        <v>3607</v>
      </c>
      <c r="C51" s="19" t="s">
        <v>5</v>
      </c>
      <c r="D51" s="19" t="s">
        <v>706</v>
      </c>
      <c r="E51" s="4">
        <v>0.45</v>
      </c>
      <c r="F51" s="42">
        <v>2.15</v>
      </c>
      <c r="G51" s="45">
        <v>213</v>
      </c>
      <c r="H51" s="22">
        <v>2</v>
      </c>
      <c r="I51" s="6">
        <f t="shared" si="0"/>
        <v>412.15500000000003</v>
      </c>
      <c r="J51" s="7" t="s">
        <v>88</v>
      </c>
    </row>
    <row r="52" spans="1:10" ht="13.95" customHeight="1" x14ac:dyDescent="0.3">
      <c r="A52" s="20">
        <v>45708</v>
      </c>
      <c r="B52" s="20" t="s">
        <v>3607</v>
      </c>
      <c r="C52" s="19" t="s">
        <v>8</v>
      </c>
      <c r="D52" s="19" t="s">
        <v>706</v>
      </c>
      <c r="E52" s="4">
        <v>0.5</v>
      </c>
      <c r="F52" s="42">
        <v>2.25</v>
      </c>
      <c r="G52" s="45">
        <v>213</v>
      </c>
      <c r="H52" s="22">
        <v>2</v>
      </c>
      <c r="I52" s="6">
        <f t="shared" si="0"/>
        <v>479.25</v>
      </c>
      <c r="J52" s="7" t="s">
        <v>88</v>
      </c>
    </row>
    <row r="53" spans="1:10" ht="13.95" customHeight="1" x14ac:dyDescent="0.3">
      <c r="A53" s="20">
        <v>45709</v>
      </c>
      <c r="B53" s="20" t="s">
        <v>3607</v>
      </c>
      <c r="C53" s="19" t="s">
        <v>11</v>
      </c>
      <c r="D53" s="19" t="s">
        <v>14</v>
      </c>
      <c r="E53" s="4">
        <v>0.6</v>
      </c>
      <c r="F53" s="42">
        <v>2.8</v>
      </c>
      <c r="G53" s="45">
        <v>213</v>
      </c>
      <c r="H53" s="22">
        <v>2</v>
      </c>
      <c r="I53" s="6">
        <f t="shared" si="0"/>
        <v>715.68</v>
      </c>
      <c r="J53" s="7" t="s">
        <v>1783</v>
      </c>
    </row>
    <row r="54" spans="1:10" ht="13.95" customHeight="1" x14ac:dyDescent="0.3">
      <c r="A54" s="20">
        <v>45710</v>
      </c>
      <c r="B54" s="20" t="s">
        <v>3607</v>
      </c>
      <c r="C54" s="19" t="s">
        <v>13</v>
      </c>
      <c r="D54" s="19" t="s">
        <v>2988</v>
      </c>
      <c r="E54" s="4">
        <v>0.7</v>
      </c>
      <c r="F54" s="42">
        <v>3.4</v>
      </c>
      <c r="G54" s="45">
        <v>213</v>
      </c>
      <c r="H54" s="22">
        <v>2</v>
      </c>
      <c r="I54" s="6">
        <f t="shared" si="0"/>
        <v>1013.8799999999999</v>
      </c>
      <c r="J54" s="7" t="s">
        <v>3314</v>
      </c>
    </row>
    <row r="55" spans="1:10" ht="13.95" customHeight="1" x14ac:dyDescent="0.3">
      <c r="A55" s="20">
        <v>45711</v>
      </c>
      <c r="B55" s="20" t="s">
        <v>3607</v>
      </c>
      <c r="C55" s="19" t="s">
        <v>16</v>
      </c>
      <c r="D55" s="19" t="s">
        <v>3480</v>
      </c>
      <c r="E55" s="4">
        <v>0.65</v>
      </c>
      <c r="F55" s="42">
        <v>3.1</v>
      </c>
      <c r="G55" s="45">
        <v>213</v>
      </c>
      <c r="H55" s="22">
        <v>2</v>
      </c>
      <c r="I55" s="6">
        <f t="shared" si="0"/>
        <v>858.3900000000001</v>
      </c>
      <c r="J55" s="7" t="s">
        <v>3313</v>
      </c>
    </row>
    <row r="56" spans="1:10" ht="13.95" customHeight="1" x14ac:dyDescent="0.3">
      <c r="A56" s="20">
        <v>45712</v>
      </c>
      <c r="B56" s="20" t="s">
        <v>3607</v>
      </c>
      <c r="C56" s="19" t="s">
        <v>18</v>
      </c>
      <c r="D56" s="19" t="s">
        <v>1259</v>
      </c>
      <c r="E56" s="4">
        <v>0.4</v>
      </c>
      <c r="F56" s="42">
        <v>2.1</v>
      </c>
      <c r="G56" s="45">
        <v>213</v>
      </c>
      <c r="H56" s="22">
        <v>2</v>
      </c>
      <c r="I56" s="6">
        <f t="shared" si="0"/>
        <v>357.84000000000003</v>
      </c>
      <c r="J56" s="7" t="s">
        <v>88</v>
      </c>
    </row>
    <row r="57" spans="1:10" ht="13.95" customHeight="1" x14ac:dyDescent="0.3">
      <c r="A57" s="20">
        <v>45713</v>
      </c>
      <c r="B57" s="20" t="s">
        <v>3607</v>
      </c>
      <c r="C57" s="19" t="s">
        <v>20</v>
      </c>
      <c r="D57" s="19" t="s">
        <v>1259</v>
      </c>
      <c r="E57" s="4">
        <v>0.4</v>
      </c>
      <c r="F57" s="42">
        <v>2.1</v>
      </c>
      <c r="G57" s="45">
        <v>213</v>
      </c>
      <c r="H57" s="22">
        <v>2</v>
      </c>
      <c r="I57" s="6">
        <f t="shared" si="0"/>
        <v>357.84000000000003</v>
      </c>
      <c r="J57" s="7" t="s">
        <v>88</v>
      </c>
    </row>
    <row r="58" spans="1:10" ht="13.95" customHeight="1" x14ac:dyDescent="0.3">
      <c r="A58" s="20">
        <v>45714</v>
      </c>
      <c r="B58" s="20" t="s">
        <v>3607</v>
      </c>
      <c r="C58" s="19" t="s">
        <v>5</v>
      </c>
      <c r="D58" s="19" t="s">
        <v>1259</v>
      </c>
      <c r="E58" s="4">
        <v>0.45</v>
      </c>
      <c r="F58" s="42">
        <v>2.15</v>
      </c>
      <c r="G58" s="45">
        <v>213</v>
      </c>
      <c r="H58" s="22">
        <v>2</v>
      </c>
      <c r="I58" s="6">
        <f t="shared" si="0"/>
        <v>412.15500000000003</v>
      </c>
      <c r="J58" s="7" t="s">
        <v>88</v>
      </c>
    </row>
    <row r="59" spans="1:10" ht="13.95" customHeight="1" x14ac:dyDescent="0.3">
      <c r="A59" s="20">
        <v>45715</v>
      </c>
      <c r="B59" s="20" t="s">
        <v>3607</v>
      </c>
      <c r="C59" s="19" t="s">
        <v>8</v>
      </c>
      <c r="D59" s="19" t="s">
        <v>44</v>
      </c>
      <c r="E59" s="4">
        <v>0.5</v>
      </c>
      <c r="F59" s="42">
        <v>2.25</v>
      </c>
      <c r="G59" s="45">
        <v>213</v>
      </c>
      <c r="H59" s="22">
        <v>2</v>
      </c>
      <c r="I59" s="6">
        <f t="shared" si="0"/>
        <v>479.25</v>
      </c>
      <c r="J59" s="7" t="s">
        <v>72</v>
      </c>
    </row>
    <row r="60" spans="1:10" ht="13.95" customHeight="1" x14ac:dyDescent="0.3">
      <c r="A60" s="20">
        <v>45716</v>
      </c>
      <c r="B60" s="20" t="s">
        <v>3607</v>
      </c>
      <c r="C60" s="19" t="s">
        <v>11</v>
      </c>
      <c r="D60" s="19" t="s">
        <v>3464</v>
      </c>
      <c r="E60" s="4">
        <v>0.75</v>
      </c>
      <c r="F60" s="42">
        <v>3.4</v>
      </c>
      <c r="G60" s="45">
        <v>213</v>
      </c>
      <c r="H60" s="22">
        <v>2</v>
      </c>
      <c r="I60" s="6">
        <f t="shared" si="0"/>
        <v>1086.3</v>
      </c>
      <c r="J60" s="7" t="s">
        <v>3485</v>
      </c>
    </row>
    <row r="61" spans="1:10" ht="13.95" customHeight="1" x14ac:dyDescent="0.3">
      <c r="A61" s="20">
        <v>45717</v>
      </c>
      <c r="B61" s="20" t="s">
        <v>3607</v>
      </c>
      <c r="C61" s="19" t="s">
        <v>13</v>
      </c>
      <c r="D61" s="19" t="s">
        <v>2736</v>
      </c>
      <c r="E61" s="4">
        <v>0.75</v>
      </c>
      <c r="F61" s="42">
        <v>4.8</v>
      </c>
      <c r="G61" s="45">
        <v>213</v>
      </c>
      <c r="H61" s="22">
        <v>2</v>
      </c>
      <c r="I61" s="6">
        <f t="shared" si="0"/>
        <v>1533.6</v>
      </c>
      <c r="J61" s="7" t="s">
        <v>3486</v>
      </c>
    </row>
    <row r="62" spans="1:10" ht="13.95" customHeight="1" x14ac:dyDescent="0.3">
      <c r="A62" s="20">
        <v>45718</v>
      </c>
      <c r="B62" s="20" t="s">
        <v>3607</v>
      </c>
      <c r="C62" s="19" t="s">
        <v>16</v>
      </c>
      <c r="D62" s="19" t="s">
        <v>76</v>
      </c>
      <c r="E62" s="4">
        <v>0.6</v>
      </c>
      <c r="F62" s="42">
        <v>3.8</v>
      </c>
      <c r="G62" s="45">
        <v>213</v>
      </c>
      <c r="H62" s="22">
        <v>2</v>
      </c>
      <c r="I62" s="6">
        <f t="shared" si="0"/>
        <v>971.28</v>
      </c>
      <c r="J62" s="7" t="s">
        <v>3487</v>
      </c>
    </row>
    <row r="63" spans="1:10" ht="13.95" customHeight="1" x14ac:dyDescent="0.3">
      <c r="A63" s="20">
        <v>45719</v>
      </c>
      <c r="B63" s="20" t="s">
        <v>3607</v>
      </c>
      <c r="C63" s="19" t="s">
        <v>18</v>
      </c>
      <c r="D63" s="19" t="s">
        <v>3488</v>
      </c>
      <c r="E63" s="4">
        <v>0.4</v>
      </c>
      <c r="F63" s="42">
        <v>3.2</v>
      </c>
      <c r="G63" s="45">
        <v>213</v>
      </c>
      <c r="H63" s="22">
        <v>2</v>
      </c>
      <c r="I63" s="6">
        <f t="shared" si="0"/>
        <v>545.28000000000009</v>
      </c>
      <c r="J63" s="7" t="s">
        <v>3489</v>
      </c>
    </row>
    <row r="64" spans="1:10" ht="13.95" customHeight="1" x14ac:dyDescent="0.3">
      <c r="A64" s="20">
        <v>45720</v>
      </c>
      <c r="B64" s="20" t="s">
        <v>3607</v>
      </c>
      <c r="C64" s="19" t="s">
        <v>20</v>
      </c>
      <c r="D64" s="19" t="s">
        <v>3488</v>
      </c>
      <c r="E64" s="4">
        <v>0.4</v>
      </c>
      <c r="F64" s="42">
        <v>3.2</v>
      </c>
      <c r="G64" s="45">
        <v>213</v>
      </c>
      <c r="H64" s="22">
        <v>2</v>
      </c>
      <c r="I64" s="6">
        <f t="shared" si="0"/>
        <v>545.28000000000009</v>
      </c>
      <c r="J64" s="7" t="s">
        <v>88</v>
      </c>
    </row>
    <row r="65" spans="1:10" ht="13.95" customHeight="1" x14ac:dyDescent="0.3">
      <c r="A65" s="20">
        <v>45721</v>
      </c>
      <c r="B65" s="20" t="s">
        <v>3607</v>
      </c>
      <c r="C65" s="19" t="s">
        <v>5</v>
      </c>
      <c r="D65" s="19" t="s">
        <v>3488</v>
      </c>
      <c r="E65" s="4">
        <v>0.45</v>
      </c>
      <c r="F65" s="42">
        <v>3.2</v>
      </c>
      <c r="G65" s="45">
        <v>213</v>
      </c>
      <c r="H65" s="22">
        <v>2</v>
      </c>
      <c r="I65" s="6">
        <f t="shared" si="0"/>
        <v>613.44000000000005</v>
      </c>
      <c r="J65" s="7" t="s">
        <v>88</v>
      </c>
    </row>
    <row r="66" spans="1:10" ht="13.95" customHeight="1" x14ac:dyDescent="0.3">
      <c r="A66" s="20">
        <v>45722</v>
      </c>
      <c r="B66" s="20" t="s">
        <v>3607</v>
      </c>
      <c r="C66" s="19" t="s">
        <v>8</v>
      </c>
      <c r="D66" s="19" t="s">
        <v>3488</v>
      </c>
      <c r="E66" s="4">
        <v>0.5</v>
      </c>
      <c r="F66" s="42">
        <v>3.3</v>
      </c>
      <c r="G66" s="45">
        <v>213</v>
      </c>
      <c r="H66" s="22">
        <v>2</v>
      </c>
      <c r="I66" s="6">
        <f t="shared" ref="I66:I129" si="1">(G66*E66)*F66*H66</f>
        <v>702.9</v>
      </c>
      <c r="J66" s="7" t="s">
        <v>1283</v>
      </c>
    </row>
    <row r="67" spans="1:10" ht="13.95" customHeight="1" x14ac:dyDescent="0.3">
      <c r="A67" s="20">
        <v>45723</v>
      </c>
      <c r="B67" s="20" t="s">
        <v>3607</v>
      </c>
      <c r="C67" s="19" t="s">
        <v>11</v>
      </c>
      <c r="D67" s="19" t="s">
        <v>3358</v>
      </c>
      <c r="E67" s="4">
        <v>0.6</v>
      </c>
      <c r="F67" s="42">
        <v>4.2</v>
      </c>
      <c r="G67" s="45">
        <v>213</v>
      </c>
      <c r="H67" s="22">
        <v>2</v>
      </c>
      <c r="I67" s="6">
        <f t="shared" si="1"/>
        <v>1073.52</v>
      </c>
      <c r="J67" s="7" t="s">
        <v>53</v>
      </c>
    </row>
    <row r="68" spans="1:10" ht="13.95" customHeight="1" x14ac:dyDescent="0.3">
      <c r="A68" s="20">
        <v>45724</v>
      </c>
      <c r="B68" s="20" t="s">
        <v>3607</v>
      </c>
      <c r="C68" s="19" t="s">
        <v>13</v>
      </c>
      <c r="D68" s="19" t="s">
        <v>3185</v>
      </c>
      <c r="E68" s="4">
        <v>0.75</v>
      </c>
      <c r="F68" s="42">
        <v>4.5999999999999996</v>
      </c>
      <c r="G68" s="45">
        <v>213</v>
      </c>
      <c r="H68" s="22">
        <v>2</v>
      </c>
      <c r="I68" s="6">
        <f t="shared" si="1"/>
        <v>1469.6999999999998</v>
      </c>
      <c r="J68" s="7" t="s">
        <v>3490</v>
      </c>
    </row>
    <row r="69" spans="1:10" ht="13.95" customHeight="1" x14ac:dyDescent="0.3">
      <c r="A69" s="20">
        <v>45725</v>
      </c>
      <c r="B69" s="20" t="s">
        <v>3607</v>
      </c>
      <c r="C69" s="19" t="s">
        <v>16</v>
      </c>
      <c r="D69" s="19" t="s">
        <v>76</v>
      </c>
      <c r="E69" s="4">
        <v>0.65</v>
      </c>
      <c r="F69" s="42">
        <v>3.9</v>
      </c>
      <c r="G69" s="45">
        <v>213</v>
      </c>
      <c r="H69" s="22">
        <v>2</v>
      </c>
      <c r="I69" s="6">
        <f t="shared" si="1"/>
        <v>1079.9100000000001</v>
      </c>
      <c r="J69" s="7" t="s">
        <v>3491</v>
      </c>
    </row>
    <row r="70" spans="1:10" ht="13.95" customHeight="1" x14ac:dyDescent="0.3">
      <c r="A70" s="20">
        <v>45726</v>
      </c>
      <c r="B70" s="20" t="s">
        <v>3607</v>
      </c>
      <c r="C70" s="19" t="s">
        <v>18</v>
      </c>
      <c r="D70" s="19" t="s">
        <v>3488</v>
      </c>
      <c r="E70" s="4">
        <v>0.4</v>
      </c>
      <c r="F70" s="42">
        <v>3.2</v>
      </c>
      <c r="G70" s="45">
        <v>213</v>
      </c>
      <c r="H70" s="22">
        <v>2</v>
      </c>
      <c r="I70" s="6">
        <f t="shared" si="1"/>
        <v>545.28000000000009</v>
      </c>
      <c r="J70" s="7" t="s">
        <v>88</v>
      </c>
    </row>
    <row r="71" spans="1:10" ht="13.95" customHeight="1" x14ac:dyDescent="0.3">
      <c r="A71" s="20">
        <v>45727</v>
      </c>
      <c r="B71" s="20" t="s">
        <v>3607</v>
      </c>
      <c r="C71" s="19" t="s">
        <v>20</v>
      </c>
      <c r="D71" s="19" t="s">
        <v>3488</v>
      </c>
      <c r="E71" s="4">
        <v>0.4</v>
      </c>
      <c r="F71" s="42">
        <v>3.2</v>
      </c>
      <c r="G71" s="45">
        <v>213</v>
      </c>
      <c r="H71" s="22">
        <v>2</v>
      </c>
      <c r="I71" s="6">
        <f t="shared" si="1"/>
        <v>545.28000000000009</v>
      </c>
      <c r="J71" s="7" t="s">
        <v>88</v>
      </c>
    </row>
    <row r="72" spans="1:10" ht="13.95" customHeight="1" x14ac:dyDescent="0.3">
      <c r="A72" s="20">
        <v>45728</v>
      </c>
      <c r="B72" s="20" t="s">
        <v>3607</v>
      </c>
      <c r="C72" s="19" t="s">
        <v>5</v>
      </c>
      <c r="D72" s="19" t="s">
        <v>3488</v>
      </c>
      <c r="E72" s="4">
        <v>0.45</v>
      </c>
      <c r="F72" s="42">
        <v>3.2</v>
      </c>
      <c r="G72" s="45">
        <v>213</v>
      </c>
      <c r="H72" s="22">
        <v>2</v>
      </c>
      <c r="I72" s="6">
        <f t="shared" si="1"/>
        <v>613.44000000000005</v>
      </c>
      <c r="J72" s="7" t="s">
        <v>88</v>
      </c>
    </row>
    <row r="73" spans="1:10" ht="13.95" customHeight="1" x14ac:dyDescent="0.3">
      <c r="A73" s="20">
        <v>45729</v>
      </c>
      <c r="B73" s="20" t="s">
        <v>3607</v>
      </c>
      <c r="C73" s="19" t="s">
        <v>8</v>
      </c>
      <c r="D73" s="19" t="s">
        <v>3488</v>
      </c>
      <c r="E73" s="4">
        <v>0.5</v>
      </c>
      <c r="F73" s="42">
        <v>3.3</v>
      </c>
      <c r="G73" s="45">
        <v>213</v>
      </c>
      <c r="H73" s="22">
        <v>2</v>
      </c>
      <c r="I73" s="6">
        <f t="shared" si="1"/>
        <v>702.9</v>
      </c>
      <c r="J73" s="7" t="s">
        <v>88</v>
      </c>
    </row>
    <row r="74" spans="1:10" ht="13.95" customHeight="1" x14ac:dyDescent="0.3">
      <c r="A74" s="20">
        <v>45730</v>
      </c>
      <c r="B74" s="20" t="s">
        <v>3607</v>
      </c>
      <c r="C74" s="19" t="s">
        <v>11</v>
      </c>
      <c r="D74" s="19" t="s">
        <v>3358</v>
      </c>
      <c r="E74" s="4">
        <v>0.65</v>
      </c>
      <c r="F74" s="42">
        <v>4.25</v>
      </c>
      <c r="G74" s="45">
        <v>213</v>
      </c>
      <c r="H74" s="22">
        <v>2</v>
      </c>
      <c r="I74" s="6">
        <f t="shared" si="1"/>
        <v>1176.825</v>
      </c>
      <c r="J74" s="7" t="s">
        <v>390</v>
      </c>
    </row>
    <row r="75" spans="1:10" ht="13.95" customHeight="1" x14ac:dyDescent="0.3">
      <c r="A75" s="20">
        <v>45731</v>
      </c>
      <c r="B75" s="20" t="s">
        <v>3607</v>
      </c>
      <c r="C75" s="19" t="s">
        <v>13</v>
      </c>
      <c r="D75" s="19" t="s">
        <v>3185</v>
      </c>
      <c r="E75" s="4">
        <v>0.8</v>
      </c>
      <c r="F75" s="42">
        <v>4.7</v>
      </c>
      <c r="G75" s="45">
        <v>213</v>
      </c>
      <c r="H75" s="22">
        <v>2</v>
      </c>
      <c r="I75" s="6">
        <f t="shared" si="1"/>
        <v>1601.7600000000002</v>
      </c>
      <c r="J75" s="7" t="s">
        <v>3492</v>
      </c>
    </row>
    <row r="76" spans="1:10" ht="13.95" customHeight="1" x14ac:dyDescent="0.3">
      <c r="A76" s="20">
        <v>45732</v>
      </c>
      <c r="B76" s="20" t="s">
        <v>3607</v>
      </c>
      <c r="C76" s="19" t="s">
        <v>16</v>
      </c>
      <c r="D76" s="19" t="s">
        <v>76</v>
      </c>
      <c r="E76" s="4">
        <v>0.7</v>
      </c>
      <c r="F76" s="42">
        <v>3.95</v>
      </c>
      <c r="G76" s="45">
        <v>213</v>
      </c>
      <c r="H76" s="22">
        <v>2</v>
      </c>
      <c r="I76" s="6">
        <f t="shared" si="1"/>
        <v>1177.8900000000001</v>
      </c>
      <c r="J76" s="7" t="s">
        <v>88</v>
      </c>
    </row>
    <row r="77" spans="1:10" ht="13.95" customHeight="1" x14ac:dyDescent="0.3">
      <c r="A77" s="20">
        <v>45733</v>
      </c>
      <c r="B77" s="20" t="s">
        <v>3607</v>
      </c>
      <c r="C77" s="19" t="s">
        <v>18</v>
      </c>
      <c r="D77" s="19" t="s">
        <v>3488</v>
      </c>
      <c r="E77" s="4">
        <v>0.45</v>
      </c>
      <c r="F77" s="42">
        <v>3.25</v>
      </c>
      <c r="G77" s="45">
        <v>213</v>
      </c>
      <c r="H77" s="22">
        <v>2</v>
      </c>
      <c r="I77" s="6">
        <f t="shared" si="1"/>
        <v>623.02500000000009</v>
      </c>
      <c r="J77" s="7" t="s">
        <v>88</v>
      </c>
    </row>
    <row r="78" spans="1:10" ht="13.95" customHeight="1" x14ac:dyDescent="0.3">
      <c r="A78" s="20">
        <v>45734</v>
      </c>
      <c r="B78" s="20" t="s">
        <v>3607</v>
      </c>
      <c r="C78" s="19" t="s">
        <v>20</v>
      </c>
      <c r="D78" s="19" t="s">
        <v>3488</v>
      </c>
      <c r="E78" s="4">
        <v>0.45</v>
      </c>
      <c r="F78" s="42">
        <v>3.2</v>
      </c>
      <c r="G78" s="45">
        <v>213</v>
      </c>
      <c r="H78" s="22">
        <v>2</v>
      </c>
      <c r="I78" s="6">
        <f t="shared" si="1"/>
        <v>613.44000000000005</v>
      </c>
      <c r="J78" s="7" t="s">
        <v>88</v>
      </c>
    </row>
    <row r="79" spans="1:10" ht="13.95" customHeight="1" x14ac:dyDescent="0.3">
      <c r="A79" s="20">
        <v>45735</v>
      </c>
      <c r="B79" s="20" t="s">
        <v>3607</v>
      </c>
      <c r="C79" s="19" t="s">
        <v>5</v>
      </c>
      <c r="D79" s="19" t="s">
        <v>994</v>
      </c>
      <c r="E79" s="4">
        <v>0.65</v>
      </c>
      <c r="F79" s="42">
        <v>3.8</v>
      </c>
      <c r="G79" s="45">
        <v>213</v>
      </c>
      <c r="H79" s="22">
        <v>2</v>
      </c>
      <c r="I79" s="6">
        <f t="shared" si="1"/>
        <v>1052.22</v>
      </c>
      <c r="J79" s="7" t="s">
        <v>2637</v>
      </c>
    </row>
    <row r="80" spans="1:10" ht="13.95" customHeight="1" x14ac:dyDescent="0.3">
      <c r="A80" s="20">
        <v>45736</v>
      </c>
      <c r="B80" s="20" t="s">
        <v>3607</v>
      </c>
      <c r="C80" s="19" t="s">
        <v>8</v>
      </c>
      <c r="D80" s="19" t="s">
        <v>2740</v>
      </c>
      <c r="E80" s="4">
        <v>0.85</v>
      </c>
      <c r="F80" s="42">
        <v>4.9000000000000004</v>
      </c>
      <c r="G80" s="45">
        <v>213</v>
      </c>
      <c r="H80" s="22">
        <v>2</v>
      </c>
      <c r="I80" s="6">
        <f t="shared" si="1"/>
        <v>1774.29</v>
      </c>
      <c r="J80" s="7" t="s">
        <v>3493</v>
      </c>
    </row>
    <row r="81" spans="1:10" ht="13.95" customHeight="1" x14ac:dyDescent="0.3">
      <c r="A81" s="20">
        <v>45737</v>
      </c>
      <c r="B81" s="20" t="s">
        <v>3607</v>
      </c>
      <c r="C81" s="19" t="s">
        <v>11</v>
      </c>
      <c r="D81" s="19" t="s">
        <v>727</v>
      </c>
      <c r="E81" s="4">
        <v>0.8</v>
      </c>
      <c r="F81" s="42">
        <v>4.4000000000000004</v>
      </c>
      <c r="G81" s="45">
        <v>213</v>
      </c>
      <c r="H81" s="22">
        <v>2</v>
      </c>
      <c r="I81" s="6">
        <f t="shared" si="1"/>
        <v>1499.5200000000002</v>
      </c>
      <c r="J81" s="7" t="s">
        <v>91</v>
      </c>
    </row>
    <row r="82" spans="1:10" ht="13.95" customHeight="1" x14ac:dyDescent="0.3">
      <c r="A82" s="20">
        <v>45738</v>
      </c>
      <c r="B82" s="20" t="s">
        <v>3607</v>
      </c>
      <c r="C82" s="19" t="s">
        <v>13</v>
      </c>
      <c r="D82" s="19" t="s">
        <v>3494</v>
      </c>
      <c r="E82" s="4">
        <v>0.85</v>
      </c>
      <c r="F82" s="42">
        <v>4.75</v>
      </c>
      <c r="G82" s="45">
        <v>213</v>
      </c>
      <c r="H82" s="22">
        <v>2</v>
      </c>
      <c r="I82" s="6">
        <f t="shared" si="1"/>
        <v>1719.9749999999999</v>
      </c>
      <c r="J82" s="7" t="s">
        <v>3495</v>
      </c>
    </row>
    <row r="83" spans="1:10" ht="13.95" customHeight="1" x14ac:dyDescent="0.3">
      <c r="A83" s="20">
        <v>45739</v>
      </c>
      <c r="B83" s="20" t="s">
        <v>3607</v>
      </c>
      <c r="C83" s="19" t="s">
        <v>16</v>
      </c>
      <c r="D83" s="19" t="s">
        <v>76</v>
      </c>
      <c r="E83" s="4">
        <v>0.7</v>
      </c>
      <c r="F83" s="42">
        <v>3.9</v>
      </c>
      <c r="G83" s="45">
        <v>213</v>
      </c>
      <c r="H83" s="22">
        <v>2</v>
      </c>
      <c r="I83" s="6">
        <f t="shared" si="1"/>
        <v>1162.98</v>
      </c>
      <c r="J83" s="7" t="s">
        <v>3313</v>
      </c>
    </row>
    <row r="84" spans="1:10" ht="13.95" customHeight="1" x14ac:dyDescent="0.3">
      <c r="A84" s="20">
        <v>45740</v>
      </c>
      <c r="B84" s="20" t="s">
        <v>3607</v>
      </c>
      <c r="C84" s="19" t="s">
        <v>18</v>
      </c>
      <c r="D84" s="19" t="s">
        <v>764</v>
      </c>
      <c r="E84" s="4">
        <v>0.5</v>
      </c>
      <c r="F84" s="42">
        <v>3.3</v>
      </c>
      <c r="G84" s="45">
        <v>213</v>
      </c>
      <c r="H84" s="22">
        <v>2</v>
      </c>
      <c r="I84" s="6">
        <f t="shared" si="1"/>
        <v>702.9</v>
      </c>
      <c r="J84" s="7" t="s">
        <v>527</v>
      </c>
    </row>
    <row r="85" spans="1:10" ht="13.95" customHeight="1" x14ac:dyDescent="0.3">
      <c r="A85" s="20">
        <v>45741</v>
      </c>
      <c r="B85" s="20" t="s">
        <v>3607</v>
      </c>
      <c r="C85" s="19" t="s">
        <v>20</v>
      </c>
      <c r="D85" s="19" t="s">
        <v>3368</v>
      </c>
      <c r="E85" s="4">
        <v>0.6</v>
      </c>
      <c r="F85" s="42">
        <v>3.5</v>
      </c>
      <c r="G85" s="45">
        <v>213</v>
      </c>
      <c r="H85" s="22">
        <v>2</v>
      </c>
      <c r="I85" s="6">
        <f t="shared" si="1"/>
        <v>894.6</v>
      </c>
      <c r="J85" s="7" t="s">
        <v>3496</v>
      </c>
    </row>
    <row r="86" spans="1:10" ht="13.95" customHeight="1" x14ac:dyDescent="0.3">
      <c r="A86" s="20">
        <v>45742</v>
      </c>
      <c r="B86" s="20" t="s">
        <v>3607</v>
      </c>
      <c r="C86" s="19" t="s">
        <v>5</v>
      </c>
      <c r="D86" s="19" t="s">
        <v>3497</v>
      </c>
      <c r="E86" s="4">
        <v>0.95</v>
      </c>
      <c r="F86" s="42">
        <v>5.3</v>
      </c>
      <c r="G86" s="45">
        <v>213</v>
      </c>
      <c r="H86" s="22">
        <v>2</v>
      </c>
      <c r="I86" s="6">
        <f t="shared" si="1"/>
        <v>2144.91</v>
      </c>
      <c r="J86" s="7" t="s">
        <v>3498</v>
      </c>
    </row>
    <row r="87" spans="1:10" ht="13.95" customHeight="1" x14ac:dyDescent="0.3">
      <c r="A87" s="20">
        <v>45743</v>
      </c>
      <c r="B87" s="20" t="s">
        <v>3607</v>
      </c>
      <c r="C87" s="19" t="s">
        <v>8</v>
      </c>
      <c r="D87" s="19" t="s">
        <v>76</v>
      </c>
      <c r="E87" s="4">
        <v>0.75</v>
      </c>
      <c r="F87" s="42">
        <v>3.6</v>
      </c>
      <c r="G87" s="45">
        <v>213</v>
      </c>
      <c r="H87" s="22">
        <v>2</v>
      </c>
      <c r="I87" s="6">
        <f t="shared" si="1"/>
        <v>1150.2</v>
      </c>
      <c r="J87" s="7" t="s">
        <v>3499</v>
      </c>
    </row>
    <row r="88" spans="1:10" ht="13.95" customHeight="1" x14ac:dyDescent="0.3">
      <c r="A88" s="20">
        <v>45744</v>
      </c>
      <c r="B88" s="20" t="s">
        <v>3607</v>
      </c>
      <c r="C88" s="19" t="s">
        <v>11</v>
      </c>
      <c r="D88" s="19" t="s">
        <v>904</v>
      </c>
      <c r="E88" s="4">
        <v>0.85</v>
      </c>
      <c r="F88" s="42">
        <v>4.3</v>
      </c>
      <c r="G88" s="45">
        <v>213</v>
      </c>
      <c r="H88" s="22">
        <v>2</v>
      </c>
      <c r="I88" s="6">
        <f t="shared" si="1"/>
        <v>1557.0299999999997</v>
      </c>
      <c r="J88" s="7" t="s">
        <v>572</v>
      </c>
    </row>
    <row r="89" spans="1:10" ht="13.95" customHeight="1" x14ac:dyDescent="0.3">
      <c r="A89" s="20">
        <v>45745</v>
      </c>
      <c r="B89" s="20" t="s">
        <v>3607</v>
      </c>
      <c r="C89" s="19" t="s">
        <v>13</v>
      </c>
      <c r="D89" s="19" t="s">
        <v>3395</v>
      </c>
      <c r="E89" s="4">
        <v>0.95</v>
      </c>
      <c r="F89" s="42">
        <v>4.8</v>
      </c>
      <c r="G89" s="45">
        <v>213</v>
      </c>
      <c r="H89" s="22">
        <v>2</v>
      </c>
      <c r="I89" s="6">
        <f t="shared" si="1"/>
        <v>1942.56</v>
      </c>
      <c r="J89" s="7" t="s">
        <v>3500</v>
      </c>
    </row>
    <row r="90" spans="1:10" ht="13.95" customHeight="1" x14ac:dyDescent="0.3">
      <c r="A90" s="20">
        <v>45746</v>
      </c>
      <c r="B90" s="20" t="s">
        <v>3607</v>
      </c>
      <c r="C90" s="19" t="s">
        <v>16</v>
      </c>
      <c r="D90" s="19" t="s">
        <v>2617</v>
      </c>
      <c r="E90" s="4">
        <v>1</v>
      </c>
      <c r="F90" s="42">
        <v>5.6</v>
      </c>
      <c r="G90" s="45">
        <v>213</v>
      </c>
      <c r="H90" s="22">
        <v>2</v>
      </c>
      <c r="I90" s="6">
        <f t="shared" si="1"/>
        <v>2385.6</v>
      </c>
      <c r="J90" s="7" t="s">
        <v>3501</v>
      </c>
    </row>
    <row r="91" spans="1:10" ht="13.95" customHeight="1" x14ac:dyDescent="0.3">
      <c r="A91" s="20">
        <v>45747</v>
      </c>
      <c r="B91" s="20" t="s">
        <v>3607</v>
      </c>
      <c r="C91" s="19" t="s">
        <v>18</v>
      </c>
      <c r="D91" s="19" t="s">
        <v>2656</v>
      </c>
      <c r="E91" s="4">
        <v>1</v>
      </c>
      <c r="F91" s="42">
        <v>4.9000000000000004</v>
      </c>
      <c r="G91" s="45">
        <v>213</v>
      </c>
      <c r="H91" s="22">
        <v>2</v>
      </c>
      <c r="I91" s="6">
        <f t="shared" si="1"/>
        <v>2087.4</v>
      </c>
      <c r="J91" s="7" t="s">
        <v>3502</v>
      </c>
    </row>
    <row r="92" spans="1:10" ht="13.95" customHeight="1" x14ac:dyDescent="0.3">
      <c r="A92" s="20">
        <v>45748</v>
      </c>
      <c r="B92" s="20" t="s">
        <v>3607</v>
      </c>
      <c r="C92" s="19" t="s">
        <v>20</v>
      </c>
      <c r="D92" s="19" t="s">
        <v>1314</v>
      </c>
      <c r="E92" s="4">
        <v>0.7</v>
      </c>
      <c r="F92" s="42">
        <v>3.2</v>
      </c>
      <c r="G92" s="45">
        <v>213</v>
      </c>
      <c r="H92" s="22">
        <v>2</v>
      </c>
      <c r="I92" s="6">
        <f t="shared" si="1"/>
        <v>954.24</v>
      </c>
      <c r="J92" s="7" t="s">
        <v>3503</v>
      </c>
    </row>
    <row r="93" spans="1:10" ht="13.95" customHeight="1" x14ac:dyDescent="0.3">
      <c r="A93" s="20">
        <v>45749</v>
      </c>
      <c r="B93" s="20" t="s">
        <v>3607</v>
      </c>
      <c r="C93" s="19" t="s">
        <v>5</v>
      </c>
      <c r="D93" s="19" t="s">
        <v>3400</v>
      </c>
      <c r="E93" s="4">
        <v>0.5</v>
      </c>
      <c r="F93" s="42">
        <v>2.2999999999999998</v>
      </c>
      <c r="G93" s="45">
        <v>213</v>
      </c>
      <c r="H93" s="22">
        <v>2</v>
      </c>
      <c r="I93" s="6">
        <f t="shared" si="1"/>
        <v>489.9</v>
      </c>
      <c r="J93" s="7" t="s">
        <v>483</v>
      </c>
    </row>
    <row r="94" spans="1:10" ht="13.95" customHeight="1" x14ac:dyDescent="0.3">
      <c r="A94" s="20">
        <v>45750</v>
      </c>
      <c r="B94" s="20" t="s">
        <v>3607</v>
      </c>
      <c r="C94" s="19" t="s">
        <v>8</v>
      </c>
      <c r="D94" s="19" t="s">
        <v>706</v>
      </c>
      <c r="E94" s="4">
        <v>0.5</v>
      </c>
      <c r="F94" s="42">
        <v>2.25</v>
      </c>
      <c r="G94" s="45">
        <v>213</v>
      </c>
      <c r="H94" s="22">
        <v>2</v>
      </c>
      <c r="I94" s="6">
        <f t="shared" si="1"/>
        <v>479.25</v>
      </c>
      <c r="J94" s="7" t="s">
        <v>3504</v>
      </c>
    </row>
    <row r="95" spans="1:10" ht="13.95" customHeight="1" x14ac:dyDescent="0.3">
      <c r="A95" s="20">
        <v>45751</v>
      </c>
      <c r="B95" s="20" t="s">
        <v>3607</v>
      </c>
      <c r="C95" s="19" t="s">
        <v>11</v>
      </c>
      <c r="D95" s="19" t="s">
        <v>2993</v>
      </c>
      <c r="E95" s="4">
        <v>0.55000000000000004</v>
      </c>
      <c r="F95" s="42">
        <v>2.7</v>
      </c>
      <c r="G95" s="45">
        <v>213</v>
      </c>
      <c r="H95" s="22">
        <v>2</v>
      </c>
      <c r="I95" s="6">
        <f t="shared" si="1"/>
        <v>632.61000000000013</v>
      </c>
      <c r="J95" s="7" t="s">
        <v>390</v>
      </c>
    </row>
    <row r="96" spans="1:10" ht="13.95" customHeight="1" x14ac:dyDescent="0.3">
      <c r="A96" s="20">
        <v>45752</v>
      </c>
      <c r="B96" s="20" t="s">
        <v>3607</v>
      </c>
      <c r="C96" s="19" t="s">
        <v>13</v>
      </c>
      <c r="D96" s="19" t="s">
        <v>3197</v>
      </c>
      <c r="E96" s="4">
        <v>0.7</v>
      </c>
      <c r="F96" s="42">
        <v>3.45</v>
      </c>
      <c r="G96" s="45">
        <v>213</v>
      </c>
      <c r="H96" s="22">
        <v>2</v>
      </c>
      <c r="I96" s="6">
        <f t="shared" si="1"/>
        <v>1028.79</v>
      </c>
      <c r="J96" s="7" t="s">
        <v>3505</v>
      </c>
    </row>
    <row r="97" spans="1:10" ht="13.95" customHeight="1" x14ac:dyDescent="0.3">
      <c r="A97" s="20">
        <v>45753</v>
      </c>
      <c r="B97" s="20" t="s">
        <v>3607</v>
      </c>
      <c r="C97" s="19" t="s">
        <v>16</v>
      </c>
      <c r="D97" s="19" t="s">
        <v>3480</v>
      </c>
      <c r="E97" s="4">
        <v>0.65</v>
      </c>
      <c r="F97" s="42">
        <v>3.1</v>
      </c>
      <c r="G97" s="45">
        <v>213</v>
      </c>
      <c r="H97" s="22">
        <v>2</v>
      </c>
      <c r="I97" s="6">
        <f t="shared" si="1"/>
        <v>858.3900000000001</v>
      </c>
      <c r="J97" s="7" t="s">
        <v>3506</v>
      </c>
    </row>
    <row r="98" spans="1:10" ht="13.95" customHeight="1" x14ac:dyDescent="0.3">
      <c r="A98" s="20">
        <v>45754</v>
      </c>
      <c r="B98" s="20" t="s">
        <v>3607</v>
      </c>
      <c r="C98" s="19" t="s">
        <v>18</v>
      </c>
      <c r="D98" s="19" t="s">
        <v>706</v>
      </c>
      <c r="E98" s="4">
        <v>0.45</v>
      </c>
      <c r="F98" s="42">
        <v>2.15</v>
      </c>
      <c r="G98" s="45">
        <v>213</v>
      </c>
      <c r="H98" s="22">
        <v>2</v>
      </c>
      <c r="I98" s="6">
        <f t="shared" si="1"/>
        <v>412.15500000000003</v>
      </c>
      <c r="J98" s="7" t="s">
        <v>88</v>
      </c>
    </row>
    <row r="99" spans="1:10" ht="13.95" customHeight="1" x14ac:dyDescent="0.3">
      <c r="A99" s="20">
        <v>45757</v>
      </c>
      <c r="B99" s="20" t="s">
        <v>3607</v>
      </c>
      <c r="C99" s="19" t="s">
        <v>8</v>
      </c>
      <c r="D99" s="19" t="s">
        <v>706</v>
      </c>
      <c r="E99" s="4">
        <v>0.5</v>
      </c>
      <c r="F99" s="42">
        <v>2.2000000000000002</v>
      </c>
      <c r="G99" s="45">
        <v>213</v>
      </c>
      <c r="H99" s="22">
        <v>2</v>
      </c>
      <c r="I99" s="6">
        <f t="shared" si="1"/>
        <v>468.6</v>
      </c>
      <c r="J99" s="7" t="s">
        <v>1283</v>
      </c>
    </row>
    <row r="100" spans="1:10" ht="13.95" customHeight="1" x14ac:dyDescent="0.3">
      <c r="A100" s="20">
        <v>45759</v>
      </c>
      <c r="B100" s="20" t="s">
        <v>3607</v>
      </c>
      <c r="C100" s="19" t="s">
        <v>13</v>
      </c>
      <c r="D100" s="19" t="s">
        <v>3478</v>
      </c>
      <c r="E100" s="4">
        <v>0.75</v>
      </c>
      <c r="F100" s="42">
        <v>3.5</v>
      </c>
      <c r="G100" s="45">
        <v>213</v>
      </c>
      <c r="H100" s="22">
        <v>2</v>
      </c>
      <c r="I100" s="6">
        <f t="shared" si="1"/>
        <v>1118.25</v>
      </c>
      <c r="J100" s="7" t="s">
        <v>3507</v>
      </c>
    </row>
    <row r="101" spans="1:10" ht="13.95" customHeight="1" x14ac:dyDescent="0.3">
      <c r="A101" s="20">
        <v>45760</v>
      </c>
      <c r="B101" s="20" t="s">
        <v>3607</v>
      </c>
      <c r="C101" s="19" t="s">
        <v>16</v>
      </c>
      <c r="D101" s="19" t="s">
        <v>3480</v>
      </c>
      <c r="E101" s="4">
        <v>0.7</v>
      </c>
      <c r="F101" s="42">
        <v>3.15</v>
      </c>
      <c r="G101" s="45">
        <v>213</v>
      </c>
      <c r="H101" s="22">
        <v>2</v>
      </c>
      <c r="I101" s="6">
        <f t="shared" si="1"/>
        <v>939.32999999999993</v>
      </c>
      <c r="J101" s="7" t="s">
        <v>88</v>
      </c>
    </row>
    <row r="102" spans="1:10" ht="13.95" customHeight="1" x14ac:dyDescent="0.3">
      <c r="A102" s="20">
        <v>45761</v>
      </c>
      <c r="B102" s="20" t="s">
        <v>3607</v>
      </c>
      <c r="C102" s="19" t="s">
        <v>18</v>
      </c>
      <c r="D102" s="19" t="s">
        <v>3508</v>
      </c>
      <c r="E102" s="4">
        <v>0.55000000000000004</v>
      </c>
      <c r="F102" s="42">
        <v>2.4</v>
      </c>
      <c r="G102" s="45">
        <v>213</v>
      </c>
      <c r="H102" s="22">
        <v>2</v>
      </c>
      <c r="I102" s="6">
        <f t="shared" si="1"/>
        <v>562.32000000000005</v>
      </c>
      <c r="J102" s="7" t="s">
        <v>3282</v>
      </c>
    </row>
    <row r="103" spans="1:10" ht="13.95" customHeight="1" x14ac:dyDescent="0.3">
      <c r="A103" s="20">
        <v>45764</v>
      </c>
      <c r="B103" s="20" t="s">
        <v>3607</v>
      </c>
      <c r="C103" s="19" t="s">
        <v>8</v>
      </c>
      <c r="D103" s="19" t="s">
        <v>1120</v>
      </c>
      <c r="E103" s="4">
        <v>0.7</v>
      </c>
      <c r="F103" s="42">
        <v>2.6</v>
      </c>
      <c r="G103" s="45">
        <v>213</v>
      </c>
      <c r="H103" s="22">
        <v>2</v>
      </c>
      <c r="I103" s="6">
        <f t="shared" si="1"/>
        <v>775.32</v>
      </c>
      <c r="J103" s="7" t="s">
        <v>2466</v>
      </c>
    </row>
    <row r="104" spans="1:10" ht="13.95" customHeight="1" x14ac:dyDescent="0.3">
      <c r="A104" s="20">
        <v>45765</v>
      </c>
      <c r="B104" s="20" t="s">
        <v>3607</v>
      </c>
      <c r="C104" s="19" t="s">
        <v>11</v>
      </c>
      <c r="D104" s="19" t="s">
        <v>1118</v>
      </c>
      <c r="E104" s="4">
        <v>0.75</v>
      </c>
      <c r="F104" s="42">
        <v>2.9</v>
      </c>
      <c r="G104" s="45">
        <v>213</v>
      </c>
      <c r="H104" s="22">
        <v>2</v>
      </c>
      <c r="I104" s="6">
        <f t="shared" si="1"/>
        <v>926.55</v>
      </c>
      <c r="J104" s="7" t="s">
        <v>1332</v>
      </c>
    </row>
    <row r="105" spans="1:10" ht="13.95" customHeight="1" x14ac:dyDescent="0.3">
      <c r="A105" s="20">
        <v>45766</v>
      </c>
      <c r="B105" s="20" t="s">
        <v>3607</v>
      </c>
      <c r="C105" s="19" t="s">
        <v>13</v>
      </c>
      <c r="D105" s="19" t="s">
        <v>3380</v>
      </c>
      <c r="E105" s="4">
        <v>0.85</v>
      </c>
      <c r="F105" s="42">
        <v>3.8</v>
      </c>
      <c r="G105" s="45">
        <v>213</v>
      </c>
      <c r="H105" s="22">
        <v>2</v>
      </c>
      <c r="I105" s="6">
        <f t="shared" si="1"/>
        <v>1375.9799999999998</v>
      </c>
      <c r="J105" s="7" t="s">
        <v>3509</v>
      </c>
    </row>
    <row r="106" spans="1:10" ht="13.95" customHeight="1" x14ac:dyDescent="0.3">
      <c r="A106" s="20">
        <v>45767</v>
      </c>
      <c r="B106" s="20" t="s">
        <v>3607</v>
      </c>
      <c r="C106" s="19" t="s">
        <v>16</v>
      </c>
      <c r="D106" s="19" t="s">
        <v>1774</v>
      </c>
      <c r="E106" s="4">
        <v>1</v>
      </c>
      <c r="F106" s="42">
        <v>4.9000000000000004</v>
      </c>
      <c r="G106" s="45">
        <v>213</v>
      </c>
      <c r="H106" s="22">
        <v>2</v>
      </c>
      <c r="I106" s="6">
        <f t="shared" si="1"/>
        <v>2087.4</v>
      </c>
      <c r="J106" s="7" t="s">
        <v>3510</v>
      </c>
    </row>
    <row r="107" spans="1:10" ht="13.95" customHeight="1" x14ac:dyDescent="0.3">
      <c r="A107" s="20">
        <v>45768</v>
      </c>
      <c r="B107" s="20" t="s">
        <v>3607</v>
      </c>
      <c r="C107" s="19" t="s">
        <v>18</v>
      </c>
      <c r="D107" s="19" t="s">
        <v>1325</v>
      </c>
      <c r="E107" s="4">
        <v>0.9</v>
      </c>
      <c r="F107" s="42">
        <v>3.4</v>
      </c>
      <c r="G107" s="45">
        <v>213</v>
      </c>
      <c r="H107" s="22">
        <v>2</v>
      </c>
      <c r="I107" s="6">
        <f t="shared" si="1"/>
        <v>1303.5600000000002</v>
      </c>
      <c r="J107" s="7" t="s">
        <v>3065</v>
      </c>
    </row>
    <row r="108" spans="1:10" ht="13.95" customHeight="1" x14ac:dyDescent="0.3">
      <c r="A108" s="20">
        <v>45769</v>
      </c>
      <c r="B108" s="20" t="s">
        <v>3607</v>
      </c>
      <c r="C108" s="19" t="s">
        <v>20</v>
      </c>
      <c r="D108" s="19" t="s">
        <v>658</v>
      </c>
      <c r="E108" s="4">
        <v>0.65</v>
      </c>
      <c r="F108" s="42">
        <v>2.35</v>
      </c>
      <c r="G108" s="45">
        <v>213</v>
      </c>
      <c r="H108" s="22">
        <v>2</v>
      </c>
      <c r="I108" s="6">
        <f t="shared" si="1"/>
        <v>650.71500000000015</v>
      </c>
      <c r="J108" s="7" t="s">
        <v>88</v>
      </c>
    </row>
    <row r="109" spans="1:10" ht="13.95" customHeight="1" x14ac:dyDescent="0.3">
      <c r="A109" s="20">
        <v>45772</v>
      </c>
      <c r="B109" s="20" t="s">
        <v>3607</v>
      </c>
      <c r="C109" s="19" t="s">
        <v>11</v>
      </c>
      <c r="D109" s="19" t="s">
        <v>14</v>
      </c>
      <c r="E109" s="4">
        <v>0.7</v>
      </c>
      <c r="F109" s="42">
        <v>2.8</v>
      </c>
      <c r="G109" s="45">
        <v>213</v>
      </c>
      <c r="H109" s="22">
        <v>2</v>
      </c>
      <c r="I109" s="6">
        <f t="shared" si="1"/>
        <v>834.95999999999992</v>
      </c>
      <c r="J109" s="7" t="s">
        <v>282</v>
      </c>
    </row>
    <row r="110" spans="1:10" ht="13.95" customHeight="1" x14ac:dyDescent="0.3">
      <c r="A110" s="20">
        <v>45773</v>
      </c>
      <c r="B110" s="20" t="s">
        <v>3607</v>
      </c>
      <c r="C110" s="19" t="s">
        <v>13</v>
      </c>
      <c r="D110" s="19" t="s">
        <v>3511</v>
      </c>
      <c r="E110" s="4">
        <v>0.8</v>
      </c>
      <c r="F110" s="42">
        <v>3.5</v>
      </c>
      <c r="G110" s="45">
        <v>213</v>
      </c>
      <c r="H110" s="22">
        <v>2</v>
      </c>
      <c r="I110" s="6">
        <f t="shared" si="1"/>
        <v>1192.8</v>
      </c>
      <c r="J110" s="7" t="s">
        <v>1481</v>
      </c>
    </row>
    <row r="111" spans="1:10" ht="13.95" customHeight="1" x14ac:dyDescent="0.3">
      <c r="A111" s="20">
        <v>45774</v>
      </c>
      <c r="B111" s="20" t="s">
        <v>3607</v>
      </c>
      <c r="C111" s="19" t="s">
        <v>16</v>
      </c>
      <c r="D111" s="19" t="s">
        <v>3480</v>
      </c>
      <c r="E111" s="4">
        <v>0.75</v>
      </c>
      <c r="F111" s="42">
        <v>3.2</v>
      </c>
      <c r="G111" s="45">
        <v>213</v>
      </c>
      <c r="H111" s="22">
        <v>2</v>
      </c>
      <c r="I111" s="6">
        <f t="shared" si="1"/>
        <v>1022.4000000000001</v>
      </c>
      <c r="J111" s="7" t="s">
        <v>3313</v>
      </c>
    </row>
    <row r="112" spans="1:10" ht="13.95" customHeight="1" x14ac:dyDescent="0.3">
      <c r="A112" s="20">
        <v>45776</v>
      </c>
      <c r="B112" s="20" t="s">
        <v>3607</v>
      </c>
      <c r="C112" s="19" t="s">
        <v>20</v>
      </c>
      <c r="D112" s="19" t="s">
        <v>706</v>
      </c>
      <c r="E112" s="4">
        <v>0.5</v>
      </c>
      <c r="F112" s="42">
        <v>2.2000000000000002</v>
      </c>
      <c r="G112" s="45">
        <v>213</v>
      </c>
      <c r="H112" s="22">
        <v>2</v>
      </c>
      <c r="I112" s="6">
        <f t="shared" si="1"/>
        <v>468.6</v>
      </c>
      <c r="J112" s="7" t="s">
        <v>88</v>
      </c>
    </row>
    <row r="113" spans="1:10" ht="13.95" customHeight="1" x14ac:dyDescent="0.3">
      <c r="A113" s="20">
        <v>45777</v>
      </c>
      <c r="B113" s="20" t="s">
        <v>3607</v>
      </c>
      <c r="C113" s="19" t="s">
        <v>5</v>
      </c>
      <c r="D113" s="19" t="s">
        <v>1126</v>
      </c>
      <c r="E113" s="4">
        <v>0.75</v>
      </c>
      <c r="F113" s="42">
        <v>3.1</v>
      </c>
      <c r="G113" s="45">
        <v>213</v>
      </c>
      <c r="H113" s="22">
        <v>2</v>
      </c>
      <c r="I113" s="6">
        <f t="shared" si="1"/>
        <v>990.45</v>
      </c>
      <c r="J113" s="7" t="s">
        <v>1127</v>
      </c>
    </row>
    <row r="114" spans="1:10" ht="13.95" customHeight="1" x14ac:dyDescent="0.3">
      <c r="A114" s="20">
        <v>45778</v>
      </c>
      <c r="B114" s="20" t="s">
        <v>3607</v>
      </c>
      <c r="C114" s="19" t="s">
        <v>8</v>
      </c>
      <c r="D114" s="19" t="s">
        <v>2766</v>
      </c>
      <c r="E114" s="4">
        <v>0.9</v>
      </c>
      <c r="F114" s="42">
        <v>3.5</v>
      </c>
      <c r="G114" s="45">
        <v>213</v>
      </c>
      <c r="H114" s="22">
        <v>2.1</v>
      </c>
      <c r="I114" s="6">
        <f t="shared" si="1"/>
        <v>1408.9950000000001</v>
      </c>
      <c r="J114" s="7" t="s">
        <v>2270</v>
      </c>
    </row>
    <row r="115" spans="1:10" ht="13.95" customHeight="1" x14ac:dyDescent="0.3">
      <c r="A115" s="20">
        <v>45779</v>
      </c>
      <c r="B115" s="20" t="s">
        <v>3607</v>
      </c>
      <c r="C115" s="19" t="s">
        <v>11</v>
      </c>
      <c r="D115" s="19" t="s">
        <v>3512</v>
      </c>
      <c r="E115" s="4">
        <v>0.8</v>
      </c>
      <c r="F115" s="42">
        <v>2.9</v>
      </c>
      <c r="G115" s="45">
        <v>213</v>
      </c>
      <c r="H115" s="22">
        <v>2.1</v>
      </c>
      <c r="I115" s="6">
        <f t="shared" si="1"/>
        <v>1037.7360000000001</v>
      </c>
      <c r="J115" s="7" t="s">
        <v>197</v>
      </c>
    </row>
    <row r="116" spans="1:10" ht="13.95" customHeight="1" x14ac:dyDescent="0.3">
      <c r="A116" s="20">
        <v>45780</v>
      </c>
      <c r="B116" s="20" t="s">
        <v>3607</v>
      </c>
      <c r="C116" s="19" t="s">
        <v>13</v>
      </c>
      <c r="D116" s="19" t="s">
        <v>3276</v>
      </c>
      <c r="E116" s="4">
        <v>0.95</v>
      </c>
      <c r="F116" s="42">
        <v>3.8</v>
      </c>
      <c r="G116" s="45">
        <v>213</v>
      </c>
      <c r="H116" s="22">
        <v>2.1</v>
      </c>
      <c r="I116" s="6">
        <f t="shared" si="1"/>
        <v>1614.7529999999999</v>
      </c>
      <c r="J116" s="7" t="s">
        <v>3505</v>
      </c>
    </row>
    <row r="117" spans="1:10" ht="13.95" customHeight="1" x14ac:dyDescent="0.3">
      <c r="A117" s="20">
        <v>45781</v>
      </c>
      <c r="B117" s="20" t="s">
        <v>3607</v>
      </c>
      <c r="C117" s="19" t="s">
        <v>16</v>
      </c>
      <c r="D117" s="19" t="s">
        <v>3480</v>
      </c>
      <c r="E117" s="4">
        <v>0.85</v>
      </c>
      <c r="F117" s="42">
        <v>3.2</v>
      </c>
      <c r="G117" s="45">
        <v>213</v>
      </c>
      <c r="H117" s="22">
        <v>2.1</v>
      </c>
      <c r="I117" s="6">
        <f t="shared" si="1"/>
        <v>1216.6560000000002</v>
      </c>
      <c r="J117" s="7" t="s">
        <v>3506</v>
      </c>
    </row>
    <row r="118" spans="1:10" ht="13.95" customHeight="1" x14ac:dyDescent="0.3">
      <c r="A118" s="20">
        <v>45782</v>
      </c>
      <c r="B118" s="20" t="s">
        <v>3607</v>
      </c>
      <c r="C118" s="19" t="s">
        <v>18</v>
      </c>
      <c r="D118" s="19" t="s">
        <v>1263</v>
      </c>
      <c r="E118" s="4">
        <v>0.55000000000000004</v>
      </c>
      <c r="F118" s="42">
        <v>2.2000000000000002</v>
      </c>
      <c r="G118" s="45">
        <v>213</v>
      </c>
      <c r="H118" s="22">
        <v>2.1</v>
      </c>
      <c r="I118" s="6">
        <f t="shared" si="1"/>
        <v>541.23300000000006</v>
      </c>
      <c r="J118" s="7" t="s">
        <v>645</v>
      </c>
    </row>
    <row r="119" spans="1:10" ht="13.95" customHeight="1" x14ac:dyDescent="0.3">
      <c r="A119" s="20">
        <v>45783</v>
      </c>
      <c r="B119" s="20" t="s">
        <v>3607</v>
      </c>
      <c r="C119" s="19" t="s">
        <v>20</v>
      </c>
      <c r="D119" s="19" t="s">
        <v>1263</v>
      </c>
      <c r="E119" s="4">
        <v>0.6</v>
      </c>
      <c r="F119" s="42">
        <v>2.15</v>
      </c>
      <c r="G119" s="45">
        <v>213</v>
      </c>
      <c r="H119" s="22">
        <v>2.1</v>
      </c>
      <c r="I119" s="6">
        <f t="shared" si="1"/>
        <v>577.01699999999994</v>
      </c>
      <c r="J119" s="7" t="s">
        <v>1376</v>
      </c>
    </row>
    <row r="120" spans="1:10" ht="13.95" customHeight="1" x14ac:dyDescent="0.3">
      <c r="A120" s="20">
        <v>45784</v>
      </c>
      <c r="B120" s="20" t="s">
        <v>3607</v>
      </c>
      <c r="C120" s="19" t="s">
        <v>5</v>
      </c>
      <c r="D120" s="19" t="s">
        <v>1263</v>
      </c>
      <c r="E120" s="4">
        <v>0.6</v>
      </c>
      <c r="F120" s="42">
        <v>2.15</v>
      </c>
      <c r="G120" s="45">
        <v>213</v>
      </c>
      <c r="H120" s="22">
        <v>2.1</v>
      </c>
      <c r="I120" s="6">
        <f t="shared" si="1"/>
        <v>577.01699999999994</v>
      </c>
      <c r="J120" s="7" t="s">
        <v>88</v>
      </c>
    </row>
    <row r="121" spans="1:10" ht="13.95" customHeight="1" x14ac:dyDescent="0.3">
      <c r="A121" s="20">
        <v>45785</v>
      </c>
      <c r="B121" s="20" t="s">
        <v>3607</v>
      </c>
      <c r="C121" s="19" t="s">
        <v>8</v>
      </c>
      <c r="D121" s="19" t="s">
        <v>706</v>
      </c>
      <c r="E121" s="4">
        <v>0.55000000000000004</v>
      </c>
      <c r="F121" s="42">
        <v>2.2000000000000002</v>
      </c>
      <c r="G121" s="45">
        <v>213</v>
      </c>
      <c r="H121" s="22">
        <v>2.1</v>
      </c>
      <c r="I121" s="6">
        <f t="shared" si="1"/>
        <v>541.23300000000006</v>
      </c>
      <c r="J121" s="7" t="s">
        <v>88</v>
      </c>
    </row>
    <row r="122" spans="1:10" ht="13.95" customHeight="1" x14ac:dyDescent="0.3">
      <c r="A122" s="20">
        <v>45786</v>
      </c>
      <c r="B122" s="20" t="s">
        <v>3607</v>
      </c>
      <c r="C122" s="19" t="s">
        <v>11</v>
      </c>
      <c r="D122" s="19" t="s">
        <v>2993</v>
      </c>
      <c r="E122" s="4">
        <v>0.65</v>
      </c>
      <c r="F122" s="42">
        <v>2.8</v>
      </c>
      <c r="G122" s="45">
        <v>213</v>
      </c>
      <c r="H122" s="22">
        <v>2.1</v>
      </c>
      <c r="I122" s="6">
        <f t="shared" si="1"/>
        <v>814.08600000000013</v>
      </c>
      <c r="J122" s="7" t="s">
        <v>1600</v>
      </c>
    </row>
    <row r="123" spans="1:10" ht="13.95" customHeight="1" x14ac:dyDescent="0.3">
      <c r="A123" s="20">
        <v>45787</v>
      </c>
      <c r="B123" s="20" t="s">
        <v>3607</v>
      </c>
      <c r="C123" s="19" t="s">
        <v>13</v>
      </c>
      <c r="D123" s="19" t="s">
        <v>3473</v>
      </c>
      <c r="E123" s="4">
        <v>0.75</v>
      </c>
      <c r="F123" s="42">
        <v>3.45</v>
      </c>
      <c r="G123" s="45">
        <v>213</v>
      </c>
      <c r="H123" s="22">
        <v>2.1</v>
      </c>
      <c r="I123" s="6">
        <f t="shared" si="1"/>
        <v>1157.3887500000001</v>
      </c>
      <c r="J123" s="7" t="s">
        <v>2287</v>
      </c>
    </row>
    <row r="124" spans="1:10" ht="13.95" customHeight="1" x14ac:dyDescent="0.3">
      <c r="A124" s="20">
        <v>45788</v>
      </c>
      <c r="B124" s="20" t="s">
        <v>3607</v>
      </c>
      <c r="C124" s="19" t="s">
        <v>16</v>
      </c>
      <c r="D124" s="19" t="s">
        <v>3480</v>
      </c>
      <c r="E124" s="4">
        <v>0.7</v>
      </c>
      <c r="F124" s="42">
        <v>3.1</v>
      </c>
      <c r="G124" s="45">
        <v>213</v>
      </c>
      <c r="H124" s="22">
        <v>2.1</v>
      </c>
      <c r="I124" s="6">
        <f t="shared" si="1"/>
        <v>970.64099999999996</v>
      </c>
      <c r="J124" s="7" t="s">
        <v>88</v>
      </c>
    </row>
    <row r="125" spans="1:10" ht="13.95" customHeight="1" x14ac:dyDescent="0.3">
      <c r="A125" s="20">
        <v>45789</v>
      </c>
      <c r="B125" s="20" t="s">
        <v>3607</v>
      </c>
      <c r="C125" s="19" t="s">
        <v>18</v>
      </c>
      <c r="D125" s="19" t="s">
        <v>706</v>
      </c>
      <c r="E125" s="4">
        <v>0.5</v>
      </c>
      <c r="F125" s="42">
        <v>2.15</v>
      </c>
      <c r="G125" s="45">
        <v>213</v>
      </c>
      <c r="H125" s="22">
        <v>2.1</v>
      </c>
      <c r="I125" s="6">
        <f t="shared" si="1"/>
        <v>480.84750000000003</v>
      </c>
      <c r="J125" s="7" t="s">
        <v>88</v>
      </c>
    </row>
    <row r="126" spans="1:10" ht="13.95" customHeight="1" x14ac:dyDescent="0.3">
      <c r="A126" s="20">
        <v>45792</v>
      </c>
      <c r="B126" s="20" t="s">
        <v>3607</v>
      </c>
      <c r="C126" s="19" t="s">
        <v>8</v>
      </c>
      <c r="D126" s="19" t="s">
        <v>1263</v>
      </c>
      <c r="E126" s="4">
        <v>0.65</v>
      </c>
      <c r="F126" s="42">
        <v>2.25</v>
      </c>
      <c r="G126" s="45">
        <v>213</v>
      </c>
      <c r="H126" s="22">
        <v>2.1</v>
      </c>
      <c r="I126" s="6">
        <f t="shared" si="1"/>
        <v>654.1762500000001</v>
      </c>
      <c r="J126" s="7" t="s">
        <v>3513</v>
      </c>
    </row>
    <row r="127" spans="1:10" ht="13.95" customHeight="1" x14ac:dyDescent="0.3">
      <c r="A127" s="20">
        <v>45793</v>
      </c>
      <c r="B127" s="20" t="s">
        <v>3607</v>
      </c>
      <c r="C127" s="19" t="s">
        <v>11</v>
      </c>
      <c r="D127" s="19" t="s">
        <v>14</v>
      </c>
      <c r="E127" s="4">
        <v>0.7</v>
      </c>
      <c r="F127" s="42">
        <v>2.85</v>
      </c>
      <c r="G127" s="45">
        <v>213</v>
      </c>
      <c r="H127" s="22">
        <v>2.1</v>
      </c>
      <c r="I127" s="6">
        <f t="shared" si="1"/>
        <v>892.36350000000004</v>
      </c>
      <c r="J127" s="7" t="s">
        <v>282</v>
      </c>
    </row>
    <row r="128" spans="1:10" ht="13.95" customHeight="1" x14ac:dyDescent="0.3">
      <c r="A128" s="20">
        <v>45794</v>
      </c>
      <c r="B128" s="20" t="s">
        <v>3607</v>
      </c>
      <c r="C128" s="19" t="s">
        <v>13</v>
      </c>
      <c r="D128" s="19" t="s">
        <v>3197</v>
      </c>
      <c r="E128" s="4">
        <v>0.8</v>
      </c>
      <c r="F128" s="42">
        <v>3.55</v>
      </c>
      <c r="G128" s="45">
        <v>213</v>
      </c>
      <c r="H128" s="22">
        <v>2.1</v>
      </c>
      <c r="I128" s="6">
        <f t="shared" si="1"/>
        <v>1270.3319999999999</v>
      </c>
      <c r="J128" s="7" t="s">
        <v>3113</v>
      </c>
    </row>
    <row r="129" spans="1:10" ht="13.95" customHeight="1" x14ac:dyDescent="0.3">
      <c r="A129" s="20">
        <v>45795</v>
      </c>
      <c r="B129" s="20" t="s">
        <v>3607</v>
      </c>
      <c r="C129" s="19" t="s">
        <v>16</v>
      </c>
      <c r="D129" s="19" t="s">
        <v>3480</v>
      </c>
      <c r="E129" s="4">
        <v>0.75</v>
      </c>
      <c r="F129" s="42">
        <v>3.2</v>
      </c>
      <c r="G129" s="45">
        <v>213</v>
      </c>
      <c r="H129" s="22">
        <v>2.1</v>
      </c>
      <c r="I129" s="6">
        <f t="shared" si="1"/>
        <v>1073.5200000000002</v>
      </c>
      <c r="J129" s="7" t="s">
        <v>88</v>
      </c>
    </row>
    <row r="130" spans="1:10" ht="13.95" customHeight="1" x14ac:dyDescent="0.3">
      <c r="A130" s="20">
        <v>45796</v>
      </c>
      <c r="B130" s="20" t="s">
        <v>3607</v>
      </c>
      <c r="C130" s="19" t="s">
        <v>18</v>
      </c>
      <c r="D130" s="19" t="s">
        <v>706</v>
      </c>
      <c r="E130" s="4">
        <v>0.55000000000000004</v>
      </c>
      <c r="F130" s="42">
        <v>2.15</v>
      </c>
      <c r="G130" s="45">
        <v>213</v>
      </c>
      <c r="H130" s="22">
        <v>2.1</v>
      </c>
      <c r="I130" s="6">
        <f t="shared" ref="I130:I193" si="2">(G130*E130)*F130*H130</f>
        <v>528.93225000000007</v>
      </c>
      <c r="J130" s="7" t="s">
        <v>88</v>
      </c>
    </row>
    <row r="131" spans="1:10" ht="13.95" customHeight="1" x14ac:dyDescent="0.3">
      <c r="A131" s="20">
        <v>45799</v>
      </c>
      <c r="B131" s="20" t="s">
        <v>3607</v>
      </c>
      <c r="C131" s="19" t="s">
        <v>8</v>
      </c>
      <c r="D131" s="19" t="s">
        <v>706</v>
      </c>
      <c r="E131" s="4">
        <v>0.6</v>
      </c>
      <c r="F131" s="42">
        <v>2.2000000000000002</v>
      </c>
      <c r="G131" s="45">
        <v>213</v>
      </c>
      <c r="H131" s="22">
        <v>2.1</v>
      </c>
      <c r="I131" s="6">
        <f t="shared" si="2"/>
        <v>590.43600000000004</v>
      </c>
      <c r="J131" s="7" t="s">
        <v>88</v>
      </c>
    </row>
    <row r="132" spans="1:10" ht="13.95" customHeight="1" x14ac:dyDescent="0.3">
      <c r="A132" s="20">
        <v>45800</v>
      </c>
      <c r="B132" s="20" t="s">
        <v>3607</v>
      </c>
      <c r="C132" s="19" t="s">
        <v>11</v>
      </c>
      <c r="D132" s="19" t="s">
        <v>14</v>
      </c>
      <c r="E132" s="4">
        <v>0.75</v>
      </c>
      <c r="F132" s="42">
        <v>2.9</v>
      </c>
      <c r="G132" s="45">
        <v>213</v>
      </c>
      <c r="H132" s="22">
        <v>2.1</v>
      </c>
      <c r="I132" s="6">
        <f t="shared" si="2"/>
        <v>972.87749999999994</v>
      </c>
      <c r="J132" s="7" t="s">
        <v>67</v>
      </c>
    </row>
    <row r="133" spans="1:10" ht="13.95" customHeight="1" x14ac:dyDescent="0.3">
      <c r="A133" s="20">
        <v>45801</v>
      </c>
      <c r="B133" s="20" t="s">
        <v>3607</v>
      </c>
      <c r="C133" s="19" t="s">
        <v>13</v>
      </c>
      <c r="D133" s="19" t="s">
        <v>3478</v>
      </c>
      <c r="E133" s="4">
        <v>0.85</v>
      </c>
      <c r="F133" s="42">
        <v>3.6</v>
      </c>
      <c r="G133" s="45">
        <v>213</v>
      </c>
      <c r="H133" s="22">
        <v>2.1</v>
      </c>
      <c r="I133" s="6">
        <f t="shared" si="2"/>
        <v>1368.7380000000001</v>
      </c>
      <c r="J133" s="7" t="s">
        <v>3514</v>
      </c>
    </row>
    <row r="134" spans="1:10" ht="13.95" customHeight="1" x14ac:dyDescent="0.3">
      <c r="A134" s="20">
        <v>45802</v>
      </c>
      <c r="B134" s="20" t="s">
        <v>3607</v>
      </c>
      <c r="C134" s="19" t="s">
        <v>16</v>
      </c>
      <c r="D134" s="19" t="s">
        <v>3515</v>
      </c>
      <c r="E134" s="4">
        <v>0.95</v>
      </c>
      <c r="F134" s="42">
        <v>4.2</v>
      </c>
      <c r="G134" s="45">
        <v>213</v>
      </c>
      <c r="H134" s="22">
        <v>2.1</v>
      </c>
      <c r="I134" s="6">
        <f t="shared" si="2"/>
        <v>1784.7270000000001</v>
      </c>
      <c r="J134" s="7" t="s">
        <v>3516</v>
      </c>
    </row>
    <row r="135" spans="1:10" ht="13.95" customHeight="1" x14ac:dyDescent="0.3">
      <c r="A135" s="20">
        <v>45803</v>
      </c>
      <c r="B135" s="20" t="s">
        <v>3607</v>
      </c>
      <c r="C135" s="19" t="s">
        <v>18</v>
      </c>
      <c r="D135" s="19" t="s">
        <v>3517</v>
      </c>
      <c r="E135" s="4">
        <v>0.5</v>
      </c>
      <c r="F135" s="42">
        <v>2.2000000000000002</v>
      </c>
      <c r="G135" s="45">
        <v>213</v>
      </c>
      <c r="H135" s="22">
        <v>2.1</v>
      </c>
      <c r="I135" s="6">
        <f t="shared" si="2"/>
        <v>492.03000000000003</v>
      </c>
      <c r="J135" s="7" t="s">
        <v>88</v>
      </c>
    </row>
    <row r="136" spans="1:10" ht="13.95" customHeight="1" x14ac:dyDescent="0.3">
      <c r="A136" s="20">
        <v>45805</v>
      </c>
      <c r="B136" s="20" t="s">
        <v>3607</v>
      </c>
      <c r="C136" s="19" t="s">
        <v>5</v>
      </c>
      <c r="D136" s="19" t="s">
        <v>1263</v>
      </c>
      <c r="E136" s="4">
        <v>0.6</v>
      </c>
      <c r="F136" s="42">
        <v>2.15</v>
      </c>
      <c r="G136" s="45">
        <v>213</v>
      </c>
      <c r="H136" s="22">
        <v>2.1</v>
      </c>
      <c r="I136" s="6">
        <f t="shared" si="2"/>
        <v>577.01699999999994</v>
      </c>
      <c r="J136" s="7" t="s">
        <v>88</v>
      </c>
    </row>
    <row r="137" spans="1:10" ht="13.95" customHeight="1" x14ac:dyDescent="0.3">
      <c r="A137" s="20">
        <v>45807</v>
      </c>
      <c r="B137" s="20" t="s">
        <v>3607</v>
      </c>
      <c r="C137" s="19" t="s">
        <v>11</v>
      </c>
      <c r="D137" s="19" t="s">
        <v>14</v>
      </c>
      <c r="E137" s="4">
        <v>0.75</v>
      </c>
      <c r="F137" s="42">
        <v>2.9</v>
      </c>
      <c r="G137" s="45">
        <v>213</v>
      </c>
      <c r="H137" s="22">
        <v>2.1</v>
      </c>
      <c r="I137" s="6">
        <f t="shared" si="2"/>
        <v>972.87749999999994</v>
      </c>
      <c r="J137" s="7" t="s">
        <v>67</v>
      </c>
    </row>
    <row r="138" spans="1:10" ht="13.95" customHeight="1" x14ac:dyDescent="0.3">
      <c r="A138" s="20">
        <v>45808</v>
      </c>
      <c r="B138" s="20" t="s">
        <v>3607</v>
      </c>
      <c r="C138" s="19" t="s">
        <v>13</v>
      </c>
      <c r="D138" s="19" t="s">
        <v>3518</v>
      </c>
      <c r="E138" s="4">
        <v>0.85</v>
      </c>
      <c r="F138" s="42">
        <v>3.7</v>
      </c>
      <c r="G138" s="45">
        <v>213</v>
      </c>
      <c r="H138" s="22">
        <v>2.1</v>
      </c>
      <c r="I138" s="6">
        <f t="shared" si="2"/>
        <v>1406.7585000000001</v>
      </c>
      <c r="J138" s="7" t="s">
        <v>3519</v>
      </c>
    </row>
    <row r="139" spans="1:10" ht="13.95" customHeight="1" x14ac:dyDescent="0.3">
      <c r="A139" s="20">
        <v>45809</v>
      </c>
      <c r="B139" s="20" t="s">
        <v>3607</v>
      </c>
      <c r="C139" s="19" t="s">
        <v>16</v>
      </c>
      <c r="D139" s="19" t="s">
        <v>3480</v>
      </c>
      <c r="E139" s="4">
        <v>0.8</v>
      </c>
      <c r="F139" s="42">
        <v>3.3</v>
      </c>
      <c r="G139" s="45">
        <v>213</v>
      </c>
      <c r="H139" s="22">
        <v>2.2000000000000002</v>
      </c>
      <c r="I139" s="6">
        <f t="shared" si="2"/>
        <v>1237.104</v>
      </c>
      <c r="J139" s="7" t="s">
        <v>3520</v>
      </c>
    </row>
    <row r="140" spans="1:10" ht="13.95" customHeight="1" x14ac:dyDescent="0.3">
      <c r="A140" s="20">
        <v>45810</v>
      </c>
      <c r="B140" s="20" t="s">
        <v>3607</v>
      </c>
      <c r="C140" s="19" t="s">
        <v>18</v>
      </c>
      <c r="D140" s="19" t="s">
        <v>706</v>
      </c>
      <c r="E140" s="4">
        <v>0.55000000000000004</v>
      </c>
      <c r="F140" s="42">
        <v>2.2000000000000002</v>
      </c>
      <c r="G140" s="45">
        <v>213</v>
      </c>
      <c r="H140" s="22">
        <v>2.2000000000000002</v>
      </c>
      <c r="I140" s="6">
        <f t="shared" si="2"/>
        <v>567.00600000000009</v>
      </c>
      <c r="J140" s="7" t="s">
        <v>506</v>
      </c>
    </row>
    <row r="141" spans="1:10" ht="13.95" customHeight="1" x14ac:dyDescent="0.3">
      <c r="A141" s="20">
        <v>45811</v>
      </c>
      <c r="B141" s="20" t="s">
        <v>3607</v>
      </c>
      <c r="C141" s="19" t="s">
        <v>20</v>
      </c>
      <c r="D141" s="19" t="s">
        <v>706</v>
      </c>
      <c r="E141" s="4">
        <v>0.55000000000000004</v>
      </c>
      <c r="F141" s="42">
        <v>2.2000000000000002</v>
      </c>
      <c r="G141" s="45">
        <v>213</v>
      </c>
      <c r="H141" s="22">
        <v>2.2000000000000002</v>
      </c>
      <c r="I141" s="6">
        <f t="shared" si="2"/>
        <v>567.00600000000009</v>
      </c>
      <c r="J141" s="7" t="s">
        <v>3504</v>
      </c>
    </row>
    <row r="142" spans="1:10" ht="13.95" customHeight="1" x14ac:dyDescent="0.3">
      <c r="A142" s="20">
        <v>45812</v>
      </c>
      <c r="B142" s="20" t="s">
        <v>3607</v>
      </c>
      <c r="C142" s="19" t="s">
        <v>5</v>
      </c>
      <c r="D142" s="19" t="s">
        <v>2785</v>
      </c>
      <c r="E142" s="4">
        <v>0.65</v>
      </c>
      <c r="F142" s="42">
        <v>2.4</v>
      </c>
      <c r="G142" s="45">
        <v>213</v>
      </c>
      <c r="H142" s="22">
        <v>2.2000000000000002</v>
      </c>
      <c r="I142" s="6">
        <f t="shared" si="2"/>
        <v>731.01600000000008</v>
      </c>
      <c r="J142" s="7" t="s">
        <v>1742</v>
      </c>
    </row>
    <row r="143" spans="1:10" ht="13.95" customHeight="1" x14ac:dyDescent="0.3">
      <c r="A143" s="20">
        <v>45813</v>
      </c>
      <c r="B143" s="20" t="s">
        <v>3607</v>
      </c>
      <c r="C143" s="19" t="s">
        <v>8</v>
      </c>
      <c r="D143" s="19" t="s">
        <v>3395</v>
      </c>
      <c r="E143" s="4">
        <v>0.85</v>
      </c>
      <c r="F143" s="42">
        <v>3.1</v>
      </c>
      <c r="G143" s="45">
        <v>213</v>
      </c>
      <c r="H143" s="22">
        <v>2.2000000000000002</v>
      </c>
      <c r="I143" s="6">
        <f t="shared" si="2"/>
        <v>1234.7610000000002</v>
      </c>
      <c r="J143" s="7" t="s">
        <v>3521</v>
      </c>
    </row>
    <row r="144" spans="1:10" ht="13.95" customHeight="1" x14ac:dyDescent="0.3">
      <c r="A144" s="20">
        <v>45814</v>
      </c>
      <c r="B144" s="20" t="s">
        <v>3607</v>
      </c>
      <c r="C144" s="19" t="s">
        <v>11</v>
      </c>
      <c r="D144" s="19" t="s">
        <v>3396</v>
      </c>
      <c r="E144" s="4">
        <v>1</v>
      </c>
      <c r="F144" s="42">
        <v>4.0999999999999996</v>
      </c>
      <c r="G144" s="45">
        <v>213</v>
      </c>
      <c r="H144" s="22">
        <v>2.2000000000000002</v>
      </c>
      <c r="I144" s="6">
        <f t="shared" si="2"/>
        <v>1921.26</v>
      </c>
      <c r="J144" s="7" t="s">
        <v>3522</v>
      </c>
    </row>
    <row r="145" spans="1:10" ht="13.95" customHeight="1" x14ac:dyDescent="0.3">
      <c r="A145" s="20">
        <v>45815</v>
      </c>
      <c r="B145" s="20" t="s">
        <v>3607</v>
      </c>
      <c r="C145" s="19" t="s">
        <v>13</v>
      </c>
      <c r="D145" s="19" t="s">
        <v>2656</v>
      </c>
      <c r="E145" s="4">
        <v>1</v>
      </c>
      <c r="F145" s="42">
        <v>3.9</v>
      </c>
      <c r="G145" s="45">
        <v>213</v>
      </c>
      <c r="H145" s="22">
        <v>2.2000000000000002</v>
      </c>
      <c r="I145" s="6">
        <f t="shared" si="2"/>
        <v>1827.54</v>
      </c>
      <c r="J145" s="7" t="s">
        <v>2900</v>
      </c>
    </row>
    <row r="146" spans="1:10" ht="13.95" customHeight="1" x14ac:dyDescent="0.3">
      <c r="A146" s="20">
        <v>45816</v>
      </c>
      <c r="B146" s="20" t="s">
        <v>3607</v>
      </c>
      <c r="C146" s="19" t="s">
        <v>16</v>
      </c>
      <c r="D146" s="19" t="s">
        <v>1344</v>
      </c>
      <c r="E146" s="4">
        <v>0.9</v>
      </c>
      <c r="F146" s="42">
        <v>3.5</v>
      </c>
      <c r="G146" s="45">
        <v>213</v>
      </c>
      <c r="H146" s="22">
        <v>2.2000000000000002</v>
      </c>
      <c r="I146" s="6">
        <f t="shared" si="2"/>
        <v>1476.0900000000001</v>
      </c>
      <c r="J146" s="7" t="s">
        <v>3523</v>
      </c>
    </row>
    <row r="147" spans="1:10" ht="13.95" customHeight="1" x14ac:dyDescent="0.3">
      <c r="A147" s="20">
        <v>45817</v>
      </c>
      <c r="B147" s="20" t="s">
        <v>3607</v>
      </c>
      <c r="C147" s="19" t="s">
        <v>18</v>
      </c>
      <c r="D147" s="19" t="s">
        <v>1052</v>
      </c>
      <c r="E147" s="4">
        <v>0.6</v>
      </c>
      <c r="F147" s="42">
        <v>2.4</v>
      </c>
      <c r="G147" s="45">
        <v>213</v>
      </c>
      <c r="H147" s="22">
        <v>2.2000000000000002</v>
      </c>
      <c r="I147" s="6">
        <f t="shared" si="2"/>
        <v>674.78399999999999</v>
      </c>
      <c r="J147" s="7" t="s">
        <v>1494</v>
      </c>
    </row>
    <row r="148" spans="1:10" ht="13.95" customHeight="1" x14ac:dyDescent="0.3">
      <c r="A148" s="20">
        <v>45818</v>
      </c>
      <c r="B148" s="20" t="s">
        <v>3607</v>
      </c>
      <c r="C148" s="19" t="s">
        <v>20</v>
      </c>
      <c r="D148" s="19" t="s">
        <v>706</v>
      </c>
      <c r="E148" s="4">
        <v>0.5</v>
      </c>
      <c r="F148" s="42">
        <v>2.15</v>
      </c>
      <c r="G148" s="45">
        <v>213</v>
      </c>
      <c r="H148" s="22">
        <v>2.2000000000000002</v>
      </c>
      <c r="I148" s="6">
        <f t="shared" si="2"/>
        <v>503.745</v>
      </c>
      <c r="J148" s="7" t="s">
        <v>460</v>
      </c>
    </row>
    <row r="149" spans="1:10" ht="13.95" customHeight="1" x14ac:dyDescent="0.3">
      <c r="A149" s="20">
        <v>45819</v>
      </c>
      <c r="B149" s="20" t="s">
        <v>3607</v>
      </c>
      <c r="C149" s="19" t="s">
        <v>5</v>
      </c>
      <c r="D149" s="19" t="s">
        <v>706</v>
      </c>
      <c r="E149" s="4">
        <v>0.5</v>
      </c>
      <c r="F149" s="42">
        <v>2.15</v>
      </c>
      <c r="G149" s="45">
        <v>213</v>
      </c>
      <c r="H149" s="22">
        <v>2.2000000000000002</v>
      </c>
      <c r="I149" s="6">
        <f t="shared" si="2"/>
        <v>503.745</v>
      </c>
      <c r="J149" s="7" t="s">
        <v>88</v>
      </c>
    </row>
    <row r="150" spans="1:10" ht="13.95" customHeight="1" x14ac:dyDescent="0.3">
      <c r="A150" s="20">
        <v>45820</v>
      </c>
      <c r="B150" s="20" t="s">
        <v>3607</v>
      </c>
      <c r="C150" s="19" t="s">
        <v>8</v>
      </c>
      <c r="D150" s="19" t="s">
        <v>1263</v>
      </c>
      <c r="E150" s="4">
        <v>0.6</v>
      </c>
      <c r="F150" s="42">
        <v>2.25</v>
      </c>
      <c r="G150" s="45">
        <v>213</v>
      </c>
      <c r="H150" s="22">
        <v>2.2000000000000002</v>
      </c>
      <c r="I150" s="6">
        <f t="shared" si="2"/>
        <v>632.61000000000013</v>
      </c>
      <c r="J150" s="7" t="s">
        <v>2700</v>
      </c>
    </row>
    <row r="151" spans="1:10" ht="13.95" customHeight="1" x14ac:dyDescent="0.3">
      <c r="A151" s="20">
        <v>45821</v>
      </c>
      <c r="B151" s="20" t="s">
        <v>3607</v>
      </c>
      <c r="C151" s="19" t="s">
        <v>11</v>
      </c>
      <c r="D151" s="19" t="s">
        <v>829</v>
      </c>
      <c r="E151" s="4">
        <v>0.7</v>
      </c>
      <c r="F151" s="42">
        <v>2.8</v>
      </c>
      <c r="G151" s="45">
        <v>213</v>
      </c>
      <c r="H151" s="22">
        <v>2.2000000000000002</v>
      </c>
      <c r="I151" s="6">
        <f t="shared" si="2"/>
        <v>918.45600000000002</v>
      </c>
      <c r="J151" s="7" t="s">
        <v>3524</v>
      </c>
    </row>
    <row r="152" spans="1:10" ht="13.95" customHeight="1" x14ac:dyDescent="0.3">
      <c r="A152" s="20">
        <v>45822</v>
      </c>
      <c r="B152" s="20" t="s">
        <v>3607</v>
      </c>
      <c r="C152" s="19" t="s">
        <v>13</v>
      </c>
      <c r="D152" s="19" t="s">
        <v>3091</v>
      </c>
      <c r="E152" s="4">
        <v>0.85</v>
      </c>
      <c r="F152" s="42">
        <v>3.5</v>
      </c>
      <c r="G152" s="45">
        <v>213</v>
      </c>
      <c r="H152" s="22">
        <v>2.2000000000000002</v>
      </c>
      <c r="I152" s="6">
        <f t="shared" si="2"/>
        <v>1394.085</v>
      </c>
      <c r="J152" s="7" t="s">
        <v>3505</v>
      </c>
    </row>
    <row r="153" spans="1:10" ht="13.95" customHeight="1" x14ac:dyDescent="0.3">
      <c r="A153" s="20">
        <v>45823</v>
      </c>
      <c r="B153" s="20" t="s">
        <v>3607</v>
      </c>
      <c r="C153" s="19" t="s">
        <v>16</v>
      </c>
      <c r="D153" s="19" t="s">
        <v>3480</v>
      </c>
      <c r="E153" s="4">
        <v>0.8</v>
      </c>
      <c r="F153" s="42">
        <v>3.2</v>
      </c>
      <c r="G153" s="45">
        <v>213</v>
      </c>
      <c r="H153" s="22">
        <v>2.2000000000000002</v>
      </c>
      <c r="I153" s="6">
        <f t="shared" si="2"/>
        <v>1199.6160000000002</v>
      </c>
      <c r="J153" s="7" t="s">
        <v>88</v>
      </c>
    </row>
    <row r="154" spans="1:10" ht="13.95" customHeight="1" x14ac:dyDescent="0.3">
      <c r="A154" s="20">
        <v>45824</v>
      </c>
      <c r="B154" s="20" t="s">
        <v>3607</v>
      </c>
      <c r="C154" s="19" t="s">
        <v>18</v>
      </c>
      <c r="D154" s="19" t="s">
        <v>1347</v>
      </c>
      <c r="E154" s="4">
        <v>0.7</v>
      </c>
      <c r="F154" s="42">
        <v>2.6</v>
      </c>
      <c r="G154" s="45">
        <v>213</v>
      </c>
      <c r="H154" s="22">
        <v>2.2000000000000002</v>
      </c>
      <c r="I154" s="6">
        <f t="shared" si="2"/>
        <v>852.85200000000009</v>
      </c>
      <c r="J154" s="7" t="s">
        <v>3525</v>
      </c>
    </row>
    <row r="155" spans="1:10" ht="13.95" customHeight="1" x14ac:dyDescent="0.3">
      <c r="A155" s="20">
        <v>45825</v>
      </c>
      <c r="B155" s="20" t="s">
        <v>3607</v>
      </c>
      <c r="C155" s="19" t="s">
        <v>20</v>
      </c>
      <c r="D155" s="19" t="s">
        <v>1347</v>
      </c>
      <c r="E155" s="4">
        <v>0.7</v>
      </c>
      <c r="F155" s="42">
        <v>2.6</v>
      </c>
      <c r="G155" s="45">
        <v>213</v>
      </c>
      <c r="H155" s="22">
        <v>2.2000000000000002</v>
      </c>
      <c r="I155" s="6">
        <f t="shared" si="2"/>
        <v>852.85200000000009</v>
      </c>
      <c r="J155" s="7" t="s">
        <v>88</v>
      </c>
    </row>
    <row r="156" spans="1:10" ht="13.95" customHeight="1" x14ac:dyDescent="0.3">
      <c r="A156" s="20">
        <v>45826</v>
      </c>
      <c r="B156" s="20" t="s">
        <v>3607</v>
      </c>
      <c r="C156" s="19" t="s">
        <v>5</v>
      </c>
      <c r="D156" s="19" t="s">
        <v>1347</v>
      </c>
      <c r="E156" s="4">
        <v>0.75</v>
      </c>
      <c r="F156" s="42">
        <v>2.65</v>
      </c>
      <c r="G156" s="45">
        <v>213</v>
      </c>
      <c r="H156" s="22">
        <v>2.2000000000000002</v>
      </c>
      <c r="I156" s="6">
        <f t="shared" si="2"/>
        <v>931.34249999999997</v>
      </c>
      <c r="J156" s="7" t="s">
        <v>3526</v>
      </c>
    </row>
    <row r="157" spans="1:10" ht="13.95" customHeight="1" x14ac:dyDescent="0.3">
      <c r="A157" s="20">
        <v>45827</v>
      </c>
      <c r="B157" s="20" t="s">
        <v>3607</v>
      </c>
      <c r="C157" s="19" t="s">
        <v>8</v>
      </c>
      <c r="D157" s="19" t="s">
        <v>1347</v>
      </c>
      <c r="E157" s="4">
        <v>0.75</v>
      </c>
      <c r="F157" s="42">
        <v>2.7</v>
      </c>
      <c r="G157" s="45">
        <v>213</v>
      </c>
      <c r="H157" s="22">
        <v>2.2000000000000002</v>
      </c>
      <c r="I157" s="6">
        <f t="shared" si="2"/>
        <v>948.91500000000019</v>
      </c>
      <c r="J157" s="7" t="s">
        <v>88</v>
      </c>
    </row>
    <row r="158" spans="1:10" ht="13.95" customHeight="1" x14ac:dyDescent="0.3">
      <c r="A158" s="20">
        <v>45828</v>
      </c>
      <c r="B158" s="20" t="s">
        <v>3607</v>
      </c>
      <c r="C158" s="19" t="s">
        <v>11</v>
      </c>
      <c r="D158" s="19" t="s">
        <v>14</v>
      </c>
      <c r="E158" s="4">
        <v>0.85</v>
      </c>
      <c r="F158" s="42">
        <v>3.1</v>
      </c>
      <c r="G158" s="45">
        <v>213</v>
      </c>
      <c r="H158" s="22">
        <v>2.2000000000000002</v>
      </c>
      <c r="I158" s="6">
        <f t="shared" si="2"/>
        <v>1234.7610000000002</v>
      </c>
      <c r="J158" s="7" t="s">
        <v>3290</v>
      </c>
    </row>
    <row r="159" spans="1:10" ht="13.95" customHeight="1" x14ac:dyDescent="0.3">
      <c r="A159" s="20">
        <v>45829</v>
      </c>
      <c r="B159" s="20" t="s">
        <v>3607</v>
      </c>
      <c r="C159" s="19" t="s">
        <v>13</v>
      </c>
      <c r="D159" s="19" t="s">
        <v>2790</v>
      </c>
      <c r="E159" s="4">
        <v>0.95</v>
      </c>
      <c r="F159" s="42">
        <v>3.9</v>
      </c>
      <c r="G159" s="45">
        <v>213</v>
      </c>
      <c r="H159" s="22">
        <v>2.2000000000000002</v>
      </c>
      <c r="I159" s="6">
        <f t="shared" si="2"/>
        <v>1736.163</v>
      </c>
      <c r="J159" s="7" t="s">
        <v>3527</v>
      </c>
    </row>
    <row r="160" spans="1:10" ht="13.95" customHeight="1" x14ac:dyDescent="0.3">
      <c r="A160" s="20">
        <v>45830</v>
      </c>
      <c r="B160" s="20" t="s">
        <v>3607</v>
      </c>
      <c r="C160" s="19" t="s">
        <v>16</v>
      </c>
      <c r="D160" s="19" t="s">
        <v>3480</v>
      </c>
      <c r="E160" s="4">
        <v>0.9</v>
      </c>
      <c r="F160" s="42">
        <v>3.4</v>
      </c>
      <c r="G160" s="45">
        <v>213</v>
      </c>
      <c r="H160" s="22">
        <v>2.2000000000000002</v>
      </c>
      <c r="I160" s="6">
        <f t="shared" si="2"/>
        <v>1433.9160000000004</v>
      </c>
      <c r="J160" s="7" t="s">
        <v>3528</v>
      </c>
    </row>
    <row r="161" spans="1:10" ht="13.95" customHeight="1" x14ac:dyDescent="0.3">
      <c r="A161" s="20">
        <v>45831</v>
      </c>
      <c r="B161" s="20" t="s">
        <v>3607</v>
      </c>
      <c r="C161" s="19" t="s">
        <v>18</v>
      </c>
      <c r="D161" s="19" t="s">
        <v>1347</v>
      </c>
      <c r="E161" s="4">
        <v>0.8</v>
      </c>
      <c r="F161" s="42">
        <v>2.75</v>
      </c>
      <c r="G161" s="45">
        <v>213</v>
      </c>
      <c r="H161" s="22">
        <v>2.2000000000000002</v>
      </c>
      <c r="I161" s="6">
        <f t="shared" si="2"/>
        <v>1030.92</v>
      </c>
      <c r="J161" s="7" t="s">
        <v>589</v>
      </c>
    </row>
    <row r="162" spans="1:10" ht="13.95" customHeight="1" x14ac:dyDescent="0.3">
      <c r="A162" s="20">
        <v>45832</v>
      </c>
      <c r="B162" s="20" t="s">
        <v>3607</v>
      </c>
      <c r="C162" s="19" t="s">
        <v>20</v>
      </c>
      <c r="D162" s="19" t="s">
        <v>1347</v>
      </c>
      <c r="E162" s="4">
        <v>0.8</v>
      </c>
      <c r="F162" s="42">
        <v>2.75</v>
      </c>
      <c r="G162" s="45">
        <v>213</v>
      </c>
      <c r="H162" s="22">
        <v>2.2000000000000002</v>
      </c>
      <c r="I162" s="6">
        <f t="shared" si="2"/>
        <v>1030.92</v>
      </c>
      <c r="J162" s="7" t="s">
        <v>88</v>
      </c>
    </row>
    <row r="163" spans="1:10" ht="13.95" customHeight="1" x14ac:dyDescent="0.3">
      <c r="A163" s="20">
        <v>45833</v>
      </c>
      <c r="B163" s="20" t="s">
        <v>3607</v>
      </c>
      <c r="C163" s="19" t="s">
        <v>5</v>
      </c>
      <c r="D163" s="19" t="s">
        <v>1347</v>
      </c>
      <c r="E163" s="4">
        <v>0.85</v>
      </c>
      <c r="F163" s="42">
        <v>2.8</v>
      </c>
      <c r="G163" s="45">
        <v>213</v>
      </c>
      <c r="H163" s="22">
        <v>2.2000000000000002</v>
      </c>
      <c r="I163" s="6">
        <f t="shared" si="2"/>
        <v>1115.268</v>
      </c>
      <c r="J163" s="7" t="s">
        <v>88</v>
      </c>
    </row>
    <row r="164" spans="1:10" ht="13.95" customHeight="1" x14ac:dyDescent="0.3">
      <c r="A164" s="20">
        <v>45834</v>
      </c>
      <c r="B164" s="20" t="s">
        <v>3607</v>
      </c>
      <c r="C164" s="19" t="s">
        <v>8</v>
      </c>
      <c r="D164" s="19" t="s">
        <v>1347</v>
      </c>
      <c r="E164" s="4">
        <v>0.85</v>
      </c>
      <c r="F164" s="42">
        <v>2.85</v>
      </c>
      <c r="G164" s="45">
        <v>213</v>
      </c>
      <c r="H164" s="22">
        <v>2.2000000000000002</v>
      </c>
      <c r="I164" s="6">
        <f t="shared" si="2"/>
        <v>1135.1835000000001</v>
      </c>
      <c r="J164" s="7" t="s">
        <v>88</v>
      </c>
    </row>
    <row r="165" spans="1:10" ht="13.95" customHeight="1" x14ac:dyDescent="0.3">
      <c r="A165" s="20">
        <v>45835</v>
      </c>
      <c r="B165" s="20" t="s">
        <v>3607</v>
      </c>
      <c r="C165" s="19" t="s">
        <v>11</v>
      </c>
      <c r="D165" s="19" t="s">
        <v>14</v>
      </c>
      <c r="E165" s="4">
        <v>0.95</v>
      </c>
      <c r="F165" s="42">
        <v>3.2</v>
      </c>
      <c r="G165" s="45">
        <v>213</v>
      </c>
      <c r="H165" s="22">
        <v>2.2000000000000002</v>
      </c>
      <c r="I165" s="6">
        <f t="shared" si="2"/>
        <v>1424.5440000000001</v>
      </c>
      <c r="J165" s="7" t="s">
        <v>3529</v>
      </c>
    </row>
    <row r="166" spans="1:10" ht="13.95" customHeight="1" x14ac:dyDescent="0.3">
      <c r="A166" s="20">
        <v>45836</v>
      </c>
      <c r="B166" s="20" t="s">
        <v>3607</v>
      </c>
      <c r="C166" s="19" t="s">
        <v>13</v>
      </c>
      <c r="D166" s="19" t="s">
        <v>3293</v>
      </c>
      <c r="E166" s="4">
        <v>1</v>
      </c>
      <c r="F166" s="42">
        <v>4.2</v>
      </c>
      <c r="G166" s="45">
        <v>213</v>
      </c>
      <c r="H166" s="22">
        <v>2.2000000000000002</v>
      </c>
      <c r="I166" s="6">
        <f t="shared" si="2"/>
        <v>1968.1200000000001</v>
      </c>
      <c r="J166" s="7" t="s">
        <v>3530</v>
      </c>
    </row>
    <row r="167" spans="1:10" ht="13.95" customHeight="1" x14ac:dyDescent="0.3">
      <c r="A167" s="20">
        <v>45837</v>
      </c>
      <c r="B167" s="20" t="s">
        <v>3607</v>
      </c>
      <c r="C167" s="19" t="s">
        <v>16</v>
      </c>
      <c r="D167" s="19" t="s">
        <v>3531</v>
      </c>
      <c r="E167" s="4">
        <v>1</v>
      </c>
      <c r="F167" s="42">
        <v>3.7</v>
      </c>
      <c r="G167" s="45">
        <v>213</v>
      </c>
      <c r="H167" s="22">
        <v>2.2000000000000002</v>
      </c>
      <c r="I167" s="6">
        <f t="shared" si="2"/>
        <v>1733.8200000000002</v>
      </c>
      <c r="J167" s="7" t="s">
        <v>3532</v>
      </c>
    </row>
    <row r="168" spans="1:10" ht="13.95" customHeight="1" x14ac:dyDescent="0.3">
      <c r="A168" s="20">
        <v>45838</v>
      </c>
      <c r="B168" s="20" t="s">
        <v>3607</v>
      </c>
      <c r="C168" s="19" t="s">
        <v>18</v>
      </c>
      <c r="D168" s="19" t="s">
        <v>3533</v>
      </c>
      <c r="E168" s="4">
        <v>0.9</v>
      </c>
      <c r="F168" s="42">
        <v>2.9</v>
      </c>
      <c r="G168" s="45">
        <v>213</v>
      </c>
      <c r="H168" s="22">
        <v>2.2000000000000002</v>
      </c>
      <c r="I168" s="6">
        <f t="shared" si="2"/>
        <v>1223.0460000000003</v>
      </c>
      <c r="J168" s="7" t="s">
        <v>3534</v>
      </c>
    </row>
    <row r="169" spans="1:10" ht="13.95" customHeight="1" x14ac:dyDescent="0.3">
      <c r="A169" s="20">
        <v>45839</v>
      </c>
      <c r="B169" s="20" t="s">
        <v>3607</v>
      </c>
      <c r="C169" s="19" t="s">
        <v>20</v>
      </c>
      <c r="D169" s="19" t="s">
        <v>2551</v>
      </c>
      <c r="E169" s="4">
        <v>0.95</v>
      </c>
      <c r="F169" s="42">
        <v>2.9</v>
      </c>
      <c r="G169" s="45">
        <v>213</v>
      </c>
      <c r="H169" s="22">
        <v>2.2999999999999998</v>
      </c>
      <c r="I169" s="6">
        <f t="shared" si="2"/>
        <v>1349.6744999999999</v>
      </c>
      <c r="J169" s="7" t="s">
        <v>531</v>
      </c>
    </row>
    <row r="170" spans="1:10" ht="13.95" customHeight="1" x14ac:dyDescent="0.3">
      <c r="A170" s="20">
        <v>45840</v>
      </c>
      <c r="B170" s="20" t="s">
        <v>3607</v>
      </c>
      <c r="C170" s="19" t="s">
        <v>5</v>
      </c>
      <c r="D170" s="19" t="s">
        <v>2551</v>
      </c>
      <c r="E170" s="4">
        <v>0.95</v>
      </c>
      <c r="F170" s="42">
        <v>2.9</v>
      </c>
      <c r="G170" s="45">
        <v>213</v>
      </c>
      <c r="H170" s="22">
        <v>2.2999999999999998</v>
      </c>
      <c r="I170" s="6">
        <f t="shared" si="2"/>
        <v>1349.6744999999999</v>
      </c>
      <c r="J170" s="7" t="s">
        <v>2435</v>
      </c>
    </row>
    <row r="171" spans="1:10" ht="13.95" customHeight="1" x14ac:dyDescent="0.3">
      <c r="A171" s="20">
        <v>45841</v>
      </c>
      <c r="B171" s="20" t="s">
        <v>3607</v>
      </c>
      <c r="C171" s="19" t="s">
        <v>8</v>
      </c>
      <c r="D171" s="19" t="s">
        <v>2551</v>
      </c>
      <c r="E171" s="4">
        <v>0.95</v>
      </c>
      <c r="F171" s="42">
        <v>3</v>
      </c>
      <c r="G171" s="45">
        <v>213</v>
      </c>
      <c r="H171" s="22">
        <v>2.2999999999999998</v>
      </c>
      <c r="I171" s="6">
        <f t="shared" si="2"/>
        <v>1396.2149999999997</v>
      </c>
      <c r="J171" s="7" t="s">
        <v>3462</v>
      </c>
    </row>
    <row r="172" spans="1:10" ht="13.95" customHeight="1" x14ac:dyDescent="0.3">
      <c r="A172" s="20">
        <v>45842</v>
      </c>
      <c r="B172" s="20" t="s">
        <v>3607</v>
      </c>
      <c r="C172" s="19" t="s">
        <v>11</v>
      </c>
      <c r="D172" s="19" t="s">
        <v>3535</v>
      </c>
      <c r="E172" s="4">
        <v>1</v>
      </c>
      <c r="F172" s="42">
        <v>3.3</v>
      </c>
      <c r="G172" s="45">
        <v>213</v>
      </c>
      <c r="H172" s="22">
        <v>2.2999999999999998</v>
      </c>
      <c r="I172" s="6">
        <f t="shared" si="2"/>
        <v>1616.6699999999998</v>
      </c>
      <c r="J172" s="7" t="s">
        <v>3536</v>
      </c>
    </row>
    <row r="173" spans="1:10" ht="13.95" customHeight="1" x14ac:dyDescent="0.3">
      <c r="A173" s="20">
        <v>45843</v>
      </c>
      <c r="B173" s="20" t="s">
        <v>3607</v>
      </c>
      <c r="C173" s="19" t="s">
        <v>13</v>
      </c>
      <c r="D173" s="19" t="s">
        <v>3537</v>
      </c>
      <c r="E173" s="4">
        <v>1</v>
      </c>
      <c r="F173" s="42">
        <v>4.2</v>
      </c>
      <c r="G173" s="45">
        <v>213</v>
      </c>
      <c r="H173" s="22">
        <v>2.2999999999999998</v>
      </c>
      <c r="I173" s="6">
        <f t="shared" si="2"/>
        <v>2057.58</v>
      </c>
      <c r="J173" s="7" t="s">
        <v>1773</v>
      </c>
    </row>
    <row r="174" spans="1:10" ht="13.95" customHeight="1" x14ac:dyDescent="0.3">
      <c r="A174" s="20">
        <v>45844</v>
      </c>
      <c r="B174" s="20" t="s">
        <v>3607</v>
      </c>
      <c r="C174" s="19" t="s">
        <v>16</v>
      </c>
      <c r="D174" s="19" t="s">
        <v>3538</v>
      </c>
      <c r="E174" s="4">
        <v>1</v>
      </c>
      <c r="F174" s="42">
        <v>3.8</v>
      </c>
      <c r="G174" s="45">
        <v>213</v>
      </c>
      <c r="H174" s="22">
        <v>2.2999999999999998</v>
      </c>
      <c r="I174" s="6">
        <f t="shared" si="2"/>
        <v>1861.62</v>
      </c>
      <c r="J174" s="7" t="s">
        <v>3539</v>
      </c>
    </row>
    <row r="175" spans="1:10" ht="13.95" customHeight="1" x14ac:dyDescent="0.3">
      <c r="A175" s="20">
        <v>45845</v>
      </c>
      <c r="B175" s="20" t="s">
        <v>3607</v>
      </c>
      <c r="C175" s="19" t="s">
        <v>18</v>
      </c>
      <c r="D175" s="19" t="s">
        <v>2551</v>
      </c>
      <c r="E175" s="4">
        <v>0.95</v>
      </c>
      <c r="F175" s="42">
        <v>3</v>
      </c>
      <c r="G175" s="45">
        <v>213</v>
      </c>
      <c r="H175" s="22">
        <v>2.2999999999999998</v>
      </c>
      <c r="I175" s="6">
        <f t="shared" si="2"/>
        <v>1396.2149999999997</v>
      </c>
      <c r="J175" s="7" t="s">
        <v>3526</v>
      </c>
    </row>
    <row r="176" spans="1:10" ht="13.95" customHeight="1" x14ac:dyDescent="0.3">
      <c r="A176" s="20">
        <v>45848</v>
      </c>
      <c r="B176" s="20" t="s">
        <v>3607</v>
      </c>
      <c r="C176" s="19" t="s">
        <v>8</v>
      </c>
      <c r="D176" s="19" t="s">
        <v>2551</v>
      </c>
      <c r="E176" s="4">
        <v>0.95</v>
      </c>
      <c r="F176" s="42">
        <v>3.1</v>
      </c>
      <c r="G176" s="45">
        <v>213</v>
      </c>
      <c r="H176" s="22">
        <v>2.2999999999999998</v>
      </c>
      <c r="I176" s="6">
        <f t="shared" si="2"/>
        <v>1442.7554999999998</v>
      </c>
      <c r="J176" s="7" t="s">
        <v>88</v>
      </c>
    </row>
    <row r="177" spans="1:10" ht="13.95" customHeight="1" x14ac:dyDescent="0.3">
      <c r="A177" s="20">
        <v>45850</v>
      </c>
      <c r="B177" s="20" t="s">
        <v>3607</v>
      </c>
      <c r="C177" s="19" t="s">
        <v>13</v>
      </c>
      <c r="D177" s="19" t="s">
        <v>3091</v>
      </c>
      <c r="E177" s="4">
        <v>1</v>
      </c>
      <c r="F177" s="42">
        <v>4.3</v>
      </c>
      <c r="G177" s="45">
        <v>213</v>
      </c>
      <c r="H177" s="22">
        <v>2.2999999999999998</v>
      </c>
      <c r="I177" s="6">
        <f t="shared" si="2"/>
        <v>2106.5699999999997</v>
      </c>
      <c r="J177" s="7" t="s">
        <v>1323</v>
      </c>
    </row>
    <row r="178" spans="1:10" ht="13.95" customHeight="1" x14ac:dyDescent="0.3">
      <c r="A178" s="20">
        <v>45851</v>
      </c>
      <c r="B178" s="20" t="s">
        <v>3607</v>
      </c>
      <c r="C178" s="19" t="s">
        <v>16</v>
      </c>
      <c r="D178" s="19" t="s">
        <v>3540</v>
      </c>
      <c r="E178" s="4">
        <v>1</v>
      </c>
      <c r="F178" s="42">
        <v>3.7</v>
      </c>
      <c r="G178" s="45">
        <v>213</v>
      </c>
      <c r="H178" s="22">
        <v>2.2999999999999998</v>
      </c>
      <c r="I178" s="6">
        <f t="shared" si="2"/>
        <v>1812.6299999999999</v>
      </c>
      <c r="J178" s="7" t="s">
        <v>3541</v>
      </c>
    </row>
    <row r="179" spans="1:10" ht="13.95" customHeight="1" x14ac:dyDescent="0.3">
      <c r="A179" s="20">
        <v>45852</v>
      </c>
      <c r="B179" s="20" t="s">
        <v>3607</v>
      </c>
      <c r="C179" s="19" t="s">
        <v>18</v>
      </c>
      <c r="D179" s="19" t="s">
        <v>1447</v>
      </c>
      <c r="E179" s="4">
        <v>1</v>
      </c>
      <c r="F179" s="42">
        <v>3.5</v>
      </c>
      <c r="G179" s="45">
        <v>213</v>
      </c>
      <c r="H179" s="22">
        <v>2.2999999999999998</v>
      </c>
      <c r="I179" s="6">
        <f t="shared" si="2"/>
        <v>1714.6499999999999</v>
      </c>
      <c r="J179" s="7" t="s">
        <v>1332</v>
      </c>
    </row>
    <row r="180" spans="1:10" ht="13.95" customHeight="1" x14ac:dyDescent="0.3">
      <c r="A180" s="20">
        <v>45853</v>
      </c>
      <c r="B180" s="20" t="s">
        <v>3607</v>
      </c>
      <c r="C180" s="19" t="s">
        <v>20</v>
      </c>
      <c r="D180" s="19" t="s">
        <v>2551</v>
      </c>
      <c r="E180" s="4">
        <v>1</v>
      </c>
      <c r="F180" s="42">
        <v>3.1</v>
      </c>
      <c r="G180" s="45">
        <v>213</v>
      </c>
      <c r="H180" s="22">
        <v>2.2999999999999998</v>
      </c>
      <c r="I180" s="6">
        <f t="shared" si="2"/>
        <v>1518.69</v>
      </c>
      <c r="J180" s="7" t="s">
        <v>88</v>
      </c>
    </row>
    <row r="181" spans="1:10" ht="13.95" customHeight="1" x14ac:dyDescent="0.3">
      <c r="A181" s="20">
        <v>45857</v>
      </c>
      <c r="B181" s="20" t="s">
        <v>3607</v>
      </c>
      <c r="C181" s="19" t="s">
        <v>13</v>
      </c>
      <c r="D181" s="19" t="s">
        <v>3170</v>
      </c>
      <c r="E181" s="4">
        <v>1</v>
      </c>
      <c r="F181" s="42">
        <v>4.4000000000000004</v>
      </c>
      <c r="G181" s="45">
        <v>213</v>
      </c>
      <c r="H181" s="22">
        <v>2.2999999999999998</v>
      </c>
      <c r="I181" s="6">
        <f t="shared" si="2"/>
        <v>2155.56</v>
      </c>
      <c r="J181" s="7" t="s">
        <v>3542</v>
      </c>
    </row>
    <row r="182" spans="1:10" ht="13.95" customHeight="1" x14ac:dyDescent="0.3">
      <c r="A182" s="20">
        <v>45858</v>
      </c>
      <c r="B182" s="20" t="s">
        <v>3607</v>
      </c>
      <c r="C182" s="19" t="s">
        <v>16</v>
      </c>
      <c r="D182" s="19" t="s">
        <v>3543</v>
      </c>
      <c r="E182" s="4">
        <v>1</v>
      </c>
      <c r="F182" s="42">
        <v>3.8</v>
      </c>
      <c r="G182" s="45">
        <v>213</v>
      </c>
      <c r="H182" s="22">
        <v>2.2999999999999998</v>
      </c>
      <c r="I182" s="6">
        <f t="shared" si="2"/>
        <v>1861.62</v>
      </c>
      <c r="J182" s="7" t="s">
        <v>2252</v>
      </c>
    </row>
    <row r="183" spans="1:10" ht="13.95" customHeight="1" x14ac:dyDescent="0.3">
      <c r="A183" s="20">
        <v>45861</v>
      </c>
      <c r="B183" s="20" t="s">
        <v>3607</v>
      </c>
      <c r="C183" s="19" t="s">
        <v>5</v>
      </c>
      <c r="D183" s="19" t="s">
        <v>2551</v>
      </c>
      <c r="E183" s="4">
        <v>0.95</v>
      </c>
      <c r="F183" s="42">
        <v>3.1</v>
      </c>
      <c r="G183" s="45">
        <v>213</v>
      </c>
      <c r="H183" s="22">
        <v>2.2999999999999998</v>
      </c>
      <c r="I183" s="6">
        <f t="shared" si="2"/>
        <v>1442.7554999999998</v>
      </c>
      <c r="J183" s="7" t="s">
        <v>88</v>
      </c>
    </row>
    <row r="184" spans="1:10" ht="13.95" customHeight="1" x14ac:dyDescent="0.3">
      <c r="A184" s="20">
        <v>45863</v>
      </c>
      <c r="B184" s="20" t="s">
        <v>3607</v>
      </c>
      <c r="C184" s="19" t="s">
        <v>11</v>
      </c>
      <c r="D184" s="19" t="s">
        <v>3247</v>
      </c>
      <c r="E184" s="4">
        <v>1</v>
      </c>
      <c r="F184" s="42">
        <v>4.5</v>
      </c>
      <c r="G184" s="45">
        <v>213</v>
      </c>
      <c r="H184" s="22">
        <v>2.2999999999999998</v>
      </c>
      <c r="I184" s="6">
        <f t="shared" si="2"/>
        <v>2204.5499999999997</v>
      </c>
      <c r="J184" s="7" t="s">
        <v>3544</v>
      </c>
    </row>
    <row r="185" spans="1:10" ht="13.95" customHeight="1" x14ac:dyDescent="0.3">
      <c r="A185" s="20">
        <v>45864</v>
      </c>
      <c r="B185" s="20" t="s">
        <v>3607</v>
      </c>
      <c r="C185" s="19" t="s">
        <v>13</v>
      </c>
      <c r="D185" s="19" t="s">
        <v>14</v>
      </c>
      <c r="E185" s="4">
        <v>1</v>
      </c>
      <c r="F185" s="42">
        <v>4.2</v>
      </c>
      <c r="G185" s="45">
        <v>213</v>
      </c>
      <c r="H185" s="22">
        <v>2.2999999999999998</v>
      </c>
      <c r="I185" s="6">
        <f t="shared" si="2"/>
        <v>2057.58</v>
      </c>
      <c r="J185" s="7" t="s">
        <v>3290</v>
      </c>
    </row>
    <row r="186" spans="1:10" ht="13.95" customHeight="1" x14ac:dyDescent="0.3">
      <c r="A186" s="20">
        <v>45865</v>
      </c>
      <c r="B186" s="20" t="s">
        <v>3607</v>
      </c>
      <c r="C186" s="19" t="s">
        <v>16</v>
      </c>
      <c r="D186" s="19" t="s">
        <v>3480</v>
      </c>
      <c r="E186" s="4">
        <v>1</v>
      </c>
      <c r="F186" s="42">
        <v>3.7</v>
      </c>
      <c r="G186" s="45">
        <v>213</v>
      </c>
      <c r="H186" s="22">
        <v>2.2999999999999998</v>
      </c>
      <c r="I186" s="6">
        <f t="shared" si="2"/>
        <v>1812.6299999999999</v>
      </c>
      <c r="J186" s="7" t="s">
        <v>88</v>
      </c>
    </row>
    <row r="187" spans="1:10" ht="13.95" customHeight="1" x14ac:dyDescent="0.3">
      <c r="A187" s="20">
        <v>45868</v>
      </c>
      <c r="B187" s="20" t="s">
        <v>3607</v>
      </c>
      <c r="C187" s="19" t="s">
        <v>5</v>
      </c>
      <c r="D187" s="19" t="s">
        <v>2551</v>
      </c>
      <c r="E187" s="4">
        <v>0.95</v>
      </c>
      <c r="F187" s="42">
        <v>3.1</v>
      </c>
      <c r="G187" s="45">
        <v>213</v>
      </c>
      <c r="H187" s="22">
        <v>2.2999999999999998</v>
      </c>
      <c r="I187" s="6">
        <f t="shared" si="2"/>
        <v>1442.7554999999998</v>
      </c>
      <c r="J187" s="7" t="s">
        <v>3545</v>
      </c>
    </row>
    <row r="188" spans="1:10" ht="13.95" customHeight="1" x14ac:dyDescent="0.3">
      <c r="A188" s="20">
        <v>45869</v>
      </c>
      <c r="B188" s="20" t="s">
        <v>3607</v>
      </c>
      <c r="C188" s="19" t="s">
        <v>8</v>
      </c>
      <c r="D188" s="19" t="s">
        <v>2551</v>
      </c>
      <c r="E188" s="4">
        <v>1</v>
      </c>
      <c r="F188" s="42">
        <v>3.2</v>
      </c>
      <c r="G188" s="45">
        <v>213</v>
      </c>
      <c r="H188" s="22">
        <v>2.2999999999999998</v>
      </c>
      <c r="I188" s="6">
        <f t="shared" si="2"/>
        <v>1567.6799999999998</v>
      </c>
      <c r="J188" s="7" t="s">
        <v>2953</v>
      </c>
    </row>
    <row r="189" spans="1:10" ht="13.95" customHeight="1" x14ac:dyDescent="0.3">
      <c r="A189" s="20">
        <v>45870</v>
      </c>
      <c r="B189" s="20" t="s">
        <v>3607</v>
      </c>
      <c r="C189" s="19" t="s">
        <v>11</v>
      </c>
      <c r="D189" s="19" t="s">
        <v>3535</v>
      </c>
      <c r="E189" s="4">
        <v>1</v>
      </c>
      <c r="F189" s="42">
        <v>3.4</v>
      </c>
      <c r="G189" s="45">
        <v>213</v>
      </c>
      <c r="H189" s="22">
        <v>2.4</v>
      </c>
      <c r="I189" s="6">
        <f t="shared" si="2"/>
        <v>1738.0799999999997</v>
      </c>
      <c r="J189" s="7" t="s">
        <v>3546</v>
      </c>
    </row>
    <row r="190" spans="1:10" ht="13.95" customHeight="1" x14ac:dyDescent="0.3">
      <c r="A190" s="20">
        <v>45871</v>
      </c>
      <c r="B190" s="20" t="s">
        <v>3607</v>
      </c>
      <c r="C190" s="19" t="s">
        <v>13</v>
      </c>
      <c r="D190" s="19" t="s">
        <v>3117</v>
      </c>
      <c r="E190" s="4">
        <v>1</v>
      </c>
      <c r="F190" s="42">
        <v>4.4000000000000004</v>
      </c>
      <c r="G190" s="45">
        <v>213</v>
      </c>
      <c r="H190" s="22">
        <v>2.4</v>
      </c>
      <c r="I190" s="6">
        <f t="shared" si="2"/>
        <v>2249.2800000000002</v>
      </c>
      <c r="J190" s="7" t="s">
        <v>3547</v>
      </c>
    </row>
    <row r="191" spans="1:10" ht="13.95" customHeight="1" x14ac:dyDescent="0.3">
      <c r="A191" s="20">
        <v>45872</v>
      </c>
      <c r="B191" s="20" t="s">
        <v>3607</v>
      </c>
      <c r="C191" s="19" t="s">
        <v>16</v>
      </c>
      <c r="D191" s="19" t="s">
        <v>3543</v>
      </c>
      <c r="E191" s="4">
        <v>1</v>
      </c>
      <c r="F191" s="42">
        <v>3.8</v>
      </c>
      <c r="G191" s="45">
        <v>213</v>
      </c>
      <c r="H191" s="22">
        <v>2.4</v>
      </c>
      <c r="I191" s="6">
        <f t="shared" si="2"/>
        <v>1942.56</v>
      </c>
      <c r="J191" s="7" t="s">
        <v>3548</v>
      </c>
    </row>
    <row r="192" spans="1:10" ht="13.95" customHeight="1" x14ac:dyDescent="0.3">
      <c r="A192" s="20">
        <v>45873</v>
      </c>
      <c r="B192" s="20" t="s">
        <v>3607</v>
      </c>
      <c r="C192" s="19" t="s">
        <v>18</v>
      </c>
      <c r="D192" s="19" t="s">
        <v>2551</v>
      </c>
      <c r="E192" s="4">
        <v>1</v>
      </c>
      <c r="F192" s="42">
        <v>3.2</v>
      </c>
      <c r="G192" s="45">
        <v>213</v>
      </c>
      <c r="H192" s="22">
        <v>2.4</v>
      </c>
      <c r="I192" s="6">
        <f t="shared" si="2"/>
        <v>1635.84</v>
      </c>
      <c r="J192" s="7" t="s">
        <v>3549</v>
      </c>
    </row>
    <row r="193" spans="1:10" ht="13.95" customHeight="1" x14ac:dyDescent="0.3">
      <c r="A193" s="20">
        <v>45874</v>
      </c>
      <c r="B193" s="20" t="s">
        <v>3607</v>
      </c>
      <c r="C193" s="19" t="s">
        <v>20</v>
      </c>
      <c r="D193" s="19" t="s">
        <v>2551</v>
      </c>
      <c r="E193" s="4">
        <v>1</v>
      </c>
      <c r="F193" s="42">
        <v>3.2</v>
      </c>
      <c r="G193" s="45">
        <v>213</v>
      </c>
      <c r="H193" s="22">
        <v>2.4</v>
      </c>
      <c r="I193" s="6">
        <f t="shared" si="2"/>
        <v>1635.84</v>
      </c>
      <c r="J193" s="7" t="s">
        <v>2435</v>
      </c>
    </row>
    <row r="194" spans="1:10" ht="13.95" customHeight="1" x14ac:dyDescent="0.3">
      <c r="A194" s="20">
        <v>45875</v>
      </c>
      <c r="B194" s="20" t="s">
        <v>3607</v>
      </c>
      <c r="C194" s="19" t="s">
        <v>5</v>
      </c>
      <c r="D194" s="19" t="s">
        <v>2551</v>
      </c>
      <c r="E194" s="4">
        <v>1</v>
      </c>
      <c r="F194" s="42">
        <v>3.25</v>
      </c>
      <c r="G194" s="45">
        <v>213</v>
      </c>
      <c r="H194" s="22">
        <v>2.4</v>
      </c>
      <c r="I194" s="6">
        <f t="shared" ref="I194:I257" si="3">(G194*E194)*F194*H194</f>
        <v>1661.3999999999999</v>
      </c>
      <c r="J194" s="7" t="s">
        <v>88</v>
      </c>
    </row>
    <row r="195" spans="1:10" ht="13.95" customHeight="1" x14ac:dyDescent="0.3">
      <c r="A195" s="20">
        <v>45876</v>
      </c>
      <c r="B195" s="20" t="s">
        <v>3607</v>
      </c>
      <c r="C195" s="19" t="s">
        <v>8</v>
      </c>
      <c r="D195" s="19" t="s">
        <v>2551</v>
      </c>
      <c r="E195" s="4">
        <v>1</v>
      </c>
      <c r="F195" s="42">
        <v>3.3</v>
      </c>
      <c r="G195" s="45">
        <v>213</v>
      </c>
      <c r="H195" s="22">
        <v>2.4</v>
      </c>
      <c r="I195" s="6">
        <f t="shared" si="3"/>
        <v>1686.9599999999998</v>
      </c>
      <c r="J195" s="7" t="s">
        <v>88</v>
      </c>
    </row>
    <row r="196" spans="1:10" ht="13.95" customHeight="1" x14ac:dyDescent="0.3">
      <c r="A196" s="20">
        <v>45877</v>
      </c>
      <c r="B196" s="20" t="s">
        <v>3607</v>
      </c>
      <c r="C196" s="19" t="s">
        <v>11</v>
      </c>
      <c r="D196" s="19" t="s">
        <v>3535</v>
      </c>
      <c r="E196" s="4">
        <v>1</v>
      </c>
      <c r="F196" s="42">
        <v>3.5</v>
      </c>
      <c r="G196" s="45">
        <v>213</v>
      </c>
      <c r="H196" s="22">
        <v>2.4</v>
      </c>
      <c r="I196" s="6">
        <f t="shared" si="3"/>
        <v>1789.2</v>
      </c>
      <c r="J196" s="7" t="s">
        <v>3550</v>
      </c>
    </row>
    <row r="197" spans="1:10" ht="13.95" customHeight="1" x14ac:dyDescent="0.3">
      <c r="A197" s="20">
        <v>45878</v>
      </c>
      <c r="B197" s="20" t="s">
        <v>3607</v>
      </c>
      <c r="C197" s="19" t="s">
        <v>13</v>
      </c>
      <c r="D197" s="19" t="s">
        <v>3537</v>
      </c>
      <c r="E197" s="4">
        <v>1</v>
      </c>
      <c r="F197" s="42">
        <v>4.3499999999999996</v>
      </c>
      <c r="G197" s="45">
        <v>213</v>
      </c>
      <c r="H197" s="22">
        <v>2.4</v>
      </c>
      <c r="I197" s="6">
        <f t="shared" si="3"/>
        <v>2223.7199999999998</v>
      </c>
      <c r="J197" s="7" t="s">
        <v>3551</v>
      </c>
    </row>
    <row r="198" spans="1:10" ht="13.95" customHeight="1" x14ac:dyDescent="0.3">
      <c r="A198" s="20">
        <v>45879</v>
      </c>
      <c r="B198" s="20" t="s">
        <v>3607</v>
      </c>
      <c r="C198" s="19" t="s">
        <v>16</v>
      </c>
      <c r="D198" s="19" t="s">
        <v>3543</v>
      </c>
      <c r="E198" s="4">
        <v>1</v>
      </c>
      <c r="F198" s="42">
        <v>3.8</v>
      </c>
      <c r="G198" s="45">
        <v>213</v>
      </c>
      <c r="H198" s="22">
        <v>2.4</v>
      </c>
      <c r="I198" s="6">
        <f t="shared" si="3"/>
        <v>1942.56</v>
      </c>
      <c r="J198" s="7" t="s">
        <v>3552</v>
      </c>
    </row>
    <row r="199" spans="1:10" ht="13.95" customHeight="1" x14ac:dyDescent="0.3">
      <c r="A199" s="20">
        <v>45880</v>
      </c>
      <c r="B199" s="20" t="s">
        <v>3607</v>
      </c>
      <c r="C199" s="19" t="s">
        <v>18</v>
      </c>
      <c r="D199" s="19" t="s">
        <v>2551</v>
      </c>
      <c r="E199" s="4">
        <v>1</v>
      </c>
      <c r="F199" s="42">
        <v>3.2</v>
      </c>
      <c r="G199" s="45">
        <v>213</v>
      </c>
      <c r="H199" s="22">
        <v>2.4</v>
      </c>
      <c r="I199" s="6">
        <f t="shared" si="3"/>
        <v>1635.84</v>
      </c>
      <c r="J199" s="7" t="s">
        <v>3553</v>
      </c>
    </row>
    <row r="200" spans="1:10" ht="13.95" customHeight="1" x14ac:dyDescent="0.3">
      <c r="A200" s="20">
        <v>45881</v>
      </c>
      <c r="B200" s="20" t="s">
        <v>3607</v>
      </c>
      <c r="C200" s="19" t="s">
        <v>20</v>
      </c>
      <c r="D200" s="19" t="s">
        <v>1072</v>
      </c>
      <c r="E200" s="4">
        <v>1</v>
      </c>
      <c r="F200" s="42">
        <v>3.4</v>
      </c>
      <c r="G200" s="45">
        <v>213</v>
      </c>
      <c r="H200" s="22">
        <v>2.4</v>
      </c>
      <c r="I200" s="6">
        <f t="shared" si="3"/>
        <v>1738.0799999999997</v>
      </c>
      <c r="J200" s="7" t="s">
        <v>3554</v>
      </c>
    </row>
    <row r="201" spans="1:10" ht="13.95" customHeight="1" x14ac:dyDescent="0.3">
      <c r="A201" s="20">
        <v>45882</v>
      </c>
      <c r="B201" s="20" t="s">
        <v>3607</v>
      </c>
      <c r="C201" s="19" t="s">
        <v>5</v>
      </c>
      <c r="D201" s="19" t="s">
        <v>3123</v>
      </c>
      <c r="E201" s="4">
        <v>1</v>
      </c>
      <c r="F201" s="42">
        <v>4.7</v>
      </c>
      <c r="G201" s="45">
        <v>213</v>
      </c>
      <c r="H201" s="22">
        <v>2.4</v>
      </c>
      <c r="I201" s="6">
        <f t="shared" si="3"/>
        <v>2402.64</v>
      </c>
      <c r="J201" s="7" t="s">
        <v>3555</v>
      </c>
    </row>
    <row r="202" spans="1:10" ht="13.95" customHeight="1" x14ac:dyDescent="0.3">
      <c r="A202" s="20">
        <v>45883</v>
      </c>
      <c r="B202" s="20" t="s">
        <v>3607</v>
      </c>
      <c r="C202" s="19" t="s">
        <v>8</v>
      </c>
      <c r="D202" s="19" t="s">
        <v>2551</v>
      </c>
      <c r="E202" s="4">
        <v>1</v>
      </c>
      <c r="F202" s="42">
        <v>3.25</v>
      </c>
      <c r="G202" s="45">
        <v>213</v>
      </c>
      <c r="H202" s="22">
        <v>2.4</v>
      </c>
      <c r="I202" s="6">
        <f t="shared" si="3"/>
        <v>1661.3999999999999</v>
      </c>
      <c r="J202" s="7" t="s">
        <v>88</v>
      </c>
    </row>
    <row r="203" spans="1:10" ht="13.95" customHeight="1" x14ac:dyDescent="0.3">
      <c r="A203" s="20">
        <v>45884</v>
      </c>
      <c r="B203" s="20" t="s">
        <v>3607</v>
      </c>
      <c r="C203" s="19" t="s">
        <v>11</v>
      </c>
      <c r="D203" s="19" t="s">
        <v>3556</v>
      </c>
      <c r="E203" s="4">
        <v>1</v>
      </c>
      <c r="F203" s="42">
        <v>3.55</v>
      </c>
      <c r="G203" s="45">
        <v>213</v>
      </c>
      <c r="H203" s="22">
        <v>2.4</v>
      </c>
      <c r="I203" s="6">
        <f t="shared" si="3"/>
        <v>1814.76</v>
      </c>
      <c r="J203" s="7" t="s">
        <v>1332</v>
      </c>
    </row>
    <row r="204" spans="1:10" ht="13.95" customHeight="1" x14ac:dyDescent="0.3">
      <c r="A204" s="20">
        <v>45885</v>
      </c>
      <c r="B204" s="20" t="s">
        <v>3607</v>
      </c>
      <c r="C204" s="19" t="s">
        <v>13</v>
      </c>
      <c r="D204" s="19" t="s">
        <v>3091</v>
      </c>
      <c r="E204" s="4">
        <v>1</v>
      </c>
      <c r="F204" s="42">
        <v>4.4000000000000004</v>
      </c>
      <c r="G204" s="45">
        <v>213</v>
      </c>
      <c r="H204" s="22">
        <v>2.4</v>
      </c>
      <c r="I204" s="6">
        <f t="shared" si="3"/>
        <v>2249.2800000000002</v>
      </c>
      <c r="J204" s="7" t="s">
        <v>1478</v>
      </c>
    </row>
    <row r="205" spans="1:10" ht="13.95" customHeight="1" x14ac:dyDescent="0.3">
      <c r="A205" s="20">
        <v>45886</v>
      </c>
      <c r="B205" s="20" t="s">
        <v>3607</v>
      </c>
      <c r="C205" s="19" t="s">
        <v>16</v>
      </c>
      <c r="D205" s="19" t="s">
        <v>3543</v>
      </c>
      <c r="E205" s="4">
        <v>1</v>
      </c>
      <c r="F205" s="42">
        <v>3.9</v>
      </c>
      <c r="G205" s="45">
        <v>213</v>
      </c>
      <c r="H205" s="22">
        <v>2.4</v>
      </c>
      <c r="I205" s="6">
        <f t="shared" si="3"/>
        <v>1993.6799999999998</v>
      </c>
      <c r="J205" s="7" t="s">
        <v>3557</v>
      </c>
    </row>
    <row r="206" spans="1:10" ht="13.95" customHeight="1" x14ac:dyDescent="0.3">
      <c r="A206" s="20">
        <v>45887</v>
      </c>
      <c r="B206" s="20" t="s">
        <v>3607</v>
      </c>
      <c r="C206" s="19" t="s">
        <v>18</v>
      </c>
      <c r="D206" s="19" t="s">
        <v>2551</v>
      </c>
      <c r="E206" s="4">
        <v>1</v>
      </c>
      <c r="F206" s="42">
        <v>3.2</v>
      </c>
      <c r="G206" s="45">
        <v>213</v>
      </c>
      <c r="H206" s="22">
        <v>2.4</v>
      </c>
      <c r="I206" s="6">
        <f t="shared" si="3"/>
        <v>1635.84</v>
      </c>
      <c r="J206" s="7" t="s">
        <v>88</v>
      </c>
    </row>
    <row r="207" spans="1:10" ht="13.95" customHeight="1" x14ac:dyDescent="0.3">
      <c r="A207" s="20">
        <v>45888</v>
      </c>
      <c r="B207" s="20" t="s">
        <v>3607</v>
      </c>
      <c r="C207" s="19" t="s">
        <v>20</v>
      </c>
      <c r="D207" s="19" t="s">
        <v>2551</v>
      </c>
      <c r="E207" s="4">
        <v>1</v>
      </c>
      <c r="F207" s="42">
        <v>3.2</v>
      </c>
      <c r="G207" s="45">
        <v>213</v>
      </c>
      <c r="H207" s="22">
        <v>2.4</v>
      </c>
      <c r="I207" s="6">
        <f t="shared" si="3"/>
        <v>1635.84</v>
      </c>
      <c r="J207" s="7" t="s">
        <v>88</v>
      </c>
    </row>
    <row r="208" spans="1:10" ht="13.95" customHeight="1" x14ac:dyDescent="0.3">
      <c r="A208" s="20">
        <v>45889</v>
      </c>
      <c r="B208" s="20" t="s">
        <v>3607</v>
      </c>
      <c r="C208" s="19" t="s">
        <v>5</v>
      </c>
      <c r="D208" s="19" t="s">
        <v>2551</v>
      </c>
      <c r="E208" s="4">
        <v>1</v>
      </c>
      <c r="F208" s="42">
        <v>3.3</v>
      </c>
      <c r="G208" s="45">
        <v>213</v>
      </c>
      <c r="H208" s="22">
        <v>2.4</v>
      </c>
      <c r="I208" s="6">
        <f t="shared" si="3"/>
        <v>1686.9599999999998</v>
      </c>
      <c r="J208" s="7" t="s">
        <v>3553</v>
      </c>
    </row>
    <row r="209" spans="1:10" ht="13.95" customHeight="1" x14ac:dyDescent="0.3">
      <c r="A209" s="20">
        <v>45890</v>
      </c>
      <c r="B209" s="20" t="s">
        <v>3607</v>
      </c>
      <c r="C209" s="19" t="s">
        <v>8</v>
      </c>
      <c r="D209" s="19" t="s">
        <v>2551</v>
      </c>
      <c r="E209" s="4">
        <v>1</v>
      </c>
      <c r="F209" s="42">
        <v>3.3</v>
      </c>
      <c r="G209" s="45">
        <v>213</v>
      </c>
      <c r="H209" s="22">
        <v>2.4</v>
      </c>
      <c r="I209" s="6">
        <f t="shared" si="3"/>
        <v>1686.9599999999998</v>
      </c>
      <c r="J209" s="7" t="s">
        <v>88</v>
      </c>
    </row>
    <row r="210" spans="1:10" ht="13.95" customHeight="1" x14ac:dyDescent="0.3">
      <c r="A210" s="20">
        <v>45891</v>
      </c>
      <c r="B210" s="20" t="s">
        <v>3607</v>
      </c>
      <c r="C210" s="19" t="s">
        <v>11</v>
      </c>
      <c r="D210" s="19" t="s">
        <v>14</v>
      </c>
      <c r="E210" s="4">
        <v>1</v>
      </c>
      <c r="F210" s="42">
        <v>3.5</v>
      </c>
      <c r="G210" s="45">
        <v>213</v>
      </c>
      <c r="H210" s="22">
        <v>2.4</v>
      </c>
      <c r="I210" s="6">
        <f t="shared" si="3"/>
        <v>1789.2</v>
      </c>
      <c r="J210" s="7" t="s">
        <v>3558</v>
      </c>
    </row>
    <row r="211" spans="1:10" ht="13.95" customHeight="1" x14ac:dyDescent="0.3">
      <c r="A211" s="20">
        <v>45892</v>
      </c>
      <c r="B211" s="20" t="s">
        <v>3607</v>
      </c>
      <c r="C211" s="19" t="s">
        <v>13</v>
      </c>
      <c r="D211" s="19" t="s">
        <v>3293</v>
      </c>
      <c r="E211" s="4">
        <v>1</v>
      </c>
      <c r="F211" s="42">
        <v>4.3</v>
      </c>
      <c r="G211" s="45">
        <v>213</v>
      </c>
      <c r="H211" s="22">
        <v>2.4</v>
      </c>
      <c r="I211" s="6">
        <f t="shared" si="3"/>
        <v>2198.16</v>
      </c>
      <c r="J211" s="7" t="s">
        <v>3559</v>
      </c>
    </row>
    <row r="212" spans="1:10" ht="13.95" customHeight="1" x14ac:dyDescent="0.3">
      <c r="A212" s="20">
        <v>45893</v>
      </c>
      <c r="B212" s="20" t="s">
        <v>3607</v>
      </c>
      <c r="C212" s="19" t="s">
        <v>16</v>
      </c>
      <c r="D212" s="19" t="s">
        <v>3560</v>
      </c>
      <c r="E212" s="4">
        <v>1</v>
      </c>
      <c r="F212" s="42">
        <v>3.8</v>
      </c>
      <c r="G212" s="45">
        <v>213</v>
      </c>
      <c r="H212" s="22">
        <v>2.4</v>
      </c>
      <c r="I212" s="6">
        <f t="shared" si="3"/>
        <v>1942.56</v>
      </c>
      <c r="J212" s="7" t="s">
        <v>3561</v>
      </c>
    </row>
    <row r="213" spans="1:10" ht="13.95" customHeight="1" x14ac:dyDescent="0.3">
      <c r="A213" s="20">
        <v>45894</v>
      </c>
      <c r="B213" s="20" t="s">
        <v>3607</v>
      </c>
      <c r="C213" s="19" t="s">
        <v>18</v>
      </c>
      <c r="D213" s="19" t="s">
        <v>2813</v>
      </c>
      <c r="E213" s="4">
        <v>0.95</v>
      </c>
      <c r="F213" s="42">
        <v>3.1</v>
      </c>
      <c r="G213" s="45">
        <v>213</v>
      </c>
      <c r="H213" s="22">
        <v>2.4</v>
      </c>
      <c r="I213" s="6">
        <f t="shared" si="3"/>
        <v>1505.4839999999999</v>
      </c>
      <c r="J213" s="7" t="s">
        <v>3562</v>
      </c>
    </row>
    <row r="214" spans="1:10" ht="13.95" customHeight="1" x14ac:dyDescent="0.3">
      <c r="A214" s="20">
        <v>45895</v>
      </c>
      <c r="B214" s="20" t="s">
        <v>3607</v>
      </c>
      <c r="C214" s="19" t="s">
        <v>20</v>
      </c>
      <c r="D214" s="19" t="s">
        <v>2813</v>
      </c>
      <c r="E214" s="4">
        <v>0.9</v>
      </c>
      <c r="F214" s="42">
        <v>3</v>
      </c>
      <c r="G214" s="45">
        <v>213</v>
      </c>
      <c r="H214" s="22">
        <v>2.4</v>
      </c>
      <c r="I214" s="6">
        <f t="shared" si="3"/>
        <v>1380.24</v>
      </c>
      <c r="J214" s="7" t="s">
        <v>88</v>
      </c>
    </row>
    <row r="215" spans="1:10" ht="13.95" customHeight="1" x14ac:dyDescent="0.3">
      <c r="A215" s="20">
        <v>45896</v>
      </c>
      <c r="B215" s="20" t="s">
        <v>3607</v>
      </c>
      <c r="C215" s="19" t="s">
        <v>5</v>
      </c>
      <c r="D215" s="19" t="s">
        <v>2813</v>
      </c>
      <c r="E215" s="4">
        <v>0.85</v>
      </c>
      <c r="F215" s="42">
        <v>3</v>
      </c>
      <c r="G215" s="45">
        <v>213</v>
      </c>
      <c r="H215" s="22">
        <v>2.4</v>
      </c>
      <c r="I215" s="6">
        <f t="shared" si="3"/>
        <v>1303.56</v>
      </c>
      <c r="J215" s="7" t="s">
        <v>88</v>
      </c>
    </row>
    <row r="216" spans="1:10" ht="13.95" customHeight="1" x14ac:dyDescent="0.3">
      <c r="A216" s="20">
        <v>45897</v>
      </c>
      <c r="B216" s="20" t="s">
        <v>3607</v>
      </c>
      <c r="C216" s="19" t="s">
        <v>8</v>
      </c>
      <c r="D216" s="19" t="s">
        <v>2813</v>
      </c>
      <c r="E216" s="4">
        <v>0.8</v>
      </c>
      <c r="F216" s="42">
        <v>2.95</v>
      </c>
      <c r="G216" s="45">
        <v>213</v>
      </c>
      <c r="H216" s="22">
        <v>2.4</v>
      </c>
      <c r="I216" s="6">
        <f t="shared" si="3"/>
        <v>1206.432</v>
      </c>
      <c r="J216" s="7" t="s">
        <v>88</v>
      </c>
    </row>
    <row r="217" spans="1:10" ht="13.95" customHeight="1" x14ac:dyDescent="0.3">
      <c r="A217" s="20">
        <v>45898</v>
      </c>
      <c r="B217" s="20" t="s">
        <v>3607</v>
      </c>
      <c r="C217" s="19" t="s">
        <v>11</v>
      </c>
      <c r="D217" s="19" t="s">
        <v>14</v>
      </c>
      <c r="E217" s="4">
        <v>0.85</v>
      </c>
      <c r="F217" s="42">
        <v>3.1</v>
      </c>
      <c r="G217" s="45">
        <v>213</v>
      </c>
      <c r="H217" s="22">
        <v>2.4</v>
      </c>
      <c r="I217" s="6">
        <f t="shared" si="3"/>
        <v>1347.0119999999999</v>
      </c>
      <c r="J217" s="7" t="s">
        <v>390</v>
      </c>
    </row>
    <row r="218" spans="1:10" ht="13.95" customHeight="1" x14ac:dyDescent="0.3">
      <c r="A218" s="20">
        <v>45899</v>
      </c>
      <c r="B218" s="20" t="s">
        <v>3607</v>
      </c>
      <c r="C218" s="19" t="s">
        <v>13</v>
      </c>
      <c r="D218" s="19" t="s">
        <v>3117</v>
      </c>
      <c r="E218" s="4">
        <v>0.95</v>
      </c>
      <c r="F218" s="42">
        <v>4.0999999999999996</v>
      </c>
      <c r="G218" s="45">
        <v>213</v>
      </c>
      <c r="H218" s="22">
        <v>2.4</v>
      </c>
      <c r="I218" s="6">
        <f t="shared" si="3"/>
        <v>1991.1239999999996</v>
      </c>
      <c r="J218" s="7" t="s">
        <v>3563</v>
      </c>
    </row>
    <row r="219" spans="1:10" ht="13.95" customHeight="1" x14ac:dyDescent="0.3">
      <c r="A219" s="20">
        <v>45900</v>
      </c>
      <c r="B219" s="20" t="s">
        <v>3607</v>
      </c>
      <c r="C219" s="19" t="s">
        <v>16</v>
      </c>
      <c r="D219" s="19" t="s">
        <v>3480</v>
      </c>
      <c r="E219" s="4">
        <v>0.9</v>
      </c>
      <c r="F219" s="42">
        <v>3.4</v>
      </c>
      <c r="G219" s="45">
        <v>213</v>
      </c>
      <c r="H219" s="22">
        <v>2.4</v>
      </c>
      <c r="I219" s="6">
        <f t="shared" si="3"/>
        <v>1564.2720000000002</v>
      </c>
      <c r="J219" s="7" t="s">
        <v>3564</v>
      </c>
    </row>
    <row r="220" spans="1:10" ht="13.95" customHeight="1" x14ac:dyDescent="0.3">
      <c r="A220" s="20">
        <v>45901</v>
      </c>
      <c r="B220" s="20" t="s">
        <v>3607</v>
      </c>
      <c r="C220" s="19" t="s">
        <v>18</v>
      </c>
      <c r="D220" s="19" t="s">
        <v>1355</v>
      </c>
      <c r="E220" s="4">
        <v>0.5</v>
      </c>
      <c r="F220" s="42">
        <v>2.4</v>
      </c>
      <c r="G220" s="45">
        <v>213</v>
      </c>
      <c r="H220" s="22">
        <v>2.1</v>
      </c>
      <c r="I220" s="6">
        <f t="shared" si="3"/>
        <v>536.76</v>
      </c>
      <c r="J220" s="7" t="s">
        <v>3565</v>
      </c>
    </row>
    <row r="221" spans="1:10" ht="13.95" customHeight="1" x14ac:dyDescent="0.3">
      <c r="A221" s="20">
        <v>45902</v>
      </c>
      <c r="B221" s="20" t="s">
        <v>3607</v>
      </c>
      <c r="C221" s="19" t="s">
        <v>20</v>
      </c>
      <c r="D221" s="19" t="s">
        <v>706</v>
      </c>
      <c r="E221" s="4">
        <v>0.5</v>
      </c>
      <c r="F221" s="42">
        <v>2.2000000000000002</v>
      </c>
      <c r="G221" s="45">
        <v>213</v>
      </c>
      <c r="H221" s="22">
        <v>2.1</v>
      </c>
      <c r="I221" s="6">
        <f t="shared" si="3"/>
        <v>492.03000000000003</v>
      </c>
      <c r="J221" s="7" t="s">
        <v>483</v>
      </c>
    </row>
    <row r="222" spans="1:10" ht="13.95" customHeight="1" x14ac:dyDescent="0.3">
      <c r="A222" s="20">
        <v>45903</v>
      </c>
      <c r="B222" s="20" t="s">
        <v>3607</v>
      </c>
      <c r="C222" s="19" t="s">
        <v>5</v>
      </c>
      <c r="D222" s="19" t="s">
        <v>706</v>
      </c>
      <c r="E222" s="4">
        <v>0.55000000000000004</v>
      </c>
      <c r="F222" s="42">
        <v>2.2000000000000002</v>
      </c>
      <c r="G222" s="45">
        <v>213</v>
      </c>
      <c r="H222" s="22">
        <v>2.1</v>
      </c>
      <c r="I222" s="6">
        <f t="shared" si="3"/>
        <v>541.23300000000006</v>
      </c>
      <c r="J222" s="7" t="s">
        <v>3504</v>
      </c>
    </row>
    <row r="223" spans="1:10" ht="13.95" customHeight="1" x14ac:dyDescent="0.3">
      <c r="A223" s="20">
        <v>45904</v>
      </c>
      <c r="B223" s="20" t="s">
        <v>3607</v>
      </c>
      <c r="C223" s="19" t="s">
        <v>8</v>
      </c>
      <c r="D223" s="19" t="s">
        <v>706</v>
      </c>
      <c r="E223" s="4">
        <v>0.55000000000000004</v>
      </c>
      <c r="F223" s="42">
        <v>2.2000000000000002</v>
      </c>
      <c r="G223" s="45">
        <v>213</v>
      </c>
      <c r="H223" s="22">
        <v>2.1</v>
      </c>
      <c r="I223" s="6">
        <f t="shared" si="3"/>
        <v>541.23300000000006</v>
      </c>
      <c r="J223" s="7" t="s">
        <v>3504</v>
      </c>
    </row>
    <row r="224" spans="1:10" ht="13.95" customHeight="1" x14ac:dyDescent="0.3">
      <c r="A224" s="20">
        <v>45905</v>
      </c>
      <c r="B224" s="20" t="s">
        <v>3607</v>
      </c>
      <c r="C224" s="19" t="s">
        <v>11</v>
      </c>
      <c r="D224" s="19" t="s">
        <v>2993</v>
      </c>
      <c r="E224" s="4">
        <v>0.6</v>
      </c>
      <c r="F224" s="42">
        <v>2.8</v>
      </c>
      <c r="G224" s="45">
        <v>213</v>
      </c>
      <c r="H224" s="22">
        <v>2.1</v>
      </c>
      <c r="I224" s="6">
        <f t="shared" si="3"/>
        <v>751.46399999999994</v>
      </c>
      <c r="J224" s="7" t="s">
        <v>3566</v>
      </c>
    </row>
    <row r="225" spans="1:10" ht="13.95" customHeight="1" x14ac:dyDescent="0.3">
      <c r="A225" s="20">
        <v>45906</v>
      </c>
      <c r="B225" s="20" t="s">
        <v>3607</v>
      </c>
      <c r="C225" s="19" t="s">
        <v>13</v>
      </c>
      <c r="D225" s="19" t="s">
        <v>3304</v>
      </c>
      <c r="E225" s="4">
        <v>0.75</v>
      </c>
      <c r="F225" s="42">
        <v>3.5</v>
      </c>
      <c r="G225" s="45">
        <v>213</v>
      </c>
      <c r="H225" s="22">
        <v>2.1</v>
      </c>
      <c r="I225" s="6">
        <f t="shared" si="3"/>
        <v>1174.1625000000001</v>
      </c>
      <c r="J225" s="7" t="s">
        <v>3505</v>
      </c>
    </row>
    <row r="226" spans="1:10" ht="13.95" customHeight="1" x14ac:dyDescent="0.3">
      <c r="A226" s="20">
        <v>45907</v>
      </c>
      <c r="B226" s="20" t="s">
        <v>3607</v>
      </c>
      <c r="C226" s="19" t="s">
        <v>16</v>
      </c>
      <c r="D226" s="19" t="s">
        <v>3480</v>
      </c>
      <c r="E226" s="4">
        <v>0.7</v>
      </c>
      <c r="F226" s="42">
        <v>3.1</v>
      </c>
      <c r="G226" s="45">
        <v>213</v>
      </c>
      <c r="H226" s="22">
        <v>2.1</v>
      </c>
      <c r="I226" s="6">
        <f t="shared" si="3"/>
        <v>970.64099999999996</v>
      </c>
      <c r="J226" s="7" t="s">
        <v>91</v>
      </c>
    </row>
    <row r="227" spans="1:10" ht="13.95" customHeight="1" x14ac:dyDescent="0.3">
      <c r="A227" s="20">
        <v>45908</v>
      </c>
      <c r="B227" s="20" t="s">
        <v>3607</v>
      </c>
      <c r="C227" s="19" t="s">
        <v>18</v>
      </c>
      <c r="D227" s="19" t="s">
        <v>706</v>
      </c>
      <c r="E227" s="4">
        <v>0.55000000000000004</v>
      </c>
      <c r="F227" s="42">
        <v>2.25</v>
      </c>
      <c r="G227" s="45">
        <v>213</v>
      </c>
      <c r="H227" s="22">
        <v>2.1</v>
      </c>
      <c r="I227" s="6">
        <f t="shared" si="3"/>
        <v>553.53375000000005</v>
      </c>
      <c r="J227" s="7" t="s">
        <v>1283</v>
      </c>
    </row>
    <row r="228" spans="1:10" ht="13.95" customHeight="1" x14ac:dyDescent="0.3">
      <c r="A228" s="20">
        <v>45909</v>
      </c>
      <c r="B228" s="20" t="s">
        <v>3607</v>
      </c>
      <c r="C228" s="19" t="s">
        <v>20</v>
      </c>
      <c r="D228" s="19" t="s">
        <v>706</v>
      </c>
      <c r="E228" s="4">
        <v>0.55000000000000004</v>
      </c>
      <c r="F228" s="42">
        <v>2.2000000000000002</v>
      </c>
      <c r="G228" s="45">
        <v>213</v>
      </c>
      <c r="H228" s="22">
        <v>2.1</v>
      </c>
      <c r="I228" s="6">
        <f t="shared" si="3"/>
        <v>541.23300000000006</v>
      </c>
      <c r="J228" s="7" t="s">
        <v>88</v>
      </c>
    </row>
    <row r="229" spans="1:10" ht="13.95" customHeight="1" x14ac:dyDescent="0.3">
      <c r="A229" s="20">
        <v>45910</v>
      </c>
      <c r="B229" s="20" t="s">
        <v>3607</v>
      </c>
      <c r="C229" s="19" t="s">
        <v>5</v>
      </c>
      <c r="D229" s="19" t="s">
        <v>706</v>
      </c>
      <c r="E229" s="4">
        <v>0.6</v>
      </c>
      <c r="F229" s="42">
        <v>2.2000000000000002</v>
      </c>
      <c r="G229" s="45">
        <v>213</v>
      </c>
      <c r="H229" s="22">
        <v>2.1</v>
      </c>
      <c r="I229" s="6">
        <f t="shared" si="3"/>
        <v>590.43600000000004</v>
      </c>
      <c r="J229" s="7" t="s">
        <v>88</v>
      </c>
    </row>
    <row r="230" spans="1:10" ht="13.95" customHeight="1" x14ac:dyDescent="0.3">
      <c r="A230" s="20">
        <v>45911</v>
      </c>
      <c r="B230" s="20" t="s">
        <v>3607</v>
      </c>
      <c r="C230" s="19" t="s">
        <v>8</v>
      </c>
      <c r="D230" s="19" t="s">
        <v>706</v>
      </c>
      <c r="E230" s="4">
        <v>0.6</v>
      </c>
      <c r="F230" s="42">
        <v>2.2000000000000002</v>
      </c>
      <c r="G230" s="45">
        <v>213</v>
      </c>
      <c r="H230" s="22">
        <v>2.1</v>
      </c>
      <c r="I230" s="6">
        <f t="shared" si="3"/>
        <v>590.43600000000004</v>
      </c>
      <c r="J230" s="7" t="s">
        <v>88</v>
      </c>
    </row>
    <row r="231" spans="1:10" ht="13.95" customHeight="1" x14ac:dyDescent="0.3">
      <c r="A231" s="20">
        <v>45912</v>
      </c>
      <c r="B231" s="20" t="s">
        <v>3607</v>
      </c>
      <c r="C231" s="19" t="s">
        <v>11</v>
      </c>
      <c r="D231" s="19" t="s">
        <v>2993</v>
      </c>
      <c r="E231" s="4">
        <v>0.65</v>
      </c>
      <c r="F231" s="42">
        <v>2.85</v>
      </c>
      <c r="G231" s="45">
        <v>213</v>
      </c>
      <c r="H231" s="22">
        <v>2.1</v>
      </c>
      <c r="I231" s="6">
        <f t="shared" si="3"/>
        <v>828.6232500000001</v>
      </c>
      <c r="J231" s="7" t="s">
        <v>3567</v>
      </c>
    </row>
    <row r="232" spans="1:10" ht="13.95" customHeight="1" x14ac:dyDescent="0.3">
      <c r="A232" s="20">
        <v>45913</v>
      </c>
      <c r="B232" s="20" t="s">
        <v>3607</v>
      </c>
      <c r="C232" s="19" t="s">
        <v>13</v>
      </c>
      <c r="D232" s="19" t="s">
        <v>3537</v>
      </c>
      <c r="E232" s="4">
        <v>0.75</v>
      </c>
      <c r="F232" s="42">
        <v>3.45</v>
      </c>
      <c r="G232" s="45">
        <v>213</v>
      </c>
      <c r="H232" s="22">
        <v>2.1</v>
      </c>
      <c r="I232" s="6">
        <f t="shared" si="3"/>
        <v>1157.3887500000001</v>
      </c>
      <c r="J232" s="7" t="s">
        <v>1481</v>
      </c>
    </row>
    <row r="233" spans="1:10" ht="13.95" customHeight="1" x14ac:dyDescent="0.3">
      <c r="A233" s="20">
        <v>45914</v>
      </c>
      <c r="B233" s="20" t="s">
        <v>3607</v>
      </c>
      <c r="C233" s="19" t="s">
        <v>16</v>
      </c>
      <c r="D233" s="19" t="s">
        <v>3323</v>
      </c>
      <c r="E233" s="4">
        <v>0.7</v>
      </c>
      <c r="F233" s="42">
        <v>2.9</v>
      </c>
      <c r="G233" s="45">
        <v>213</v>
      </c>
      <c r="H233" s="22">
        <v>2.1</v>
      </c>
      <c r="I233" s="6">
        <f t="shared" si="3"/>
        <v>908.01900000000001</v>
      </c>
      <c r="J233" s="7" t="s">
        <v>88</v>
      </c>
    </row>
    <row r="234" spans="1:10" ht="13.95" customHeight="1" x14ac:dyDescent="0.3">
      <c r="A234" s="20">
        <v>45915</v>
      </c>
      <c r="B234" s="20" t="s">
        <v>3607</v>
      </c>
      <c r="C234" s="19" t="s">
        <v>18</v>
      </c>
      <c r="D234" s="19" t="s">
        <v>3568</v>
      </c>
      <c r="E234" s="4">
        <v>0.8</v>
      </c>
      <c r="F234" s="42">
        <v>3.8</v>
      </c>
      <c r="G234" s="45">
        <v>213</v>
      </c>
      <c r="H234" s="22">
        <v>2.1</v>
      </c>
      <c r="I234" s="6">
        <f t="shared" si="3"/>
        <v>1359.7919999999999</v>
      </c>
      <c r="J234" s="7" t="s">
        <v>3569</v>
      </c>
    </row>
    <row r="235" spans="1:10" ht="13.95" customHeight="1" x14ac:dyDescent="0.3">
      <c r="A235" s="20">
        <v>45916</v>
      </c>
      <c r="B235" s="20" t="s">
        <v>3607</v>
      </c>
      <c r="C235" s="19" t="s">
        <v>20</v>
      </c>
      <c r="D235" s="19" t="s">
        <v>3570</v>
      </c>
      <c r="E235" s="4">
        <v>0.9</v>
      </c>
      <c r="F235" s="42">
        <v>4.2</v>
      </c>
      <c r="G235" s="45">
        <v>213</v>
      </c>
      <c r="H235" s="22">
        <v>2.1</v>
      </c>
      <c r="I235" s="6">
        <f t="shared" si="3"/>
        <v>1690.7940000000003</v>
      </c>
      <c r="J235" s="7" t="s">
        <v>3571</v>
      </c>
    </row>
    <row r="236" spans="1:10" ht="13.95" customHeight="1" x14ac:dyDescent="0.3">
      <c r="A236" s="20">
        <v>45917</v>
      </c>
      <c r="B236" s="20" t="s">
        <v>3607</v>
      </c>
      <c r="C236" s="19" t="s">
        <v>5</v>
      </c>
      <c r="D236" s="19" t="s">
        <v>1052</v>
      </c>
      <c r="E236" s="4">
        <v>0.55000000000000004</v>
      </c>
      <c r="F236" s="42">
        <v>2.2000000000000002</v>
      </c>
      <c r="G236" s="45">
        <v>213</v>
      </c>
      <c r="H236" s="22">
        <v>2.1</v>
      </c>
      <c r="I236" s="6">
        <f t="shared" si="3"/>
        <v>541.23300000000006</v>
      </c>
      <c r="J236" s="7" t="s">
        <v>3572</v>
      </c>
    </row>
    <row r="237" spans="1:10" ht="13.95" customHeight="1" x14ac:dyDescent="0.3">
      <c r="A237" s="20">
        <v>45918</v>
      </c>
      <c r="B237" s="20" t="s">
        <v>3607</v>
      </c>
      <c r="C237" s="19" t="s">
        <v>8</v>
      </c>
      <c r="D237" s="19" t="s">
        <v>706</v>
      </c>
      <c r="E237" s="4">
        <v>0.6</v>
      </c>
      <c r="F237" s="42">
        <v>2.25</v>
      </c>
      <c r="G237" s="45">
        <v>213</v>
      </c>
      <c r="H237" s="22">
        <v>2.1</v>
      </c>
      <c r="I237" s="6">
        <f t="shared" si="3"/>
        <v>603.85500000000002</v>
      </c>
      <c r="J237" s="7" t="s">
        <v>88</v>
      </c>
    </row>
    <row r="238" spans="1:10" ht="13.95" customHeight="1" x14ac:dyDescent="0.3">
      <c r="A238" s="20">
        <v>45919</v>
      </c>
      <c r="B238" s="20" t="s">
        <v>3607</v>
      </c>
      <c r="C238" s="19" t="s">
        <v>11</v>
      </c>
      <c r="D238" s="19" t="s">
        <v>14</v>
      </c>
      <c r="E238" s="4">
        <v>0.65</v>
      </c>
      <c r="F238" s="42">
        <v>2.8</v>
      </c>
      <c r="G238" s="45">
        <v>213</v>
      </c>
      <c r="H238" s="22">
        <v>2.1</v>
      </c>
      <c r="I238" s="6">
        <f t="shared" si="3"/>
        <v>814.08600000000013</v>
      </c>
      <c r="J238" s="7" t="s">
        <v>1783</v>
      </c>
    </row>
    <row r="239" spans="1:10" ht="13.95" customHeight="1" x14ac:dyDescent="0.3">
      <c r="A239" s="20">
        <v>45920</v>
      </c>
      <c r="B239" s="20" t="s">
        <v>3607</v>
      </c>
      <c r="C239" s="19" t="s">
        <v>13</v>
      </c>
      <c r="D239" s="19" t="s">
        <v>2965</v>
      </c>
      <c r="E239" s="4">
        <v>0.75</v>
      </c>
      <c r="F239" s="42">
        <v>3.5</v>
      </c>
      <c r="G239" s="45">
        <v>213</v>
      </c>
      <c r="H239" s="22">
        <v>2.1</v>
      </c>
      <c r="I239" s="6">
        <f t="shared" si="3"/>
        <v>1174.1625000000001</v>
      </c>
      <c r="J239" s="7" t="s">
        <v>3113</v>
      </c>
    </row>
    <row r="240" spans="1:10" ht="13.95" customHeight="1" x14ac:dyDescent="0.3">
      <c r="A240" s="20">
        <v>45921</v>
      </c>
      <c r="B240" s="20" t="s">
        <v>3607</v>
      </c>
      <c r="C240" s="19" t="s">
        <v>16</v>
      </c>
      <c r="D240" s="19" t="s">
        <v>3480</v>
      </c>
      <c r="E240" s="4">
        <v>0.7</v>
      </c>
      <c r="F240" s="42">
        <v>3.15</v>
      </c>
      <c r="G240" s="45">
        <v>213</v>
      </c>
      <c r="H240" s="22">
        <v>2.1</v>
      </c>
      <c r="I240" s="6">
        <f t="shared" si="3"/>
        <v>986.29649999999992</v>
      </c>
      <c r="J240" s="7" t="s">
        <v>237</v>
      </c>
    </row>
    <row r="241" spans="1:10" ht="13.95" customHeight="1" x14ac:dyDescent="0.3">
      <c r="A241" s="20">
        <v>45922</v>
      </c>
      <c r="B241" s="20" t="s">
        <v>3607</v>
      </c>
      <c r="C241" s="19" t="s">
        <v>18</v>
      </c>
      <c r="D241" s="19" t="s">
        <v>706</v>
      </c>
      <c r="E241" s="4">
        <v>0.6</v>
      </c>
      <c r="F241" s="42">
        <v>2.2000000000000002</v>
      </c>
      <c r="G241" s="45">
        <v>213</v>
      </c>
      <c r="H241" s="22">
        <v>2.1</v>
      </c>
      <c r="I241" s="6">
        <f t="shared" si="3"/>
        <v>590.43600000000004</v>
      </c>
      <c r="J241" s="7" t="s">
        <v>3513</v>
      </c>
    </row>
    <row r="242" spans="1:10" ht="13.95" customHeight="1" x14ac:dyDescent="0.3">
      <c r="A242" s="20">
        <v>45923</v>
      </c>
      <c r="B242" s="20" t="s">
        <v>3607</v>
      </c>
      <c r="C242" s="19" t="s">
        <v>20</v>
      </c>
      <c r="D242" s="19" t="s">
        <v>706</v>
      </c>
      <c r="E242" s="4">
        <v>0.6</v>
      </c>
      <c r="F242" s="42">
        <v>2.2000000000000002</v>
      </c>
      <c r="G242" s="45">
        <v>213</v>
      </c>
      <c r="H242" s="22">
        <v>2.1</v>
      </c>
      <c r="I242" s="6">
        <f t="shared" si="3"/>
        <v>590.43600000000004</v>
      </c>
      <c r="J242" s="7" t="s">
        <v>88</v>
      </c>
    </row>
    <row r="243" spans="1:10" ht="13.95" customHeight="1" x14ac:dyDescent="0.3">
      <c r="A243" s="20">
        <v>45924</v>
      </c>
      <c r="B243" s="20" t="s">
        <v>3607</v>
      </c>
      <c r="C243" s="19" t="s">
        <v>5</v>
      </c>
      <c r="D243" s="19" t="s">
        <v>706</v>
      </c>
      <c r="E243" s="4">
        <v>0.55000000000000004</v>
      </c>
      <c r="F243" s="42">
        <v>2.2000000000000002</v>
      </c>
      <c r="G243" s="45">
        <v>213</v>
      </c>
      <c r="H243" s="22">
        <v>2.1</v>
      </c>
      <c r="I243" s="6">
        <f t="shared" si="3"/>
        <v>541.23300000000006</v>
      </c>
      <c r="J243" s="7" t="s">
        <v>88</v>
      </c>
    </row>
    <row r="244" spans="1:10" ht="13.95" customHeight="1" x14ac:dyDescent="0.3">
      <c r="A244" s="20">
        <v>45925</v>
      </c>
      <c r="B244" s="20" t="s">
        <v>3607</v>
      </c>
      <c r="C244" s="19" t="s">
        <v>8</v>
      </c>
      <c r="D244" s="19" t="s">
        <v>706</v>
      </c>
      <c r="E244" s="4">
        <v>0.6</v>
      </c>
      <c r="F244" s="42">
        <v>2.2000000000000002</v>
      </c>
      <c r="G244" s="45">
        <v>213</v>
      </c>
      <c r="H244" s="22">
        <v>2.1</v>
      </c>
      <c r="I244" s="6">
        <f t="shared" si="3"/>
        <v>590.43600000000004</v>
      </c>
      <c r="J244" s="7" t="s">
        <v>88</v>
      </c>
    </row>
    <row r="245" spans="1:10" ht="13.95" customHeight="1" x14ac:dyDescent="0.3">
      <c r="A245" s="20">
        <v>45926</v>
      </c>
      <c r="B245" s="20" t="s">
        <v>3607</v>
      </c>
      <c r="C245" s="19" t="s">
        <v>11</v>
      </c>
      <c r="D245" s="19" t="s">
        <v>14</v>
      </c>
      <c r="E245" s="4">
        <v>0.65</v>
      </c>
      <c r="F245" s="42">
        <v>2.8</v>
      </c>
      <c r="G245" s="45">
        <v>213</v>
      </c>
      <c r="H245" s="22">
        <v>2.1</v>
      </c>
      <c r="I245" s="6">
        <f t="shared" si="3"/>
        <v>814.08600000000013</v>
      </c>
      <c r="J245" s="7" t="s">
        <v>67</v>
      </c>
    </row>
    <row r="246" spans="1:10" ht="13.95" customHeight="1" x14ac:dyDescent="0.3">
      <c r="A246" s="20">
        <v>45927</v>
      </c>
      <c r="B246" s="20" t="s">
        <v>3607</v>
      </c>
      <c r="C246" s="19" t="s">
        <v>13</v>
      </c>
      <c r="D246" s="19" t="s">
        <v>3001</v>
      </c>
      <c r="E246" s="4">
        <v>0.75</v>
      </c>
      <c r="F246" s="42">
        <v>3.45</v>
      </c>
      <c r="G246" s="45">
        <v>213</v>
      </c>
      <c r="H246" s="22">
        <v>2.1</v>
      </c>
      <c r="I246" s="6">
        <f t="shared" si="3"/>
        <v>1157.3887500000001</v>
      </c>
      <c r="J246" s="7" t="s">
        <v>1481</v>
      </c>
    </row>
    <row r="247" spans="1:10" ht="13.95" customHeight="1" x14ac:dyDescent="0.3">
      <c r="A247" s="20">
        <v>45928</v>
      </c>
      <c r="B247" s="20" t="s">
        <v>3607</v>
      </c>
      <c r="C247" s="19" t="s">
        <v>16</v>
      </c>
      <c r="D247" s="19" t="s">
        <v>3480</v>
      </c>
      <c r="E247" s="4">
        <v>0.7</v>
      </c>
      <c r="F247" s="42">
        <v>3.1</v>
      </c>
      <c r="G247" s="45">
        <v>213</v>
      </c>
      <c r="H247" s="22">
        <v>2.1</v>
      </c>
      <c r="I247" s="6">
        <f t="shared" si="3"/>
        <v>970.64099999999996</v>
      </c>
      <c r="J247" s="7" t="s">
        <v>3313</v>
      </c>
    </row>
    <row r="248" spans="1:10" ht="13.95" customHeight="1" x14ac:dyDescent="0.3">
      <c r="A248" s="20">
        <v>45929</v>
      </c>
      <c r="B248" s="20" t="s">
        <v>3607</v>
      </c>
      <c r="C248" s="19" t="s">
        <v>18</v>
      </c>
      <c r="D248" s="19" t="s">
        <v>706</v>
      </c>
      <c r="E248" s="4">
        <v>0.55000000000000004</v>
      </c>
      <c r="F248" s="42">
        <v>2.2000000000000002</v>
      </c>
      <c r="G248" s="45">
        <v>213</v>
      </c>
      <c r="H248" s="22">
        <v>2.1</v>
      </c>
      <c r="I248" s="6">
        <f t="shared" si="3"/>
        <v>541.23300000000006</v>
      </c>
      <c r="J248" s="7" t="s">
        <v>88</v>
      </c>
    </row>
    <row r="249" spans="1:10" ht="13.95" customHeight="1" x14ac:dyDescent="0.3">
      <c r="A249" s="20">
        <v>45930</v>
      </c>
      <c r="B249" s="20" t="s">
        <v>3607</v>
      </c>
      <c r="C249" s="19" t="s">
        <v>20</v>
      </c>
      <c r="D249" s="19" t="s">
        <v>706</v>
      </c>
      <c r="E249" s="4">
        <v>0.55000000000000004</v>
      </c>
      <c r="F249" s="42">
        <v>2.2000000000000002</v>
      </c>
      <c r="G249" s="45">
        <v>213</v>
      </c>
      <c r="H249" s="22">
        <v>2.1</v>
      </c>
      <c r="I249" s="6">
        <f t="shared" si="3"/>
        <v>541.23300000000006</v>
      </c>
      <c r="J249" s="7" t="s">
        <v>1812</v>
      </c>
    </row>
    <row r="250" spans="1:10" ht="13.95" customHeight="1" x14ac:dyDescent="0.3">
      <c r="A250" s="20">
        <v>45931</v>
      </c>
      <c r="B250" s="20" t="s">
        <v>3607</v>
      </c>
      <c r="C250" s="19" t="s">
        <v>5</v>
      </c>
      <c r="D250" s="19" t="s">
        <v>706</v>
      </c>
      <c r="E250" s="4">
        <v>0.6</v>
      </c>
      <c r="F250" s="42">
        <v>2.2000000000000002</v>
      </c>
      <c r="G250" s="45">
        <v>213</v>
      </c>
      <c r="H250" s="22">
        <v>1.9</v>
      </c>
      <c r="I250" s="6">
        <f t="shared" si="3"/>
        <v>534.20400000000006</v>
      </c>
      <c r="J250" s="7" t="s">
        <v>1926</v>
      </c>
    </row>
    <row r="251" spans="1:10" ht="13.95" customHeight="1" x14ac:dyDescent="0.3">
      <c r="A251" s="20">
        <v>45932</v>
      </c>
      <c r="B251" s="20" t="s">
        <v>3607</v>
      </c>
      <c r="C251" s="19" t="s">
        <v>8</v>
      </c>
      <c r="D251" s="19" t="s">
        <v>706</v>
      </c>
      <c r="E251" s="4">
        <v>0.65</v>
      </c>
      <c r="F251" s="42">
        <v>2.25</v>
      </c>
      <c r="G251" s="45">
        <v>213</v>
      </c>
      <c r="H251" s="22">
        <v>1.9</v>
      </c>
      <c r="I251" s="6">
        <f t="shared" si="3"/>
        <v>591.87375000000009</v>
      </c>
      <c r="J251" s="7" t="s">
        <v>3504</v>
      </c>
    </row>
    <row r="252" spans="1:10" ht="13.95" customHeight="1" x14ac:dyDescent="0.3">
      <c r="A252" s="20">
        <v>45933</v>
      </c>
      <c r="B252" s="20" t="s">
        <v>3607</v>
      </c>
      <c r="C252" s="19" t="s">
        <v>11</v>
      </c>
      <c r="D252" s="19" t="s">
        <v>2993</v>
      </c>
      <c r="E252" s="4">
        <v>0.6</v>
      </c>
      <c r="F252" s="42">
        <v>2.8</v>
      </c>
      <c r="G252" s="45">
        <v>213</v>
      </c>
      <c r="H252" s="22">
        <v>1.9</v>
      </c>
      <c r="I252" s="6">
        <f t="shared" si="3"/>
        <v>679.89599999999996</v>
      </c>
      <c r="J252" s="7" t="s">
        <v>1600</v>
      </c>
    </row>
    <row r="253" spans="1:10" ht="13.95" customHeight="1" x14ac:dyDescent="0.3">
      <c r="A253" s="20">
        <v>45934</v>
      </c>
      <c r="B253" s="20" t="s">
        <v>3607</v>
      </c>
      <c r="C253" s="19" t="s">
        <v>13</v>
      </c>
      <c r="D253" s="19" t="s">
        <v>3473</v>
      </c>
      <c r="E253" s="4">
        <v>0.75</v>
      </c>
      <c r="F253" s="42">
        <v>3.4</v>
      </c>
      <c r="G253" s="45">
        <v>213</v>
      </c>
      <c r="H253" s="22">
        <v>1.9</v>
      </c>
      <c r="I253" s="6">
        <f t="shared" si="3"/>
        <v>1031.9849999999999</v>
      </c>
      <c r="J253" s="7" t="s">
        <v>3505</v>
      </c>
    </row>
    <row r="254" spans="1:10" ht="13.95" customHeight="1" x14ac:dyDescent="0.3">
      <c r="A254" s="20">
        <v>45935</v>
      </c>
      <c r="B254" s="20" t="s">
        <v>3607</v>
      </c>
      <c r="C254" s="19" t="s">
        <v>16</v>
      </c>
      <c r="D254" s="19" t="s">
        <v>3480</v>
      </c>
      <c r="E254" s="4">
        <v>0.7</v>
      </c>
      <c r="F254" s="42">
        <v>3.1</v>
      </c>
      <c r="G254" s="45">
        <v>213</v>
      </c>
      <c r="H254" s="22">
        <v>1.9</v>
      </c>
      <c r="I254" s="6">
        <f t="shared" si="3"/>
        <v>878.19899999999996</v>
      </c>
      <c r="J254" s="7" t="s">
        <v>91</v>
      </c>
    </row>
    <row r="255" spans="1:10" ht="13.95" customHeight="1" x14ac:dyDescent="0.3">
      <c r="A255" s="20">
        <v>45936</v>
      </c>
      <c r="B255" s="20" t="s">
        <v>3607</v>
      </c>
      <c r="C255" s="19" t="s">
        <v>18</v>
      </c>
      <c r="D255" s="19" t="s">
        <v>3573</v>
      </c>
      <c r="E255" s="4">
        <v>0.8</v>
      </c>
      <c r="F255" s="42">
        <v>2.2999999999999998</v>
      </c>
      <c r="G255" s="45">
        <v>213</v>
      </c>
      <c r="H255" s="22">
        <v>1.9</v>
      </c>
      <c r="I255" s="6">
        <f t="shared" si="3"/>
        <v>744.64799999999991</v>
      </c>
      <c r="J255" s="7" t="s">
        <v>3574</v>
      </c>
    </row>
    <row r="256" spans="1:10" ht="13.95" customHeight="1" x14ac:dyDescent="0.3">
      <c r="A256" s="20">
        <v>45937</v>
      </c>
      <c r="B256" s="20" t="s">
        <v>3607</v>
      </c>
      <c r="C256" s="19" t="s">
        <v>20</v>
      </c>
      <c r="D256" s="19" t="s">
        <v>3575</v>
      </c>
      <c r="E256" s="4">
        <v>0.85</v>
      </c>
      <c r="F256" s="42">
        <v>2.2999999999999998</v>
      </c>
      <c r="G256" s="45">
        <v>213</v>
      </c>
      <c r="H256" s="22">
        <v>1.9</v>
      </c>
      <c r="I256" s="6">
        <f t="shared" si="3"/>
        <v>791.18849999999975</v>
      </c>
      <c r="J256" s="7" t="s">
        <v>3576</v>
      </c>
    </row>
    <row r="257" spans="1:10" ht="13.95" customHeight="1" x14ac:dyDescent="0.3">
      <c r="A257" s="20">
        <v>45938</v>
      </c>
      <c r="B257" s="20" t="s">
        <v>3607</v>
      </c>
      <c r="C257" s="19" t="s">
        <v>5</v>
      </c>
      <c r="D257" s="19" t="s">
        <v>3575</v>
      </c>
      <c r="E257" s="4">
        <v>0.8</v>
      </c>
      <c r="F257" s="42">
        <v>2.25</v>
      </c>
      <c r="G257" s="45">
        <v>213</v>
      </c>
      <c r="H257" s="22">
        <v>1.9</v>
      </c>
      <c r="I257" s="6">
        <f t="shared" si="3"/>
        <v>728.46</v>
      </c>
      <c r="J257" s="7" t="s">
        <v>1878</v>
      </c>
    </row>
    <row r="258" spans="1:10" ht="13.95" customHeight="1" x14ac:dyDescent="0.3">
      <c r="A258" s="20">
        <v>45939</v>
      </c>
      <c r="B258" s="20" t="s">
        <v>3607</v>
      </c>
      <c r="C258" s="19" t="s">
        <v>8</v>
      </c>
      <c r="D258" s="19" t="s">
        <v>706</v>
      </c>
      <c r="E258" s="4">
        <v>0.55000000000000004</v>
      </c>
      <c r="F258" s="42">
        <v>2.15</v>
      </c>
      <c r="G258" s="45">
        <v>213</v>
      </c>
      <c r="H258" s="22">
        <v>1.9</v>
      </c>
      <c r="I258" s="6">
        <f t="shared" ref="I258:I321" si="4">(G258*E258)*F258*H258</f>
        <v>478.55775</v>
      </c>
      <c r="J258" s="7" t="s">
        <v>70</v>
      </c>
    </row>
    <row r="259" spans="1:10" ht="13.95" customHeight="1" x14ac:dyDescent="0.3">
      <c r="A259" s="20">
        <v>45940</v>
      </c>
      <c r="B259" s="20" t="s">
        <v>3607</v>
      </c>
      <c r="C259" s="19" t="s">
        <v>11</v>
      </c>
      <c r="D259" s="19" t="s">
        <v>2993</v>
      </c>
      <c r="E259" s="4">
        <v>0.6</v>
      </c>
      <c r="F259" s="42">
        <v>2.85</v>
      </c>
      <c r="G259" s="45">
        <v>213</v>
      </c>
      <c r="H259" s="22">
        <v>1.9</v>
      </c>
      <c r="I259" s="6">
        <f t="shared" si="4"/>
        <v>692.03700000000003</v>
      </c>
      <c r="J259" s="7" t="s">
        <v>1813</v>
      </c>
    </row>
    <row r="260" spans="1:10" ht="13.95" customHeight="1" x14ac:dyDescent="0.3">
      <c r="A260" s="20">
        <v>45941</v>
      </c>
      <c r="B260" s="20" t="s">
        <v>3607</v>
      </c>
      <c r="C260" s="19" t="s">
        <v>13</v>
      </c>
      <c r="D260" s="19" t="s">
        <v>3304</v>
      </c>
      <c r="E260" s="4">
        <v>0.7</v>
      </c>
      <c r="F260" s="42">
        <v>3.5</v>
      </c>
      <c r="G260" s="45">
        <v>213</v>
      </c>
      <c r="H260" s="22">
        <v>1.9</v>
      </c>
      <c r="I260" s="6">
        <f t="shared" si="4"/>
        <v>991.51499999999999</v>
      </c>
      <c r="J260" s="7" t="s">
        <v>1481</v>
      </c>
    </row>
    <row r="261" spans="1:10" ht="13.95" customHeight="1" x14ac:dyDescent="0.3">
      <c r="A261" s="20">
        <v>45942</v>
      </c>
      <c r="B261" s="20" t="s">
        <v>3607</v>
      </c>
      <c r="C261" s="19" t="s">
        <v>16</v>
      </c>
      <c r="D261" s="19" t="s">
        <v>3323</v>
      </c>
      <c r="E261" s="4">
        <v>0.65</v>
      </c>
      <c r="F261" s="42">
        <v>2.9</v>
      </c>
      <c r="G261" s="45">
        <v>213</v>
      </c>
      <c r="H261" s="22">
        <v>1.9</v>
      </c>
      <c r="I261" s="6">
        <f t="shared" si="4"/>
        <v>762.85950000000003</v>
      </c>
      <c r="J261" s="7" t="s">
        <v>3313</v>
      </c>
    </row>
    <row r="262" spans="1:10" ht="13.95" customHeight="1" x14ac:dyDescent="0.3">
      <c r="A262" s="20">
        <v>45943</v>
      </c>
      <c r="B262" s="20" t="s">
        <v>3607</v>
      </c>
      <c r="C262" s="19" t="s">
        <v>18</v>
      </c>
      <c r="D262" s="19" t="s">
        <v>706</v>
      </c>
      <c r="E262" s="4">
        <v>0.5</v>
      </c>
      <c r="F262" s="42">
        <v>2.15</v>
      </c>
      <c r="G262" s="45">
        <v>213</v>
      </c>
      <c r="H262" s="22">
        <v>1.9</v>
      </c>
      <c r="I262" s="6">
        <f t="shared" si="4"/>
        <v>435.05249999999995</v>
      </c>
      <c r="J262" s="7" t="s">
        <v>527</v>
      </c>
    </row>
    <row r="263" spans="1:10" ht="13.95" customHeight="1" x14ac:dyDescent="0.3">
      <c r="A263" s="20">
        <v>45945</v>
      </c>
      <c r="B263" s="20" t="s">
        <v>3607</v>
      </c>
      <c r="C263" s="19" t="s">
        <v>5</v>
      </c>
      <c r="D263" s="19" t="s">
        <v>2691</v>
      </c>
      <c r="E263" s="4">
        <v>0.75</v>
      </c>
      <c r="F263" s="42">
        <v>3.2</v>
      </c>
      <c r="G263" s="45">
        <v>213</v>
      </c>
      <c r="H263" s="22">
        <v>1.9</v>
      </c>
      <c r="I263" s="6">
        <f t="shared" si="4"/>
        <v>971.28000000000009</v>
      </c>
      <c r="J263" s="7" t="s">
        <v>3577</v>
      </c>
    </row>
    <row r="264" spans="1:10" ht="13.95" customHeight="1" x14ac:dyDescent="0.3">
      <c r="A264" s="20">
        <v>45946</v>
      </c>
      <c r="B264" s="20" t="s">
        <v>3607</v>
      </c>
      <c r="C264" s="19" t="s">
        <v>8</v>
      </c>
      <c r="D264" s="19" t="s">
        <v>706</v>
      </c>
      <c r="E264" s="4">
        <v>0.6</v>
      </c>
      <c r="F264" s="42">
        <v>2.2000000000000002</v>
      </c>
      <c r="G264" s="45">
        <v>213</v>
      </c>
      <c r="H264" s="22">
        <v>1.9</v>
      </c>
      <c r="I264" s="6">
        <f t="shared" si="4"/>
        <v>534.20400000000006</v>
      </c>
      <c r="J264" s="7" t="s">
        <v>88</v>
      </c>
    </row>
    <row r="265" spans="1:10" ht="13.95" customHeight="1" x14ac:dyDescent="0.3">
      <c r="A265" s="20">
        <v>45948</v>
      </c>
      <c r="B265" s="20" t="s">
        <v>3607</v>
      </c>
      <c r="C265" s="19" t="s">
        <v>13</v>
      </c>
      <c r="D265" s="19" t="s">
        <v>3478</v>
      </c>
      <c r="E265" s="4">
        <v>0.75</v>
      </c>
      <c r="F265" s="42">
        <v>3.55</v>
      </c>
      <c r="G265" s="45">
        <v>213</v>
      </c>
      <c r="H265" s="22">
        <v>1.9</v>
      </c>
      <c r="I265" s="6">
        <f t="shared" si="4"/>
        <v>1077.5137499999998</v>
      </c>
      <c r="J265" s="7" t="s">
        <v>3479</v>
      </c>
    </row>
    <row r="266" spans="1:10" ht="13.95" customHeight="1" x14ac:dyDescent="0.3">
      <c r="A266" s="20">
        <v>45949</v>
      </c>
      <c r="B266" s="20" t="s">
        <v>3607</v>
      </c>
      <c r="C266" s="19" t="s">
        <v>16</v>
      </c>
      <c r="D266" s="19" t="s">
        <v>3480</v>
      </c>
      <c r="E266" s="4">
        <v>0.7</v>
      </c>
      <c r="F266" s="42">
        <v>3.2</v>
      </c>
      <c r="G266" s="45">
        <v>213</v>
      </c>
      <c r="H266" s="22">
        <v>1.9</v>
      </c>
      <c r="I266" s="6">
        <f t="shared" si="4"/>
        <v>906.52800000000002</v>
      </c>
      <c r="J266" s="7" t="s">
        <v>139</v>
      </c>
    </row>
    <row r="267" spans="1:10" ht="13.95" customHeight="1" x14ac:dyDescent="0.3">
      <c r="A267" s="20">
        <v>45950</v>
      </c>
      <c r="B267" s="20" t="s">
        <v>3607</v>
      </c>
      <c r="C267" s="19" t="s">
        <v>18</v>
      </c>
      <c r="D267" s="19" t="s">
        <v>3578</v>
      </c>
      <c r="E267" s="4">
        <v>0.7</v>
      </c>
      <c r="F267" s="42">
        <v>2.2000000000000002</v>
      </c>
      <c r="G267" s="45">
        <v>213</v>
      </c>
      <c r="H267" s="22">
        <v>1.9</v>
      </c>
      <c r="I267" s="6">
        <f t="shared" si="4"/>
        <v>623.23800000000006</v>
      </c>
      <c r="J267" s="7" t="s">
        <v>1376</v>
      </c>
    </row>
    <row r="268" spans="1:10" ht="13.95" customHeight="1" x14ac:dyDescent="0.3">
      <c r="A268" s="20">
        <v>45952</v>
      </c>
      <c r="B268" s="20" t="s">
        <v>3607</v>
      </c>
      <c r="C268" s="19" t="s">
        <v>5</v>
      </c>
      <c r="D268" s="19" t="s">
        <v>1263</v>
      </c>
      <c r="E268" s="4">
        <v>0.7</v>
      </c>
      <c r="F268" s="42">
        <v>2.2000000000000002</v>
      </c>
      <c r="G268" s="45">
        <v>213</v>
      </c>
      <c r="H268" s="22">
        <v>1.9</v>
      </c>
      <c r="I268" s="6">
        <f t="shared" si="4"/>
        <v>623.23800000000006</v>
      </c>
      <c r="J268" s="7" t="s">
        <v>88</v>
      </c>
    </row>
    <row r="269" spans="1:10" ht="13.95" customHeight="1" x14ac:dyDescent="0.3">
      <c r="A269" s="20">
        <v>45954</v>
      </c>
      <c r="B269" s="20" t="s">
        <v>3607</v>
      </c>
      <c r="C269" s="19" t="s">
        <v>11</v>
      </c>
      <c r="D269" s="19" t="s">
        <v>14</v>
      </c>
      <c r="E269" s="4">
        <v>0.65</v>
      </c>
      <c r="F269" s="42">
        <v>2.7</v>
      </c>
      <c r="G269" s="45">
        <v>213</v>
      </c>
      <c r="H269" s="22">
        <v>1.9</v>
      </c>
      <c r="I269" s="6">
        <f t="shared" si="4"/>
        <v>710.24850000000004</v>
      </c>
      <c r="J269" s="7" t="s">
        <v>1600</v>
      </c>
    </row>
    <row r="270" spans="1:10" ht="13.95" customHeight="1" x14ac:dyDescent="0.3">
      <c r="A270" s="20">
        <v>45955</v>
      </c>
      <c r="B270" s="20" t="s">
        <v>3607</v>
      </c>
      <c r="C270" s="19" t="s">
        <v>13</v>
      </c>
      <c r="D270" s="19" t="s">
        <v>3579</v>
      </c>
      <c r="E270" s="4">
        <v>0.8</v>
      </c>
      <c r="F270" s="42">
        <v>3.6</v>
      </c>
      <c r="G270" s="45">
        <v>213</v>
      </c>
      <c r="H270" s="22">
        <v>1.9</v>
      </c>
      <c r="I270" s="6">
        <f t="shared" si="4"/>
        <v>1165.5360000000001</v>
      </c>
      <c r="J270" s="7" t="s">
        <v>3580</v>
      </c>
    </row>
    <row r="271" spans="1:10" ht="13.95" customHeight="1" x14ac:dyDescent="0.3">
      <c r="A271" s="20">
        <v>45956</v>
      </c>
      <c r="B271" s="20" t="s">
        <v>3607</v>
      </c>
      <c r="C271" s="19" t="s">
        <v>16</v>
      </c>
      <c r="D271" s="19" t="s">
        <v>3480</v>
      </c>
      <c r="E271" s="4">
        <v>0.75</v>
      </c>
      <c r="F271" s="42">
        <v>3.25</v>
      </c>
      <c r="G271" s="45">
        <v>213</v>
      </c>
      <c r="H271" s="22">
        <v>1.9</v>
      </c>
      <c r="I271" s="6">
        <f t="shared" si="4"/>
        <v>986.45624999999995</v>
      </c>
      <c r="J271" s="7" t="s">
        <v>237</v>
      </c>
    </row>
    <row r="272" spans="1:10" ht="13.95" customHeight="1" x14ac:dyDescent="0.3">
      <c r="A272" s="20">
        <v>45957</v>
      </c>
      <c r="B272" s="20" t="s">
        <v>3607</v>
      </c>
      <c r="C272" s="19" t="s">
        <v>18</v>
      </c>
      <c r="D272" s="19" t="s">
        <v>706</v>
      </c>
      <c r="E272" s="4">
        <v>0.55000000000000004</v>
      </c>
      <c r="F272" s="42">
        <v>2.15</v>
      </c>
      <c r="G272" s="45">
        <v>213</v>
      </c>
      <c r="H272" s="22">
        <v>1.9</v>
      </c>
      <c r="I272" s="6">
        <f t="shared" si="4"/>
        <v>478.55775</v>
      </c>
      <c r="J272" s="7" t="s">
        <v>88</v>
      </c>
    </row>
    <row r="273" spans="1:10" ht="13.95" customHeight="1" x14ac:dyDescent="0.3">
      <c r="A273" s="20">
        <v>45958</v>
      </c>
      <c r="B273" s="20" t="s">
        <v>3607</v>
      </c>
      <c r="C273" s="19" t="s">
        <v>20</v>
      </c>
      <c r="D273" s="19" t="s">
        <v>706</v>
      </c>
      <c r="E273" s="4">
        <v>0.55000000000000004</v>
      </c>
      <c r="F273" s="42">
        <v>2.15</v>
      </c>
      <c r="G273" s="45">
        <v>213</v>
      </c>
      <c r="H273" s="22">
        <v>1.9</v>
      </c>
      <c r="I273" s="6">
        <f t="shared" si="4"/>
        <v>478.55775</v>
      </c>
      <c r="J273" s="7" t="s">
        <v>88</v>
      </c>
    </row>
    <row r="274" spans="1:10" ht="13.95" customHeight="1" x14ac:dyDescent="0.3">
      <c r="A274" s="20">
        <v>45960</v>
      </c>
      <c r="B274" s="20" t="s">
        <v>3607</v>
      </c>
      <c r="C274" s="19" t="s">
        <v>8</v>
      </c>
      <c r="D274" s="19" t="s">
        <v>706</v>
      </c>
      <c r="E274" s="4">
        <v>0.6</v>
      </c>
      <c r="F274" s="42">
        <v>2.25</v>
      </c>
      <c r="G274" s="45">
        <v>213</v>
      </c>
      <c r="H274" s="22">
        <v>1.9</v>
      </c>
      <c r="I274" s="6">
        <f t="shared" si="4"/>
        <v>546.34500000000003</v>
      </c>
      <c r="J274" s="7" t="s">
        <v>88</v>
      </c>
    </row>
    <row r="275" spans="1:10" ht="13.95" customHeight="1" x14ac:dyDescent="0.3">
      <c r="A275" s="20">
        <v>45961</v>
      </c>
      <c r="B275" s="20" t="s">
        <v>3607</v>
      </c>
      <c r="C275" s="19" t="s">
        <v>11</v>
      </c>
      <c r="D275" s="19" t="s">
        <v>2591</v>
      </c>
      <c r="E275" s="4">
        <v>0.85</v>
      </c>
      <c r="F275" s="42">
        <v>3.8</v>
      </c>
      <c r="G275" s="45">
        <v>213</v>
      </c>
      <c r="H275" s="22">
        <v>1.9</v>
      </c>
      <c r="I275" s="6">
        <f t="shared" si="4"/>
        <v>1307.1809999999998</v>
      </c>
      <c r="J275" s="7" t="s">
        <v>3581</v>
      </c>
    </row>
    <row r="276" spans="1:10" ht="13.95" customHeight="1" x14ac:dyDescent="0.3">
      <c r="A276" s="20">
        <v>45962</v>
      </c>
      <c r="B276" s="20" t="s">
        <v>3607</v>
      </c>
      <c r="C276" s="19" t="s">
        <v>13</v>
      </c>
      <c r="D276" s="19" t="s">
        <v>3582</v>
      </c>
      <c r="E276" s="4">
        <v>0.65</v>
      </c>
      <c r="F276" s="42">
        <v>3.1</v>
      </c>
      <c r="G276" s="45">
        <v>213</v>
      </c>
      <c r="H276" s="22">
        <v>1.8</v>
      </c>
      <c r="I276" s="6">
        <f t="shared" si="4"/>
        <v>772.55100000000016</v>
      </c>
      <c r="J276" s="7" t="s">
        <v>3583</v>
      </c>
    </row>
    <row r="277" spans="1:10" ht="13.95" customHeight="1" x14ac:dyDescent="0.3">
      <c r="A277" s="20">
        <v>45963</v>
      </c>
      <c r="B277" s="20" t="s">
        <v>3607</v>
      </c>
      <c r="C277" s="19" t="s">
        <v>16</v>
      </c>
      <c r="D277" s="19" t="s">
        <v>3480</v>
      </c>
      <c r="E277" s="4">
        <v>0.6</v>
      </c>
      <c r="F277" s="42">
        <v>2.9</v>
      </c>
      <c r="G277" s="45">
        <v>213</v>
      </c>
      <c r="H277" s="22">
        <v>1.8</v>
      </c>
      <c r="I277" s="6">
        <f t="shared" si="4"/>
        <v>667.11599999999999</v>
      </c>
      <c r="J277" s="7" t="s">
        <v>90</v>
      </c>
    </row>
    <row r="278" spans="1:10" ht="13.95" customHeight="1" x14ac:dyDescent="0.3">
      <c r="A278" s="20">
        <v>45964</v>
      </c>
      <c r="B278" s="20" t="s">
        <v>3607</v>
      </c>
      <c r="C278" s="19" t="s">
        <v>18</v>
      </c>
      <c r="D278" s="19" t="s">
        <v>706</v>
      </c>
      <c r="E278" s="4">
        <v>0.5</v>
      </c>
      <c r="F278" s="42">
        <v>2.15</v>
      </c>
      <c r="G278" s="45">
        <v>213</v>
      </c>
      <c r="H278" s="22">
        <v>1.8</v>
      </c>
      <c r="I278" s="6">
        <f t="shared" si="4"/>
        <v>412.15499999999997</v>
      </c>
      <c r="J278" s="7" t="s">
        <v>3584</v>
      </c>
    </row>
    <row r="279" spans="1:10" ht="13.95" customHeight="1" x14ac:dyDescent="0.3">
      <c r="A279" s="20">
        <v>45965</v>
      </c>
      <c r="B279" s="20" t="s">
        <v>3607</v>
      </c>
      <c r="C279" s="19" t="s">
        <v>20</v>
      </c>
      <c r="D279" s="19" t="s">
        <v>3585</v>
      </c>
      <c r="E279" s="4">
        <v>0.85</v>
      </c>
      <c r="F279" s="42">
        <v>2.2000000000000002</v>
      </c>
      <c r="G279" s="45">
        <v>213</v>
      </c>
      <c r="H279" s="22">
        <v>1.8</v>
      </c>
      <c r="I279" s="6">
        <f t="shared" si="4"/>
        <v>716.95799999999997</v>
      </c>
      <c r="J279" s="7" t="s">
        <v>3586</v>
      </c>
    </row>
    <row r="280" spans="1:10" ht="13.95" customHeight="1" x14ac:dyDescent="0.3">
      <c r="A280" s="20">
        <v>45966</v>
      </c>
      <c r="B280" s="20" t="s">
        <v>3607</v>
      </c>
      <c r="C280" s="19" t="s">
        <v>5</v>
      </c>
      <c r="D280" s="19" t="s">
        <v>3585</v>
      </c>
      <c r="E280" s="4">
        <v>0.85</v>
      </c>
      <c r="F280" s="42">
        <v>2.25</v>
      </c>
      <c r="G280" s="45">
        <v>213</v>
      </c>
      <c r="H280" s="22">
        <v>1.8</v>
      </c>
      <c r="I280" s="6">
        <f t="shared" si="4"/>
        <v>733.25249999999994</v>
      </c>
      <c r="J280" s="7" t="s">
        <v>3587</v>
      </c>
    </row>
    <row r="281" spans="1:10" ht="13.95" customHeight="1" x14ac:dyDescent="0.3">
      <c r="A281" s="20">
        <v>45967</v>
      </c>
      <c r="B281" s="20" t="s">
        <v>3607</v>
      </c>
      <c r="C281" s="19" t="s">
        <v>8</v>
      </c>
      <c r="D281" s="19" t="s">
        <v>706</v>
      </c>
      <c r="E281" s="4">
        <v>0.75</v>
      </c>
      <c r="F281" s="42">
        <v>2.2000000000000002</v>
      </c>
      <c r="G281" s="45">
        <v>213</v>
      </c>
      <c r="H281" s="22">
        <v>1.8</v>
      </c>
      <c r="I281" s="6">
        <f t="shared" si="4"/>
        <v>632.61000000000013</v>
      </c>
      <c r="J281" s="7" t="s">
        <v>2115</v>
      </c>
    </row>
    <row r="282" spans="1:10" ht="13.95" customHeight="1" x14ac:dyDescent="0.3">
      <c r="A282" s="20">
        <v>45968</v>
      </c>
      <c r="B282" s="20" t="s">
        <v>3607</v>
      </c>
      <c r="C282" s="19" t="s">
        <v>11</v>
      </c>
      <c r="D282" s="19" t="s">
        <v>3588</v>
      </c>
      <c r="E282" s="4">
        <v>0.55000000000000004</v>
      </c>
      <c r="F282" s="42">
        <v>2.75</v>
      </c>
      <c r="G282" s="45">
        <v>213</v>
      </c>
      <c r="H282" s="22">
        <v>1.8</v>
      </c>
      <c r="I282" s="6">
        <f t="shared" si="4"/>
        <v>579.89250000000004</v>
      </c>
      <c r="J282" s="7" t="s">
        <v>3589</v>
      </c>
    </row>
    <row r="283" spans="1:10" ht="13.95" customHeight="1" x14ac:dyDescent="0.3">
      <c r="A283" s="20">
        <v>45969</v>
      </c>
      <c r="B283" s="20" t="s">
        <v>3607</v>
      </c>
      <c r="C283" s="19" t="s">
        <v>13</v>
      </c>
      <c r="D283" s="19" t="s">
        <v>3473</v>
      </c>
      <c r="E283" s="4">
        <v>0.65</v>
      </c>
      <c r="F283" s="42">
        <v>3.4</v>
      </c>
      <c r="G283" s="45">
        <v>213</v>
      </c>
      <c r="H283" s="22">
        <v>1.8</v>
      </c>
      <c r="I283" s="6">
        <f t="shared" si="4"/>
        <v>847.31400000000008</v>
      </c>
      <c r="J283" s="7" t="s">
        <v>3198</v>
      </c>
    </row>
    <row r="284" spans="1:10" ht="13.95" customHeight="1" x14ac:dyDescent="0.3">
      <c r="A284" s="20">
        <v>45970</v>
      </c>
      <c r="B284" s="20" t="s">
        <v>3607</v>
      </c>
      <c r="C284" s="19" t="s">
        <v>16</v>
      </c>
      <c r="D284" s="19" t="s">
        <v>3480</v>
      </c>
      <c r="E284" s="4">
        <v>0.6</v>
      </c>
      <c r="F284" s="42">
        <v>3</v>
      </c>
      <c r="G284" s="45">
        <v>213</v>
      </c>
      <c r="H284" s="22">
        <v>1.8</v>
      </c>
      <c r="I284" s="6">
        <f t="shared" si="4"/>
        <v>690.12</v>
      </c>
      <c r="J284" s="7" t="s">
        <v>3313</v>
      </c>
    </row>
    <row r="285" spans="1:10" ht="13.95" customHeight="1" x14ac:dyDescent="0.3">
      <c r="A285" s="20">
        <v>45971</v>
      </c>
      <c r="B285" s="20" t="s">
        <v>3607</v>
      </c>
      <c r="C285" s="19" t="s">
        <v>18</v>
      </c>
      <c r="D285" s="19" t="s">
        <v>706</v>
      </c>
      <c r="E285" s="4">
        <v>0.55000000000000004</v>
      </c>
      <c r="F285" s="42">
        <v>2.1</v>
      </c>
      <c r="G285" s="45">
        <v>213</v>
      </c>
      <c r="H285" s="22">
        <v>1.8</v>
      </c>
      <c r="I285" s="6">
        <f t="shared" si="4"/>
        <v>442.82700000000006</v>
      </c>
      <c r="J285" s="7" t="s">
        <v>88</v>
      </c>
    </row>
    <row r="286" spans="1:10" ht="13.95" customHeight="1" x14ac:dyDescent="0.3">
      <c r="A286" s="20">
        <v>45972</v>
      </c>
      <c r="B286" s="20" t="s">
        <v>3607</v>
      </c>
      <c r="C286" s="19" t="s">
        <v>20</v>
      </c>
      <c r="D286" s="19" t="s">
        <v>1263</v>
      </c>
      <c r="E286" s="4">
        <v>0.7</v>
      </c>
      <c r="F286" s="42">
        <v>2.2000000000000002</v>
      </c>
      <c r="G286" s="45">
        <v>213</v>
      </c>
      <c r="H286" s="22">
        <v>1.8</v>
      </c>
      <c r="I286" s="6">
        <f t="shared" si="4"/>
        <v>590.43600000000004</v>
      </c>
      <c r="J286" s="7" t="s">
        <v>3590</v>
      </c>
    </row>
    <row r="287" spans="1:10" ht="13.95" customHeight="1" x14ac:dyDescent="0.3">
      <c r="A287" s="20">
        <v>45973</v>
      </c>
      <c r="B287" s="20" t="s">
        <v>3607</v>
      </c>
      <c r="C287" s="19" t="s">
        <v>5</v>
      </c>
      <c r="D287" s="19" t="s">
        <v>1263</v>
      </c>
      <c r="E287" s="4">
        <v>0.7</v>
      </c>
      <c r="F287" s="42">
        <v>2.2000000000000002</v>
      </c>
      <c r="G287" s="45">
        <v>213</v>
      </c>
      <c r="H287" s="22">
        <v>1.8</v>
      </c>
      <c r="I287" s="6">
        <f t="shared" si="4"/>
        <v>590.43600000000004</v>
      </c>
      <c r="J287" s="7" t="s">
        <v>3471</v>
      </c>
    </row>
    <row r="288" spans="1:10" ht="13.95" customHeight="1" x14ac:dyDescent="0.3">
      <c r="A288" s="20">
        <v>45974</v>
      </c>
      <c r="B288" s="20" t="s">
        <v>3607</v>
      </c>
      <c r="C288" s="19" t="s">
        <v>8</v>
      </c>
      <c r="D288" s="19" t="s">
        <v>706</v>
      </c>
      <c r="E288" s="4">
        <v>0.65</v>
      </c>
      <c r="F288" s="42">
        <v>2.15</v>
      </c>
      <c r="G288" s="45">
        <v>213</v>
      </c>
      <c r="H288" s="22">
        <v>1.8</v>
      </c>
      <c r="I288" s="6">
        <f t="shared" si="4"/>
        <v>535.80150000000003</v>
      </c>
      <c r="J288" s="7" t="s">
        <v>88</v>
      </c>
    </row>
    <row r="289" spans="1:10" ht="13.95" customHeight="1" x14ac:dyDescent="0.3">
      <c r="A289" s="20">
        <v>45976</v>
      </c>
      <c r="B289" s="20" t="s">
        <v>3607</v>
      </c>
      <c r="C289" s="19" t="s">
        <v>13</v>
      </c>
      <c r="D289" s="19" t="s">
        <v>3591</v>
      </c>
      <c r="E289" s="4">
        <v>0.7</v>
      </c>
      <c r="F289" s="42">
        <v>3.45</v>
      </c>
      <c r="G289" s="45">
        <v>213</v>
      </c>
      <c r="H289" s="22">
        <v>1.8</v>
      </c>
      <c r="I289" s="6">
        <f t="shared" si="4"/>
        <v>925.91099999999994</v>
      </c>
      <c r="J289" s="7" t="s">
        <v>3592</v>
      </c>
    </row>
    <row r="290" spans="1:10" ht="13.95" customHeight="1" x14ac:dyDescent="0.3">
      <c r="A290" s="20">
        <v>45978</v>
      </c>
      <c r="B290" s="20" t="s">
        <v>3607</v>
      </c>
      <c r="C290" s="19" t="s">
        <v>18</v>
      </c>
      <c r="D290" s="19" t="s">
        <v>706</v>
      </c>
      <c r="E290" s="4">
        <v>0.5</v>
      </c>
      <c r="F290" s="42">
        <v>2.1</v>
      </c>
      <c r="G290" s="45">
        <v>213</v>
      </c>
      <c r="H290" s="22">
        <v>1.8</v>
      </c>
      <c r="I290" s="6">
        <f t="shared" si="4"/>
        <v>402.57</v>
      </c>
      <c r="J290" s="7" t="s">
        <v>272</v>
      </c>
    </row>
    <row r="291" spans="1:10" ht="13.95" customHeight="1" x14ac:dyDescent="0.3">
      <c r="A291" s="20">
        <v>45981</v>
      </c>
      <c r="B291" s="20" t="s">
        <v>3607</v>
      </c>
      <c r="C291" s="19" t="s">
        <v>8</v>
      </c>
      <c r="D291" s="19" t="s">
        <v>706</v>
      </c>
      <c r="E291" s="4">
        <v>0.6</v>
      </c>
      <c r="F291" s="42">
        <v>2.2000000000000002</v>
      </c>
      <c r="G291" s="45">
        <v>213</v>
      </c>
      <c r="H291" s="22">
        <v>1.8</v>
      </c>
      <c r="I291" s="6">
        <f t="shared" si="4"/>
        <v>506.08800000000008</v>
      </c>
      <c r="J291" s="7" t="s">
        <v>88</v>
      </c>
    </row>
    <row r="292" spans="1:10" ht="13.95" customHeight="1" x14ac:dyDescent="0.3">
      <c r="A292" s="20">
        <v>45983</v>
      </c>
      <c r="B292" s="20" t="s">
        <v>3607</v>
      </c>
      <c r="C292" s="19" t="s">
        <v>13</v>
      </c>
      <c r="D292" s="19" t="s">
        <v>2988</v>
      </c>
      <c r="E292" s="4">
        <v>0.65</v>
      </c>
      <c r="F292" s="42">
        <v>3.5</v>
      </c>
      <c r="G292" s="45">
        <v>213</v>
      </c>
      <c r="H292" s="22">
        <v>1.8</v>
      </c>
      <c r="I292" s="6">
        <f t="shared" si="4"/>
        <v>872.23500000000013</v>
      </c>
      <c r="J292" s="7" t="s">
        <v>3593</v>
      </c>
    </row>
    <row r="293" spans="1:10" ht="13.95" customHeight="1" x14ac:dyDescent="0.3">
      <c r="A293" s="20">
        <v>45985</v>
      </c>
      <c r="B293" s="20" t="s">
        <v>3607</v>
      </c>
      <c r="C293" s="19" t="s">
        <v>18</v>
      </c>
      <c r="D293" s="19" t="s">
        <v>706</v>
      </c>
      <c r="E293" s="4">
        <v>0.55000000000000004</v>
      </c>
      <c r="F293" s="42">
        <v>2.15</v>
      </c>
      <c r="G293" s="45">
        <v>213</v>
      </c>
      <c r="H293" s="22">
        <v>1.8</v>
      </c>
      <c r="I293" s="6">
        <f t="shared" si="4"/>
        <v>453.37049999999999</v>
      </c>
      <c r="J293" s="7" t="s">
        <v>88</v>
      </c>
    </row>
    <row r="294" spans="1:10" ht="13.95" customHeight="1" x14ac:dyDescent="0.3">
      <c r="A294" s="20">
        <v>45987</v>
      </c>
      <c r="B294" s="20" t="s">
        <v>3607</v>
      </c>
      <c r="C294" s="19" t="s">
        <v>5</v>
      </c>
      <c r="D294" s="19" t="s">
        <v>3594</v>
      </c>
      <c r="E294" s="4">
        <v>0.75</v>
      </c>
      <c r="F294" s="42">
        <v>2.2999999999999998</v>
      </c>
      <c r="G294" s="45">
        <v>213</v>
      </c>
      <c r="H294" s="22">
        <v>1.8</v>
      </c>
      <c r="I294" s="6">
        <f t="shared" si="4"/>
        <v>661.3649999999999</v>
      </c>
      <c r="J294" s="7" t="s">
        <v>3595</v>
      </c>
    </row>
    <row r="295" spans="1:10" ht="13.95" customHeight="1" x14ac:dyDescent="0.3">
      <c r="A295" s="20">
        <v>45988</v>
      </c>
      <c r="B295" s="20" t="s">
        <v>3607</v>
      </c>
      <c r="C295" s="19" t="s">
        <v>8</v>
      </c>
      <c r="D295" s="19" t="s">
        <v>3594</v>
      </c>
      <c r="E295" s="4">
        <v>0.75</v>
      </c>
      <c r="F295" s="42">
        <v>2.25</v>
      </c>
      <c r="G295" s="45">
        <v>213</v>
      </c>
      <c r="H295" s="22">
        <v>1.8</v>
      </c>
      <c r="I295" s="6">
        <f t="shared" si="4"/>
        <v>646.98750000000007</v>
      </c>
      <c r="J295" s="7" t="s">
        <v>88</v>
      </c>
    </row>
    <row r="296" spans="1:10" ht="13.95" customHeight="1" x14ac:dyDescent="0.3">
      <c r="A296" s="20">
        <v>45990</v>
      </c>
      <c r="B296" s="20" t="s">
        <v>3607</v>
      </c>
      <c r="C296" s="19" t="s">
        <v>13</v>
      </c>
      <c r="D296" s="19" t="s">
        <v>3478</v>
      </c>
      <c r="E296" s="4">
        <v>0.8</v>
      </c>
      <c r="F296" s="42">
        <v>3.6</v>
      </c>
      <c r="G296" s="45">
        <v>213</v>
      </c>
      <c r="H296" s="22">
        <v>1.8</v>
      </c>
      <c r="I296" s="6">
        <f t="shared" si="4"/>
        <v>1104.1920000000002</v>
      </c>
      <c r="J296" s="7" t="s">
        <v>3596</v>
      </c>
    </row>
    <row r="297" spans="1:10" ht="13.95" customHeight="1" x14ac:dyDescent="0.3">
      <c r="A297" s="20">
        <v>45991</v>
      </c>
      <c r="B297" s="20" t="s">
        <v>3607</v>
      </c>
      <c r="C297" s="19" t="s">
        <v>16</v>
      </c>
      <c r="D297" s="19" t="s">
        <v>3480</v>
      </c>
      <c r="E297" s="4">
        <v>0.7</v>
      </c>
      <c r="F297" s="42">
        <v>3.1</v>
      </c>
      <c r="G297" s="45">
        <v>213</v>
      </c>
      <c r="H297" s="22">
        <v>1.8</v>
      </c>
      <c r="I297" s="6">
        <f t="shared" si="4"/>
        <v>831.97799999999995</v>
      </c>
      <c r="J297" s="7" t="s">
        <v>3022</v>
      </c>
    </row>
    <row r="298" spans="1:10" ht="13.95" customHeight="1" x14ac:dyDescent="0.3">
      <c r="A298" s="20">
        <v>45992</v>
      </c>
      <c r="B298" s="20" t="s">
        <v>3607</v>
      </c>
      <c r="C298" s="19" t="s">
        <v>18</v>
      </c>
      <c r="D298" s="19" t="s">
        <v>706</v>
      </c>
      <c r="E298" s="4">
        <v>0.55000000000000004</v>
      </c>
      <c r="F298" s="42">
        <v>2.15</v>
      </c>
      <c r="G298" s="45">
        <v>213</v>
      </c>
      <c r="H298" s="22">
        <v>2</v>
      </c>
      <c r="I298" s="6">
        <f t="shared" si="4"/>
        <v>503.745</v>
      </c>
      <c r="J298" s="7" t="s">
        <v>427</v>
      </c>
    </row>
    <row r="299" spans="1:10" ht="13.95" customHeight="1" x14ac:dyDescent="0.3">
      <c r="A299" s="20">
        <v>45993</v>
      </c>
      <c r="B299" s="20" t="s">
        <v>3607</v>
      </c>
      <c r="C299" s="19" t="s">
        <v>20</v>
      </c>
      <c r="D299" s="19" t="s">
        <v>706</v>
      </c>
      <c r="E299" s="4">
        <v>0.6</v>
      </c>
      <c r="F299" s="42">
        <v>2.2000000000000002</v>
      </c>
      <c r="G299" s="45">
        <v>213</v>
      </c>
      <c r="H299" s="22">
        <v>2</v>
      </c>
      <c r="I299" s="6">
        <f t="shared" si="4"/>
        <v>562.32000000000005</v>
      </c>
      <c r="J299" s="7" t="s">
        <v>3504</v>
      </c>
    </row>
    <row r="300" spans="1:10" ht="13.95" customHeight="1" x14ac:dyDescent="0.3">
      <c r="A300" s="20">
        <v>45994</v>
      </c>
      <c r="B300" s="20" t="s">
        <v>3607</v>
      </c>
      <c r="C300" s="19" t="s">
        <v>5</v>
      </c>
      <c r="D300" s="19" t="s">
        <v>706</v>
      </c>
      <c r="E300" s="4">
        <v>0.6</v>
      </c>
      <c r="F300" s="42">
        <v>2.2000000000000002</v>
      </c>
      <c r="G300" s="45">
        <v>213</v>
      </c>
      <c r="H300" s="22">
        <v>2</v>
      </c>
      <c r="I300" s="6">
        <f t="shared" si="4"/>
        <v>562.32000000000005</v>
      </c>
      <c r="J300" s="7" t="s">
        <v>3504</v>
      </c>
    </row>
    <row r="301" spans="1:10" ht="13.95" customHeight="1" x14ac:dyDescent="0.3">
      <c r="A301" s="20">
        <v>45995</v>
      </c>
      <c r="B301" s="20" t="s">
        <v>3607</v>
      </c>
      <c r="C301" s="19" t="s">
        <v>8</v>
      </c>
      <c r="D301" s="19" t="s">
        <v>706</v>
      </c>
      <c r="E301" s="4">
        <v>0.55000000000000004</v>
      </c>
      <c r="F301" s="42">
        <v>2.15</v>
      </c>
      <c r="G301" s="45">
        <v>213</v>
      </c>
      <c r="H301" s="22">
        <v>2</v>
      </c>
      <c r="I301" s="6">
        <f t="shared" si="4"/>
        <v>503.745</v>
      </c>
      <c r="J301" s="7" t="s">
        <v>1878</v>
      </c>
    </row>
    <row r="302" spans="1:10" ht="13.95" customHeight="1" x14ac:dyDescent="0.3">
      <c r="A302" s="20">
        <v>45996</v>
      </c>
      <c r="B302" s="20" t="s">
        <v>3607</v>
      </c>
      <c r="C302" s="19" t="s">
        <v>11</v>
      </c>
      <c r="D302" s="19" t="s">
        <v>2993</v>
      </c>
      <c r="E302" s="4">
        <v>0.6</v>
      </c>
      <c r="F302" s="42">
        <v>2.8</v>
      </c>
      <c r="G302" s="45">
        <v>213</v>
      </c>
      <c r="H302" s="22">
        <v>2</v>
      </c>
      <c r="I302" s="6">
        <f t="shared" si="4"/>
        <v>715.68</v>
      </c>
      <c r="J302" s="7" t="s">
        <v>3597</v>
      </c>
    </row>
    <row r="303" spans="1:10" ht="13.95" customHeight="1" x14ac:dyDescent="0.3">
      <c r="A303" s="20">
        <v>45997</v>
      </c>
      <c r="B303" s="20" t="s">
        <v>3607</v>
      </c>
      <c r="C303" s="19" t="s">
        <v>13</v>
      </c>
      <c r="D303" s="19" t="s">
        <v>3156</v>
      </c>
      <c r="E303" s="4">
        <v>0.75</v>
      </c>
      <c r="F303" s="42">
        <v>3.5</v>
      </c>
      <c r="G303" s="45">
        <v>213</v>
      </c>
      <c r="H303" s="22">
        <v>2</v>
      </c>
      <c r="I303" s="6">
        <f t="shared" si="4"/>
        <v>1118.25</v>
      </c>
      <c r="J303" s="7" t="s">
        <v>3505</v>
      </c>
    </row>
    <row r="304" spans="1:10" ht="13.95" customHeight="1" x14ac:dyDescent="0.3">
      <c r="A304" s="20">
        <v>45998</v>
      </c>
      <c r="B304" s="20" t="s">
        <v>3607</v>
      </c>
      <c r="C304" s="19" t="s">
        <v>16</v>
      </c>
      <c r="D304" s="19" t="s">
        <v>3480</v>
      </c>
      <c r="E304" s="4">
        <v>0.7</v>
      </c>
      <c r="F304" s="42">
        <v>3.1</v>
      </c>
      <c r="G304" s="45">
        <v>213</v>
      </c>
      <c r="H304" s="22">
        <v>2</v>
      </c>
      <c r="I304" s="6">
        <f t="shared" si="4"/>
        <v>924.42</v>
      </c>
      <c r="J304" s="7" t="s">
        <v>91</v>
      </c>
    </row>
    <row r="305" spans="1:10" ht="13.95" customHeight="1" x14ac:dyDescent="0.3">
      <c r="A305" s="20">
        <v>45999</v>
      </c>
      <c r="B305" s="20" t="s">
        <v>3607</v>
      </c>
      <c r="C305" s="19" t="s">
        <v>18</v>
      </c>
      <c r="D305" s="19" t="s">
        <v>706</v>
      </c>
      <c r="E305" s="4">
        <v>0.5</v>
      </c>
      <c r="F305" s="42">
        <v>2.1</v>
      </c>
      <c r="G305" s="45">
        <v>213</v>
      </c>
      <c r="H305" s="22">
        <v>2</v>
      </c>
      <c r="I305" s="6">
        <f t="shared" si="4"/>
        <v>447.3</v>
      </c>
      <c r="J305" s="7" t="s">
        <v>527</v>
      </c>
    </row>
    <row r="306" spans="1:10" ht="13.95" customHeight="1" x14ac:dyDescent="0.3">
      <c r="A306" s="20">
        <v>46000</v>
      </c>
      <c r="B306" s="20" t="s">
        <v>3607</v>
      </c>
      <c r="C306" s="19" t="s">
        <v>20</v>
      </c>
      <c r="D306" s="19" t="s">
        <v>706</v>
      </c>
      <c r="E306" s="4">
        <v>0.55000000000000004</v>
      </c>
      <c r="F306" s="42">
        <v>2.15</v>
      </c>
      <c r="G306" s="45">
        <v>213</v>
      </c>
      <c r="H306" s="22">
        <v>2</v>
      </c>
      <c r="I306" s="6">
        <f t="shared" si="4"/>
        <v>503.745</v>
      </c>
      <c r="J306" s="7" t="s">
        <v>88</v>
      </c>
    </row>
    <row r="307" spans="1:10" ht="13.95" customHeight="1" x14ac:dyDescent="0.3">
      <c r="A307" s="20">
        <v>46001</v>
      </c>
      <c r="B307" s="20" t="s">
        <v>3607</v>
      </c>
      <c r="C307" s="19" t="s">
        <v>5</v>
      </c>
      <c r="D307" s="19" t="s">
        <v>706</v>
      </c>
      <c r="E307" s="4">
        <v>0.65</v>
      </c>
      <c r="F307" s="42">
        <v>2.2000000000000002</v>
      </c>
      <c r="G307" s="45">
        <v>213</v>
      </c>
      <c r="H307" s="22">
        <v>2</v>
      </c>
      <c r="I307" s="6">
        <f t="shared" si="4"/>
        <v>609.18000000000018</v>
      </c>
      <c r="J307" s="7" t="s">
        <v>3598</v>
      </c>
    </row>
    <row r="308" spans="1:10" ht="13.95" customHeight="1" x14ac:dyDescent="0.3">
      <c r="A308" s="20">
        <v>46002</v>
      </c>
      <c r="B308" s="20" t="s">
        <v>3607</v>
      </c>
      <c r="C308" s="19" t="s">
        <v>8</v>
      </c>
      <c r="D308" s="19" t="s">
        <v>706</v>
      </c>
      <c r="E308" s="4">
        <v>0.6</v>
      </c>
      <c r="F308" s="42">
        <v>2.15</v>
      </c>
      <c r="G308" s="45">
        <v>213</v>
      </c>
      <c r="H308" s="22">
        <v>2</v>
      </c>
      <c r="I308" s="6">
        <f t="shared" si="4"/>
        <v>549.54</v>
      </c>
      <c r="J308" s="7" t="s">
        <v>88</v>
      </c>
    </row>
    <row r="309" spans="1:10" ht="13.95" customHeight="1" x14ac:dyDescent="0.3">
      <c r="A309" s="20">
        <v>46003</v>
      </c>
      <c r="B309" s="20" t="s">
        <v>3607</v>
      </c>
      <c r="C309" s="19" t="s">
        <v>11</v>
      </c>
      <c r="D309" s="19" t="s">
        <v>2993</v>
      </c>
      <c r="E309" s="4">
        <v>0.6</v>
      </c>
      <c r="F309" s="42">
        <v>2.75</v>
      </c>
      <c r="G309" s="45">
        <v>213</v>
      </c>
      <c r="H309" s="22">
        <v>2</v>
      </c>
      <c r="I309" s="6">
        <f t="shared" si="4"/>
        <v>702.9</v>
      </c>
      <c r="J309" s="7" t="s">
        <v>390</v>
      </c>
    </row>
    <row r="310" spans="1:10" ht="13.95" customHeight="1" x14ac:dyDescent="0.3">
      <c r="A310" s="20">
        <v>46004</v>
      </c>
      <c r="B310" s="20" t="s">
        <v>3607</v>
      </c>
      <c r="C310" s="19" t="s">
        <v>13</v>
      </c>
      <c r="D310" s="19" t="s">
        <v>3473</v>
      </c>
      <c r="E310" s="4">
        <v>0.7</v>
      </c>
      <c r="F310" s="42">
        <v>3.45</v>
      </c>
      <c r="G310" s="45">
        <v>213</v>
      </c>
      <c r="H310" s="22">
        <v>2</v>
      </c>
      <c r="I310" s="6">
        <f t="shared" si="4"/>
        <v>1028.79</v>
      </c>
      <c r="J310" s="7" t="s">
        <v>1481</v>
      </c>
    </row>
    <row r="311" spans="1:10" ht="13.95" customHeight="1" x14ac:dyDescent="0.3">
      <c r="A311" s="20">
        <v>46005</v>
      </c>
      <c r="B311" s="20" t="s">
        <v>3607</v>
      </c>
      <c r="C311" s="19" t="s">
        <v>16</v>
      </c>
      <c r="D311" s="19" t="s">
        <v>3480</v>
      </c>
      <c r="E311" s="4">
        <v>0.65</v>
      </c>
      <c r="F311" s="42">
        <v>3</v>
      </c>
      <c r="G311" s="45">
        <v>213</v>
      </c>
      <c r="H311" s="22">
        <v>2</v>
      </c>
      <c r="I311" s="6">
        <f t="shared" si="4"/>
        <v>830.7</v>
      </c>
      <c r="J311" s="7" t="s">
        <v>3313</v>
      </c>
    </row>
    <row r="312" spans="1:10" ht="13.95" customHeight="1" x14ac:dyDescent="0.3">
      <c r="A312" s="20">
        <v>46006</v>
      </c>
      <c r="B312" s="20" t="s">
        <v>3607</v>
      </c>
      <c r="C312" s="19" t="s">
        <v>18</v>
      </c>
      <c r="D312" s="19" t="s">
        <v>44</v>
      </c>
      <c r="E312" s="4">
        <v>0.45</v>
      </c>
      <c r="F312" s="42">
        <v>2.1</v>
      </c>
      <c r="G312" s="45">
        <v>213</v>
      </c>
      <c r="H312" s="22">
        <v>2</v>
      </c>
      <c r="I312" s="6">
        <f t="shared" si="4"/>
        <v>402.57000000000005</v>
      </c>
      <c r="J312" s="7" t="s">
        <v>3599</v>
      </c>
    </row>
    <row r="313" spans="1:10" ht="13.95" customHeight="1" x14ac:dyDescent="0.3">
      <c r="A313" s="20">
        <v>46007</v>
      </c>
      <c r="B313" s="20" t="s">
        <v>3607</v>
      </c>
      <c r="C313" s="19" t="s">
        <v>20</v>
      </c>
      <c r="D313" s="19" t="s">
        <v>1259</v>
      </c>
      <c r="E313" s="4">
        <v>0.4</v>
      </c>
      <c r="F313" s="42">
        <v>2.1</v>
      </c>
      <c r="G313" s="45">
        <v>213</v>
      </c>
      <c r="H313" s="22">
        <v>2</v>
      </c>
      <c r="I313" s="6">
        <f t="shared" si="4"/>
        <v>357.84000000000003</v>
      </c>
      <c r="J313" s="7" t="s">
        <v>1265</v>
      </c>
    </row>
    <row r="314" spans="1:10" ht="13.95" customHeight="1" x14ac:dyDescent="0.3">
      <c r="A314" s="20">
        <v>46008</v>
      </c>
      <c r="B314" s="20" t="s">
        <v>3607</v>
      </c>
      <c r="C314" s="19" t="s">
        <v>5</v>
      </c>
      <c r="D314" s="19" t="s">
        <v>1259</v>
      </c>
      <c r="E314" s="4">
        <v>0.45</v>
      </c>
      <c r="F314" s="42">
        <v>2.1</v>
      </c>
      <c r="G314" s="45">
        <v>213</v>
      </c>
      <c r="H314" s="22">
        <v>2</v>
      </c>
      <c r="I314" s="6">
        <f t="shared" si="4"/>
        <v>402.57000000000005</v>
      </c>
      <c r="J314" s="7" t="s">
        <v>150</v>
      </c>
    </row>
    <row r="315" spans="1:10" ht="13.95" customHeight="1" x14ac:dyDescent="0.3">
      <c r="A315" s="20">
        <v>46009</v>
      </c>
      <c r="B315" s="20" t="s">
        <v>3607</v>
      </c>
      <c r="C315" s="19" t="s">
        <v>8</v>
      </c>
      <c r="D315" s="19" t="s">
        <v>1259</v>
      </c>
      <c r="E315" s="4">
        <v>0.5</v>
      </c>
      <c r="F315" s="42">
        <v>2.15</v>
      </c>
      <c r="G315" s="45">
        <v>213</v>
      </c>
      <c r="H315" s="22">
        <v>2</v>
      </c>
      <c r="I315" s="6">
        <f t="shared" si="4"/>
        <v>457.95</v>
      </c>
      <c r="J315" s="7" t="s">
        <v>88</v>
      </c>
    </row>
    <row r="316" spans="1:10" ht="13.95" customHeight="1" x14ac:dyDescent="0.3">
      <c r="A316" s="20">
        <v>46010</v>
      </c>
      <c r="B316" s="20" t="s">
        <v>3607</v>
      </c>
      <c r="C316" s="19" t="s">
        <v>11</v>
      </c>
      <c r="D316" s="19" t="s">
        <v>14</v>
      </c>
      <c r="E316" s="4">
        <v>0.65</v>
      </c>
      <c r="F316" s="42">
        <v>2.9</v>
      </c>
      <c r="G316" s="45">
        <v>213</v>
      </c>
      <c r="H316" s="22">
        <v>2</v>
      </c>
      <c r="I316" s="6">
        <f t="shared" si="4"/>
        <v>803.0100000000001</v>
      </c>
      <c r="J316" s="7" t="s">
        <v>1488</v>
      </c>
    </row>
    <row r="317" spans="1:10" ht="13.95" customHeight="1" x14ac:dyDescent="0.3">
      <c r="A317" s="20">
        <v>46011</v>
      </c>
      <c r="B317" s="20" t="s">
        <v>3607</v>
      </c>
      <c r="C317" s="19" t="s">
        <v>13</v>
      </c>
      <c r="D317" s="19" t="s">
        <v>3600</v>
      </c>
      <c r="E317" s="4">
        <v>0.8</v>
      </c>
      <c r="F317" s="42">
        <v>3.6</v>
      </c>
      <c r="G317" s="45">
        <v>213</v>
      </c>
      <c r="H317" s="22">
        <v>2</v>
      </c>
      <c r="I317" s="6">
        <f t="shared" si="4"/>
        <v>1226.8800000000001</v>
      </c>
      <c r="J317" s="7" t="s">
        <v>3601</v>
      </c>
    </row>
    <row r="318" spans="1:10" ht="13.95" customHeight="1" x14ac:dyDescent="0.3">
      <c r="A318" s="20">
        <v>46012</v>
      </c>
      <c r="B318" s="20" t="s">
        <v>3607</v>
      </c>
      <c r="C318" s="19" t="s">
        <v>16</v>
      </c>
      <c r="D318" s="19" t="s">
        <v>3602</v>
      </c>
      <c r="E318" s="4">
        <v>0.75</v>
      </c>
      <c r="F318" s="42">
        <v>3.25</v>
      </c>
      <c r="G318" s="45">
        <v>213</v>
      </c>
      <c r="H318" s="22">
        <v>2</v>
      </c>
      <c r="I318" s="6">
        <f t="shared" si="4"/>
        <v>1038.375</v>
      </c>
      <c r="J318" s="7" t="s">
        <v>3593</v>
      </c>
    </row>
    <row r="319" spans="1:10" ht="13.95" customHeight="1" x14ac:dyDescent="0.3">
      <c r="A319" s="20">
        <v>46013</v>
      </c>
      <c r="B319" s="20" t="s">
        <v>3607</v>
      </c>
      <c r="C319" s="19" t="s">
        <v>18</v>
      </c>
      <c r="D319" s="19" t="s">
        <v>658</v>
      </c>
      <c r="E319" s="4">
        <v>0.7</v>
      </c>
      <c r="F319" s="42">
        <v>2.8</v>
      </c>
      <c r="G319" s="45">
        <v>213</v>
      </c>
      <c r="H319" s="22">
        <v>2</v>
      </c>
      <c r="I319" s="6">
        <f t="shared" si="4"/>
        <v>834.95999999999992</v>
      </c>
      <c r="J319" s="7" t="s">
        <v>1242</v>
      </c>
    </row>
    <row r="320" spans="1:10" ht="13.95" customHeight="1" x14ac:dyDescent="0.3">
      <c r="A320" s="20">
        <v>46014</v>
      </c>
      <c r="B320" s="20" t="s">
        <v>3607</v>
      </c>
      <c r="C320" s="19" t="s">
        <v>20</v>
      </c>
      <c r="D320" s="19" t="s">
        <v>2575</v>
      </c>
      <c r="E320" s="4">
        <v>0.75</v>
      </c>
      <c r="F320" s="42">
        <v>3</v>
      </c>
      <c r="G320" s="45">
        <v>213</v>
      </c>
      <c r="H320" s="22">
        <v>2</v>
      </c>
      <c r="I320" s="6">
        <f t="shared" si="4"/>
        <v>958.5</v>
      </c>
      <c r="J320" s="7" t="s">
        <v>661</v>
      </c>
    </row>
    <row r="321" spans="1:10" ht="13.95" customHeight="1" x14ac:dyDescent="0.3">
      <c r="A321" s="20">
        <v>46015</v>
      </c>
      <c r="B321" s="20" t="s">
        <v>3607</v>
      </c>
      <c r="C321" s="19" t="s">
        <v>5</v>
      </c>
      <c r="D321" s="19" t="s">
        <v>2576</v>
      </c>
      <c r="E321" s="4">
        <v>0.9</v>
      </c>
      <c r="F321" s="42">
        <v>4.7</v>
      </c>
      <c r="G321" s="45">
        <v>213</v>
      </c>
      <c r="H321" s="22">
        <v>2</v>
      </c>
      <c r="I321" s="6">
        <f t="shared" si="4"/>
        <v>1801.9800000000002</v>
      </c>
      <c r="J321" s="7" t="s">
        <v>1382</v>
      </c>
    </row>
    <row r="322" spans="1:10" ht="13.95" customHeight="1" x14ac:dyDescent="0.3">
      <c r="A322" s="20">
        <v>46016</v>
      </c>
      <c r="B322" s="20" t="s">
        <v>3607</v>
      </c>
      <c r="C322" s="19" t="s">
        <v>8</v>
      </c>
      <c r="D322" s="19" t="s">
        <v>2471</v>
      </c>
      <c r="E322" s="4">
        <v>0.9</v>
      </c>
      <c r="F322" s="42">
        <v>3.9</v>
      </c>
      <c r="G322" s="45">
        <v>213</v>
      </c>
      <c r="H322" s="22">
        <v>2</v>
      </c>
      <c r="I322" s="6">
        <f t="shared" ref="I322:I328" si="5">(G322*E322)*F322*H322</f>
        <v>1495.26</v>
      </c>
      <c r="J322" s="7" t="s">
        <v>1834</v>
      </c>
    </row>
    <row r="323" spans="1:10" ht="13.95" customHeight="1" x14ac:dyDescent="0.3">
      <c r="A323" s="20">
        <v>46017</v>
      </c>
      <c r="B323" s="20" t="s">
        <v>3607</v>
      </c>
      <c r="C323" s="19" t="s">
        <v>11</v>
      </c>
      <c r="D323" s="19" t="s">
        <v>3163</v>
      </c>
      <c r="E323" s="4">
        <v>0.85</v>
      </c>
      <c r="F323" s="42">
        <v>3.2</v>
      </c>
      <c r="G323" s="45">
        <v>213</v>
      </c>
      <c r="H323" s="22">
        <v>2</v>
      </c>
      <c r="I323" s="6">
        <f t="shared" si="5"/>
        <v>1158.72</v>
      </c>
      <c r="J323" s="7" t="s">
        <v>1449</v>
      </c>
    </row>
    <row r="324" spans="1:10" ht="13.95" customHeight="1" x14ac:dyDescent="0.3">
      <c r="A324" s="20">
        <v>46018</v>
      </c>
      <c r="B324" s="20" t="s">
        <v>3607</v>
      </c>
      <c r="C324" s="19" t="s">
        <v>13</v>
      </c>
      <c r="D324" s="19" t="s">
        <v>3603</v>
      </c>
      <c r="E324" s="4">
        <v>0.9</v>
      </c>
      <c r="F324" s="42">
        <v>3.7</v>
      </c>
      <c r="G324" s="45">
        <v>213</v>
      </c>
      <c r="H324" s="22">
        <v>2</v>
      </c>
      <c r="I324" s="6">
        <f t="shared" si="5"/>
        <v>1418.5800000000002</v>
      </c>
      <c r="J324" s="7" t="s">
        <v>2748</v>
      </c>
    </row>
    <row r="325" spans="1:10" ht="13.95" customHeight="1" x14ac:dyDescent="0.3">
      <c r="A325" s="20">
        <v>46019</v>
      </c>
      <c r="B325" s="20" t="s">
        <v>3607</v>
      </c>
      <c r="C325" s="19" t="s">
        <v>16</v>
      </c>
      <c r="D325" s="19" t="s">
        <v>3480</v>
      </c>
      <c r="E325" s="4">
        <v>0.85</v>
      </c>
      <c r="F325" s="42">
        <v>3.3</v>
      </c>
      <c r="G325" s="45">
        <v>213</v>
      </c>
      <c r="H325" s="22">
        <v>2</v>
      </c>
      <c r="I325" s="6">
        <f t="shared" si="5"/>
        <v>1194.9299999999998</v>
      </c>
      <c r="J325" s="7" t="s">
        <v>237</v>
      </c>
    </row>
    <row r="326" spans="1:10" ht="13.95" customHeight="1" x14ac:dyDescent="0.3">
      <c r="A326" s="20">
        <v>46020</v>
      </c>
      <c r="B326" s="20" t="s">
        <v>3607</v>
      </c>
      <c r="C326" s="19" t="s">
        <v>18</v>
      </c>
      <c r="D326" s="19" t="s">
        <v>1070</v>
      </c>
      <c r="E326" s="4">
        <v>0.8</v>
      </c>
      <c r="F326" s="42">
        <v>2.8</v>
      </c>
      <c r="G326" s="45">
        <v>213</v>
      </c>
      <c r="H326" s="22">
        <v>2</v>
      </c>
      <c r="I326" s="6">
        <f t="shared" si="5"/>
        <v>954.24</v>
      </c>
      <c r="J326" s="7" t="s">
        <v>1821</v>
      </c>
    </row>
    <row r="327" spans="1:10" ht="13.95" customHeight="1" x14ac:dyDescent="0.3">
      <c r="A327" s="20">
        <v>46021</v>
      </c>
      <c r="B327" s="20" t="s">
        <v>3607</v>
      </c>
      <c r="C327" s="19" t="s">
        <v>20</v>
      </c>
      <c r="D327" s="19" t="s">
        <v>3604</v>
      </c>
      <c r="E327" s="4">
        <v>0.95</v>
      </c>
      <c r="F327" s="42">
        <v>3.4</v>
      </c>
      <c r="G327" s="45">
        <v>213</v>
      </c>
      <c r="H327" s="22">
        <v>2</v>
      </c>
      <c r="I327" s="6">
        <f t="shared" si="5"/>
        <v>1375.98</v>
      </c>
      <c r="J327" s="7" t="s">
        <v>3605</v>
      </c>
    </row>
    <row r="328" spans="1:10" ht="13.95" customHeight="1" x14ac:dyDescent="0.3">
      <c r="A328" s="20">
        <v>46022</v>
      </c>
      <c r="B328" s="20" t="s">
        <v>3607</v>
      </c>
      <c r="C328" s="19" t="s">
        <v>5</v>
      </c>
      <c r="D328" s="19" t="s">
        <v>2580</v>
      </c>
      <c r="E328" s="4">
        <v>1</v>
      </c>
      <c r="F328" s="42">
        <v>5.6</v>
      </c>
      <c r="G328" s="45">
        <v>213</v>
      </c>
      <c r="H328" s="22">
        <v>2</v>
      </c>
      <c r="I328" s="6">
        <f t="shared" si="5"/>
        <v>2385.6</v>
      </c>
      <c r="J328" s="7" t="s">
        <v>3606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018E1-6286-4A0A-9671-75E376201D51}">
  <dimension ref="A1:K341"/>
  <sheetViews>
    <sheetView tabSelected="1" topLeftCell="E325" workbookViewId="0">
      <selection activeCell="F341" sqref="F341"/>
    </sheetView>
  </sheetViews>
  <sheetFormatPr baseColWidth="10" defaultRowHeight="14.4" x14ac:dyDescent="0.3"/>
  <cols>
    <col min="2" max="2" width="15.6640625" bestFit="1" customWidth="1"/>
    <col min="4" max="4" width="19.6640625" bestFit="1" customWidth="1"/>
    <col min="10" max="10" width="30.5546875" bestFit="1" customWidth="1"/>
    <col min="11" max="11" width="11.6640625" customWidth="1"/>
  </cols>
  <sheetData>
    <row r="1" spans="1:11" ht="28.2" thickBot="1" x14ac:dyDescent="0.35">
      <c r="A1" s="1" t="s">
        <v>333</v>
      </c>
      <c r="B1" s="1" t="s">
        <v>670</v>
      </c>
      <c r="C1" s="34" t="s">
        <v>0</v>
      </c>
      <c r="D1" s="34" t="s">
        <v>1</v>
      </c>
      <c r="E1" s="37" t="s">
        <v>2</v>
      </c>
      <c r="F1" s="43" t="s">
        <v>3</v>
      </c>
      <c r="G1" s="47" t="s">
        <v>359</v>
      </c>
      <c r="H1" s="35" t="s">
        <v>360</v>
      </c>
      <c r="I1" s="47" t="s">
        <v>361</v>
      </c>
      <c r="J1" s="25" t="s">
        <v>4</v>
      </c>
      <c r="K1">
        <v>270</v>
      </c>
    </row>
    <row r="2" spans="1:11" ht="13.95" customHeight="1" x14ac:dyDescent="0.3">
      <c r="A2" s="20">
        <v>45658</v>
      </c>
      <c r="B2" s="20" t="s">
        <v>3749</v>
      </c>
      <c r="C2" s="19" t="s">
        <v>8</v>
      </c>
      <c r="D2" s="19" t="s">
        <v>2859</v>
      </c>
      <c r="E2" s="4">
        <v>1</v>
      </c>
      <c r="F2" s="42">
        <v>4.8</v>
      </c>
      <c r="G2" s="45">
        <v>270</v>
      </c>
      <c r="H2" s="22">
        <v>2.1</v>
      </c>
      <c r="I2" s="6">
        <f t="shared" ref="I2:I65" si="0">(G2*E2)*F2*H2</f>
        <v>2721.6</v>
      </c>
      <c r="J2" s="7" t="s">
        <v>3609</v>
      </c>
    </row>
    <row r="3" spans="1:11" ht="13.95" customHeight="1" x14ac:dyDescent="0.3">
      <c r="A3" s="20">
        <v>45659</v>
      </c>
      <c r="B3" s="20" t="s">
        <v>3749</v>
      </c>
      <c r="C3" s="19" t="s">
        <v>11</v>
      </c>
      <c r="D3" s="19" t="s">
        <v>2993</v>
      </c>
      <c r="E3" s="4">
        <v>0.7</v>
      </c>
      <c r="F3" s="42">
        <v>2.9</v>
      </c>
      <c r="G3" s="45">
        <v>270</v>
      </c>
      <c r="H3" s="22">
        <v>2.1</v>
      </c>
      <c r="I3" s="6">
        <f t="shared" si="0"/>
        <v>1151.01</v>
      </c>
      <c r="J3" s="7" t="s">
        <v>3610</v>
      </c>
    </row>
    <row r="4" spans="1:11" ht="13.95" customHeight="1" x14ac:dyDescent="0.3">
      <c r="A4" s="20">
        <v>45660</v>
      </c>
      <c r="B4" s="20" t="s">
        <v>3749</v>
      </c>
      <c r="C4" s="19" t="s">
        <v>13</v>
      </c>
      <c r="D4" s="19" t="s">
        <v>3156</v>
      </c>
      <c r="E4" s="4">
        <v>0.85</v>
      </c>
      <c r="F4" s="42">
        <v>3.7</v>
      </c>
      <c r="G4" s="45">
        <v>270</v>
      </c>
      <c r="H4" s="22">
        <v>2.1</v>
      </c>
      <c r="I4" s="6">
        <f t="shared" si="0"/>
        <v>1783.2150000000004</v>
      </c>
      <c r="J4" s="7" t="s">
        <v>3611</v>
      </c>
    </row>
    <row r="5" spans="1:11" ht="13.95" customHeight="1" x14ac:dyDescent="0.3">
      <c r="A5" s="20">
        <v>45661</v>
      </c>
      <c r="B5" s="20" t="s">
        <v>3749</v>
      </c>
      <c r="C5" s="19" t="s">
        <v>16</v>
      </c>
      <c r="D5" s="19" t="s">
        <v>3612</v>
      </c>
      <c r="E5" s="4">
        <v>0.8</v>
      </c>
      <c r="F5" s="42">
        <v>3.3</v>
      </c>
      <c r="G5" s="45">
        <v>270</v>
      </c>
      <c r="H5" s="22">
        <v>2.1</v>
      </c>
      <c r="I5" s="6">
        <f t="shared" si="0"/>
        <v>1496.8799999999999</v>
      </c>
      <c r="J5" s="7" t="s">
        <v>3613</v>
      </c>
    </row>
    <row r="6" spans="1:11" ht="13.95" customHeight="1" x14ac:dyDescent="0.3">
      <c r="A6" s="20">
        <v>45662</v>
      </c>
      <c r="B6" s="20" t="s">
        <v>3749</v>
      </c>
      <c r="C6" s="19" t="s">
        <v>18</v>
      </c>
      <c r="D6" s="19" t="s">
        <v>706</v>
      </c>
      <c r="E6" s="4">
        <v>0.45</v>
      </c>
      <c r="F6" s="42">
        <v>2.2000000000000002</v>
      </c>
      <c r="G6" s="45">
        <v>270</v>
      </c>
      <c r="H6" s="22">
        <v>2.1</v>
      </c>
      <c r="I6" s="6">
        <f t="shared" si="0"/>
        <v>561.33000000000004</v>
      </c>
      <c r="J6" s="7" t="s">
        <v>115</v>
      </c>
    </row>
    <row r="7" spans="1:11" ht="13.95" customHeight="1" x14ac:dyDescent="0.3">
      <c r="A7" s="20">
        <v>45663</v>
      </c>
      <c r="B7" s="20" t="s">
        <v>3749</v>
      </c>
      <c r="C7" s="19" t="s">
        <v>20</v>
      </c>
      <c r="D7" s="19" t="s">
        <v>706</v>
      </c>
      <c r="E7" s="4">
        <v>0.5</v>
      </c>
      <c r="F7" s="42">
        <v>2.2000000000000002</v>
      </c>
      <c r="G7" s="45">
        <v>270</v>
      </c>
      <c r="H7" s="22">
        <v>2.1</v>
      </c>
      <c r="I7" s="6">
        <f t="shared" si="0"/>
        <v>623.70000000000005</v>
      </c>
      <c r="J7" s="7" t="s">
        <v>1283</v>
      </c>
    </row>
    <row r="8" spans="1:11" ht="13.95" customHeight="1" x14ac:dyDescent="0.3">
      <c r="A8" s="20">
        <v>45664</v>
      </c>
      <c r="B8" s="20" t="s">
        <v>3749</v>
      </c>
      <c r="C8" s="19" t="s">
        <v>5</v>
      </c>
      <c r="D8" s="19" t="s">
        <v>706</v>
      </c>
      <c r="E8" s="4">
        <v>0.5</v>
      </c>
      <c r="F8" s="42">
        <v>2.2000000000000002</v>
      </c>
      <c r="G8" s="45">
        <v>270</v>
      </c>
      <c r="H8" s="22">
        <v>2.1</v>
      </c>
      <c r="I8" s="6">
        <f t="shared" si="0"/>
        <v>623.70000000000005</v>
      </c>
      <c r="J8" s="7" t="s">
        <v>3504</v>
      </c>
    </row>
    <row r="9" spans="1:11" ht="13.95" customHeight="1" x14ac:dyDescent="0.3">
      <c r="A9" s="20">
        <v>45665</v>
      </c>
      <c r="B9" s="20" t="s">
        <v>3749</v>
      </c>
      <c r="C9" s="19" t="s">
        <v>8</v>
      </c>
      <c r="D9" s="19" t="s">
        <v>706</v>
      </c>
      <c r="E9" s="4">
        <v>0.55000000000000004</v>
      </c>
      <c r="F9" s="42">
        <v>2.25</v>
      </c>
      <c r="G9" s="45">
        <v>270</v>
      </c>
      <c r="H9" s="22">
        <v>2.1</v>
      </c>
      <c r="I9" s="6">
        <f t="shared" si="0"/>
        <v>701.66250000000002</v>
      </c>
      <c r="J9" s="7" t="s">
        <v>3504</v>
      </c>
    </row>
    <row r="10" spans="1:11" ht="13.95" customHeight="1" x14ac:dyDescent="0.3">
      <c r="A10" s="20">
        <v>45666</v>
      </c>
      <c r="B10" s="20" t="s">
        <v>3749</v>
      </c>
      <c r="C10" s="19" t="s">
        <v>11</v>
      </c>
      <c r="D10" s="19" t="s">
        <v>2993</v>
      </c>
      <c r="E10" s="4">
        <v>0.65</v>
      </c>
      <c r="F10" s="42">
        <v>2.8</v>
      </c>
      <c r="G10" s="45">
        <v>270</v>
      </c>
      <c r="H10" s="22">
        <v>2.1</v>
      </c>
      <c r="I10" s="6">
        <f t="shared" si="0"/>
        <v>1031.94</v>
      </c>
      <c r="J10" s="7" t="s">
        <v>3614</v>
      </c>
    </row>
    <row r="11" spans="1:11" ht="13.95" customHeight="1" x14ac:dyDescent="0.3">
      <c r="A11" s="20">
        <v>45667</v>
      </c>
      <c r="B11" s="20" t="s">
        <v>3749</v>
      </c>
      <c r="C11" s="19" t="s">
        <v>13</v>
      </c>
      <c r="D11" s="19" t="s">
        <v>3001</v>
      </c>
      <c r="E11" s="4">
        <v>0.75</v>
      </c>
      <c r="F11" s="42">
        <v>3.6</v>
      </c>
      <c r="G11" s="45">
        <v>270</v>
      </c>
      <c r="H11" s="22">
        <v>2.1</v>
      </c>
      <c r="I11" s="6">
        <f t="shared" si="0"/>
        <v>1530.9</v>
      </c>
      <c r="J11" s="7" t="s">
        <v>1481</v>
      </c>
    </row>
    <row r="12" spans="1:11" ht="13.95" customHeight="1" x14ac:dyDescent="0.3">
      <c r="A12" s="20">
        <v>45668</v>
      </c>
      <c r="B12" s="20" t="s">
        <v>3749</v>
      </c>
      <c r="C12" s="19" t="s">
        <v>16</v>
      </c>
      <c r="D12" s="19" t="s">
        <v>3480</v>
      </c>
      <c r="E12" s="4">
        <v>0.7</v>
      </c>
      <c r="F12" s="42">
        <v>3.2</v>
      </c>
      <c r="G12" s="45">
        <v>270</v>
      </c>
      <c r="H12" s="22">
        <v>2.1</v>
      </c>
      <c r="I12" s="6">
        <f t="shared" si="0"/>
        <v>1270.0800000000002</v>
      </c>
      <c r="J12" s="7" t="s">
        <v>3313</v>
      </c>
    </row>
    <row r="13" spans="1:11" ht="13.95" customHeight="1" x14ac:dyDescent="0.3">
      <c r="A13" s="20">
        <v>45669</v>
      </c>
      <c r="B13" s="20" t="s">
        <v>3749</v>
      </c>
      <c r="C13" s="19" t="s">
        <v>18</v>
      </c>
      <c r="D13" s="19" t="s">
        <v>706</v>
      </c>
      <c r="E13" s="4">
        <v>0.45</v>
      </c>
      <c r="F13" s="42">
        <v>2.15</v>
      </c>
      <c r="G13" s="45">
        <v>270</v>
      </c>
      <c r="H13" s="22">
        <v>2.1</v>
      </c>
      <c r="I13" s="6">
        <f t="shared" si="0"/>
        <v>548.57249999999999</v>
      </c>
      <c r="J13" s="7" t="s">
        <v>527</v>
      </c>
    </row>
    <row r="14" spans="1:11" ht="13.95" customHeight="1" x14ac:dyDescent="0.3">
      <c r="A14" s="20">
        <v>45670</v>
      </c>
      <c r="B14" s="20" t="s">
        <v>3749</v>
      </c>
      <c r="C14" s="19" t="s">
        <v>20</v>
      </c>
      <c r="D14" s="19" t="s">
        <v>706</v>
      </c>
      <c r="E14" s="4">
        <v>0.5</v>
      </c>
      <c r="F14" s="42">
        <v>2.2000000000000002</v>
      </c>
      <c r="G14" s="45">
        <v>270</v>
      </c>
      <c r="H14" s="22">
        <v>2.1</v>
      </c>
      <c r="I14" s="6">
        <f t="shared" si="0"/>
        <v>623.70000000000005</v>
      </c>
      <c r="J14" s="7" t="s">
        <v>88</v>
      </c>
    </row>
    <row r="15" spans="1:11" ht="13.95" customHeight="1" x14ac:dyDescent="0.3">
      <c r="A15" s="20">
        <v>45671</v>
      </c>
      <c r="B15" s="20" t="s">
        <v>3749</v>
      </c>
      <c r="C15" s="19" t="s">
        <v>5</v>
      </c>
      <c r="D15" s="19" t="s">
        <v>2720</v>
      </c>
      <c r="E15" s="4">
        <v>0.8</v>
      </c>
      <c r="F15" s="42">
        <v>3.6</v>
      </c>
      <c r="G15" s="45">
        <v>270</v>
      </c>
      <c r="H15" s="22">
        <v>2.1</v>
      </c>
      <c r="I15" s="6">
        <f t="shared" si="0"/>
        <v>1632.96</v>
      </c>
      <c r="J15" s="7" t="s">
        <v>2586</v>
      </c>
    </row>
    <row r="16" spans="1:11" ht="13.95" customHeight="1" x14ac:dyDescent="0.3">
      <c r="A16" s="20">
        <v>45672</v>
      </c>
      <c r="B16" s="20" t="s">
        <v>3749</v>
      </c>
      <c r="C16" s="19" t="s">
        <v>8</v>
      </c>
      <c r="D16" s="19" t="s">
        <v>706</v>
      </c>
      <c r="E16" s="4">
        <v>0.6</v>
      </c>
      <c r="F16" s="42">
        <v>2.2000000000000002</v>
      </c>
      <c r="G16" s="45">
        <v>270</v>
      </c>
      <c r="H16" s="22">
        <v>2.1</v>
      </c>
      <c r="I16" s="6">
        <f t="shared" si="0"/>
        <v>748.44</v>
      </c>
      <c r="J16" s="7" t="s">
        <v>483</v>
      </c>
    </row>
    <row r="17" spans="1:10" ht="13.95" customHeight="1" x14ac:dyDescent="0.3">
      <c r="A17" s="20">
        <v>45673</v>
      </c>
      <c r="B17" s="20" t="s">
        <v>3749</v>
      </c>
      <c r="C17" s="19" t="s">
        <v>11</v>
      </c>
      <c r="D17" s="19" t="s">
        <v>2993</v>
      </c>
      <c r="E17" s="4">
        <v>0.65</v>
      </c>
      <c r="F17" s="42">
        <v>2.85</v>
      </c>
      <c r="G17" s="45">
        <v>270</v>
      </c>
      <c r="H17" s="22">
        <v>2.1</v>
      </c>
      <c r="I17" s="6">
        <f t="shared" si="0"/>
        <v>1050.3675000000001</v>
      </c>
      <c r="J17" s="7" t="s">
        <v>390</v>
      </c>
    </row>
    <row r="18" spans="1:10" ht="13.95" customHeight="1" x14ac:dyDescent="0.3">
      <c r="A18" s="20">
        <v>45674</v>
      </c>
      <c r="B18" s="20" t="s">
        <v>3749</v>
      </c>
      <c r="C18" s="19" t="s">
        <v>13</v>
      </c>
      <c r="D18" s="19" t="s">
        <v>3615</v>
      </c>
      <c r="E18" s="4">
        <v>0.8</v>
      </c>
      <c r="F18" s="42">
        <v>3.7</v>
      </c>
      <c r="G18" s="45">
        <v>270</v>
      </c>
      <c r="H18" s="22">
        <v>2.1</v>
      </c>
      <c r="I18" s="6">
        <f t="shared" si="0"/>
        <v>1678.3200000000002</v>
      </c>
      <c r="J18" s="7" t="s">
        <v>3479</v>
      </c>
    </row>
    <row r="19" spans="1:10" ht="13.95" customHeight="1" x14ac:dyDescent="0.3">
      <c r="A19" s="20">
        <v>45675</v>
      </c>
      <c r="B19" s="20" t="s">
        <v>3749</v>
      </c>
      <c r="C19" s="19" t="s">
        <v>16</v>
      </c>
      <c r="D19" s="19" t="s">
        <v>3480</v>
      </c>
      <c r="E19" s="4">
        <v>0.75</v>
      </c>
      <c r="F19" s="42">
        <v>3.25</v>
      </c>
      <c r="G19" s="45">
        <v>270</v>
      </c>
      <c r="H19" s="22">
        <v>2.1</v>
      </c>
      <c r="I19" s="6">
        <f t="shared" si="0"/>
        <v>1382.0625</v>
      </c>
      <c r="J19" s="7" t="s">
        <v>88</v>
      </c>
    </row>
    <row r="20" spans="1:10" ht="13.95" customHeight="1" x14ac:dyDescent="0.3">
      <c r="A20" s="20">
        <v>45676</v>
      </c>
      <c r="B20" s="20" t="s">
        <v>3749</v>
      </c>
      <c r="C20" s="19" t="s">
        <v>18</v>
      </c>
      <c r="D20" s="19" t="s">
        <v>706</v>
      </c>
      <c r="E20" s="4">
        <v>0.5</v>
      </c>
      <c r="F20" s="42">
        <v>2.15</v>
      </c>
      <c r="G20" s="45">
        <v>270</v>
      </c>
      <c r="H20" s="22">
        <v>2.1</v>
      </c>
      <c r="I20" s="6">
        <f t="shared" si="0"/>
        <v>609.52499999999998</v>
      </c>
      <c r="J20" s="7" t="s">
        <v>3504</v>
      </c>
    </row>
    <row r="21" spans="1:10" ht="13.95" customHeight="1" x14ac:dyDescent="0.3">
      <c r="A21" s="20">
        <v>45677</v>
      </c>
      <c r="B21" s="20" t="s">
        <v>3749</v>
      </c>
      <c r="C21" s="19" t="s">
        <v>20</v>
      </c>
      <c r="D21" s="19" t="s">
        <v>706</v>
      </c>
      <c r="E21" s="4">
        <v>0.55000000000000004</v>
      </c>
      <c r="F21" s="42">
        <v>2.2000000000000002</v>
      </c>
      <c r="G21" s="45">
        <v>270</v>
      </c>
      <c r="H21" s="22">
        <v>2.1</v>
      </c>
      <c r="I21" s="6">
        <f t="shared" si="0"/>
        <v>686.07000000000016</v>
      </c>
      <c r="J21" s="7" t="s">
        <v>88</v>
      </c>
    </row>
    <row r="22" spans="1:10" ht="13.95" customHeight="1" x14ac:dyDescent="0.3">
      <c r="A22" s="20">
        <v>45678</v>
      </c>
      <c r="B22" s="20" t="s">
        <v>3749</v>
      </c>
      <c r="C22" s="19" t="s">
        <v>5</v>
      </c>
      <c r="D22" s="19" t="s">
        <v>706</v>
      </c>
      <c r="E22" s="4">
        <v>0.55000000000000004</v>
      </c>
      <c r="F22" s="42">
        <v>2.2000000000000002</v>
      </c>
      <c r="G22" s="45">
        <v>270</v>
      </c>
      <c r="H22" s="22">
        <v>2.1</v>
      </c>
      <c r="I22" s="6">
        <f t="shared" si="0"/>
        <v>686.07000000000016</v>
      </c>
      <c r="J22" s="7" t="s">
        <v>88</v>
      </c>
    </row>
    <row r="23" spans="1:10" ht="13.95" customHeight="1" x14ac:dyDescent="0.3">
      <c r="A23" s="20">
        <v>45679</v>
      </c>
      <c r="B23" s="20" t="s">
        <v>3749</v>
      </c>
      <c r="C23" s="19" t="s">
        <v>8</v>
      </c>
      <c r="D23" s="19" t="s">
        <v>706</v>
      </c>
      <c r="E23" s="4">
        <v>0.5</v>
      </c>
      <c r="F23" s="42">
        <v>2.15</v>
      </c>
      <c r="G23" s="45">
        <v>270</v>
      </c>
      <c r="H23" s="22">
        <v>2.1</v>
      </c>
      <c r="I23" s="6">
        <f t="shared" si="0"/>
        <v>609.52499999999998</v>
      </c>
      <c r="J23" s="7" t="s">
        <v>88</v>
      </c>
    </row>
    <row r="24" spans="1:10" ht="13.95" customHeight="1" x14ac:dyDescent="0.3">
      <c r="A24" s="20">
        <v>45680</v>
      </c>
      <c r="B24" s="20" t="s">
        <v>3749</v>
      </c>
      <c r="C24" s="19" t="s">
        <v>11</v>
      </c>
      <c r="D24" s="19" t="s">
        <v>2993</v>
      </c>
      <c r="E24" s="4">
        <v>0.65</v>
      </c>
      <c r="F24" s="42">
        <v>2.8</v>
      </c>
      <c r="G24" s="45">
        <v>270</v>
      </c>
      <c r="H24" s="22">
        <v>2.1</v>
      </c>
      <c r="I24" s="6">
        <f t="shared" si="0"/>
        <v>1031.94</v>
      </c>
      <c r="J24" s="7" t="s">
        <v>1813</v>
      </c>
    </row>
    <row r="25" spans="1:10" ht="13.95" customHeight="1" x14ac:dyDescent="0.3">
      <c r="A25" s="20">
        <v>45681</v>
      </c>
      <c r="B25" s="20" t="s">
        <v>3749</v>
      </c>
      <c r="C25" s="19" t="s">
        <v>13</v>
      </c>
      <c r="D25" s="19" t="s">
        <v>3478</v>
      </c>
      <c r="E25" s="4">
        <v>0.8</v>
      </c>
      <c r="F25" s="42">
        <v>3.65</v>
      </c>
      <c r="G25" s="45">
        <v>270</v>
      </c>
      <c r="H25" s="22">
        <v>2.1</v>
      </c>
      <c r="I25" s="6">
        <f t="shared" si="0"/>
        <v>1655.64</v>
      </c>
      <c r="J25" s="7" t="s">
        <v>3401</v>
      </c>
    </row>
    <row r="26" spans="1:10" ht="13.95" customHeight="1" x14ac:dyDescent="0.3">
      <c r="A26" s="20">
        <v>45682</v>
      </c>
      <c r="B26" s="20" t="s">
        <v>3749</v>
      </c>
      <c r="C26" s="19" t="s">
        <v>16</v>
      </c>
      <c r="D26" s="19" t="s">
        <v>3480</v>
      </c>
      <c r="E26" s="4">
        <v>0.75</v>
      </c>
      <c r="F26" s="42">
        <v>3.2</v>
      </c>
      <c r="G26" s="45">
        <v>270</v>
      </c>
      <c r="H26" s="22">
        <v>2.1</v>
      </c>
      <c r="I26" s="6">
        <f t="shared" si="0"/>
        <v>1360.8</v>
      </c>
      <c r="J26" s="7" t="s">
        <v>88</v>
      </c>
    </row>
    <row r="27" spans="1:10" ht="13.95" customHeight="1" x14ac:dyDescent="0.3">
      <c r="A27" s="20">
        <v>45683</v>
      </c>
      <c r="B27" s="20" t="s">
        <v>3749</v>
      </c>
      <c r="C27" s="19" t="s">
        <v>18</v>
      </c>
      <c r="D27" s="19" t="s">
        <v>706</v>
      </c>
      <c r="E27" s="4">
        <v>0.45</v>
      </c>
      <c r="F27" s="42">
        <v>2.15</v>
      </c>
      <c r="G27" s="45">
        <v>270</v>
      </c>
      <c r="H27" s="22">
        <v>2.1</v>
      </c>
      <c r="I27" s="6">
        <f t="shared" si="0"/>
        <v>548.57249999999999</v>
      </c>
      <c r="J27" s="7" t="s">
        <v>88</v>
      </c>
    </row>
    <row r="28" spans="1:10" ht="13.95" customHeight="1" x14ac:dyDescent="0.3">
      <c r="A28" s="20">
        <v>45684</v>
      </c>
      <c r="B28" s="20" t="s">
        <v>3749</v>
      </c>
      <c r="C28" s="19" t="s">
        <v>20</v>
      </c>
      <c r="D28" s="19" t="s">
        <v>706</v>
      </c>
      <c r="E28" s="4">
        <v>0.5</v>
      </c>
      <c r="F28" s="42">
        <v>2.2000000000000002</v>
      </c>
      <c r="G28" s="45">
        <v>270</v>
      </c>
      <c r="H28" s="22">
        <v>2.1</v>
      </c>
      <c r="I28" s="6">
        <f t="shared" si="0"/>
        <v>623.70000000000005</v>
      </c>
      <c r="J28" s="7" t="s">
        <v>88</v>
      </c>
    </row>
    <row r="29" spans="1:10" ht="13.95" customHeight="1" x14ac:dyDescent="0.3">
      <c r="A29" s="20">
        <v>45685</v>
      </c>
      <c r="B29" s="20" t="s">
        <v>3749</v>
      </c>
      <c r="C29" s="19" t="s">
        <v>5</v>
      </c>
      <c r="D29" s="19" t="s">
        <v>706</v>
      </c>
      <c r="E29" s="4">
        <v>0.55000000000000004</v>
      </c>
      <c r="F29" s="42">
        <v>2.2000000000000002</v>
      </c>
      <c r="G29" s="45">
        <v>270</v>
      </c>
      <c r="H29" s="22">
        <v>2.1</v>
      </c>
      <c r="I29" s="6">
        <f t="shared" si="0"/>
        <v>686.07000000000016</v>
      </c>
      <c r="J29" s="7" t="s">
        <v>88</v>
      </c>
    </row>
    <row r="30" spans="1:10" ht="13.95" customHeight="1" x14ac:dyDescent="0.3">
      <c r="A30" s="20">
        <v>45686</v>
      </c>
      <c r="B30" s="20" t="s">
        <v>3749</v>
      </c>
      <c r="C30" s="19" t="s">
        <v>8</v>
      </c>
      <c r="D30" s="19" t="s">
        <v>706</v>
      </c>
      <c r="E30" s="4">
        <v>0.55000000000000004</v>
      </c>
      <c r="F30" s="42">
        <v>2.15</v>
      </c>
      <c r="G30" s="45">
        <v>270</v>
      </c>
      <c r="H30" s="22">
        <v>2.1</v>
      </c>
      <c r="I30" s="6">
        <f t="shared" si="0"/>
        <v>670.47749999999996</v>
      </c>
      <c r="J30" s="7" t="s">
        <v>82</v>
      </c>
    </row>
    <row r="31" spans="1:10" ht="13.95" customHeight="1" x14ac:dyDescent="0.3">
      <c r="A31" s="20">
        <v>45687</v>
      </c>
      <c r="B31" s="20" t="s">
        <v>3749</v>
      </c>
      <c r="C31" s="19" t="s">
        <v>11</v>
      </c>
      <c r="D31" s="19" t="s">
        <v>14</v>
      </c>
      <c r="E31" s="4">
        <v>0.7</v>
      </c>
      <c r="F31" s="42">
        <v>2.9</v>
      </c>
      <c r="G31" s="45">
        <v>270</v>
      </c>
      <c r="H31" s="22">
        <v>2.1</v>
      </c>
      <c r="I31" s="6">
        <f t="shared" si="0"/>
        <v>1151.01</v>
      </c>
      <c r="J31" s="7" t="s">
        <v>1600</v>
      </c>
    </row>
    <row r="32" spans="1:10" ht="13.95" customHeight="1" x14ac:dyDescent="0.3">
      <c r="A32" s="20">
        <v>45688</v>
      </c>
      <c r="B32" s="20" t="s">
        <v>3749</v>
      </c>
      <c r="C32" s="19" t="s">
        <v>13</v>
      </c>
      <c r="D32" s="19" t="s">
        <v>3616</v>
      </c>
      <c r="E32" s="4">
        <v>0.8</v>
      </c>
      <c r="F32" s="42">
        <v>3.6</v>
      </c>
      <c r="G32" s="45">
        <v>270</v>
      </c>
      <c r="H32" s="22">
        <v>2.1</v>
      </c>
      <c r="I32" s="6">
        <f t="shared" si="0"/>
        <v>1632.96</v>
      </c>
      <c r="J32" s="7" t="s">
        <v>2005</v>
      </c>
    </row>
    <row r="33" spans="1:10" ht="13.95" customHeight="1" x14ac:dyDescent="0.3">
      <c r="A33" s="20">
        <v>45689</v>
      </c>
      <c r="B33" s="20" t="s">
        <v>3749</v>
      </c>
      <c r="C33" s="19" t="s">
        <v>16</v>
      </c>
      <c r="D33" s="19" t="s">
        <v>3480</v>
      </c>
      <c r="E33" s="4">
        <v>0.75</v>
      </c>
      <c r="F33" s="42">
        <v>3.2</v>
      </c>
      <c r="G33" s="45">
        <v>270</v>
      </c>
      <c r="H33" s="22">
        <v>2.1</v>
      </c>
      <c r="I33" s="6">
        <f t="shared" si="0"/>
        <v>1360.8</v>
      </c>
      <c r="J33" s="7" t="s">
        <v>1111</v>
      </c>
    </row>
    <row r="34" spans="1:10" ht="13.95" customHeight="1" x14ac:dyDescent="0.3">
      <c r="A34" s="20">
        <v>45690</v>
      </c>
      <c r="B34" s="20" t="s">
        <v>3749</v>
      </c>
      <c r="C34" s="19" t="s">
        <v>18</v>
      </c>
      <c r="D34" s="19" t="s">
        <v>706</v>
      </c>
      <c r="E34" s="4">
        <v>0.45</v>
      </c>
      <c r="F34" s="42">
        <v>2.15</v>
      </c>
      <c r="G34" s="45">
        <v>270</v>
      </c>
      <c r="H34" s="22">
        <v>2.1</v>
      </c>
      <c r="I34" s="6">
        <f t="shared" si="0"/>
        <v>548.57249999999999</v>
      </c>
      <c r="J34" s="7" t="s">
        <v>3617</v>
      </c>
    </row>
    <row r="35" spans="1:10" ht="13.95" customHeight="1" x14ac:dyDescent="0.3">
      <c r="A35" s="20">
        <v>45691</v>
      </c>
      <c r="B35" s="20" t="s">
        <v>3749</v>
      </c>
      <c r="C35" s="19" t="s">
        <v>20</v>
      </c>
      <c r="D35" s="19" t="s">
        <v>706</v>
      </c>
      <c r="E35" s="4">
        <v>0.45</v>
      </c>
      <c r="F35" s="42">
        <v>2.15</v>
      </c>
      <c r="G35" s="45">
        <v>270</v>
      </c>
      <c r="H35" s="22">
        <v>2.1</v>
      </c>
      <c r="I35" s="6">
        <f t="shared" si="0"/>
        <v>548.57249999999999</v>
      </c>
      <c r="J35" s="7" t="s">
        <v>3504</v>
      </c>
    </row>
    <row r="36" spans="1:10" ht="13.95" customHeight="1" x14ac:dyDescent="0.3">
      <c r="A36" s="20">
        <v>45692</v>
      </c>
      <c r="B36" s="20" t="s">
        <v>3749</v>
      </c>
      <c r="C36" s="19" t="s">
        <v>5</v>
      </c>
      <c r="D36" s="19" t="s">
        <v>706</v>
      </c>
      <c r="E36" s="4">
        <v>0.5</v>
      </c>
      <c r="F36" s="42">
        <v>2.2000000000000002</v>
      </c>
      <c r="G36" s="45">
        <v>270</v>
      </c>
      <c r="H36" s="22">
        <v>2.1</v>
      </c>
      <c r="I36" s="6">
        <f t="shared" si="0"/>
        <v>623.70000000000005</v>
      </c>
      <c r="J36" s="7" t="s">
        <v>88</v>
      </c>
    </row>
    <row r="37" spans="1:10" ht="13.95" customHeight="1" x14ac:dyDescent="0.3">
      <c r="A37" s="20">
        <v>45693</v>
      </c>
      <c r="B37" s="20" t="s">
        <v>3749</v>
      </c>
      <c r="C37" s="19" t="s">
        <v>8</v>
      </c>
      <c r="D37" s="19" t="s">
        <v>706</v>
      </c>
      <c r="E37" s="4">
        <v>0.5</v>
      </c>
      <c r="F37" s="42">
        <v>2.2000000000000002</v>
      </c>
      <c r="G37" s="45">
        <v>270</v>
      </c>
      <c r="H37" s="22">
        <v>2.1</v>
      </c>
      <c r="I37" s="6">
        <f t="shared" si="0"/>
        <v>623.70000000000005</v>
      </c>
      <c r="J37" s="7" t="s">
        <v>88</v>
      </c>
    </row>
    <row r="38" spans="1:10" ht="13.95" customHeight="1" x14ac:dyDescent="0.3">
      <c r="A38" s="20">
        <v>45694</v>
      </c>
      <c r="B38" s="20" t="s">
        <v>3749</v>
      </c>
      <c r="C38" s="19" t="s">
        <v>11</v>
      </c>
      <c r="D38" s="19" t="s">
        <v>2993</v>
      </c>
      <c r="E38" s="4">
        <v>0.65</v>
      </c>
      <c r="F38" s="42">
        <v>2.85</v>
      </c>
      <c r="G38" s="45">
        <v>270</v>
      </c>
      <c r="H38" s="22">
        <v>2.1</v>
      </c>
      <c r="I38" s="6">
        <f t="shared" si="0"/>
        <v>1050.3675000000001</v>
      </c>
      <c r="J38" s="7" t="s">
        <v>1600</v>
      </c>
    </row>
    <row r="39" spans="1:10" ht="13.95" customHeight="1" x14ac:dyDescent="0.3">
      <c r="A39" s="20">
        <v>45695</v>
      </c>
      <c r="B39" s="20" t="s">
        <v>3749</v>
      </c>
      <c r="C39" s="19" t="s">
        <v>13</v>
      </c>
      <c r="D39" s="19" t="s">
        <v>3156</v>
      </c>
      <c r="E39" s="4">
        <v>0.75</v>
      </c>
      <c r="F39" s="42">
        <v>3.55</v>
      </c>
      <c r="G39" s="45">
        <v>270</v>
      </c>
      <c r="H39" s="22">
        <v>2.1</v>
      </c>
      <c r="I39" s="6">
        <f t="shared" si="0"/>
        <v>1509.6375</v>
      </c>
      <c r="J39" s="7" t="s">
        <v>3618</v>
      </c>
    </row>
    <row r="40" spans="1:10" ht="13.95" customHeight="1" x14ac:dyDescent="0.3">
      <c r="A40" s="20">
        <v>45696</v>
      </c>
      <c r="B40" s="20" t="s">
        <v>3749</v>
      </c>
      <c r="C40" s="19" t="s">
        <v>16</v>
      </c>
      <c r="D40" s="19" t="s">
        <v>3232</v>
      </c>
      <c r="E40" s="4">
        <v>0.85</v>
      </c>
      <c r="F40" s="42">
        <v>3.4</v>
      </c>
      <c r="G40" s="45">
        <v>270</v>
      </c>
      <c r="H40" s="22">
        <v>2.1</v>
      </c>
      <c r="I40" s="6">
        <f t="shared" si="0"/>
        <v>1638.6299999999999</v>
      </c>
      <c r="J40" s="7" t="s">
        <v>3619</v>
      </c>
    </row>
    <row r="41" spans="1:10" ht="13.95" customHeight="1" x14ac:dyDescent="0.3">
      <c r="A41" s="20">
        <v>45697</v>
      </c>
      <c r="B41" s="20" t="s">
        <v>3749</v>
      </c>
      <c r="C41" s="19" t="s">
        <v>18</v>
      </c>
      <c r="D41" s="19" t="s">
        <v>3620</v>
      </c>
      <c r="E41" s="4">
        <v>0.8</v>
      </c>
      <c r="F41" s="42">
        <v>3.1</v>
      </c>
      <c r="G41" s="45">
        <v>270</v>
      </c>
      <c r="H41" s="22">
        <v>2.1</v>
      </c>
      <c r="I41" s="6">
        <f t="shared" si="0"/>
        <v>1406.16</v>
      </c>
      <c r="J41" s="7" t="s">
        <v>3621</v>
      </c>
    </row>
    <row r="42" spans="1:10" ht="13.95" customHeight="1" x14ac:dyDescent="0.3">
      <c r="A42" s="20">
        <v>45698</v>
      </c>
      <c r="B42" s="20" t="s">
        <v>3749</v>
      </c>
      <c r="C42" s="19" t="s">
        <v>20</v>
      </c>
      <c r="D42" s="19" t="s">
        <v>3622</v>
      </c>
      <c r="E42" s="4">
        <v>0.8</v>
      </c>
      <c r="F42" s="42">
        <v>3.1</v>
      </c>
      <c r="G42" s="45">
        <v>270</v>
      </c>
      <c r="H42" s="22">
        <v>2.1</v>
      </c>
      <c r="I42" s="6">
        <f t="shared" si="0"/>
        <v>1406.16</v>
      </c>
      <c r="J42" s="7" t="s">
        <v>3623</v>
      </c>
    </row>
    <row r="43" spans="1:10" ht="13.95" customHeight="1" x14ac:dyDescent="0.3">
      <c r="A43" s="20">
        <v>45699</v>
      </c>
      <c r="B43" s="20" t="s">
        <v>3749</v>
      </c>
      <c r="C43" s="19" t="s">
        <v>5</v>
      </c>
      <c r="D43" s="19" t="s">
        <v>3624</v>
      </c>
      <c r="E43" s="4">
        <v>0.85</v>
      </c>
      <c r="F43" s="42">
        <v>3.15</v>
      </c>
      <c r="G43" s="45">
        <v>270</v>
      </c>
      <c r="H43" s="22">
        <v>2.1</v>
      </c>
      <c r="I43" s="6">
        <f t="shared" si="0"/>
        <v>1518.1424999999999</v>
      </c>
      <c r="J43" s="7" t="s">
        <v>3625</v>
      </c>
    </row>
    <row r="44" spans="1:10" ht="13.95" customHeight="1" x14ac:dyDescent="0.3">
      <c r="A44" s="20">
        <v>45700</v>
      </c>
      <c r="B44" s="20" t="s">
        <v>3749</v>
      </c>
      <c r="C44" s="19" t="s">
        <v>8</v>
      </c>
      <c r="D44" s="19" t="s">
        <v>3626</v>
      </c>
      <c r="E44" s="4">
        <v>0.85</v>
      </c>
      <c r="F44" s="42">
        <v>3.15</v>
      </c>
      <c r="G44" s="45">
        <v>270</v>
      </c>
      <c r="H44" s="22">
        <v>2.1</v>
      </c>
      <c r="I44" s="6">
        <f t="shared" si="0"/>
        <v>1518.1424999999999</v>
      </c>
      <c r="J44" s="7" t="s">
        <v>2629</v>
      </c>
    </row>
    <row r="45" spans="1:10" ht="13.95" customHeight="1" x14ac:dyDescent="0.3">
      <c r="A45" s="20">
        <v>45701</v>
      </c>
      <c r="B45" s="20" t="s">
        <v>3749</v>
      </c>
      <c r="C45" s="19" t="s">
        <v>11</v>
      </c>
      <c r="D45" s="19" t="s">
        <v>1284</v>
      </c>
      <c r="E45" s="4">
        <v>0.9</v>
      </c>
      <c r="F45" s="42">
        <v>3.6</v>
      </c>
      <c r="G45" s="45">
        <v>270</v>
      </c>
      <c r="H45" s="22">
        <v>2.1</v>
      </c>
      <c r="I45" s="6">
        <f t="shared" si="0"/>
        <v>1837.0800000000002</v>
      </c>
      <c r="J45" s="7" t="s">
        <v>3627</v>
      </c>
    </row>
    <row r="46" spans="1:10" ht="13.95" customHeight="1" x14ac:dyDescent="0.3">
      <c r="A46" s="20">
        <v>45702</v>
      </c>
      <c r="B46" s="20" t="s">
        <v>3749</v>
      </c>
      <c r="C46" s="19" t="s">
        <v>13</v>
      </c>
      <c r="D46" s="19" t="s">
        <v>1939</v>
      </c>
      <c r="E46" s="4">
        <v>1</v>
      </c>
      <c r="F46" s="42">
        <v>4.8</v>
      </c>
      <c r="G46" s="45">
        <v>270</v>
      </c>
      <c r="H46" s="22">
        <v>2.1</v>
      </c>
      <c r="I46" s="6">
        <f t="shared" si="0"/>
        <v>2721.6</v>
      </c>
      <c r="J46" s="7" t="s">
        <v>3628</v>
      </c>
    </row>
    <row r="47" spans="1:10" ht="13.95" customHeight="1" x14ac:dyDescent="0.3">
      <c r="A47" s="20">
        <v>45703</v>
      </c>
      <c r="B47" s="20" t="s">
        <v>3749</v>
      </c>
      <c r="C47" s="19" t="s">
        <v>16</v>
      </c>
      <c r="D47" s="19" t="s">
        <v>3629</v>
      </c>
      <c r="E47" s="4">
        <v>0.95</v>
      </c>
      <c r="F47" s="42">
        <v>3.7</v>
      </c>
      <c r="G47" s="45">
        <v>270</v>
      </c>
      <c r="H47" s="22">
        <v>2.1</v>
      </c>
      <c r="I47" s="6">
        <f t="shared" si="0"/>
        <v>1993.0050000000003</v>
      </c>
      <c r="J47" s="7" t="s">
        <v>2491</v>
      </c>
    </row>
    <row r="48" spans="1:10" ht="13.95" customHeight="1" x14ac:dyDescent="0.3">
      <c r="A48" s="20">
        <v>45704</v>
      </c>
      <c r="B48" s="20" t="s">
        <v>3749</v>
      </c>
      <c r="C48" s="19" t="s">
        <v>18</v>
      </c>
      <c r="D48" s="19" t="s">
        <v>3517</v>
      </c>
      <c r="E48" s="4">
        <v>0.5</v>
      </c>
      <c r="F48" s="42">
        <v>2.2000000000000002</v>
      </c>
      <c r="G48" s="45">
        <v>270</v>
      </c>
      <c r="H48" s="22">
        <v>2.1</v>
      </c>
      <c r="I48" s="6">
        <f t="shared" si="0"/>
        <v>623.70000000000005</v>
      </c>
      <c r="J48" s="7" t="s">
        <v>1647</v>
      </c>
    </row>
    <row r="49" spans="1:10" ht="13.95" customHeight="1" x14ac:dyDescent="0.3">
      <c r="A49" s="20">
        <v>45705</v>
      </c>
      <c r="B49" s="20" t="s">
        <v>3749</v>
      </c>
      <c r="C49" s="19" t="s">
        <v>20</v>
      </c>
      <c r="D49" s="19" t="s">
        <v>706</v>
      </c>
      <c r="E49" s="4">
        <v>0.5</v>
      </c>
      <c r="F49" s="42">
        <v>2.15</v>
      </c>
      <c r="G49" s="45">
        <v>270</v>
      </c>
      <c r="H49" s="22">
        <v>2.1</v>
      </c>
      <c r="I49" s="6">
        <f t="shared" si="0"/>
        <v>609.52499999999998</v>
      </c>
      <c r="J49" s="7" t="s">
        <v>483</v>
      </c>
    </row>
    <row r="50" spans="1:10" ht="13.95" customHeight="1" x14ac:dyDescent="0.3">
      <c r="A50" s="20">
        <v>45706</v>
      </c>
      <c r="B50" s="20" t="s">
        <v>3749</v>
      </c>
      <c r="C50" s="19" t="s">
        <v>5</v>
      </c>
      <c r="D50" s="19" t="s">
        <v>706</v>
      </c>
      <c r="E50" s="4">
        <v>0.55000000000000004</v>
      </c>
      <c r="F50" s="42">
        <v>2.2000000000000002</v>
      </c>
      <c r="G50" s="45">
        <v>270</v>
      </c>
      <c r="H50" s="22">
        <v>2.1</v>
      </c>
      <c r="I50" s="6">
        <f t="shared" si="0"/>
        <v>686.07000000000016</v>
      </c>
      <c r="J50" s="7" t="s">
        <v>3504</v>
      </c>
    </row>
    <row r="51" spans="1:10" ht="13.95" customHeight="1" x14ac:dyDescent="0.3">
      <c r="A51" s="20">
        <v>45707</v>
      </c>
      <c r="B51" s="20" t="s">
        <v>3749</v>
      </c>
      <c r="C51" s="19" t="s">
        <v>8</v>
      </c>
      <c r="D51" s="19" t="s">
        <v>706</v>
      </c>
      <c r="E51" s="4">
        <v>0.55000000000000004</v>
      </c>
      <c r="F51" s="42">
        <v>2.2000000000000002</v>
      </c>
      <c r="G51" s="45">
        <v>270</v>
      </c>
      <c r="H51" s="22">
        <v>2.1</v>
      </c>
      <c r="I51" s="6">
        <f t="shared" si="0"/>
        <v>686.07000000000016</v>
      </c>
      <c r="J51" s="7" t="s">
        <v>88</v>
      </c>
    </row>
    <row r="52" spans="1:10" ht="13.95" customHeight="1" x14ac:dyDescent="0.3">
      <c r="A52" s="20">
        <v>45708</v>
      </c>
      <c r="B52" s="20" t="s">
        <v>3749</v>
      </c>
      <c r="C52" s="19" t="s">
        <v>11</v>
      </c>
      <c r="D52" s="19" t="s">
        <v>2993</v>
      </c>
      <c r="E52" s="4">
        <v>0.6</v>
      </c>
      <c r="F52" s="42">
        <v>2.8</v>
      </c>
      <c r="G52" s="45">
        <v>270</v>
      </c>
      <c r="H52" s="22">
        <v>2.1</v>
      </c>
      <c r="I52" s="6">
        <f t="shared" si="0"/>
        <v>952.56</v>
      </c>
      <c r="J52" s="7" t="s">
        <v>3630</v>
      </c>
    </row>
    <row r="53" spans="1:10" ht="13.95" customHeight="1" x14ac:dyDescent="0.3">
      <c r="A53" s="20">
        <v>45709</v>
      </c>
      <c r="B53" s="20" t="s">
        <v>3749</v>
      </c>
      <c r="C53" s="19" t="s">
        <v>13</v>
      </c>
      <c r="D53" s="19" t="s">
        <v>3478</v>
      </c>
      <c r="E53" s="4">
        <v>0.75</v>
      </c>
      <c r="F53" s="42">
        <v>3.5</v>
      </c>
      <c r="G53" s="45">
        <v>270</v>
      </c>
      <c r="H53" s="22">
        <v>2.1</v>
      </c>
      <c r="I53" s="6">
        <f t="shared" si="0"/>
        <v>1488.375</v>
      </c>
      <c r="J53" s="7" t="s">
        <v>3631</v>
      </c>
    </row>
    <row r="54" spans="1:10" ht="13.95" customHeight="1" x14ac:dyDescent="0.3">
      <c r="A54" s="20">
        <v>45710</v>
      </c>
      <c r="B54" s="20" t="s">
        <v>3749</v>
      </c>
      <c r="C54" s="19" t="s">
        <v>16</v>
      </c>
      <c r="D54" s="19" t="s">
        <v>3480</v>
      </c>
      <c r="E54" s="4">
        <v>0.7</v>
      </c>
      <c r="F54" s="42">
        <v>3.2</v>
      </c>
      <c r="G54" s="45">
        <v>270</v>
      </c>
      <c r="H54" s="22">
        <v>2.1</v>
      </c>
      <c r="I54" s="6">
        <f t="shared" si="0"/>
        <v>1270.0800000000002</v>
      </c>
      <c r="J54" s="7" t="s">
        <v>88</v>
      </c>
    </row>
    <row r="55" spans="1:10" ht="13.95" customHeight="1" x14ac:dyDescent="0.3">
      <c r="A55" s="20">
        <v>45711</v>
      </c>
      <c r="B55" s="20" t="s">
        <v>3749</v>
      </c>
      <c r="C55" s="19" t="s">
        <v>18</v>
      </c>
      <c r="D55" s="19" t="s">
        <v>706</v>
      </c>
      <c r="E55" s="4">
        <v>0.5</v>
      </c>
      <c r="F55" s="42">
        <v>2.15</v>
      </c>
      <c r="G55" s="45">
        <v>270</v>
      </c>
      <c r="H55" s="22">
        <v>2.1</v>
      </c>
      <c r="I55" s="6">
        <f t="shared" si="0"/>
        <v>609.52499999999998</v>
      </c>
      <c r="J55" s="7" t="s">
        <v>88</v>
      </c>
    </row>
    <row r="56" spans="1:10" ht="13.95" customHeight="1" x14ac:dyDescent="0.3">
      <c r="A56" s="20">
        <v>45712</v>
      </c>
      <c r="B56" s="20" t="s">
        <v>3749</v>
      </c>
      <c r="C56" s="19" t="s">
        <v>20</v>
      </c>
      <c r="D56" s="19" t="s">
        <v>706</v>
      </c>
      <c r="E56" s="4">
        <v>0.5</v>
      </c>
      <c r="F56" s="42">
        <v>2.15</v>
      </c>
      <c r="G56" s="45">
        <v>270</v>
      </c>
      <c r="H56" s="22">
        <v>2.1</v>
      </c>
      <c r="I56" s="6">
        <f t="shared" si="0"/>
        <v>609.52499999999998</v>
      </c>
      <c r="J56" s="7" t="s">
        <v>88</v>
      </c>
    </row>
    <row r="57" spans="1:10" ht="13.95" customHeight="1" x14ac:dyDescent="0.3">
      <c r="A57" s="20">
        <v>45713</v>
      </c>
      <c r="B57" s="20" t="s">
        <v>3749</v>
      </c>
      <c r="C57" s="19" t="s">
        <v>5</v>
      </c>
      <c r="D57" s="19" t="s">
        <v>706</v>
      </c>
      <c r="E57" s="4">
        <v>0.55000000000000004</v>
      </c>
      <c r="F57" s="42">
        <v>2.2000000000000002</v>
      </c>
      <c r="G57" s="45">
        <v>270</v>
      </c>
      <c r="H57" s="22">
        <v>2.1</v>
      </c>
      <c r="I57" s="6">
        <f t="shared" si="0"/>
        <v>686.07000000000016</v>
      </c>
      <c r="J57" s="7" t="s">
        <v>1283</v>
      </c>
    </row>
    <row r="58" spans="1:10" ht="13.95" customHeight="1" x14ac:dyDescent="0.3">
      <c r="A58" s="20">
        <v>45714</v>
      </c>
      <c r="B58" s="20" t="s">
        <v>3749</v>
      </c>
      <c r="C58" s="19" t="s">
        <v>8</v>
      </c>
      <c r="D58" s="19" t="s">
        <v>706</v>
      </c>
      <c r="E58" s="4">
        <v>0.55000000000000004</v>
      </c>
      <c r="F58" s="42">
        <v>2.2000000000000002</v>
      </c>
      <c r="G58" s="45">
        <v>270</v>
      </c>
      <c r="H58" s="22">
        <v>2.1</v>
      </c>
      <c r="I58" s="6">
        <f t="shared" si="0"/>
        <v>686.07000000000016</v>
      </c>
      <c r="J58" s="7" t="s">
        <v>88</v>
      </c>
    </row>
    <row r="59" spans="1:10" ht="13.95" customHeight="1" x14ac:dyDescent="0.3">
      <c r="A59" s="20">
        <v>45715</v>
      </c>
      <c r="B59" s="20" t="s">
        <v>3749</v>
      </c>
      <c r="C59" s="19" t="s">
        <v>11</v>
      </c>
      <c r="D59" s="19" t="s">
        <v>2993</v>
      </c>
      <c r="E59" s="4">
        <v>0.65</v>
      </c>
      <c r="F59" s="42">
        <v>2.85</v>
      </c>
      <c r="G59" s="45">
        <v>270</v>
      </c>
      <c r="H59" s="22">
        <v>2.1</v>
      </c>
      <c r="I59" s="6">
        <f t="shared" si="0"/>
        <v>1050.3675000000001</v>
      </c>
      <c r="J59" s="7" t="s">
        <v>1600</v>
      </c>
    </row>
    <row r="60" spans="1:10" ht="13.95" customHeight="1" x14ac:dyDescent="0.3">
      <c r="A60" s="20">
        <v>45716</v>
      </c>
      <c r="B60" s="20" t="s">
        <v>3749</v>
      </c>
      <c r="C60" s="19" t="s">
        <v>13</v>
      </c>
      <c r="D60" s="19" t="s">
        <v>3157</v>
      </c>
      <c r="E60" s="4">
        <v>0.8</v>
      </c>
      <c r="F60" s="42">
        <v>3.65</v>
      </c>
      <c r="G60" s="45">
        <v>270</v>
      </c>
      <c r="H60" s="22">
        <v>2.1</v>
      </c>
      <c r="I60" s="6">
        <f t="shared" si="0"/>
        <v>1655.64</v>
      </c>
      <c r="J60" s="7" t="s">
        <v>3314</v>
      </c>
    </row>
    <row r="61" spans="1:10" ht="13.95" customHeight="1" x14ac:dyDescent="0.3">
      <c r="A61" s="20">
        <v>45717</v>
      </c>
      <c r="B61" s="20" t="s">
        <v>3749</v>
      </c>
      <c r="C61" s="19" t="s">
        <v>16</v>
      </c>
      <c r="D61" s="19" t="s">
        <v>3480</v>
      </c>
      <c r="E61" s="4">
        <v>0.75</v>
      </c>
      <c r="F61" s="42">
        <v>3.2</v>
      </c>
      <c r="G61" s="45">
        <v>270</v>
      </c>
      <c r="H61" s="22">
        <v>2.1</v>
      </c>
      <c r="I61" s="6">
        <f t="shared" si="0"/>
        <v>1360.8</v>
      </c>
      <c r="J61" s="7" t="s">
        <v>3632</v>
      </c>
    </row>
    <row r="62" spans="1:10" ht="13.95" customHeight="1" x14ac:dyDescent="0.3">
      <c r="A62" s="20">
        <v>45718</v>
      </c>
      <c r="B62" s="20" t="s">
        <v>3749</v>
      </c>
      <c r="C62" s="19" t="s">
        <v>18</v>
      </c>
      <c r="D62" s="19" t="s">
        <v>706</v>
      </c>
      <c r="E62" s="4">
        <v>0.5</v>
      </c>
      <c r="F62" s="42">
        <v>2.15</v>
      </c>
      <c r="G62" s="45">
        <v>270</v>
      </c>
      <c r="H62" s="22">
        <v>2.1</v>
      </c>
      <c r="I62" s="6">
        <f t="shared" si="0"/>
        <v>609.52499999999998</v>
      </c>
      <c r="J62" s="7" t="s">
        <v>3633</v>
      </c>
    </row>
    <row r="63" spans="1:10" ht="13.95" customHeight="1" x14ac:dyDescent="0.3">
      <c r="A63" s="20">
        <v>45721</v>
      </c>
      <c r="B63" s="20" t="s">
        <v>3749</v>
      </c>
      <c r="C63" s="19" t="s">
        <v>8</v>
      </c>
      <c r="D63" s="19" t="s">
        <v>706</v>
      </c>
      <c r="E63" s="4">
        <v>0.55000000000000004</v>
      </c>
      <c r="F63" s="42">
        <v>2.2000000000000002</v>
      </c>
      <c r="G63" s="45">
        <v>270</v>
      </c>
      <c r="H63" s="22">
        <v>2.1</v>
      </c>
      <c r="I63" s="6">
        <f t="shared" si="0"/>
        <v>686.07000000000016</v>
      </c>
      <c r="J63" s="7" t="s">
        <v>88</v>
      </c>
    </row>
    <row r="64" spans="1:10" ht="13.95" customHeight="1" x14ac:dyDescent="0.3">
      <c r="A64" s="20">
        <v>45723</v>
      </c>
      <c r="B64" s="20" t="s">
        <v>3749</v>
      </c>
      <c r="C64" s="19" t="s">
        <v>13</v>
      </c>
      <c r="D64" s="19" t="s">
        <v>3197</v>
      </c>
      <c r="E64" s="4">
        <v>0.75</v>
      </c>
      <c r="F64" s="42">
        <v>3.55</v>
      </c>
      <c r="G64" s="45">
        <v>270</v>
      </c>
      <c r="H64" s="22">
        <v>2.1</v>
      </c>
      <c r="I64" s="6">
        <f t="shared" si="0"/>
        <v>1509.6375</v>
      </c>
      <c r="J64" s="7" t="s">
        <v>3634</v>
      </c>
    </row>
    <row r="65" spans="1:10" ht="13.95" customHeight="1" x14ac:dyDescent="0.3">
      <c r="A65" s="20">
        <v>45724</v>
      </c>
      <c r="B65" s="20" t="s">
        <v>3749</v>
      </c>
      <c r="C65" s="19" t="s">
        <v>16</v>
      </c>
      <c r="D65" s="19" t="s">
        <v>3635</v>
      </c>
      <c r="E65" s="4">
        <v>0.85</v>
      </c>
      <c r="F65" s="42">
        <v>3.8</v>
      </c>
      <c r="G65" s="45">
        <v>270</v>
      </c>
      <c r="H65" s="22">
        <v>2.1</v>
      </c>
      <c r="I65" s="6">
        <f t="shared" si="0"/>
        <v>1831.4099999999999</v>
      </c>
      <c r="J65" s="7" t="s">
        <v>3636</v>
      </c>
    </row>
    <row r="66" spans="1:10" ht="13.95" customHeight="1" x14ac:dyDescent="0.3">
      <c r="A66" s="20">
        <v>45728</v>
      </c>
      <c r="B66" s="20" t="s">
        <v>3749</v>
      </c>
      <c r="C66" s="19" t="s">
        <v>8</v>
      </c>
      <c r="D66" s="19" t="s">
        <v>706</v>
      </c>
      <c r="E66" s="4">
        <v>0.6</v>
      </c>
      <c r="F66" s="42">
        <v>2.2000000000000002</v>
      </c>
      <c r="G66" s="45">
        <v>270</v>
      </c>
      <c r="H66" s="22">
        <v>2.1</v>
      </c>
      <c r="I66" s="6">
        <f t="shared" ref="I66:I129" si="1">(G66*E66)*F66*H66</f>
        <v>748.44</v>
      </c>
      <c r="J66" s="7" t="s">
        <v>1283</v>
      </c>
    </row>
    <row r="67" spans="1:10" ht="13.95" customHeight="1" x14ac:dyDescent="0.3">
      <c r="A67" s="20">
        <v>45730</v>
      </c>
      <c r="B67" s="20" t="s">
        <v>3749</v>
      </c>
      <c r="C67" s="19" t="s">
        <v>13</v>
      </c>
      <c r="D67" s="19" t="s">
        <v>2993</v>
      </c>
      <c r="E67" s="4">
        <v>0.7</v>
      </c>
      <c r="F67" s="42">
        <v>3.45</v>
      </c>
      <c r="G67" s="45">
        <v>270</v>
      </c>
      <c r="H67" s="22">
        <v>2.1</v>
      </c>
      <c r="I67" s="6">
        <f t="shared" si="1"/>
        <v>1369.3050000000003</v>
      </c>
      <c r="J67" s="7" t="s">
        <v>1500</v>
      </c>
    </row>
    <row r="68" spans="1:10" ht="13.95" customHeight="1" x14ac:dyDescent="0.3">
      <c r="A68" s="20">
        <v>45732</v>
      </c>
      <c r="B68" s="20" t="s">
        <v>3749</v>
      </c>
      <c r="C68" s="19" t="s">
        <v>18</v>
      </c>
      <c r="D68" s="19" t="s">
        <v>706</v>
      </c>
      <c r="E68" s="4">
        <v>0.5</v>
      </c>
      <c r="F68" s="42">
        <v>2.15</v>
      </c>
      <c r="G68" s="45">
        <v>270</v>
      </c>
      <c r="H68" s="22">
        <v>2.1</v>
      </c>
      <c r="I68" s="6">
        <f t="shared" si="1"/>
        <v>609.52499999999998</v>
      </c>
      <c r="J68" s="7" t="s">
        <v>3637</v>
      </c>
    </row>
    <row r="69" spans="1:10" ht="13.95" customHeight="1" x14ac:dyDescent="0.3">
      <c r="A69" s="20">
        <v>45736</v>
      </c>
      <c r="B69" s="20" t="s">
        <v>3749</v>
      </c>
      <c r="C69" s="19" t="s">
        <v>11</v>
      </c>
      <c r="D69" s="19" t="s">
        <v>2736</v>
      </c>
      <c r="E69" s="4">
        <v>0.7</v>
      </c>
      <c r="F69" s="42">
        <v>4.2</v>
      </c>
      <c r="G69" s="45">
        <v>270</v>
      </c>
      <c r="H69" s="22">
        <v>2.1</v>
      </c>
      <c r="I69" s="6">
        <f t="shared" si="1"/>
        <v>1666.9800000000002</v>
      </c>
      <c r="J69" s="7" t="s">
        <v>3638</v>
      </c>
    </row>
    <row r="70" spans="1:10" ht="13.95" customHeight="1" x14ac:dyDescent="0.3">
      <c r="A70" s="20">
        <v>45737</v>
      </c>
      <c r="B70" s="20" t="s">
        <v>3749</v>
      </c>
      <c r="C70" s="19" t="s">
        <v>13</v>
      </c>
      <c r="D70" s="19" t="s">
        <v>3639</v>
      </c>
      <c r="E70" s="4">
        <v>0.75</v>
      </c>
      <c r="F70" s="42">
        <v>4.0999999999999996</v>
      </c>
      <c r="G70" s="45">
        <v>270</v>
      </c>
      <c r="H70" s="22">
        <v>2.1</v>
      </c>
      <c r="I70" s="6">
        <f t="shared" si="1"/>
        <v>1743.5249999999999</v>
      </c>
      <c r="J70" s="7" t="s">
        <v>3640</v>
      </c>
    </row>
    <row r="71" spans="1:10" ht="13.95" customHeight="1" x14ac:dyDescent="0.3">
      <c r="A71" s="20">
        <v>45738</v>
      </c>
      <c r="B71" s="20" t="s">
        <v>3749</v>
      </c>
      <c r="C71" s="19" t="s">
        <v>16</v>
      </c>
      <c r="D71" s="19" t="s">
        <v>3641</v>
      </c>
      <c r="E71" s="4">
        <v>0.6</v>
      </c>
      <c r="F71" s="42">
        <v>3.8</v>
      </c>
      <c r="G71" s="45">
        <v>270</v>
      </c>
      <c r="H71" s="22">
        <v>2.1</v>
      </c>
      <c r="I71" s="6">
        <f t="shared" si="1"/>
        <v>1292.76</v>
      </c>
      <c r="J71" s="7" t="s">
        <v>3642</v>
      </c>
    </row>
    <row r="72" spans="1:10" ht="13.95" customHeight="1" x14ac:dyDescent="0.3">
      <c r="A72" s="20">
        <v>45739</v>
      </c>
      <c r="B72" s="20" t="s">
        <v>3749</v>
      </c>
      <c r="C72" s="19" t="s">
        <v>18</v>
      </c>
      <c r="D72" s="19" t="s">
        <v>3643</v>
      </c>
      <c r="E72" s="4">
        <v>0.5</v>
      </c>
      <c r="F72" s="42">
        <v>3.6</v>
      </c>
      <c r="G72" s="45">
        <v>270</v>
      </c>
      <c r="H72" s="22">
        <v>2.1</v>
      </c>
      <c r="I72" s="6">
        <f t="shared" si="1"/>
        <v>1020.6</v>
      </c>
      <c r="J72" s="7" t="s">
        <v>2891</v>
      </c>
    </row>
    <row r="73" spans="1:10" ht="13.95" customHeight="1" x14ac:dyDescent="0.3">
      <c r="A73" s="20">
        <v>45741</v>
      </c>
      <c r="B73" s="20" t="s">
        <v>3749</v>
      </c>
      <c r="C73" s="19" t="s">
        <v>5</v>
      </c>
      <c r="D73" s="19" t="s">
        <v>3643</v>
      </c>
      <c r="E73" s="4">
        <v>0.55000000000000004</v>
      </c>
      <c r="F73" s="42">
        <v>3.6</v>
      </c>
      <c r="G73" s="45">
        <v>270</v>
      </c>
      <c r="H73" s="22">
        <v>2.1</v>
      </c>
      <c r="I73" s="6">
        <f t="shared" si="1"/>
        <v>1122.6600000000001</v>
      </c>
      <c r="J73" s="7" t="s">
        <v>2634</v>
      </c>
    </row>
    <row r="74" spans="1:10" ht="13.95" customHeight="1" x14ac:dyDescent="0.3">
      <c r="A74" s="20">
        <v>45743</v>
      </c>
      <c r="B74" s="20" t="s">
        <v>3749</v>
      </c>
      <c r="C74" s="19" t="s">
        <v>11</v>
      </c>
      <c r="D74" s="19" t="s">
        <v>3639</v>
      </c>
      <c r="E74" s="4">
        <v>0.75</v>
      </c>
      <c r="F74" s="42">
        <v>4.3</v>
      </c>
      <c r="G74" s="45">
        <v>270</v>
      </c>
      <c r="H74" s="22">
        <v>2.1</v>
      </c>
      <c r="I74" s="6">
        <f t="shared" si="1"/>
        <v>1828.575</v>
      </c>
      <c r="J74" s="7" t="s">
        <v>3644</v>
      </c>
    </row>
    <row r="75" spans="1:10" ht="13.95" customHeight="1" x14ac:dyDescent="0.3">
      <c r="A75" s="20">
        <v>45744</v>
      </c>
      <c r="B75" s="20" t="s">
        <v>3749</v>
      </c>
      <c r="C75" s="19" t="s">
        <v>13</v>
      </c>
      <c r="D75" s="19" t="s">
        <v>3639</v>
      </c>
      <c r="E75" s="4">
        <v>0.8</v>
      </c>
      <c r="F75" s="42">
        <v>4.4000000000000004</v>
      </c>
      <c r="G75" s="45">
        <v>270</v>
      </c>
      <c r="H75" s="22">
        <v>2.1</v>
      </c>
      <c r="I75" s="6">
        <f t="shared" si="1"/>
        <v>1995.8400000000004</v>
      </c>
      <c r="J75" s="7" t="s">
        <v>3645</v>
      </c>
    </row>
    <row r="76" spans="1:10" ht="13.95" customHeight="1" x14ac:dyDescent="0.3">
      <c r="A76" s="20">
        <v>45745</v>
      </c>
      <c r="B76" s="20" t="s">
        <v>3749</v>
      </c>
      <c r="C76" s="19" t="s">
        <v>16</v>
      </c>
      <c r="D76" s="19" t="s">
        <v>3641</v>
      </c>
      <c r="E76" s="4">
        <v>0.7</v>
      </c>
      <c r="F76" s="42">
        <v>3.9</v>
      </c>
      <c r="G76" s="45">
        <v>270</v>
      </c>
      <c r="H76" s="22">
        <v>2.1</v>
      </c>
      <c r="I76" s="6">
        <f t="shared" si="1"/>
        <v>1547.91</v>
      </c>
      <c r="J76" s="7" t="s">
        <v>88</v>
      </c>
    </row>
    <row r="77" spans="1:10" ht="13.95" customHeight="1" x14ac:dyDescent="0.3">
      <c r="A77" s="20">
        <v>45747</v>
      </c>
      <c r="B77" s="20" t="s">
        <v>3749</v>
      </c>
      <c r="C77" s="19" t="s">
        <v>20</v>
      </c>
      <c r="D77" s="19" t="s">
        <v>3643</v>
      </c>
      <c r="E77" s="4">
        <v>0.55000000000000004</v>
      </c>
      <c r="F77" s="42">
        <v>3.7</v>
      </c>
      <c r="G77" s="45">
        <v>270</v>
      </c>
      <c r="H77" s="22">
        <v>2.1</v>
      </c>
      <c r="I77" s="6">
        <f t="shared" si="1"/>
        <v>1153.8450000000003</v>
      </c>
      <c r="J77" s="7" t="s">
        <v>99</v>
      </c>
    </row>
    <row r="78" spans="1:10" ht="13.95" customHeight="1" x14ac:dyDescent="0.3">
      <c r="A78" s="20">
        <v>45748</v>
      </c>
      <c r="B78" s="20" t="s">
        <v>3749</v>
      </c>
      <c r="C78" s="19" t="s">
        <v>5</v>
      </c>
      <c r="D78" s="19" t="s">
        <v>76</v>
      </c>
      <c r="E78" s="4">
        <v>0.55000000000000004</v>
      </c>
      <c r="F78" s="42">
        <v>3.7</v>
      </c>
      <c r="G78" s="45">
        <v>270</v>
      </c>
      <c r="H78" s="22">
        <v>2.2000000000000002</v>
      </c>
      <c r="I78" s="6">
        <f t="shared" si="1"/>
        <v>1208.7900000000002</v>
      </c>
      <c r="J78" s="7" t="s">
        <v>3646</v>
      </c>
    </row>
    <row r="79" spans="1:10" ht="13.95" customHeight="1" x14ac:dyDescent="0.3">
      <c r="A79" s="20">
        <v>45749</v>
      </c>
      <c r="B79" s="20" t="s">
        <v>3749</v>
      </c>
      <c r="C79" s="19" t="s">
        <v>8</v>
      </c>
      <c r="D79" s="19" t="s">
        <v>76</v>
      </c>
      <c r="E79" s="4">
        <v>0.6</v>
      </c>
      <c r="F79" s="42">
        <v>3.75</v>
      </c>
      <c r="G79" s="45">
        <v>270</v>
      </c>
      <c r="H79" s="22">
        <v>2.2000000000000002</v>
      </c>
      <c r="I79" s="6">
        <f t="shared" si="1"/>
        <v>1336.5</v>
      </c>
      <c r="J79" s="7" t="s">
        <v>2634</v>
      </c>
    </row>
    <row r="80" spans="1:10" ht="13.95" customHeight="1" x14ac:dyDescent="0.3">
      <c r="A80" s="20">
        <v>45750</v>
      </c>
      <c r="B80" s="20" t="s">
        <v>3749</v>
      </c>
      <c r="C80" s="19" t="s">
        <v>11</v>
      </c>
      <c r="D80" s="19" t="s">
        <v>3647</v>
      </c>
      <c r="E80" s="4">
        <v>0.8</v>
      </c>
      <c r="F80" s="42">
        <v>4.4000000000000004</v>
      </c>
      <c r="G80" s="45">
        <v>270</v>
      </c>
      <c r="H80" s="22">
        <v>2.2000000000000002</v>
      </c>
      <c r="I80" s="6">
        <f t="shared" si="1"/>
        <v>2090.8800000000006</v>
      </c>
      <c r="J80" s="7" t="s">
        <v>3648</v>
      </c>
    </row>
    <row r="81" spans="1:10" ht="13.95" customHeight="1" x14ac:dyDescent="0.3">
      <c r="A81" s="20">
        <v>45751</v>
      </c>
      <c r="B81" s="20" t="s">
        <v>3749</v>
      </c>
      <c r="C81" s="19" t="s">
        <v>13</v>
      </c>
      <c r="D81" s="19" t="s">
        <v>3647</v>
      </c>
      <c r="E81" s="4">
        <v>0.85</v>
      </c>
      <c r="F81" s="42">
        <v>4.5999999999999996</v>
      </c>
      <c r="G81" s="45">
        <v>270</v>
      </c>
      <c r="H81" s="22">
        <v>2.2000000000000002</v>
      </c>
      <c r="I81" s="6">
        <f t="shared" si="1"/>
        <v>2322.54</v>
      </c>
      <c r="J81" s="7" t="s">
        <v>3649</v>
      </c>
    </row>
    <row r="82" spans="1:10" ht="13.95" customHeight="1" x14ac:dyDescent="0.3">
      <c r="A82" s="20">
        <v>45752</v>
      </c>
      <c r="B82" s="20" t="s">
        <v>3749</v>
      </c>
      <c r="C82" s="19" t="s">
        <v>16</v>
      </c>
      <c r="D82" s="19" t="s">
        <v>3650</v>
      </c>
      <c r="E82" s="4">
        <v>0.75</v>
      </c>
      <c r="F82" s="42">
        <v>4.0999999999999996</v>
      </c>
      <c r="G82" s="45">
        <v>270</v>
      </c>
      <c r="H82" s="22">
        <v>2.2000000000000002</v>
      </c>
      <c r="I82" s="6">
        <f t="shared" si="1"/>
        <v>1826.55</v>
      </c>
      <c r="J82" s="7" t="s">
        <v>1963</v>
      </c>
    </row>
    <row r="83" spans="1:10" ht="13.95" customHeight="1" x14ac:dyDescent="0.3">
      <c r="A83" s="20">
        <v>45753</v>
      </c>
      <c r="B83" s="20" t="s">
        <v>3749</v>
      </c>
      <c r="C83" s="19" t="s">
        <v>18</v>
      </c>
      <c r="D83" s="19" t="s">
        <v>76</v>
      </c>
      <c r="E83" s="4">
        <v>0.55000000000000004</v>
      </c>
      <c r="F83" s="42">
        <v>3.65</v>
      </c>
      <c r="G83" s="45">
        <v>270</v>
      </c>
      <c r="H83" s="22">
        <v>2.2000000000000002</v>
      </c>
      <c r="I83" s="6">
        <f t="shared" si="1"/>
        <v>1192.4550000000002</v>
      </c>
      <c r="J83" s="7" t="s">
        <v>774</v>
      </c>
    </row>
    <row r="84" spans="1:10" ht="13.95" customHeight="1" x14ac:dyDescent="0.3">
      <c r="A84" s="20">
        <v>45754</v>
      </c>
      <c r="B84" s="20" t="s">
        <v>3749</v>
      </c>
      <c r="C84" s="19" t="s">
        <v>20</v>
      </c>
      <c r="D84" s="19" t="s">
        <v>76</v>
      </c>
      <c r="E84" s="4">
        <v>0.55000000000000004</v>
      </c>
      <c r="F84" s="42">
        <v>3.65</v>
      </c>
      <c r="G84" s="45">
        <v>270</v>
      </c>
      <c r="H84" s="22">
        <v>2.2000000000000002</v>
      </c>
      <c r="I84" s="6">
        <f t="shared" si="1"/>
        <v>1192.4550000000002</v>
      </c>
      <c r="J84" s="7" t="s">
        <v>88</v>
      </c>
    </row>
    <row r="85" spans="1:10" ht="13.95" customHeight="1" x14ac:dyDescent="0.3">
      <c r="A85" s="20">
        <v>45755</v>
      </c>
      <c r="B85" s="20" t="s">
        <v>3749</v>
      </c>
      <c r="C85" s="19" t="s">
        <v>5</v>
      </c>
      <c r="D85" s="19" t="s">
        <v>76</v>
      </c>
      <c r="E85" s="4">
        <v>0.6</v>
      </c>
      <c r="F85" s="42">
        <v>3.7</v>
      </c>
      <c r="G85" s="45">
        <v>270</v>
      </c>
      <c r="H85" s="22">
        <v>2.2000000000000002</v>
      </c>
      <c r="I85" s="6">
        <f t="shared" si="1"/>
        <v>1318.68</v>
      </c>
      <c r="J85" s="7" t="s">
        <v>88</v>
      </c>
    </row>
    <row r="86" spans="1:10" ht="13.95" customHeight="1" x14ac:dyDescent="0.3">
      <c r="A86" s="20">
        <v>45756</v>
      </c>
      <c r="B86" s="20" t="s">
        <v>3749</v>
      </c>
      <c r="C86" s="19" t="s">
        <v>8</v>
      </c>
      <c r="D86" s="19" t="s">
        <v>3651</v>
      </c>
      <c r="E86" s="4">
        <v>0.7</v>
      </c>
      <c r="F86" s="42">
        <v>3.8</v>
      </c>
      <c r="G86" s="45">
        <v>270</v>
      </c>
      <c r="H86" s="22">
        <v>2.2000000000000002</v>
      </c>
      <c r="I86" s="6">
        <f t="shared" si="1"/>
        <v>1580.04</v>
      </c>
      <c r="J86" s="7" t="s">
        <v>3652</v>
      </c>
    </row>
    <row r="87" spans="1:10" ht="13.95" customHeight="1" x14ac:dyDescent="0.3">
      <c r="A87" s="20">
        <v>45757</v>
      </c>
      <c r="B87" s="20" t="s">
        <v>3749</v>
      </c>
      <c r="C87" s="19" t="s">
        <v>11</v>
      </c>
      <c r="D87" s="19" t="s">
        <v>3653</v>
      </c>
      <c r="E87" s="4">
        <v>0.85</v>
      </c>
      <c r="F87" s="42">
        <v>4.3</v>
      </c>
      <c r="G87" s="45">
        <v>270</v>
      </c>
      <c r="H87" s="22">
        <v>2.2000000000000002</v>
      </c>
      <c r="I87" s="6">
        <f t="shared" si="1"/>
        <v>2171.0700000000002</v>
      </c>
      <c r="J87" s="7" t="s">
        <v>3654</v>
      </c>
    </row>
    <row r="88" spans="1:10" ht="13.95" customHeight="1" x14ac:dyDescent="0.3">
      <c r="A88" s="20">
        <v>45758</v>
      </c>
      <c r="B88" s="20" t="s">
        <v>3749</v>
      </c>
      <c r="C88" s="19" t="s">
        <v>13</v>
      </c>
      <c r="D88" s="19" t="s">
        <v>3647</v>
      </c>
      <c r="E88" s="4">
        <v>0.9</v>
      </c>
      <c r="F88" s="42">
        <v>4.5</v>
      </c>
      <c r="G88" s="45">
        <v>270</v>
      </c>
      <c r="H88" s="22">
        <v>2.2000000000000002</v>
      </c>
      <c r="I88" s="6">
        <f t="shared" si="1"/>
        <v>2405.7000000000003</v>
      </c>
      <c r="J88" s="7" t="s">
        <v>2938</v>
      </c>
    </row>
    <row r="89" spans="1:10" ht="13.95" customHeight="1" x14ac:dyDescent="0.3">
      <c r="A89" s="20">
        <v>46003</v>
      </c>
      <c r="B89" s="20" t="s">
        <v>3749</v>
      </c>
      <c r="C89" s="19" t="s">
        <v>16</v>
      </c>
      <c r="D89" s="19" t="s">
        <v>76</v>
      </c>
      <c r="E89" s="4">
        <v>0.75</v>
      </c>
      <c r="F89" s="42">
        <v>3.9</v>
      </c>
      <c r="G89" s="45">
        <v>270</v>
      </c>
      <c r="H89" s="22">
        <v>2.2000000000000002</v>
      </c>
      <c r="I89" s="6">
        <f t="shared" si="1"/>
        <v>1737.45</v>
      </c>
      <c r="J89" s="7" t="s">
        <v>88</v>
      </c>
    </row>
    <row r="90" spans="1:10" ht="13.95" customHeight="1" x14ac:dyDescent="0.3">
      <c r="A90" s="20">
        <v>45760</v>
      </c>
      <c r="B90" s="20" t="s">
        <v>3749</v>
      </c>
      <c r="C90" s="19" t="s">
        <v>18</v>
      </c>
      <c r="D90" s="19" t="s">
        <v>76</v>
      </c>
      <c r="E90" s="4">
        <v>0.65</v>
      </c>
      <c r="F90" s="42">
        <v>3.75</v>
      </c>
      <c r="G90" s="45">
        <v>270</v>
      </c>
      <c r="H90" s="22">
        <v>2.2000000000000002</v>
      </c>
      <c r="I90" s="6">
        <f t="shared" si="1"/>
        <v>1447.8750000000002</v>
      </c>
      <c r="J90" s="7" t="s">
        <v>3655</v>
      </c>
    </row>
    <row r="91" spans="1:10" ht="13.95" customHeight="1" x14ac:dyDescent="0.3">
      <c r="A91" s="20">
        <v>45761</v>
      </c>
      <c r="B91" s="20" t="s">
        <v>3749</v>
      </c>
      <c r="C91" s="19" t="s">
        <v>20</v>
      </c>
      <c r="D91" s="19" t="s">
        <v>76</v>
      </c>
      <c r="E91" s="4">
        <v>0.7</v>
      </c>
      <c r="F91" s="42">
        <v>3.8</v>
      </c>
      <c r="G91" s="45">
        <v>270</v>
      </c>
      <c r="H91" s="22">
        <v>2.2000000000000002</v>
      </c>
      <c r="I91" s="6">
        <f t="shared" si="1"/>
        <v>1580.04</v>
      </c>
      <c r="J91" s="7" t="s">
        <v>88</v>
      </c>
    </row>
    <row r="92" spans="1:10" ht="13.95" customHeight="1" x14ac:dyDescent="0.3">
      <c r="A92" s="20">
        <v>45762</v>
      </c>
      <c r="B92" s="20" t="s">
        <v>3749</v>
      </c>
      <c r="C92" s="19" t="s">
        <v>5</v>
      </c>
      <c r="D92" s="19" t="s">
        <v>3370</v>
      </c>
      <c r="E92" s="4">
        <v>0.95</v>
      </c>
      <c r="F92" s="42">
        <v>5.3</v>
      </c>
      <c r="G92" s="45">
        <v>270</v>
      </c>
      <c r="H92" s="22">
        <v>2.2000000000000002</v>
      </c>
      <c r="I92" s="6">
        <f t="shared" si="1"/>
        <v>2990.7900000000004</v>
      </c>
      <c r="J92" s="7" t="s">
        <v>3656</v>
      </c>
    </row>
    <row r="93" spans="1:10" ht="13.95" customHeight="1" x14ac:dyDescent="0.3">
      <c r="A93" s="20">
        <v>45763</v>
      </c>
      <c r="B93" s="20" t="s">
        <v>3749</v>
      </c>
      <c r="C93" s="19" t="s">
        <v>8</v>
      </c>
      <c r="D93" s="19" t="s">
        <v>76</v>
      </c>
      <c r="E93" s="4">
        <v>0.8</v>
      </c>
      <c r="F93" s="42">
        <v>3.9</v>
      </c>
      <c r="G93" s="45">
        <v>270</v>
      </c>
      <c r="H93" s="22">
        <v>2.2000000000000002</v>
      </c>
      <c r="I93" s="6">
        <f t="shared" si="1"/>
        <v>1853.2800000000002</v>
      </c>
      <c r="J93" s="7" t="s">
        <v>3657</v>
      </c>
    </row>
    <row r="94" spans="1:10" ht="13.95" customHeight="1" x14ac:dyDescent="0.3">
      <c r="A94" s="20">
        <v>45764</v>
      </c>
      <c r="B94" s="20" t="s">
        <v>3749</v>
      </c>
      <c r="C94" s="19" t="s">
        <v>11</v>
      </c>
      <c r="D94" s="19" t="s">
        <v>3395</v>
      </c>
      <c r="E94" s="4">
        <v>0.95</v>
      </c>
      <c r="F94" s="42">
        <v>4.2</v>
      </c>
      <c r="G94" s="45">
        <v>270</v>
      </c>
      <c r="H94" s="22">
        <v>2.2000000000000002</v>
      </c>
      <c r="I94" s="6">
        <f t="shared" si="1"/>
        <v>2370.06</v>
      </c>
      <c r="J94" s="7" t="s">
        <v>3463</v>
      </c>
    </row>
    <row r="95" spans="1:10" ht="13.95" customHeight="1" x14ac:dyDescent="0.3">
      <c r="A95" s="20">
        <v>45765</v>
      </c>
      <c r="B95" s="20" t="s">
        <v>3749</v>
      </c>
      <c r="C95" s="19" t="s">
        <v>13</v>
      </c>
      <c r="D95" s="19" t="s">
        <v>2617</v>
      </c>
      <c r="E95" s="4">
        <v>1</v>
      </c>
      <c r="F95" s="42">
        <v>5</v>
      </c>
      <c r="G95" s="45">
        <v>270</v>
      </c>
      <c r="H95" s="22">
        <v>2.2000000000000002</v>
      </c>
      <c r="I95" s="6">
        <f t="shared" si="1"/>
        <v>2970.0000000000005</v>
      </c>
      <c r="J95" s="7" t="s">
        <v>3658</v>
      </c>
    </row>
    <row r="96" spans="1:10" ht="13.95" customHeight="1" x14ac:dyDescent="0.3">
      <c r="A96" s="20">
        <v>45766</v>
      </c>
      <c r="B96" s="20" t="s">
        <v>3749</v>
      </c>
      <c r="C96" s="19" t="s">
        <v>16</v>
      </c>
      <c r="D96" s="19" t="s">
        <v>2656</v>
      </c>
      <c r="E96" s="4">
        <v>1</v>
      </c>
      <c r="F96" s="42">
        <v>4.7</v>
      </c>
      <c r="G96" s="45">
        <v>270</v>
      </c>
      <c r="H96" s="22">
        <v>2.2000000000000002</v>
      </c>
      <c r="I96" s="6">
        <f t="shared" si="1"/>
        <v>2791.8</v>
      </c>
      <c r="J96" s="7" t="s">
        <v>2440</v>
      </c>
    </row>
    <row r="97" spans="1:10" ht="13.95" customHeight="1" x14ac:dyDescent="0.3">
      <c r="A97" s="20">
        <v>45767</v>
      </c>
      <c r="B97" s="20" t="s">
        <v>3749</v>
      </c>
      <c r="C97" s="19" t="s">
        <v>18</v>
      </c>
      <c r="D97" s="19" t="s">
        <v>1052</v>
      </c>
      <c r="E97" s="4">
        <v>0.7</v>
      </c>
      <c r="F97" s="42">
        <v>2.8</v>
      </c>
      <c r="G97" s="45">
        <v>270</v>
      </c>
      <c r="H97" s="22">
        <v>2.2000000000000002</v>
      </c>
      <c r="I97" s="6">
        <f t="shared" si="1"/>
        <v>1164.24</v>
      </c>
      <c r="J97" s="7" t="s">
        <v>1494</v>
      </c>
    </row>
    <row r="98" spans="1:10" ht="13.95" customHeight="1" x14ac:dyDescent="0.3">
      <c r="A98" s="20">
        <v>45768</v>
      </c>
      <c r="B98" s="20" t="s">
        <v>3749</v>
      </c>
      <c r="C98" s="19" t="s">
        <v>20</v>
      </c>
      <c r="D98" s="19" t="s">
        <v>1764</v>
      </c>
      <c r="E98" s="4">
        <v>0.6</v>
      </c>
      <c r="F98" s="42">
        <v>2.4</v>
      </c>
      <c r="G98" s="45">
        <v>270</v>
      </c>
      <c r="H98" s="22">
        <v>2.2000000000000002</v>
      </c>
      <c r="I98" s="6">
        <f t="shared" si="1"/>
        <v>855.36000000000013</v>
      </c>
      <c r="J98" s="7" t="s">
        <v>1805</v>
      </c>
    </row>
    <row r="99" spans="1:10" ht="13.95" customHeight="1" x14ac:dyDescent="0.3">
      <c r="A99" s="20">
        <v>45769</v>
      </c>
      <c r="B99" s="20" t="s">
        <v>3749</v>
      </c>
      <c r="C99" s="19" t="s">
        <v>5</v>
      </c>
      <c r="D99" s="19" t="s">
        <v>1764</v>
      </c>
      <c r="E99" s="4">
        <v>0.65</v>
      </c>
      <c r="F99" s="42">
        <v>2.4500000000000002</v>
      </c>
      <c r="G99" s="45">
        <v>270</v>
      </c>
      <c r="H99" s="22">
        <v>2.2000000000000002</v>
      </c>
      <c r="I99" s="6">
        <f t="shared" si="1"/>
        <v>945.94500000000016</v>
      </c>
      <c r="J99" s="7" t="s">
        <v>3659</v>
      </c>
    </row>
    <row r="100" spans="1:10" ht="13.95" customHeight="1" x14ac:dyDescent="0.3">
      <c r="A100" s="20">
        <v>45770</v>
      </c>
      <c r="B100" s="20" t="s">
        <v>3749</v>
      </c>
      <c r="C100" s="19" t="s">
        <v>8</v>
      </c>
      <c r="D100" s="19" t="s">
        <v>706</v>
      </c>
      <c r="E100" s="4">
        <v>0.65</v>
      </c>
      <c r="F100" s="42">
        <v>2.25</v>
      </c>
      <c r="G100" s="45">
        <v>270</v>
      </c>
      <c r="H100" s="22">
        <v>2.2000000000000002</v>
      </c>
      <c r="I100" s="6">
        <f t="shared" si="1"/>
        <v>868.72500000000002</v>
      </c>
      <c r="J100" s="7" t="s">
        <v>1283</v>
      </c>
    </row>
    <row r="101" spans="1:10" ht="13.95" customHeight="1" x14ac:dyDescent="0.3">
      <c r="A101" s="20">
        <v>45771</v>
      </c>
      <c r="B101" s="20" t="s">
        <v>3749</v>
      </c>
      <c r="C101" s="19" t="s">
        <v>11</v>
      </c>
      <c r="D101" s="19" t="s">
        <v>2993</v>
      </c>
      <c r="E101" s="4">
        <v>0.7</v>
      </c>
      <c r="F101" s="42">
        <v>2.9</v>
      </c>
      <c r="G101" s="45">
        <v>270</v>
      </c>
      <c r="H101" s="22">
        <v>2.2000000000000002</v>
      </c>
      <c r="I101" s="6">
        <f t="shared" si="1"/>
        <v>1205.8200000000002</v>
      </c>
      <c r="J101" s="7" t="s">
        <v>54</v>
      </c>
    </row>
    <row r="102" spans="1:10" ht="13.95" customHeight="1" x14ac:dyDescent="0.3">
      <c r="A102" s="20">
        <v>45772</v>
      </c>
      <c r="B102" s="20" t="s">
        <v>3749</v>
      </c>
      <c r="C102" s="19" t="s">
        <v>13</v>
      </c>
      <c r="D102" s="19" t="s">
        <v>3197</v>
      </c>
      <c r="E102" s="4">
        <v>0.85</v>
      </c>
      <c r="F102" s="42">
        <v>3.7</v>
      </c>
      <c r="G102" s="45">
        <v>270</v>
      </c>
      <c r="H102" s="22">
        <v>2.2000000000000002</v>
      </c>
      <c r="I102" s="6">
        <f t="shared" si="1"/>
        <v>1868.1300000000003</v>
      </c>
      <c r="J102" s="7" t="s">
        <v>3417</v>
      </c>
    </row>
    <row r="103" spans="1:10" ht="13.95" customHeight="1" x14ac:dyDescent="0.3">
      <c r="A103" s="20">
        <v>45773</v>
      </c>
      <c r="B103" s="20" t="s">
        <v>3749</v>
      </c>
      <c r="C103" s="19" t="s">
        <v>16</v>
      </c>
      <c r="D103" s="19" t="s">
        <v>3480</v>
      </c>
      <c r="E103" s="4">
        <v>0.8</v>
      </c>
      <c r="F103" s="42">
        <v>3.25</v>
      </c>
      <c r="G103" s="45">
        <v>270</v>
      </c>
      <c r="H103" s="22">
        <v>2.2000000000000002</v>
      </c>
      <c r="I103" s="6">
        <f t="shared" si="1"/>
        <v>1544.4</v>
      </c>
      <c r="J103" s="7" t="s">
        <v>3279</v>
      </c>
    </row>
    <row r="104" spans="1:10" ht="13.95" customHeight="1" x14ac:dyDescent="0.3">
      <c r="A104" s="20">
        <v>45774</v>
      </c>
      <c r="B104" s="20" t="s">
        <v>3749</v>
      </c>
      <c r="C104" s="19" t="s">
        <v>18</v>
      </c>
      <c r="D104" s="19" t="s">
        <v>706</v>
      </c>
      <c r="E104" s="4">
        <v>0.55000000000000004</v>
      </c>
      <c r="F104" s="42">
        <v>2.15</v>
      </c>
      <c r="G104" s="45">
        <v>270</v>
      </c>
      <c r="H104" s="22">
        <v>2.2000000000000002</v>
      </c>
      <c r="I104" s="6">
        <f t="shared" si="1"/>
        <v>702.40499999999997</v>
      </c>
      <c r="J104" s="7" t="s">
        <v>3504</v>
      </c>
    </row>
    <row r="105" spans="1:10" ht="13.95" customHeight="1" x14ac:dyDescent="0.3">
      <c r="A105" s="20">
        <v>45775</v>
      </c>
      <c r="B105" s="20" t="s">
        <v>3749</v>
      </c>
      <c r="C105" s="19" t="s">
        <v>20</v>
      </c>
      <c r="D105" s="19" t="s">
        <v>706</v>
      </c>
      <c r="E105" s="4">
        <v>0.55000000000000004</v>
      </c>
      <c r="F105" s="42">
        <v>2.15</v>
      </c>
      <c r="G105" s="45">
        <v>270</v>
      </c>
      <c r="H105" s="22">
        <v>2.2000000000000002</v>
      </c>
      <c r="I105" s="6">
        <f t="shared" si="1"/>
        <v>702.40499999999997</v>
      </c>
      <c r="J105" s="7" t="s">
        <v>88</v>
      </c>
    </row>
    <row r="106" spans="1:10" ht="13.95" customHeight="1" x14ac:dyDescent="0.3">
      <c r="A106" s="20">
        <v>45776</v>
      </c>
      <c r="B106" s="20" t="s">
        <v>3749</v>
      </c>
      <c r="C106" s="19" t="s">
        <v>5</v>
      </c>
      <c r="D106" s="19" t="s">
        <v>706</v>
      </c>
      <c r="E106" s="4">
        <v>0.6</v>
      </c>
      <c r="F106" s="42">
        <v>2.2000000000000002</v>
      </c>
      <c r="G106" s="45">
        <v>270</v>
      </c>
      <c r="H106" s="22">
        <v>2.2000000000000002</v>
      </c>
      <c r="I106" s="6">
        <f t="shared" si="1"/>
        <v>784.08000000000015</v>
      </c>
      <c r="J106" s="7" t="s">
        <v>88</v>
      </c>
    </row>
    <row r="107" spans="1:10" ht="13.95" customHeight="1" x14ac:dyDescent="0.3">
      <c r="A107" s="20">
        <v>45777</v>
      </c>
      <c r="B107" s="20" t="s">
        <v>3749</v>
      </c>
      <c r="C107" s="19" t="s">
        <v>8</v>
      </c>
      <c r="D107" s="19" t="s">
        <v>3660</v>
      </c>
      <c r="E107" s="4">
        <v>0.8</v>
      </c>
      <c r="F107" s="42">
        <v>3.1</v>
      </c>
      <c r="G107" s="45">
        <v>270</v>
      </c>
      <c r="H107" s="22">
        <v>2.2000000000000002</v>
      </c>
      <c r="I107" s="6">
        <f t="shared" si="1"/>
        <v>1473.1200000000001</v>
      </c>
      <c r="J107" s="7" t="s">
        <v>1328</v>
      </c>
    </row>
    <row r="108" spans="1:10" ht="13.95" customHeight="1" x14ac:dyDescent="0.3">
      <c r="A108" s="20" t="s">
        <v>333</v>
      </c>
      <c r="B108" s="20" t="s">
        <v>3749</v>
      </c>
      <c r="C108" s="19" t="s">
        <v>0</v>
      </c>
      <c r="D108" s="19" t="s">
        <v>2869</v>
      </c>
      <c r="E108" s="4" t="s">
        <v>334</v>
      </c>
      <c r="F108" s="42" t="s">
        <v>335</v>
      </c>
      <c r="G108" s="45">
        <v>270</v>
      </c>
      <c r="H108" s="22">
        <v>2.2000000000000002</v>
      </c>
      <c r="I108" s="6" t="e">
        <f t="shared" si="1"/>
        <v>#VALUE!</v>
      </c>
      <c r="J108" s="7" t="s">
        <v>3608</v>
      </c>
    </row>
    <row r="109" spans="1:10" ht="13.95" customHeight="1" x14ac:dyDescent="0.3">
      <c r="A109" s="20">
        <v>45778</v>
      </c>
      <c r="B109" s="20" t="s">
        <v>3749</v>
      </c>
      <c r="C109" s="19" t="s">
        <v>11</v>
      </c>
      <c r="D109" s="19" t="s">
        <v>2919</v>
      </c>
      <c r="E109" s="4">
        <v>0.95</v>
      </c>
      <c r="F109" s="42">
        <v>3.8</v>
      </c>
      <c r="G109" s="45">
        <v>270</v>
      </c>
      <c r="H109" s="22">
        <v>2.1</v>
      </c>
      <c r="I109" s="6">
        <f t="shared" si="1"/>
        <v>2046.87</v>
      </c>
      <c r="J109" s="7" t="s">
        <v>3661</v>
      </c>
    </row>
    <row r="110" spans="1:10" ht="13.95" customHeight="1" x14ac:dyDescent="0.3">
      <c r="A110" s="20">
        <v>45779</v>
      </c>
      <c r="B110" s="20" t="s">
        <v>3749</v>
      </c>
      <c r="C110" s="19" t="s">
        <v>13</v>
      </c>
      <c r="D110" s="19" t="s">
        <v>3197</v>
      </c>
      <c r="E110" s="4">
        <v>0.85</v>
      </c>
      <c r="F110" s="42">
        <v>3.7</v>
      </c>
      <c r="G110" s="45">
        <v>270</v>
      </c>
      <c r="H110" s="22">
        <v>2.1</v>
      </c>
      <c r="I110" s="6">
        <f t="shared" si="1"/>
        <v>1783.2150000000004</v>
      </c>
      <c r="J110" s="7" t="s">
        <v>3314</v>
      </c>
    </row>
    <row r="111" spans="1:10" ht="13.95" customHeight="1" x14ac:dyDescent="0.3">
      <c r="A111" s="20">
        <v>45780</v>
      </c>
      <c r="B111" s="20" t="s">
        <v>3749</v>
      </c>
      <c r="C111" s="19" t="s">
        <v>16</v>
      </c>
      <c r="D111" s="19" t="s">
        <v>3612</v>
      </c>
      <c r="E111" s="4">
        <v>0.8</v>
      </c>
      <c r="F111" s="42">
        <v>3.25</v>
      </c>
      <c r="G111" s="45">
        <v>270</v>
      </c>
      <c r="H111" s="22">
        <v>2.1</v>
      </c>
      <c r="I111" s="6">
        <f t="shared" si="1"/>
        <v>1474.2</v>
      </c>
      <c r="J111" s="7" t="s">
        <v>1111</v>
      </c>
    </row>
    <row r="112" spans="1:10" ht="13.95" customHeight="1" x14ac:dyDescent="0.3">
      <c r="A112" s="20">
        <v>45781</v>
      </c>
      <c r="B112" s="20" t="s">
        <v>3749</v>
      </c>
      <c r="C112" s="19" t="s">
        <v>18</v>
      </c>
      <c r="D112" s="19" t="s">
        <v>706</v>
      </c>
      <c r="E112" s="4">
        <v>0.55000000000000004</v>
      </c>
      <c r="F112" s="42">
        <v>2.15</v>
      </c>
      <c r="G112" s="45">
        <v>270</v>
      </c>
      <c r="H112" s="22">
        <v>2.1</v>
      </c>
      <c r="I112" s="6">
        <f t="shared" si="1"/>
        <v>670.47749999999996</v>
      </c>
      <c r="J112" s="7" t="s">
        <v>1283</v>
      </c>
    </row>
    <row r="113" spans="1:10" ht="13.95" customHeight="1" x14ac:dyDescent="0.3">
      <c r="A113" s="20">
        <v>45782</v>
      </c>
      <c r="B113" s="20" t="s">
        <v>3749</v>
      </c>
      <c r="C113" s="19" t="s">
        <v>20</v>
      </c>
      <c r="D113" s="19" t="s">
        <v>706</v>
      </c>
      <c r="E113" s="4">
        <v>0.6</v>
      </c>
      <c r="F113" s="42">
        <v>2.2000000000000002</v>
      </c>
      <c r="G113" s="45">
        <v>270</v>
      </c>
      <c r="H113" s="22">
        <v>2.1</v>
      </c>
      <c r="I113" s="6">
        <f t="shared" si="1"/>
        <v>748.44</v>
      </c>
      <c r="J113" s="7" t="s">
        <v>3504</v>
      </c>
    </row>
    <row r="114" spans="1:10" ht="13.95" customHeight="1" x14ac:dyDescent="0.3">
      <c r="A114" s="20">
        <v>45783</v>
      </c>
      <c r="B114" s="20" t="s">
        <v>3749</v>
      </c>
      <c r="C114" s="19" t="s">
        <v>5</v>
      </c>
      <c r="D114" s="19" t="s">
        <v>706</v>
      </c>
      <c r="E114" s="4">
        <v>0.6</v>
      </c>
      <c r="F114" s="42">
        <v>2.2000000000000002</v>
      </c>
      <c r="G114" s="45">
        <v>270</v>
      </c>
      <c r="H114" s="22">
        <v>2.1</v>
      </c>
      <c r="I114" s="6">
        <f t="shared" si="1"/>
        <v>748.44</v>
      </c>
      <c r="J114" s="7" t="s">
        <v>3504</v>
      </c>
    </row>
    <row r="115" spans="1:10" ht="13.95" customHeight="1" x14ac:dyDescent="0.3">
      <c r="A115" s="20">
        <v>45784</v>
      </c>
      <c r="B115" s="20" t="s">
        <v>3749</v>
      </c>
      <c r="C115" s="19" t="s">
        <v>8</v>
      </c>
      <c r="D115" s="19" t="s">
        <v>706</v>
      </c>
      <c r="E115" s="4">
        <v>0.65</v>
      </c>
      <c r="F115" s="42">
        <v>2.25</v>
      </c>
      <c r="G115" s="45">
        <v>270</v>
      </c>
      <c r="H115" s="22">
        <v>2.1</v>
      </c>
      <c r="I115" s="6">
        <f t="shared" si="1"/>
        <v>829.23750000000007</v>
      </c>
      <c r="J115" s="7" t="s">
        <v>2115</v>
      </c>
    </row>
    <row r="116" spans="1:10" ht="13.95" customHeight="1" x14ac:dyDescent="0.3">
      <c r="A116" s="20">
        <v>45785</v>
      </c>
      <c r="B116" s="20" t="s">
        <v>3749</v>
      </c>
      <c r="C116" s="19" t="s">
        <v>11</v>
      </c>
      <c r="D116" s="19" t="s">
        <v>2993</v>
      </c>
      <c r="E116" s="4">
        <v>0.65</v>
      </c>
      <c r="F116" s="42">
        <v>2.8</v>
      </c>
      <c r="G116" s="45">
        <v>270</v>
      </c>
      <c r="H116" s="22">
        <v>2.1</v>
      </c>
      <c r="I116" s="6">
        <f t="shared" si="1"/>
        <v>1031.94</v>
      </c>
      <c r="J116" s="7" t="s">
        <v>3662</v>
      </c>
    </row>
    <row r="117" spans="1:10" ht="13.95" customHeight="1" x14ac:dyDescent="0.3">
      <c r="A117" s="20">
        <v>45786</v>
      </c>
      <c r="B117" s="20" t="s">
        <v>3749</v>
      </c>
      <c r="C117" s="19" t="s">
        <v>13</v>
      </c>
      <c r="D117" s="19" t="s">
        <v>3001</v>
      </c>
      <c r="E117" s="4">
        <v>0.8</v>
      </c>
      <c r="F117" s="42">
        <v>3.6</v>
      </c>
      <c r="G117" s="45">
        <v>270</v>
      </c>
      <c r="H117" s="22">
        <v>2.1</v>
      </c>
      <c r="I117" s="6">
        <f t="shared" si="1"/>
        <v>1632.96</v>
      </c>
      <c r="J117" s="7" t="s">
        <v>1481</v>
      </c>
    </row>
    <row r="118" spans="1:10" ht="13.95" customHeight="1" x14ac:dyDescent="0.3">
      <c r="A118" s="20">
        <v>45787</v>
      </c>
      <c r="B118" s="20" t="s">
        <v>3749</v>
      </c>
      <c r="C118" s="19" t="s">
        <v>16</v>
      </c>
      <c r="D118" s="19" t="s">
        <v>3480</v>
      </c>
      <c r="E118" s="4">
        <v>0.75</v>
      </c>
      <c r="F118" s="42">
        <v>3.2</v>
      </c>
      <c r="G118" s="45">
        <v>270</v>
      </c>
      <c r="H118" s="22">
        <v>2.1</v>
      </c>
      <c r="I118" s="6">
        <f t="shared" si="1"/>
        <v>1360.8</v>
      </c>
      <c r="J118" s="7" t="s">
        <v>3313</v>
      </c>
    </row>
    <row r="119" spans="1:10" ht="13.95" customHeight="1" x14ac:dyDescent="0.3">
      <c r="A119" s="20">
        <v>45788</v>
      </c>
      <c r="B119" s="20" t="s">
        <v>3749</v>
      </c>
      <c r="C119" s="19" t="s">
        <v>18</v>
      </c>
      <c r="D119" s="19" t="s">
        <v>706</v>
      </c>
      <c r="E119" s="4">
        <v>0.55000000000000004</v>
      </c>
      <c r="F119" s="42">
        <v>2.15</v>
      </c>
      <c r="G119" s="45">
        <v>270</v>
      </c>
      <c r="H119" s="22">
        <v>2.1</v>
      </c>
      <c r="I119" s="6">
        <f t="shared" si="1"/>
        <v>670.47749999999996</v>
      </c>
      <c r="J119" s="7" t="s">
        <v>88</v>
      </c>
    </row>
    <row r="120" spans="1:10" ht="13.95" customHeight="1" x14ac:dyDescent="0.3">
      <c r="A120" s="20">
        <v>45789</v>
      </c>
      <c r="B120" s="20" t="s">
        <v>3749</v>
      </c>
      <c r="C120" s="19" t="s">
        <v>20</v>
      </c>
      <c r="D120" s="19" t="s">
        <v>3663</v>
      </c>
      <c r="E120" s="4">
        <v>0.85</v>
      </c>
      <c r="F120" s="42">
        <v>2.2999999999999998</v>
      </c>
      <c r="G120" s="45">
        <v>270</v>
      </c>
      <c r="H120" s="22">
        <v>2.1</v>
      </c>
      <c r="I120" s="6">
        <f t="shared" si="1"/>
        <v>1108.4849999999999</v>
      </c>
      <c r="J120" s="7" t="s">
        <v>3664</v>
      </c>
    </row>
    <row r="121" spans="1:10" ht="13.95" customHeight="1" x14ac:dyDescent="0.3">
      <c r="A121" s="20">
        <v>45790</v>
      </c>
      <c r="B121" s="20" t="s">
        <v>3749</v>
      </c>
      <c r="C121" s="19" t="s">
        <v>5</v>
      </c>
      <c r="D121" s="19" t="s">
        <v>3663</v>
      </c>
      <c r="E121" s="4">
        <v>0.9</v>
      </c>
      <c r="F121" s="42">
        <v>2.35</v>
      </c>
      <c r="G121" s="45">
        <v>270</v>
      </c>
      <c r="H121" s="22">
        <v>2.1</v>
      </c>
      <c r="I121" s="6">
        <f t="shared" si="1"/>
        <v>1199.2050000000002</v>
      </c>
      <c r="J121" s="7" t="s">
        <v>3665</v>
      </c>
    </row>
    <row r="122" spans="1:10" ht="13.95" customHeight="1" x14ac:dyDescent="0.3">
      <c r="A122" s="20">
        <v>45791</v>
      </c>
      <c r="B122" s="20" t="s">
        <v>3749</v>
      </c>
      <c r="C122" s="19" t="s">
        <v>8</v>
      </c>
      <c r="D122" s="19" t="s">
        <v>706</v>
      </c>
      <c r="E122" s="4">
        <v>0.7</v>
      </c>
      <c r="F122" s="42">
        <v>2.2000000000000002</v>
      </c>
      <c r="G122" s="45">
        <v>270</v>
      </c>
      <c r="H122" s="22">
        <v>2.1</v>
      </c>
      <c r="I122" s="6">
        <f t="shared" si="1"/>
        <v>873.18000000000006</v>
      </c>
      <c r="J122" s="7" t="s">
        <v>1677</v>
      </c>
    </row>
    <row r="123" spans="1:10" ht="13.95" customHeight="1" x14ac:dyDescent="0.3">
      <c r="A123" s="20">
        <v>45792</v>
      </c>
      <c r="B123" s="20" t="s">
        <v>3749</v>
      </c>
      <c r="C123" s="19" t="s">
        <v>11</v>
      </c>
      <c r="D123" s="19" t="s">
        <v>2993</v>
      </c>
      <c r="E123" s="4">
        <v>0.7</v>
      </c>
      <c r="F123" s="42">
        <v>2.85</v>
      </c>
      <c r="G123" s="45">
        <v>270</v>
      </c>
      <c r="H123" s="22">
        <v>2.1</v>
      </c>
      <c r="I123" s="6">
        <f t="shared" si="1"/>
        <v>1131.165</v>
      </c>
      <c r="J123" s="7" t="s">
        <v>3666</v>
      </c>
    </row>
    <row r="124" spans="1:10" ht="13.95" customHeight="1" x14ac:dyDescent="0.3">
      <c r="A124" s="20">
        <v>45793</v>
      </c>
      <c r="B124" s="20" t="s">
        <v>3749</v>
      </c>
      <c r="C124" s="19" t="s">
        <v>13</v>
      </c>
      <c r="D124" s="19" t="s">
        <v>3276</v>
      </c>
      <c r="E124" s="4">
        <v>0.85</v>
      </c>
      <c r="F124" s="42">
        <v>3.65</v>
      </c>
      <c r="G124" s="45">
        <v>270</v>
      </c>
      <c r="H124" s="22">
        <v>2.1</v>
      </c>
      <c r="I124" s="6">
        <f t="shared" si="1"/>
        <v>1759.1175000000001</v>
      </c>
      <c r="J124" s="7" t="s">
        <v>3667</v>
      </c>
    </row>
    <row r="125" spans="1:10" ht="13.95" customHeight="1" x14ac:dyDescent="0.3">
      <c r="A125" s="20">
        <v>45794</v>
      </c>
      <c r="B125" s="20" t="s">
        <v>3749</v>
      </c>
      <c r="C125" s="19" t="s">
        <v>16</v>
      </c>
      <c r="D125" s="19" t="s">
        <v>3480</v>
      </c>
      <c r="E125" s="4">
        <v>0.8</v>
      </c>
      <c r="F125" s="42">
        <v>3.3</v>
      </c>
      <c r="G125" s="45">
        <v>270</v>
      </c>
      <c r="H125" s="22">
        <v>2.1</v>
      </c>
      <c r="I125" s="6">
        <f t="shared" si="1"/>
        <v>1496.8799999999999</v>
      </c>
      <c r="J125" s="7" t="s">
        <v>3279</v>
      </c>
    </row>
    <row r="126" spans="1:10" ht="13.95" customHeight="1" x14ac:dyDescent="0.3">
      <c r="A126" s="20">
        <v>45795</v>
      </c>
      <c r="B126" s="20" t="s">
        <v>3749</v>
      </c>
      <c r="C126" s="19" t="s">
        <v>18</v>
      </c>
      <c r="D126" s="19" t="s">
        <v>706</v>
      </c>
      <c r="E126" s="4">
        <v>0.6</v>
      </c>
      <c r="F126" s="42">
        <v>2.15</v>
      </c>
      <c r="G126" s="45">
        <v>270</v>
      </c>
      <c r="H126" s="22">
        <v>2.1</v>
      </c>
      <c r="I126" s="6">
        <f t="shared" si="1"/>
        <v>731.43000000000006</v>
      </c>
      <c r="J126" s="7" t="s">
        <v>88</v>
      </c>
    </row>
    <row r="127" spans="1:10" ht="13.95" customHeight="1" x14ac:dyDescent="0.3">
      <c r="A127" s="20">
        <v>45796</v>
      </c>
      <c r="B127" s="20" t="s">
        <v>3749</v>
      </c>
      <c r="C127" s="19" t="s">
        <v>20</v>
      </c>
      <c r="D127" s="19" t="s">
        <v>706</v>
      </c>
      <c r="E127" s="4">
        <v>0.6</v>
      </c>
      <c r="F127" s="42">
        <v>2.15</v>
      </c>
      <c r="G127" s="45">
        <v>270</v>
      </c>
      <c r="H127" s="22">
        <v>2.1</v>
      </c>
      <c r="I127" s="6">
        <f t="shared" si="1"/>
        <v>731.43000000000006</v>
      </c>
      <c r="J127" s="7" t="s">
        <v>88</v>
      </c>
    </row>
    <row r="128" spans="1:10" ht="13.95" customHeight="1" x14ac:dyDescent="0.3">
      <c r="A128" s="20">
        <v>45797</v>
      </c>
      <c r="B128" s="20" t="s">
        <v>3749</v>
      </c>
      <c r="C128" s="19" t="s">
        <v>5</v>
      </c>
      <c r="D128" s="19" t="s">
        <v>706</v>
      </c>
      <c r="E128" s="4">
        <v>0.65</v>
      </c>
      <c r="F128" s="42">
        <v>2.2000000000000002</v>
      </c>
      <c r="G128" s="45">
        <v>270</v>
      </c>
      <c r="H128" s="22">
        <v>2.1</v>
      </c>
      <c r="I128" s="6">
        <f t="shared" si="1"/>
        <v>810.81000000000006</v>
      </c>
      <c r="J128" s="7" t="s">
        <v>88</v>
      </c>
    </row>
    <row r="129" spans="1:10" ht="13.95" customHeight="1" x14ac:dyDescent="0.3">
      <c r="A129" s="20">
        <v>45798</v>
      </c>
      <c r="B129" s="20" t="s">
        <v>3749</v>
      </c>
      <c r="C129" s="19" t="s">
        <v>8</v>
      </c>
      <c r="D129" s="19" t="s">
        <v>706</v>
      </c>
      <c r="E129" s="4">
        <v>0.65</v>
      </c>
      <c r="F129" s="42">
        <v>2.25</v>
      </c>
      <c r="G129" s="45">
        <v>270</v>
      </c>
      <c r="H129" s="22">
        <v>2.1</v>
      </c>
      <c r="I129" s="6">
        <f t="shared" si="1"/>
        <v>829.23750000000007</v>
      </c>
      <c r="J129" s="7" t="s">
        <v>88</v>
      </c>
    </row>
    <row r="130" spans="1:10" ht="13.95" customHeight="1" x14ac:dyDescent="0.3">
      <c r="A130" s="20">
        <v>45799</v>
      </c>
      <c r="B130" s="20" t="s">
        <v>3749</v>
      </c>
      <c r="C130" s="19" t="s">
        <v>11</v>
      </c>
      <c r="D130" s="19" t="s">
        <v>14</v>
      </c>
      <c r="E130" s="4">
        <v>0.75</v>
      </c>
      <c r="F130" s="42">
        <v>2.9</v>
      </c>
      <c r="G130" s="45">
        <v>270</v>
      </c>
      <c r="H130" s="22">
        <v>2.1</v>
      </c>
      <c r="I130" s="6">
        <f t="shared" ref="I130:I193" si="2">(G130*E130)*F130*H130</f>
        <v>1233.2250000000001</v>
      </c>
      <c r="J130" s="7" t="s">
        <v>1783</v>
      </c>
    </row>
    <row r="131" spans="1:10" ht="13.95" customHeight="1" x14ac:dyDescent="0.3">
      <c r="A131" s="20">
        <v>45800</v>
      </c>
      <c r="B131" s="20" t="s">
        <v>3749</v>
      </c>
      <c r="C131" s="19" t="s">
        <v>13</v>
      </c>
      <c r="D131" s="19" t="s">
        <v>3281</v>
      </c>
      <c r="E131" s="4">
        <v>0.85</v>
      </c>
      <c r="F131" s="42">
        <v>3.7</v>
      </c>
      <c r="G131" s="45">
        <v>270</v>
      </c>
      <c r="H131" s="22">
        <v>2.1</v>
      </c>
      <c r="I131" s="6">
        <f t="shared" si="2"/>
        <v>1783.2150000000004</v>
      </c>
      <c r="J131" s="7" t="s">
        <v>3668</v>
      </c>
    </row>
    <row r="132" spans="1:10" ht="13.95" customHeight="1" x14ac:dyDescent="0.3">
      <c r="A132" s="20">
        <v>45801</v>
      </c>
      <c r="B132" s="20" t="s">
        <v>3749</v>
      </c>
      <c r="C132" s="19" t="s">
        <v>16</v>
      </c>
      <c r="D132" s="19" t="s">
        <v>3480</v>
      </c>
      <c r="E132" s="4">
        <v>0.8</v>
      </c>
      <c r="F132" s="42">
        <v>3.2</v>
      </c>
      <c r="G132" s="45">
        <v>270</v>
      </c>
      <c r="H132" s="22">
        <v>2.1</v>
      </c>
      <c r="I132" s="6">
        <f t="shared" si="2"/>
        <v>1451.5200000000002</v>
      </c>
      <c r="J132" s="7" t="s">
        <v>88</v>
      </c>
    </row>
    <row r="133" spans="1:10" ht="13.95" customHeight="1" x14ac:dyDescent="0.3">
      <c r="A133" s="20">
        <v>45802</v>
      </c>
      <c r="B133" s="20" t="s">
        <v>3749</v>
      </c>
      <c r="C133" s="19" t="s">
        <v>18</v>
      </c>
      <c r="D133" s="19" t="s">
        <v>706</v>
      </c>
      <c r="E133" s="4">
        <v>0.6</v>
      </c>
      <c r="F133" s="42">
        <v>2.15</v>
      </c>
      <c r="G133" s="45">
        <v>270</v>
      </c>
      <c r="H133" s="22">
        <v>2.1</v>
      </c>
      <c r="I133" s="6">
        <f t="shared" si="2"/>
        <v>731.43000000000006</v>
      </c>
      <c r="J133" s="7" t="s">
        <v>88</v>
      </c>
    </row>
    <row r="134" spans="1:10" ht="13.95" customHeight="1" x14ac:dyDescent="0.3">
      <c r="A134" s="20">
        <v>45803</v>
      </c>
      <c r="B134" s="20" t="s">
        <v>3749</v>
      </c>
      <c r="C134" s="19" t="s">
        <v>20</v>
      </c>
      <c r="D134" s="19" t="s">
        <v>706</v>
      </c>
      <c r="E134" s="4">
        <v>0.6</v>
      </c>
      <c r="F134" s="42">
        <v>2.15</v>
      </c>
      <c r="G134" s="45">
        <v>270</v>
      </c>
      <c r="H134" s="22">
        <v>2.1</v>
      </c>
      <c r="I134" s="6">
        <f t="shared" si="2"/>
        <v>731.43000000000006</v>
      </c>
      <c r="J134" s="7" t="s">
        <v>88</v>
      </c>
    </row>
    <row r="135" spans="1:10" ht="13.95" customHeight="1" x14ac:dyDescent="0.3">
      <c r="A135" s="20">
        <v>45804</v>
      </c>
      <c r="B135" s="20" t="s">
        <v>3749</v>
      </c>
      <c r="C135" s="19" t="s">
        <v>5</v>
      </c>
      <c r="D135" s="19" t="s">
        <v>706</v>
      </c>
      <c r="E135" s="4">
        <v>0.65</v>
      </c>
      <c r="F135" s="42">
        <v>2.2000000000000002</v>
      </c>
      <c r="G135" s="45">
        <v>270</v>
      </c>
      <c r="H135" s="22">
        <v>2.1</v>
      </c>
      <c r="I135" s="6">
        <f t="shared" si="2"/>
        <v>810.81000000000006</v>
      </c>
      <c r="J135" s="7" t="s">
        <v>88</v>
      </c>
    </row>
    <row r="136" spans="1:10" ht="13.95" customHeight="1" x14ac:dyDescent="0.3">
      <c r="A136" s="20">
        <v>45805</v>
      </c>
      <c r="B136" s="20" t="s">
        <v>3749</v>
      </c>
      <c r="C136" s="19" t="s">
        <v>8</v>
      </c>
      <c r="D136" s="19" t="s">
        <v>706</v>
      </c>
      <c r="E136" s="4">
        <v>0.65</v>
      </c>
      <c r="F136" s="42">
        <v>2.2000000000000002</v>
      </c>
      <c r="G136" s="45">
        <v>270</v>
      </c>
      <c r="H136" s="22">
        <v>2.1</v>
      </c>
      <c r="I136" s="6">
        <f t="shared" si="2"/>
        <v>810.81000000000006</v>
      </c>
      <c r="J136" s="7" t="s">
        <v>88</v>
      </c>
    </row>
    <row r="137" spans="1:10" ht="13.95" customHeight="1" x14ac:dyDescent="0.3">
      <c r="A137" s="20">
        <v>45806</v>
      </c>
      <c r="B137" s="20" t="s">
        <v>3749</v>
      </c>
      <c r="C137" s="19" t="s">
        <v>11</v>
      </c>
      <c r="D137" s="19" t="s">
        <v>14</v>
      </c>
      <c r="E137" s="4">
        <v>0.8</v>
      </c>
      <c r="F137" s="42">
        <v>3</v>
      </c>
      <c r="G137" s="45">
        <v>270</v>
      </c>
      <c r="H137" s="22">
        <v>2.1</v>
      </c>
      <c r="I137" s="6">
        <f t="shared" si="2"/>
        <v>1360.8</v>
      </c>
      <c r="J137" s="7" t="s">
        <v>3669</v>
      </c>
    </row>
    <row r="138" spans="1:10" ht="13.95" customHeight="1" x14ac:dyDescent="0.3">
      <c r="A138" s="20">
        <v>45807</v>
      </c>
      <c r="B138" s="20" t="s">
        <v>3749</v>
      </c>
      <c r="C138" s="19" t="s">
        <v>13</v>
      </c>
      <c r="D138" s="19" t="s">
        <v>3670</v>
      </c>
      <c r="E138" s="4">
        <v>0.95</v>
      </c>
      <c r="F138" s="42">
        <v>3.8</v>
      </c>
      <c r="G138" s="45">
        <v>270</v>
      </c>
      <c r="H138" s="22">
        <v>2.1</v>
      </c>
      <c r="I138" s="6">
        <f t="shared" si="2"/>
        <v>2046.87</v>
      </c>
      <c r="J138" s="7" t="s">
        <v>3551</v>
      </c>
    </row>
    <row r="139" spans="1:10" ht="13.95" customHeight="1" x14ac:dyDescent="0.3">
      <c r="A139" s="20">
        <v>45808</v>
      </c>
      <c r="B139" s="20" t="s">
        <v>3749</v>
      </c>
      <c r="C139" s="19" t="s">
        <v>16</v>
      </c>
      <c r="D139" s="19" t="s">
        <v>3531</v>
      </c>
      <c r="E139" s="4">
        <v>0.95</v>
      </c>
      <c r="F139" s="42">
        <v>3.6</v>
      </c>
      <c r="G139" s="45">
        <v>270</v>
      </c>
      <c r="H139" s="22">
        <v>2.1</v>
      </c>
      <c r="I139" s="6">
        <f t="shared" si="2"/>
        <v>1939.14</v>
      </c>
      <c r="J139" s="7" t="s">
        <v>3671</v>
      </c>
    </row>
    <row r="140" spans="1:10" ht="13.95" customHeight="1" x14ac:dyDescent="0.3">
      <c r="A140" s="20">
        <v>45809</v>
      </c>
      <c r="B140" s="20" t="s">
        <v>3749</v>
      </c>
      <c r="C140" s="19" t="s">
        <v>18</v>
      </c>
      <c r="D140" s="19" t="s">
        <v>3672</v>
      </c>
      <c r="E140" s="4">
        <v>0.65</v>
      </c>
      <c r="F140" s="42">
        <v>2.2000000000000002</v>
      </c>
      <c r="G140" s="45">
        <v>270</v>
      </c>
      <c r="H140" s="22">
        <v>2.2999999999999998</v>
      </c>
      <c r="I140" s="6">
        <f t="shared" si="2"/>
        <v>888.03</v>
      </c>
      <c r="J140" s="7" t="s">
        <v>3673</v>
      </c>
    </row>
    <row r="141" spans="1:10" ht="13.95" customHeight="1" x14ac:dyDescent="0.3">
      <c r="A141" s="20">
        <v>45810</v>
      </c>
      <c r="B141" s="20" t="s">
        <v>3749</v>
      </c>
      <c r="C141" s="19" t="s">
        <v>20</v>
      </c>
      <c r="D141" s="19" t="s">
        <v>3672</v>
      </c>
      <c r="E141" s="4">
        <v>0.65</v>
      </c>
      <c r="F141" s="42">
        <v>2.2000000000000002</v>
      </c>
      <c r="G141" s="45">
        <v>270</v>
      </c>
      <c r="H141" s="22">
        <v>2.2999999999999998</v>
      </c>
      <c r="I141" s="6">
        <f t="shared" si="2"/>
        <v>888.03</v>
      </c>
      <c r="J141" s="7" t="s">
        <v>3504</v>
      </c>
    </row>
    <row r="142" spans="1:10" ht="13.95" customHeight="1" x14ac:dyDescent="0.3">
      <c r="A142" s="20">
        <v>45813</v>
      </c>
      <c r="B142" s="20" t="s">
        <v>3749</v>
      </c>
      <c r="C142" s="19" t="s">
        <v>11</v>
      </c>
      <c r="D142" s="19" t="s">
        <v>829</v>
      </c>
      <c r="E142" s="4">
        <v>0.75</v>
      </c>
      <c r="F142" s="42">
        <v>3.1</v>
      </c>
      <c r="G142" s="45">
        <v>270</v>
      </c>
      <c r="H142" s="22">
        <v>2.2999999999999998</v>
      </c>
      <c r="I142" s="6">
        <f t="shared" si="2"/>
        <v>1443.8249999999998</v>
      </c>
      <c r="J142" s="7" t="s">
        <v>2655</v>
      </c>
    </row>
    <row r="143" spans="1:10" ht="13.95" customHeight="1" x14ac:dyDescent="0.3">
      <c r="A143" s="20">
        <v>45814</v>
      </c>
      <c r="B143" s="20" t="s">
        <v>3749</v>
      </c>
      <c r="C143" s="19" t="s">
        <v>13</v>
      </c>
      <c r="D143" s="19" t="s">
        <v>3091</v>
      </c>
      <c r="E143" s="4">
        <v>0.85</v>
      </c>
      <c r="F143" s="42">
        <v>3.8</v>
      </c>
      <c r="G143" s="45">
        <v>270</v>
      </c>
      <c r="H143" s="22">
        <v>2.2999999999999998</v>
      </c>
      <c r="I143" s="6">
        <f t="shared" si="2"/>
        <v>2005.8299999999997</v>
      </c>
      <c r="J143" s="7" t="s">
        <v>3551</v>
      </c>
    </row>
    <row r="144" spans="1:10" ht="13.95" customHeight="1" x14ac:dyDescent="0.3">
      <c r="A144" s="20">
        <v>45815</v>
      </c>
      <c r="B144" s="20" t="s">
        <v>3749</v>
      </c>
      <c r="C144" s="19" t="s">
        <v>16</v>
      </c>
      <c r="D144" s="19" t="s">
        <v>3543</v>
      </c>
      <c r="E144" s="4">
        <v>0.85</v>
      </c>
      <c r="F144" s="42">
        <v>3.6</v>
      </c>
      <c r="G144" s="45">
        <v>270</v>
      </c>
      <c r="H144" s="22">
        <v>2.2999999999999998</v>
      </c>
      <c r="I144" s="6">
        <f t="shared" si="2"/>
        <v>1900.26</v>
      </c>
      <c r="J144" s="7" t="s">
        <v>3674</v>
      </c>
    </row>
    <row r="145" spans="1:10" ht="13.95" customHeight="1" x14ac:dyDescent="0.3">
      <c r="A145" s="20">
        <v>45818</v>
      </c>
      <c r="B145" s="20" t="s">
        <v>3749</v>
      </c>
      <c r="C145" s="19" t="s">
        <v>5</v>
      </c>
      <c r="D145" s="19" t="s">
        <v>3672</v>
      </c>
      <c r="E145" s="4">
        <v>0.7</v>
      </c>
      <c r="F145" s="42">
        <v>2.25</v>
      </c>
      <c r="G145" s="45">
        <v>270</v>
      </c>
      <c r="H145" s="22">
        <v>2.2999999999999998</v>
      </c>
      <c r="I145" s="6">
        <f t="shared" si="2"/>
        <v>978.07499999999993</v>
      </c>
      <c r="J145" s="7" t="s">
        <v>88</v>
      </c>
    </row>
    <row r="146" spans="1:10" ht="13.95" customHeight="1" x14ac:dyDescent="0.3">
      <c r="A146" s="20">
        <v>45821</v>
      </c>
      <c r="B146" s="20" t="s">
        <v>3749</v>
      </c>
      <c r="C146" s="19" t="s">
        <v>13</v>
      </c>
      <c r="D146" s="19" t="s">
        <v>3281</v>
      </c>
      <c r="E146" s="4">
        <v>0.9</v>
      </c>
      <c r="F146" s="42">
        <v>3.85</v>
      </c>
      <c r="G146" s="45">
        <v>270</v>
      </c>
      <c r="H146" s="22">
        <v>2.2999999999999998</v>
      </c>
      <c r="I146" s="6">
        <f t="shared" si="2"/>
        <v>2151.7649999999999</v>
      </c>
      <c r="J146" s="7" t="s">
        <v>3668</v>
      </c>
    </row>
    <row r="147" spans="1:10" ht="13.95" customHeight="1" x14ac:dyDescent="0.3">
      <c r="A147" s="20">
        <v>45823</v>
      </c>
      <c r="B147" s="20" t="s">
        <v>3749</v>
      </c>
      <c r="C147" s="19" t="s">
        <v>18</v>
      </c>
      <c r="D147" s="19" t="s">
        <v>1347</v>
      </c>
      <c r="E147" s="4">
        <v>0.8</v>
      </c>
      <c r="F147" s="42">
        <v>2.6</v>
      </c>
      <c r="G147" s="45">
        <v>270</v>
      </c>
      <c r="H147" s="22">
        <v>2.2999999999999998</v>
      </c>
      <c r="I147" s="6">
        <f t="shared" si="2"/>
        <v>1291.68</v>
      </c>
      <c r="J147" s="7" t="s">
        <v>3675</v>
      </c>
    </row>
    <row r="148" spans="1:10" ht="13.95" customHeight="1" x14ac:dyDescent="0.3">
      <c r="A148" s="20">
        <v>45826</v>
      </c>
      <c r="B148" s="20" t="s">
        <v>3749</v>
      </c>
      <c r="C148" s="19" t="s">
        <v>8</v>
      </c>
      <c r="D148" s="19" t="s">
        <v>1347</v>
      </c>
      <c r="E148" s="4">
        <v>0.8</v>
      </c>
      <c r="F148" s="42">
        <v>2.6</v>
      </c>
      <c r="G148" s="45">
        <v>270</v>
      </c>
      <c r="H148" s="22">
        <v>2.2999999999999998</v>
      </c>
      <c r="I148" s="6">
        <f t="shared" si="2"/>
        <v>1291.68</v>
      </c>
      <c r="J148" s="7" t="s">
        <v>2526</v>
      </c>
    </row>
    <row r="149" spans="1:10" ht="13.95" customHeight="1" x14ac:dyDescent="0.3">
      <c r="A149" s="20">
        <v>45828</v>
      </c>
      <c r="B149" s="20" t="s">
        <v>3749</v>
      </c>
      <c r="C149" s="19" t="s">
        <v>13</v>
      </c>
      <c r="D149" s="19" t="s">
        <v>3478</v>
      </c>
      <c r="E149" s="4">
        <v>0.9</v>
      </c>
      <c r="F149" s="42">
        <v>3.9</v>
      </c>
      <c r="G149" s="45">
        <v>270</v>
      </c>
      <c r="H149" s="22">
        <v>2.2999999999999998</v>
      </c>
      <c r="I149" s="6">
        <f t="shared" si="2"/>
        <v>2179.7099999999996</v>
      </c>
      <c r="J149" s="7" t="s">
        <v>1440</v>
      </c>
    </row>
    <row r="150" spans="1:10" ht="13.95" customHeight="1" x14ac:dyDescent="0.3">
      <c r="A150" s="20">
        <v>45829</v>
      </c>
      <c r="B150" s="20" t="s">
        <v>3749</v>
      </c>
      <c r="C150" s="19" t="s">
        <v>16</v>
      </c>
      <c r="D150" s="19" t="s">
        <v>3543</v>
      </c>
      <c r="E150" s="4">
        <v>0.9</v>
      </c>
      <c r="F150" s="42">
        <v>3.6</v>
      </c>
      <c r="G150" s="45">
        <v>270</v>
      </c>
      <c r="H150" s="22">
        <v>2.2999999999999998</v>
      </c>
      <c r="I150" s="6">
        <f t="shared" si="2"/>
        <v>2012.04</v>
      </c>
      <c r="J150" s="7" t="s">
        <v>3676</v>
      </c>
    </row>
    <row r="151" spans="1:10" ht="13.95" customHeight="1" x14ac:dyDescent="0.3">
      <c r="A151" s="20">
        <v>45831</v>
      </c>
      <c r="B151" s="20" t="s">
        <v>3749</v>
      </c>
      <c r="C151" s="19" t="s">
        <v>20</v>
      </c>
      <c r="D151" s="19" t="s">
        <v>1347</v>
      </c>
      <c r="E151" s="4">
        <v>0.85</v>
      </c>
      <c r="F151" s="42">
        <v>2.7</v>
      </c>
      <c r="G151" s="45">
        <v>270</v>
      </c>
      <c r="H151" s="22">
        <v>2.2999999999999998</v>
      </c>
      <c r="I151" s="6">
        <f t="shared" si="2"/>
        <v>1425.1950000000002</v>
      </c>
      <c r="J151" s="7" t="s">
        <v>88</v>
      </c>
    </row>
    <row r="152" spans="1:10" ht="13.95" customHeight="1" x14ac:dyDescent="0.3">
      <c r="A152" s="20">
        <v>45833</v>
      </c>
      <c r="B152" s="20" t="s">
        <v>3749</v>
      </c>
      <c r="C152" s="19" t="s">
        <v>8</v>
      </c>
      <c r="D152" s="19" t="s">
        <v>904</v>
      </c>
      <c r="E152" s="4">
        <v>0.9</v>
      </c>
      <c r="F152" s="42">
        <v>2.9</v>
      </c>
      <c r="G152" s="45">
        <v>270</v>
      </c>
      <c r="H152" s="22">
        <v>2.2999999999999998</v>
      </c>
      <c r="I152" s="6">
        <f t="shared" si="2"/>
        <v>1620.8099999999997</v>
      </c>
      <c r="J152" s="7" t="s">
        <v>1722</v>
      </c>
    </row>
    <row r="153" spans="1:10" ht="13.95" customHeight="1" x14ac:dyDescent="0.3">
      <c r="A153" s="20">
        <v>45834</v>
      </c>
      <c r="B153" s="20" t="s">
        <v>3749</v>
      </c>
      <c r="C153" s="19" t="s">
        <v>11</v>
      </c>
      <c r="D153" s="19" t="s">
        <v>3395</v>
      </c>
      <c r="E153" s="4">
        <v>1</v>
      </c>
      <c r="F153" s="42">
        <v>3.5</v>
      </c>
      <c r="G153" s="45">
        <v>270</v>
      </c>
      <c r="H153" s="22">
        <v>2.2999999999999998</v>
      </c>
      <c r="I153" s="6">
        <f t="shared" si="2"/>
        <v>2173.5</v>
      </c>
      <c r="J153" s="7" t="s">
        <v>3677</v>
      </c>
    </row>
    <row r="154" spans="1:10" ht="13.95" customHeight="1" x14ac:dyDescent="0.3">
      <c r="A154" s="20">
        <v>45835</v>
      </c>
      <c r="B154" s="20" t="s">
        <v>3749</v>
      </c>
      <c r="C154" s="19" t="s">
        <v>13</v>
      </c>
      <c r="D154" s="19" t="s">
        <v>3396</v>
      </c>
      <c r="E154" s="4">
        <v>1</v>
      </c>
      <c r="F154" s="42">
        <v>4.8</v>
      </c>
      <c r="G154" s="45">
        <v>270</v>
      </c>
      <c r="H154" s="22">
        <v>2.2999999999999998</v>
      </c>
      <c r="I154" s="6">
        <f t="shared" si="2"/>
        <v>2980.7999999999997</v>
      </c>
      <c r="J154" s="7" t="s">
        <v>3678</v>
      </c>
    </row>
    <row r="155" spans="1:10" ht="13.95" customHeight="1" x14ac:dyDescent="0.3">
      <c r="A155" s="20">
        <v>45836</v>
      </c>
      <c r="B155" s="20" t="s">
        <v>3749</v>
      </c>
      <c r="C155" s="19" t="s">
        <v>16</v>
      </c>
      <c r="D155" s="19" t="s">
        <v>2656</v>
      </c>
      <c r="E155" s="4">
        <v>1</v>
      </c>
      <c r="F155" s="42">
        <v>4.5</v>
      </c>
      <c r="G155" s="45">
        <v>270</v>
      </c>
      <c r="H155" s="22">
        <v>2.2999999999999998</v>
      </c>
      <c r="I155" s="6">
        <f t="shared" si="2"/>
        <v>2794.5</v>
      </c>
      <c r="J155" s="7" t="s">
        <v>3679</v>
      </c>
    </row>
    <row r="156" spans="1:10" ht="13.95" customHeight="1" x14ac:dyDescent="0.3">
      <c r="A156" s="20">
        <v>45837</v>
      </c>
      <c r="B156" s="20" t="s">
        <v>3749</v>
      </c>
      <c r="C156" s="19" t="s">
        <v>18</v>
      </c>
      <c r="D156" s="19" t="s">
        <v>3680</v>
      </c>
      <c r="E156" s="4">
        <v>0.95</v>
      </c>
      <c r="F156" s="42">
        <v>3.1</v>
      </c>
      <c r="G156" s="45">
        <v>270</v>
      </c>
      <c r="H156" s="22">
        <v>2.2999999999999998</v>
      </c>
      <c r="I156" s="6">
        <f t="shared" si="2"/>
        <v>1828.8449999999998</v>
      </c>
      <c r="J156" s="7" t="s">
        <v>1345</v>
      </c>
    </row>
    <row r="157" spans="1:10" ht="13.95" customHeight="1" x14ac:dyDescent="0.3">
      <c r="A157" s="20">
        <v>45838</v>
      </c>
      <c r="B157" s="20" t="s">
        <v>3749</v>
      </c>
      <c r="C157" s="19" t="s">
        <v>20</v>
      </c>
      <c r="D157" s="19" t="s">
        <v>3680</v>
      </c>
      <c r="E157" s="4">
        <v>0.95</v>
      </c>
      <c r="F157" s="42">
        <v>3.1</v>
      </c>
      <c r="G157" s="45">
        <v>270</v>
      </c>
      <c r="H157" s="22">
        <v>2.2999999999999998</v>
      </c>
      <c r="I157" s="6">
        <f t="shared" si="2"/>
        <v>1828.8449999999998</v>
      </c>
      <c r="J157" s="7" t="s">
        <v>2005</v>
      </c>
    </row>
    <row r="158" spans="1:10" ht="13.95" customHeight="1" x14ac:dyDescent="0.3">
      <c r="A158" s="20">
        <v>45839</v>
      </c>
      <c r="B158" s="20" t="s">
        <v>3749</v>
      </c>
      <c r="C158" s="19" t="s">
        <v>5</v>
      </c>
      <c r="D158" s="19" t="s">
        <v>3681</v>
      </c>
      <c r="E158" s="4">
        <v>0.9</v>
      </c>
      <c r="F158" s="42">
        <v>2.9</v>
      </c>
      <c r="G158" s="45">
        <v>270</v>
      </c>
      <c r="H158" s="22">
        <v>2.4</v>
      </c>
      <c r="I158" s="6">
        <f t="shared" si="2"/>
        <v>1691.2799999999997</v>
      </c>
      <c r="J158" s="7" t="s">
        <v>3682</v>
      </c>
    </row>
    <row r="159" spans="1:10" ht="13.95" customHeight="1" x14ac:dyDescent="0.3">
      <c r="A159" s="20">
        <v>45840</v>
      </c>
      <c r="B159" s="20" t="s">
        <v>3749</v>
      </c>
      <c r="C159" s="19" t="s">
        <v>8</v>
      </c>
      <c r="D159" s="19" t="s">
        <v>3681</v>
      </c>
      <c r="E159" s="4">
        <v>0.9</v>
      </c>
      <c r="F159" s="42">
        <v>2.9</v>
      </c>
      <c r="G159" s="45">
        <v>270</v>
      </c>
      <c r="H159" s="22">
        <v>2.4</v>
      </c>
      <c r="I159" s="6">
        <f t="shared" si="2"/>
        <v>1691.2799999999997</v>
      </c>
      <c r="J159" s="7" t="s">
        <v>3683</v>
      </c>
    </row>
    <row r="160" spans="1:10" ht="13.95" customHeight="1" x14ac:dyDescent="0.3">
      <c r="A160" s="20">
        <v>45841</v>
      </c>
      <c r="B160" s="20" t="s">
        <v>3749</v>
      </c>
      <c r="C160" s="19" t="s">
        <v>11</v>
      </c>
      <c r="D160" s="19" t="s">
        <v>3684</v>
      </c>
      <c r="E160" s="4">
        <v>0.95</v>
      </c>
      <c r="F160" s="42">
        <v>3.4</v>
      </c>
      <c r="G160" s="45">
        <v>270</v>
      </c>
      <c r="H160" s="22">
        <v>2.4</v>
      </c>
      <c r="I160" s="6">
        <f t="shared" si="2"/>
        <v>2093.04</v>
      </c>
      <c r="J160" s="7" t="s">
        <v>3685</v>
      </c>
    </row>
    <row r="161" spans="1:10" ht="13.95" customHeight="1" x14ac:dyDescent="0.3">
      <c r="A161" s="20">
        <v>45842</v>
      </c>
      <c r="B161" s="20" t="s">
        <v>3749</v>
      </c>
      <c r="C161" s="19" t="s">
        <v>13</v>
      </c>
      <c r="D161" s="19" t="s">
        <v>3686</v>
      </c>
      <c r="E161" s="4">
        <v>1</v>
      </c>
      <c r="F161" s="42">
        <v>4.2</v>
      </c>
      <c r="G161" s="45">
        <v>270</v>
      </c>
      <c r="H161" s="22">
        <v>2.4</v>
      </c>
      <c r="I161" s="6">
        <f t="shared" si="2"/>
        <v>2721.6</v>
      </c>
      <c r="J161" s="7" t="s">
        <v>3687</v>
      </c>
    </row>
    <row r="162" spans="1:10" ht="13.95" customHeight="1" x14ac:dyDescent="0.3">
      <c r="A162" s="20">
        <v>45843</v>
      </c>
      <c r="B162" s="20" t="s">
        <v>3749</v>
      </c>
      <c r="C162" s="19" t="s">
        <v>16</v>
      </c>
      <c r="D162" s="19" t="s">
        <v>3543</v>
      </c>
      <c r="E162" s="4">
        <v>1</v>
      </c>
      <c r="F162" s="42">
        <v>3.8</v>
      </c>
      <c r="G162" s="45">
        <v>270</v>
      </c>
      <c r="H162" s="22">
        <v>2.4</v>
      </c>
      <c r="I162" s="6">
        <f t="shared" si="2"/>
        <v>2462.4</v>
      </c>
      <c r="J162" s="7" t="s">
        <v>3688</v>
      </c>
    </row>
    <row r="163" spans="1:10" ht="13.95" customHeight="1" x14ac:dyDescent="0.3">
      <c r="A163" s="20">
        <v>45844</v>
      </c>
      <c r="B163" s="20" t="s">
        <v>3749</v>
      </c>
      <c r="C163" s="19" t="s">
        <v>18</v>
      </c>
      <c r="D163" s="19" t="s">
        <v>3681</v>
      </c>
      <c r="E163" s="4">
        <v>0.95</v>
      </c>
      <c r="F163" s="42">
        <v>3</v>
      </c>
      <c r="G163" s="45">
        <v>270</v>
      </c>
      <c r="H163" s="22">
        <v>2.4</v>
      </c>
      <c r="I163" s="6">
        <f t="shared" si="2"/>
        <v>1846.8</v>
      </c>
      <c r="J163" s="7" t="s">
        <v>3689</v>
      </c>
    </row>
    <row r="164" spans="1:10" ht="13.95" customHeight="1" x14ac:dyDescent="0.3">
      <c r="A164" s="20">
        <v>45845</v>
      </c>
      <c r="B164" s="20" t="s">
        <v>3749</v>
      </c>
      <c r="C164" s="19" t="s">
        <v>20</v>
      </c>
      <c r="D164" s="19" t="s">
        <v>3681</v>
      </c>
      <c r="E164" s="4">
        <v>0.95</v>
      </c>
      <c r="F164" s="42">
        <v>3</v>
      </c>
      <c r="G164" s="45">
        <v>270</v>
      </c>
      <c r="H164" s="22">
        <v>2.4</v>
      </c>
      <c r="I164" s="6">
        <f t="shared" si="2"/>
        <v>1846.8</v>
      </c>
      <c r="J164" s="7" t="s">
        <v>88</v>
      </c>
    </row>
    <row r="165" spans="1:10" ht="13.95" customHeight="1" x14ac:dyDescent="0.3">
      <c r="A165" s="20">
        <v>45846</v>
      </c>
      <c r="B165" s="20" t="s">
        <v>3749</v>
      </c>
      <c r="C165" s="19" t="s">
        <v>5</v>
      </c>
      <c r="D165" s="19" t="s">
        <v>3681</v>
      </c>
      <c r="E165" s="4">
        <v>0.95</v>
      </c>
      <c r="F165" s="42">
        <v>3.05</v>
      </c>
      <c r="G165" s="45">
        <v>270</v>
      </c>
      <c r="H165" s="22">
        <v>2.4</v>
      </c>
      <c r="I165" s="6">
        <f t="shared" si="2"/>
        <v>1877.5799999999997</v>
      </c>
      <c r="J165" s="7" t="s">
        <v>88</v>
      </c>
    </row>
    <row r="166" spans="1:10" ht="13.95" customHeight="1" x14ac:dyDescent="0.3">
      <c r="A166" s="20">
        <v>45847</v>
      </c>
      <c r="B166" s="20" t="s">
        <v>3749</v>
      </c>
      <c r="C166" s="19" t="s">
        <v>8</v>
      </c>
      <c r="D166" s="19" t="s">
        <v>3681</v>
      </c>
      <c r="E166" s="4">
        <v>0.95</v>
      </c>
      <c r="F166" s="42">
        <v>3.1</v>
      </c>
      <c r="G166" s="45">
        <v>270</v>
      </c>
      <c r="H166" s="22">
        <v>2.4</v>
      </c>
      <c r="I166" s="6">
        <f t="shared" si="2"/>
        <v>1908.36</v>
      </c>
      <c r="J166" s="7" t="s">
        <v>88</v>
      </c>
    </row>
    <row r="167" spans="1:10" ht="13.95" customHeight="1" x14ac:dyDescent="0.3">
      <c r="A167" s="20">
        <v>45848</v>
      </c>
      <c r="B167" s="20" t="s">
        <v>3749</v>
      </c>
      <c r="C167" s="19" t="s">
        <v>11</v>
      </c>
      <c r="D167" s="19" t="s">
        <v>3684</v>
      </c>
      <c r="E167" s="4">
        <v>1</v>
      </c>
      <c r="F167" s="42">
        <v>3.5</v>
      </c>
      <c r="G167" s="45">
        <v>270</v>
      </c>
      <c r="H167" s="22">
        <v>2.4</v>
      </c>
      <c r="I167" s="6">
        <f t="shared" si="2"/>
        <v>2268</v>
      </c>
      <c r="J167" s="7" t="s">
        <v>2654</v>
      </c>
    </row>
    <row r="168" spans="1:10" ht="13.95" customHeight="1" x14ac:dyDescent="0.3">
      <c r="A168" s="20">
        <v>45849</v>
      </c>
      <c r="B168" s="20" t="s">
        <v>3749</v>
      </c>
      <c r="C168" s="19" t="s">
        <v>13</v>
      </c>
      <c r="D168" s="19" t="s">
        <v>3690</v>
      </c>
      <c r="E168" s="4">
        <v>1</v>
      </c>
      <c r="F168" s="42">
        <v>4.3</v>
      </c>
      <c r="G168" s="45">
        <v>270</v>
      </c>
      <c r="H168" s="22">
        <v>2.4</v>
      </c>
      <c r="I168" s="6">
        <f t="shared" si="2"/>
        <v>2786.4</v>
      </c>
      <c r="J168" s="7" t="s">
        <v>1711</v>
      </c>
    </row>
    <row r="169" spans="1:10" ht="13.95" customHeight="1" x14ac:dyDescent="0.3">
      <c r="A169" s="20">
        <v>45850</v>
      </c>
      <c r="B169" s="20" t="s">
        <v>3749</v>
      </c>
      <c r="C169" s="19" t="s">
        <v>16</v>
      </c>
      <c r="D169" s="19" t="s">
        <v>3543</v>
      </c>
      <c r="E169" s="4">
        <v>1</v>
      </c>
      <c r="F169" s="42">
        <v>3.85</v>
      </c>
      <c r="G169" s="45">
        <v>270</v>
      </c>
      <c r="H169" s="22">
        <v>2.4</v>
      </c>
      <c r="I169" s="6">
        <f t="shared" si="2"/>
        <v>2494.7999999999997</v>
      </c>
      <c r="J169" s="7" t="s">
        <v>3691</v>
      </c>
    </row>
    <row r="170" spans="1:10" ht="13.95" customHeight="1" x14ac:dyDescent="0.3">
      <c r="A170" s="20">
        <v>45851</v>
      </c>
      <c r="B170" s="20" t="s">
        <v>3749</v>
      </c>
      <c r="C170" s="19" t="s">
        <v>18</v>
      </c>
      <c r="D170" s="19" t="s">
        <v>3681</v>
      </c>
      <c r="E170" s="4">
        <v>0.95</v>
      </c>
      <c r="F170" s="42">
        <v>3.1</v>
      </c>
      <c r="G170" s="45">
        <v>270</v>
      </c>
      <c r="H170" s="22">
        <v>2.4</v>
      </c>
      <c r="I170" s="6">
        <f t="shared" si="2"/>
        <v>1908.36</v>
      </c>
      <c r="J170" s="7" t="s">
        <v>1449</v>
      </c>
    </row>
    <row r="171" spans="1:10" ht="13.95" customHeight="1" x14ac:dyDescent="0.3">
      <c r="A171" s="20">
        <v>45852</v>
      </c>
      <c r="B171" s="20" t="s">
        <v>3749</v>
      </c>
      <c r="C171" s="19" t="s">
        <v>20</v>
      </c>
      <c r="D171" s="19" t="s">
        <v>3681</v>
      </c>
      <c r="E171" s="4">
        <v>0.95</v>
      </c>
      <c r="F171" s="42">
        <v>3.1</v>
      </c>
      <c r="G171" s="45">
        <v>270</v>
      </c>
      <c r="H171" s="22">
        <v>2.4</v>
      </c>
      <c r="I171" s="6">
        <f t="shared" si="2"/>
        <v>1908.36</v>
      </c>
      <c r="J171" s="7" t="s">
        <v>88</v>
      </c>
    </row>
    <row r="172" spans="1:10" ht="13.95" customHeight="1" x14ac:dyDescent="0.3">
      <c r="A172" s="20">
        <v>45853</v>
      </c>
      <c r="B172" s="20" t="s">
        <v>3749</v>
      </c>
      <c r="C172" s="19" t="s">
        <v>5</v>
      </c>
      <c r="D172" s="19" t="s">
        <v>3692</v>
      </c>
      <c r="E172" s="4">
        <v>0.95</v>
      </c>
      <c r="F172" s="42">
        <v>3.15</v>
      </c>
      <c r="G172" s="45">
        <v>270</v>
      </c>
      <c r="H172" s="22">
        <v>2.4</v>
      </c>
      <c r="I172" s="6">
        <f t="shared" si="2"/>
        <v>1939.1399999999999</v>
      </c>
      <c r="J172" s="7" t="s">
        <v>3693</v>
      </c>
    </row>
    <row r="173" spans="1:10" ht="13.95" customHeight="1" x14ac:dyDescent="0.3">
      <c r="A173" s="20">
        <v>45854</v>
      </c>
      <c r="B173" s="20" t="s">
        <v>3749</v>
      </c>
      <c r="C173" s="19" t="s">
        <v>8</v>
      </c>
      <c r="D173" s="19" t="s">
        <v>3681</v>
      </c>
      <c r="E173" s="4">
        <v>1</v>
      </c>
      <c r="F173" s="42">
        <v>3.2</v>
      </c>
      <c r="G173" s="45">
        <v>270</v>
      </c>
      <c r="H173" s="22">
        <v>2.4</v>
      </c>
      <c r="I173" s="6">
        <f t="shared" si="2"/>
        <v>2073.6</v>
      </c>
      <c r="J173" s="7" t="s">
        <v>2410</v>
      </c>
    </row>
    <row r="174" spans="1:10" ht="13.95" customHeight="1" x14ac:dyDescent="0.3">
      <c r="A174" s="20">
        <v>45855</v>
      </c>
      <c r="B174" s="20" t="s">
        <v>3749</v>
      </c>
      <c r="C174" s="19" t="s">
        <v>11</v>
      </c>
      <c r="D174" s="19" t="s">
        <v>3684</v>
      </c>
      <c r="E174" s="4">
        <v>1</v>
      </c>
      <c r="F174" s="42">
        <v>3.6</v>
      </c>
      <c r="G174" s="45">
        <v>270</v>
      </c>
      <c r="H174" s="22">
        <v>2.4</v>
      </c>
      <c r="I174" s="6">
        <f t="shared" si="2"/>
        <v>2332.7999999999997</v>
      </c>
      <c r="J174" s="7" t="s">
        <v>1971</v>
      </c>
    </row>
    <row r="175" spans="1:10" ht="13.95" customHeight="1" x14ac:dyDescent="0.3">
      <c r="A175" s="20">
        <v>45856</v>
      </c>
      <c r="B175" s="20" t="s">
        <v>3749</v>
      </c>
      <c r="C175" s="19" t="s">
        <v>13</v>
      </c>
      <c r="D175" s="19" t="s">
        <v>3111</v>
      </c>
      <c r="E175" s="4">
        <v>1</v>
      </c>
      <c r="F175" s="42">
        <v>4.4000000000000004</v>
      </c>
      <c r="G175" s="45">
        <v>270</v>
      </c>
      <c r="H175" s="22">
        <v>2.4</v>
      </c>
      <c r="I175" s="6">
        <f t="shared" si="2"/>
        <v>2851.2</v>
      </c>
      <c r="J175" s="7" t="s">
        <v>3694</v>
      </c>
    </row>
    <row r="176" spans="1:10" ht="13.95" customHeight="1" x14ac:dyDescent="0.3">
      <c r="A176" s="20">
        <v>45857</v>
      </c>
      <c r="B176" s="20" t="s">
        <v>3749</v>
      </c>
      <c r="C176" s="19" t="s">
        <v>16</v>
      </c>
      <c r="D176" s="19" t="s">
        <v>3543</v>
      </c>
      <c r="E176" s="4">
        <v>1</v>
      </c>
      <c r="F176" s="42">
        <v>3.9</v>
      </c>
      <c r="G176" s="45">
        <v>270</v>
      </c>
      <c r="H176" s="22">
        <v>2.4</v>
      </c>
      <c r="I176" s="6">
        <f t="shared" si="2"/>
        <v>2527.1999999999998</v>
      </c>
      <c r="J176" s="7" t="s">
        <v>3695</v>
      </c>
    </row>
    <row r="177" spans="1:10" ht="13.95" customHeight="1" x14ac:dyDescent="0.3">
      <c r="A177" s="20">
        <v>45858</v>
      </c>
      <c r="B177" s="20" t="s">
        <v>3749</v>
      </c>
      <c r="C177" s="19" t="s">
        <v>18</v>
      </c>
      <c r="D177" s="19" t="s">
        <v>3681</v>
      </c>
      <c r="E177" s="4">
        <v>0.95</v>
      </c>
      <c r="F177" s="42">
        <v>3.15</v>
      </c>
      <c r="G177" s="45">
        <v>270</v>
      </c>
      <c r="H177" s="22">
        <v>2.4</v>
      </c>
      <c r="I177" s="6">
        <f t="shared" si="2"/>
        <v>1939.1399999999999</v>
      </c>
      <c r="J177" s="7" t="s">
        <v>3696</v>
      </c>
    </row>
    <row r="178" spans="1:10" ht="13.95" customHeight="1" x14ac:dyDescent="0.3">
      <c r="A178" s="20">
        <v>45859</v>
      </c>
      <c r="B178" s="20" t="s">
        <v>3749</v>
      </c>
      <c r="C178" s="19" t="s">
        <v>20</v>
      </c>
      <c r="D178" s="19" t="s">
        <v>3681</v>
      </c>
      <c r="E178" s="4">
        <v>0.95</v>
      </c>
      <c r="F178" s="42">
        <v>3.15</v>
      </c>
      <c r="G178" s="45">
        <v>270</v>
      </c>
      <c r="H178" s="22">
        <v>2.4</v>
      </c>
      <c r="I178" s="6">
        <f t="shared" si="2"/>
        <v>1939.1399999999999</v>
      </c>
      <c r="J178" s="7" t="s">
        <v>88</v>
      </c>
    </row>
    <row r="179" spans="1:10" ht="13.95" customHeight="1" x14ac:dyDescent="0.3">
      <c r="A179" s="20">
        <v>45860</v>
      </c>
      <c r="B179" s="20" t="s">
        <v>3749</v>
      </c>
      <c r="C179" s="19" t="s">
        <v>5</v>
      </c>
      <c r="D179" s="19" t="s">
        <v>3681</v>
      </c>
      <c r="E179" s="4">
        <v>0.95</v>
      </c>
      <c r="F179" s="42">
        <v>3.15</v>
      </c>
      <c r="G179" s="45">
        <v>270</v>
      </c>
      <c r="H179" s="22">
        <v>2.4</v>
      </c>
      <c r="I179" s="6">
        <f t="shared" si="2"/>
        <v>1939.1399999999999</v>
      </c>
      <c r="J179" s="7" t="s">
        <v>88</v>
      </c>
    </row>
    <row r="180" spans="1:10" ht="13.95" customHeight="1" x14ac:dyDescent="0.3">
      <c r="A180" s="20">
        <v>45861</v>
      </c>
      <c r="B180" s="20" t="s">
        <v>3749</v>
      </c>
      <c r="C180" s="19" t="s">
        <v>8</v>
      </c>
      <c r="D180" s="19" t="s">
        <v>3681</v>
      </c>
      <c r="E180" s="4">
        <v>0.95</v>
      </c>
      <c r="F180" s="42">
        <v>3.2</v>
      </c>
      <c r="G180" s="45">
        <v>270</v>
      </c>
      <c r="H180" s="22">
        <v>2.4</v>
      </c>
      <c r="I180" s="6">
        <f t="shared" si="2"/>
        <v>1969.92</v>
      </c>
      <c r="J180" s="7" t="s">
        <v>88</v>
      </c>
    </row>
    <row r="181" spans="1:10" ht="13.95" customHeight="1" x14ac:dyDescent="0.3">
      <c r="A181" s="20">
        <v>45862</v>
      </c>
      <c r="B181" s="20" t="s">
        <v>3749</v>
      </c>
      <c r="C181" s="19" t="s">
        <v>11</v>
      </c>
      <c r="D181" s="19" t="s">
        <v>3697</v>
      </c>
      <c r="E181" s="4">
        <v>1</v>
      </c>
      <c r="F181" s="42">
        <v>3.8</v>
      </c>
      <c r="G181" s="45">
        <v>270</v>
      </c>
      <c r="H181" s="22">
        <v>2.4</v>
      </c>
      <c r="I181" s="6">
        <f t="shared" si="2"/>
        <v>2462.4</v>
      </c>
      <c r="J181" s="7" t="s">
        <v>3698</v>
      </c>
    </row>
    <row r="182" spans="1:10" ht="13.95" customHeight="1" x14ac:dyDescent="0.3">
      <c r="A182" s="20">
        <v>45863</v>
      </c>
      <c r="B182" s="20" t="s">
        <v>3749</v>
      </c>
      <c r="C182" s="19" t="s">
        <v>13</v>
      </c>
      <c r="D182" s="19" t="s">
        <v>2803</v>
      </c>
      <c r="E182" s="4">
        <v>1</v>
      </c>
      <c r="F182" s="42">
        <v>4.5999999999999996</v>
      </c>
      <c r="G182" s="45">
        <v>270</v>
      </c>
      <c r="H182" s="22">
        <v>2.4</v>
      </c>
      <c r="I182" s="6">
        <f t="shared" si="2"/>
        <v>2980.7999999999997</v>
      </c>
      <c r="J182" s="7" t="s">
        <v>3699</v>
      </c>
    </row>
    <row r="183" spans="1:10" ht="13.95" customHeight="1" x14ac:dyDescent="0.3">
      <c r="A183" s="20">
        <v>45864</v>
      </c>
      <c r="B183" s="20" t="s">
        <v>3749</v>
      </c>
      <c r="C183" s="19" t="s">
        <v>16</v>
      </c>
      <c r="D183" s="19" t="s">
        <v>3700</v>
      </c>
      <c r="E183" s="4">
        <v>1</v>
      </c>
      <c r="F183" s="42">
        <v>3.9</v>
      </c>
      <c r="G183" s="45">
        <v>270</v>
      </c>
      <c r="H183" s="22">
        <v>2.4</v>
      </c>
      <c r="I183" s="6">
        <f t="shared" si="2"/>
        <v>2527.1999999999998</v>
      </c>
      <c r="J183" s="7" t="s">
        <v>3701</v>
      </c>
    </row>
    <row r="184" spans="1:10" ht="13.95" customHeight="1" x14ac:dyDescent="0.3">
      <c r="A184" s="20">
        <v>45865</v>
      </c>
      <c r="B184" s="20" t="s">
        <v>3749</v>
      </c>
      <c r="C184" s="19" t="s">
        <v>18</v>
      </c>
      <c r="D184" s="19" t="s">
        <v>3681</v>
      </c>
      <c r="E184" s="4">
        <v>0.95</v>
      </c>
      <c r="F184" s="42">
        <v>3.1</v>
      </c>
      <c r="G184" s="45">
        <v>270</v>
      </c>
      <c r="H184" s="22">
        <v>2.4</v>
      </c>
      <c r="I184" s="6">
        <f t="shared" si="2"/>
        <v>1908.36</v>
      </c>
      <c r="J184" s="7" t="s">
        <v>3066</v>
      </c>
    </row>
    <row r="185" spans="1:10" ht="13.95" customHeight="1" x14ac:dyDescent="0.3">
      <c r="A185" s="20">
        <v>45866</v>
      </c>
      <c r="B185" s="20" t="s">
        <v>3749</v>
      </c>
      <c r="C185" s="19" t="s">
        <v>20</v>
      </c>
      <c r="D185" s="19" t="s">
        <v>3681</v>
      </c>
      <c r="E185" s="4">
        <v>0.95</v>
      </c>
      <c r="F185" s="42">
        <v>3.1</v>
      </c>
      <c r="G185" s="45">
        <v>270</v>
      </c>
      <c r="H185" s="22">
        <v>2.4</v>
      </c>
      <c r="I185" s="6">
        <f t="shared" si="2"/>
        <v>1908.36</v>
      </c>
      <c r="J185" s="7" t="s">
        <v>88</v>
      </c>
    </row>
    <row r="186" spans="1:10" ht="13.95" customHeight="1" x14ac:dyDescent="0.3">
      <c r="A186" s="20">
        <v>45867</v>
      </c>
      <c r="B186" s="20" t="s">
        <v>3749</v>
      </c>
      <c r="C186" s="19" t="s">
        <v>5</v>
      </c>
      <c r="D186" s="19" t="s">
        <v>3681</v>
      </c>
      <c r="E186" s="4">
        <v>0.95</v>
      </c>
      <c r="F186" s="42">
        <v>3.15</v>
      </c>
      <c r="G186" s="45">
        <v>270</v>
      </c>
      <c r="H186" s="22">
        <v>2.4</v>
      </c>
      <c r="I186" s="6">
        <f t="shared" si="2"/>
        <v>1939.1399999999999</v>
      </c>
      <c r="J186" s="7" t="s">
        <v>88</v>
      </c>
    </row>
    <row r="187" spans="1:10" ht="13.95" customHeight="1" x14ac:dyDescent="0.3">
      <c r="A187" s="20">
        <v>45868</v>
      </c>
      <c r="B187" s="20" t="s">
        <v>3749</v>
      </c>
      <c r="C187" s="19" t="s">
        <v>8</v>
      </c>
      <c r="D187" s="19" t="s">
        <v>3681</v>
      </c>
      <c r="E187" s="4">
        <v>0.95</v>
      </c>
      <c r="F187" s="42">
        <v>3.2</v>
      </c>
      <c r="G187" s="45">
        <v>270</v>
      </c>
      <c r="H187" s="22">
        <v>2.4</v>
      </c>
      <c r="I187" s="6">
        <f t="shared" si="2"/>
        <v>1969.92</v>
      </c>
      <c r="J187" s="7" t="s">
        <v>2953</v>
      </c>
    </row>
    <row r="188" spans="1:10" ht="13.95" customHeight="1" x14ac:dyDescent="0.3">
      <c r="A188" s="20">
        <v>45869</v>
      </c>
      <c r="B188" s="20" t="s">
        <v>3749</v>
      </c>
      <c r="C188" s="19" t="s">
        <v>11</v>
      </c>
      <c r="D188" s="19" t="s">
        <v>3702</v>
      </c>
      <c r="E188" s="4">
        <v>1</v>
      </c>
      <c r="F188" s="42">
        <v>3.6</v>
      </c>
      <c r="G188" s="45">
        <v>270</v>
      </c>
      <c r="H188" s="22">
        <v>2.4</v>
      </c>
      <c r="I188" s="6">
        <f t="shared" si="2"/>
        <v>2332.7999999999997</v>
      </c>
      <c r="J188" s="7" t="s">
        <v>463</v>
      </c>
    </row>
    <row r="189" spans="1:10" ht="13.95" customHeight="1" x14ac:dyDescent="0.3">
      <c r="A189" s="20">
        <v>45870</v>
      </c>
      <c r="B189" s="20" t="s">
        <v>3749</v>
      </c>
      <c r="C189" s="19" t="s">
        <v>13</v>
      </c>
      <c r="D189" s="19" t="s">
        <v>3117</v>
      </c>
      <c r="E189" s="4">
        <v>1</v>
      </c>
      <c r="F189" s="42">
        <v>4.3499999999999996</v>
      </c>
      <c r="G189" s="45">
        <v>270</v>
      </c>
      <c r="H189" s="22">
        <v>2.5</v>
      </c>
      <c r="I189" s="6">
        <f t="shared" si="2"/>
        <v>2936.25</v>
      </c>
      <c r="J189" s="7" t="s">
        <v>3687</v>
      </c>
    </row>
    <row r="190" spans="1:10" ht="13.95" customHeight="1" x14ac:dyDescent="0.3">
      <c r="A190" s="20">
        <v>45871</v>
      </c>
      <c r="B190" s="20" t="s">
        <v>3749</v>
      </c>
      <c r="C190" s="19" t="s">
        <v>16</v>
      </c>
      <c r="D190" s="19" t="s">
        <v>3543</v>
      </c>
      <c r="E190" s="4">
        <v>1</v>
      </c>
      <c r="F190" s="42">
        <v>3.85</v>
      </c>
      <c r="G190" s="45">
        <v>270</v>
      </c>
      <c r="H190" s="22">
        <v>2.5</v>
      </c>
      <c r="I190" s="6">
        <f t="shared" si="2"/>
        <v>2598.75</v>
      </c>
      <c r="J190" s="7" t="s">
        <v>3703</v>
      </c>
    </row>
    <row r="191" spans="1:10" ht="13.95" customHeight="1" x14ac:dyDescent="0.3">
      <c r="A191" s="20">
        <v>45872</v>
      </c>
      <c r="B191" s="20" t="s">
        <v>3749</v>
      </c>
      <c r="C191" s="19" t="s">
        <v>18</v>
      </c>
      <c r="D191" s="19" t="s">
        <v>3704</v>
      </c>
      <c r="E191" s="4">
        <v>1</v>
      </c>
      <c r="F191" s="42">
        <v>3.15</v>
      </c>
      <c r="G191" s="45">
        <v>270</v>
      </c>
      <c r="H191" s="22">
        <v>2.5</v>
      </c>
      <c r="I191" s="6">
        <f t="shared" si="2"/>
        <v>2126.25</v>
      </c>
      <c r="J191" s="7" t="s">
        <v>3705</v>
      </c>
    </row>
    <row r="192" spans="1:10" ht="13.95" customHeight="1" x14ac:dyDescent="0.3">
      <c r="A192" s="20">
        <v>45873</v>
      </c>
      <c r="B192" s="20" t="s">
        <v>3749</v>
      </c>
      <c r="C192" s="19" t="s">
        <v>20</v>
      </c>
      <c r="D192" s="19" t="s">
        <v>3704</v>
      </c>
      <c r="E192" s="4">
        <v>0.95</v>
      </c>
      <c r="F192" s="42">
        <v>3.1</v>
      </c>
      <c r="G192" s="45">
        <v>270</v>
      </c>
      <c r="H192" s="22">
        <v>2.5</v>
      </c>
      <c r="I192" s="6">
        <f t="shared" si="2"/>
        <v>1987.875</v>
      </c>
      <c r="J192" s="7" t="s">
        <v>3683</v>
      </c>
    </row>
    <row r="193" spans="1:10" ht="13.95" customHeight="1" x14ac:dyDescent="0.3">
      <c r="A193" s="20">
        <v>45874</v>
      </c>
      <c r="B193" s="20" t="s">
        <v>3749</v>
      </c>
      <c r="C193" s="19" t="s">
        <v>5</v>
      </c>
      <c r="D193" s="19" t="s">
        <v>3704</v>
      </c>
      <c r="E193" s="4">
        <v>0.95</v>
      </c>
      <c r="F193" s="42">
        <v>3.1</v>
      </c>
      <c r="G193" s="45">
        <v>270</v>
      </c>
      <c r="H193" s="22">
        <v>2.5</v>
      </c>
      <c r="I193" s="6">
        <f t="shared" si="2"/>
        <v>1987.875</v>
      </c>
      <c r="J193" s="7" t="s">
        <v>3683</v>
      </c>
    </row>
    <row r="194" spans="1:10" ht="13.95" customHeight="1" x14ac:dyDescent="0.3">
      <c r="A194" s="20">
        <v>45875</v>
      </c>
      <c r="B194" s="20" t="s">
        <v>3749</v>
      </c>
      <c r="C194" s="19" t="s">
        <v>8</v>
      </c>
      <c r="D194" s="19" t="s">
        <v>3704</v>
      </c>
      <c r="E194" s="4">
        <v>0.95</v>
      </c>
      <c r="F194" s="42">
        <v>3.15</v>
      </c>
      <c r="G194" s="45">
        <v>270</v>
      </c>
      <c r="H194" s="22">
        <v>2.5</v>
      </c>
      <c r="I194" s="6">
        <f t="shared" ref="I194:I257" si="3">(G194*E194)*F194*H194</f>
        <v>2019.9375</v>
      </c>
      <c r="J194" s="7" t="s">
        <v>3683</v>
      </c>
    </row>
    <row r="195" spans="1:10" ht="13.95" customHeight="1" x14ac:dyDescent="0.3">
      <c r="A195" s="20">
        <v>45876</v>
      </c>
      <c r="B195" s="20" t="s">
        <v>3749</v>
      </c>
      <c r="C195" s="19" t="s">
        <v>11</v>
      </c>
      <c r="D195" s="19" t="s">
        <v>3684</v>
      </c>
      <c r="E195" s="4">
        <v>1</v>
      </c>
      <c r="F195" s="42">
        <v>3.6</v>
      </c>
      <c r="G195" s="45">
        <v>270</v>
      </c>
      <c r="H195" s="22">
        <v>2.5</v>
      </c>
      <c r="I195" s="6">
        <f t="shared" si="3"/>
        <v>2430</v>
      </c>
      <c r="J195" s="7" t="s">
        <v>3706</v>
      </c>
    </row>
    <row r="196" spans="1:10" ht="13.95" customHeight="1" x14ac:dyDescent="0.3">
      <c r="A196" s="20">
        <v>45877</v>
      </c>
      <c r="B196" s="20" t="s">
        <v>3749</v>
      </c>
      <c r="C196" s="19" t="s">
        <v>13</v>
      </c>
      <c r="D196" s="19" t="s">
        <v>3707</v>
      </c>
      <c r="E196" s="4">
        <v>1</v>
      </c>
      <c r="F196" s="42">
        <v>4.4000000000000004</v>
      </c>
      <c r="G196" s="45">
        <v>270</v>
      </c>
      <c r="H196" s="22">
        <v>2.5</v>
      </c>
      <c r="I196" s="6">
        <f t="shared" si="3"/>
        <v>2970</v>
      </c>
      <c r="J196" s="7" t="s">
        <v>1711</v>
      </c>
    </row>
    <row r="197" spans="1:10" ht="13.95" customHeight="1" x14ac:dyDescent="0.3">
      <c r="A197" s="20">
        <v>45878</v>
      </c>
      <c r="B197" s="20" t="s">
        <v>3749</v>
      </c>
      <c r="C197" s="19" t="s">
        <v>16</v>
      </c>
      <c r="D197" s="19" t="s">
        <v>3543</v>
      </c>
      <c r="E197" s="4">
        <v>1</v>
      </c>
      <c r="F197" s="42">
        <v>3.9</v>
      </c>
      <c r="G197" s="45">
        <v>270</v>
      </c>
      <c r="H197" s="22">
        <v>2.5</v>
      </c>
      <c r="I197" s="6">
        <f t="shared" si="3"/>
        <v>2632.5</v>
      </c>
      <c r="J197" s="7" t="s">
        <v>3708</v>
      </c>
    </row>
    <row r="198" spans="1:10" ht="13.95" customHeight="1" x14ac:dyDescent="0.3">
      <c r="A198" s="20">
        <v>45879</v>
      </c>
      <c r="B198" s="20" t="s">
        <v>3749</v>
      </c>
      <c r="C198" s="19" t="s">
        <v>18</v>
      </c>
      <c r="D198" s="19" t="s">
        <v>3704</v>
      </c>
      <c r="E198" s="4">
        <v>0.95</v>
      </c>
      <c r="F198" s="42">
        <v>3.2</v>
      </c>
      <c r="G198" s="45">
        <v>270</v>
      </c>
      <c r="H198" s="22">
        <v>2.5</v>
      </c>
      <c r="I198" s="6">
        <f t="shared" si="3"/>
        <v>2052</v>
      </c>
      <c r="J198" s="7" t="s">
        <v>1449</v>
      </c>
    </row>
    <row r="199" spans="1:10" ht="13.95" customHeight="1" x14ac:dyDescent="0.3">
      <c r="A199" s="20">
        <v>45880</v>
      </c>
      <c r="B199" s="20" t="s">
        <v>3749</v>
      </c>
      <c r="C199" s="19" t="s">
        <v>20</v>
      </c>
      <c r="D199" s="19" t="s">
        <v>3704</v>
      </c>
      <c r="E199" s="4">
        <v>0.95</v>
      </c>
      <c r="F199" s="42">
        <v>3.2</v>
      </c>
      <c r="G199" s="45">
        <v>270</v>
      </c>
      <c r="H199" s="22">
        <v>2.5</v>
      </c>
      <c r="I199" s="6">
        <f t="shared" si="3"/>
        <v>2052</v>
      </c>
      <c r="J199" s="7" t="s">
        <v>88</v>
      </c>
    </row>
    <row r="200" spans="1:10" ht="13.95" customHeight="1" x14ac:dyDescent="0.3">
      <c r="A200" s="20">
        <v>45881</v>
      </c>
      <c r="B200" s="20" t="s">
        <v>3749</v>
      </c>
      <c r="C200" s="19" t="s">
        <v>5</v>
      </c>
      <c r="D200" s="19" t="s">
        <v>994</v>
      </c>
      <c r="E200" s="4">
        <v>1</v>
      </c>
      <c r="F200" s="42">
        <v>3.3</v>
      </c>
      <c r="G200" s="45">
        <v>270</v>
      </c>
      <c r="H200" s="22">
        <v>2.5</v>
      </c>
      <c r="I200" s="6">
        <f t="shared" si="3"/>
        <v>2227.5</v>
      </c>
      <c r="J200" s="7" t="s">
        <v>849</v>
      </c>
    </row>
    <row r="201" spans="1:10" ht="13.95" customHeight="1" x14ac:dyDescent="0.3">
      <c r="A201" s="20">
        <v>45882</v>
      </c>
      <c r="B201" s="20" t="s">
        <v>3749</v>
      </c>
      <c r="C201" s="19" t="s">
        <v>8</v>
      </c>
      <c r="D201" s="19" t="s">
        <v>3123</v>
      </c>
      <c r="E201" s="4">
        <v>1</v>
      </c>
      <c r="F201" s="42">
        <v>4.7</v>
      </c>
      <c r="G201" s="45">
        <v>270</v>
      </c>
      <c r="H201" s="22">
        <v>2.5</v>
      </c>
      <c r="I201" s="6">
        <f t="shared" si="3"/>
        <v>3172.5</v>
      </c>
      <c r="J201" s="7" t="s">
        <v>3709</v>
      </c>
    </row>
    <row r="202" spans="1:10" ht="13.95" customHeight="1" x14ac:dyDescent="0.3">
      <c r="A202" s="20">
        <v>45883</v>
      </c>
      <c r="B202" s="20" t="s">
        <v>3749</v>
      </c>
      <c r="C202" s="19" t="s">
        <v>11</v>
      </c>
      <c r="D202" s="19" t="s">
        <v>3275</v>
      </c>
      <c r="E202" s="4">
        <v>1</v>
      </c>
      <c r="F202" s="42">
        <v>3.75</v>
      </c>
      <c r="G202" s="45">
        <v>270</v>
      </c>
      <c r="H202" s="22">
        <v>2.5</v>
      </c>
      <c r="I202" s="6">
        <f t="shared" si="3"/>
        <v>2531.25</v>
      </c>
      <c r="J202" s="7" t="s">
        <v>197</v>
      </c>
    </row>
    <row r="203" spans="1:10" ht="13.95" customHeight="1" x14ac:dyDescent="0.3">
      <c r="A203" s="20">
        <v>45884</v>
      </c>
      <c r="B203" s="20" t="s">
        <v>3749</v>
      </c>
      <c r="C203" s="19" t="s">
        <v>13</v>
      </c>
      <c r="D203" s="19" t="s">
        <v>3125</v>
      </c>
      <c r="E203" s="4">
        <v>1</v>
      </c>
      <c r="F203" s="42">
        <v>4.55</v>
      </c>
      <c r="G203" s="45">
        <v>270</v>
      </c>
      <c r="H203" s="22">
        <v>2.5</v>
      </c>
      <c r="I203" s="6">
        <f t="shared" si="3"/>
        <v>3071.25</v>
      </c>
      <c r="J203" s="7" t="s">
        <v>3710</v>
      </c>
    </row>
    <row r="204" spans="1:10" ht="13.95" customHeight="1" x14ac:dyDescent="0.3">
      <c r="A204" s="20">
        <v>45885</v>
      </c>
      <c r="B204" s="20" t="s">
        <v>3749</v>
      </c>
      <c r="C204" s="19" t="s">
        <v>16</v>
      </c>
      <c r="D204" s="19" t="s">
        <v>3711</v>
      </c>
      <c r="E204" s="4">
        <v>1</v>
      </c>
      <c r="F204" s="42">
        <v>4</v>
      </c>
      <c r="G204" s="45">
        <v>270</v>
      </c>
      <c r="H204" s="22">
        <v>2.5</v>
      </c>
      <c r="I204" s="6">
        <f t="shared" si="3"/>
        <v>2700</v>
      </c>
      <c r="J204" s="7" t="s">
        <v>1199</v>
      </c>
    </row>
    <row r="205" spans="1:10" ht="13.95" customHeight="1" x14ac:dyDescent="0.3">
      <c r="A205" s="20">
        <v>45886</v>
      </c>
      <c r="B205" s="20" t="s">
        <v>3749</v>
      </c>
      <c r="C205" s="19" t="s">
        <v>18</v>
      </c>
      <c r="D205" s="19" t="s">
        <v>3704</v>
      </c>
      <c r="E205" s="4">
        <v>0.95</v>
      </c>
      <c r="F205" s="42">
        <v>3.2</v>
      </c>
      <c r="G205" s="45">
        <v>270</v>
      </c>
      <c r="H205" s="22">
        <v>2.5</v>
      </c>
      <c r="I205" s="6">
        <f t="shared" si="3"/>
        <v>2052</v>
      </c>
      <c r="J205" s="7" t="s">
        <v>3696</v>
      </c>
    </row>
    <row r="206" spans="1:10" ht="13.95" customHeight="1" x14ac:dyDescent="0.3">
      <c r="A206" s="20">
        <v>45887</v>
      </c>
      <c r="B206" s="20" t="s">
        <v>3749</v>
      </c>
      <c r="C206" s="19" t="s">
        <v>20</v>
      </c>
      <c r="D206" s="19" t="s">
        <v>3704</v>
      </c>
      <c r="E206" s="4">
        <v>0.95</v>
      </c>
      <c r="F206" s="42">
        <v>3.2</v>
      </c>
      <c r="G206" s="45">
        <v>270</v>
      </c>
      <c r="H206" s="22">
        <v>2.5</v>
      </c>
      <c r="I206" s="6">
        <f t="shared" si="3"/>
        <v>2052</v>
      </c>
      <c r="J206" s="7" t="s">
        <v>88</v>
      </c>
    </row>
    <row r="207" spans="1:10" ht="13.95" customHeight="1" x14ac:dyDescent="0.3">
      <c r="A207" s="20">
        <v>45888</v>
      </c>
      <c r="B207" s="20" t="s">
        <v>3749</v>
      </c>
      <c r="C207" s="19" t="s">
        <v>5</v>
      </c>
      <c r="D207" s="19" t="s">
        <v>3704</v>
      </c>
      <c r="E207" s="4">
        <v>0.95</v>
      </c>
      <c r="F207" s="42">
        <v>3.2</v>
      </c>
      <c r="G207" s="45">
        <v>270</v>
      </c>
      <c r="H207" s="22">
        <v>2.5</v>
      </c>
      <c r="I207" s="6">
        <f t="shared" si="3"/>
        <v>2052</v>
      </c>
      <c r="J207" s="7" t="s">
        <v>88</v>
      </c>
    </row>
    <row r="208" spans="1:10" ht="13.95" customHeight="1" x14ac:dyDescent="0.3">
      <c r="A208" s="20">
        <v>45889</v>
      </c>
      <c r="B208" s="20" t="s">
        <v>3749</v>
      </c>
      <c r="C208" s="19" t="s">
        <v>8</v>
      </c>
      <c r="D208" s="19" t="s">
        <v>3704</v>
      </c>
      <c r="E208" s="4">
        <v>0.95</v>
      </c>
      <c r="F208" s="42">
        <v>3.25</v>
      </c>
      <c r="G208" s="45">
        <v>270</v>
      </c>
      <c r="H208" s="22">
        <v>2.5</v>
      </c>
      <c r="I208" s="6">
        <f t="shared" si="3"/>
        <v>2084.0625</v>
      </c>
      <c r="J208" s="7" t="s">
        <v>88</v>
      </c>
    </row>
    <row r="209" spans="1:10" ht="13.95" customHeight="1" x14ac:dyDescent="0.3">
      <c r="A209" s="20">
        <v>45890</v>
      </c>
      <c r="B209" s="20" t="s">
        <v>3749</v>
      </c>
      <c r="C209" s="19" t="s">
        <v>11</v>
      </c>
      <c r="D209" s="19" t="s">
        <v>3684</v>
      </c>
      <c r="E209" s="4">
        <v>1</v>
      </c>
      <c r="F209" s="42">
        <v>3.65</v>
      </c>
      <c r="G209" s="45">
        <v>270</v>
      </c>
      <c r="H209" s="22">
        <v>2.5</v>
      </c>
      <c r="I209" s="6">
        <f t="shared" si="3"/>
        <v>2463.75</v>
      </c>
      <c r="J209" s="7" t="s">
        <v>1971</v>
      </c>
    </row>
    <row r="210" spans="1:10" ht="13.95" customHeight="1" x14ac:dyDescent="0.3">
      <c r="A210" s="20">
        <v>45891</v>
      </c>
      <c r="B210" s="20" t="s">
        <v>3749</v>
      </c>
      <c r="C210" s="19" t="s">
        <v>13</v>
      </c>
      <c r="D210" s="19" t="s">
        <v>3111</v>
      </c>
      <c r="E210" s="4">
        <v>1</v>
      </c>
      <c r="F210" s="42">
        <v>4.45</v>
      </c>
      <c r="G210" s="45">
        <v>270</v>
      </c>
      <c r="H210" s="22">
        <v>2.5</v>
      </c>
      <c r="I210" s="6">
        <f t="shared" si="3"/>
        <v>3003.75</v>
      </c>
      <c r="J210" s="7" t="s">
        <v>3694</v>
      </c>
    </row>
    <row r="211" spans="1:10" ht="13.95" customHeight="1" x14ac:dyDescent="0.3">
      <c r="A211" s="20">
        <v>45892</v>
      </c>
      <c r="B211" s="20" t="s">
        <v>3749</v>
      </c>
      <c r="C211" s="19" t="s">
        <v>16</v>
      </c>
      <c r="D211" s="19" t="s">
        <v>3543</v>
      </c>
      <c r="E211" s="4">
        <v>1</v>
      </c>
      <c r="F211" s="42">
        <v>3.9</v>
      </c>
      <c r="G211" s="45">
        <v>270</v>
      </c>
      <c r="H211" s="22">
        <v>2.5</v>
      </c>
      <c r="I211" s="6">
        <f t="shared" si="3"/>
        <v>2632.5</v>
      </c>
      <c r="J211" s="7" t="s">
        <v>3695</v>
      </c>
    </row>
    <row r="212" spans="1:10" ht="13.95" customHeight="1" x14ac:dyDescent="0.3">
      <c r="A212" s="20">
        <v>45893</v>
      </c>
      <c r="B212" s="20" t="s">
        <v>3749</v>
      </c>
      <c r="C212" s="19" t="s">
        <v>18</v>
      </c>
      <c r="D212" s="19" t="s">
        <v>3704</v>
      </c>
      <c r="E212" s="4">
        <v>0.95</v>
      </c>
      <c r="F212" s="42">
        <v>3.15</v>
      </c>
      <c r="G212" s="45">
        <v>270</v>
      </c>
      <c r="H212" s="22">
        <v>2.5</v>
      </c>
      <c r="I212" s="6">
        <f t="shared" si="3"/>
        <v>2019.9375</v>
      </c>
      <c r="J212" s="7" t="s">
        <v>2447</v>
      </c>
    </row>
    <row r="213" spans="1:10" ht="13.95" customHeight="1" x14ac:dyDescent="0.3">
      <c r="A213" s="20">
        <v>45894</v>
      </c>
      <c r="B213" s="20" t="s">
        <v>3749</v>
      </c>
      <c r="C213" s="19" t="s">
        <v>20</v>
      </c>
      <c r="D213" s="19" t="s">
        <v>3704</v>
      </c>
      <c r="E213" s="4">
        <v>0.95</v>
      </c>
      <c r="F213" s="42">
        <v>3.1</v>
      </c>
      <c r="G213" s="45">
        <v>270</v>
      </c>
      <c r="H213" s="22">
        <v>2.5</v>
      </c>
      <c r="I213" s="6">
        <f t="shared" si="3"/>
        <v>1987.875</v>
      </c>
      <c r="J213" s="7" t="s">
        <v>88</v>
      </c>
    </row>
    <row r="214" spans="1:10" ht="13.95" customHeight="1" x14ac:dyDescent="0.3">
      <c r="A214" s="20">
        <v>45895</v>
      </c>
      <c r="B214" s="20" t="s">
        <v>3749</v>
      </c>
      <c r="C214" s="19" t="s">
        <v>5</v>
      </c>
      <c r="D214" s="19" t="s">
        <v>3704</v>
      </c>
      <c r="E214" s="4">
        <v>0.9</v>
      </c>
      <c r="F214" s="42">
        <v>3.1</v>
      </c>
      <c r="G214" s="45">
        <v>270</v>
      </c>
      <c r="H214" s="22">
        <v>2.5</v>
      </c>
      <c r="I214" s="6">
        <f t="shared" si="3"/>
        <v>1883.2500000000002</v>
      </c>
      <c r="J214" s="7" t="s">
        <v>88</v>
      </c>
    </row>
    <row r="215" spans="1:10" ht="13.95" customHeight="1" x14ac:dyDescent="0.3">
      <c r="A215" s="20">
        <v>45896</v>
      </c>
      <c r="B215" s="20" t="s">
        <v>3749</v>
      </c>
      <c r="C215" s="19" t="s">
        <v>8</v>
      </c>
      <c r="D215" s="19" t="s">
        <v>3704</v>
      </c>
      <c r="E215" s="4">
        <v>0.9</v>
      </c>
      <c r="F215" s="42">
        <v>3.1</v>
      </c>
      <c r="G215" s="45">
        <v>270</v>
      </c>
      <c r="H215" s="22">
        <v>2.5</v>
      </c>
      <c r="I215" s="6">
        <f t="shared" si="3"/>
        <v>1883.2500000000002</v>
      </c>
      <c r="J215" s="7" t="s">
        <v>2806</v>
      </c>
    </row>
    <row r="216" spans="1:10" ht="13.95" customHeight="1" x14ac:dyDescent="0.3">
      <c r="A216" s="20">
        <v>45897</v>
      </c>
      <c r="B216" s="20" t="s">
        <v>3749</v>
      </c>
      <c r="C216" s="19" t="s">
        <v>11</v>
      </c>
      <c r="D216" s="19" t="s">
        <v>3712</v>
      </c>
      <c r="E216" s="4">
        <v>0.95</v>
      </c>
      <c r="F216" s="42">
        <v>3.3</v>
      </c>
      <c r="G216" s="45">
        <v>270</v>
      </c>
      <c r="H216" s="22">
        <v>2.5</v>
      </c>
      <c r="I216" s="6">
        <f t="shared" si="3"/>
        <v>2116.125</v>
      </c>
      <c r="J216" s="7" t="s">
        <v>3713</v>
      </c>
    </row>
    <row r="217" spans="1:10" ht="13.95" customHeight="1" x14ac:dyDescent="0.3">
      <c r="A217" s="20">
        <v>45898</v>
      </c>
      <c r="B217" s="20" t="s">
        <v>3749</v>
      </c>
      <c r="C217" s="19" t="s">
        <v>13</v>
      </c>
      <c r="D217" s="19" t="s">
        <v>3714</v>
      </c>
      <c r="E217" s="4">
        <v>1</v>
      </c>
      <c r="F217" s="42">
        <v>4</v>
      </c>
      <c r="G217" s="45">
        <v>270</v>
      </c>
      <c r="H217" s="22">
        <v>2.5</v>
      </c>
      <c r="I217" s="6">
        <f t="shared" si="3"/>
        <v>2700</v>
      </c>
      <c r="J217" s="7" t="s">
        <v>3715</v>
      </c>
    </row>
    <row r="218" spans="1:10" ht="13.95" customHeight="1" x14ac:dyDescent="0.3">
      <c r="A218" s="20">
        <v>45899</v>
      </c>
      <c r="B218" s="20" t="s">
        <v>3749</v>
      </c>
      <c r="C218" s="19" t="s">
        <v>16</v>
      </c>
      <c r="D218" s="19" t="s">
        <v>3716</v>
      </c>
      <c r="E218" s="4">
        <v>0.95</v>
      </c>
      <c r="F218" s="42">
        <v>3.65</v>
      </c>
      <c r="G218" s="45">
        <v>270</v>
      </c>
      <c r="H218" s="22">
        <v>2.5</v>
      </c>
      <c r="I218" s="6">
        <f t="shared" si="3"/>
        <v>2340.5625</v>
      </c>
      <c r="J218" s="7" t="s">
        <v>1647</v>
      </c>
    </row>
    <row r="219" spans="1:10" ht="13.95" customHeight="1" x14ac:dyDescent="0.3">
      <c r="A219" s="20">
        <v>45900</v>
      </c>
      <c r="B219" s="20" t="s">
        <v>3749</v>
      </c>
      <c r="C219" s="19" t="s">
        <v>18</v>
      </c>
      <c r="D219" s="19" t="s">
        <v>44</v>
      </c>
      <c r="E219" s="4">
        <v>0.8</v>
      </c>
      <c r="F219" s="42">
        <v>2.75</v>
      </c>
      <c r="G219" s="45">
        <v>270</v>
      </c>
      <c r="H219" s="22">
        <v>2.5</v>
      </c>
      <c r="I219" s="6">
        <f t="shared" si="3"/>
        <v>1485</v>
      </c>
      <c r="J219" s="7" t="s">
        <v>3717</v>
      </c>
    </row>
    <row r="220" spans="1:10" ht="13.95" customHeight="1" x14ac:dyDescent="0.3">
      <c r="A220" s="20">
        <v>45901</v>
      </c>
      <c r="B220" s="20" t="s">
        <v>3749</v>
      </c>
      <c r="C220" s="19" t="s">
        <v>20</v>
      </c>
      <c r="D220" s="19" t="s">
        <v>44</v>
      </c>
      <c r="E220" s="4">
        <v>0.75</v>
      </c>
      <c r="F220" s="42">
        <v>2.75</v>
      </c>
      <c r="G220" s="45">
        <v>270</v>
      </c>
      <c r="H220" s="22">
        <v>2.2000000000000002</v>
      </c>
      <c r="I220" s="6">
        <f t="shared" si="3"/>
        <v>1225.125</v>
      </c>
      <c r="J220" s="7" t="s">
        <v>3718</v>
      </c>
    </row>
    <row r="221" spans="1:10" ht="13.95" customHeight="1" x14ac:dyDescent="0.3">
      <c r="A221" s="20">
        <v>45902</v>
      </c>
      <c r="B221" s="20" t="s">
        <v>3749</v>
      </c>
      <c r="C221" s="19" t="s">
        <v>5</v>
      </c>
      <c r="D221" s="19" t="s">
        <v>706</v>
      </c>
      <c r="E221" s="4">
        <v>0.7</v>
      </c>
      <c r="F221" s="42">
        <v>2.25</v>
      </c>
      <c r="G221" s="45">
        <v>270</v>
      </c>
      <c r="H221" s="22">
        <v>2.2000000000000002</v>
      </c>
      <c r="I221" s="6">
        <f t="shared" si="3"/>
        <v>935.55000000000007</v>
      </c>
      <c r="J221" s="7" t="s">
        <v>115</v>
      </c>
    </row>
    <row r="222" spans="1:10" ht="13.95" customHeight="1" x14ac:dyDescent="0.3">
      <c r="A222" s="20">
        <v>45903</v>
      </c>
      <c r="B222" s="20" t="s">
        <v>3749</v>
      </c>
      <c r="C222" s="19" t="s">
        <v>8</v>
      </c>
      <c r="D222" s="19" t="s">
        <v>706</v>
      </c>
      <c r="E222" s="4">
        <v>0.7</v>
      </c>
      <c r="F222" s="42">
        <v>2.25</v>
      </c>
      <c r="G222" s="45">
        <v>270</v>
      </c>
      <c r="H222" s="22">
        <v>2.2000000000000002</v>
      </c>
      <c r="I222" s="6">
        <f t="shared" si="3"/>
        <v>935.55000000000007</v>
      </c>
      <c r="J222" s="7" t="s">
        <v>3504</v>
      </c>
    </row>
    <row r="223" spans="1:10" ht="13.95" customHeight="1" x14ac:dyDescent="0.3">
      <c r="A223" s="20">
        <v>45904</v>
      </c>
      <c r="B223" s="20" t="s">
        <v>3749</v>
      </c>
      <c r="C223" s="19" t="s">
        <v>11</v>
      </c>
      <c r="D223" s="19" t="s">
        <v>2993</v>
      </c>
      <c r="E223" s="4">
        <v>0.75</v>
      </c>
      <c r="F223" s="42">
        <v>2.9</v>
      </c>
      <c r="G223" s="45">
        <v>270</v>
      </c>
      <c r="H223" s="22">
        <v>2.2000000000000002</v>
      </c>
      <c r="I223" s="6">
        <f t="shared" si="3"/>
        <v>1291.95</v>
      </c>
      <c r="J223" s="7" t="s">
        <v>1600</v>
      </c>
    </row>
    <row r="224" spans="1:10" ht="13.95" customHeight="1" x14ac:dyDescent="0.3">
      <c r="A224" s="20">
        <v>45905</v>
      </c>
      <c r="B224" s="20" t="s">
        <v>3749</v>
      </c>
      <c r="C224" s="19" t="s">
        <v>13</v>
      </c>
      <c r="D224" s="19" t="s">
        <v>3719</v>
      </c>
      <c r="E224" s="4">
        <v>0.85</v>
      </c>
      <c r="F224" s="42">
        <v>3.8</v>
      </c>
      <c r="G224" s="45">
        <v>270</v>
      </c>
      <c r="H224" s="22">
        <v>2.2000000000000002</v>
      </c>
      <c r="I224" s="6">
        <f t="shared" si="3"/>
        <v>1918.62</v>
      </c>
      <c r="J224" s="7" t="s">
        <v>3401</v>
      </c>
    </row>
    <row r="225" spans="1:10" ht="13.95" customHeight="1" x14ac:dyDescent="0.3">
      <c r="A225" s="20">
        <v>45906</v>
      </c>
      <c r="B225" s="20" t="s">
        <v>3749</v>
      </c>
      <c r="C225" s="19" t="s">
        <v>16</v>
      </c>
      <c r="D225" s="19" t="s">
        <v>3612</v>
      </c>
      <c r="E225" s="4">
        <v>0.8</v>
      </c>
      <c r="F225" s="42">
        <v>3.35</v>
      </c>
      <c r="G225" s="45">
        <v>270</v>
      </c>
      <c r="H225" s="22">
        <v>2.2000000000000002</v>
      </c>
      <c r="I225" s="6">
        <f t="shared" si="3"/>
        <v>1591.92</v>
      </c>
      <c r="J225" s="7" t="s">
        <v>1111</v>
      </c>
    </row>
    <row r="226" spans="1:10" ht="13.95" customHeight="1" x14ac:dyDescent="0.3">
      <c r="A226" s="20">
        <v>45907</v>
      </c>
      <c r="B226" s="20" t="s">
        <v>3749</v>
      </c>
      <c r="C226" s="19" t="s">
        <v>18</v>
      </c>
      <c r="D226" s="19" t="s">
        <v>706</v>
      </c>
      <c r="E226" s="4">
        <v>0.65</v>
      </c>
      <c r="F226" s="42">
        <v>2.2000000000000002</v>
      </c>
      <c r="G226" s="45">
        <v>270</v>
      </c>
      <c r="H226" s="22">
        <v>2.2000000000000002</v>
      </c>
      <c r="I226" s="6">
        <f t="shared" si="3"/>
        <v>849.42000000000007</v>
      </c>
      <c r="J226" s="7" t="s">
        <v>527</v>
      </c>
    </row>
    <row r="227" spans="1:10" ht="13.95" customHeight="1" x14ac:dyDescent="0.3">
      <c r="A227" s="20">
        <v>45908</v>
      </c>
      <c r="B227" s="20" t="s">
        <v>3749</v>
      </c>
      <c r="C227" s="19" t="s">
        <v>20</v>
      </c>
      <c r="D227" s="19" t="s">
        <v>706</v>
      </c>
      <c r="E227" s="4">
        <v>0.7</v>
      </c>
      <c r="F227" s="42">
        <v>2.25</v>
      </c>
      <c r="G227" s="45">
        <v>270</v>
      </c>
      <c r="H227" s="22">
        <v>2.2000000000000002</v>
      </c>
      <c r="I227" s="6">
        <f t="shared" si="3"/>
        <v>935.55000000000007</v>
      </c>
      <c r="J227" s="7" t="s">
        <v>1283</v>
      </c>
    </row>
    <row r="228" spans="1:10" ht="13.95" customHeight="1" x14ac:dyDescent="0.3">
      <c r="A228" s="20">
        <v>45909</v>
      </c>
      <c r="B228" s="20" t="s">
        <v>3749</v>
      </c>
      <c r="C228" s="19" t="s">
        <v>5</v>
      </c>
      <c r="D228" s="19" t="s">
        <v>706</v>
      </c>
      <c r="E228" s="4">
        <v>0.7</v>
      </c>
      <c r="F228" s="42">
        <v>2.25</v>
      </c>
      <c r="G228" s="45">
        <v>270</v>
      </c>
      <c r="H228" s="22">
        <v>2.2000000000000002</v>
      </c>
      <c r="I228" s="6">
        <f t="shared" si="3"/>
        <v>935.55000000000007</v>
      </c>
      <c r="J228" s="7" t="s">
        <v>88</v>
      </c>
    </row>
    <row r="229" spans="1:10" ht="13.95" customHeight="1" x14ac:dyDescent="0.3">
      <c r="A229" s="20">
        <v>45910</v>
      </c>
      <c r="B229" s="20" t="s">
        <v>3749</v>
      </c>
      <c r="C229" s="19" t="s">
        <v>8</v>
      </c>
      <c r="D229" s="19" t="s">
        <v>706</v>
      </c>
      <c r="E229" s="4">
        <v>0.75</v>
      </c>
      <c r="F229" s="42">
        <v>2.2999999999999998</v>
      </c>
      <c r="G229" s="45">
        <v>270</v>
      </c>
      <c r="H229" s="22">
        <v>2.2000000000000002</v>
      </c>
      <c r="I229" s="6">
        <f t="shared" si="3"/>
        <v>1024.6499999999999</v>
      </c>
      <c r="J229" s="7" t="s">
        <v>88</v>
      </c>
    </row>
    <row r="230" spans="1:10" ht="13.95" customHeight="1" x14ac:dyDescent="0.3">
      <c r="A230" s="20">
        <v>45911</v>
      </c>
      <c r="B230" s="20" t="s">
        <v>3749</v>
      </c>
      <c r="C230" s="19" t="s">
        <v>11</v>
      </c>
      <c r="D230" s="19" t="s">
        <v>2993</v>
      </c>
      <c r="E230" s="4">
        <v>0.75</v>
      </c>
      <c r="F230" s="42">
        <v>2.95</v>
      </c>
      <c r="G230" s="45">
        <v>270</v>
      </c>
      <c r="H230" s="22">
        <v>2.2000000000000002</v>
      </c>
      <c r="I230" s="6">
        <f t="shared" si="3"/>
        <v>1314.2250000000001</v>
      </c>
      <c r="J230" s="7" t="s">
        <v>1813</v>
      </c>
    </row>
    <row r="231" spans="1:10" ht="13.95" customHeight="1" x14ac:dyDescent="0.3">
      <c r="A231" s="20">
        <v>45912</v>
      </c>
      <c r="B231" s="20" t="s">
        <v>3749</v>
      </c>
      <c r="C231" s="19" t="s">
        <v>13</v>
      </c>
      <c r="D231" s="19" t="s">
        <v>3001</v>
      </c>
      <c r="E231" s="4">
        <v>0.9</v>
      </c>
      <c r="F231" s="42">
        <v>3.9</v>
      </c>
      <c r="G231" s="45">
        <v>270</v>
      </c>
      <c r="H231" s="22">
        <v>2.2000000000000002</v>
      </c>
      <c r="I231" s="6">
        <f t="shared" si="3"/>
        <v>2084.94</v>
      </c>
      <c r="J231" s="7" t="s">
        <v>3694</v>
      </c>
    </row>
    <row r="232" spans="1:10" ht="13.95" customHeight="1" x14ac:dyDescent="0.3">
      <c r="A232" s="20">
        <v>45913</v>
      </c>
      <c r="B232" s="20" t="s">
        <v>3749</v>
      </c>
      <c r="C232" s="19" t="s">
        <v>16</v>
      </c>
      <c r="D232" s="19" t="s">
        <v>3480</v>
      </c>
      <c r="E232" s="4">
        <v>0.8</v>
      </c>
      <c r="F232" s="42">
        <v>3.3</v>
      </c>
      <c r="G232" s="45">
        <v>270</v>
      </c>
      <c r="H232" s="22">
        <v>2.2000000000000002</v>
      </c>
      <c r="I232" s="6">
        <f t="shared" si="3"/>
        <v>1568.16</v>
      </c>
      <c r="J232" s="7" t="s">
        <v>3313</v>
      </c>
    </row>
    <row r="233" spans="1:10" ht="13.95" customHeight="1" x14ac:dyDescent="0.3">
      <c r="A233" s="20">
        <v>45914</v>
      </c>
      <c r="B233" s="20" t="s">
        <v>3749</v>
      </c>
      <c r="C233" s="19" t="s">
        <v>18</v>
      </c>
      <c r="D233" s="19" t="s">
        <v>706</v>
      </c>
      <c r="E233" s="4">
        <v>0.65</v>
      </c>
      <c r="F233" s="42">
        <v>2.2000000000000002</v>
      </c>
      <c r="G233" s="45">
        <v>270</v>
      </c>
      <c r="H233" s="22">
        <v>2.2000000000000002</v>
      </c>
      <c r="I233" s="6">
        <f t="shared" si="3"/>
        <v>849.42000000000007</v>
      </c>
      <c r="J233" s="7" t="s">
        <v>88</v>
      </c>
    </row>
    <row r="234" spans="1:10" ht="13.95" customHeight="1" x14ac:dyDescent="0.3">
      <c r="A234" s="20">
        <v>45915</v>
      </c>
      <c r="B234" s="20" t="s">
        <v>3749</v>
      </c>
      <c r="C234" s="19" t="s">
        <v>20</v>
      </c>
      <c r="D234" s="19" t="s">
        <v>3663</v>
      </c>
      <c r="E234" s="4">
        <v>0.9</v>
      </c>
      <c r="F234" s="42">
        <v>2.4500000000000002</v>
      </c>
      <c r="G234" s="45">
        <v>270</v>
      </c>
      <c r="H234" s="22">
        <v>2.2000000000000002</v>
      </c>
      <c r="I234" s="6">
        <f t="shared" si="3"/>
        <v>1309.7700000000002</v>
      </c>
      <c r="J234" s="7" t="s">
        <v>3720</v>
      </c>
    </row>
    <row r="235" spans="1:10" ht="13.95" customHeight="1" x14ac:dyDescent="0.3">
      <c r="A235" s="20">
        <v>45916</v>
      </c>
      <c r="B235" s="20" t="s">
        <v>3749</v>
      </c>
      <c r="C235" s="19" t="s">
        <v>5</v>
      </c>
      <c r="D235" s="19" t="s">
        <v>3663</v>
      </c>
      <c r="E235" s="4">
        <v>0.9</v>
      </c>
      <c r="F235" s="42">
        <v>2.4500000000000002</v>
      </c>
      <c r="G235" s="45">
        <v>270</v>
      </c>
      <c r="H235" s="22">
        <v>2.2000000000000002</v>
      </c>
      <c r="I235" s="6">
        <f t="shared" si="3"/>
        <v>1309.7700000000002</v>
      </c>
      <c r="J235" s="7" t="s">
        <v>3721</v>
      </c>
    </row>
    <row r="236" spans="1:10" ht="13.95" customHeight="1" x14ac:dyDescent="0.3">
      <c r="A236" s="20">
        <v>45917</v>
      </c>
      <c r="B236" s="20" t="s">
        <v>3749</v>
      </c>
      <c r="C236" s="19" t="s">
        <v>8</v>
      </c>
      <c r="D236" s="19" t="s">
        <v>706</v>
      </c>
      <c r="E236" s="4">
        <v>0.75</v>
      </c>
      <c r="F236" s="42">
        <v>2.2999999999999998</v>
      </c>
      <c r="G236" s="45">
        <v>270</v>
      </c>
      <c r="H236" s="22">
        <v>2.2000000000000002</v>
      </c>
      <c r="I236" s="6">
        <f t="shared" si="3"/>
        <v>1024.6499999999999</v>
      </c>
      <c r="J236" s="7" t="s">
        <v>2115</v>
      </c>
    </row>
    <row r="237" spans="1:10" ht="13.95" customHeight="1" x14ac:dyDescent="0.3">
      <c r="A237" s="20">
        <v>45918</v>
      </c>
      <c r="B237" s="20" t="s">
        <v>3749</v>
      </c>
      <c r="C237" s="19" t="s">
        <v>11</v>
      </c>
      <c r="D237" s="19" t="s">
        <v>2993</v>
      </c>
      <c r="E237" s="4">
        <v>0.75</v>
      </c>
      <c r="F237" s="42">
        <v>2.9</v>
      </c>
      <c r="G237" s="45">
        <v>270</v>
      </c>
      <c r="H237" s="22">
        <v>2.2000000000000002</v>
      </c>
      <c r="I237" s="6">
        <f t="shared" si="3"/>
        <v>1291.95</v>
      </c>
      <c r="J237" s="7" t="s">
        <v>1600</v>
      </c>
    </row>
    <row r="238" spans="1:10" ht="13.95" customHeight="1" x14ac:dyDescent="0.3">
      <c r="A238" s="20">
        <v>45919</v>
      </c>
      <c r="B238" s="20" t="s">
        <v>3749</v>
      </c>
      <c r="C238" s="19" t="s">
        <v>13</v>
      </c>
      <c r="D238" s="19" t="s">
        <v>3304</v>
      </c>
      <c r="E238" s="4">
        <v>0.85</v>
      </c>
      <c r="F238" s="42">
        <v>3.8</v>
      </c>
      <c r="G238" s="45">
        <v>270</v>
      </c>
      <c r="H238" s="22">
        <v>2.2000000000000002</v>
      </c>
      <c r="I238" s="6">
        <f t="shared" si="3"/>
        <v>1918.62</v>
      </c>
      <c r="J238" s="7" t="s">
        <v>1481</v>
      </c>
    </row>
    <row r="239" spans="1:10" ht="13.95" customHeight="1" x14ac:dyDescent="0.3">
      <c r="A239" s="20">
        <v>45920</v>
      </c>
      <c r="B239" s="20" t="s">
        <v>3749</v>
      </c>
      <c r="C239" s="19" t="s">
        <v>16</v>
      </c>
      <c r="D239" s="19" t="s">
        <v>3480</v>
      </c>
      <c r="E239" s="4">
        <v>0.8</v>
      </c>
      <c r="F239" s="42">
        <v>3.3</v>
      </c>
      <c r="G239" s="45">
        <v>270</v>
      </c>
      <c r="H239" s="22">
        <v>2.2000000000000002</v>
      </c>
      <c r="I239" s="6">
        <f t="shared" si="3"/>
        <v>1568.16</v>
      </c>
      <c r="J239" s="7" t="s">
        <v>88</v>
      </c>
    </row>
    <row r="240" spans="1:10" ht="13.95" customHeight="1" x14ac:dyDescent="0.3">
      <c r="A240" s="20">
        <v>45921</v>
      </c>
      <c r="B240" s="20" t="s">
        <v>3749</v>
      </c>
      <c r="C240" s="19" t="s">
        <v>18</v>
      </c>
      <c r="D240" s="19" t="s">
        <v>706</v>
      </c>
      <c r="E240" s="4">
        <v>0.65</v>
      </c>
      <c r="F240" s="42">
        <v>2.2000000000000002</v>
      </c>
      <c r="G240" s="45">
        <v>270</v>
      </c>
      <c r="H240" s="22">
        <v>2.2000000000000002</v>
      </c>
      <c r="I240" s="6">
        <f t="shared" si="3"/>
        <v>849.42000000000007</v>
      </c>
      <c r="J240" s="7" t="s">
        <v>88</v>
      </c>
    </row>
    <row r="241" spans="1:10" ht="13.95" customHeight="1" x14ac:dyDescent="0.3">
      <c r="A241" s="20">
        <v>45922</v>
      </c>
      <c r="B241" s="20" t="s">
        <v>3749</v>
      </c>
      <c r="C241" s="19" t="s">
        <v>20</v>
      </c>
      <c r="D241" s="19" t="s">
        <v>706</v>
      </c>
      <c r="E241" s="4">
        <v>0.7</v>
      </c>
      <c r="F241" s="42">
        <v>2.2000000000000002</v>
      </c>
      <c r="G241" s="45">
        <v>270</v>
      </c>
      <c r="H241" s="22">
        <v>2.2000000000000002</v>
      </c>
      <c r="I241" s="6">
        <f t="shared" si="3"/>
        <v>914.7600000000001</v>
      </c>
      <c r="J241" s="7" t="s">
        <v>88</v>
      </c>
    </row>
    <row r="242" spans="1:10" ht="13.95" customHeight="1" x14ac:dyDescent="0.3">
      <c r="A242" s="20">
        <v>45923</v>
      </c>
      <c r="B242" s="20" t="s">
        <v>3749</v>
      </c>
      <c r="C242" s="19" t="s">
        <v>5</v>
      </c>
      <c r="D242" s="19" t="s">
        <v>706</v>
      </c>
      <c r="E242" s="4">
        <v>0.7</v>
      </c>
      <c r="F242" s="42">
        <v>2.25</v>
      </c>
      <c r="G242" s="45">
        <v>270</v>
      </c>
      <c r="H242" s="22">
        <v>2.2000000000000002</v>
      </c>
      <c r="I242" s="6">
        <f t="shared" si="3"/>
        <v>935.55000000000007</v>
      </c>
      <c r="J242" s="7" t="s">
        <v>88</v>
      </c>
    </row>
    <row r="243" spans="1:10" ht="13.95" customHeight="1" x14ac:dyDescent="0.3">
      <c r="A243" s="20">
        <v>45924</v>
      </c>
      <c r="B243" s="20" t="s">
        <v>3749</v>
      </c>
      <c r="C243" s="19" t="s">
        <v>8</v>
      </c>
      <c r="D243" s="19" t="s">
        <v>706</v>
      </c>
      <c r="E243" s="4">
        <v>0.7</v>
      </c>
      <c r="F243" s="42">
        <v>2.25</v>
      </c>
      <c r="G243" s="45">
        <v>270</v>
      </c>
      <c r="H243" s="22">
        <v>2.2000000000000002</v>
      </c>
      <c r="I243" s="6">
        <f t="shared" si="3"/>
        <v>935.55000000000007</v>
      </c>
      <c r="J243" s="7" t="s">
        <v>88</v>
      </c>
    </row>
    <row r="244" spans="1:10" ht="13.95" customHeight="1" x14ac:dyDescent="0.3">
      <c r="A244" s="20">
        <v>45925</v>
      </c>
      <c r="B244" s="20" t="s">
        <v>3749</v>
      </c>
      <c r="C244" s="19" t="s">
        <v>11</v>
      </c>
      <c r="D244" s="19" t="s">
        <v>2993</v>
      </c>
      <c r="E244" s="4">
        <v>0.75</v>
      </c>
      <c r="F244" s="42">
        <v>2.95</v>
      </c>
      <c r="G244" s="45">
        <v>270</v>
      </c>
      <c r="H244" s="22">
        <v>2.2000000000000002</v>
      </c>
      <c r="I244" s="6">
        <f t="shared" si="3"/>
        <v>1314.2250000000001</v>
      </c>
      <c r="J244" s="7" t="s">
        <v>3722</v>
      </c>
    </row>
    <row r="245" spans="1:10" ht="13.95" customHeight="1" x14ac:dyDescent="0.3">
      <c r="A245" s="20">
        <v>45926</v>
      </c>
      <c r="B245" s="20" t="s">
        <v>3749</v>
      </c>
      <c r="C245" s="19" t="s">
        <v>13</v>
      </c>
      <c r="D245" s="19" t="s">
        <v>3723</v>
      </c>
      <c r="E245" s="4">
        <v>0.85</v>
      </c>
      <c r="F245" s="42">
        <v>3.85</v>
      </c>
      <c r="G245" s="45">
        <v>270</v>
      </c>
      <c r="H245" s="22">
        <v>2.2000000000000002</v>
      </c>
      <c r="I245" s="6">
        <f t="shared" si="3"/>
        <v>1943.8650000000002</v>
      </c>
      <c r="J245" s="7" t="s">
        <v>3724</v>
      </c>
    </row>
    <row r="246" spans="1:10" ht="13.95" customHeight="1" x14ac:dyDescent="0.3">
      <c r="A246" s="20">
        <v>45927</v>
      </c>
      <c r="B246" s="20" t="s">
        <v>3749</v>
      </c>
      <c r="C246" s="19" t="s">
        <v>16</v>
      </c>
      <c r="D246" s="19" t="s">
        <v>3480</v>
      </c>
      <c r="E246" s="4">
        <v>0.8</v>
      </c>
      <c r="F246" s="42">
        <v>3.35</v>
      </c>
      <c r="G246" s="45">
        <v>270</v>
      </c>
      <c r="H246" s="22">
        <v>2.2000000000000002</v>
      </c>
      <c r="I246" s="6">
        <f t="shared" si="3"/>
        <v>1591.92</v>
      </c>
      <c r="J246" s="7" t="s">
        <v>88</v>
      </c>
    </row>
    <row r="247" spans="1:10" ht="13.95" customHeight="1" x14ac:dyDescent="0.3">
      <c r="A247" s="20">
        <v>45928</v>
      </c>
      <c r="B247" s="20" t="s">
        <v>3749</v>
      </c>
      <c r="C247" s="19" t="s">
        <v>18</v>
      </c>
      <c r="D247" s="19" t="s">
        <v>706</v>
      </c>
      <c r="E247" s="4">
        <v>0.6</v>
      </c>
      <c r="F247" s="42">
        <v>2.15</v>
      </c>
      <c r="G247" s="45">
        <v>270</v>
      </c>
      <c r="H247" s="22">
        <v>2.2000000000000002</v>
      </c>
      <c r="I247" s="6">
        <f t="shared" si="3"/>
        <v>766.2600000000001</v>
      </c>
      <c r="J247" s="7" t="s">
        <v>70</v>
      </c>
    </row>
    <row r="248" spans="1:10" ht="13.95" customHeight="1" x14ac:dyDescent="0.3">
      <c r="A248" s="20">
        <v>45929</v>
      </c>
      <c r="B248" s="20" t="s">
        <v>3749</v>
      </c>
      <c r="C248" s="19" t="s">
        <v>20</v>
      </c>
      <c r="D248" s="19" t="s">
        <v>706</v>
      </c>
      <c r="E248" s="4">
        <v>0.65</v>
      </c>
      <c r="F248" s="42">
        <v>2.2000000000000002</v>
      </c>
      <c r="G248" s="45">
        <v>270</v>
      </c>
      <c r="H248" s="22">
        <v>2.2000000000000002</v>
      </c>
      <c r="I248" s="6">
        <f t="shared" si="3"/>
        <v>849.42000000000007</v>
      </c>
      <c r="J248" s="7" t="s">
        <v>88</v>
      </c>
    </row>
    <row r="249" spans="1:10" ht="13.95" customHeight="1" x14ac:dyDescent="0.3">
      <c r="A249" s="20">
        <v>45930</v>
      </c>
      <c r="B249" s="20" t="s">
        <v>3749</v>
      </c>
      <c r="C249" s="19" t="s">
        <v>5</v>
      </c>
      <c r="D249" s="19" t="s">
        <v>2783</v>
      </c>
      <c r="E249" s="4">
        <v>0.65</v>
      </c>
      <c r="F249" s="42">
        <v>2.25</v>
      </c>
      <c r="G249" s="45">
        <v>270</v>
      </c>
      <c r="H249" s="22">
        <v>2.2000000000000002</v>
      </c>
      <c r="I249" s="6">
        <f t="shared" si="3"/>
        <v>868.72500000000002</v>
      </c>
      <c r="J249" s="7" t="s">
        <v>3725</v>
      </c>
    </row>
    <row r="250" spans="1:10" ht="13.95" customHeight="1" x14ac:dyDescent="0.3">
      <c r="A250" s="20">
        <v>45931</v>
      </c>
      <c r="B250" s="20" t="s">
        <v>3749</v>
      </c>
      <c r="C250" s="19" t="s">
        <v>8</v>
      </c>
      <c r="D250" s="19" t="s">
        <v>706</v>
      </c>
      <c r="E250" s="4">
        <v>0.6</v>
      </c>
      <c r="F250" s="42">
        <v>2.2000000000000002</v>
      </c>
      <c r="G250" s="45">
        <v>270</v>
      </c>
      <c r="H250" s="22">
        <v>2.1</v>
      </c>
      <c r="I250" s="6">
        <f t="shared" si="3"/>
        <v>748.44</v>
      </c>
      <c r="J250" s="7" t="s">
        <v>3726</v>
      </c>
    </row>
    <row r="251" spans="1:10" ht="13.95" customHeight="1" x14ac:dyDescent="0.3">
      <c r="A251" s="20">
        <v>45932</v>
      </c>
      <c r="B251" s="20" t="s">
        <v>3749</v>
      </c>
      <c r="C251" s="19" t="s">
        <v>11</v>
      </c>
      <c r="D251" s="19" t="s">
        <v>2993</v>
      </c>
      <c r="E251" s="4">
        <v>0.7</v>
      </c>
      <c r="F251" s="42">
        <v>2.85</v>
      </c>
      <c r="G251" s="45">
        <v>270</v>
      </c>
      <c r="H251" s="22">
        <v>2.1</v>
      </c>
      <c r="I251" s="6">
        <f t="shared" si="3"/>
        <v>1131.165</v>
      </c>
      <c r="J251" s="7" t="s">
        <v>3662</v>
      </c>
    </row>
    <row r="252" spans="1:10" ht="13.95" customHeight="1" x14ac:dyDescent="0.3">
      <c r="A252" s="20">
        <v>45933</v>
      </c>
      <c r="B252" s="20" t="s">
        <v>3749</v>
      </c>
      <c r="C252" s="19" t="s">
        <v>13</v>
      </c>
      <c r="D252" s="19" t="s">
        <v>3304</v>
      </c>
      <c r="E252" s="4">
        <v>0.8</v>
      </c>
      <c r="F252" s="42">
        <v>3.7</v>
      </c>
      <c r="G252" s="45">
        <v>270</v>
      </c>
      <c r="H252" s="22">
        <v>2.1</v>
      </c>
      <c r="I252" s="6">
        <f t="shared" si="3"/>
        <v>1678.3200000000002</v>
      </c>
      <c r="J252" s="7" t="s">
        <v>3727</v>
      </c>
    </row>
    <row r="253" spans="1:10" ht="13.95" customHeight="1" x14ac:dyDescent="0.3">
      <c r="A253" s="20">
        <v>45934</v>
      </c>
      <c r="B253" s="20" t="s">
        <v>3749</v>
      </c>
      <c r="C253" s="19" t="s">
        <v>16</v>
      </c>
      <c r="D253" s="19" t="s">
        <v>3612</v>
      </c>
      <c r="E253" s="4">
        <v>0.75</v>
      </c>
      <c r="F253" s="42">
        <v>3.3</v>
      </c>
      <c r="G253" s="45">
        <v>270</v>
      </c>
      <c r="H253" s="22">
        <v>2.1</v>
      </c>
      <c r="I253" s="6">
        <f t="shared" si="3"/>
        <v>1403.325</v>
      </c>
      <c r="J253" s="7" t="s">
        <v>3728</v>
      </c>
    </row>
    <row r="254" spans="1:10" ht="13.95" customHeight="1" x14ac:dyDescent="0.3">
      <c r="A254" s="20">
        <v>45935</v>
      </c>
      <c r="B254" s="20" t="s">
        <v>3749</v>
      </c>
      <c r="C254" s="19" t="s">
        <v>18</v>
      </c>
      <c r="D254" s="19" t="s">
        <v>706</v>
      </c>
      <c r="E254" s="4">
        <v>0.55000000000000004</v>
      </c>
      <c r="F254" s="42">
        <v>2.15</v>
      </c>
      <c r="G254" s="45">
        <v>270</v>
      </c>
      <c r="H254" s="22">
        <v>2.1</v>
      </c>
      <c r="I254" s="6">
        <f t="shared" si="3"/>
        <v>670.47749999999996</v>
      </c>
      <c r="J254" s="7" t="s">
        <v>3504</v>
      </c>
    </row>
    <row r="255" spans="1:10" ht="13.95" customHeight="1" x14ac:dyDescent="0.3">
      <c r="A255" s="20">
        <v>45936</v>
      </c>
      <c r="B255" s="20" t="s">
        <v>3749</v>
      </c>
      <c r="C255" s="19" t="s">
        <v>20</v>
      </c>
      <c r="D255" s="19" t="s">
        <v>706</v>
      </c>
      <c r="E255" s="4">
        <v>0.55000000000000004</v>
      </c>
      <c r="F255" s="42">
        <v>2.15</v>
      </c>
      <c r="G255" s="45">
        <v>270</v>
      </c>
      <c r="H255" s="22">
        <v>2.1</v>
      </c>
      <c r="I255" s="6">
        <f t="shared" si="3"/>
        <v>670.47749999999996</v>
      </c>
      <c r="J255" s="7" t="s">
        <v>88</v>
      </c>
    </row>
    <row r="256" spans="1:10" ht="13.95" customHeight="1" x14ac:dyDescent="0.3">
      <c r="A256" s="20">
        <v>45937</v>
      </c>
      <c r="B256" s="20" t="s">
        <v>3749</v>
      </c>
      <c r="C256" s="19" t="s">
        <v>5</v>
      </c>
      <c r="D256" s="19" t="s">
        <v>706</v>
      </c>
      <c r="E256" s="4">
        <v>0.6</v>
      </c>
      <c r="F256" s="42">
        <v>2.2000000000000002</v>
      </c>
      <c r="G256" s="45">
        <v>270</v>
      </c>
      <c r="H256" s="22">
        <v>2.1</v>
      </c>
      <c r="I256" s="6">
        <f t="shared" si="3"/>
        <v>748.44</v>
      </c>
      <c r="J256" s="7" t="s">
        <v>88</v>
      </c>
    </row>
    <row r="257" spans="1:10" ht="13.95" customHeight="1" x14ac:dyDescent="0.3">
      <c r="A257" s="20">
        <v>45938</v>
      </c>
      <c r="B257" s="20" t="s">
        <v>3749</v>
      </c>
      <c r="C257" s="19" t="s">
        <v>8</v>
      </c>
      <c r="D257" s="19" t="s">
        <v>706</v>
      </c>
      <c r="E257" s="4">
        <v>0.65</v>
      </c>
      <c r="F257" s="42">
        <v>2.2000000000000002</v>
      </c>
      <c r="G257" s="45">
        <v>270</v>
      </c>
      <c r="H257" s="22">
        <v>2.1</v>
      </c>
      <c r="I257" s="6">
        <f t="shared" si="3"/>
        <v>810.81000000000006</v>
      </c>
      <c r="J257" s="7" t="s">
        <v>2115</v>
      </c>
    </row>
    <row r="258" spans="1:10" ht="13.95" customHeight="1" x14ac:dyDescent="0.3">
      <c r="A258" s="20">
        <v>45939</v>
      </c>
      <c r="B258" s="20" t="s">
        <v>3749</v>
      </c>
      <c r="C258" s="19" t="s">
        <v>11</v>
      </c>
      <c r="D258" s="19" t="s">
        <v>2993</v>
      </c>
      <c r="E258" s="4">
        <v>0.7</v>
      </c>
      <c r="F258" s="42">
        <v>2.9</v>
      </c>
      <c r="G258" s="45">
        <v>270</v>
      </c>
      <c r="H258" s="22">
        <v>2.1</v>
      </c>
      <c r="I258" s="6">
        <f t="shared" ref="I258:I321" si="4">(G258*E258)*F258*H258</f>
        <v>1151.01</v>
      </c>
      <c r="J258" s="7" t="s">
        <v>1765</v>
      </c>
    </row>
    <row r="259" spans="1:10" ht="13.95" customHeight="1" x14ac:dyDescent="0.3">
      <c r="A259" s="20">
        <v>45940</v>
      </c>
      <c r="B259" s="20" t="s">
        <v>3749</v>
      </c>
      <c r="C259" s="19" t="s">
        <v>13</v>
      </c>
      <c r="D259" s="19" t="s">
        <v>3001</v>
      </c>
      <c r="E259" s="4">
        <v>0.8</v>
      </c>
      <c r="F259" s="42">
        <v>3.75</v>
      </c>
      <c r="G259" s="45">
        <v>270</v>
      </c>
      <c r="H259" s="22">
        <v>2.1</v>
      </c>
      <c r="I259" s="6">
        <f t="shared" si="4"/>
        <v>1701</v>
      </c>
      <c r="J259" s="7" t="s">
        <v>1481</v>
      </c>
    </row>
    <row r="260" spans="1:10" ht="13.95" customHeight="1" x14ac:dyDescent="0.3">
      <c r="A260" s="20">
        <v>45941</v>
      </c>
      <c r="B260" s="20" t="s">
        <v>3749</v>
      </c>
      <c r="C260" s="19" t="s">
        <v>16</v>
      </c>
      <c r="D260" s="19" t="s">
        <v>3480</v>
      </c>
      <c r="E260" s="4">
        <v>0.75</v>
      </c>
      <c r="F260" s="42">
        <v>3.25</v>
      </c>
      <c r="G260" s="45">
        <v>270</v>
      </c>
      <c r="H260" s="22">
        <v>2.1</v>
      </c>
      <c r="I260" s="6">
        <f t="shared" si="4"/>
        <v>1382.0625</v>
      </c>
      <c r="J260" s="7" t="s">
        <v>3313</v>
      </c>
    </row>
    <row r="261" spans="1:10" ht="13.95" customHeight="1" x14ac:dyDescent="0.3">
      <c r="A261" s="20">
        <v>45942</v>
      </c>
      <c r="B261" s="20" t="s">
        <v>3749</v>
      </c>
      <c r="C261" s="19" t="s">
        <v>18</v>
      </c>
      <c r="D261" s="19" t="s">
        <v>706</v>
      </c>
      <c r="E261" s="4">
        <v>0.55000000000000004</v>
      </c>
      <c r="F261" s="42">
        <v>2.15</v>
      </c>
      <c r="G261" s="45">
        <v>270</v>
      </c>
      <c r="H261" s="22">
        <v>2.1</v>
      </c>
      <c r="I261" s="6">
        <f t="shared" si="4"/>
        <v>670.47749999999996</v>
      </c>
      <c r="J261" s="7" t="s">
        <v>88</v>
      </c>
    </row>
    <row r="262" spans="1:10" ht="13.95" customHeight="1" x14ac:dyDescent="0.3">
      <c r="A262" s="20">
        <v>45943</v>
      </c>
      <c r="B262" s="20" t="s">
        <v>3749</v>
      </c>
      <c r="C262" s="19" t="s">
        <v>20</v>
      </c>
      <c r="D262" s="19" t="s">
        <v>706</v>
      </c>
      <c r="E262" s="4">
        <v>0.55000000000000004</v>
      </c>
      <c r="F262" s="42">
        <v>2.15</v>
      </c>
      <c r="G262" s="45">
        <v>270</v>
      </c>
      <c r="H262" s="22">
        <v>2.1</v>
      </c>
      <c r="I262" s="6">
        <f t="shared" si="4"/>
        <v>670.47749999999996</v>
      </c>
      <c r="J262" s="7" t="s">
        <v>88</v>
      </c>
    </row>
    <row r="263" spans="1:10" ht="13.95" customHeight="1" x14ac:dyDescent="0.3">
      <c r="A263" s="20">
        <v>45944</v>
      </c>
      <c r="B263" s="20" t="s">
        <v>3749</v>
      </c>
      <c r="C263" s="19" t="s">
        <v>5</v>
      </c>
      <c r="D263" s="19" t="s">
        <v>994</v>
      </c>
      <c r="E263" s="4">
        <v>0.65</v>
      </c>
      <c r="F263" s="42">
        <v>2.2999999999999998</v>
      </c>
      <c r="G263" s="45">
        <v>270</v>
      </c>
      <c r="H263" s="22">
        <v>2.1</v>
      </c>
      <c r="I263" s="6">
        <f t="shared" si="4"/>
        <v>847.66499999999996</v>
      </c>
      <c r="J263" s="7" t="s">
        <v>3729</v>
      </c>
    </row>
    <row r="264" spans="1:10" ht="13.95" customHeight="1" x14ac:dyDescent="0.3">
      <c r="A264" s="20">
        <v>45945</v>
      </c>
      <c r="B264" s="20" t="s">
        <v>3749</v>
      </c>
      <c r="C264" s="19" t="s">
        <v>8</v>
      </c>
      <c r="D264" s="19" t="s">
        <v>2691</v>
      </c>
      <c r="E264" s="4">
        <v>0.8</v>
      </c>
      <c r="F264" s="42">
        <v>3.5</v>
      </c>
      <c r="G264" s="45">
        <v>270</v>
      </c>
      <c r="H264" s="22">
        <v>2.1</v>
      </c>
      <c r="I264" s="6">
        <f t="shared" si="4"/>
        <v>1587.6000000000001</v>
      </c>
      <c r="J264" s="7" t="s">
        <v>2586</v>
      </c>
    </row>
    <row r="265" spans="1:10" ht="13.95" customHeight="1" x14ac:dyDescent="0.3">
      <c r="A265" s="20">
        <v>45946</v>
      </c>
      <c r="B265" s="20" t="s">
        <v>3749</v>
      </c>
      <c r="C265" s="19" t="s">
        <v>11</v>
      </c>
      <c r="D265" s="19" t="s">
        <v>14</v>
      </c>
      <c r="E265" s="4">
        <v>0.75</v>
      </c>
      <c r="F265" s="42">
        <v>2.95</v>
      </c>
      <c r="G265" s="45">
        <v>270</v>
      </c>
      <c r="H265" s="22">
        <v>2.1</v>
      </c>
      <c r="I265" s="6">
        <f t="shared" si="4"/>
        <v>1254.4875</v>
      </c>
      <c r="J265" s="7" t="s">
        <v>197</v>
      </c>
    </row>
    <row r="266" spans="1:10" ht="13.95" customHeight="1" x14ac:dyDescent="0.3">
      <c r="A266" s="20">
        <v>45947</v>
      </c>
      <c r="B266" s="20" t="s">
        <v>3749</v>
      </c>
      <c r="C266" s="19" t="s">
        <v>13</v>
      </c>
      <c r="D266" s="19" t="s">
        <v>3478</v>
      </c>
      <c r="E266" s="4">
        <v>0.85</v>
      </c>
      <c r="F266" s="42">
        <v>3.75</v>
      </c>
      <c r="G266" s="45">
        <v>270</v>
      </c>
      <c r="H266" s="22">
        <v>2.1</v>
      </c>
      <c r="I266" s="6">
        <f t="shared" si="4"/>
        <v>1807.3125</v>
      </c>
      <c r="J266" s="7" t="s">
        <v>3730</v>
      </c>
    </row>
    <row r="267" spans="1:10" ht="13.95" customHeight="1" x14ac:dyDescent="0.3">
      <c r="A267" s="20">
        <v>45948</v>
      </c>
      <c r="B267" s="20" t="s">
        <v>3749</v>
      </c>
      <c r="C267" s="19" t="s">
        <v>16</v>
      </c>
      <c r="D267" s="19" t="s">
        <v>3480</v>
      </c>
      <c r="E267" s="4">
        <v>0.8</v>
      </c>
      <c r="F267" s="42">
        <v>3.3</v>
      </c>
      <c r="G267" s="45">
        <v>270</v>
      </c>
      <c r="H267" s="22">
        <v>2.1</v>
      </c>
      <c r="I267" s="6">
        <f t="shared" si="4"/>
        <v>1496.8799999999999</v>
      </c>
      <c r="J267" s="7" t="s">
        <v>88</v>
      </c>
    </row>
    <row r="268" spans="1:10" ht="13.95" customHeight="1" x14ac:dyDescent="0.3">
      <c r="A268" s="20">
        <v>45949</v>
      </c>
      <c r="B268" s="20" t="s">
        <v>3749</v>
      </c>
      <c r="C268" s="19" t="s">
        <v>18</v>
      </c>
      <c r="D268" s="19" t="s">
        <v>706</v>
      </c>
      <c r="E268" s="4">
        <v>0.55000000000000004</v>
      </c>
      <c r="F268" s="42">
        <v>2.15</v>
      </c>
      <c r="G268" s="45">
        <v>270</v>
      </c>
      <c r="H268" s="22">
        <v>2.1</v>
      </c>
      <c r="I268" s="6">
        <f t="shared" si="4"/>
        <v>670.47749999999996</v>
      </c>
      <c r="J268" s="7" t="s">
        <v>88</v>
      </c>
    </row>
    <row r="269" spans="1:10" ht="13.95" customHeight="1" x14ac:dyDescent="0.3">
      <c r="A269" s="20">
        <v>45950</v>
      </c>
      <c r="B269" s="20" t="s">
        <v>3749</v>
      </c>
      <c r="C269" s="19" t="s">
        <v>20</v>
      </c>
      <c r="D269" s="19" t="s">
        <v>706</v>
      </c>
      <c r="E269" s="4">
        <v>0.6</v>
      </c>
      <c r="F269" s="42">
        <v>2.15</v>
      </c>
      <c r="G269" s="45">
        <v>270</v>
      </c>
      <c r="H269" s="22">
        <v>2.1</v>
      </c>
      <c r="I269" s="6">
        <f t="shared" si="4"/>
        <v>731.43000000000006</v>
      </c>
      <c r="J269" s="7" t="s">
        <v>1283</v>
      </c>
    </row>
    <row r="270" spans="1:10" ht="13.95" customHeight="1" x14ac:dyDescent="0.3">
      <c r="A270" s="20">
        <v>45951</v>
      </c>
      <c r="B270" s="20" t="s">
        <v>3749</v>
      </c>
      <c r="C270" s="19" t="s">
        <v>5</v>
      </c>
      <c r="D270" s="19" t="s">
        <v>706</v>
      </c>
      <c r="E270" s="4">
        <v>0.6</v>
      </c>
      <c r="F270" s="42">
        <v>2.2000000000000002</v>
      </c>
      <c r="G270" s="45">
        <v>270</v>
      </c>
      <c r="H270" s="22">
        <v>2.1</v>
      </c>
      <c r="I270" s="6">
        <f t="shared" si="4"/>
        <v>748.44</v>
      </c>
      <c r="J270" s="7" t="s">
        <v>88</v>
      </c>
    </row>
    <row r="271" spans="1:10" ht="13.95" customHeight="1" x14ac:dyDescent="0.3">
      <c r="A271" s="20">
        <v>45952</v>
      </c>
      <c r="B271" s="20" t="s">
        <v>3749</v>
      </c>
      <c r="C271" s="19" t="s">
        <v>8</v>
      </c>
      <c r="D271" s="19" t="s">
        <v>706</v>
      </c>
      <c r="E271" s="4">
        <v>0.55000000000000004</v>
      </c>
      <c r="F271" s="42">
        <v>2.2000000000000002</v>
      </c>
      <c r="G271" s="45">
        <v>270</v>
      </c>
      <c r="H271" s="22">
        <v>2.1</v>
      </c>
      <c r="I271" s="6">
        <f t="shared" si="4"/>
        <v>686.07000000000016</v>
      </c>
      <c r="J271" s="7" t="s">
        <v>88</v>
      </c>
    </row>
    <row r="272" spans="1:10" ht="13.95" customHeight="1" x14ac:dyDescent="0.3">
      <c r="A272" s="20">
        <v>45953</v>
      </c>
      <c r="B272" s="20" t="s">
        <v>3749</v>
      </c>
      <c r="C272" s="19" t="s">
        <v>11</v>
      </c>
      <c r="D272" s="19" t="s">
        <v>2993</v>
      </c>
      <c r="E272" s="4">
        <v>0.7</v>
      </c>
      <c r="F272" s="42">
        <v>2.9</v>
      </c>
      <c r="G272" s="45">
        <v>270</v>
      </c>
      <c r="H272" s="22">
        <v>2.1</v>
      </c>
      <c r="I272" s="6">
        <f t="shared" si="4"/>
        <v>1151.01</v>
      </c>
      <c r="J272" s="7" t="s">
        <v>1600</v>
      </c>
    </row>
    <row r="273" spans="1:10" ht="13.95" customHeight="1" x14ac:dyDescent="0.3">
      <c r="A273" s="20">
        <v>45954</v>
      </c>
      <c r="B273" s="20" t="s">
        <v>3749</v>
      </c>
      <c r="C273" s="19" t="s">
        <v>13</v>
      </c>
      <c r="D273" s="19" t="s">
        <v>3579</v>
      </c>
      <c r="E273" s="4">
        <v>0.8</v>
      </c>
      <c r="F273" s="42">
        <v>3.7</v>
      </c>
      <c r="G273" s="45">
        <v>270</v>
      </c>
      <c r="H273" s="22">
        <v>2.1</v>
      </c>
      <c r="I273" s="6">
        <f t="shared" si="4"/>
        <v>1678.3200000000002</v>
      </c>
      <c r="J273" s="7" t="s">
        <v>3731</v>
      </c>
    </row>
    <row r="274" spans="1:10" ht="13.95" customHeight="1" x14ac:dyDescent="0.3">
      <c r="A274" s="20">
        <v>45955</v>
      </c>
      <c r="B274" s="20" t="s">
        <v>3749</v>
      </c>
      <c r="C274" s="19" t="s">
        <v>16</v>
      </c>
      <c r="D274" s="19" t="s">
        <v>3480</v>
      </c>
      <c r="E274" s="4">
        <v>0.75</v>
      </c>
      <c r="F274" s="42">
        <v>3.25</v>
      </c>
      <c r="G274" s="45">
        <v>270</v>
      </c>
      <c r="H274" s="22">
        <v>2.1</v>
      </c>
      <c r="I274" s="6">
        <f t="shared" si="4"/>
        <v>1382.0625</v>
      </c>
      <c r="J274" s="7" t="s">
        <v>88</v>
      </c>
    </row>
    <row r="275" spans="1:10" ht="13.95" customHeight="1" x14ac:dyDescent="0.3">
      <c r="A275" s="20">
        <v>45956</v>
      </c>
      <c r="B275" s="20" t="s">
        <v>3749</v>
      </c>
      <c r="C275" s="19" t="s">
        <v>18</v>
      </c>
      <c r="D275" s="19" t="s">
        <v>706</v>
      </c>
      <c r="E275" s="4">
        <v>0.5</v>
      </c>
      <c r="F275" s="42">
        <v>2.15</v>
      </c>
      <c r="G275" s="45">
        <v>270</v>
      </c>
      <c r="H275" s="22">
        <v>2.1</v>
      </c>
      <c r="I275" s="6">
        <f t="shared" si="4"/>
        <v>609.52499999999998</v>
      </c>
      <c r="J275" s="7" t="s">
        <v>527</v>
      </c>
    </row>
    <row r="276" spans="1:10" ht="13.95" customHeight="1" x14ac:dyDescent="0.3">
      <c r="A276" s="20">
        <v>45957</v>
      </c>
      <c r="B276" s="20" t="s">
        <v>3749</v>
      </c>
      <c r="C276" s="19" t="s">
        <v>20</v>
      </c>
      <c r="D276" s="19" t="s">
        <v>706</v>
      </c>
      <c r="E276" s="4">
        <v>0.55000000000000004</v>
      </c>
      <c r="F276" s="42">
        <v>2.15</v>
      </c>
      <c r="G276" s="45">
        <v>270</v>
      </c>
      <c r="H276" s="22">
        <v>2.1</v>
      </c>
      <c r="I276" s="6">
        <f t="shared" si="4"/>
        <v>670.47749999999996</v>
      </c>
      <c r="J276" s="7" t="s">
        <v>88</v>
      </c>
    </row>
    <row r="277" spans="1:10" ht="13.95" customHeight="1" x14ac:dyDescent="0.3">
      <c r="A277" s="20">
        <v>45958</v>
      </c>
      <c r="B277" s="20" t="s">
        <v>3749</v>
      </c>
      <c r="C277" s="19" t="s">
        <v>5</v>
      </c>
      <c r="D277" s="19" t="s">
        <v>706</v>
      </c>
      <c r="E277" s="4">
        <v>0.6</v>
      </c>
      <c r="F277" s="42">
        <v>2.2000000000000002</v>
      </c>
      <c r="G277" s="45">
        <v>270</v>
      </c>
      <c r="H277" s="22">
        <v>2.1</v>
      </c>
      <c r="I277" s="6">
        <f t="shared" si="4"/>
        <v>748.44</v>
      </c>
      <c r="J277" s="7" t="s">
        <v>88</v>
      </c>
    </row>
    <row r="278" spans="1:10" ht="13.95" customHeight="1" x14ac:dyDescent="0.3">
      <c r="A278" s="20">
        <v>45959</v>
      </c>
      <c r="B278" s="20" t="s">
        <v>3749</v>
      </c>
      <c r="C278" s="19" t="s">
        <v>8</v>
      </c>
      <c r="D278" s="19" t="s">
        <v>1465</v>
      </c>
      <c r="E278" s="4">
        <v>0.7</v>
      </c>
      <c r="F278" s="42">
        <v>2.4</v>
      </c>
      <c r="G278" s="45">
        <v>270</v>
      </c>
      <c r="H278" s="22">
        <v>2.1</v>
      </c>
      <c r="I278" s="6">
        <f t="shared" si="4"/>
        <v>952.56</v>
      </c>
      <c r="J278" s="7" t="s">
        <v>2574</v>
      </c>
    </row>
    <row r="279" spans="1:10" ht="13.95" customHeight="1" x14ac:dyDescent="0.3">
      <c r="A279" s="20">
        <v>45960</v>
      </c>
      <c r="B279" s="20" t="s">
        <v>3749</v>
      </c>
      <c r="C279" s="19" t="s">
        <v>11</v>
      </c>
      <c r="D279" s="19" t="s">
        <v>2993</v>
      </c>
      <c r="E279" s="4">
        <v>0.75</v>
      </c>
      <c r="F279" s="42">
        <v>3</v>
      </c>
      <c r="G279" s="45">
        <v>270</v>
      </c>
      <c r="H279" s="22">
        <v>2.1</v>
      </c>
      <c r="I279" s="6">
        <f t="shared" si="4"/>
        <v>1275.75</v>
      </c>
      <c r="J279" s="7" t="s">
        <v>3732</v>
      </c>
    </row>
    <row r="280" spans="1:10" ht="13.95" customHeight="1" x14ac:dyDescent="0.3">
      <c r="A280" s="20">
        <v>45961</v>
      </c>
      <c r="B280" s="20" t="s">
        <v>3749</v>
      </c>
      <c r="C280" s="19" t="s">
        <v>13</v>
      </c>
      <c r="D280" s="19" t="s">
        <v>2591</v>
      </c>
      <c r="E280" s="4">
        <v>0.95</v>
      </c>
      <c r="F280" s="42">
        <v>4.3</v>
      </c>
      <c r="G280" s="45">
        <v>270</v>
      </c>
      <c r="H280" s="22">
        <v>2.1</v>
      </c>
      <c r="I280" s="6">
        <f t="shared" si="4"/>
        <v>2316.1950000000002</v>
      </c>
      <c r="J280" s="7" t="s">
        <v>3733</v>
      </c>
    </row>
    <row r="281" spans="1:10" ht="13.95" customHeight="1" x14ac:dyDescent="0.3">
      <c r="A281" s="20">
        <v>45962</v>
      </c>
      <c r="B281" s="20" t="s">
        <v>3749</v>
      </c>
      <c r="C281" s="19" t="s">
        <v>16</v>
      </c>
      <c r="D281" s="19" t="s">
        <v>3734</v>
      </c>
      <c r="E281" s="4">
        <v>0.75</v>
      </c>
      <c r="F281" s="42">
        <v>3.3</v>
      </c>
      <c r="G281" s="45">
        <v>270</v>
      </c>
      <c r="H281" s="22">
        <v>2.1</v>
      </c>
      <c r="I281" s="6">
        <f t="shared" si="4"/>
        <v>1403.325</v>
      </c>
      <c r="J281" s="7" t="s">
        <v>3735</v>
      </c>
    </row>
    <row r="282" spans="1:10" ht="13.95" customHeight="1" x14ac:dyDescent="0.3">
      <c r="A282" s="20">
        <v>45963</v>
      </c>
      <c r="B282" s="20" t="s">
        <v>3749</v>
      </c>
      <c r="C282" s="19" t="s">
        <v>18</v>
      </c>
      <c r="D282" s="19" t="s">
        <v>706</v>
      </c>
      <c r="E282" s="4">
        <v>0.55000000000000004</v>
      </c>
      <c r="F282" s="42">
        <v>2.15</v>
      </c>
      <c r="G282" s="45">
        <v>270</v>
      </c>
      <c r="H282" s="22">
        <v>2.1</v>
      </c>
      <c r="I282" s="6">
        <f t="shared" si="4"/>
        <v>670.47749999999996</v>
      </c>
      <c r="J282" s="7" t="s">
        <v>115</v>
      </c>
    </row>
    <row r="283" spans="1:10" ht="13.95" customHeight="1" x14ac:dyDescent="0.3">
      <c r="A283" s="20">
        <v>45964</v>
      </c>
      <c r="B283" s="20" t="s">
        <v>3749</v>
      </c>
      <c r="C283" s="19" t="s">
        <v>20</v>
      </c>
      <c r="D283" s="19" t="s">
        <v>706</v>
      </c>
      <c r="E283" s="4">
        <v>0.55000000000000004</v>
      </c>
      <c r="F283" s="42">
        <v>2.15</v>
      </c>
      <c r="G283" s="45">
        <v>270</v>
      </c>
      <c r="H283" s="22">
        <v>2.1</v>
      </c>
      <c r="I283" s="6">
        <f t="shared" si="4"/>
        <v>670.47749999999996</v>
      </c>
      <c r="J283" s="7" t="s">
        <v>3504</v>
      </c>
    </row>
    <row r="284" spans="1:10" ht="13.95" customHeight="1" x14ac:dyDescent="0.3">
      <c r="A284" s="20">
        <v>45965</v>
      </c>
      <c r="B284" s="20" t="s">
        <v>3749</v>
      </c>
      <c r="C284" s="19" t="s">
        <v>5</v>
      </c>
      <c r="D284" s="19" t="s">
        <v>706</v>
      </c>
      <c r="E284" s="4">
        <v>0.6</v>
      </c>
      <c r="F284" s="42">
        <v>2.2000000000000002</v>
      </c>
      <c r="G284" s="45">
        <v>270</v>
      </c>
      <c r="H284" s="22">
        <v>2.1</v>
      </c>
      <c r="I284" s="6">
        <f t="shared" si="4"/>
        <v>748.44</v>
      </c>
      <c r="J284" s="7" t="s">
        <v>3504</v>
      </c>
    </row>
    <row r="285" spans="1:10" ht="13.95" customHeight="1" x14ac:dyDescent="0.3">
      <c r="A285" s="20">
        <v>45966</v>
      </c>
      <c r="B285" s="20" t="s">
        <v>3749</v>
      </c>
      <c r="C285" s="19" t="s">
        <v>8</v>
      </c>
      <c r="D285" s="19" t="s">
        <v>706</v>
      </c>
      <c r="E285" s="4">
        <v>0.6</v>
      </c>
      <c r="F285" s="42">
        <v>2.2000000000000002</v>
      </c>
      <c r="G285" s="45">
        <v>270</v>
      </c>
      <c r="H285" s="22">
        <v>2.1</v>
      </c>
      <c r="I285" s="6">
        <f t="shared" si="4"/>
        <v>748.44</v>
      </c>
      <c r="J285" s="7" t="s">
        <v>3504</v>
      </c>
    </row>
    <row r="286" spans="1:10" ht="13.95" customHeight="1" x14ac:dyDescent="0.3">
      <c r="A286" s="20">
        <v>45967</v>
      </c>
      <c r="B286" s="20" t="s">
        <v>3749</v>
      </c>
      <c r="C286" s="19" t="s">
        <v>11</v>
      </c>
      <c r="D286" s="19" t="s">
        <v>2993</v>
      </c>
      <c r="E286" s="4">
        <v>0.7</v>
      </c>
      <c r="F286" s="42">
        <v>2.85</v>
      </c>
      <c r="G286" s="45">
        <v>270</v>
      </c>
      <c r="H286" s="22">
        <v>2.1</v>
      </c>
      <c r="I286" s="6">
        <f t="shared" si="4"/>
        <v>1131.165</v>
      </c>
      <c r="J286" s="7" t="s">
        <v>3662</v>
      </c>
    </row>
    <row r="287" spans="1:10" ht="13.95" customHeight="1" x14ac:dyDescent="0.3">
      <c r="A287" s="20">
        <v>45968</v>
      </c>
      <c r="B287" s="20" t="s">
        <v>3749</v>
      </c>
      <c r="C287" s="19" t="s">
        <v>13</v>
      </c>
      <c r="D287" s="19" t="s">
        <v>3304</v>
      </c>
      <c r="E287" s="4">
        <v>0.8</v>
      </c>
      <c r="F287" s="42">
        <v>3.65</v>
      </c>
      <c r="G287" s="45">
        <v>270</v>
      </c>
      <c r="H287" s="22">
        <v>2.1</v>
      </c>
      <c r="I287" s="6">
        <f t="shared" si="4"/>
        <v>1655.64</v>
      </c>
      <c r="J287" s="7" t="s">
        <v>3736</v>
      </c>
    </row>
    <row r="288" spans="1:10" ht="13.95" customHeight="1" x14ac:dyDescent="0.3">
      <c r="A288" s="20">
        <v>45969</v>
      </c>
      <c r="B288" s="20" t="s">
        <v>3749</v>
      </c>
      <c r="C288" s="19" t="s">
        <v>16</v>
      </c>
      <c r="D288" s="19" t="s">
        <v>3612</v>
      </c>
      <c r="E288" s="4">
        <v>0.75</v>
      </c>
      <c r="F288" s="42">
        <v>3.25</v>
      </c>
      <c r="G288" s="45">
        <v>270</v>
      </c>
      <c r="H288" s="22">
        <v>2.1</v>
      </c>
      <c r="I288" s="6">
        <f t="shared" si="4"/>
        <v>1382.0625</v>
      </c>
      <c r="J288" s="7" t="s">
        <v>3737</v>
      </c>
    </row>
    <row r="289" spans="1:10" ht="13.95" customHeight="1" x14ac:dyDescent="0.3">
      <c r="A289" s="20">
        <v>45970</v>
      </c>
      <c r="B289" s="20" t="s">
        <v>3749</v>
      </c>
      <c r="C289" s="19" t="s">
        <v>18</v>
      </c>
      <c r="D289" s="19" t="s">
        <v>706</v>
      </c>
      <c r="E289" s="4">
        <v>0.5</v>
      </c>
      <c r="F289" s="42">
        <v>2.1</v>
      </c>
      <c r="G289" s="45">
        <v>270</v>
      </c>
      <c r="H289" s="22">
        <v>2.1</v>
      </c>
      <c r="I289" s="6">
        <f t="shared" si="4"/>
        <v>595.35</v>
      </c>
      <c r="J289" s="7" t="s">
        <v>527</v>
      </c>
    </row>
    <row r="290" spans="1:10" ht="13.95" customHeight="1" x14ac:dyDescent="0.3">
      <c r="A290" s="20">
        <v>45971</v>
      </c>
      <c r="B290" s="20" t="s">
        <v>3749</v>
      </c>
      <c r="C290" s="19" t="s">
        <v>20</v>
      </c>
      <c r="D290" s="19" t="s">
        <v>706</v>
      </c>
      <c r="E290" s="4">
        <v>0.55000000000000004</v>
      </c>
      <c r="F290" s="42">
        <v>2.15</v>
      </c>
      <c r="G290" s="45">
        <v>270</v>
      </c>
      <c r="H290" s="22">
        <v>2.1</v>
      </c>
      <c r="I290" s="6">
        <f t="shared" si="4"/>
        <v>670.47749999999996</v>
      </c>
      <c r="J290" s="7" t="s">
        <v>3738</v>
      </c>
    </row>
    <row r="291" spans="1:10" ht="13.95" customHeight="1" x14ac:dyDescent="0.3">
      <c r="A291" s="20">
        <v>45972</v>
      </c>
      <c r="B291" s="20" t="s">
        <v>3749</v>
      </c>
      <c r="C291" s="19" t="s">
        <v>5</v>
      </c>
      <c r="D291" s="19" t="s">
        <v>3663</v>
      </c>
      <c r="E291" s="4">
        <v>0.85</v>
      </c>
      <c r="F291" s="42">
        <v>2.4500000000000002</v>
      </c>
      <c r="G291" s="45">
        <v>270</v>
      </c>
      <c r="H291" s="22">
        <v>2.1</v>
      </c>
      <c r="I291" s="6">
        <f t="shared" si="4"/>
        <v>1180.7775000000001</v>
      </c>
      <c r="J291" s="7" t="s">
        <v>3739</v>
      </c>
    </row>
    <row r="292" spans="1:10" ht="13.95" customHeight="1" x14ac:dyDescent="0.3">
      <c r="A292" s="20">
        <v>45973</v>
      </c>
      <c r="B292" s="20" t="s">
        <v>3749</v>
      </c>
      <c r="C292" s="19" t="s">
        <v>8</v>
      </c>
      <c r="D292" s="19" t="s">
        <v>3663</v>
      </c>
      <c r="E292" s="4">
        <v>0.85</v>
      </c>
      <c r="F292" s="42">
        <v>2.4</v>
      </c>
      <c r="G292" s="45">
        <v>270</v>
      </c>
      <c r="H292" s="22">
        <v>2.1</v>
      </c>
      <c r="I292" s="6">
        <f t="shared" si="4"/>
        <v>1156.68</v>
      </c>
      <c r="J292" s="7" t="s">
        <v>3740</v>
      </c>
    </row>
    <row r="293" spans="1:10" ht="13.95" customHeight="1" x14ac:dyDescent="0.3">
      <c r="A293" s="20">
        <v>45974</v>
      </c>
      <c r="B293" s="20" t="s">
        <v>3749</v>
      </c>
      <c r="C293" s="19" t="s">
        <v>11</v>
      </c>
      <c r="D293" s="19" t="s">
        <v>2993</v>
      </c>
      <c r="E293" s="4">
        <v>0.75</v>
      </c>
      <c r="F293" s="42">
        <v>2.9</v>
      </c>
      <c r="G293" s="45">
        <v>270</v>
      </c>
      <c r="H293" s="22">
        <v>2.1</v>
      </c>
      <c r="I293" s="6">
        <f t="shared" si="4"/>
        <v>1233.2250000000001</v>
      </c>
      <c r="J293" s="7" t="s">
        <v>1765</v>
      </c>
    </row>
    <row r="294" spans="1:10" ht="13.95" customHeight="1" x14ac:dyDescent="0.3">
      <c r="A294" s="20">
        <v>45975</v>
      </c>
      <c r="B294" s="20" t="s">
        <v>3749</v>
      </c>
      <c r="C294" s="19" t="s">
        <v>13</v>
      </c>
      <c r="D294" s="19" t="s">
        <v>3001</v>
      </c>
      <c r="E294" s="4">
        <v>0.8</v>
      </c>
      <c r="F294" s="42">
        <v>3.7</v>
      </c>
      <c r="G294" s="45">
        <v>270</v>
      </c>
      <c r="H294" s="22">
        <v>2.1</v>
      </c>
      <c r="I294" s="6">
        <f t="shared" si="4"/>
        <v>1678.3200000000002</v>
      </c>
      <c r="J294" s="7" t="s">
        <v>1481</v>
      </c>
    </row>
    <row r="295" spans="1:10" ht="13.95" customHeight="1" x14ac:dyDescent="0.3">
      <c r="A295" s="20">
        <v>45976</v>
      </c>
      <c r="B295" s="20" t="s">
        <v>3749</v>
      </c>
      <c r="C295" s="19" t="s">
        <v>16</v>
      </c>
      <c r="D295" s="19" t="s">
        <v>3480</v>
      </c>
      <c r="E295" s="4">
        <v>0.75</v>
      </c>
      <c r="F295" s="42">
        <v>3.25</v>
      </c>
      <c r="G295" s="45">
        <v>270</v>
      </c>
      <c r="H295" s="22">
        <v>2.1</v>
      </c>
      <c r="I295" s="6">
        <f t="shared" si="4"/>
        <v>1382.0625</v>
      </c>
      <c r="J295" s="7" t="s">
        <v>3313</v>
      </c>
    </row>
    <row r="296" spans="1:10" ht="13.95" customHeight="1" x14ac:dyDescent="0.3">
      <c r="A296" s="20">
        <v>45977</v>
      </c>
      <c r="B296" s="20" t="s">
        <v>3749</v>
      </c>
      <c r="C296" s="19" t="s">
        <v>18</v>
      </c>
      <c r="D296" s="19" t="s">
        <v>706</v>
      </c>
      <c r="E296" s="4">
        <v>0.55000000000000004</v>
      </c>
      <c r="F296" s="42">
        <v>2.15</v>
      </c>
      <c r="G296" s="45">
        <v>270</v>
      </c>
      <c r="H296" s="22">
        <v>2.1</v>
      </c>
      <c r="I296" s="6">
        <f t="shared" si="4"/>
        <v>670.47749999999996</v>
      </c>
      <c r="J296" s="7" t="s">
        <v>88</v>
      </c>
    </row>
    <row r="297" spans="1:10" ht="13.95" customHeight="1" x14ac:dyDescent="0.3">
      <c r="A297" s="20">
        <v>45978</v>
      </c>
      <c r="B297" s="20" t="s">
        <v>3749</v>
      </c>
      <c r="C297" s="19" t="s">
        <v>20</v>
      </c>
      <c r="D297" s="19" t="s">
        <v>706</v>
      </c>
      <c r="E297" s="4">
        <v>0.55000000000000004</v>
      </c>
      <c r="F297" s="42">
        <v>2.15</v>
      </c>
      <c r="G297" s="45">
        <v>270</v>
      </c>
      <c r="H297" s="22">
        <v>2.1</v>
      </c>
      <c r="I297" s="6">
        <f t="shared" si="4"/>
        <v>670.47749999999996</v>
      </c>
      <c r="J297" s="7" t="s">
        <v>88</v>
      </c>
    </row>
    <row r="298" spans="1:10" ht="13.95" customHeight="1" x14ac:dyDescent="0.3">
      <c r="A298" s="20">
        <v>45979</v>
      </c>
      <c r="B298" s="20" t="s">
        <v>3749</v>
      </c>
      <c r="C298" s="19" t="s">
        <v>5</v>
      </c>
      <c r="D298" s="19" t="s">
        <v>706</v>
      </c>
      <c r="E298" s="4">
        <v>0.55000000000000004</v>
      </c>
      <c r="F298" s="42">
        <v>2.2000000000000002</v>
      </c>
      <c r="G298" s="45">
        <v>270</v>
      </c>
      <c r="H298" s="22">
        <v>2.1</v>
      </c>
      <c r="I298" s="6">
        <f t="shared" si="4"/>
        <v>686.07000000000016</v>
      </c>
      <c r="J298" s="7" t="s">
        <v>88</v>
      </c>
    </row>
    <row r="299" spans="1:10" ht="13.95" customHeight="1" x14ac:dyDescent="0.3">
      <c r="A299" s="20">
        <v>45980</v>
      </c>
      <c r="B299" s="20" t="s">
        <v>3749</v>
      </c>
      <c r="C299" s="19" t="s">
        <v>8</v>
      </c>
      <c r="D299" s="19" t="s">
        <v>706</v>
      </c>
      <c r="E299" s="4">
        <v>0.6</v>
      </c>
      <c r="F299" s="42">
        <v>2.2000000000000002</v>
      </c>
      <c r="G299" s="45">
        <v>270</v>
      </c>
      <c r="H299" s="22">
        <v>2.1</v>
      </c>
      <c r="I299" s="6">
        <f t="shared" si="4"/>
        <v>748.44</v>
      </c>
      <c r="J299" s="7" t="s">
        <v>1283</v>
      </c>
    </row>
    <row r="300" spans="1:10" ht="13.95" customHeight="1" x14ac:dyDescent="0.3">
      <c r="A300" s="20">
        <v>45981</v>
      </c>
      <c r="B300" s="20" t="s">
        <v>3749</v>
      </c>
      <c r="C300" s="19" t="s">
        <v>11</v>
      </c>
      <c r="D300" s="19" t="s">
        <v>2993</v>
      </c>
      <c r="E300" s="4">
        <v>0.7</v>
      </c>
      <c r="F300" s="42">
        <v>2.9</v>
      </c>
      <c r="G300" s="45">
        <v>270</v>
      </c>
      <c r="H300" s="22">
        <v>2.1</v>
      </c>
      <c r="I300" s="6">
        <f t="shared" si="4"/>
        <v>1151.01</v>
      </c>
      <c r="J300" s="7" t="s">
        <v>3666</v>
      </c>
    </row>
    <row r="301" spans="1:10" ht="13.95" customHeight="1" x14ac:dyDescent="0.3">
      <c r="A301" s="20">
        <v>45982</v>
      </c>
      <c r="B301" s="20" t="s">
        <v>3749</v>
      </c>
      <c r="C301" s="19" t="s">
        <v>13</v>
      </c>
      <c r="D301" s="19" t="s">
        <v>3741</v>
      </c>
      <c r="E301" s="4">
        <v>0.75</v>
      </c>
      <c r="F301" s="42">
        <v>3.6</v>
      </c>
      <c r="G301" s="45">
        <v>270</v>
      </c>
      <c r="H301" s="22">
        <v>2.1</v>
      </c>
      <c r="I301" s="6">
        <f t="shared" si="4"/>
        <v>1530.9</v>
      </c>
      <c r="J301" s="7" t="s">
        <v>3742</v>
      </c>
    </row>
    <row r="302" spans="1:10" ht="13.95" customHeight="1" x14ac:dyDescent="0.3">
      <c r="A302" s="20">
        <v>45983</v>
      </c>
      <c r="B302" s="20" t="s">
        <v>3749</v>
      </c>
      <c r="C302" s="19" t="s">
        <v>16</v>
      </c>
      <c r="D302" s="19" t="s">
        <v>3480</v>
      </c>
      <c r="E302" s="4">
        <v>0.7</v>
      </c>
      <c r="F302" s="42">
        <v>3.25</v>
      </c>
      <c r="G302" s="45">
        <v>270</v>
      </c>
      <c r="H302" s="22">
        <v>2.1</v>
      </c>
      <c r="I302" s="6">
        <f t="shared" si="4"/>
        <v>1289.925</v>
      </c>
      <c r="J302" s="7" t="s">
        <v>88</v>
      </c>
    </row>
    <row r="303" spans="1:10" ht="13.95" customHeight="1" x14ac:dyDescent="0.3">
      <c r="A303" s="20">
        <v>45984</v>
      </c>
      <c r="B303" s="20" t="s">
        <v>3749</v>
      </c>
      <c r="C303" s="19" t="s">
        <v>18</v>
      </c>
      <c r="D303" s="19" t="s">
        <v>706</v>
      </c>
      <c r="E303" s="4">
        <v>0.5</v>
      </c>
      <c r="F303" s="42">
        <v>2.1</v>
      </c>
      <c r="G303" s="45">
        <v>270</v>
      </c>
      <c r="H303" s="22">
        <v>2.1</v>
      </c>
      <c r="I303" s="6">
        <f t="shared" si="4"/>
        <v>595.35</v>
      </c>
      <c r="J303" s="7" t="s">
        <v>88</v>
      </c>
    </row>
    <row r="304" spans="1:10" ht="13.95" customHeight="1" x14ac:dyDescent="0.3">
      <c r="A304" s="20">
        <v>45985</v>
      </c>
      <c r="B304" s="20" t="s">
        <v>3749</v>
      </c>
      <c r="C304" s="19" t="s">
        <v>20</v>
      </c>
      <c r="D304" s="19" t="s">
        <v>706</v>
      </c>
      <c r="E304" s="4">
        <v>0.5</v>
      </c>
      <c r="F304" s="42">
        <v>2.1</v>
      </c>
      <c r="G304" s="45">
        <v>270</v>
      </c>
      <c r="H304" s="22">
        <v>2.1</v>
      </c>
      <c r="I304" s="6">
        <f t="shared" si="4"/>
        <v>595.35</v>
      </c>
      <c r="J304" s="7" t="s">
        <v>88</v>
      </c>
    </row>
    <row r="305" spans="1:10" ht="13.95" customHeight="1" x14ac:dyDescent="0.3">
      <c r="A305" s="20">
        <v>45986</v>
      </c>
      <c r="B305" s="20" t="s">
        <v>3749</v>
      </c>
      <c r="C305" s="19" t="s">
        <v>5</v>
      </c>
      <c r="D305" s="19" t="s">
        <v>706</v>
      </c>
      <c r="E305" s="4">
        <v>0.55000000000000004</v>
      </c>
      <c r="F305" s="42">
        <v>2.15</v>
      </c>
      <c r="G305" s="45">
        <v>270</v>
      </c>
      <c r="H305" s="22">
        <v>2.1</v>
      </c>
      <c r="I305" s="6">
        <f t="shared" si="4"/>
        <v>670.47749999999996</v>
      </c>
      <c r="J305" s="7" t="s">
        <v>88</v>
      </c>
    </row>
    <row r="306" spans="1:10" ht="13.95" customHeight="1" x14ac:dyDescent="0.3">
      <c r="A306" s="20">
        <v>45987</v>
      </c>
      <c r="B306" s="20" t="s">
        <v>3749</v>
      </c>
      <c r="C306" s="19" t="s">
        <v>8</v>
      </c>
      <c r="D306" s="19" t="s">
        <v>706</v>
      </c>
      <c r="E306" s="4">
        <v>0.55000000000000004</v>
      </c>
      <c r="F306" s="42">
        <v>2.15</v>
      </c>
      <c r="G306" s="45">
        <v>270</v>
      </c>
      <c r="H306" s="22">
        <v>2.1</v>
      </c>
      <c r="I306" s="6">
        <f t="shared" si="4"/>
        <v>670.47749999999996</v>
      </c>
      <c r="J306" s="7" t="s">
        <v>88</v>
      </c>
    </row>
    <row r="307" spans="1:10" ht="13.95" customHeight="1" x14ac:dyDescent="0.3">
      <c r="A307" s="20">
        <v>45988</v>
      </c>
      <c r="B307" s="20" t="s">
        <v>3749</v>
      </c>
      <c r="C307" s="19" t="s">
        <v>11</v>
      </c>
      <c r="D307" s="19" t="s">
        <v>2993</v>
      </c>
      <c r="E307" s="4">
        <v>0.65</v>
      </c>
      <c r="F307" s="42">
        <v>2.85</v>
      </c>
      <c r="G307" s="45">
        <v>270</v>
      </c>
      <c r="H307" s="22">
        <v>2.1</v>
      </c>
      <c r="I307" s="6">
        <f t="shared" si="4"/>
        <v>1050.3675000000001</v>
      </c>
      <c r="J307" s="7" t="s">
        <v>54</v>
      </c>
    </row>
    <row r="308" spans="1:10" ht="13.95" customHeight="1" x14ac:dyDescent="0.3">
      <c r="A308" s="20">
        <v>45989</v>
      </c>
      <c r="B308" s="20" t="s">
        <v>3749</v>
      </c>
      <c r="C308" s="19" t="s">
        <v>13</v>
      </c>
      <c r="D308" s="19" t="s">
        <v>3743</v>
      </c>
      <c r="E308" s="4">
        <v>0.85</v>
      </c>
      <c r="F308" s="42">
        <v>3.8</v>
      </c>
      <c r="G308" s="45">
        <v>270</v>
      </c>
      <c r="H308" s="22">
        <v>2.1</v>
      </c>
      <c r="I308" s="6">
        <f t="shared" si="4"/>
        <v>1831.4099999999999</v>
      </c>
      <c r="J308" s="7" t="s">
        <v>3744</v>
      </c>
    </row>
    <row r="309" spans="1:10" ht="13.95" customHeight="1" x14ac:dyDescent="0.3">
      <c r="A309" s="20">
        <v>45990</v>
      </c>
      <c r="B309" s="20" t="s">
        <v>3749</v>
      </c>
      <c r="C309" s="19" t="s">
        <v>16</v>
      </c>
      <c r="D309" s="19" t="s">
        <v>3480</v>
      </c>
      <c r="E309" s="4">
        <v>0.8</v>
      </c>
      <c r="F309" s="42">
        <v>3.3</v>
      </c>
      <c r="G309" s="45">
        <v>270</v>
      </c>
      <c r="H309" s="22">
        <v>2.1</v>
      </c>
      <c r="I309" s="6">
        <f t="shared" si="4"/>
        <v>1496.8799999999999</v>
      </c>
      <c r="J309" s="7" t="s">
        <v>3279</v>
      </c>
    </row>
    <row r="310" spans="1:10" ht="13.95" customHeight="1" x14ac:dyDescent="0.3">
      <c r="A310" s="20">
        <v>45991</v>
      </c>
      <c r="B310" s="20" t="s">
        <v>3749</v>
      </c>
      <c r="C310" s="19" t="s">
        <v>18</v>
      </c>
      <c r="D310" s="19" t="s">
        <v>706</v>
      </c>
      <c r="E310" s="4">
        <v>0.5</v>
      </c>
      <c r="F310" s="42">
        <v>2.15</v>
      </c>
      <c r="G310" s="45">
        <v>270</v>
      </c>
      <c r="H310" s="22">
        <v>2.1</v>
      </c>
      <c r="I310" s="6">
        <f t="shared" si="4"/>
        <v>609.52499999999998</v>
      </c>
      <c r="J310" s="7" t="s">
        <v>3022</v>
      </c>
    </row>
    <row r="311" spans="1:10" ht="13.95" customHeight="1" x14ac:dyDescent="0.3">
      <c r="A311" s="20">
        <v>45992</v>
      </c>
      <c r="B311" s="20" t="s">
        <v>3749</v>
      </c>
      <c r="C311" s="19" t="s">
        <v>16</v>
      </c>
      <c r="D311" s="19" t="s">
        <v>3745</v>
      </c>
      <c r="E311" s="4">
        <v>0.5</v>
      </c>
      <c r="F311" s="42">
        <v>2.15</v>
      </c>
      <c r="G311" s="45">
        <v>270</v>
      </c>
      <c r="H311" s="22">
        <v>2.1</v>
      </c>
      <c r="I311" s="6">
        <f t="shared" si="4"/>
        <v>609.52499999999998</v>
      </c>
      <c r="J311" s="7" t="s">
        <v>3750</v>
      </c>
    </row>
    <row r="312" spans="1:10" ht="13.95" customHeight="1" x14ac:dyDescent="0.3">
      <c r="A312" s="20">
        <v>45993</v>
      </c>
      <c r="B312" s="20" t="s">
        <v>3749</v>
      </c>
      <c r="C312" s="19" t="s">
        <v>18</v>
      </c>
      <c r="D312" s="19" t="s">
        <v>3746</v>
      </c>
      <c r="E312" s="4">
        <v>0.5</v>
      </c>
      <c r="F312" s="42">
        <v>2.15</v>
      </c>
      <c r="G312" s="45">
        <v>270</v>
      </c>
      <c r="H312" s="22">
        <v>2.1</v>
      </c>
      <c r="I312" s="6">
        <f t="shared" si="4"/>
        <v>609.52499999999998</v>
      </c>
      <c r="J312" s="7" t="s">
        <v>3504</v>
      </c>
    </row>
    <row r="313" spans="1:10" ht="13.95" customHeight="1" x14ac:dyDescent="0.3">
      <c r="A313" s="20">
        <v>45994</v>
      </c>
      <c r="B313" s="20" t="s">
        <v>3749</v>
      </c>
      <c r="C313" s="19" t="s">
        <v>20</v>
      </c>
      <c r="D313" s="19" t="s">
        <v>3746</v>
      </c>
      <c r="E313" s="4">
        <v>0.55000000000000004</v>
      </c>
      <c r="F313" s="42">
        <v>2.2000000000000002</v>
      </c>
      <c r="G313" s="45">
        <v>270</v>
      </c>
      <c r="H313" s="22">
        <v>2.1</v>
      </c>
      <c r="I313" s="6">
        <f t="shared" si="4"/>
        <v>686.07000000000016</v>
      </c>
      <c r="J313" s="7" t="s">
        <v>336</v>
      </c>
    </row>
    <row r="314" spans="1:10" ht="13.95" customHeight="1" x14ac:dyDescent="0.3">
      <c r="A314" s="20">
        <v>45995</v>
      </c>
      <c r="B314" s="20" t="s">
        <v>3749</v>
      </c>
      <c r="C314" s="19" t="s">
        <v>5</v>
      </c>
      <c r="D314" s="19" t="s">
        <v>3746</v>
      </c>
      <c r="E314" s="4">
        <v>0.65</v>
      </c>
      <c r="F314" s="42">
        <v>2.85</v>
      </c>
      <c r="G314" s="45">
        <v>270</v>
      </c>
      <c r="H314" s="22">
        <v>2.1</v>
      </c>
      <c r="I314" s="6">
        <f t="shared" si="4"/>
        <v>1050.3675000000001</v>
      </c>
      <c r="J314" s="7" t="s">
        <v>3662</v>
      </c>
    </row>
    <row r="315" spans="1:10" ht="13.95" customHeight="1" x14ac:dyDescent="0.3">
      <c r="A315" s="20">
        <v>45996</v>
      </c>
      <c r="B315" s="20" t="s">
        <v>3749</v>
      </c>
      <c r="C315" s="19" t="s">
        <v>8</v>
      </c>
      <c r="D315" s="19" t="s">
        <v>3746</v>
      </c>
      <c r="E315" s="4">
        <v>0.75</v>
      </c>
      <c r="F315" s="42">
        <v>3.65</v>
      </c>
      <c r="G315" s="45">
        <v>270</v>
      </c>
      <c r="H315" s="22">
        <v>2.1</v>
      </c>
      <c r="I315" s="6">
        <f t="shared" si="4"/>
        <v>1552.1625000000001</v>
      </c>
      <c r="J315" s="7" t="s">
        <v>3751</v>
      </c>
    </row>
    <row r="316" spans="1:10" ht="13.95" customHeight="1" x14ac:dyDescent="0.3">
      <c r="A316" s="20">
        <v>45997</v>
      </c>
      <c r="B316" s="20" t="s">
        <v>3749</v>
      </c>
      <c r="C316" s="19" t="s">
        <v>11</v>
      </c>
      <c r="D316" s="19" t="s">
        <v>2993</v>
      </c>
      <c r="E316" s="4">
        <v>0.7</v>
      </c>
      <c r="F316" s="42">
        <v>3.25</v>
      </c>
      <c r="G316" s="45">
        <v>270</v>
      </c>
      <c r="H316" s="22">
        <v>2.1</v>
      </c>
      <c r="I316" s="6">
        <f t="shared" si="4"/>
        <v>1289.925</v>
      </c>
      <c r="J316" s="7" t="s">
        <v>3279</v>
      </c>
    </row>
    <row r="317" spans="1:10" ht="13.95" customHeight="1" x14ac:dyDescent="0.3">
      <c r="A317" s="20">
        <v>45998</v>
      </c>
      <c r="B317" s="20" t="s">
        <v>3749</v>
      </c>
      <c r="C317" s="19" t="s">
        <v>13</v>
      </c>
      <c r="D317" s="19" t="s">
        <v>3156</v>
      </c>
      <c r="E317" s="4">
        <v>0.45</v>
      </c>
      <c r="F317" s="42">
        <v>2.1</v>
      </c>
      <c r="G317" s="45">
        <v>270</v>
      </c>
      <c r="H317" s="22">
        <v>2.1</v>
      </c>
      <c r="I317" s="6">
        <f t="shared" si="4"/>
        <v>535.81500000000005</v>
      </c>
      <c r="J317" s="7" t="s">
        <v>527</v>
      </c>
    </row>
    <row r="318" spans="1:10" ht="13.95" customHeight="1" x14ac:dyDescent="0.3">
      <c r="A318" s="20">
        <v>45999</v>
      </c>
      <c r="B318" s="20" t="s">
        <v>3749</v>
      </c>
      <c r="C318" s="19" t="s">
        <v>16</v>
      </c>
      <c r="D318" s="19" t="s">
        <v>3612</v>
      </c>
      <c r="E318" s="4">
        <v>0.45</v>
      </c>
      <c r="F318" s="42">
        <v>2.1</v>
      </c>
      <c r="G318" s="45">
        <v>270</v>
      </c>
      <c r="H318" s="22">
        <v>2.1</v>
      </c>
      <c r="I318" s="6">
        <f t="shared" si="4"/>
        <v>535.81500000000005</v>
      </c>
      <c r="J318" s="7" t="s">
        <v>88</v>
      </c>
    </row>
    <row r="319" spans="1:10" ht="13.95" customHeight="1" x14ac:dyDescent="0.3">
      <c r="A319" s="20">
        <v>46000</v>
      </c>
      <c r="B319" s="20" t="s">
        <v>3749</v>
      </c>
      <c r="C319" s="19" t="s">
        <v>18</v>
      </c>
      <c r="D319" s="19" t="s">
        <v>706</v>
      </c>
      <c r="E319" s="4">
        <v>0.5</v>
      </c>
      <c r="F319" s="42">
        <v>2.15</v>
      </c>
      <c r="G319" s="45">
        <v>270</v>
      </c>
      <c r="H319" s="22">
        <v>2.1</v>
      </c>
      <c r="I319" s="6">
        <f t="shared" si="4"/>
        <v>609.52499999999998</v>
      </c>
      <c r="J319" s="7" t="s">
        <v>88</v>
      </c>
    </row>
    <row r="320" spans="1:10" ht="13.95" customHeight="1" x14ac:dyDescent="0.3">
      <c r="A320" s="20">
        <v>46001</v>
      </c>
      <c r="B320" s="20" t="s">
        <v>3749</v>
      </c>
      <c r="C320" s="19" t="s">
        <v>20</v>
      </c>
      <c r="D320" s="19" t="s">
        <v>706</v>
      </c>
      <c r="E320" s="4">
        <v>0.5</v>
      </c>
      <c r="F320" s="42">
        <v>2.15</v>
      </c>
      <c r="G320" s="45">
        <v>270</v>
      </c>
      <c r="H320" s="22">
        <v>2.1</v>
      </c>
      <c r="I320" s="6">
        <f t="shared" si="4"/>
        <v>609.52499999999998</v>
      </c>
      <c r="J320" s="7" t="s">
        <v>88</v>
      </c>
    </row>
    <row r="321" spans="1:10" ht="13.95" customHeight="1" x14ac:dyDescent="0.3">
      <c r="A321" s="20">
        <v>46002</v>
      </c>
      <c r="B321" s="20" t="s">
        <v>3749</v>
      </c>
      <c r="C321" s="19" t="s">
        <v>5</v>
      </c>
      <c r="D321" s="19" t="s">
        <v>706</v>
      </c>
      <c r="E321" s="4">
        <v>0.65</v>
      </c>
      <c r="F321" s="42">
        <v>2.9</v>
      </c>
      <c r="G321" s="45">
        <v>270</v>
      </c>
      <c r="H321" s="22">
        <v>2.1</v>
      </c>
      <c r="I321" s="6">
        <f t="shared" si="4"/>
        <v>1068.7950000000001</v>
      </c>
      <c r="J321" s="7" t="s">
        <v>2020</v>
      </c>
    </row>
    <row r="322" spans="1:10" ht="13.95" customHeight="1" x14ac:dyDescent="0.3">
      <c r="A322" s="20">
        <v>46003</v>
      </c>
      <c r="B322" s="20" t="s">
        <v>3749</v>
      </c>
      <c r="C322" s="19" t="s">
        <v>8</v>
      </c>
      <c r="D322" s="19" t="s">
        <v>706</v>
      </c>
      <c r="E322" s="4">
        <v>0.75</v>
      </c>
      <c r="F322" s="42">
        <v>3.7</v>
      </c>
      <c r="G322" s="45">
        <v>270</v>
      </c>
      <c r="H322" s="22">
        <v>2.1</v>
      </c>
      <c r="I322" s="6">
        <f t="shared" ref="I322:I338" si="5">(G322*E322)*F322*H322</f>
        <v>1573.425</v>
      </c>
      <c r="J322" s="7" t="s">
        <v>3752</v>
      </c>
    </row>
    <row r="323" spans="1:10" ht="13.95" customHeight="1" x14ac:dyDescent="0.3">
      <c r="A323" s="20">
        <v>46004</v>
      </c>
      <c r="B323" s="20" t="s">
        <v>3749</v>
      </c>
      <c r="C323" s="19" t="s">
        <v>11</v>
      </c>
      <c r="D323" s="19" t="s">
        <v>1284</v>
      </c>
      <c r="E323" s="4">
        <v>0.7</v>
      </c>
      <c r="F323" s="42">
        <v>3.2</v>
      </c>
      <c r="G323" s="45">
        <v>270</v>
      </c>
      <c r="H323" s="22">
        <v>2.1</v>
      </c>
      <c r="I323" s="6">
        <f t="shared" si="5"/>
        <v>1270.0800000000002</v>
      </c>
      <c r="J323" s="7" t="s">
        <v>88</v>
      </c>
    </row>
    <row r="324" spans="1:10" ht="13.95" customHeight="1" x14ac:dyDescent="0.3">
      <c r="A324" s="20">
        <v>46005</v>
      </c>
      <c r="B324" s="20" t="s">
        <v>3749</v>
      </c>
      <c r="C324" s="19" t="s">
        <v>13</v>
      </c>
      <c r="D324" s="19" t="s">
        <v>1939</v>
      </c>
      <c r="E324" s="4">
        <v>0.45</v>
      </c>
      <c r="F324" s="42">
        <v>2.1</v>
      </c>
      <c r="G324" s="45">
        <v>270</v>
      </c>
      <c r="H324" s="22">
        <v>2.1</v>
      </c>
      <c r="I324" s="6">
        <f t="shared" si="5"/>
        <v>535.81500000000005</v>
      </c>
      <c r="J324" s="7" t="s">
        <v>88</v>
      </c>
    </row>
    <row r="325" spans="1:10" ht="13.95" customHeight="1" x14ac:dyDescent="0.3">
      <c r="A325" s="20">
        <v>46006</v>
      </c>
      <c r="B325" s="20" t="s">
        <v>3749</v>
      </c>
      <c r="C325" s="19" t="s">
        <v>16</v>
      </c>
      <c r="D325" s="19" t="s">
        <v>3747</v>
      </c>
      <c r="E325" s="4">
        <v>0.5</v>
      </c>
      <c r="F325" s="42">
        <v>2.15</v>
      </c>
      <c r="G325" s="45">
        <v>270</v>
      </c>
      <c r="H325" s="22">
        <v>2.1</v>
      </c>
      <c r="I325" s="6">
        <f t="shared" si="5"/>
        <v>609.52499999999998</v>
      </c>
      <c r="J325" s="7" t="s">
        <v>509</v>
      </c>
    </row>
    <row r="326" spans="1:10" ht="13.95" customHeight="1" x14ac:dyDescent="0.3">
      <c r="A326" s="20">
        <v>46007</v>
      </c>
      <c r="B326" s="20" t="s">
        <v>3749</v>
      </c>
      <c r="C326" s="19" t="s">
        <v>18</v>
      </c>
      <c r="D326" s="19" t="s">
        <v>3746</v>
      </c>
      <c r="E326" s="4">
        <v>0.55000000000000004</v>
      </c>
      <c r="F326" s="42">
        <v>2.2000000000000002</v>
      </c>
      <c r="G326" s="45">
        <v>270</v>
      </c>
      <c r="H326" s="22">
        <v>2.1</v>
      </c>
      <c r="I326" s="6">
        <f t="shared" si="5"/>
        <v>686.07000000000016</v>
      </c>
      <c r="J326" s="7" t="s">
        <v>3753</v>
      </c>
    </row>
    <row r="327" spans="1:10" ht="13.95" customHeight="1" x14ac:dyDescent="0.3">
      <c r="A327" s="20">
        <v>46008</v>
      </c>
      <c r="B327" s="20" t="s">
        <v>3749</v>
      </c>
      <c r="C327" s="19" t="s">
        <v>20</v>
      </c>
      <c r="D327" s="19" t="s">
        <v>3746</v>
      </c>
      <c r="E327" s="4">
        <v>0.75</v>
      </c>
      <c r="F327" s="42">
        <v>3.4</v>
      </c>
      <c r="G327" s="45">
        <v>270</v>
      </c>
      <c r="H327" s="22">
        <v>2.1</v>
      </c>
      <c r="I327" s="6">
        <f t="shared" si="5"/>
        <v>1445.8500000000001</v>
      </c>
      <c r="J327" s="7" t="s">
        <v>3754</v>
      </c>
    </row>
    <row r="328" spans="1:10" ht="13.95" customHeight="1" x14ac:dyDescent="0.3">
      <c r="A328" s="20">
        <v>46009</v>
      </c>
      <c r="B328" s="20" t="s">
        <v>3749</v>
      </c>
      <c r="C328" s="19" t="s">
        <v>5</v>
      </c>
      <c r="D328" s="19" t="s">
        <v>3746</v>
      </c>
      <c r="E328" s="4">
        <v>0.75</v>
      </c>
      <c r="F328" s="42">
        <v>3</v>
      </c>
      <c r="G328" s="45">
        <v>270</v>
      </c>
      <c r="H328" s="22">
        <v>2.1</v>
      </c>
      <c r="I328" s="6">
        <f t="shared" si="5"/>
        <v>1275.75</v>
      </c>
      <c r="J328" s="7" t="s">
        <v>3282</v>
      </c>
    </row>
    <row r="329" spans="1:10" ht="13.95" customHeight="1" x14ac:dyDescent="0.3">
      <c r="A329" s="20">
        <v>46010</v>
      </c>
      <c r="B329" s="20" t="s">
        <v>3749</v>
      </c>
      <c r="C329" s="19" t="s">
        <v>8</v>
      </c>
      <c r="D329" s="19" t="s">
        <v>3746</v>
      </c>
      <c r="E329" s="4">
        <v>0.85</v>
      </c>
      <c r="F329" s="42">
        <v>3.8</v>
      </c>
      <c r="G329" s="45">
        <v>270</v>
      </c>
      <c r="H329" s="22">
        <v>2.1</v>
      </c>
      <c r="I329" s="6">
        <f t="shared" si="5"/>
        <v>1831.4099999999999</v>
      </c>
      <c r="J329" s="7" t="s">
        <v>3755</v>
      </c>
    </row>
    <row r="330" spans="1:10" ht="13.95" customHeight="1" x14ac:dyDescent="0.3">
      <c r="A330" s="20">
        <v>46011</v>
      </c>
      <c r="B330" s="20" t="s">
        <v>3749</v>
      </c>
      <c r="C330" s="19" t="s">
        <v>11</v>
      </c>
      <c r="D330" s="19" t="s">
        <v>2993</v>
      </c>
      <c r="E330" s="4">
        <v>0.8</v>
      </c>
      <c r="F330" s="42">
        <v>3.35</v>
      </c>
      <c r="G330" s="45">
        <v>270</v>
      </c>
      <c r="H330" s="22">
        <v>2.1</v>
      </c>
      <c r="I330" s="6">
        <f t="shared" si="5"/>
        <v>1519.5600000000002</v>
      </c>
      <c r="J330" s="7" t="s">
        <v>1199</v>
      </c>
    </row>
    <row r="331" spans="1:10" ht="13.95" customHeight="1" x14ac:dyDescent="0.3">
      <c r="A331" s="20">
        <v>46012</v>
      </c>
      <c r="B331" s="20" t="s">
        <v>3749</v>
      </c>
      <c r="C331" s="19" t="s">
        <v>13</v>
      </c>
      <c r="D331" s="19" t="s">
        <v>3748</v>
      </c>
      <c r="E331" s="4">
        <v>0.75</v>
      </c>
      <c r="F331" s="42">
        <v>2.5</v>
      </c>
      <c r="G331" s="45">
        <v>270</v>
      </c>
      <c r="H331" s="22">
        <v>2.1</v>
      </c>
      <c r="I331" s="6">
        <f t="shared" si="5"/>
        <v>1063.125</v>
      </c>
      <c r="J331" s="7" t="s">
        <v>3756</v>
      </c>
    </row>
    <row r="332" spans="1:10" ht="13.95" customHeight="1" x14ac:dyDescent="0.3">
      <c r="A332" s="20">
        <v>46013</v>
      </c>
      <c r="B332" s="20" t="s">
        <v>3749</v>
      </c>
      <c r="C332" s="19" t="s">
        <v>16</v>
      </c>
      <c r="D332" s="19" t="s">
        <v>3480</v>
      </c>
      <c r="E332" s="4">
        <v>0.8</v>
      </c>
      <c r="F332" s="42">
        <v>2.6</v>
      </c>
      <c r="G332" s="45">
        <v>270</v>
      </c>
      <c r="H332" s="22">
        <v>2.1</v>
      </c>
      <c r="I332" s="6">
        <f t="shared" si="5"/>
        <v>1179.3600000000001</v>
      </c>
      <c r="J332" s="7" t="s">
        <v>3757</v>
      </c>
    </row>
    <row r="333" spans="1:10" ht="13.95" customHeight="1" x14ac:dyDescent="0.3">
      <c r="A333" s="20">
        <v>46014</v>
      </c>
      <c r="B333" s="20" t="s">
        <v>3749</v>
      </c>
      <c r="C333" s="19" t="s">
        <v>18</v>
      </c>
      <c r="D333" s="19" t="s">
        <v>706</v>
      </c>
      <c r="E333" s="4">
        <v>0.9</v>
      </c>
      <c r="F333" s="42">
        <v>2.8</v>
      </c>
      <c r="G333" s="45">
        <v>270</v>
      </c>
      <c r="H333" s="22">
        <v>2.1</v>
      </c>
      <c r="I333" s="6">
        <f t="shared" si="5"/>
        <v>1428.84</v>
      </c>
      <c r="J333" s="7" t="s">
        <v>531</v>
      </c>
    </row>
    <row r="334" spans="1:10" ht="13.95" customHeight="1" x14ac:dyDescent="0.3">
      <c r="A334" s="20">
        <v>46015</v>
      </c>
      <c r="B334" s="20" t="s">
        <v>3749</v>
      </c>
      <c r="C334" s="19" t="s">
        <v>20</v>
      </c>
      <c r="D334" s="19" t="s">
        <v>706</v>
      </c>
      <c r="E334" s="4">
        <v>0.95</v>
      </c>
      <c r="F334" s="42">
        <v>4.9000000000000004</v>
      </c>
      <c r="G334" s="45">
        <v>270</v>
      </c>
      <c r="H334" s="22">
        <v>2.1</v>
      </c>
      <c r="I334" s="6">
        <f t="shared" si="5"/>
        <v>2639.3850000000002</v>
      </c>
      <c r="J334" s="7" t="s">
        <v>1633</v>
      </c>
    </row>
    <row r="335" spans="1:10" ht="13.95" customHeight="1" x14ac:dyDescent="0.3">
      <c r="A335" s="20">
        <v>46016</v>
      </c>
      <c r="B335" s="20" t="s">
        <v>3749</v>
      </c>
      <c r="C335" s="19" t="s">
        <v>5</v>
      </c>
      <c r="D335" s="19" t="s">
        <v>706</v>
      </c>
      <c r="E335" s="4">
        <v>0.95</v>
      </c>
      <c r="F335" s="42">
        <v>4.2</v>
      </c>
      <c r="G335" s="45">
        <v>270</v>
      </c>
      <c r="H335" s="22">
        <v>2.1</v>
      </c>
      <c r="I335" s="6">
        <f t="shared" si="5"/>
        <v>2262.33</v>
      </c>
      <c r="J335" s="7" t="s">
        <v>1834</v>
      </c>
    </row>
    <row r="336" spans="1:10" ht="13.95" customHeight="1" x14ac:dyDescent="0.3">
      <c r="A336" s="20">
        <v>46017</v>
      </c>
      <c r="B336" s="20" t="s">
        <v>3749</v>
      </c>
      <c r="C336" s="19" t="s">
        <v>8</v>
      </c>
      <c r="D336" s="19" t="s">
        <v>706</v>
      </c>
      <c r="E336" s="4">
        <v>0.9</v>
      </c>
      <c r="F336" s="42">
        <v>3.75</v>
      </c>
      <c r="G336" s="45">
        <v>270</v>
      </c>
      <c r="H336" s="22">
        <v>2.1</v>
      </c>
      <c r="I336" s="6">
        <f t="shared" si="5"/>
        <v>1913.625</v>
      </c>
      <c r="J336" s="7" t="s">
        <v>1449</v>
      </c>
    </row>
    <row r="337" spans="1:10" ht="13.95" customHeight="1" x14ac:dyDescent="0.3">
      <c r="A337" s="20">
        <v>46018</v>
      </c>
      <c r="B337" s="20" t="s">
        <v>3749</v>
      </c>
      <c r="C337" s="19" t="s">
        <v>11</v>
      </c>
      <c r="D337" s="19" t="s">
        <v>2993</v>
      </c>
      <c r="E337" s="4">
        <v>0.9</v>
      </c>
      <c r="F337" s="42">
        <v>3.4</v>
      </c>
      <c r="G337" s="45">
        <v>270</v>
      </c>
      <c r="H337" s="22">
        <v>2.1</v>
      </c>
      <c r="I337" s="6">
        <f t="shared" si="5"/>
        <v>1735.02</v>
      </c>
      <c r="J337" s="7" t="s">
        <v>3695</v>
      </c>
    </row>
    <row r="338" spans="1:10" ht="13.95" customHeight="1" x14ac:dyDescent="0.3">
      <c r="A338" s="20">
        <v>46019</v>
      </c>
      <c r="B338" s="20" t="s">
        <v>3749</v>
      </c>
      <c r="C338" s="19" t="s">
        <v>13</v>
      </c>
      <c r="D338" s="19" t="s">
        <v>3723</v>
      </c>
      <c r="E338" s="4">
        <v>0.9</v>
      </c>
      <c r="F338" s="42">
        <v>2.85</v>
      </c>
      <c r="G338" s="45">
        <v>270</v>
      </c>
      <c r="H338" s="22">
        <v>2.1</v>
      </c>
      <c r="I338" s="6">
        <f t="shared" si="5"/>
        <v>1454.3550000000002</v>
      </c>
      <c r="J338" s="7" t="s">
        <v>3758</v>
      </c>
    </row>
    <row r="339" spans="1:10" x14ac:dyDescent="0.3">
      <c r="A339" s="20">
        <v>46020</v>
      </c>
      <c r="B339" s="20" t="s">
        <v>3749</v>
      </c>
      <c r="C339" s="19" t="s">
        <v>118</v>
      </c>
      <c r="D339" s="19" t="s">
        <v>3723</v>
      </c>
      <c r="E339" s="4">
        <v>0.95</v>
      </c>
      <c r="F339" s="42">
        <v>2.95</v>
      </c>
      <c r="G339" s="45">
        <v>270</v>
      </c>
      <c r="H339" s="22">
        <v>2.1</v>
      </c>
      <c r="I339" s="6">
        <f t="shared" ref="I339:I340" si="6">(G339*E339)*F339*H339</f>
        <v>1589.0175000000002</v>
      </c>
      <c r="J339" s="7" t="s">
        <v>3759</v>
      </c>
    </row>
    <row r="340" spans="1:10" x14ac:dyDescent="0.3">
      <c r="A340" s="20">
        <v>46021</v>
      </c>
      <c r="B340" s="20" t="s">
        <v>3749</v>
      </c>
      <c r="C340" s="19" t="s">
        <v>120</v>
      </c>
      <c r="D340" s="19" t="s">
        <v>3723</v>
      </c>
      <c r="E340" s="4">
        <v>1</v>
      </c>
      <c r="F340" s="42">
        <v>3.4</v>
      </c>
      <c r="G340" s="45">
        <v>270</v>
      </c>
      <c r="H340" s="22">
        <v>2.1</v>
      </c>
      <c r="I340" s="6">
        <f t="shared" si="6"/>
        <v>1927.8000000000002</v>
      </c>
      <c r="J340" s="7" t="s">
        <v>3316</v>
      </c>
    </row>
    <row r="341" spans="1:10" x14ac:dyDescent="0.3">
      <c r="A341" s="20">
        <v>46022</v>
      </c>
      <c r="B341" s="20" t="s">
        <v>3749</v>
      </c>
      <c r="C341" s="19" t="s">
        <v>106</v>
      </c>
      <c r="D341" s="19" t="s">
        <v>3723</v>
      </c>
      <c r="E341" s="4">
        <v>1</v>
      </c>
      <c r="F341" s="42">
        <v>5.7</v>
      </c>
      <c r="G341" s="45">
        <v>270</v>
      </c>
      <c r="H341" s="22">
        <v>2.1</v>
      </c>
      <c r="I341" s="6">
        <f t="shared" ref="I341" si="7">(G341*E341)*F341*H341</f>
        <v>3231.9</v>
      </c>
      <c r="J341" s="7" t="s">
        <v>1568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30</vt:i4>
      </vt:variant>
    </vt:vector>
  </HeadingPairs>
  <TitlesOfParts>
    <vt:vector size="30" baseType="lpstr">
      <vt:lpstr>Dashboard</vt:lpstr>
      <vt:lpstr>Laico-H</vt:lpstr>
      <vt:lpstr>Golden Carthage </vt:lpstr>
      <vt:lpstr>Sheraton</vt:lpstr>
      <vt:lpstr>Movenpick</vt:lpstr>
      <vt:lpstr>Mariotte</vt:lpstr>
      <vt:lpstr>Radisson_Blue_Tunis</vt:lpstr>
      <vt:lpstr>Four_Season_Tunis</vt:lpstr>
      <vt:lpstr>Concorde marco polp</vt:lpstr>
      <vt:lpstr>Nozha beach</vt:lpstr>
      <vt:lpstr>Sentido Phenecia </vt:lpstr>
      <vt:lpstr>Bel azur thalasso</vt:lpstr>
      <vt:lpstr>el mouradi</vt:lpstr>
      <vt:lpstr>Steigenberger  Thalasso</vt:lpstr>
      <vt:lpstr>Nahrawess Resort Thalasso &amp; Wat</vt:lpstr>
      <vt:lpstr>Golden tulip </vt:lpstr>
      <vt:lpstr>el mouradi el menzah </vt:lpstr>
      <vt:lpstr>TUI MAGIC LIFE Africana (Splash</vt:lpstr>
      <vt:lpstr>TUI BLUE Palace Océana</vt:lpstr>
      <vt:lpstr>Les Orangers beach</vt:lpstr>
      <vt:lpstr>Belisair</vt:lpstr>
      <vt:lpstr>Khayem Garden </vt:lpstr>
      <vt:lpstr>Radissan blue </vt:lpstr>
      <vt:lpstr>La Badira</vt:lpstr>
      <vt:lpstr>Iberostar waves </vt:lpstr>
      <vt:lpstr>Houda Soltan </vt:lpstr>
      <vt:lpstr>Lella beya </vt:lpstr>
      <vt:lpstr>Hasdrubal Thalassa</vt:lpstr>
      <vt:lpstr>Mehari </vt:lpstr>
      <vt:lpstr>Royal Hammamet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Basma arous</dc:creator>
  <cp:lastModifiedBy>Basma arous</cp:lastModifiedBy>
  <dcterms:created xsi:type="dcterms:W3CDTF">2025-12-28T15:44:18Z</dcterms:created>
  <dcterms:modified xsi:type="dcterms:W3CDTF">2025-12-31T12:25:02Z</dcterms:modified>
</cp:coreProperties>
</file>